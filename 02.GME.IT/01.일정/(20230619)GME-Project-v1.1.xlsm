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codeName="ThisWorkbook"/>
  <mc:AlternateContent xmlns:mc="http://schemas.openxmlformats.org/markup-compatibility/2006">
    <mc:Choice Requires="x15">
      <x15ac:absPath xmlns:x15ac="http://schemas.microsoft.com/office/spreadsheetml/2010/11/ac" url="D:\21.Document\02.GME.IT\01.일정\"/>
    </mc:Choice>
  </mc:AlternateContent>
  <xr:revisionPtr revIDLastSave="0" documentId="13_ncr:1_{525231D3-0A75-4542-9E5F-9A865FEA4B18}" xr6:coauthVersionLast="47" xr6:coauthVersionMax="47" xr10:uidLastSave="{00000000-0000-0000-0000-000000000000}"/>
  <bookViews>
    <workbookView xWindow="28680" yWindow="-120" windowWidth="51840" windowHeight="21120" tabRatio="535" firstSheet="3" activeTab="3" xr2:uid="{00000000-000D-0000-FFFF-FFFF00000000}"/>
  </bookViews>
  <sheets>
    <sheet name="Settings" sheetId="6" state="veryHidden" r:id="rId1"/>
    <sheet name="TranslatedLanguages" sheetId="7" state="hidden" r:id="rId2"/>
    <sheet name="Workload" sheetId="8" state="veryHidden" r:id="rId3"/>
    <sheet name="Schedule" sheetId="2" r:id="rId4"/>
    <sheet name="Progress" sheetId="3" r:id="rId5"/>
    <sheet name="AnalysisReport" sheetId="4" r:id="rId6"/>
    <sheet name="Calendar" sheetId="5" r:id="rId7"/>
  </sheets>
  <functionGroups builtInGroupCount="19"/>
  <externalReferences>
    <externalReference r:id="rId8"/>
  </externalReferences>
  <definedNames>
    <definedName name="_xlnm._FilterDatabase" localSheetId="3" hidden="1">Schedule!$M$3:$AB$432</definedName>
    <definedName name="ACTUAL_RATE" localSheetId="2">[1]Progress!$B$21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2">[1]Progress!$B$18</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2">[1]Schedule!#REF!</definedName>
    <definedName name="RNG_WBS_AREA_LAST_COL_NAME">Schedule!$AB$3</definedName>
    <definedName name="RNG_WBS_COL_NAME">Schedule!$D$3</definedName>
    <definedName name="RNG_WBS_LEVEL_COL_NAME">Schedule!$C$3</definedName>
    <definedName name="STD_CAL" localSheetId="2">[1]Calendar!$B$5:$B$304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3" hidden="1">Schedule!$E$4:$T$4</definedName>
    <definedName name="Z_0A64F8D9_59E4_4471_A54B_AB6085820F8B_.wvu.FilterData" localSheetId="3" hidden="1">Schedule!$E$4:$T$4</definedName>
    <definedName name="Z_0A64F8D9_59E4_4471_A54B_AB6085820F8B_.wvu.PrintArea" localSheetId="3" hidden="1">Schedule!$E$4:$AB$4</definedName>
    <definedName name="Z_0B810681_CC81_4141_9F16_24B3FD4F0FB8_.wvu.FilterData" localSheetId="3" hidden="1">Schedule!$E$4:$T$4</definedName>
    <definedName name="Z_0B810681_CC81_4141_9F16_24B3FD4F0FB8_.wvu.PrintArea" localSheetId="3" hidden="1">Schedule!$E$4:$AB$4</definedName>
    <definedName name="Z_45F170B6_3544_43F8_BFC7_D657B723AABC_.wvu.FilterData" localSheetId="3" hidden="1">Schedule!$E$4:$T$4</definedName>
    <definedName name="Z_45F170B6_3544_43F8_BFC7_D657B723AABC_.wvu.PrintArea" localSheetId="3" hidden="1">Schedule!$E$4:$AB$4</definedName>
    <definedName name="Z_6C04A49A_6140_42F5_B660_358F3428D555_.wvu.FilterData" localSheetId="3" hidden="1">Schedule!$E$4:$T$4</definedName>
    <definedName name="Z_6C04A49A_6140_42F5_B660_358F3428D555_.wvu.PrintArea" localSheetId="3" hidden="1">Schedule!$E$4:$AB$4</definedName>
    <definedName name="Z_717B341C_ADF7_4494_8FE3_F9159C14788B_.wvu.FilterData" localSheetId="3" hidden="1">Schedule!$E$4:$T$4</definedName>
    <definedName name="Z_96DEAA77_2828_4E97_975A_CF93EF5D9712_.wvu.FilterData" localSheetId="3" hidden="1">Schedule!$E$4:$T$4</definedName>
    <definedName name="Z_AF9F6769_16BA_4444_B539_537212F9672A_.wvu.FilterData" localSheetId="3" hidden="1">Schedule!$E$4:$T$4</definedName>
    <definedName name="Z_AF9F6769_16BA_4444_B539_537212F9672A_.wvu.PrintArea" localSheetId="3" hidden="1">Schedule!$E$4:$AB$4</definedName>
    <definedName name="Z_B0AA3114_3257_4D99_8E15_F0A183B56293_.wvu.FilterData" localSheetId="3" hidden="1">Schedule!$E$4:$T$4</definedName>
    <definedName name="Z_B4798534_C27D_422C_BD87_0A71D9C8BAA9_.wvu.FilterData" localSheetId="3" hidden="1">Schedule!$E$4:$T$4</definedName>
    <definedName name="Z_C7B87852_3417_4B82_AD8F_04929FC46960_.wvu.FilterData" localSheetId="3" hidden="1">Schedule!$E$4:$T$4</definedName>
    <definedName name="Z_CD147E05_78AB_4F1A_996E_7FAB0BB4629B_.wvu.FilterData" localSheetId="3" hidden="1">Schedule!$E$4:$T$4</definedName>
    <definedName name="Z_F8F33EAC_6737_4237_A48D_05833D89E8C9_.wvu.FilterData" localSheetId="3" hidden="1">Schedule!$E$4:$T$4</definedName>
    <definedName name="Z_F8F33EAC_6737_4237_A48D_05833D89E8C9_.wvu.PrintArea" localSheetId="3" hidden="1">Schedule!$E$4:$AB$4</definedName>
    <definedName name="Z_FA644498_2FA7_4E23_AA15_463455A1D2EE_.wvu.FilterData" localSheetId="3" hidden="1">Schedule!$E$4:$T$4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D5" i="2" l="1"/>
  <c r="AC6" i="2"/>
  <c r="AC7" i="2"/>
  <c r="AC8" i="2"/>
  <c r="AD9" i="2"/>
  <c r="AD10" i="2"/>
  <c r="AD11" i="2"/>
  <c r="AD13" i="2"/>
  <c r="AC14" i="2"/>
  <c r="AD15" i="2"/>
  <c r="AD16" i="2"/>
  <c r="AD17" i="2"/>
  <c r="AF19" i="2"/>
  <c r="AF20" i="2"/>
  <c r="AF21" i="2"/>
  <c r="AF22" i="2"/>
  <c r="AF23" i="2"/>
  <c r="AG25" i="2"/>
  <c r="AF27" i="2"/>
  <c r="AE28" i="2"/>
  <c r="AF29" i="2"/>
  <c r="AG30" i="2"/>
  <c r="AG31" i="2"/>
  <c r="AE33" i="2"/>
  <c r="AC34" i="2"/>
  <c r="AC35" i="2"/>
  <c r="AC36" i="2"/>
  <c r="AD37" i="2"/>
  <c r="AE38" i="2"/>
  <c r="AF39" i="2"/>
  <c r="AE41" i="2"/>
  <c r="AE42" i="2"/>
  <c r="AE43" i="2"/>
  <c r="AF44" i="2"/>
  <c r="AF45" i="2"/>
  <c r="AE47" i="2"/>
  <c r="AE48" i="2"/>
  <c r="AE49" i="2"/>
  <c r="AF50" i="2"/>
  <c r="AF51" i="2"/>
  <c r="AF52" i="2"/>
  <c r="AG53" i="2"/>
  <c r="AG54" i="2"/>
  <c r="AF56" i="2"/>
  <c r="AE58" i="2"/>
  <c r="AE59" i="2"/>
  <c r="AE60" i="2"/>
  <c r="AF61" i="2"/>
  <c r="AG62" i="2"/>
  <c r="AG63" i="2"/>
  <c r="AH65" i="2"/>
  <c r="AF66" i="2"/>
  <c r="AE67" i="2"/>
  <c r="AD68" i="2"/>
  <c r="AD69" i="2"/>
  <c r="AE70" i="2"/>
  <c r="AE71" i="2"/>
  <c r="AK72" i="2"/>
  <c r="AK73" i="2"/>
  <c r="AE75" i="2"/>
  <c r="AJ75" i="2"/>
  <c r="AE77" i="2"/>
  <c r="AH78" i="2"/>
  <c r="AJ79" i="2"/>
  <c r="AE81" i="2"/>
  <c r="AJ81" i="2"/>
  <c r="AE82" i="2"/>
  <c r="AG83" i="2"/>
  <c r="AH84" i="2"/>
  <c r="AJ85" i="2"/>
  <c r="AJ86" i="2"/>
  <c r="AE88" i="2"/>
  <c r="AK88" i="2"/>
  <c r="AE89" i="2"/>
  <c r="AF90" i="2"/>
  <c r="AG91" i="2"/>
  <c r="AG92" i="2"/>
  <c r="AH93" i="2"/>
  <c r="AK95" i="2"/>
  <c r="AH97" i="2"/>
  <c r="AP97" i="2"/>
  <c r="AH98" i="2"/>
  <c r="AI99" i="2"/>
  <c r="AI100" i="2"/>
  <c r="AI101" i="2"/>
  <c r="AJ102" i="2"/>
  <c r="AP103" i="2"/>
  <c r="AP104" i="2"/>
  <c r="AF106" i="2"/>
  <c r="AY106" i="2"/>
  <c r="AF107" i="2"/>
  <c r="AH108" i="2"/>
  <c r="AP108" i="2"/>
  <c r="AH109" i="2"/>
  <c r="AP109" i="2"/>
  <c r="AH110" i="2"/>
  <c r="AP110" i="2"/>
  <c r="AH111" i="2"/>
  <c r="AP111" i="2"/>
  <c r="AP112" i="2"/>
  <c r="AT112" i="2"/>
  <c r="AU113" i="2"/>
  <c r="AX114" i="2"/>
  <c r="AF116" i="2"/>
  <c r="AI116" i="2"/>
  <c r="AF117" i="2"/>
  <c r="AH118" i="2"/>
  <c r="AI119" i="2"/>
  <c r="AE121" i="2"/>
  <c r="AD122" i="2"/>
  <c r="AE123" i="2"/>
  <c r="AE124" i="2"/>
  <c r="AF126" i="2"/>
  <c r="AK126" i="2"/>
  <c r="AF128" i="2"/>
  <c r="AG129" i="2"/>
  <c r="AI130" i="2"/>
  <c r="AK131" i="2"/>
  <c r="AE139" i="2"/>
  <c r="AE140" i="2"/>
  <c r="AF145" i="2"/>
  <c r="AK145" i="2"/>
  <c r="AF146" i="2"/>
  <c r="AG148" i="2"/>
  <c r="AG149" i="2"/>
  <c r="AH150" i="2"/>
  <c r="AK152" i="2"/>
  <c r="AF154" i="2"/>
  <c r="AF155" i="2"/>
  <c r="D11" i="4" l="1"/>
  <c r="E7" i="4"/>
  <c r="F7" i="4" s="1"/>
  <c r="H17" i="8"/>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D1" i="2"/>
  <c r="E8" i="4" l="1"/>
  <c r="F8" i="4" s="1"/>
  <c r="E9" i="4"/>
  <c r="B24" i="3"/>
  <c r="AB1" i="2"/>
  <c r="AB2" i="2"/>
  <c r="F9" i="4" l="1"/>
  <c r="E10" i="4"/>
  <c r="F10" i="4" s="1"/>
</calcChain>
</file>

<file path=xl/sharedStrings.xml><?xml version="1.0" encoding="utf-8"?>
<sst xmlns="http://schemas.openxmlformats.org/spreadsheetml/2006/main" count="1619" uniqueCount="1348">
  <si>
    <t>Man/Day</t>
    <phoneticPr fontId="7" type="noConversion"/>
  </si>
  <si>
    <t>Man-Day</t>
  </si>
  <si>
    <t>Man-Month</t>
  </si>
  <si>
    <t>Total</t>
  </si>
  <si>
    <t>ITEM</t>
    <phoneticPr fontId="7" type="noConversion"/>
  </si>
  <si>
    <t>VALUE1</t>
    <phoneticPr fontId="7" type="noConversion"/>
  </si>
  <si>
    <t>VALUE2</t>
    <phoneticPr fontId="7" type="noConversion"/>
  </si>
  <si>
    <t>VALUE3</t>
  </si>
  <si>
    <t>INSERTED_DATE</t>
    <phoneticPr fontId="7" type="noConversion"/>
  </si>
  <si>
    <t>UPDATED_DATE</t>
    <phoneticPr fontId="7" type="noConversion"/>
  </si>
  <si>
    <t>COMPANY</t>
    <phoneticPr fontId="7" type="noConversion"/>
  </si>
  <si>
    <t>XLWorks</t>
    <phoneticPr fontId="7" type="noConversion"/>
  </si>
  <si>
    <t>DO NOT UPDATE</t>
    <phoneticPr fontId="7" type="noConversion"/>
  </si>
  <si>
    <t>AUTHOR_EMAIL</t>
    <phoneticPr fontId="7" type="noConversion"/>
  </si>
  <si>
    <t>PROGRAM_NAME</t>
    <phoneticPr fontId="7" type="noConversion"/>
  </si>
  <si>
    <t>XLGantt</t>
  </si>
  <si>
    <t>PROGRAM_SITE</t>
    <phoneticPr fontId="7" type="noConversion"/>
  </si>
  <si>
    <t>http://xlworks.net</t>
    <phoneticPr fontId="7" type="noConversion"/>
  </si>
  <si>
    <t>PROGRAM_SITE_DISP</t>
    <phoneticPr fontId="7" type="noConversion"/>
  </si>
  <si>
    <t>VERSION</t>
    <phoneticPr fontId="7" type="noConversion"/>
  </si>
  <si>
    <t>DO NOT UPDATE</t>
    <phoneticPr fontId="7" type="noConversion"/>
  </si>
  <si>
    <t>RELEASE_DATE</t>
    <phoneticPr fontId="7" type="noConversion"/>
  </si>
  <si>
    <t>LICENSE</t>
    <phoneticPr fontId="7" type="noConversion"/>
  </si>
  <si>
    <t>Freeware</t>
    <phoneticPr fontId="7" type="noConversion"/>
  </si>
  <si>
    <t>Name:projectName</t>
  </si>
  <si>
    <t>Name:isConfirmedProjectBasicInfo</t>
  </si>
  <si>
    <t>Name:projectStartDate</t>
  </si>
  <si>
    <t>Name:projectEndDate</t>
  </si>
  <si>
    <t>Name:optScheduleChangeMgt</t>
  </si>
  <si>
    <t>Name:optPlanRateCriteriaDate</t>
  </si>
  <si>
    <t>Name:chkDeliverablesMgt</t>
    <phoneticPr fontId="7" type="noConversion"/>
  </si>
  <si>
    <t>Name:savePathType</t>
    <phoneticPr fontId="7" type="noConversion"/>
  </si>
  <si>
    <t>Name:txtDefinedPath</t>
    <phoneticPr fontId="7" type="noConversion"/>
  </si>
  <si>
    <t>Name:txtAutoDefinedBasePath</t>
    <phoneticPr fontId="7" type="noConversion"/>
  </si>
  <si>
    <t>Name:txtPgmName1</t>
    <phoneticPr fontId="7" type="noConversion"/>
  </si>
  <si>
    <t>Name:txtFileExt1</t>
  </si>
  <si>
    <t>Name:txtPgmPath1</t>
    <phoneticPr fontId="7" type="noConversion"/>
  </si>
  <si>
    <t>Name:chkInclude2SelectList1</t>
    <phoneticPr fontId="7" type="noConversion"/>
  </si>
  <si>
    <t>Name:txtPgmName2</t>
    <phoneticPr fontId="7" type="noConversion"/>
  </si>
  <si>
    <t>Name:txtFileExt2</t>
    <phoneticPr fontId="7" type="noConversion"/>
  </si>
  <si>
    <t>Name:txtPgmPath2</t>
    <phoneticPr fontId="7" type="noConversion"/>
  </si>
  <si>
    <t>Name:chkInclude2SelectList2</t>
    <phoneticPr fontId="7" type="noConversion"/>
  </si>
  <si>
    <t>Name:txtPgmName3</t>
    <phoneticPr fontId="7" type="noConversion"/>
  </si>
  <si>
    <t>Name:txtFileExt3</t>
    <phoneticPr fontId="7" type="noConversion"/>
  </si>
  <si>
    <t>Name:txtPgmPath3</t>
    <phoneticPr fontId="7" type="noConversion"/>
  </si>
  <si>
    <t>Name:chkInclude2SelectList3</t>
    <phoneticPr fontId="7" type="noConversion"/>
  </si>
  <si>
    <t>Name:txtPgmName4</t>
    <phoneticPr fontId="7" type="noConversion"/>
  </si>
  <si>
    <t>Name:txtFileExt4</t>
    <phoneticPr fontId="7" type="noConversion"/>
  </si>
  <si>
    <t>Name:txtPgmPath4</t>
    <phoneticPr fontId="7" type="noConversion"/>
  </si>
  <si>
    <t>Name:chkInclude2SelectList4</t>
    <phoneticPr fontId="7" type="noConversion"/>
  </si>
  <si>
    <t>Name:txtPgmName5</t>
    <phoneticPr fontId="7" type="noConversion"/>
  </si>
  <si>
    <t>Name:txtFileExt5</t>
    <phoneticPr fontId="7" type="noConversion"/>
  </si>
  <si>
    <t>Name:txtPgmPath5</t>
    <phoneticPr fontId="7" type="noConversion"/>
  </si>
  <si>
    <t>Name:chkInclude2SelectList5</t>
    <phoneticPr fontId="7"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</si>
  <si>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</si>
  <si>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</si>
  <si>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</si>
  <si>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</si>
  <si>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</si>
  <si>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</si>
  <si>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</si>
  <si>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</si>
  <si>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</si>
  <si>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</si>
  <si>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</si>
  <si>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</si>
  <si>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</si>
  <si>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</si>
  <si>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</si>
  <si>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</si>
  <si>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</si>
  <si>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</si>
  <si>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</si>
  <si>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</si>
  <si>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</si>
  <si>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</si>
  <si>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</si>
  <si>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</si>
  <si>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</si>
  <si>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</si>
  <si>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</si>
  <si>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</si>
  <si>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"Planned Progress" button to update the contents.</t>
  </si>
  <si>
    <t>* You need to click the "Progresses by Resources" button to update contents.</t>
  </si>
  <si>
    <t>* You need to click the "Workloads by Resources" button to update the contents.</t>
  </si>
  <si>
    <t>[Resources unspecified]</t>
  </si>
  <si>
    <t>{} "Outlook Appointment(s)" have been added.</t>
  </si>
  <si>
    <t>{} file does not exist.</t>
  </si>
  <si>
    <t>&lt;&lt; Remove</t>
  </si>
  <si>
    <t>&lt;&lt; Unmap</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</si>
  <si>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</si>
  <si>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</si>
  <si>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</si>
  <si>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</si>
  <si>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</si>
  <si>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</si>
  <si>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</si>
  <si>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</si>
  <si>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</si>
  <si>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</si>
  <si>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</si>
  <si>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</si>
  <si>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</si>
  <si>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</si>
  <si>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</si>
  <si>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</si>
  <si>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</si>
  <si>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</si>
  <si>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</si>
  <si>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</si>
  <si>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</si>
  <si>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</si>
  <si>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</si>
  <si>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</si>
  <si>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</si>
  <si>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</si>
  <si>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</si>
  <si>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</si>
  <si>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</si>
  <si>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</si>
  <si>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</si>
  <si>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</si>
  <si>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</si>
  <si>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</si>
  <si>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</si>
  <si>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</si>
  <si>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</si>
  <si>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</si>
  <si>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</si>
  <si>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</si>
  <si>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</si>
  <si>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</si>
  <si>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</si>
  <si>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</si>
  <si>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</si>
  <si>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</si>
  <si>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</si>
  <si>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</si>
  <si>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</si>
  <si>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</si>
  <si>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</si>
  <si>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</si>
  <si>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</si>
  <si>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</si>
  <si>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</si>
  <si>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</si>
  <si>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</si>
  <si>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</si>
  <si>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</si>
  <si>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</si>
  <si>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</si>
  <si>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</si>
  <si>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</si>
  <si>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</si>
  <si>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</si>
  <si>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</si>
  <si>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</si>
  <si>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</si>
  <si>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</si>
  <si>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</si>
  <si>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</si>
  <si>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</si>
  <si>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</si>
  <si>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</si>
  <si>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</si>
  <si>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</si>
  <si>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</si>
  <si>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</si>
  <si>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</si>
  <si>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</si>
  <si>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</si>
  <si>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</si>
  <si>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</si>
  <si>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</si>
  <si>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</si>
  <si>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</si>
  <si>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</si>
  <si>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</si>
  <si>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</si>
  <si>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</si>
  <si>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</si>
  <si>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</si>
  <si>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</si>
  <si>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</si>
  <si>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</si>
  <si>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</si>
  <si>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</si>
  <si>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</si>
  <si>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</si>
  <si>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</si>
  <si>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</si>
  <si>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</si>
  <si>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</si>
  <si>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</si>
  <si>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</si>
  <si>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</si>
  <si>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</si>
  <si>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</si>
  <si>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</si>
  <si>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</si>
  <si>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</si>
  <si>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</si>
  <si>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</si>
  <si>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</si>
  <si>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</si>
  <si>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</si>
  <si>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Performed Work(C)\nMan-day</t>
  </si>
  <si>
    <t>Performed workload on planned schedule</t>
  </si>
  <si>
    <t>Performed workload on planned schedule when managing schedule changes(Total Duration x %Work Complete)</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</si>
  <si>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</si>
  <si>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</si>
  <si>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</si>
  <si>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</si>
  <si>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</si>
  <si>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</si>
  <si>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</si>
  <si>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</si>
  <si>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</si>
  <si>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</si>
  <si>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</si>
  <si>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</si>
  <si>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</si>
  <si>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</si>
  <si>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</si>
  <si>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</si>
  <si>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</si>
  <si>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</si>
  <si>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</si>
  <si>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</si>
  <si>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</si>
  <si>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</si>
  <si>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</si>
  <si>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</si>
  <si>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</si>
  <si>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</si>
  <si>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</si>
  <si>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</si>
  <si>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</si>
  <si>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</si>
  <si>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</si>
  <si>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</si>
  <si>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</si>
  <si>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</si>
  <si>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</si>
  <si>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</si>
  <si>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</si>
  <si>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</si>
  <si>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</si>
  <si>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</si>
  <si>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</si>
  <si>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</si>
  <si>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</si>
  <si>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</si>
  <si>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</si>
  <si>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</si>
  <si>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</si>
  <si>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</si>
  <si>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 marks-required fields, orange columns-automatically calculated</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</si>
  <si>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</si>
  <si>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</si>
  <si>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</si>
  <si>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</si>
  <si>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</si>
  <si>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</si>
  <si>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</si>
  <si>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</si>
  <si>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</si>
  <si>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</si>
  <si>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</si>
  <si>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</si>
  <si>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</si>
  <si>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</si>
  <si>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</si>
  <si>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</si>
  <si>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</si>
  <si>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</si>
  <si>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</si>
  <si>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</si>
  <si>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</si>
  <si>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</si>
  <si>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</si>
  <si>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</si>
  <si>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</si>
  <si>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</si>
  <si>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</si>
  <si>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</si>
  <si>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</si>
  <si>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</si>
  <si>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</si>
  <si>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</si>
  <si>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</si>
  <si>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</si>
  <si>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</si>
  <si>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</si>
  <si>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</si>
  <si>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</si>
  <si>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</si>
  <si>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</si>
  <si>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</si>
  <si>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</si>
  <si>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</si>
  <si>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</si>
  <si>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</si>
  <si>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</si>
  <si>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</si>
  <si>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</si>
  <si>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</si>
  <si>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</si>
  <si>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</si>
  <si>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</si>
  <si>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</si>
  <si>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</si>
  <si>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</si>
  <si>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number of task columns is not 7. Please retry after changing the sheet to its previous state.</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</si>
  <si>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</si>
  <si>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</si>
  <si>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</si>
  <si>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</si>
  <si>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</si>
  <si>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</si>
  <si>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</si>
  <si>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</si>
  <si>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</si>
  <si>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</si>
  <si>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</si>
  <si>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</si>
  <si>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</si>
  <si>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</si>
  <si>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</si>
  <si>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</si>
  <si>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</si>
  <si>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</si>
  <si>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</si>
  <si>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</si>
  <si>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</si>
  <si>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</si>
  <si>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</si>
  <si>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</si>
  <si>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</si>
  <si>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</si>
  <si>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</si>
  <si>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</si>
  <si>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</si>
  <si>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</si>
  <si>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</si>
  <si>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</si>
  <si>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</si>
  <si>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</si>
  <si>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</si>
  <si>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</si>
  <si>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</si>
  <si>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</si>
  <si>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</si>
  <si>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</si>
  <si>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</si>
  <si>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</si>
  <si>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</si>
  <si>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</si>
  <si>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</si>
  <si>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</si>
  <si>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</si>
  <si>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</si>
  <si>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</si>
  <si>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</si>
  <si>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</si>
  <si>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</si>
  <si>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</si>
  <si>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</si>
  <si>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</si>
  <si>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</si>
  <si>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</si>
  <si>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</si>
  <si>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</si>
  <si>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</si>
  <si>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</si>
  <si>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</si>
  <si>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</si>
  <si>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</si>
  <si>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</si>
  <si>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</si>
  <si>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</si>
  <si>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</si>
  <si>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</si>
  <si>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</si>
  <si>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</si>
  <si>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</si>
  <si>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</si>
  <si>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</si>
  <si>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</si>
  <si>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</si>
  <si>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</si>
  <si>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</si>
  <si>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</si>
  <si>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</si>
  <si>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</si>
  <si>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timebucket_start</t>
  </si>
  <si>
    <t>timebucket_finish</t>
  </si>
  <si>
    <t>workload</t>
  </si>
  <si>
    <t>AUTHOR_NAME</t>
    <phoneticPr fontId="7" type="noConversion"/>
  </si>
  <si>
    <t>admin@xlworks.net</t>
    <phoneticPr fontId="7"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</si>
  <si>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</si>
  <si>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</si>
  <si>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</si>
  <si>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</si>
  <si>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</si>
  <si>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</si>
  <si>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</si>
  <si>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</si>
  <si>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</si>
  <si>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</si>
  <si>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</si>
  <si>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</si>
  <si>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</si>
  <si>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</si>
  <si>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</si>
  <si>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</si>
  <si>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</si>
  <si>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</si>
  <si>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</si>
  <si>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</si>
  <si>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</si>
  <si>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</si>
  <si>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</si>
  <si>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</si>
  <si>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</si>
  <si>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</si>
  <si>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</si>
  <si>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</si>
  <si>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</si>
  <si>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</si>
  <si>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</si>
  <si>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</si>
  <si>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</si>
  <si>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</si>
  <si>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</si>
  <si>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</si>
  <si>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This sheet shows you planned project progresses by weeks.</t>
  </si>
  <si>
    <t>{} "Outlook Task(s)" have been added.</t>
  </si>
  <si>
    <t>12/1/2018</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</si>
  <si>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</si>
  <si>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</si>
  <si>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</si>
  <si>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</si>
  <si>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</si>
  <si>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</si>
  <si>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</si>
  <si>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</si>
  <si>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</si>
  <si>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</si>
  <si>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</si>
  <si>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</si>
  <si>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</si>
  <si>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</si>
  <si>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</si>
  <si>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</si>
  <si>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</si>
  <si>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</si>
  <si>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</si>
  <si>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</si>
  <si>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</si>
  <si>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</si>
  <si>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</si>
  <si>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</si>
  <si>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</si>
  <si>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</si>
  <si>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</si>
  <si>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</si>
  <si>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</si>
  <si>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</si>
  <si>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</si>
  <si>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</si>
  <si>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</si>
  <si>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Gantt Chart Zoom Ratio</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</si>
  <si>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</si>
  <si>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</si>
  <si>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</si>
  <si>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</si>
  <si>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</si>
  <si>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</si>
  <si>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</si>
  <si>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</si>
  <si>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</si>
  <si>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</si>
  <si>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</si>
  <si>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</si>
  <si>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Planned Project Progresses by Weeks</t>
  </si>
  <si>
    <t>Project Scheduler</t>
  </si>
  <si>
    <t>Right of the chart</t>
  </si>
  <si>
    <t>Run "Update Schedule"  When Saving XLGantt File</t>
  </si>
  <si>
    <t>Select source files(Muliple Select)</t>
  </si>
  <si>
    <t>Set "the earlist start date and the lastest fisnish date of the tasks" to the Project Start-Finish date.</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</si>
  <si>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</si>
  <si>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</si>
  <si>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</si>
  <si>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</si>
  <si>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</si>
  <si>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</si>
  <si>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</si>
  <si>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</si>
  <si>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</si>
  <si>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</si>
  <si>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</si>
  <si>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</si>
  <si>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</si>
  <si>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</si>
  <si>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</si>
  <si>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</si>
  <si>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</si>
  <si>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</si>
  <si>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7"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</si>
  <si>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</si>
  <si>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</si>
  <si>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</si>
  <si>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</si>
  <si>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</si>
  <si>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r>
      <rPr>
        <sz val="9"/>
        <color theme="1"/>
        <rFont val="돋움"/>
        <family val="3"/>
        <charset val="129"/>
      </rPr>
      <t>실적</t>
    </r>
  </si>
  <si>
    <r>
      <rPr>
        <sz val="9"/>
        <color theme="1"/>
        <rFont val="돋움"/>
        <family val="3"/>
        <charset val="129"/>
      </rPr>
      <t>계획</t>
    </r>
  </si>
  <si>
    <r>
      <rPr>
        <sz val="9"/>
        <color theme="1"/>
        <rFont val="맑은 고딕"/>
        <family val="2"/>
      </rPr>
      <t>실적진척율</t>
    </r>
  </si>
  <si>
    <r>
      <rPr>
        <sz val="9"/>
        <color theme="1"/>
        <rFont val="맑은 고딕"/>
        <family val="2"/>
      </rPr>
      <t>실적</t>
    </r>
  </si>
  <si>
    <r>
      <t xml:space="preserve">&lt;&lt; </t>
    </r>
    <r>
      <rPr>
        <sz val="9"/>
        <color theme="1"/>
        <rFont val="맑은 고딕"/>
        <family val="2"/>
      </rPr>
      <t>제거</t>
    </r>
  </si>
  <si>
    <r>
      <t>&lt;&lt; Mapping</t>
    </r>
    <r>
      <rPr>
        <sz val="9"/>
        <color theme="1"/>
        <rFont val="맑은 고딕"/>
        <family val="2"/>
      </rPr>
      <t>취소</t>
    </r>
  </si>
  <si>
    <r>
      <rPr>
        <sz val="9"/>
        <color theme="1"/>
        <rFont val="맑은 고딕"/>
        <family val="2"/>
      </rPr>
      <t>실제완료일</t>
    </r>
  </si>
  <si>
    <r>
      <rPr>
        <sz val="9"/>
        <color theme="1"/>
        <rFont val="맑은 고딕"/>
        <family val="2"/>
      </rPr>
      <t>실제완료일자</t>
    </r>
  </si>
  <si>
    <r>
      <rPr>
        <sz val="9"/>
        <color theme="1"/>
        <rFont val="맑은 고딕"/>
        <family val="2"/>
      </rPr>
      <t>실제시작일</t>
    </r>
  </si>
  <si>
    <r>
      <rPr>
        <sz val="9"/>
        <color theme="1"/>
        <rFont val="맑은 고딕"/>
        <family val="2"/>
      </rPr>
      <t>실제시작일자</t>
    </r>
  </si>
  <si>
    <r>
      <rPr>
        <sz val="9"/>
        <color theme="1"/>
        <rFont val="맑은 고딕"/>
        <family val="2"/>
      </rPr>
      <t>분석</t>
    </r>
  </si>
  <si>
    <r>
      <rPr>
        <sz val="9"/>
        <color theme="1"/>
        <rFont val="맑은 고딕"/>
        <family val="2"/>
      </rPr>
      <t>자동지정</t>
    </r>
  </si>
  <si>
    <r>
      <rPr>
        <sz val="9"/>
        <color theme="1"/>
        <rFont val="맑은 고딕"/>
        <family val="2"/>
      </rPr>
      <t>완료율</t>
    </r>
  </si>
  <si>
    <r>
      <rPr>
        <sz val="9"/>
        <color theme="1"/>
        <rFont val="맑은 고딕"/>
        <family val="2"/>
      </rPr>
      <t>기간</t>
    </r>
  </si>
  <si>
    <r>
      <rPr>
        <sz val="9"/>
        <color theme="1"/>
        <rFont val="맑은 고딕"/>
        <family val="2"/>
      </rPr>
      <t>취소</t>
    </r>
  </si>
  <si>
    <r>
      <rPr>
        <sz val="9"/>
        <color theme="1"/>
        <rFont val="맑은 고딕"/>
        <family val="2"/>
      </rPr>
      <t>차트</t>
    </r>
  </si>
  <si>
    <r>
      <rPr>
        <sz val="9"/>
        <color theme="1"/>
        <rFont val="맑은 고딕"/>
        <family val="2"/>
      </rPr>
      <t>최신버전확인</t>
    </r>
  </si>
  <si>
    <r>
      <rPr>
        <sz val="9"/>
        <color theme="1"/>
        <rFont val="맑은 고딕"/>
        <family val="2"/>
      </rPr>
      <t>닫기</t>
    </r>
  </si>
  <si>
    <r>
      <rPr>
        <sz val="9"/>
        <color theme="1"/>
        <rFont val="맑은 고딕"/>
        <family val="2"/>
      </rPr>
      <t>완료</t>
    </r>
  </si>
  <si>
    <r>
      <rPr>
        <sz val="9"/>
        <color theme="1"/>
        <rFont val="맑은 고딕"/>
        <family val="2"/>
      </rPr>
      <t>포함</t>
    </r>
  </si>
  <si>
    <r>
      <rPr>
        <sz val="9"/>
        <color theme="1"/>
        <rFont val="맑은 고딕"/>
        <family val="2"/>
      </rPr>
      <t>일별</t>
    </r>
  </si>
  <si>
    <r>
      <rPr>
        <sz val="9"/>
        <color theme="1"/>
        <rFont val="맑은 고딕"/>
        <family val="2"/>
      </rPr>
      <t>일별보기</t>
    </r>
  </si>
  <si>
    <r>
      <rPr>
        <sz val="9"/>
        <color theme="1"/>
        <rFont val="맑은 고딕"/>
        <family val="2"/>
      </rPr>
      <t>산출물</t>
    </r>
  </si>
  <si>
    <r>
      <rPr>
        <sz val="9"/>
        <color theme="1"/>
        <rFont val="맑은 고딕"/>
        <family val="2"/>
      </rPr>
      <t>같음</t>
    </r>
  </si>
  <si>
    <r>
      <rPr>
        <sz val="9"/>
        <color theme="1"/>
        <rFont val="맑은 고딕"/>
        <family val="2"/>
      </rPr>
      <t>엑셀</t>
    </r>
  </si>
  <si>
    <r>
      <rPr>
        <sz val="9"/>
        <color theme="1"/>
        <rFont val="맑은 고딕"/>
        <family val="2"/>
      </rPr>
      <t>확장자명</t>
    </r>
  </si>
  <si>
    <r>
      <rPr>
        <sz val="9"/>
        <color theme="1"/>
        <rFont val="맑은 고딕"/>
        <family val="2"/>
      </rPr>
      <t>완료일</t>
    </r>
  </si>
  <si>
    <r>
      <rPr>
        <sz val="9"/>
        <color theme="1"/>
        <rFont val="맑은 고딕"/>
        <family val="2"/>
      </rPr>
      <t>완료일자</t>
    </r>
  </si>
  <si>
    <r>
      <rPr>
        <sz val="9"/>
        <color theme="1"/>
        <rFont val="맑은 고딕"/>
        <family val="2"/>
      </rPr>
      <t>금</t>
    </r>
  </si>
  <si>
    <r>
      <rPr>
        <sz val="9"/>
        <color theme="1"/>
        <rFont val="맑은 고딕"/>
        <family val="2"/>
      </rPr>
      <t>가져오기</t>
    </r>
  </si>
  <si>
    <r>
      <t xml:space="preserve">Chart </t>
    </r>
    <r>
      <rPr>
        <sz val="9"/>
        <color theme="1"/>
        <rFont val="맑은 고딕"/>
        <family val="2"/>
      </rPr>
      <t>내부</t>
    </r>
  </si>
  <si>
    <r>
      <rPr>
        <sz val="9"/>
        <color theme="1"/>
        <rFont val="맑은 고딕"/>
        <family val="2"/>
      </rPr>
      <t>작업결과</t>
    </r>
  </si>
  <si>
    <r>
      <rPr>
        <sz val="9"/>
        <color theme="1"/>
        <rFont val="맑은 고딕"/>
        <family val="2"/>
      </rPr>
      <t>홍길동</t>
    </r>
  </si>
  <si>
    <r>
      <t xml:space="preserve">Chart </t>
    </r>
    <r>
      <rPr>
        <sz val="9"/>
        <color theme="1"/>
        <rFont val="맑은 고딕"/>
        <family val="2"/>
      </rPr>
      <t>왼쪽</t>
    </r>
  </si>
  <si>
    <r>
      <rPr>
        <sz val="9"/>
        <color theme="1"/>
        <rFont val="맑은 고딕"/>
        <family val="2"/>
      </rPr>
      <t>라이선스</t>
    </r>
  </si>
  <si>
    <r>
      <rPr>
        <sz val="9"/>
        <color theme="1"/>
        <rFont val="맑은 고딕"/>
        <family val="2"/>
      </rPr>
      <t>월</t>
    </r>
  </si>
  <si>
    <r>
      <rPr>
        <sz val="9"/>
        <color theme="1"/>
        <rFont val="맑은 고딕"/>
        <family val="2"/>
      </rPr>
      <t>월별</t>
    </r>
  </si>
  <si>
    <r>
      <rPr>
        <sz val="9"/>
        <color theme="1"/>
        <rFont val="맑은 고딕"/>
        <family val="2"/>
      </rPr>
      <t>월별보기</t>
    </r>
  </si>
  <si>
    <r>
      <rPr>
        <sz val="9"/>
        <color theme="1"/>
        <rFont val="맑은 고딕"/>
        <family val="2"/>
      </rPr>
      <t>휴무일명</t>
    </r>
  </si>
  <si>
    <r>
      <rPr>
        <sz val="9"/>
        <color theme="1"/>
        <rFont val="맑은 고딕"/>
        <family val="2"/>
      </rPr>
      <t>휴무일자</t>
    </r>
  </si>
  <si>
    <r>
      <rPr>
        <sz val="9"/>
        <color theme="1"/>
        <rFont val="맑은 고딕"/>
        <family val="2"/>
      </rPr>
      <t>미완료</t>
    </r>
  </si>
  <si>
    <r>
      <rPr>
        <sz val="9"/>
        <color theme="1"/>
        <rFont val="맑은 고딕"/>
        <family val="2"/>
      </rPr>
      <t>비고</t>
    </r>
  </si>
  <si>
    <r>
      <rPr>
        <sz val="9"/>
        <color theme="1"/>
        <rFont val="맑은 고딕"/>
        <family val="2"/>
      </rPr>
      <t>옵션</t>
    </r>
  </si>
  <si>
    <r>
      <rPr>
        <sz val="9"/>
        <color theme="1"/>
        <rFont val="맑은 고딕"/>
        <family val="2"/>
      </rPr>
      <t>개요수준</t>
    </r>
  </si>
  <si>
    <r>
      <rPr>
        <sz val="9"/>
        <color theme="1"/>
        <rFont val="맑은 고딕"/>
        <family val="2"/>
      </rPr>
      <t>계획진척율</t>
    </r>
  </si>
  <si>
    <r>
      <rPr>
        <sz val="9"/>
        <color theme="1"/>
        <rFont val="맑은 고딕"/>
        <family val="2"/>
      </rPr>
      <t>계획</t>
    </r>
  </si>
  <si>
    <r>
      <rPr>
        <sz val="9"/>
        <color theme="1"/>
        <rFont val="맑은 고딕"/>
        <family val="2"/>
      </rPr>
      <t>파워포인트</t>
    </r>
  </si>
  <si>
    <r>
      <rPr>
        <sz val="9"/>
        <color theme="1"/>
        <rFont val="맑은 고딕"/>
        <family val="2"/>
      </rPr>
      <t>프로그램명</t>
    </r>
  </si>
  <si>
    <r>
      <rPr>
        <sz val="9"/>
        <color theme="1"/>
        <rFont val="맑은 고딕"/>
        <family val="2"/>
      </rPr>
      <t>진척율</t>
    </r>
  </si>
  <si>
    <r>
      <rPr>
        <sz val="9"/>
        <color theme="1"/>
        <rFont val="맑은 고딕"/>
        <family val="2"/>
      </rPr>
      <t>프로젝트수행계획서</t>
    </r>
  </si>
  <si>
    <r>
      <rPr>
        <sz val="9"/>
        <color theme="1"/>
        <rFont val="맑은 고딕"/>
        <family val="2"/>
      </rPr>
      <t>프로젝트명</t>
    </r>
  </si>
  <si>
    <r>
      <rPr>
        <sz val="9"/>
        <color theme="1"/>
        <rFont val="맑은 고딕"/>
        <family val="2"/>
      </rPr>
      <t>서식재설정</t>
    </r>
  </si>
  <si>
    <r>
      <t xml:space="preserve">Chart </t>
    </r>
    <r>
      <rPr>
        <sz val="9"/>
        <color theme="1"/>
        <rFont val="맑은 고딕"/>
        <family val="2"/>
      </rPr>
      <t>오른쪽</t>
    </r>
  </si>
  <si>
    <r>
      <rPr>
        <sz val="9"/>
        <color theme="1"/>
        <rFont val="맑은 고딕"/>
        <family val="2"/>
      </rPr>
      <t>토</t>
    </r>
  </si>
  <si>
    <r>
      <rPr>
        <sz val="9"/>
        <color theme="1"/>
        <rFont val="맑은 고딕"/>
        <family val="2"/>
      </rPr>
      <t>저장</t>
    </r>
  </si>
  <si>
    <r>
      <rPr>
        <sz val="9"/>
        <color theme="1"/>
        <rFont val="맑은 고딕"/>
        <family val="2"/>
      </rPr>
      <t>설정</t>
    </r>
  </si>
  <si>
    <r>
      <rPr>
        <sz val="9"/>
        <color theme="1"/>
        <rFont val="맑은 고딕"/>
        <family val="2"/>
      </rPr>
      <t>특정날짜</t>
    </r>
  </si>
  <si>
    <r>
      <rPr>
        <sz val="9"/>
        <color theme="1"/>
        <rFont val="맑은 고딕"/>
        <family val="2"/>
      </rPr>
      <t>표준캘린더</t>
    </r>
  </si>
  <si>
    <r>
      <rPr>
        <sz val="9"/>
        <color theme="1"/>
        <rFont val="맑은 고딕"/>
        <family val="2"/>
      </rPr>
      <t>시작일</t>
    </r>
  </si>
  <si>
    <r>
      <rPr>
        <sz val="9"/>
        <color theme="1"/>
        <rFont val="맑은 고딕"/>
        <family val="2"/>
      </rPr>
      <t>시작일자</t>
    </r>
  </si>
  <si>
    <r>
      <rPr>
        <sz val="9"/>
        <color theme="1"/>
        <rFont val="맑은 고딕"/>
        <family val="2"/>
      </rPr>
      <t>일</t>
    </r>
  </si>
  <si>
    <r>
      <rPr>
        <sz val="9"/>
        <color theme="1"/>
        <rFont val="맑은 고딕"/>
        <family val="2"/>
      </rPr>
      <t>작업명</t>
    </r>
  </si>
  <si>
    <r>
      <rPr>
        <sz val="9"/>
        <color theme="1"/>
        <rFont val="맑은 고딕"/>
        <family val="2"/>
      </rPr>
      <t>목</t>
    </r>
  </si>
  <si>
    <r>
      <rPr>
        <sz val="9"/>
        <color theme="1"/>
        <rFont val="맑은 고딕"/>
        <family val="2"/>
      </rPr>
      <t>오늘</t>
    </r>
  </si>
  <si>
    <r>
      <rPr>
        <sz val="9"/>
        <color theme="1"/>
        <rFont val="맑은 고딕"/>
        <family val="2"/>
      </rPr>
      <t>화</t>
    </r>
  </si>
  <si>
    <r>
      <rPr>
        <sz val="9"/>
        <color theme="1"/>
        <rFont val="맑은 고딕"/>
        <family val="2"/>
      </rPr>
      <t>화면설계</t>
    </r>
  </si>
  <si>
    <r>
      <rPr>
        <sz val="9"/>
        <color theme="1"/>
        <rFont val="맑은 고딕"/>
        <family val="2"/>
      </rPr>
      <t>스케줄업데이트</t>
    </r>
  </si>
  <si>
    <r>
      <rPr>
        <sz val="9"/>
        <color theme="1"/>
        <rFont val="맑은 고딕"/>
        <family val="2"/>
      </rPr>
      <t>수</t>
    </r>
  </si>
  <si>
    <r>
      <rPr>
        <sz val="9"/>
        <color theme="1"/>
        <rFont val="맑은 고딕"/>
        <family val="2"/>
      </rPr>
      <t>주별</t>
    </r>
  </si>
  <si>
    <r>
      <rPr>
        <sz val="9"/>
        <color theme="1"/>
        <rFont val="맑은 고딕"/>
        <family val="2"/>
      </rPr>
      <t>주별보기</t>
    </r>
  </si>
  <si>
    <r>
      <rPr>
        <sz val="9"/>
        <color theme="1"/>
        <rFont val="맑은 고딕"/>
        <family val="2"/>
      </rPr>
      <t>가중치</t>
    </r>
  </si>
  <si>
    <r>
      <rPr>
        <sz val="9"/>
        <color theme="1"/>
        <rFont val="맑은 고딕"/>
        <family val="2"/>
      </rPr>
      <t>워드</t>
    </r>
  </si>
  <si>
    <r>
      <t xml:space="preserve">* </t>
    </r>
    <r>
      <rPr>
        <sz val="9"/>
        <color theme="1"/>
        <rFont val="맑은 고딕"/>
        <family val="2"/>
      </rPr>
      <t>현재</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영어와</t>
    </r>
    <r>
      <rPr>
        <sz val="9"/>
        <color theme="1"/>
        <rFont val="Calibri"/>
        <family val="2"/>
      </rPr>
      <t xml:space="preserve"> </t>
    </r>
    <r>
      <rPr>
        <sz val="9"/>
        <color theme="1"/>
        <rFont val="맑은 고딕"/>
        <family val="2"/>
      </rPr>
      <t>한국어만</t>
    </r>
    <r>
      <rPr>
        <sz val="9"/>
        <color theme="1"/>
        <rFont val="Calibri"/>
        <family val="2"/>
      </rPr>
      <t xml:space="preserve"> </t>
    </r>
    <r>
      <rPr>
        <sz val="9"/>
        <color theme="1"/>
        <rFont val="맑은 고딕"/>
        <family val="2"/>
      </rPr>
      <t>지원합니다</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필요하면</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언어추가</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추가하고</t>
    </r>
    <r>
      <rPr>
        <sz val="9"/>
        <color theme="1"/>
        <rFont val="Calibri"/>
        <family val="2"/>
      </rPr>
      <t xml:space="preserve"> TranslatedLanguages sheet</t>
    </r>
    <r>
      <rPr>
        <sz val="9"/>
        <color theme="1"/>
        <rFont val="맑은 고딕"/>
        <family val="2"/>
      </rPr>
      <t>에</t>
    </r>
    <r>
      <rPr>
        <sz val="9"/>
        <color theme="1"/>
        <rFont val="Calibri"/>
        <family val="2"/>
      </rPr>
      <t xml:space="preserve"> </t>
    </r>
    <r>
      <rPr>
        <sz val="9"/>
        <color theme="1"/>
        <rFont val="맑은 고딕"/>
        <family val="2"/>
      </rPr>
      <t>각</t>
    </r>
    <r>
      <rPr>
        <sz val="9"/>
        <color theme="1"/>
        <rFont val="Calibri"/>
        <family val="2"/>
      </rPr>
      <t xml:space="preserve"> </t>
    </r>
    <r>
      <rPr>
        <sz val="9"/>
        <color theme="1"/>
        <rFont val="맑은 고딕"/>
        <family val="2"/>
      </rPr>
      <t>언어별로</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추가해야</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추가하지</t>
    </r>
    <r>
      <rPr>
        <sz val="9"/>
        <color theme="1"/>
        <rFont val="Calibri"/>
        <family val="2"/>
      </rPr>
      <t xml:space="preserve"> </t>
    </r>
    <r>
      <rPr>
        <sz val="9"/>
        <color theme="1"/>
        <rFont val="맑은 고딕"/>
        <family val="2"/>
      </rPr>
      <t>않으면</t>
    </r>
    <r>
      <rPr>
        <sz val="9"/>
        <color theme="1"/>
        <rFont val="Calibri"/>
        <family val="2"/>
      </rPr>
      <t xml:space="preserve"> </t>
    </r>
    <r>
      <rPr>
        <sz val="9"/>
        <color theme="1"/>
        <rFont val="맑은 고딕"/>
        <family val="2"/>
      </rPr>
      <t>기본언어인</t>
    </r>
    <r>
      <rPr>
        <sz val="9"/>
        <color theme="1"/>
        <rFont val="Calibri"/>
        <family val="2"/>
      </rPr>
      <t xml:space="preserve"> </t>
    </r>
    <r>
      <rPr>
        <sz val="9"/>
        <color theme="1"/>
        <rFont val="맑은 고딕"/>
        <family val="2"/>
      </rPr>
      <t>영어로</t>
    </r>
    <r>
      <rPr>
        <sz val="9"/>
        <color theme="1"/>
        <rFont val="Calibri"/>
        <family val="2"/>
      </rPr>
      <t xml:space="preserve"> </t>
    </r>
    <r>
      <rPr>
        <sz val="9"/>
        <color theme="1"/>
        <rFont val="맑은 고딕"/>
        <family val="2"/>
      </rPr>
      <t>표시됩니다</t>
    </r>
    <r>
      <rPr>
        <sz val="9"/>
        <color theme="1"/>
        <rFont val="Calibri"/>
        <family val="2"/>
      </rPr>
      <t>(TranslatedLanguages sheet</t>
    </r>
    <r>
      <rPr>
        <sz val="9"/>
        <color theme="1"/>
        <rFont val="맑은 고딕"/>
        <family val="2"/>
      </rPr>
      <t>는</t>
    </r>
    <r>
      <rPr>
        <sz val="9"/>
        <color theme="1"/>
        <rFont val="Calibri"/>
        <family val="2"/>
      </rPr>
      <t xml:space="preserve"> </t>
    </r>
    <r>
      <rPr>
        <sz val="9"/>
        <color theme="1"/>
        <rFont val="맑은 고딕"/>
        <family val="2"/>
      </rPr>
      <t>숨겨져</t>
    </r>
    <r>
      <rPr>
        <sz val="9"/>
        <color theme="1"/>
        <rFont val="Calibri"/>
        <family val="2"/>
      </rPr>
      <t xml:space="preserve"> </t>
    </r>
    <r>
      <rPr>
        <sz val="9"/>
        <color theme="1"/>
        <rFont val="맑은 고딕"/>
        <family val="2"/>
      </rPr>
      <t>있음</t>
    </r>
    <r>
      <rPr>
        <sz val="9"/>
        <color theme="1"/>
        <rFont val="Calibri"/>
        <family val="2"/>
      </rPr>
      <t>,Sheet</t>
    </r>
    <r>
      <rPr>
        <sz val="9"/>
        <color theme="1"/>
        <rFont val="맑은 고딕"/>
        <family val="2"/>
      </rPr>
      <t>메뉴에서</t>
    </r>
    <r>
      <rPr>
        <sz val="9"/>
        <color theme="1"/>
        <rFont val="Calibri"/>
        <family val="2"/>
      </rPr>
      <t xml:space="preserve"> </t>
    </r>
    <r>
      <rPr>
        <sz val="9"/>
        <color theme="1"/>
        <rFont val="맑은 고딕"/>
        <family val="2"/>
      </rPr>
      <t>숨기기</t>
    </r>
    <r>
      <rPr>
        <sz val="9"/>
        <color theme="1"/>
        <rFont val="Calibri"/>
        <family val="2"/>
      </rPr>
      <t xml:space="preserve"> </t>
    </r>
    <r>
      <rPr>
        <sz val="9"/>
        <color theme="1"/>
        <rFont val="맑은 고딕"/>
        <family val="2"/>
      </rPr>
      <t>취소하면</t>
    </r>
    <r>
      <rPr>
        <sz val="9"/>
        <color theme="1"/>
        <rFont val="Calibri"/>
        <family val="2"/>
      </rPr>
      <t xml:space="preserve"> </t>
    </r>
    <r>
      <rPr>
        <sz val="9"/>
        <color theme="1"/>
        <rFont val="맑은 고딕"/>
        <family val="2"/>
      </rPr>
      <t>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있음</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</si>
  <si>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({3})</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({4})</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</si>
  <si>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t>
    </r>
    <r>
      <rPr>
        <sz val="9"/>
        <color theme="1"/>
        <rFont val="맑은 고딕"/>
        <family val="2"/>
      </rPr>
      <t>엑셀파일이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t>
    </r>
    <r>
      <rPr>
        <sz val="9"/>
        <color theme="1"/>
        <rFont val="맑은 고딕"/>
        <family val="2"/>
      </rPr>
      <t>자료</t>
    </r>
    <r>
      <rPr>
        <sz val="9"/>
        <color theme="1"/>
        <rFont val="Calibri"/>
        <family val="2"/>
      </rPr>
      <t xml:space="preserve"> </t>
    </r>
    <r>
      <rPr>
        <sz val="9"/>
        <color theme="1"/>
        <rFont val="맑은 고딕"/>
        <family val="2"/>
      </rPr>
      <t>포맷이</t>
    </r>
    <r>
      <rPr>
        <sz val="9"/>
        <color theme="1"/>
        <rFont val="Calibri"/>
        <family val="2"/>
      </rPr>
      <t xml:space="preserve"> </t>
    </r>
    <r>
      <rPr>
        <sz val="9"/>
        <color theme="1"/>
        <rFont val="맑은 고딕"/>
        <family val="2"/>
      </rPr>
      <t>틀린</t>
    </r>
    <r>
      <rPr>
        <sz val="9"/>
        <color theme="1"/>
        <rFont val="Calibri"/>
        <family val="2"/>
      </rPr>
      <t xml:space="preserve"> </t>
    </r>
    <r>
      <rPr>
        <sz val="9"/>
        <color theme="1"/>
        <rFont val="맑은 고딕"/>
        <family val="2"/>
      </rPr>
      <t>경우</t>
    </r>
    <r>
      <rPr>
        <sz val="9"/>
        <color theme="1"/>
        <rFont val="Calibri"/>
        <family val="2"/>
      </rPr>
      <t>(1</t>
    </r>
    <r>
      <rPr>
        <sz val="9"/>
        <color theme="1"/>
        <rFont val="맑은 고딕"/>
        <family val="2"/>
      </rPr>
      <t>행에</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들어가</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포맷</t>
    </r>
    <r>
      <rPr>
        <sz val="9"/>
        <color theme="1"/>
        <rFont val="Calibri"/>
        <family val="2"/>
      </rPr>
      <t xml:space="preserve"> </t>
    </r>
    <r>
      <rPr>
        <sz val="9"/>
        <color theme="1"/>
        <rFont val="맑은 고딕"/>
        <family val="2"/>
      </rPr>
      <t>또는</t>
    </r>
    <r>
      <rPr>
        <sz val="9"/>
        <color theme="1"/>
        <rFont val="Calibri"/>
        <family val="2"/>
      </rPr>
      <t xml:space="preserve"> XLGantt </t>
    </r>
    <r>
      <rPr>
        <sz val="9"/>
        <color theme="1"/>
        <rFont val="맑은 고딕"/>
        <family val="2"/>
      </rPr>
      <t>파일만</t>
    </r>
    <r>
      <rPr>
        <sz val="9"/>
        <color theme="1"/>
        <rFont val="Calibri"/>
        <family val="2"/>
      </rPr>
      <t xml:space="preserve"> </t>
    </r>
    <r>
      <rPr>
        <sz val="9"/>
        <color theme="1"/>
        <rFont val="맑은 고딕"/>
        <family val="2"/>
      </rPr>
      <t>허용</t>
    </r>
    <r>
      <rPr>
        <sz val="9"/>
        <color theme="1"/>
        <rFont val="Calibri"/>
        <family val="2"/>
      </rPr>
      <t xml:space="preserve">)\n - </t>
    </r>
    <r>
      <rPr>
        <sz val="9"/>
        <color theme="1"/>
        <rFont val="맑은 고딕"/>
        <family val="2"/>
      </rPr>
      <t>이미</t>
    </r>
    <r>
      <rPr>
        <sz val="9"/>
        <color theme="1"/>
        <rFont val="Calibri"/>
        <family val="2"/>
      </rPr>
      <t xml:space="preserve"> </t>
    </r>
    <r>
      <rPr>
        <sz val="9"/>
        <color theme="1"/>
        <rFont val="맑은 고딕"/>
        <family val="2"/>
      </rPr>
      <t>열려있는</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또</t>
    </r>
    <r>
      <rPr>
        <sz val="9"/>
        <color theme="1"/>
        <rFont val="Calibri"/>
        <family val="2"/>
      </rPr>
      <t xml:space="preserve"> </t>
    </r>
    <r>
      <rPr>
        <sz val="9"/>
        <color theme="1"/>
        <rFont val="맑은 고딕"/>
        <family val="2"/>
      </rPr>
      <t>열다가</t>
    </r>
    <r>
      <rPr>
        <sz val="9"/>
        <color theme="1"/>
        <rFont val="Calibri"/>
        <family val="2"/>
      </rPr>
      <t xml:space="preserve"> </t>
    </r>
    <r>
      <rPr>
        <sz val="9"/>
        <color theme="1"/>
        <rFont val="맑은 고딕"/>
        <family val="2"/>
      </rPr>
      <t>취소하는</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</si>
  <si>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가져올</t>
    </r>
    <r>
      <rPr>
        <sz val="9"/>
        <color theme="1"/>
        <rFont val="Calibri"/>
        <family val="2"/>
      </rPr>
      <t xml:space="preserve"> </t>
    </r>
    <r>
      <rPr>
        <sz val="9"/>
        <color theme="1"/>
        <rFont val="맑은 고딕"/>
        <family val="2"/>
      </rPr>
      <t>파일이</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 xml:space="preserve">가능_x000D_
</t>
    </r>
    <r>
      <rPr>
        <sz val="9"/>
        <color theme="1"/>
        <rFont val="Calibri"/>
        <family val="2"/>
      </rPr>
      <t>\n* XLGantt</t>
    </r>
    <r>
      <rPr>
        <sz val="9"/>
        <color theme="1"/>
        <rFont val="맑은 고딕"/>
        <family val="2"/>
      </rPr>
      <t>의</t>
    </r>
    <r>
      <rPr>
        <sz val="9"/>
        <color theme="1"/>
        <rFont val="Calibri"/>
        <family val="2"/>
      </rPr>
      <t xml:space="preserve"> </t>
    </r>
    <r>
      <rPr>
        <sz val="9"/>
        <color theme="1"/>
        <rFont val="맑은 고딕"/>
        <family val="2"/>
      </rPr>
      <t>버전이</t>
    </r>
    <r>
      <rPr>
        <sz val="9"/>
        <color theme="1"/>
        <rFont val="Calibri"/>
        <family val="2"/>
      </rPr>
      <t xml:space="preserve"> 0.9.7 </t>
    </r>
    <r>
      <rPr>
        <sz val="9"/>
        <color theme="1"/>
        <rFont val="맑은 고딕"/>
        <family val="2"/>
      </rPr>
      <t>이상인</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가능</t>
    </r>
    <r>
      <rPr>
        <sz val="9"/>
        <color theme="1"/>
        <rFont val="Calibri"/>
        <family val="2"/>
      </rPr>
      <t xml:space="preserve">\n* </t>
    </r>
    <r>
      <rPr>
        <sz val="9"/>
        <color theme="1"/>
        <rFont val="맑은 고딕"/>
        <family val="2"/>
      </rPr>
      <t>자료의</t>
    </r>
    <r>
      <rPr>
        <sz val="9"/>
        <color theme="1"/>
        <rFont val="Calibri"/>
        <family val="2"/>
      </rPr>
      <t xml:space="preserve"> </t>
    </r>
    <r>
      <rPr>
        <sz val="9"/>
        <color theme="1"/>
        <rFont val="맑은 고딕"/>
        <family val="2"/>
      </rPr>
      <t>갯수는</t>
    </r>
    <r>
      <rPr>
        <sz val="9"/>
        <color theme="1"/>
        <rFont val="Calibri"/>
        <family val="2"/>
      </rPr>
      <t xml:space="preserve"> 10,000</t>
    </r>
    <r>
      <rPr>
        <sz val="9"/>
        <color theme="1"/>
        <rFont val="맑은 고딕"/>
        <family val="2"/>
      </rPr>
      <t>개</t>
    </r>
    <r>
      <rPr>
        <sz val="9"/>
        <color theme="1"/>
        <rFont val="Calibri"/>
        <family val="2"/>
      </rPr>
      <t xml:space="preserve"> </t>
    </r>
    <r>
      <rPr>
        <sz val="9"/>
        <color theme="1"/>
        <rFont val="맑은 고딕"/>
        <family val="2"/>
      </rPr>
      <t>이하까지만</t>
    </r>
    <r>
      <rPr>
        <sz val="9"/>
        <color theme="1"/>
        <rFont val="Calibri"/>
        <family val="2"/>
      </rPr>
      <t xml:space="preserve"> </t>
    </r>
    <r>
      <rPr>
        <sz val="9"/>
        <color theme="1"/>
        <rFont val="맑은 고딕"/>
        <family val="2"/>
      </rPr>
      <t xml:space="preserve">처리됨_x000D_
</t>
    </r>
    <r>
      <rPr>
        <sz val="9"/>
        <color theme="1"/>
        <rFont val="Calibri"/>
        <family val="2"/>
      </rPr>
      <t xml:space="preserve">\n* </t>
    </r>
    <r>
      <rPr>
        <sz val="9"/>
        <color theme="1"/>
        <rFont val="맑은 고딕"/>
        <family val="2"/>
      </rPr>
      <t>여러개의</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동시처리</t>
    </r>
    <r>
      <rPr>
        <sz val="9"/>
        <color theme="1"/>
        <rFont val="Calibri"/>
        <family val="2"/>
      </rPr>
      <t xml:space="preserve"> </t>
    </r>
    <r>
      <rPr>
        <sz val="9"/>
        <color theme="1"/>
        <rFont val="맑은 고딕"/>
        <family val="2"/>
      </rPr>
      <t xml:space="preserve">가능_x000D_
</t>
    </r>
  </si>
  <si>
    <r>
      <rPr>
        <sz val="9"/>
        <color theme="1"/>
        <rFont val="맑은 고딕"/>
        <family val="2"/>
      </rPr>
      <t>프로젝트</t>
    </r>
    <r>
      <rPr>
        <sz val="9"/>
        <color theme="1"/>
        <rFont val="Calibri"/>
        <family val="2"/>
      </rPr>
      <t xml:space="preserve"> </t>
    </r>
    <r>
      <rPr>
        <sz val="9"/>
        <color theme="1"/>
        <rFont val="맑은 고딕"/>
        <family val="2"/>
      </rPr>
      <t>기간이</t>
    </r>
    <r>
      <rPr>
        <sz val="9"/>
        <color theme="1"/>
        <rFont val="Calibri"/>
        <family val="2"/>
      </rPr>
      <t xml:space="preserve"> </t>
    </r>
    <r>
      <rPr>
        <sz val="9"/>
        <color theme="1"/>
        <rFont val="맑은 고딕"/>
        <family val="2"/>
      </rPr>
      <t>너무</t>
    </r>
    <r>
      <rPr>
        <sz val="9"/>
        <color theme="1"/>
        <rFont val="Calibri"/>
        <family val="2"/>
      </rPr>
      <t xml:space="preserve"> </t>
    </r>
    <r>
      <rPr>
        <sz val="9"/>
        <color theme="1"/>
        <rFont val="맑은 고딕"/>
        <family val="2"/>
      </rPr>
      <t>깁니다</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시작일자는</t>
    </r>
    <r>
      <rPr>
        <sz val="9"/>
        <color theme="1"/>
        <rFont val="Calibri"/>
        <family val="2"/>
      </rPr>
      <t xml:space="preserve"> {1}</t>
    </r>
    <r>
      <rPr>
        <sz val="9"/>
        <color theme="1"/>
        <rFont val="맑은 고딕"/>
        <family val="2"/>
      </rPr>
      <t>이고</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완료일자는</t>
    </r>
    <r>
      <rPr>
        <sz val="9"/>
        <color theme="1"/>
        <rFont val="Calibri"/>
        <family val="2"/>
      </rPr>
      <t xml:space="preserve"> {2}</t>
    </r>
    <r>
      <rPr>
        <sz val="9"/>
        <color theme="1"/>
        <rFont val="맑은 고딕"/>
        <family val="2"/>
      </rPr>
      <t>이므로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기간은</t>
    </r>
    <r>
      <rPr>
        <sz val="9"/>
        <color theme="1"/>
        <rFont val="Calibri"/>
        <family val="2"/>
      </rPr>
      <t xml:space="preserve"> {3}</t>
    </r>
    <r>
      <rPr>
        <sz val="9"/>
        <color theme="1"/>
        <rFont val="맑은 고딕"/>
        <family val="2"/>
      </rPr>
      <t>일입니다</t>
    </r>
    <r>
      <rPr>
        <sz val="9"/>
        <color theme="1"/>
        <rFont val="Calibri"/>
        <family val="2"/>
      </rPr>
      <t>. XLGantt</t>
    </r>
    <r>
      <rPr>
        <sz val="9"/>
        <color theme="1"/>
        <rFont val="맑은 고딕"/>
        <family val="2"/>
      </rPr>
      <t>에서</t>
    </r>
    <r>
      <rPr>
        <sz val="9"/>
        <color theme="1"/>
        <rFont val="Calibri"/>
        <family val="2"/>
      </rPr>
      <t xml:space="preserve"> </t>
    </r>
    <r>
      <rPr>
        <sz val="9"/>
        <color theme="1"/>
        <rFont val="맑은 고딕"/>
        <family val="2"/>
      </rPr>
      <t>허용되는</t>
    </r>
    <r>
      <rPr>
        <sz val="9"/>
        <color theme="1"/>
        <rFont val="Calibri"/>
        <family val="2"/>
      </rPr>
      <t xml:space="preserve"> </t>
    </r>
    <r>
      <rPr>
        <sz val="9"/>
        <color theme="1"/>
        <rFont val="맑은 고딕"/>
        <family val="2"/>
      </rPr>
      <t>최대일수는</t>
    </r>
    <r>
      <rPr>
        <sz val="9"/>
        <color theme="1"/>
        <rFont val="Calibri"/>
        <family val="2"/>
      </rPr>
      <t xml:space="preserve"> {4}</t>
    </r>
    <r>
      <rPr>
        <sz val="9"/>
        <color theme="1"/>
        <rFont val="맑은 고딕"/>
        <family val="2"/>
      </rPr>
      <t>일입니다</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XLGantt</t>
    </r>
    <r>
      <rPr>
        <sz val="9"/>
        <color theme="1"/>
        <rFont val="맑은 고딕"/>
        <family val="2"/>
      </rPr>
      <t>에서</t>
    </r>
    <r>
      <rPr>
        <sz val="9"/>
        <color theme="1"/>
        <rFont val="Calibri"/>
        <family val="2"/>
      </rPr>
      <t xml:space="preserve"> </t>
    </r>
    <r>
      <rPr>
        <sz val="9"/>
        <color theme="1"/>
        <rFont val="맑은 고딕"/>
        <family val="2"/>
      </rPr>
      <t>허용하는</t>
    </r>
    <r>
      <rPr>
        <sz val="9"/>
        <color theme="1"/>
        <rFont val="Calibri"/>
        <family val="2"/>
      </rPr>
      <t xml:space="preserve"> </t>
    </r>
    <r>
      <rPr>
        <sz val="9"/>
        <color theme="1"/>
        <rFont val="맑은 고딕"/>
        <family val="2"/>
      </rPr>
      <t>범위내로</t>
    </r>
    <r>
      <rPr>
        <sz val="9"/>
        <color theme="1"/>
        <rFont val="Calibri"/>
        <family val="2"/>
      </rPr>
      <t xml:space="preserve"> </t>
    </r>
    <r>
      <rPr>
        <sz val="9"/>
        <color theme="1"/>
        <rFont val="맑은 고딕"/>
        <family val="2"/>
      </rPr>
      <t>줄이십시오</t>
    </r>
    <r>
      <rPr>
        <sz val="9"/>
        <color theme="1"/>
        <rFont val="Calibri"/>
        <family val="2"/>
      </rPr>
      <t>.</t>
    </r>
  </si>
  <si>
    <r>
      <t xml:space="preserve"> Source</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Target</t>
    </r>
    <r>
      <rPr>
        <sz val="9"/>
        <color theme="1"/>
        <rFont val="맑은 고딕"/>
        <family val="2"/>
      </rPr>
      <t>필드</t>
    </r>
    <r>
      <rPr>
        <sz val="9"/>
        <color theme="1"/>
        <rFont val="Calibri"/>
        <family val="2"/>
      </rPr>
      <t xml:space="preserve"> </t>
    </r>
    <r>
      <rPr>
        <sz val="9"/>
        <color theme="1"/>
        <rFont val="맑은 고딕"/>
        <family val="2"/>
      </rPr>
      <t>명</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</si>
  <si>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값</t>
    </r>
    <r>
      <rPr>
        <sz val="9"/>
        <color theme="1"/>
        <rFont val="Calibri"/>
        <family val="2"/>
      </rPr>
      <t xml:space="preserve"> </t>
    </r>
    <r>
      <rPr>
        <sz val="9"/>
        <color theme="1"/>
        <rFont val="맑은 고딕"/>
        <family val="2"/>
      </rPr>
      <t>예시</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</si>
  <si>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필드</t>
    </r>
    <r>
      <rPr>
        <sz val="9"/>
        <color theme="1"/>
        <rFont val="Calibri"/>
        <family val="2"/>
      </rPr>
      <t xml:space="preserve"> </t>
    </r>
    <r>
      <rPr>
        <sz val="9"/>
        <color theme="1"/>
        <rFont val="맑은 고딕"/>
        <family val="2"/>
      </rPr>
      <t>값</t>
    </r>
  </si>
  <si>
    <r>
      <t xml:space="preserve"> Mapping</t>
    </r>
    <r>
      <rPr>
        <sz val="9"/>
        <color theme="1"/>
        <rFont val="맑은 고딕"/>
        <family val="2"/>
      </rPr>
      <t>된</t>
    </r>
    <r>
      <rPr>
        <sz val="9"/>
        <color theme="1"/>
        <rFont val="Calibri"/>
        <family val="2"/>
      </rPr>
      <t xml:space="preserve"> </t>
    </r>
    <r>
      <rPr>
        <sz val="9"/>
        <color theme="1"/>
        <rFont val="맑은 고딕"/>
        <family val="2"/>
      </rPr>
      <t>상태</t>
    </r>
  </si>
  <si>
    <r>
      <t xml:space="preserve"> </t>
    </r>
    <r>
      <rPr>
        <sz val="9"/>
        <color theme="1"/>
        <rFont val="맑은 고딕"/>
        <family val="2"/>
      </rPr>
      <t>프로젝트</t>
    </r>
    <r>
      <rPr>
        <sz val="9"/>
        <color theme="1"/>
        <rFont val="Calibri"/>
        <family val="2"/>
      </rPr>
      <t xml:space="preserve"> </t>
    </r>
    <r>
      <rPr>
        <sz val="9"/>
        <color theme="1"/>
        <rFont val="맑은 고딕"/>
        <family val="2"/>
      </rPr>
      <t>휴무일</t>
    </r>
    <r>
      <rPr>
        <sz val="9"/>
        <color theme="1"/>
        <rFont val="Calibri"/>
        <family val="2"/>
      </rPr>
      <t xml:space="preserve"> Calendar </t>
    </r>
    <r>
      <rPr>
        <sz val="9"/>
        <color theme="1"/>
        <rFont val="맑은 고딕"/>
        <family val="2"/>
      </rPr>
      <t>설정</t>
    </r>
  </si>
  <si>
    <r>
      <rPr>
        <sz val="9"/>
        <color theme="1"/>
        <rFont val="맑은 고딕"/>
        <family val="2"/>
      </rPr>
      <t>실적진척율은</t>
    </r>
    <r>
      <rPr>
        <sz val="9"/>
        <color theme="1"/>
        <rFont val="Calibri"/>
        <family val="2"/>
      </rPr>
      <t xml:space="preserve"> 0~100% </t>
    </r>
    <r>
      <rPr>
        <sz val="9"/>
        <color theme="1"/>
        <rFont val="맑은 고딕"/>
        <family val="2"/>
      </rPr>
      <t>범위만</t>
    </r>
    <r>
      <rPr>
        <sz val="9"/>
        <color theme="1"/>
        <rFont val="Calibri"/>
        <family val="2"/>
      </rPr>
      <t xml:space="preserve"> </t>
    </r>
    <r>
      <rPr>
        <sz val="9"/>
        <color theme="1"/>
        <rFont val="맑은 고딕"/>
        <family val="2"/>
      </rPr>
      <t>입력가능합니다</t>
    </r>
    <r>
      <rPr>
        <sz val="9"/>
        <color theme="1"/>
        <rFont val="Calibri"/>
        <family val="2"/>
      </rPr>
      <t>.</t>
    </r>
  </si>
  <si>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 xml:space="preserve">. </t>
    </r>
    <r>
      <rPr>
        <sz val="9"/>
        <color theme="1"/>
        <rFont val="맑은 고딕"/>
        <family val="2"/>
      </rPr>
      <t>개요수준대신</t>
    </r>
    <r>
      <rPr>
        <sz val="9"/>
        <color theme="1"/>
        <rFont val="Calibri"/>
        <family val="2"/>
      </rPr>
      <t xml:space="preserve"> WBS</t>
    </r>
    <r>
      <rPr>
        <sz val="9"/>
        <color theme="1"/>
        <rFont val="맑은 고딕"/>
        <family val="2"/>
      </rPr>
      <t>필드</t>
    </r>
    <r>
      <rPr>
        <sz val="9"/>
        <color theme="1"/>
        <rFont val="Calibri"/>
        <family val="2"/>
      </rPr>
      <t xml:space="preserve">(1.3.2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t>
    </r>
    <r>
      <rPr>
        <sz val="9"/>
        <color theme="1"/>
        <rFont val="Calibri"/>
        <family val="2"/>
      </rPr>
      <t>)</t>
    </r>
    <r>
      <rPr>
        <sz val="9"/>
        <color theme="1"/>
        <rFont val="맑은 고딕"/>
        <family val="2"/>
      </rPr>
      <t>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t>
    </r>
  </si>
  <si>
    <r>
      <t xml:space="preserve">WBS(Work Breakdown Structure) </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표시됩니다</t>
    </r>
    <r>
      <rPr>
        <sz val="9"/>
        <color theme="1"/>
        <rFont val="Calibri"/>
        <family val="2"/>
      </rPr>
      <t>. WBS</t>
    </r>
    <r>
      <rPr>
        <sz val="9"/>
        <color theme="1"/>
        <rFont val="맑은 고딕"/>
        <family val="2"/>
      </rPr>
      <t>대신</t>
    </r>
    <r>
      <rPr>
        <sz val="9"/>
        <color theme="1"/>
        <rFont val="Calibri"/>
        <family val="2"/>
      </rPr>
      <t xml:space="preserve"> </t>
    </r>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t>
    </r>
  </si>
  <si>
    <r>
      <rPr>
        <sz val="9"/>
        <color theme="1"/>
        <rFont val="맑은 고딕"/>
        <family val="2"/>
      </rPr>
      <t>실적</t>
    </r>
    <r>
      <rPr>
        <sz val="9"/>
        <color theme="1"/>
        <rFont val="Calibri"/>
        <family val="2"/>
      </rPr>
      <t xml:space="preserve"> </t>
    </r>
    <r>
      <rPr>
        <sz val="9"/>
        <color theme="1"/>
        <rFont val="맑은 고딕"/>
        <family val="2"/>
      </rPr>
      <t>진척율</t>
    </r>
    <r>
      <rPr>
        <sz val="9"/>
        <color theme="1"/>
        <rFont val="Calibri"/>
        <family val="2"/>
      </rPr>
      <t>(B)</t>
    </r>
  </si>
  <si>
    <r>
      <rPr>
        <sz val="9"/>
        <color theme="1"/>
        <rFont val="맑은 고딕"/>
        <family val="2"/>
      </rPr>
      <t>실적</t>
    </r>
    <r>
      <rPr>
        <sz val="9"/>
        <color theme="1"/>
        <rFont val="Calibri"/>
        <family val="2"/>
      </rPr>
      <t>(C/A)</t>
    </r>
  </si>
  <si>
    <r>
      <t>* "</t>
    </r>
    <r>
      <rPr>
        <sz val="9"/>
        <color theme="1"/>
        <rFont val="맑은 고딕"/>
        <family val="2"/>
      </rPr>
      <t>스케줄업데이트</t>
    </r>
    <r>
      <rPr>
        <sz val="9"/>
        <color theme="1"/>
        <rFont val="Calibri"/>
        <family val="2"/>
      </rPr>
      <t xml:space="preserve">" </t>
    </r>
    <r>
      <rPr>
        <sz val="9"/>
        <color theme="1"/>
        <rFont val="맑은 고딕"/>
        <family val="2"/>
      </rPr>
      <t>버튼</t>
    </r>
    <r>
      <rPr>
        <sz val="9"/>
        <color theme="1"/>
        <rFont val="Calibri"/>
        <family val="2"/>
      </rPr>
      <t xml:space="preserve"> </t>
    </r>
    <r>
      <rPr>
        <sz val="9"/>
        <color theme="1"/>
        <rFont val="맑은 고딕"/>
        <family val="2"/>
      </rPr>
      <t>클릭</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항목이</t>
    </r>
    <r>
      <rPr>
        <sz val="9"/>
        <color theme="1"/>
        <rFont val="Calibri"/>
        <family val="2"/>
      </rPr>
      <t xml:space="preserve"> </t>
    </r>
    <r>
      <rPr>
        <sz val="9"/>
        <color theme="1"/>
        <rFont val="맑은 고딕"/>
        <family val="2"/>
      </rPr>
      <t>자동계산됩니다</t>
    </r>
    <r>
      <rPr>
        <sz val="9"/>
        <color theme="1"/>
        <rFont val="Calibri"/>
        <family val="2"/>
      </rPr>
      <t>.</t>
    </r>
  </si>
  <si>
    <r>
      <t xml:space="preserve">* </t>
    </r>
    <r>
      <rPr>
        <sz val="9"/>
        <color theme="1"/>
        <rFont val="맑은 고딕"/>
        <family val="2"/>
      </rPr>
      <t>언어를</t>
    </r>
    <r>
      <rPr>
        <sz val="9"/>
        <color theme="1"/>
        <rFont val="Calibri"/>
        <family val="2"/>
      </rPr>
      <t xml:space="preserve"> </t>
    </r>
    <r>
      <rPr>
        <sz val="9"/>
        <color theme="1"/>
        <rFont val="맑은 고딕"/>
        <family val="2"/>
      </rPr>
      <t>선택하세요</t>
    </r>
  </si>
  <si>
    <r>
      <t xml:space="preserve">*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Excel</t>
    </r>
    <r>
      <rPr>
        <sz val="9"/>
        <color theme="1"/>
        <rFont val="맑은 고딕"/>
        <family val="2"/>
      </rPr>
      <t>파일</t>
    </r>
    <r>
      <rPr>
        <sz val="9"/>
        <color theme="1"/>
        <rFont val="Calibri"/>
        <family val="2"/>
      </rPr>
      <t>(1</t>
    </r>
    <r>
      <rPr>
        <sz val="9"/>
        <color theme="1"/>
        <rFont val="맑은 고딕"/>
        <family val="2"/>
      </rPr>
      <t>행은</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파일</t>
    </r>
    <r>
      <rPr>
        <sz val="9"/>
        <color theme="1"/>
        <rFont val="Calibri"/>
        <family val="2"/>
      </rPr>
      <t xml:space="preserve">)\n* </t>
    </r>
    <r>
      <rPr>
        <sz val="9"/>
        <color theme="1"/>
        <rFont val="맑은 고딕"/>
        <family val="2"/>
      </rPr>
      <t>자료갯수</t>
    </r>
    <r>
      <rPr>
        <sz val="9"/>
        <color theme="1"/>
        <rFont val="Calibri"/>
        <family val="2"/>
      </rPr>
      <t xml:space="preserve"> </t>
    </r>
    <r>
      <rPr>
        <sz val="9"/>
        <color theme="1"/>
        <rFont val="맑은 고딕"/>
        <family val="2"/>
      </rPr>
      <t>제한</t>
    </r>
    <r>
      <rPr>
        <sz val="9"/>
        <color theme="1"/>
        <rFont val="Calibri"/>
        <family val="2"/>
      </rPr>
      <t xml:space="preserve"> </t>
    </r>
    <r>
      <rPr>
        <sz val="9"/>
        <color theme="1"/>
        <rFont val="맑은 고딕"/>
        <family val="2"/>
      </rPr>
      <t>없음</t>
    </r>
    <r>
      <rPr>
        <sz val="9"/>
        <color theme="1"/>
        <rFont val="Calibri"/>
        <family val="2"/>
      </rPr>
      <t xml:space="preserve">\n* </t>
    </r>
    <r>
      <rPr>
        <sz val="9"/>
        <color theme="1"/>
        <rFont val="맑은 고딕"/>
        <family val="2"/>
      </rPr>
      <t>한번에</t>
    </r>
    <r>
      <rPr>
        <sz val="9"/>
        <color theme="1"/>
        <rFont val="Calibri"/>
        <family val="2"/>
      </rPr>
      <t xml:space="preserve"> </t>
    </r>
    <r>
      <rPr>
        <sz val="9"/>
        <color theme="1"/>
        <rFont val="맑은 고딕"/>
        <family val="2"/>
      </rPr>
      <t>한개의</t>
    </r>
    <r>
      <rPr>
        <sz val="9"/>
        <color theme="1"/>
        <rFont val="Calibri"/>
        <family val="2"/>
      </rPr>
      <t xml:space="preserve"> </t>
    </r>
    <r>
      <rPr>
        <sz val="9"/>
        <color theme="1"/>
        <rFont val="맑은 고딕"/>
        <family val="2"/>
      </rPr>
      <t>파일만</t>
    </r>
    <r>
      <rPr>
        <sz val="9"/>
        <color theme="1"/>
        <rFont val="Calibri"/>
        <family val="2"/>
      </rPr>
      <t xml:space="preserve"> </t>
    </r>
    <r>
      <rPr>
        <sz val="9"/>
        <color theme="1"/>
        <rFont val="맑은 고딕"/>
        <family val="2"/>
      </rPr>
      <t>처리됨</t>
    </r>
  </si>
  <si>
    <r>
      <t xml:space="preserve">* </t>
    </r>
    <r>
      <rPr>
        <sz val="9"/>
        <color theme="1"/>
        <rFont val="맑은 고딕"/>
        <family val="2"/>
      </rPr>
      <t>주별로</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계획진적율을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</si>
  <si>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담당별로</t>
    </r>
    <r>
      <rPr>
        <sz val="9"/>
        <color theme="1"/>
        <rFont val="Calibri"/>
        <family val="2"/>
      </rPr>
      <t xml:space="preserve"> </t>
    </r>
    <r>
      <rPr>
        <sz val="9"/>
        <color theme="1"/>
        <rFont val="맑은 고딕"/>
        <family val="2"/>
      </rPr>
      <t>투입된</t>
    </r>
    <r>
      <rPr>
        <sz val="9"/>
        <color theme="1"/>
        <rFont val="Calibri"/>
        <family val="2"/>
      </rPr>
      <t xml:space="preserve"> Task</t>
    </r>
    <r>
      <rPr>
        <sz val="9"/>
        <color theme="1"/>
        <rFont val="맑은 고딕"/>
        <family val="2"/>
      </rPr>
      <t>와</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계획작업량</t>
    </r>
    <r>
      <rPr>
        <sz val="9"/>
        <color theme="1"/>
        <rFont val="Calibri"/>
        <family val="2"/>
      </rPr>
      <t xml:space="preserve">, </t>
    </r>
    <r>
      <rPr>
        <sz val="9"/>
        <color theme="1"/>
        <rFont val="맑은 고딕"/>
        <family val="2"/>
      </rPr>
      <t>진척작업을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보여주고</t>
    </r>
    <r>
      <rPr>
        <sz val="9"/>
        <color theme="1"/>
        <rFont val="Calibri"/>
        <family val="2"/>
      </rPr>
      <t xml:space="preserve">, </t>
    </r>
    <r>
      <rPr>
        <sz val="9"/>
        <color theme="1"/>
        <rFont val="맑은 고딕"/>
        <family val="2"/>
      </rPr>
      <t>계획</t>
    </r>
    <r>
      <rPr>
        <sz val="9"/>
        <color theme="1"/>
        <rFont val="Calibri"/>
        <family val="2"/>
      </rPr>
      <t>/</t>
    </r>
    <r>
      <rPr>
        <sz val="9"/>
        <color theme="1"/>
        <rFont val="맑은 고딕"/>
        <family val="2"/>
      </rPr>
      <t>실적</t>
    </r>
    <r>
      <rPr>
        <sz val="9"/>
        <color theme="1"/>
        <rFont val="Calibri"/>
        <family val="2"/>
      </rPr>
      <t xml:space="preserve"> </t>
    </r>
    <r>
      <rPr>
        <sz val="9"/>
        <color theme="1"/>
        <rFont val="맑은 고딕"/>
        <family val="2"/>
      </rPr>
      <t>진행율을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</si>
  <si>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</si>
  <si>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월별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</si>
  <si>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프로젝트</t>
    </r>
    <r>
      <rPr>
        <sz val="9"/>
        <color theme="1"/>
        <rFont val="Calibri"/>
        <family val="2"/>
      </rPr>
      <t xml:space="preserve"> </t>
    </r>
    <r>
      <rPr>
        <sz val="9"/>
        <color theme="1"/>
        <rFont val="맑은 고딕"/>
        <family val="2"/>
      </rPr>
      <t>작업량과</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보여줍니다</t>
    </r>
    <r>
      <rPr>
        <sz val="9"/>
        <color theme="1"/>
        <rFont val="Calibri"/>
        <family val="2"/>
      </rPr>
      <t>.</t>
    </r>
  </si>
  <si>
    <r>
      <t>* "</t>
    </r>
    <r>
      <rPr>
        <sz val="9"/>
        <color theme="1"/>
        <rFont val="맑은 고딕"/>
        <family val="2"/>
      </rPr>
      <t>계획진척율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갱신됨</t>
    </r>
  </si>
  <si>
    <r>
      <t>* "</t>
    </r>
    <r>
      <rPr>
        <sz val="9"/>
        <color theme="1"/>
        <rFont val="맑은 고딕"/>
        <family val="2"/>
      </rPr>
      <t>담당별진행율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</si>
  <si>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담당별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</si>
  <si>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"Workload(</t>
    </r>
    <r>
      <rPr>
        <sz val="9"/>
        <color theme="1"/>
        <rFont val="맑은 고딕"/>
        <family val="2"/>
      </rPr>
      <t>월별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</si>
  <si>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t>
    </r>
    <r>
      <rPr>
        <sz val="9"/>
        <color theme="1"/>
        <rFont val="맑은 고딕"/>
        <family val="2"/>
      </rPr>
      <t>담당자미지정</t>
    </r>
    <r>
      <rPr>
        <sz val="9"/>
        <color theme="1"/>
        <rFont val="Calibri"/>
        <family val="2"/>
      </rPr>
      <t>]</t>
    </r>
  </si>
  <si>
    <r>
      <t>Outlook</t>
    </r>
    <r>
      <rPr>
        <sz val="9"/>
        <color theme="1"/>
        <rFont val="맑은 고딕"/>
        <family val="2"/>
      </rPr>
      <t>일정이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</si>
  <si>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Outlook</t>
    </r>
    <r>
      <rPr>
        <sz val="9"/>
        <color theme="1"/>
        <rFont val="맑은 고딕"/>
        <family val="2"/>
      </rPr>
      <t>작업이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</si>
  <si>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 xml:space="preserve">{} </t>
    </r>
    <r>
      <rPr>
        <sz val="9"/>
        <color theme="1"/>
        <rFont val="맑은 고딕"/>
        <family val="2"/>
      </rPr>
      <t>파일이</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</si>
  <si>
    <r>
      <rPr>
        <sz val="9"/>
        <color theme="1"/>
        <rFont val="맑은 고딕"/>
        <family val="2"/>
      </rPr>
      <t>누적</t>
    </r>
    <r>
      <rPr>
        <sz val="9"/>
        <color theme="1"/>
        <rFont val="Calibri"/>
        <family val="2"/>
      </rPr>
      <t>\nMan-Day</t>
    </r>
  </si>
  <si>
    <r>
      <rPr>
        <sz val="9"/>
        <color theme="1"/>
        <rFont val="맑은 고딕"/>
        <family val="2"/>
      </rPr>
      <t>실적진척율에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</si>
  <si>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현재날짜까지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실적진척율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</si>
  <si>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실제종료일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</si>
  <si>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</si>
  <si>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</si>
  <si>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실제진척율</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진척된</t>
    </r>
    <r>
      <rPr>
        <sz val="9"/>
        <color theme="1"/>
        <rFont val="Calibri"/>
        <family val="2"/>
      </rPr>
      <t xml:space="preserve"> </t>
    </r>
    <r>
      <rPr>
        <sz val="9"/>
        <color theme="1"/>
        <rFont val="맑은 고딕"/>
        <family val="2"/>
      </rPr>
      <t>작업량을</t>
    </r>
    <r>
      <rPr>
        <sz val="9"/>
        <color theme="1"/>
        <rFont val="Calibri"/>
        <family val="2"/>
      </rPr>
      <t xml:space="preserve"> %</t>
    </r>
    <r>
      <rPr>
        <sz val="9"/>
        <color theme="1"/>
        <rFont val="맑은 고딕"/>
        <family val="2"/>
      </rPr>
      <t>로</t>
    </r>
    <r>
      <rPr>
        <sz val="9"/>
        <color theme="1"/>
        <rFont val="Calibri"/>
        <family val="2"/>
      </rPr>
      <t xml:space="preserve"> </t>
    </r>
    <r>
      <rPr>
        <sz val="9"/>
        <color theme="1"/>
        <rFont val="맑은 고딕"/>
        <family val="2"/>
      </rPr>
      <t>표현합니다</t>
    </r>
    <r>
      <rPr>
        <sz val="9"/>
        <color theme="1"/>
        <rFont val="Calibri"/>
        <family val="2"/>
      </rPr>
      <t>.</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</si>
  <si>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</si>
  <si>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</si>
  <si>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</si>
  <si>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t>
    </r>
    <r>
      <rPr>
        <sz val="9"/>
        <color theme="1"/>
        <rFont val="Calibri"/>
        <family val="2"/>
      </rPr>
      <t xml:space="preserve"> </t>
    </r>
    <r>
      <rPr>
        <sz val="9"/>
        <color theme="1"/>
        <rFont val="맑은 고딕"/>
        <family val="2"/>
      </rPr>
      <t>총작업량</t>
    </r>
    <r>
      <rPr>
        <sz val="9"/>
        <color theme="1"/>
        <rFont val="Calibri"/>
        <family val="2"/>
      </rPr>
      <t>\nMan-day</t>
    </r>
  </si>
  <si>
    <r>
      <rPr>
        <sz val="9"/>
        <color theme="1"/>
        <rFont val="맑은 고딕"/>
        <family val="2"/>
      </rPr>
      <t>실제</t>
    </r>
    <r>
      <rPr>
        <sz val="9"/>
        <color theme="1"/>
        <rFont val="Calibri"/>
        <family val="2"/>
      </rPr>
      <t>\n</t>
    </r>
    <r>
      <rPr>
        <sz val="9"/>
        <color theme="1"/>
        <rFont val="맑은 고딕"/>
        <family val="2"/>
      </rPr>
      <t>총작업량</t>
    </r>
  </si>
  <si>
    <r>
      <rPr>
        <sz val="9"/>
        <color theme="1"/>
        <rFont val="맑은 고딕"/>
        <family val="2"/>
      </rPr>
      <t>실제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</si>
  <si>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투입된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</si>
  <si>
    <r>
      <rPr>
        <sz val="9"/>
        <color theme="1"/>
        <rFont val="맑은 고딕"/>
        <family val="2"/>
      </rPr>
      <t>일정변경관리</t>
    </r>
    <r>
      <rPr>
        <sz val="9"/>
        <color theme="1"/>
        <rFont val="Calibri"/>
        <family val="2"/>
      </rPr>
      <t xml:space="preserve"> </t>
    </r>
    <r>
      <rPr>
        <sz val="9"/>
        <color theme="1"/>
        <rFont val="맑은 고딕"/>
        <family val="2"/>
      </rPr>
      <t>하지</t>
    </r>
    <r>
      <rPr>
        <sz val="9"/>
        <color theme="1"/>
        <rFont val="Calibri"/>
        <family val="2"/>
      </rPr>
      <t xml:space="preserve"> </t>
    </r>
    <r>
      <rPr>
        <sz val="9"/>
        <color theme="1"/>
        <rFont val="맑은 고딕"/>
        <family val="2"/>
      </rPr>
      <t>않을</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</si>
  <si>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추가</t>
    </r>
    <r>
      <rPr>
        <sz val="9"/>
        <color theme="1"/>
        <rFont val="Calibri"/>
        <family val="2"/>
      </rPr>
      <t xml:space="preserve"> &gt;&gt;</t>
    </r>
  </si>
  <si>
    <r>
      <rPr>
        <sz val="9"/>
        <color theme="1"/>
        <rFont val="맑은 고딕"/>
        <family val="2"/>
      </rPr>
      <t>언어</t>
    </r>
    <r>
      <rPr>
        <sz val="9"/>
        <color theme="1"/>
        <rFont val="Calibri"/>
        <family val="2"/>
      </rPr>
      <t xml:space="preserve"> </t>
    </r>
    <r>
      <rPr>
        <sz val="9"/>
        <color theme="1"/>
        <rFont val="맑은 고딕"/>
        <family val="2"/>
      </rPr>
      <t>추가</t>
    </r>
  </si>
  <si>
    <r>
      <t>MS Outlook</t>
    </r>
    <r>
      <rPr>
        <sz val="9"/>
        <color theme="1"/>
        <rFont val="맑은 고딕"/>
        <family val="2"/>
      </rPr>
      <t>일정</t>
    </r>
    <r>
      <rPr>
        <sz val="9"/>
        <color theme="1"/>
        <rFont val="Calibri"/>
        <family val="2"/>
      </rPr>
      <t xml:space="preserve"> </t>
    </r>
    <r>
      <rPr>
        <sz val="9"/>
        <color theme="1"/>
        <rFont val="맑은 고딕"/>
        <family val="2"/>
      </rPr>
      <t>등록</t>
    </r>
  </si>
  <si>
    <r>
      <t>MS Outlook</t>
    </r>
    <r>
      <rPr>
        <sz val="9"/>
        <color theme="1"/>
        <rFont val="맑은 고딕"/>
        <family val="2"/>
      </rPr>
      <t>작업</t>
    </r>
    <r>
      <rPr>
        <sz val="9"/>
        <color theme="1"/>
        <rFont val="Calibri"/>
        <family val="2"/>
      </rPr>
      <t xml:space="preserve"> </t>
    </r>
    <r>
      <rPr>
        <sz val="9"/>
        <color theme="1"/>
        <rFont val="맑은 고딕"/>
        <family val="2"/>
      </rPr>
      <t>등록</t>
    </r>
  </si>
  <si>
    <r>
      <rPr>
        <sz val="9"/>
        <color theme="1"/>
        <rFont val="맑은 고딕"/>
        <family val="2"/>
      </rPr>
      <t>필터를</t>
    </r>
    <r>
      <rPr>
        <sz val="9"/>
        <color theme="1"/>
        <rFont val="Calibri"/>
        <family val="2"/>
      </rPr>
      <t xml:space="preserve"> </t>
    </r>
    <r>
      <rPr>
        <sz val="9"/>
        <color theme="1"/>
        <rFont val="맑은 고딕"/>
        <family val="2"/>
      </rPr>
      <t>해제하고</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진행합니다</t>
    </r>
    <r>
      <rPr>
        <sz val="9"/>
        <color theme="1"/>
        <rFont val="Calibri"/>
        <family val="2"/>
      </rPr>
      <t>.</t>
    </r>
  </si>
  <si>
    <r>
      <rPr>
        <sz val="9"/>
        <color theme="1"/>
        <rFont val="맑은 고딕"/>
        <family val="2"/>
      </rPr>
      <t>전체</t>
    </r>
    <r>
      <rPr>
        <sz val="9"/>
        <color theme="1"/>
        <rFont val="Calibri"/>
        <family val="2"/>
      </rPr>
      <t xml:space="preserve"> </t>
    </r>
    <r>
      <rPr>
        <sz val="9"/>
        <color theme="1"/>
        <rFont val="맑은 고딕"/>
        <family val="2"/>
      </rPr>
      <t>조회</t>
    </r>
    <r>
      <rPr>
        <sz val="9"/>
        <color theme="1"/>
        <rFont val="Calibri"/>
        <family val="2"/>
      </rPr>
      <t>(</t>
    </r>
    <r>
      <rPr>
        <sz val="9"/>
        <color theme="1"/>
        <rFont val="맑은 고딕"/>
        <family val="2"/>
      </rPr>
      <t>필터</t>
    </r>
    <r>
      <rPr>
        <sz val="9"/>
        <color theme="1"/>
        <rFont val="Calibri"/>
        <family val="2"/>
      </rPr>
      <t xml:space="preserve"> </t>
    </r>
    <r>
      <rPr>
        <sz val="9"/>
        <color theme="1"/>
        <rFont val="맑은 고딕"/>
        <family val="2"/>
      </rPr>
      <t>해제</t>
    </r>
    <r>
      <rPr>
        <sz val="9"/>
        <color theme="1"/>
        <rFont val="Calibri"/>
        <family val="2"/>
      </rPr>
      <t>)</t>
    </r>
  </si>
  <si>
    <r>
      <rPr>
        <sz val="9"/>
        <color theme="1"/>
        <rFont val="맑은 고딕"/>
        <family val="2"/>
      </rPr>
      <t>최신버전</t>
    </r>
    <r>
      <rPr>
        <sz val="9"/>
        <color theme="1"/>
        <rFont val="Calibri"/>
        <family val="2"/>
      </rPr>
      <t xml:space="preserve"> </t>
    </r>
    <r>
      <rPr>
        <sz val="9"/>
        <color theme="1"/>
        <rFont val="맑은 고딕"/>
        <family val="2"/>
      </rPr>
      <t>확인</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잠시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시도하세요</t>
    </r>
    <r>
      <rPr>
        <sz val="9"/>
        <color theme="1"/>
        <rFont val="Calibri"/>
        <family val="2"/>
      </rPr>
      <t>.\n</t>
    </r>
    <r>
      <rPr>
        <sz val="9"/>
        <color theme="1"/>
        <rFont val="맑은 고딕"/>
        <family val="2"/>
      </rPr>
      <t>에러메시지</t>
    </r>
    <r>
      <rPr>
        <sz val="9"/>
        <color theme="1"/>
        <rFont val="Calibri"/>
        <family val="2"/>
      </rPr>
      <t xml:space="preserve"> : {}</t>
    </r>
  </si>
  <si>
    <r>
      <rPr>
        <sz val="9"/>
        <color theme="1"/>
        <rFont val="맑은 고딕"/>
        <family val="2"/>
      </rPr>
      <t>서식</t>
    </r>
    <r>
      <rPr>
        <sz val="9"/>
        <color theme="1"/>
        <rFont val="Calibri"/>
        <family val="2"/>
      </rPr>
      <t xml:space="preserve">check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발생하였습니다</t>
    </r>
    <r>
      <rPr>
        <sz val="9"/>
        <color theme="1"/>
        <rFont val="Calibri"/>
        <family val="2"/>
      </rPr>
      <t>. XLGantt</t>
    </r>
    <r>
      <rPr>
        <sz val="9"/>
        <color theme="1"/>
        <rFont val="맑은 고딕"/>
        <family val="2"/>
      </rPr>
      <t>를</t>
    </r>
    <r>
      <rPr>
        <sz val="9"/>
        <color theme="1"/>
        <rFont val="Calibri"/>
        <family val="2"/>
      </rPr>
      <t xml:space="preserve"> </t>
    </r>
    <r>
      <rPr>
        <sz val="9"/>
        <color theme="1"/>
        <rFont val="맑은 고딕"/>
        <family val="2"/>
      </rPr>
      <t>종료하고</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시작하십시오</t>
    </r>
    <r>
      <rPr>
        <sz val="9"/>
        <color theme="1"/>
        <rFont val="Calibri"/>
        <family val="2"/>
      </rPr>
      <t>.</t>
    </r>
  </si>
  <si>
    <r>
      <rPr>
        <sz val="9"/>
        <color theme="1"/>
        <rFont val="맑은 고딕"/>
        <family val="2"/>
      </rPr>
      <t>처리</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</si>
  <si>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추가</t>
    </r>
    <r>
      <rPr>
        <sz val="9"/>
        <color theme="1"/>
        <rFont val="Calibri"/>
        <family val="2"/>
      </rPr>
      <t xml:space="preserve"> </t>
    </r>
    <r>
      <rPr>
        <sz val="9"/>
        <color theme="1"/>
        <rFont val="맑은 고딕"/>
        <family val="2"/>
      </rPr>
      <t>가능한</t>
    </r>
    <r>
      <rPr>
        <sz val="9"/>
        <color theme="1"/>
        <rFont val="Calibri"/>
        <family val="2"/>
      </rPr>
      <t xml:space="preserve"> </t>
    </r>
    <r>
      <rPr>
        <sz val="9"/>
        <color theme="1"/>
        <rFont val="맑은 고딕"/>
        <family val="2"/>
      </rPr>
      <t>언어</t>
    </r>
  </si>
  <si>
    <r>
      <t>Bar chart</t>
    </r>
    <r>
      <rPr>
        <sz val="9"/>
        <color theme="1"/>
        <rFont val="맑은 고딕"/>
        <family val="2"/>
      </rPr>
      <t>의</t>
    </r>
    <r>
      <rPr>
        <sz val="9"/>
        <color theme="1"/>
        <rFont val="Calibri"/>
        <family val="2"/>
      </rPr>
      <t xml:space="preserve"> </t>
    </r>
    <r>
      <rPr>
        <sz val="9"/>
        <color theme="1"/>
        <rFont val="맑은 고딕"/>
        <family val="2"/>
      </rPr>
      <t>텍스트</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위치</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</si>
  <si>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기한</t>
    </r>
    <r>
      <rPr>
        <sz val="9"/>
        <color theme="1"/>
        <rFont val="Calibri"/>
        <family val="2"/>
      </rPr>
      <t xml:space="preserve"> : {2}</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</si>
  <si>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시작일</t>
    </r>
    <r>
      <rPr>
        <sz val="9"/>
        <color theme="1"/>
        <rFont val="Calibri"/>
        <family val="2"/>
      </rPr>
      <t xml:space="preserve"> : {2}</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</si>
  <si>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</si>
  <si>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시작일보다</t>
    </r>
    <r>
      <rPr>
        <sz val="9"/>
        <color theme="1"/>
        <rFont val="Calibri"/>
        <family val="2"/>
      </rPr>
      <t xml:space="preserve"> </t>
    </r>
    <r>
      <rPr>
        <sz val="9"/>
        <color theme="1"/>
        <rFont val="맑은 고딕"/>
        <family val="2"/>
      </rPr>
      <t>크거나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</si>
  <si>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작거나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</si>
  <si>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시작</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확인</t>
    </r>
  </si>
  <si>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</si>
  <si>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종류</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</si>
  <si>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</si>
  <si>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</si>
  <si>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언어를</t>
    </r>
    <r>
      <rPr>
        <sz val="9"/>
        <color theme="1"/>
        <rFont val="Calibri"/>
        <family val="2"/>
      </rPr>
      <t xml:space="preserve"> </t>
    </r>
    <r>
      <rPr>
        <sz val="9"/>
        <color theme="1"/>
        <rFont val="맑은 고딕"/>
        <family val="2"/>
      </rPr>
      <t>선택하세요</t>
    </r>
  </si>
  <si>
    <r>
      <rPr>
        <sz val="9"/>
        <color theme="1"/>
        <rFont val="맑은 고딕"/>
        <family val="2"/>
      </rPr>
      <t>가져오기</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</si>
  <si>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컴퓨터</t>
    </r>
    <r>
      <rPr>
        <sz val="9"/>
        <color theme="1"/>
        <rFont val="Calibri"/>
        <family val="2"/>
      </rPr>
      <t xml:space="preserve"> O/S</t>
    </r>
    <r>
      <rPr>
        <sz val="9"/>
        <color theme="1"/>
        <rFont val="맑은 고딕"/>
        <family val="2"/>
      </rPr>
      <t>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t>
    </r>
  </si>
  <si>
    <r>
      <rPr>
        <sz val="9"/>
        <color theme="1"/>
        <rFont val="맑은 고딕"/>
        <family val="2"/>
      </rPr>
      <t>산출물</t>
    </r>
    <r>
      <rPr>
        <sz val="9"/>
        <color theme="1"/>
        <rFont val="Calibri"/>
        <family val="2"/>
      </rPr>
      <t xml:space="preserve"> </t>
    </r>
    <r>
      <rPr>
        <sz val="9"/>
        <color theme="1"/>
        <rFont val="맑은 고딕"/>
        <family val="2"/>
      </rPr>
      <t>종류를</t>
    </r>
    <r>
      <rPr>
        <sz val="9"/>
        <color theme="1"/>
        <rFont val="Calibri"/>
        <family val="2"/>
      </rPr>
      <t xml:space="preserve"> </t>
    </r>
    <r>
      <rPr>
        <sz val="9"/>
        <color theme="1"/>
        <rFont val="맑은 고딕"/>
        <family val="2"/>
      </rPr>
      <t>선택하세요</t>
    </r>
  </si>
  <si>
    <r>
      <rPr>
        <sz val="9"/>
        <color theme="1"/>
        <rFont val="맑은 고딕"/>
        <family val="2"/>
      </rPr>
      <t>현재</t>
    </r>
    <r>
      <rPr>
        <sz val="9"/>
        <color theme="1"/>
        <rFont val="Calibri"/>
        <family val="2"/>
      </rPr>
      <t xml:space="preserve"> </t>
    </r>
    <r>
      <rPr>
        <sz val="9"/>
        <color theme="1"/>
        <rFont val="맑은 고딕"/>
        <family val="2"/>
      </rPr>
      <t>사용중인</t>
    </r>
    <r>
      <rPr>
        <sz val="9"/>
        <color theme="1"/>
        <rFont val="Calibri"/>
        <family val="2"/>
      </rPr>
      <t xml:space="preserve"> </t>
    </r>
    <r>
      <rPr>
        <sz val="9"/>
        <color theme="1"/>
        <rFont val="맑은 고딕"/>
        <family val="2"/>
      </rPr>
      <t>버전</t>
    </r>
  </si>
  <si>
    <r>
      <rPr>
        <sz val="9"/>
        <color theme="1"/>
        <rFont val="맑은 고딕"/>
        <family val="2"/>
      </rPr>
      <t>일</t>
    </r>
    <r>
      <rPr>
        <sz val="9"/>
        <color theme="1"/>
        <rFont val="Calibri"/>
        <family val="2"/>
      </rPr>
      <t xml:space="preserve"> (</t>
    </r>
    <r>
      <rPr>
        <sz val="9"/>
        <color theme="1"/>
        <rFont val="맑은 고딕"/>
        <family val="2"/>
      </rPr>
      <t>월평균</t>
    </r>
    <r>
      <rPr>
        <sz val="9"/>
        <color theme="1"/>
        <rFont val="Calibri"/>
        <family val="2"/>
      </rPr>
      <t xml:space="preserve"> </t>
    </r>
    <r>
      <rPr>
        <sz val="9"/>
        <color theme="1"/>
        <rFont val="맑은 고딕"/>
        <family val="2"/>
      </rPr>
      <t>근무일수</t>
    </r>
    <r>
      <rPr>
        <sz val="9"/>
        <color theme="1"/>
        <rFont val="Calibri"/>
        <family val="2"/>
      </rPr>
      <t>)</t>
    </r>
  </si>
  <si>
    <r>
      <rPr>
        <sz val="9"/>
        <color theme="1"/>
        <rFont val="맑은 고딕"/>
        <family val="2"/>
      </rPr>
      <t>휴무일로</t>
    </r>
    <r>
      <rPr>
        <sz val="9"/>
        <color theme="1"/>
        <rFont val="Calibri"/>
        <family val="2"/>
      </rPr>
      <t xml:space="preserve"> </t>
    </r>
    <r>
      <rPr>
        <sz val="9"/>
        <color theme="1"/>
        <rFont val="맑은 고딕"/>
        <family val="2"/>
      </rPr>
      <t>계산되는</t>
    </r>
    <r>
      <rPr>
        <sz val="9"/>
        <color theme="1"/>
        <rFont val="Calibri"/>
        <family val="2"/>
      </rPr>
      <t xml:space="preserve"> </t>
    </r>
    <r>
      <rPr>
        <sz val="9"/>
        <color theme="1"/>
        <rFont val="맑은 고딕"/>
        <family val="2"/>
      </rPr>
      <t>날</t>
    </r>
  </si>
  <si>
    <r>
      <rPr>
        <sz val="9"/>
        <color theme="1"/>
        <rFont val="맑은 고딕"/>
        <family val="2"/>
      </rPr>
      <t>산출물</t>
    </r>
    <r>
      <rPr>
        <sz val="9"/>
        <color theme="1"/>
        <rFont val="Calibri"/>
        <family val="2"/>
      </rPr>
      <t xml:space="preserve"> </t>
    </r>
    <r>
      <rPr>
        <sz val="9"/>
        <color theme="1"/>
        <rFont val="맑은 고딕"/>
        <family val="2"/>
      </rPr>
      <t>필드입니다</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</si>
  <si>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</si>
  <si>
    <r>
      <rPr>
        <sz val="9"/>
        <color theme="1"/>
        <rFont val="맑은 고딕"/>
        <family val="2"/>
      </rPr>
      <t>실적진척율</t>
    </r>
    <r>
      <rPr>
        <sz val="9"/>
        <color theme="1"/>
        <rFont val="Calibri"/>
        <family val="2"/>
      </rPr>
      <t xml:space="preserve"> </t>
    </r>
    <r>
      <rPr>
        <sz val="9"/>
        <color theme="1"/>
        <rFont val="맑은 고딕"/>
        <family val="2"/>
      </rPr>
      <t>표시</t>
    </r>
  </si>
  <si>
    <r>
      <rPr>
        <sz val="9"/>
        <color theme="1"/>
        <rFont val="맑은 고딕"/>
        <family val="2"/>
      </rPr>
      <t>날짜</t>
    </r>
    <r>
      <rPr>
        <sz val="9"/>
        <color theme="1"/>
        <rFont val="Calibri"/>
        <family val="2"/>
      </rPr>
      <t xml:space="preserve"> </t>
    </r>
    <r>
      <rPr>
        <sz val="9"/>
        <color theme="1"/>
        <rFont val="맑은 고딕"/>
        <family val="2"/>
      </rPr>
      <t>표시</t>
    </r>
  </si>
  <si>
    <r>
      <rPr>
        <sz val="9"/>
        <color theme="1"/>
        <rFont val="맑은 고딕"/>
        <family val="2"/>
      </rPr>
      <t>완료된</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폰트색상</t>
    </r>
    <r>
      <rPr>
        <sz val="9"/>
        <color theme="1"/>
        <rFont val="Calibri"/>
        <family val="2"/>
      </rPr>
      <t xml:space="preserve"> </t>
    </r>
    <r>
      <rPr>
        <sz val="9"/>
        <color theme="1"/>
        <rFont val="맑은 고딕"/>
        <family val="2"/>
      </rPr>
      <t>회색표시</t>
    </r>
  </si>
  <si>
    <r>
      <rPr>
        <sz val="9"/>
        <color theme="1"/>
        <rFont val="맑은 고딕"/>
        <family val="2"/>
      </rPr>
      <t>작업그룹의</t>
    </r>
    <r>
      <rPr>
        <sz val="9"/>
        <color theme="1"/>
        <rFont val="Calibri"/>
        <family val="2"/>
      </rPr>
      <t xml:space="preserve"> </t>
    </r>
    <r>
      <rPr>
        <sz val="9"/>
        <color theme="1"/>
        <rFont val="맑은 고딕"/>
        <family val="2"/>
      </rPr>
      <t>배경색</t>
    </r>
    <r>
      <rPr>
        <sz val="9"/>
        <color theme="1"/>
        <rFont val="Calibri"/>
        <family val="2"/>
      </rPr>
      <t xml:space="preserve"> </t>
    </r>
    <r>
      <rPr>
        <sz val="9"/>
        <color theme="1"/>
        <rFont val="맑은 고딕"/>
        <family val="2"/>
      </rPr>
      <t>회색표시</t>
    </r>
  </si>
  <si>
    <r>
      <rPr>
        <sz val="9"/>
        <color theme="1"/>
        <rFont val="맑은 고딕"/>
        <family val="2"/>
      </rPr>
      <t>계획진척율</t>
    </r>
    <r>
      <rPr>
        <sz val="9"/>
        <color theme="1"/>
        <rFont val="Calibri"/>
        <family val="2"/>
      </rPr>
      <t xml:space="preserve"> </t>
    </r>
    <r>
      <rPr>
        <sz val="9"/>
        <color theme="1"/>
        <rFont val="맑은 고딕"/>
        <family val="2"/>
      </rPr>
      <t>표시</t>
    </r>
  </si>
  <si>
    <r>
      <rPr>
        <sz val="9"/>
        <color theme="1"/>
        <rFont val="맑은 고딕"/>
        <family val="2"/>
      </rPr>
      <t>담당</t>
    </r>
    <r>
      <rPr>
        <sz val="9"/>
        <color theme="1"/>
        <rFont val="Calibri"/>
        <family val="2"/>
      </rPr>
      <t xml:space="preserve"> </t>
    </r>
    <r>
      <rPr>
        <sz val="9"/>
        <color theme="1"/>
        <rFont val="맑은 고딕"/>
        <family val="2"/>
      </rPr>
      <t>표시</t>
    </r>
  </si>
  <si>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</si>
  <si>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</si>
  <si>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프로젝트</t>
    </r>
    <r>
      <rPr>
        <sz val="9"/>
        <color theme="1"/>
        <rFont val="Calibri"/>
        <family val="2"/>
      </rPr>
      <t xml:space="preserve"> </t>
    </r>
    <r>
      <rPr>
        <sz val="9"/>
        <color theme="1"/>
        <rFont val="맑은 고딕"/>
        <family val="2"/>
      </rPr>
      <t>전체의</t>
    </r>
    <r>
      <rPr>
        <sz val="9"/>
        <color theme="1"/>
        <rFont val="Calibri"/>
        <family val="2"/>
      </rPr>
      <t xml:space="preserve"> </t>
    </r>
    <r>
      <rPr>
        <sz val="9"/>
        <color theme="1"/>
        <rFont val="맑은 고딕"/>
        <family val="2"/>
      </rPr>
      <t>작업량을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표시한다</t>
    </r>
    <r>
      <rPr>
        <sz val="9"/>
        <color theme="1"/>
        <rFont val="Calibri"/>
        <family val="2"/>
      </rPr>
      <t xml:space="preserve">. </t>
    </r>
    <r>
      <rPr>
        <sz val="9"/>
        <color theme="1"/>
        <rFont val="맑은 고딕"/>
        <family val="2"/>
      </rPr>
      <t>가중치를</t>
    </r>
    <r>
      <rPr>
        <sz val="9"/>
        <color theme="1"/>
        <rFont val="Calibri"/>
        <family val="2"/>
      </rPr>
      <t xml:space="preserve"> </t>
    </r>
    <r>
      <rPr>
        <sz val="9"/>
        <color theme="1"/>
        <rFont val="맑은 고딕"/>
        <family val="2"/>
      </rPr>
      <t>적용한</t>
    </r>
    <r>
      <rPr>
        <sz val="9"/>
        <color theme="1"/>
        <rFont val="Calibri"/>
        <family val="2"/>
      </rPr>
      <t xml:space="preserve"> </t>
    </r>
    <r>
      <rPr>
        <sz val="9"/>
        <color theme="1"/>
        <rFont val="맑은 고딕"/>
        <family val="2"/>
      </rPr>
      <t>값이다</t>
    </r>
    <r>
      <rPr>
        <sz val="9"/>
        <color theme="1"/>
        <rFont val="Calibri"/>
        <family val="2"/>
      </rPr>
      <t>.</t>
    </r>
  </si>
  <si>
    <r>
      <t>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</si>
  <si>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프로그램</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다운로드</t>
    </r>
  </si>
  <si>
    <r>
      <t xml:space="preserve">Gantt chart </t>
    </r>
    <r>
      <rPr>
        <sz val="9"/>
        <color theme="1"/>
        <rFont val="맑은 고딕"/>
        <family val="2"/>
      </rPr>
      <t>그리기</t>
    </r>
    <r>
      <rPr>
        <sz val="9"/>
        <color theme="1"/>
        <rFont val="Calibri"/>
        <family val="2"/>
      </rPr>
      <t xml:space="preserve"> </t>
    </r>
    <r>
      <rPr>
        <sz val="9"/>
        <color theme="1"/>
        <rFont val="맑은 고딕"/>
        <family val="2"/>
      </rPr>
      <t>작업</t>
    </r>
  </si>
  <si>
    <r>
      <rPr>
        <sz val="9"/>
        <color theme="1"/>
        <rFont val="맑은 고딕"/>
        <family val="2"/>
      </rPr>
      <t>진척율선</t>
    </r>
    <r>
      <rPr>
        <sz val="9"/>
        <color theme="1"/>
        <rFont val="Calibri"/>
        <family val="2"/>
      </rPr>
      <t xml:space="preserve"> </t>
    </r>
    <r>
      <rPr>
        <sz val="9"/>
        <color theme="1"/>
        <rFont val="맑은 고딕"/>
        <family val="2"/>
      </rPr>
      <t>그리기</t>
    </r>
  </si>
  <si>
    <r>
      <rPr>
        <sz val="9"/>
        <color theme="1"/>
        <rFont val="맑은 고딕"/>
        <family val="2"/>
      </rPr>
      <t>기간</t>
    </r>
    <r>
      <rPr>
        <sz val="9"/>
        <color theme="1"/>
        <rFont val="Calibri"/>
        <family val="2"/>
      </rPr>
      <t xml:space="preserve"> </t>
    </r>
    <r>
      <rPr>
        <sz val="9"/>
        <color theme="1"/>
        <rFont val="맑은 고딕"/>
        <family val="2"/>
      </rPr>
      <t>지정</t>
    </r>
  </si>
  <si>
    <r>
      <rPr>
        <sz val="9"/>
        <color theme="1"/>
        <rFont val="맑은 고딕"/>
        <family val="2"/>
      </rPr>
      <t>작업</t>
    </r>
    <r>
      <rPr>
        <sz val="9"/>
        <color theme="1"/>
        <rFont val="Calibri"/>
        <family val="2"/>
      </rPr>
      <t xml:space="preserve"> </t>
    </r>
    <r>
      <rPr>
        <sz val="9"/>
        <color theme="1"/>
        <rFont val="맑은 고딕"/>
        <family val="2"/>
      </rPr>
      <t>정보</t>
    </r>
  </si>
  <si>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언어</t>
    </r>
  </si>
  <si>
    <r>
      <rPr>
        <sz val="9"/>
        <color theme="1"/>
        <rFont val="맑은 고딕"/>
        <family val="2"/>
      </rPr>
      <t>오류</t>
    </r>
    <r>
      <rPr>
        <sz val="9"/>
        <color theme="1"/>
        <rFont val="Calibri"/>
        <family val="2"/>
      </rPr>
      <t xml:space="preserve">! </t>
    </r>
    <r>
      <rPr>
        <sz val="9"/>
        <color theme="1"/>
        <rFont val="맑은 고딕"/>
        <family val="2"/>
      </rPr>
      <t>계산된</t>
    </r>
    <r>
      <rPr>
        <sz val="9"/>
        <color theme="1"/>
        <rFont val="Calibri"/>
        <family val="2"/>
      </rPr>
      <t xml:space="preserve"> Total Man-Day</t>
    </r>
    <r>
      <rPr>
        <sz val="9"/>
        <color theme="1"/>
        <rFont val="맑은 고딕"/>
        <family val="2"/>
      </rPr>
      <t>가</t>
    </r>
    <r>
      <rPr>
        <sz val="9"/>
        <color theme="1"/>
        <rFont val="Calibri"/>
        <family val="2"/>
      </rPr>
      <t xml:space="preserve"> {} sheet</t>
    </r>
    <r>
      <rPr>
        <sz val="9"/>
        <color theme="1"/>
        <rFont val="맑은 고딕"/>
        <family val="2"/>
      </rPr>
      <t>의</t>
    </r>
    <r>
      <rPr>
        <sz val="9"/>
        <color theme="1"/>
        <rFont val="Calibri"/>
        <family val="2"/>
      </rPr>
      <t xml:space="preserve"> Total Man-Day</t>
    </r>
    <r>
      <rPr>
        <sz val="9"/>
        <color theme="1"/>
        <rFont val="맑은 고딕"/>
        <family val="2"/>
      </rPr>
      <t>와</t>
    </r>
    <r>
      <rPr>
        <sz val="9"/>
        <color theme="1"/>
        <rFont val="Calibri"/>
        <family val="2"/>
      </rPr>
      <t xml:space="preserve"> </t>
    </r>
    <r>
      <rPr>
        <sz val="9"/>
        <color theme="1"/>
        <rFont val="맑은 고딕"/>
        <family val="2"/>
      </rPr>
      <t>다릅니다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</si>
  <si>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(XLGantt</t>
    </r>
    <r>
      <rPr>
        <sz val="9"/>
        <color theme="1"/>
        <rFont val="맑은 고딕"/>
        <family val="2"/>
      </rPr>
      <t>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일반</t>
    </r>
    <r>
      <rPr>
        <sz val="9"/>
        <color theme="1"/>
        <rFont val="Calibri"/>
        <family val="2"/>
      </rPr>
      <t xml:space="preserve"> </t>
    </r>
    <r>
      <rPr>
        <sz val="9"/>
        <color theme="1"/>
        <rFont val="맑은 고딕"/>
        <family val="2"/>
      </rPr>
      <t>엑셀파일인</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</si>
  <si>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오류</t>
    </r>
    <r>
      <rPr>
        <sz val="9"/>
        <color theme="1"/>
        <rFont val="Calibri"/>
        <family val="2"/>
      </rPr>
      <t xml:space="preserve">, </t>
    </r>
    <r>
      <rPr>
        <sz val="9"/>
        <color theme="1"/>
        <rFont val="맑은 고딕"/>
        <family val="2"/>
      </rPr>
      <t>지정할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필드가</t>
    </r>
    <r>
      <rPr>
        <sz val="9"/>
        <color theme="1"/>
        <rFont val="Calibri"/>
        <family val="2"/>
      </rPr>
      <t xml:space="preserve"> </t>
    </r>
    <r>
      <rPr>
        <sz val="9"/>
        <color theme="1"/>
        <rFont val="맑은 고딕"/>
        <family val="2"/>
      </rPr>
      <t>있습니다</t>
    </r>
  </si>
  <si>
    <r>
      <rPr>
        <sz val="9"/>
        <color theme="1"/>
        <rFont val="맑은 고딕"/>
        <family val="2"/>
      </rPr>
      <t>프로그램</t>
    </r>
    <r>
      <rPr>
        <sz val="9"/>
        <color theme="1"/>
        <rFont val="Calibri"/>
        <family val="2"/>
      </rPr>
      <t xml:space="preserve"> </t>
    </r>
    <r>
      <rPr>
        <sz val="9"/>
        <color theme="1"/>
        <rFont val="맑은 고딕"/>
        <family val="2"/>
      </rPr>
      <t>실행경로</t>
    </r>
  </si>
  <si>
    <r>
      <rPr>
        <sz val="9"/>
        <color theme="1"/>
        <rFont val="맑은 고딕"/>
        <family val="2"/>
      </rPr>
      <t>필터</t>
    </r>
    <r>
      <rPr>
        <sz val="9"/>
        <color theme="1"/>
        <rFont val="Calibri"/>
        <family val="2"/>
      </rPr>
      <t xml:space="preserve"> </t>
    </r>
    <r>
      <rPr>
        <sz val="9"/>
        <color theme="1"/>
        <rFont val="맑은 고딕"/>
        <family val="2"/>
      </rPr>
      <t>적용</t>
    </r>
  </si>
  <si>
    <r>
      <rPr>
        <sz val="9"/>
        <color theme="1"/>
        <rFont val="맑은 고딕"/>
        <family val="2"/>
      </rPr>
      <t>작업</t>
    </r>
    <r>
      <rPr>
        <sz val="9"/>
        <color theme="1"/>
        <rFont val="Calibri"/>
        <family val="2"/>
      </rPr>
      <t xml:space="preserve"> </t>
    </r>
    <r>
      <rPr>
        <sz val="9"/>
        <color theme="1"/>
        <rFont val="맑은 고딕"/>
        <family val="2"/>
      </rPr>
      <t>필터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</si>
  <si>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</si>
  <si>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</si>
  <si>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</si>
  <si>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한주의</t>
    </r>
    <r>
      <rPr>
        <sz val="9"/>
        <color theme="1"/>
        <rFont val="Calibri"/>
        <family val="2"/>
      </rPr>
      <t xml:space="preserve"> </t>
    </r>
    <r>
      <rPr>
        <sz val="9"/>
        <color theme="1"/>
        <rFont val="맑은 고딕"/>
        <family val="2"/>
      </rPr>
      <t>시작요일</t>
    </r>
  </si>
  <si>
    <r>
      <rPr>
        <sz val="9"/>
        <color theme="1"/>
        <rFont val="맑은 고딕"/>
        <family val="2"/>
      </rPr>
      <t>컴퓨터</t>
    </r>
    <r>
      <rPr>
        <sz val="9"/>
        <color theme="1"/>
        <rFont val="Calibri"/>
        <family val="2"/>
      </rPr>
      <t xml:space="preserve"> O/S</t>
    </r>
    <r>
      <rPr>
        <sz val="9"/>
        <color theme="1"/>
        <rFont val="맑은 고딕"/>
        <family val="2"/>
      </rPr>
      <t>의</t>
    </r>
    <r>
      <rPr>
        <sz val="9"/>
        <color theme="1"/>
        <rFont val="Calibri"/>
        <family val="2"/>
      </rPr>
      <t xml:space="preserve"> </t>
    </r>
    <r>
      <rPr>
        <sz val="9"/>
        <color theme="1"/>
        <rFont val="맑은 고딕"/>
        <family val="2"/>
      </rPr>
      <t>언어설정을</t>
    </r>
    <r>
      <rPr>
        <sz val="9"/>
        <color theme="1"/>
        <rFont val="Calibri"/>
        <family val="2"/>
      </rPr>
      <t xml:space="preserve"> </t>
    </r>
    <r>
      <rPr>
        <sz val="9"/>
        <color theme="1"/>
        <rFont val="맑은 고딕"/>
        <family val="2"/>
      </rPr>
      <t>따름</t>
    </r>
  </si>
  <si>
    <r>
      <t>Source</t>
    </r>
    <r>
      <rPr>
        <sz val="9"/>
        <color theme="1"/>
        <rFont val="맑은 고딕"/>
        <family val="2"/>
      </rPr>
      <t>파일</t>
    </r>
    <r>
      <rPr>
        <sz val="9"/>
        <color theme="1"/>
        <rFont val="Calibri"/>
        <family val="2"/>
      </rPr>
      <t>(</t>
    </r>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</si>
  <si>
    <r>
      <rPr>
        <sz val="9"/>
        <color theme="1"/>
        <rFont val="맑은 고딕"/>
        <family val="2"/>
      </rPr>
      <t>시작날짜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</si>
  <si>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Gantt chart</t>
    </r>
    <r>
      <rPr>
        <sz val="9"/>
        <color theme="1"/>
        <rFont val="맑은 고딕"/>
        <family val="2"/>
      </rPr>
      <t>표시</t>
    </r>
    <r>
      <rPr>
        <sz val="9"/>
        <color theme="1"/>
        <rFont val="Calibri"/>
        <family val="2"/>
      </rPr>
      <t xml:space="preserve"> </t>
    </r>
    <r>
      <rPr>
        <sz val="9"/>
        <color theme="1"/>
        <rFont val="맑은 고딕"/>
        <family val="2"/>
      </rPr>
      <t>방법</t>
    </r>
  </si>
  <si>
    <r>
      <t xml:space="preserve">Gantt Chart </t>
    </r>
    <r>
      <rPr>
        <sz val="9"/>
        <color theme="1"/>
        <rFont val="맑은 고딕"/>
        <family val="2"/>
      </rPr>
      <t>보기</t>
    </r>
    <r>
      <rPr>
        <sz val="9"/>
        <color theme="1"/>
        <rFont val="Calibri"/>
        <family val="2"/>
      </rPr>
      <t xml:space="preserve"> </t>
    </r>
    <r>
      <rPr>
        <sz val="9"/>
        <color theme="1"/>
        <rFont val="맑은 고딕"/>
        <family val="2"/>
      </rPr>
      <t>형식</t>
    </r>
  </si>
  <si>
    <r>
      <t xml:space="preserve">Gantt Chart </t>
    </r>
    <r>
      <rPr>
        <sz val="9"/>
        <color theme="1"/>
        <rFont val="맑은 고딕"/>
        <family val="2"/>
      </rPr>
      <t>축소</t>
    </r>
    <r>
      <rPr>
        <sz val="9"/>
        <color theme="1"/>
        <rFont val="Calibri"/>
        <family val="2"/>
      </rPr>
      <t>/</t>
    </r>
    <r>
      <rPr>
        <sz val="9"/>
        <color theme="1"/>
        <rFont val="맑은 고딕"/>
        <family val="2"/>
      </rPr>
      <t>확대</t>
    </r>
    <r>
      <rPr>
        <sz val="9"/>
        <color theme="1"/>
        <rFont val="Calibri"/>
        <family val="2"/>
      </rPr>
      <t xml:space="preserve"> </t>
    </r>
    <r>
      <rPr>
        <sz val="9"/>
        <color theme="1"/>
        <rFont val="맑은 고딕"/>
        <family val="2"/>
      </rPr>
      <t>비율</t>
    </r>
  </si>
  <si>
    <r>
      <rPr>
        <sz val="9"/>
        <color theme="1"/>
        <rFont val="맑은 고딕"/>
        <family val="2"/>
      </rPr>
      <t>가져오는</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소스파일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이</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타겟파일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다르면</t>
    </r>
    <r>
      <rPr>
        <sz val="9"/>
        <color theme="1"/>
        <rFont val="Calibri"/>
        <family val="2"/>
      </rPr>
      <t xml:space="preserve"> Import</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</si>
  <si>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작업명으로</t>
    </r>
    <r>
      <rPr>
        <sz val="9"/>
        <color theme="1"/>
        <rFont val="Calibri"/>
        <family val="2"/>
      </rPr>
      <t xml:space="preserve"> </t>
    </r>
    <r>
      <rPr>
        <sz val="9"/>
        <color theme="1"/>
        <rFont val="맑은 고딕"/>
        <family val="2"/>
      </rPr>
      <t>하위</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자동지정을</t>
    </r>
    <r>
      <rPr>
        <sz val="9"/>
        <color theme="1"/>
        <rFont val="Calibri"/>
        <family val="2"/>
      </rPr>
      <t xml:space="preserve"> </t>
    </r>
    <r>
      <rPr>
        <sz val="9"/>
        <color theme="1"/>
        <rFont val="맑은 고딕"/>
        <family val="2"/>
      </rPr>
      <t>선택한</t>
    </r>
    <r>
      <rPr>
        <sz val="9"/>
        <color theme="1"/>
        <rFont val="Calibri"/>
        <family val="2"/>
      </rPr>
      <t xml:space="preserve"> </t>
    </r>
    <r>
      <rPr>
        <sz val="9"/>
        <color theme="1"/>
        <rFont val="맑은 고딕"/>
        <family val="2"/>
      </rPr>
      <t>경우에는</t>
    </r>
    <r>
      <rPr>
        <sz val="9"/>
        <color theme="1"/>
        <rFont val="Calibri"/>
        <family val="2"/>
      </rPr>
      <t xml:space="preserve"> </t>
    </r>
    <r>
      <rPr>
        <sz val="9"/>
        <color theme="1"/>
        <rFont val="맑은 고딕"/>
        <family val="2"/>
      </rPr>
      <t>상위의</t>
    </r>
    <r>
      <rPr>
        <sz val="9"/>
        <color theme="1"/>
        <rFont val="Calibri"/>
        <family val="2"/>
      </rPr>
      <t xml:space="preserve"> </t>
    </r>
    <r>
      <rPr>
        <sz val="9"/>
        <color theme="1"/>
        <rFont val="맑은 고딕"/>
        <family val="2"/>
      </rPr>
      <t>기본경로를</t>
    </r>
    <r>
      <rPr>
        <sz val="9"/>
        <color theme="1"/>
        <rFont val="Calibri"/>
        <family val="2"/>
      </rPr>
      <t xml:space="preserve"> </t>
    </r>
    <r>
      <rPr>
        <sz val="9"/>
        <color theme="1"/>
        <rFont val="맑은 고딕"/>
        <family val="2"/>
      </rPr>
      <t>설정해야</t>
    </r>
    <r>
      <rPr>
        <sz val="9"/>
        <color theme="1"/>
        <rFont val="Calibri"/>
        <family val="2"/>
      </rPr>
      <t xml:space="preserve"> </t>
    </r>
    <r>
      <rPr>
        <sz val="9"/>
        <color theme="1"/>
        <rFont val="맑은 고딕"/>
        <family val="2"/>
      </rPr>
      <t>합니다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</si>
  <si>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실제시작일만</t>
    </r>
    <r>
      <rPr>
        <sz val="9"/>
        <color theme="1"/>
        <rFont val="Calibri"/>
        <family val="2"/>
      </rPr>
      <t xml:space="preserve"> </t>
    </r>
    <r>
      <rPr>
        <sz val="9"/>
        <color theme="1"/>
        <rFont val="맑은 고딕"/>
        <family val="2"/>
      </rPr>
      <t>입력하고</t>
    </r>
    <r>
      <rPr>
        <sz val="9"/>
        <color theme="1"/>
        <rFont val="Calibri"/>
        <family val="2"/>
      </rPr>
      <t xml:space="preserve"> </t>
    </r>
    <r>
      <rPr>
        <sz val="9"/>
        <color theme="1"/>
        <rFont val="맑은 고딕"/>
        <family val="2"/>
      </rPr>
      <t>실제완료일을</t>
    </r>
    <r>
      <rPr>
        <sz val="9"/>
        <color theme="1"/>
        <rFont val="Calibri"/>
        <family val="2"/>
      </rPr>
      <t xml:space="preserve"> </t>
    </r>
    <r>
      <rPr>
        <sz val="9"/>
        <color theme="1"/>
        <rFont val="맑은 고딕"/>
        <family val="2"/>
      </rPr>
      <t>비워놓으면</t>
    </r>
    <r>
      <rPr>
        <sz val="9"/>
        <color theme="1"/>
        <rFont val="Calibri"/>
        <family val="2"/>
      </rPr>
      <t xml:space="preserve"> </t>
    </r>
    <r>
      <rPr>
        <sz val="9"/>
        <color theme="1"/>
        <rFont val="맑은 고딕"/>
        <family val="2"/>
      </rPr>
      <t>완료율을</t>
    </r>
    <r>
      <rPr>
        <sz val="9"/>
        <color theme="1"/>
        <rFont val="Calibri"/>
        <family val="2"/>
      </rPr>
      <t xml:space="preserve"> 100%</t>
    </r>
    <r>
      <rPr>
        <sz val="9"/>
        <color theme="1"/>
        <rFont val="맑은 고딕"/>
        <family val="2"/>
      </rPr>
      <t>로</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</si>
  <si>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일반</t>
    </r>
    <r>
      <rPr>
        <sz val="9"/>
        <color theme="1"/>
        <rFont val="Calibri"/>
        <family val="2"/>
      </rPr>
      <t xml:space="preserve"> Excel </t>
    </r>
    <r>
      <rPr>
        <sz val="9"/>
        <color theme="1"/>
        <rFont val="맑은 고딕"/>
        <family val="2"/>
      </rPr>
      <t>파일</t>
    </r>
  </si>
  <si>
    <r>
      <rPr>
        <sz val="9"/>
        <color theme="1"/>
        <rFont val="맑은 고딕"/>
        <family val="2"/>
      </rPr>
      <t>기존</t>
    </r>
    <r>
      <rPr>
        <sz val="9"/>
        <color theme="1"/>
        <rFont val="Calibri"/>
        <family val="2"/>
      </rPr>
      <t xml:space="preserve">Data </t>
    </r>
    <r>
      <rPr>
        <sz val="9"/>
        <color theme="1"/>
        <rFont val="맑은 고딕"/>
        <family val="2"/>
      </rPr>
      <t>지우고</t>
    </r>
    <r>
      <rPr>
        <sz val="9"/>
        <color theme="1"/>
        <rFont val="Calibri"/>
        <family val="2"/>
      </rPr>
      <t xml:space="preserve"> </t>
    </r>
    <r>
      <rPr>
        <sz val="9"/>
        <color theme="1"/>
        <rFont val="맑은 고딕"/>
        <family val="2"/>
      </rPr>
      <t>가져오기</t>
    </r>
  </si>
  <si>
    <r>
      <rPr>
        <sz val="9"/>
        <color theme="1"/>
        <rFont val="맑은 고딕"/>
        <family val="2"/>
      </rPr>
      <t>기존</t>
    </r>
    <r>
      <rPr>
        <sz val="9"/>
        <color theme="1"/>
        <rFont val="Calibri"/>
        <family val="2"/>
      </rPr>
      <t xml:space="preserve">Data </t>
    </r>
    <r>
      <rPr>
        <sz val="9"/>
        <color theme="1"/>
        <rFont val="맑은 고딕"/>
        <family val="2"/>
      </rPr>
      <t>아래에</t>
    </r>
    <r>
      <rPr>
        <sz val="9"/>
        <color theme="1"/>
        <rFont val="Calibri"/>
        <family val="2"/>
      </rPr>
      <t xml:space="preserve"> </t>
    </r>
    <r>
      <rPr>
        <sz val="9"/>
        <color theme="1"/>
        <rFont val="맑은 고딕"/>
        <family val="2"/>
      </rPr>
      <t>추가하기</t>
    </r>
  </si>
  <si>
    <r>
      <t>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</si>
  <si>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지우고</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_x000D_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</si>
  <si>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그대로</t>
    </r>
    <r>
      <rPr>
        <sz val="9"/>
        <color theme="1"/>
        <rFont val="Calibri"/>
        <family val="2"/>
      </rPr>
      <t xml:space="preserve"> </t>
    </r>
    <r>
      <rPr>
        <sz val="9"/>
        <color theme="1"/>
        <rFont val="맑은 고딕"/>
        <family val="2"/>
      </rPr>
      <t>두고</t>
    </r>
    <r>
      <rPr>
        <sz val="9"/>
        <color theme="1"/>
        <rFont val="Calibri"/>
        <family val="2"/>
      </rPr>
      <t xml:space="preserve"> </t>
    </r>
    <r>
      <rPr>
        <sz val="9"/>
        <color theme="1"/>
        <rFont val="맑은 고딕"/>
        <family val="2"/>
      </rPr>
      <t>맨</t>
    </r>
    <r>
      <rPr>
        <sz val="9"/>
        <color theme="1"/>
        <rFont val="Calibri"/>
        <family val="2"/>
      </rPr>
      <t xml:space="preserve"> </t>
    </r>
    <r>
      <rPr>
        <sz val="9"/>
        <color theme="1"/>
        <rFont val="맑은 고딕"/>
        <family val="2"/>
      </rPr>
      <t>아래에</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</si>
  <si>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가져오기</t>
    </r>
    <r>
      <rPr>
        <sz val="9"/>
        <color theme="1"/>
        <rFont val="Calibri"/>
        <family val="2"/>
      </rPr>
      <t xml:space="preserve"> </t>
    </r>
    <r>
      <rPr>
        <sz val="9"/>
        <color theme="1"/>
        <rFont val="맑은 고딕"/>
        <family val="2"/>
      </rPr>
      <t>옵션</t>
    </r>
  </si>
  <si>
    <r>
      <rPr>
        <sz val="9"/>
        <color theme="1"/>
        <rFont val="맑은 고딕"/>
        <family val="2"/>
      </rPr>
      <t>가져오기</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완료되었습니다</t>
    </r>
    <r>
      <rPr>
        <sz val="9"/>
        <color theme="1"/>
        <rFont val="Calibri"/>
        <family val="2"/>
      </rPr>
      <t>.\n</t>
    </r>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행수</t>
    </r>
    <r>
      <rPr>
        <sz val="9"/>
        <color theme="1"/>
        <rFont val="Calibri"/>
        <family val="2"/>
      </rPr>
      <t xml:space="preserve"> : </t>
    </r>
  </si>
  <si>
    <r>
      <rPr>
        <sz val="9"/>
        <color theme="1"/>
        <rFont val="맑은 고딕"/>
        <family val="2"/>
      </rPr>
      <t>기존</t>
    </r>
    <r>
      <rPr>
        <sz val="9"/>
        <color theme="1"/>
        <rFont val="Calibri"/>
        <family val="2"/>
      </rPr>
      <t>Data</t>
    </r>
    <r>
      <rPr>
        <sz val="9"/>
        <color theme="1"/>
        <rFont val="맑은 고딕"/>
        <family val="2"/>
      </rPr>
      <t>에</t>
    </r>
    <r>
      <rPr>
        <sz val="9"/>
        <color theme="1"/>
        <rFont val="Calibri"/>
        <family val="2"/>
      </rPr>
      <t xml:space="preserve"> </t>
    </r>
    <r>
      <rPr>
        <sz val="9"/>
        <color theme="1"/>
        <rFont val="맑은 고딕"/>
        <family val="2"/>
      </rPr>
      <t>추가하기</t>
    </r>
  </si>
  <si>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</si>
  <si>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자료를</t>
    </r>
    <r>
      <rPr>
        <sz val="9"/>
        <color theme="1"/>
        <rFont val="Calibri"/>
        <family val="2"/>
      </rPr>
      <t xml:space="preserve"> </t>
    </r>
    <r>
      <rPr>
        <sz val="9"/>
        <color theme="1"/>
        <rFont val="맑은 고딕"/>
        <family val="2"/>
      </rPr>
      <t>가져옵니다</t>
    </r>
    <r>
      <rPr>
        <sz val="9"/>
        <color theme="1"/>
        <rFont val="Calibri"/>
        <family val="2"/>
      </rPr>
      <t xml:space="preserve">. </t>
    </r>
    <r>
      <rPr>
        <sz val="9"/>
        <color theme="1"/>
        <rFont val="맑은 고딕"/>
        <family val="2"/>
      </rPr>
      <t>잠시만</t>
    </r>
    <r>
      <rPr>
        <sz val="9"/>
        <color theme="1"/>
        <rFont val="Calibri"/>
        <family val="2"/>
      </rPr>
      <t xml:space="preserve"> </t>
    </r>
    <r>
      <rPr>
        <sz val="9"/>
        <color theme="1"/>
        <rFont val="맑은 고딕"/>
        <family val="2"/>
      </rPr>
      <t>기다려주세요</t>
    </r>
    <r>
      <rPr>
        <sz val="9"/>
        <color theme="1"/>
        <rFont val="Calibri"/>
        <family val="2"/>
      </rPr>
      <t>...</t>
    </r>
  </si>
  <si>
    <r>
      <rPr>
        <sz val="9"/>
        <color theme="1"/>
        <rFont val="맑은 고딕"/>
        <family val="2"/>
      </rPr>
      <t>산출물명</t>
    </r>
    <r>
      <rPr>
        <sz val="9"/>
        <color theme="1"/>
        <rFont val="Calibri"/>
        <family val="2"/>
      </rPr>
      <t xml:space="preserve"> </t>
    </r>
    <r>
      <rPr>
        <sz val="9"/>
        <color theme="1"/>
        <rFont val="맑은 고딕"/>
        <family val="2"/>
      </rPr>
      <t>비었을때</t>
    </r>
    <r>
      <rPr>
        <sz val="9"/>
        <color theme="1"/>
        <rFont val="Calibri"/>
        <family val="2"/>
      </rPr>
      <t>\n</t>
    </r>
    <r>
      <rPr>
        <sz val="9"/>
        <color theme="1"/>
        <rFont val="맑은 고딕"/>
        <family val="2"/>
      </rPr>
      <t>선택목록에</t>
    </r>
    <r>
      <rPr>
        <sz val="9"/>
        <color theme="1"/>
        <rFont val="Calibri"/>
        <family val="2"/>
      </rPr>
      <t xml:space="preserve"> </t>
    </r>
    <r>
      <rPr>
        <sz val="9"/>
        <color theme="1"/>
        <rFont val="맑은 고딕"/>
        <family val="2"/>
      </rPr>
      <t>포함</t>
    </r>
    <r>
      <rPr>
        <sz val="9"/>
        <color theme="1"/>
        <rFont val="Calibri"/>
        <family val="2"/>
      </rPr>
      <t>\n</t>
    </r>
    <r>
      <rPr>
        <sz val="9"/>
        <color theme="1"/>
        <rFont val="맑은 고딕"/>
        <family val="2"/>
      </rPr>
      <t>여부</t>
    </r>
  </si>
  <si>
    <r>
      <rPr>
        <sz val="9"/>
        <color theme="1"/>
        <rFont val="맑은 고딕"/>
        <family val="2"/>
      </rPr>
      <t>작업레벨</t>
    </r>
    <r>
      <rPr>
        <sz val="9"/>
        <color theme="1"/>
        <rFont val="Calibri"/>
        <family val="2"/>
      </rPr>
      <t xml:space="preserve"> </t>
    </r>
    <r>
      <rPr>
        <sz val="9"/>
        <color theme="1"/>
        <rFont val="맑은 고딕"/>
        <family val="2"/>
      </rPr>
      <t>내림</t>
    </r>
  </si>
  <si>
    <r>
      <rPr>
        <sz val="9"/>
        <color theme="1"/>
        <rFont val="맑은 고딕"/>
        <family val="2"/>
      </rPr>
      <t>이미</t>
    </r>
    <r>
      <rPr>
        <sz val="9"/>
        <color theme="1"/>
        <rFont val="Calibri"/>
        <family val="2"/>
      </rPr>
      <t xml:space="preserve"> </t>
    </r>
    <r>
      <rPr>
        <sz val="9"/>
        <color theme="1"/>
        <rFont val="맑은 고딕"/>
        <family val="2"/>
      </rPr>
      <t>선택된</t>
    </r>
    <r>
      <rPr>
        <sz val="9"/>
        <color theme="1"/>
        <rFont val="Calibri"/>
        <family val="2"/>
      </rPr>
      <t xml:space="preserve"> </t>
    </r>
    <r>
      <rPr>
        <sz val="9"/>
        <color theme="1"/>
        <rFont val="맑은 고딕"/>
        <family val="2"/>
      </rPr>
      <t>언어입니다</t>
    </r>
    <r>
      <rPr>
        <sz val="9"/>
        <color theme="1"/>
        <rFont val="Calibri"/>
        <family val="2"/>
      </rPr>
      <t>.</t>
    </r>
  </si>
  <si>
    <r>
      <rPr>
        <sz val="9"/>
        <color theme="1"/>
        <rFont val="맑은 고딕"/>
        <family val="2"/>
      </rPr>
      <t>일정변경</t>
    </r>
    <r>
      <rPr>
        <sz val="9"/>
        <color theme="1"/>
        <rFont val="Calibri"/>
        <family val="2"/>
      </rPr>
      <t xml:space="preserve"> </t>
    </r>
    <r>
      <rPr>
        <sz val="9"/>
        <color theme="1"/>
        <rFont val="맑은 고딕"/>
        <family val="2"/>
      </rPr>
      <t>관리함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t>
    </r>
    <r>
      <rPr>
        <sz val="9"/>
        <color theme="1"/>
        <rFont val="Calibri"/>
        <family val="2"/>
      </rPr>
      <t xml:space="preserve"> </t>
    </r>
    <r>
      <rPr>
        <sz val="9"/>
        <color theme="1"/>
        <rFont val="맑은 고딕"/>
        <family val="2"/>
      </rPr>
      <t>사용</t>
    </r>
    <r>
      <rPr>
        <sz val="9"/>
        <color theme="1"/>
        <rFont val="Calibri"/>
        <family val="2"/>
      </rPr>
      <t>)</t>
    </r>
  </si>
  <si>
    <r>
      <t>yyyy</t>
    </r>
    <r>
      <rPr>
        <sz val="9"/>
        <color theme="1"/>
        <rFont val="맑은 고딕"/>
        <family val="2"/>
      </rPr>
      <t>년</t>
    </r>
    <r>
      <rPr>
        <sz val="9"/>
        <color theme="1"/>
        <rFont val="Calibri"/>
        <family val="2"/>
      </rPr>
      <t xml:space="preserve"> m</t>
    </r>
    <r>
      <rPr>
        <sz val="9"/>
        <color theme="1"/>
        <rFont val="맑은 고딕"/>
        <family val="2"/>
      </rPr>
      <t>월</t>
    </r>
  </si>
  <si>
    <r>
      <rPr>
        <sz val="9"/>
        <color theme="1"/>
        <rFont val="맑은 고딕"/>
        <family val="2"/>
      </rPr>
      <t>최신</t>
    </r>
    <r>
      <rPr>
        <sz val="9"/>
        <color theme="1"/>
        <rFont val="Calibri"/>
        <family val="2"/>
      </rPr>
      <t xml:space="preserve"> </t>
    </r>
    <r>
      <rPr>
        <sz val="9"/>
        <color theme="1"/>
        <rFont val="맑은 고딕"/>
        <family val="2"/>
      </rPr>
      <t>버전</t>
    </r>
  </si>
  <si>
    <r>
      <rPr>
        <sz val="9"/>
        <color theme="1"/>
        <rFont val="맑은 고딕"/>
        <family val="2"/>
      </rPr>
      <t>다음</t>
    </r>
    <r>
      <rPr>
        <sz val="9"/>
        <color theme="1"/>
        <rFont val="Calibri"/>
        <family val="2"/>
      </rPr>
      <t xml:space="preserve"> &gt;&gt;</t>
    </r>
  </si>
  <si>
    <r>
      <t>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</si>
  <si>
    <r>
      <rPr>
        <sz val="9"/>
        <color theme="1"/>
        <rFont val="맑은 고딕"/>
        <family val="2"/>
      </rPr>
      <t>일정변경</t>
    </r>
    <r>
      <rPr>
        <sz val="9"/>
        <color theme="1"/>
        <rFont val="Calibri"/>
        <family val="2"/>
      </rPr>
      <t xml:space="preserve"> </t>
    </r>
    <r>
      <rPr>
        <sz val="9"/>
        <color theme="1"/>
        <rFont val="맑은 고딕"/>
        <family val="2"/>
      </rPr>
      <t>관리</t>
    </r>
    <r>
      <rPr>
        <sz val="9"/>
        <color theme="1"/>
        <rFont val="Calibri"/>
        <family val="2"/>
      </rPr>
      <t xml:space="preserve"> </t>
    </r>
    <r>
      <rPr>
        <sz val="9"/>
        <color theme="1"/>
        <rFont val="맑은 고딕"/>
        <family val="2"/>
      </rPr>
      <t>안함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t>
    </r>
    <r>
      <rPr>
        <sz val="9"/>
        <color theme="1"/>
        <rFont val="Calibri"/>
        <family val="2"/>
      </rPr>
      <t>)</t>
    </r>
  </si>
  <si>
    <r>
      <rPr>
        <sz val="9"/>
        <color theme="1"/>
        <rFont val="맑은 고딕"/>
        <family val="2"/>
      </rPr>
      <t>지정하지</t>
    </r>
    <r>
      <rPr>
        <sz val="9"/>
        <color theme="1"/>
        <rFont val="Calibri"/>
        <family val="2"/>
      </rPr>
      <t xml:space="preserve"> </t>
    </r>
    <r>
      <rPr>
        <sz val="9"/>
        <color theme="1"/>
        <rFont val="맑은 고딕"/>
        <family val="2"/>
      </rPr>
      <t>않음</t>
    </r>
    <r>
      <rPr>
        <sz val="9"/>
        <color theme="1"/>
        <rFont val="Calibri"/>
        <family val="2"/>
      </rPr>
      <t>(</t>
    </r>
    <r>
      <rPr>
        <sz val="9"/>
        <color theme="1"/>
        <rFont val="맑은 고딕"/>
        <family val="2"/>
      </rPr>
      <t>표준캘린더</t>
    </r>
    <r>
      <rPr>
        <sz val="9"/>
        <color theme="1"/>
        <rFont val="Calibri"/>
        <family val="2"/>
      </rPr>
      <t>)</t>
    </r>
  </si>
  <si>
    <r>
      <t>1~2</t>
    </r>
    <r>
      <rPr>
        <sz val="9"/>
        <color theme="1"/>
        <rFont val="맑은 고딕"/>
        <family val="2"/>
      </rPr>
      <t>행</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한</t>
    </r>
    <r>
      <rPr>
        <sz val="9"/>
        <color theme="1"/>
        <rFont val="Calibri"/>
        <family val="2"/>
      </rPr>
      <t xml:space="preserve"> </t>
    </r>
    <r>
      <rPr>
        <sz val="9"/>
        <color theme="1"/>
        <rFont val="맑은 고딕"/>
        <family val="2"/>
      </rPr>
      <t>행이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작업하십시오</t>
    </r>
    <r>
      <rPr>
        <sz val="9"/>
        <color theme="1"/>
        <rFont val="Calibri"/>
        <family val="2"/>
      </rPr>
      <t>.</t>
    </r>
  </si>
  <si>
    <r>
      <t>"</t>
    </r>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선택했으면</t>
    </r>
    <r>
      <rPr>
        <sz val="9"/>
        <color theme="1"/>
        <rFont val="Calibri"/>
        <family val="2"/>
      </rPr>
      <t xml:space="preserve"> WBS No. </t>
    </r>
    <r>
      <rPr>
        <sz val="9"/>
        <color theme="1"/>
        <rFont val="맑은 고딕"/>
        <family val="2"/>
      </rPr>
      <t>또는</t>
    </r>
    <r>
      <rPr>
        <sz val="9"/>
        <color theme="1"/>
        <rFont val="Calibri"/>
        <family val="2"/>
      </rPr>
      <t xml:space="preserve"> </t>
    </r>
    <r>
      <rPr>
        <sz val="9"/>
        <color theme="1"/>
        <rFont val="맑은 고딕"/>
        <family val="2"/>
      </rPr>
      <t>개요수준</t>
    </r>
    <r>
      <rPr>
        <sz val="9"/>
        <color theme="1"/>
        <rFont val="Calibri"/>
        <family val="2"/>
      </rPr>
      <t xml:space="preserve">(WBS Level) </t>
    </r>
    <r>
      <rPr>
        <sz val="9"/>
        <color theme="1"/>
        <rFont val="맑은 고딕"/>
        <family val="2"/>
      </rPr>
      <t>필드</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하나는</t>
    </r>
    <r>
      <rPr>
        <sz val="9"/>
        <color theme="1"/>
        <rFont val="Calibri"/>
        <family val="2"/>
      </rPr>
      <t xml:space="preserve"> </t>
    </r>
    <r>
      <rPr>
        <sz val="9"/>
        <color theme="1"/>
        <rFont val="맑은 고딕"/>
        <family val="2"/>
      </rPr>
      <t>선택되어야</t>
    </r>
    <r>
      <rPr>
        <sz val="9"/>
        <color theme="1"/>
        <rFont val="Calibri"/>
        <family val="2"/>
      </rPr>
      <t xml:space="preserve"> </t>
    </r>
    <r>
      <rPr>
        <sz val="9"/>
        <color theme="1"/>
        <rFont val="맑은 고딕"/>
        <family val="2"/>
      </rPr>
      <t>합니다</t>
    </r>
  </si>
  <si>
    <r>
      <rPr>
        <sz val="9"/>
        <color theme="1"/>
        <rFont val="맑은 고딕"/>
        <family val="2"/>
      </rPr>
      <t>산출물</t>
    </r>
    <r>
      <rPr>
        <sz val="9"/>
        <color theme="1"/>
        <rFont val="Calibri"/>
        <family val="2"/>
      </rPr>
      <t xml:space="preserve"> </t>
    </r>
    <r>
      <rPr>
        <sz val="9"/>
        <color theme="1"/>
        <rFont val="맑은 고딕"/>
        <family val="2"/>
      </rPr>
      <t>열기</t>
    </r>
  </si>
  <si>
    <r>
      <rPr>
        <sz val="9"/>
        <color theme="1"/>
        <rFont val="맑은 고딕"/>
        <family val="2"/>
      </rPr>
      <t>산출물</t>
    </r>
    <r>
      <rPr>
        <sz val="9"/>
        <color theme="1"/>
        <rFont val="Calibri"/>
        <family val="2"/>
      </rPr>
      <t xml:space="preserve"> </t>
    </r>
    <r>
      <rPr>
        <sz val="9"/>
        <color theme="1"/>
        <rFont val="맑은 고딕"/>
        <family val="2"/>
      </rPr>
      <t>폴더</t>
    </r>
    <r>
      <rPr>
        <sz val="9"/>
        <color theme="1"/>
        <rFont val="Calibri"/>
        <family val="2"/>
      </rPr>
      <t xml:space="preserve"> </t>
    </r>
    <r>
      <rPr>
        <sz val="9"/>
        <color theme="1"/>
        <rFont val="맑은 고딕"/>
        <family val="2"/>
      </rPr>
      <t>열기</t>
    </r>
  </si>
  <si>
    <r>
      <rPr>
        <sz val="9"/>
        <color theme="1"/>
        <rFont val="맑은 고딕"/>
        <family val="2"/>
      </rPr>
      <t>작업레벨</t>
    </r>
    <r>
      <rPr>
        <sz val="9"/>
        <color theme="1"/>
        <rFont val="Calibri"/>
        <family val="2"/>
      </rPr>
      <t xml:space="preserve"> </t>
    </r>
    <r>
      <rPr>
        <sz val="9"/>
        <color theme="1"/>
        <rFont val="맑은 고딕"/>
        <family val="2"/>
      </rPr>
      <t>올림</t>
    </r>
  </si>
  <si>
    <r>
      <rPr>
        <sz val="9"/>
        <color theme="1"/>
        <rFont val="맑은 고딕"/>
        <family val="2"/>
      </rPr>
      <t>퍼센트</t>
    </r>
    <r>
      <rPr>
        <sz val="9"/>
        <color theme="1"/>
        <rFont val="Calibri"/>
        <family val="2"/>
      </rPr>
      <t xml:space="preserve"> </t>
    </r>
    <r>
      <rPr>
        <sz val="9"/>
        <color theme="1"/>
        <rFont val="맑은 고딕"/>
        <family val="2"/>
      </rPr>
      <t>지정</t>
    </r>
  </si>
  <si>
    <r>
      <rPr>
        <sz val="9"/>
        <color theme="1"/>
        <rFont val="맑은 고딕"/>
        <family val="2"/>
      </rPr>
      <t>진척작업량</t>
    </r>
    <r>
      <rPr>
        <sz val="9"/>
        <color theme="1"/>
        <rFont val="Calibri"/>
        <family val="2"/>
      </rPr>
      <t>( C )\nMan-day</t>
    </r>
  </si>
  <si>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</si>
  <si>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일정변경관리</t>
    </r>
    <r>
      <rPr>
        <sz val="9"/>
        <color theme="1"/>
        <rFont val="Calibri"/>
        <family val="2"/>
      </rPr>
      <t xml:space="preserve"> </t>
    </r>
    <r>
      <rPr>
        <sz val="9"/>
        <color theme="1"/>
        <rFont val="맑은 고딕"/>
        <family val="2"/>
      </rPr>
      <t>할때</t>
    </r>
    <r>
      <rPr>
        <sz val="9"/>
        <color theme="1"/>
        <rFont val="Calibri"/>
        <family val="2"/>
      </rPr>
      <t xml:space="preserve"> </t>
    </r>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</si>
  <si>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날짜</t>
    </r>
    <r>
      <rPr>
        <sz val="9"/>
        <color theme="1"/>
        <rFont val="Calibri"/>
        <family val="2"/>
      </rPr>
      <t xml:space="preserve"> </t>
    </r>
    <r>
      <rPr>
        <sz val="9"/>
        <color theme="1"/>
        <rFont val="맑은 고딕"/>
        <family val="2"/>
      </rPr>
      <t>선택</t>
    </r>
  </si>
  <si>
    <r>
      <rPr>
        <sz val="9"/>
        <color theme="1"/>
        <rFont val="맑은 고딕"/>
        <family val="2"/>
      </rPr>
      <t>현재날짜까지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계획진척율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</si>
  <si>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계획</t>
    </r>
    <r>
      <rPr>
        <sz val="9"/>
        <color theme="1"/>
        <rFont val="Calibri"/>
        <family val="2"/>
      </rPr>
      <t xml:space="preserve"> </t>
    </r>
    <r>
      <rPr>
        <sz val="9"/>
        <color theme="1"/>
        <rFont val="맑은 고딕"/>
        <family val="2"/>
      </rPr>
      <t>진척율</t>
    </r>
    <r>
      <rPr>
        <sz val="9"/>
        <color theme="1"/>
        <rFont val="Calibri"/>
        <family val="2"/>
      </rPr>
      <t>(A)</t>
    </r>
  </si>
  <si>
    <r>
      <rPr>
        <sz val="9"/>
        <color theme="1"/>
        <rFont val="맑은 고딕"/>
        <family val="2"/>
      </rPr>
      <t>계획</t>
    </r>
    <r>
      <rPr>
        <sz val="9"/>
        <color theme="1"/>
        <rFont val="Calibri"/>
        <family val="2"/>
      </rPr>
      <t>(B/A)</t>
    </r>
  </si>
  <si>
    <r>
      <rPr>
        <sz val="9"/>
        <color theme="1"/>
        <rFont val="맑은 고딕"/>
        <family val="2"/>
      </rPr>
      <t>계획진척율</t>
    </r>
    <r>
      <rPr>
        <sz val="9"/>
        <color theme="1"/>
        <rFont val="Calibri"/>
        <family val="2"/>
      </rPr>
      <t>(</t>
    </r>
    <r>
      <rPr>
        <sz val="9"/>
        <color theme="1"/>
        <rFont val="맑은 고딕"/>
        <family val="2"/>
      </rPr>
      <t>주별</t>
    </r>
    <r>
      <rPr>
        <sz val="9"/>
        <color theme="1"/>
        <rFont val="Calibri"/>
        <family val="2"/>
      </rPr>
      <t>)</t>
    </r>
  </si>
  <si>
    <r>
      <rPr>
        <sz val="9"/>
        <color theme="1"/>
        <rFont val="맑은 고딕"/>
        <family val="2"/>
      </rPr>
      <t>계획작업량</t>
    </r>
    <r>
      <rPr>
        <sz val="9"/>
        <color theme="1"/>
        <rFont val="Calibri"/>
        <family val="2"/>
      </rPr>
      <t>(B)\nMan-day</t>
    </r>
  </si>
  <si>
    <r>
      <rPr>
        <sz val="9"/>
        <color theme="1"/>
        <rFont val="맑은 고딕"/>
        <family val="2"/>
      </rPr>
      <t>계획</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현재일까지</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</si>
  <si>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현재일까지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작업량</t>
    </r>
  </si>
  <si>
    <r>
      <rPr>
        <sz val="9"/>
        <color theme="1"/>
        <rFont val="맑은 고딕"/>
        <family val="2"/>
      </rPr>
      <t>해당작업의</t>
    </r>
    <r>
      <rPr>
        <sz val="9"/>
        <color theme="1"/>
        <rFont val="Calibri"/>
        <family val="2"/>
      </rPr>
      <t xml:space="preserve"> </t>
    </r>
    <r>
      <rPr>
        <sz val="9"/>
        <color theme="1"/>
        <rFont val="맑은 고딕"/>
        <family val="2"/>
      </rPr>
      <t>시작일부터</t>
    </r>
    <r>
      <rPr>
        <sz val="9"/>
        <color theme="1"/>
        <rFont val="Calibri"/>
        <family val="2"/>
      </rPr>
      <t xml:space="preserve"> </t>
    </r>
    <r>
      <rPr>
        <sz val="9"/>
        <color theme="1"/>
        <rFont val="맑은 고딕"/>
        <family val="2"/>
      </rPr>
      <t>현재일까지의</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의미함</t>
    </r>
    <r>
      <rPr>
        <sz val="9"/>
        <color theme="1"/>
        <rFont val="Calibri"/>
        <family val="2"/>
      </rPr>
      <t>(</t>
    </r>
    <r>
      <rPr>
        <sz val="9"/>
        <color theme="1"/>
        <rFont val="맑은 고딕"/>
        <family val="2"/>
      </rPr>
      <t>현재</t>
    </r>
    <r>
      <rPr>
        <sz val="9"/>
        <color theme="1"/>
        <rFont val="Calibri"/>
        <family val="2"/>
      </rPr>
      <t xml:space="preserve"> </t>
    </r>
    <r>
      <rPr>
        <sz val="9"/>
        <color theme="1"/>
        <rFont val="맑은 고딕"/>
        <family val="2"/>
      </rPr>
      <t>날짜까지</t>
    </r>
    <r>
      <rPr>
        <sz val="9"/>
        <color theme="1"/>
        <rFont val="Calibri"/>
        <family val="2"/>
      </rPr>
      <t xml:space="preserve"> </t>
    </r>
    <r>
      <rPr>
        <sz val="9"/>
        <color theme="1"/>
        <rFont val="맑은 고딕"/>
        <family val="2"/>
      </rPr>
      <t>진행되었어야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기간</t>
    </r>
    <r>
      <rPr>
        <sz val="9"/>
        <color theme="1"/>
        <rFont val="Calibri"/>
        <family val="2"/>
      </rPr>
      <t>)</t>
    </r>
  </si>
  <si>
    <r>
      <rPr>
        <sz val="9"/>
        <color theme="1"/>
        <rFont val="맑은 고딕"/>
        <family val="2"/>
      </rPr>
      <t>계획</t>
    </r>
    <r>
      <rPr>
        <sz val="9"/>
        <color theme="1"/>
        <rFont val="Calibri"/>
        <family val="2"/>
      </rPr>
      <t>\n</t>
    </r>
    <r>
      <rPr>
        <sz val="9"/>
        <color theme="1"/>
        <rFont val="맑은 고딕"/>
        <family val="2"/>
      </rPr>
      <t>작업량</t>
    </r>
  </si>
  <si>
    <r>
      <rPr>
        <sz val="9"/>
        <color theme="1"/>
        <rFont val="맑은 고딕"/>
        <family val="2"/>
      </rPr>
      <t>작업필드의</t>
    </r>
    <r>
      <rPr>
        <sz val="9"/>
        <color theme="1"/>
        <rFont val="Calibri"/>
        <family val="2"/>
      </rPr>
      <t xml:space="preserve"> </t>
    </r>
    <r>
      <rPr>
        <sz val="9"/>
        <color theme="1"/>
        <rFont val="맑은 고딕"/>
        <family val="2"/>
      </rPr>
      <t>유형을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</si>
  <si>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확장자명을</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</si>
  <si>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산출물이</t>
    </r>
    <r>
      <rPr>
        <sz val="9"/>
        <color theme="1"/>
        <rFont val="Calibri"/>
        <family val="2"/>
      </rPr>
      <t xml:space="preserve"> </t>
    </r>
    <r>
      <rPr>
        <sz val="9"/>
        <color theme="1"/>
        <rFont val="맑은 고딕"/>
        <family val="2"/>
      </rPr>
      <t>저장될</t>
    </r>
    <r>
      <rPr>
        <sz val="9"/>
        <color theme="1"/>
        <rFont val="Calibri"/>
        <family val="2"/>
      </rPr>
      <t xml:space="preserve"> </t>
    </r>
    <r>
      <rPr>
        <sz val="9"/>
        <color theme="1"/>
        <rFont val="맑은 고딕"/>
        <family val="2"/>
      </rPr>
      <t>특정경로를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</si>
  <si>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실행경로를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</si>
  <si>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이</t>
    </r>
    <r>
      <rPr>
        <sz val="9"/>
        <color theme="1"/>
        <rFont val="Calibri"/>
        <family val="2"/>
      </rPr>
      <t xml:space="preserve"> Sheet</t>
    </r>
    <r>
      <rPr>
        <sz val="9"/>
        <color theme="1"/>
        <rFont val="맑은 고딕"/>
        <family val="2"/>
      </rPr>
      <t>에서</t>
    </r>
    <r>
      <rPr>
        <sz val="9"/>
        <color theme="1"/>
        <rFont val="Calibri"/>
        <family val="2"/>
      </rPr>
      <t xml:space="preserve"> </t>
    </r>
    <r>
      <rPr>
        <sz val="9"/>
        <color theme="1"/>
        <rFont val="맑은 고딕"/>
        <family val="2"/>
      </rPr>
      <t>프로젝트</t>
    </r>
    <r>
      <rPr>
        <sz val="9"/>
        <color theme="1"/>
        <rFont val="Calibri"/>
        <family val="2"/>
      </rPr>
      <t xml:space="preserve"> Calendar</t>
    </r>
    <r>
      <rPr>
        <sz val="9"/>
        <color theme="1"/>
        <rFont val="맑은 고딕"/>
        <family val="2"/>
      </rPr>
      <t>를</t>
    </r>
    <r>
      <rPr>
        <sz val="9"/>
        <color theme="1"/>
        <rFont val="Calibri"/>
        <family val="2"/>
      </rPr>
      <t xml:space="preserve"> </t>
    </r>
    <r>
      <rPr>
        <sz val="9"/>
        <color theme="1"/>
        <rFont val="맑은 고딕"/>
        <family val="2"/>
      </rPr>
      <t>설정하세요</t>
    </r>
    <r>
      <rPr>
        <sz val="9"/>
        <color theme="1"/>
        <rFont val="Calibri"/>
        <family val="2"/>
      </rPr>
      <t>.</t>
    </r>
  </si>
  <si>
    <r>
      <rPr>
        <sz val="9"/>
        <color theme="1"/>
        <rFont val="맑은 고딕"/>
        <family val="2"/>
      </rPr>
      <t>양수이면</t>
    </r>
    <r>
      <rPr>
        <sz val="9"/>
        <color theme="1"/>
        <rFont val="Calibri"/>
        <family val="2"/>
      </rPr>
      <t xml:space="preserve"> </t>
    </r>
    <r>
      <rPr>
        <sz val="9"/>
        <color theme="1"/>
        <rFont val="맑은 고딕"/>
        <family val="2"/>
      </rPr>
      <t>계획보다</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t>
    </r>
    <r>
      <rPr>
        <sz val="9"/>
        <color theme="1"/>
        <rFont val="Calibri"/>
        <family val="2"/>
      </rPr>
      <t xml:space="preserve">, </t>
    </r>
    <r>
      <rPr>
        <sz val="9"/>
        <color theme="1"/>
        <rFont val="맑은 고딕"/>
        <family val="2"/>
      </rPr>
      <t>음수이면</t>
    </r>
    <r>
      <rPr>
        <sz val="9"/>
        <color theme="1"/>
        <rFont val="Calibri"/>
        <family val="2"/>
      </rPr>
      <t xml:space="preserve"> </t>
    </r>
    <r>
      <rPr>
        <sz val="9"/>
        <color theme="1"/>
        <rFont val="맑은 고딕"/>
        <family val="2"/>
      </rPr>
      <t>지연</t>
    </r>
  </si>
  <si>
    <r>
      <rPr>
        <sz val="9"/>
        <color theme="1"/>
        <rFont val="맑은 고딕"/>
        <family val="2"/>
      </rPr>
      <t>프로그램</t>
    </r>
    <r>
      <rPr>
        <sz val="9"/>
        <color theme="1"/>
        <rFont val="Calibri"/>
        <family val="2"/>
      </rPr>
      <t xml:space="preserve"> </t>
    </r>
    <r>
      <rPr>
        <sz val="9"/>
        <color theme="1"/>
        <rFont val="맑은 고딕"/>
        <family val="2"/>
      </rPr>
      <t>정보</t>
    </r>
  </si>
  <si>
    <r>
      <rPr>
        <sz val="9"/>
        <color theme="1"/>
        <rFont val="맑은 고딕"/>
        <family val="2"/>
      </rPr>
      <t>프로그램</t>
    </r>
    <r>
      <rPr>
        <sz val="9"/>
        <color theme="1"/>
        <rFont val="Calibri"/>
        <family val="2"/>
      </rPr>
      <t xml:space="preserve"> </t>
    </r>
    <r>
      <rPr>
        <sz val="9"/>
        <color theme="1"/>
        <rFont val="맑은 고딕"/>
        <family val="2"/>
      </rPr>
      <t>사이트</t>
    </r>
  </si>
  <si>
    <r>
      <rPr>
        <sz val="9"/>
        <color theme="1"/>
        <rFont val="맑은 고딕"/>
        <family val="2"/>
      </rPr>
      <t>담당별</t>
    </r>
    <r>
      <rPr>
        <sz val="9"/>
        <color theme="1"/>
        <rFont val="Calibri"/>
        <family val="2"/>
      </rPr>
      <t xml:space="preserve"> </t>
    </r>
    <r>
      <rPr>
        <sz val="9"/>
        <color theme="1"/>
        <rFont val="맑은 고딕"/>
        <family val="2"/>
      </rPr>
      <t>진행율</t>
    </r>
  </si>
  <si>
    <r>
      <rPr>
        <sz val="9"/>
        <color theme="1"/>
        <rFont val="맑은 고딕"/>
        <family val="2"/>
      </rPr>
      <t>프로젝트</t>
    </r>
    <r>
      <rPr>
        <sz val="9"/>
        <color theme="1"/>
        <rFont val="Calibri"/>
        <family val="2"/>
      </rPr>
      <t xml:space="preserve"> </t>
    </r>
    <r>
      <rPr>
        <sz val="9"/>
        <color theme="1"/>
        <rFont val="맑은 고딕"/>
        <family val="2"/>
      </rPr>
      <t>정보</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</si>
  <si>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관리할때</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</si>
  <si>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않을때</t>
    </r>
  </si>
  <si>
    <r>
      <rPr>
        <sz val="9"/>
        <color theme="1"/>
        <rFont val="맑은 고딕"/>
        <family val="2"/>
      </rPr>
      <t>컴퓨터</t>
    </r>
    <r>
      <rPr>
        <sz val="9"/>
        <color theme="1"/>
        <rFont val="Calibri"/>
        <family val="2"/>
      </rPr>
      <t xml:space="preserve"> O/S</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사용자가</t>
    </r>
    <r>
      <rPr>
        <sz val="9"/>
        <color theme="1"/>
        <rFont val="Calibri"/>
        <family val="2"/>
      </rPr>
      <t xml:space="preserve"> </t>
    </r>
    <r>
      <rPr>
        <sz val="9"/>
        <color theme="1"/>
        <rFont val="맑은 고딕"/>
        <family val="2"/>
      </rPr>
      <t>표시할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_x000D_
</t>
    </r>
    <r>
      <rPr>
        <sz val="9"/>
        <color theme="1"/>
        <rFont val="맑은 고딕"/>
        <family val="2"/>
      </rPr>
      <t>있습니다</t>
    </r>
    <r>
      <rPr>
        <sz val="9"/>
        <color theme="1"/>
        <rFont val="Calibri"/>
        <family val="2"/>
      </rPr>
      <t>.</t>
    </r>
  </si>
  <si>
    <r>
      <rPr>
        <sz val="9"/>
        <color theme="1"/>
        <rFont val="맑은 고딕"/>
        <family val="2"/>
      </rPr>
      <t>릴리즈</t>
    </r>
    <r>
      <rPr>
        <sz val="9"/>
        <color theme="1"/>
        <rFont val="Calibri"/>
        <family val="2"/>
      </rPr>
      <t xml:space="preserve"> </t>
    </r>
    <r>
      <rPr>
        <sz val="9"/>
        <color theme="1"/>
        <rFont val="맑은 고딕"/>
        <family val="2"/>
      </rPr>
      <t>일자</t>
    </r>
  </si>
  <si>
    <r>
      <rPr>
        <sz val="9"/>
        <color theme="1"/>
        <rFont val="맑은 고딕"/>
        <family val="2"/>
      </rPr>
      <t>자원</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담당자</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등의</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해당</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담당자를</t>
    </r>
    <r>
      <rPr>
        <sz val="9"/>
        <color theme="1"/>
        <rFont val="Calibri"/>
        <family val="2"/>
      </rPr>
      <t xml:space="preserve"> </t>
    </r>
    <r>
      <rPr>
        <sz val="9"/>
        <color theme="1"/>
        <rFont val="맑은 고딕"/>
        <family val="2"/>
      </rPr>
      <t>표시합니다</t>
    </r>
  </si>
  <si>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행수</t>
    </r>
    <r>
      <rPr>
        <sz val="9"/>
        <color theme="1"/>
        <rFont val="Calibri"/>
        <family val="2"/>
      </rPr>
      <t xml:space="preserve"> : </t>
    </r>
  </si>
  <si>
    <r>
      <t>File</t>
    </r>
    <r>
      <rPr>
        <sz val="9"/>
        <color theme="1"/>
        <rFont val="맑은 고딕"/>
        <family val="2"/>
      </rPr>
      <t>저장시</t>
    </r>
    <r>
      <rPr>
        <sz val="9"/>
        <color theme="1"/>
        <rFont val="Calibri"/>
        <family val="2"/>
      </rPr>
      <t xml:space="preserve"> WBS Update</t>
    </r>
    <r>
      <rPr>
        <sz val="9"/>
        <color theme="1"/>
        <rFont val="맑은 고딕"/>
        <family val="2"/>
      </rPr>
      <t>실행</t>
    </r>
  </si>
  <si>
    <r>
      <rPr>
        <sz val="9"/>
        <color theme="1"/>
        <rFont val="맑은 고딕"/>
        <family val="2"/>
      </rPr>
      <t>일정계획</t>
    </r>
    <r>
      <rPr>
        <sz val="9"/>
        <color theme="1"/>
        <rFont val="Calibri"/>
        <family val="2"/>
      </rPr>
      <t xml:space="preserve"> </t>
    </r>
    <r>
      <rPr>
        <sz val="9"/>
        <color theme="1"/>
        <rFont val="맑은 고딕"/>
        <family val="2"/>
      </rPr>
      <t>변경관리</t>
    </r>
  </si>
  <si>
    <r>
      <rPr>
        <sz val="9"/>
        <color theme="1"/>
        <rFont val="맑은 고딕"/>
        <family val="2"/>
      </rPr>
      <t>스케줄업데이트</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완료되었습니다</t>
    </r>
    <r>
      <rPr>
        <sz val="9"/>
        <color theme="1"/>
        <rFont val="Calibri"/>
        <family val="2"/>
      </rPr>
      <t>.</t>
    </r>
  </si>
  <si>
    <r>
      <rPr>
        <sz val="9"/>
        <color theme="1"/>
        <rFont val="맑은 고딕"/>
        <family val="2"/>
      </rPr>
      <t>차이</t>
    </r>
    <r>
      <rPr>
        <sz val="9"/>
        <color theme="1"/>
        <rFont val="Calibri"/>
        <family val="2"/>
      </rPr>
      <t>(B-A)</t>
    </r>
  </si>
  <si>
    <r>
      <rPr>
        <sz val="9"/>
        <color theme="1"/>
        <rFont val="맑은 고딕"/>
        <family val="2"/>
      </rPr>
      <t>가져올</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선택하세요</t>
    </r>
    <r>
      <rPr>
        <sz val="9"/>
        <color theme="1"/>
        <rFont val="Calibri"/>
        <family val="2"/>
      </rPr>
      <t>(</t>
    </r>
    <r>
      <rPr>
        <sz val="9"/>
        <color theme="1"/>
        <rFont val="맑은 고딕"/>
        <family val="2"/>
      </rPr>
      <t>다중선택가능</t>
    </r>
    <r>
      <rPr>
        <sz val="9"/>
        <color theme="1"/>
        <rFont val="Calibri"/>
        <family val="2"/>
      </rPr>
      <t>)</t>
    </r>
  </si>
  <si>
    <r>
      <t>Task</t>
    </r>
    <r>
      <rPr>
        <sz val="9"/>
        <color theme="1"/>
        <rFont val="맑은 고딕"/>
        <family val="2"/>
      </rPr>
      <t>의</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기간으로</t>
    </r>
    <r>
      <rPr>
        <sz val="9"/>
        <color theme="1"/>
        <rFont val="Calibri"/>
        <family val="2"/>
      </rPr>
      <t xml:space="preserve"> </t>
    </r>
    <r>
      <rPr>
        <sz val="9"/>
        <color theme="1"/>
        <rFont val="맑은 고딕"/>
        <family val="2"/>
      </rPr>
      <t>자동설정</t>
    </r>
  </si>
  <si>
    <r>
      <rPr>
        <sz val="9"/>
        <color theme="1"/>
        <rFont val="맑은 고딕"/>
        <family val="2"/>
      </rPr>
      <t>작업명으로</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자동지정된</t>
    </r>
    <r>
      <rPr>
        <sz val="9"/>
        <color theme="1"/>
        <rFont val="Calibri"/>
        <family val="2"/>
      </rPr>
      <t xml:space="preserve"> </t>
    </r>
    <r>
      <rPr>
        <sz val="9"/>
        <color theme="1"/>
        <rFont val="맑은 고딕"/>
        <family val="2"/>
      </rPr>
      <t>경로의</t>
    </r>
    <r>
      <rPr>
        <sz val="9"/>
        <color theme="1"/>
        <rFont val="Calibri"/>
        <family val="2"/>
      </rPr>
      <t xml:space="preserve"> </t>
    </r>
    <r>
      <rPr>
        <sz val="9"/>
        <color theme="1"/>
        <rFont val="맑은 고딕"/>
        <family val="2"/>
      </rPr>
      <t>상위경로를</t>
    </r>
    <r>
      <rPr>
        <sz val="9"/>
        <color theme="1"/>
        <rFont val="Calibri"/>
        <family val="2"/>
      </rPr>
      <t xml:space="preserve"> </t>
    </r>
    <r>
      <rPr>
        <sz val="9"/>
        <color theme="1"/>
        <rFont val="맑은 고딕"/>
        <family val="2"/>
      </rPr>
      <t>입력</t>
    </r>
    <r>
      <rPr>
        <sz val="9"/>
        <color theme="1"/>
        <rFont val="Calibri"/>
        <family val="2"/>
      </rPr>
      <t xml:space="preserve">) </t>
    </r>
  </si>
  <si>
    <r>
      <rPr>
        <sz val="9"/>
        <color theme="1"/>
        <rFont val="맑은 고딕"/>
        <family val="2"/>
      </rPr>
      <t>산출물열기</t>
    </r>
    <r>
      <rPr>
        <sz val="9"/>
        <color theme="1"/>
        <rFont val="Calibri"/>
        <family val="2"/>
      </rPr>
      <t xml:space="preserve"> </t>
    </r>
    <r>
      <rPr>
        <sz val="9"/>
        <color theme="1"/>
        <rFont val="맑은 고딕"/>
        <family val="2"/>
      </rPr>
      <t>프로그램</t>
    </r>
    <r>
      <rPr>
        <sz val="9"/>
        <color theme="1"/>
        <rFont val="Calibri"/>
        <family val="2"/>
      </rPr>
      <t xml:space="preserve"> </t>
    </r>
    <r>
      <rPr>
        <sz val="9"/>
        <color theme="1"/>
        <rFont val="맑은 고딕"/>
        <family val="2"/>
      </rPr>
      <t>실행경로</t>
    </r>
    <r>
      <rPr>
        <sz val="9"/>
        <color theme="1"/>
        <rFont val="Calibri"/>
        <family val="2"/>
      </rPr>
      <t xml:space="preserve"> </t>
    </r>
    <r>
      <rPr>
        <sz val="9"/>
        <color theme="1"/>
        <rFont val="맑은 고딕"/>
        <family val="2"/>
      </rPr>
      <t>지정</t>
    </r>
  </si>
  <si>
    <r>
      <rPr>
        <sz val="9"/>
        <color theme="1"/>
        <rFont val="맑은 고딕"/>
        <family val="2"/>
      </rPr>
      <t>산출물</t>
    </r>
    <r>
      <rPr>
        <sz val="9"/>
        <color theme="1"/>
        <rFont val="Calibri"/>
        <family val="2"/>
      </rPr>
      <t xml:space="preserve"> </t>
    </r>
    <r>
      <rPr>
        <sz val="9"/>
        <color theme="1"/>
        <rFont val="맑은 고딕"/>
        <family val="2"/>
      </rPr>
      <t>저장경로</t>
    </r>
  </si>
  <si>
    <r>
      <rPr>
        <sz val="9"/>
        <color theme="1"/>
        <rFont val="맑은 고딕"/>
        <family val="2"/>
      </rPr>
      <t>특정</t>
    </r>
    <r>
      <rPr>
        <sz val="9"/>
        <color theme="1"/>
        <rFont val="Calibri"/>
        <family val="2"/>
      </rPr>
      <t xml:space="preserve"> </t>
    </r>
    <r>
      <rPr>
        <sz val="9"/>
        <color theme="1"/>
        <rFont val="맑은 고딕"/>
        <family val="2"/>
      </rPr>
      <t>경로</t>
    </r>
  </si>
  <si>
    <r>
      <rPr>
        <sz val="9"/>
        <color theme="1"/>
        <rFont val="맑은 고딕"/>
        <family val="2"/>
      </rPr>
      <t>별</t>
    </r>
    <r>
      <rPr>
        <sz val="9"/>
        <color theme="1"/>
        <rFont val="Calibri"/>
        <family val="2"/>
      </rPr>
      <t>(*)</t>
    </r>
    <r>
      <rPr>
        <sz val="9"/>
        <color theme="1"/>
        <rFont val="맑은 고딕"/>
        <family val="2"/>
      </rPr>
      <t>표시는</t>
    </r>
    <r>
      <rPr>
        <sz val="9"/>
        <color theme="1"/>
        <rFont val="Calibri"/>
        <family val="2"/>
      </rPr>
      <t xml:space="preserve"> </t>
    </r>
    <r>
      <rPr>
        <sz val="9"/>
        <color theme="1"/>
        <rFont val="맑은 고딕"/>
        <family val="2"/>
      </rPr>
      <t>필수입력</t>
    </r>
    <r>
      <rPr>
        <sz val="9"/>
        <color theme="1"/>
        <rFont val="Calibri"/>
        <family val="2"/>
      </rPr>
      <t xml:space="preserve">, </t>
    </r>
    <r>
      <rPr>
        <sz val="9"/>
        <color theme="1"/>
        <rFont val="맑은 고딕"/>
        <family val="2"/>
      </rPr>
      <t>주황색열은</t>
    </r>
    <r>
      <rPr>
        <sz val="9"/>
        <color theme="1"/>
        <rFont val="Calibri"/>
        <family val="2"/>
      </rPr>
      <t xml:space="preserve"> </t>
    </r>
    <r>
      <rPr>
        <sz val="9"/>
        <color theme="1"/>
        <rFont val="맑은 고딕"/>
        <family val="2"/>
      </rPr>
      <t>자동계산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</si>
  <si>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</si>
  <si>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</si>
  <si>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</si>
  <si>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시작일</t>
    </r>
    <r>
      <rPr>
        <sz val="9"/>
        <color theme="1"/>
        <rFont val="Calibri"/>
        <family val="2"/>
      </rPr>
      <t>-</t>
    </r>
    <r>
      <rPr>
        <sz val="9"/>
        <color theme="1"/>
        <rFont val="맑은 고딕"/>
        <family val="2"/>
      </rPr>
      <t>완료일</t>
    </r>
  </si>
  <si>
    <r>
      <rPr>
        <sz val="9"/>
        <color theme="1"/>
        <rFont val="맑은 고딕"/>
        <family val="2"/>
      </rPr>
      <t>작업영역이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 xml:space="preserve">. </t>
    </r>
    <r>
      <rPr>
        <sz val="9"/>
        <color theme="1"/>
        <rFont val="맑은 고딕"/>
        <family val="2"/>
      </rPr>
      <t>영역을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</si>
  <si>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작업명</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이름</t>
    </r>
    <r>
      <rPr>
        <sz val="9"/>
        <color theme="1"/>
        <rFont val="Calibri"/>
        <family val="2"/>
      </rPr>
      <t>, Task, Activity</t>
    </r>
    <r>
      <rPr>
        <sz val="9"/>
        <color theme="1"/>
        <rFont val="맑은 고딕"/>
        <family val="2"/>
      </rPr>
      <t>등</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표시하는</t>
    </r>
    <r>
      <rPr>
        <sz val="9"/>
        <color theme="1"/>
        <rFont val="Calibri"/>
        <family val="2"/>
      </rPr>
      <t xml:space="preserve"> </t>
    </r>
    <r>
      <rPr>
        <sz val="9"/>
        <color theme="1"/>
        <rFont val="맑은 고딕"/>
        <family val="2"/>
      </rPr>
      <t>방식이</t>
    </r>
    <r>
      <rPr>
        <sz val="9"/>
        <color theme="1"/>
        <rFont val="Calibri"/>
        <family val="2"/>
      </rPr>
      <t xml:space="preserve"> </t>
    </r>
    <r>
      <rPr>
        <sz val="9"/>
        <color theme="1"/>
        <rFont val="맑은 고딕"/>
        <family val="2"/>
      </rPr>
      <t>다를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표시되는</t>
    </r>
    <r>
      <rPr>
        <sz val="9"/>
        <color theme="1"/>
        <rFont val="Calibri"/>
        <family val="2"/>
      </rPr>
      <t xml:space="preserve"> </t>
    </r>
    <r>
      <rPr>
        <sz val="9"/>
        <color theme="1"/>
        <rFont val="맑은 고딕"/>
        <family val="2"/>
      </rPr>
      <t>경우에는</t>
    </r>
    <r>
      <rPr>
        <sz val="9"/>
        <color theme="1"/>
        <rFont val="Calibri"/>
        <family val="2"/>
      </rPr>
      <t xml:space="preserve"> 1 Level </t>
    </r>
    <r>
      <rPr>
        <sz val="9"/>
        <color theme="1"/>
        <rFont val="맑은 고딕"/>
        <family val="2"/>
      </rPr>
      <t>필드만</t>
    </r>
    <r>
      <rPr>
        <sz val="9"/>
        <color theme="1"/>
        <rFont val="Calibri"/>
        <family val="2"/>
      </rPr>
      <t xml:space="preserve"> Traget</t>
    </r>
    <r>
      <rPr>
        <sz val="9"/>
        <color theme="1"/>
        <rFont val="맑은 고딕"/>
        <family val="2"/>
      </rPr>
      <t>파일의</t>
    </r>
    <r>
      <rPr>
        <sz val="9"/>
        <color theme="1"/>
        <rFont val="Calibri"/>
        <family val="2"/>
      </rPr>
      <t xml:space="preserve"> "</t>
    </r>
    <r>
      <rPr>
        <sz val="9"/>
        <color theme="1"/>
        <rFont val="맑은 고딕"/>
        <family val="2"/>
      </rPr>
      <t>작업명</t>
    </r>
    <r>
      <rPr>
        <sz val="9"/>
        <color theme="1"/>
        <rFont val="Calibri"/>
        <family val="2"/>
      </rPr>
      <t>"</t>
    </r>
    <r>
      <rPr>
        <sz val="9"/>
        <color theme="1"/>
        <rFont val="맑은 고딕"/>
        <family val="2"/>
      </rPr>
      <t>필드와</t>
    </r>
    <r>
      <rPr>
        <sz val="9"/>
        <color theme="1"/>
        <rFont val="Calibri"/>
        <family val="2"/>
      </rPr>
      <t xml:space="preserve"> Mapping</t>
    </r>
    <r>
      <rPr>
        <sz val="9"/>
        <color theme="1"/>
        <rFont val="맑은 고딕"/>
        <family val="2"/>
      </rPr>
      <t>하면</t>
    </r>
    <r>
      <rPr>
        <sz val="9"/>
        <color theme="1"/>
        <rFont val="Calibri"/>
        <family val="2"/>
      </rPr>
      <t xml:space="preserve"> </t>
    </r>
    <r>
      <rPr>
        <sz val="9"/>
        <color theme="1"/>
        <rFont val="맑은 고딕"/>
        <family val="2"/>
      </rPr>
      <t>됩니다</t>
    </r>
    <r>
      <rPr>
        <sz val="9"/>
        <color theme="1"/>
        <rFont val="Calibri"/>
        <family val="2"/>
      </rPr>
      <t>.</t>
    </r>
  </si>
  <si>
    <r>
      <t>Task(</t>
    </r>
    <r>
      <rPr>
        <sz val="9"/>
        <color theme="1"/>
        <rFont val="맑은 고딕"/>
        <family val="2"/>
      </rPr>
      <t>작업명</t>
    </r>
    <r>
      <rPr>
        <sz val="9"/>
        <color theme="1"/>
        <rFont val="Calibri"/>
        <family val="2"/>
      </rPr>
      <t xml:space="preserve">, </t>
    </r>
    <r>
      <rPr>
        <sz val="9"/>
        <color theme="1"/>
        <rFont val="맑은 고딕"/>
        <family val="2"/>
      </rPr>
      <t>이름</t>
    </r>
    <r>
      <rPr>
        <sz val="9"/>
        <color theme="1"/>
        <rFont val="Calibri"/>
        <family val="2"/>
      </rPr>
      <t xml:space="preserve"> </t>
    </r>
    <r>
      <rPr>
        <sz val="9"/>
        <color theme="1"/>
        <rFont val="맑은 고딕"/>
        <family val="2"/>
      </rPr>
      <t>등</t>
    </r>
    <r>
      <rPr>
        <sz val="9"/>
        <color theme="1"/>
        <rFont val="Calibri"/>
        <family val="2"/>
      </rPr>
      <t>)</t>
    </r>
    <r>
      <rPr>
        <sz val="9"/>
        <color theme="1"/>
        <rFont val="맑은 고딕"/>
        <family val="2"/>
      </rPr>
      <t>는</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입력되어야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</si>
  <si>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실적진척율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</si>
  <si>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실적진척율이</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</si>
  <si>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실제완료일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</si>
  <si>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</si>
  <si>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</si>
  <si>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</si>
  <si>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Calendar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</si>
  <si>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</si>
  <si>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</si>
  <si>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비고</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</si>
  <si>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</si>
  <si>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</si>
  <si>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</si>
  <si>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담당</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</si>
  <si>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</si>
  <si>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</si>
  <si>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</si>
  <si>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</si>
  <si>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Level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</si>
  <si>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</si>
  <si>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가중치</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</si>
  <si>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이름을</t>
    </r>
    <r>
      <rPr>
        <sz val="9"/>
        <color theme="1"/>
        <rFont val="Calibri"/>
        <family val="2"/>
      </rPr>
      <t xml:space="preserve"> </t>
    </r>
    <r>
      <rPr>
        <sz val="9"/>
        <color theme="1"/>
        <rFont val="맑은 고딕"/>
        <family val="2"/>
      </rPr>
      <t>변경하거나</t>
    </r>
    <r>
      <rPr>
        <sz val="9"/>
        <color theme="1"/>
        <rFont val="Calibri"/>
        <family val="2"/>
      </rPr>
      <t xml:space="preserve"> </t>
    </r>
    <r>
      <rPr>
        <sz val="9"/>
        <color theme="1"/>
        <rFont val="맑은 고딕"/>
        <family val="2"/>
      </rPr>
      <t>삭제했는지</t>
    </r>
    <r>
      <rPr>
        <sz val="9"/>
        <color theme="1"/>
        <rFont val="Calibri"/>
        <family val="2"/>
      </rPr>
      <t xml:space="preserve"> </t>
    </r>
    <r>
      <rPr>
        <sz val="9"/>
        <color theme="1"/>
        <rFont val="맑은 고딕"/>
        <family val="2"/>
      </rPr>
      <t>확인하세요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</si>
  <si>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</si>
  <si>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비어있고</t>
    </r>
    <r>
      <rPr>
        <sz val="9"/>
        <color theme="1"/>
        <rFont val="Calibri"/>
        <family val="2"/>
      </rPr>
      <t xml:space="preserve"> </t>
    </r>
    <r>
      <rPr>
        <sz val="9"/>
        <color theme="1"/>
        <rFont val="맑은 고딕"/>
        <family val="2"/>
      </rPr>
      <t>실제완료일만</t>
    </r>
    <r>
      <rPr>
        <sz val="9"/>
        <color theme="1"/>
        <rFont val="Calibri"/>
        <family val="2"/>
      </rPr>
      <t xml:space="preserve"> </t>
    </r>
    <r>
      <rPr>
        <sz val="9"/>
        <color theme="1"/>
        <rFont val="맑은 고딕"/>
        <family val="2"/>
      </rPr>
      <t>입력되어</t>
    </r>
    <r>
      <rPr>
        <sz val="9"/>
        <color theme="1"/>
        <rFont val="Calibri"/>
        <family val="2"/>
      </rPr>
      <t xml:space="preserve"> </t>
    </r>
    <r>
      <rPr>
        <sz val="9"/>
        <color theme="1"/>
        <rFont val="맑은 고딕"/>
        <family val="2"/>
      </rPr>
      <t>있습니다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</si>
  <si>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</si>
  <si>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실제완료일보다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</si>
  <si>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</si>
  <si>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실젝</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</si>
  <si>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</si>
  <si>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입력되었는데</t>
    </r>
    <r>
      <rPr>
        <sz val="9"/>
        <color theme="1"/>
        <rFont val="Calibri"/>
        <family val="2"/>
      </rPr>
      <t xml:space="preserve"> </t>
    </r>
    <r>
      <rPr>
        <sz val="9"/>
        <color theme="1"/>
        <rFont val="맑은 고딕"/>
        <family val="2"/>
      </rPr>
      <t>작업필드가</t>
    </r>
    <r>
      <rPr>
        <sz val="9"/>
        <color theme="1"/>
        <rFont val="Calibri"/>
        <family val="2"/>
      </rPr>
      <t xml:space="preserve"> </t>
    </r>
    <r>
      <rPr>
        <sz val="9"/>
        <color theme="1"/>
        <rFont val="맑은 고딕"/>
        <family val="2"/>
      </rPr>
      <t>비어있습니다</t>
    </r>
    <r>
      <rPr>
        <sz val="9"/>
        <color theme="1"/>
        <rFont val="Calibri"/>
        <family val="2"/>
      </rPr>
      <t>.\n</t>
    </r>
    <r>
      <rPr>
        <sz val="9"/>
        <color theme="1"/>
        <rFont val="맑은 고딕"/>
        <family val="2"/>
      </rPr>
      <t>작업필드의</t>
    </r>
    <r>
      <rPr>
        <sz val="9"/>
        <color theme="1"/>
        <rFont val="Calibri"/>
        <family val="2"/>
      </rPr>
      <t xml:space="preserve"> </t>
    </r>
    <r>
      <rPr>
        <sz val="9"/>
        <color theme="1"/>
        <rFont val="맑은 고딕"/>
        <family val="2"/>
      </rPr>
      <t>값을</t>
    </r>
    <r>
      <rPr>
        <sz val="9"/>
        <color theme="1"/>
        <rFont val="Calibri"/>
        <family val="2"/>
      </rPr>
      <t xml:space="preserve"> </t>
    </r>
    <r>
      <rPr>
        <sz val="9"/>
        <color theme="1"/>
        <rFont val="맑은 고딕"/>
        <family val="2"/>
      </rPr>
      <t>채우거나</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지우세요</t>
    </r>
    <r>
      <rPr>
        <sz val="9"/>
        <color theme="1"/>
        <rFont val="Calibri"/>
        <family val="2"/>
      </rPr>
      <t>.</t>
    </r>
  </si>
  <si>
    <r>
      <rPr>
        <sz val="9"/>
        <color theme="1"/>
        <rFont val="맑은 고딕"/>
        <family val="2"/>
      </rPr>
      <t>산출물명이</t>
    </r>
    <r>
      <rPr>
        <sz val="9"/>
        <color theme="1"/>
        <rFont val="Calibri"/>
        <family val="2"/>
      </rPr>
      <t xml:space="preserve"> </t>
    </r>
    <r>
      <rPr>
        <sz val="9"/>
        <color theme="1"/>
        <rFont val="맑은 고딕"/>
        <family val="2"/>
      </rPr>
      <t>비어있습니다</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</si>
  <si>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</si>
  <si>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</si>
  <si>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Gantt</t>
    </r>
    <r>
      <rPr>
        <sz val="9"/>
        <color theme="1"/>
        <rFont val="맑은 고딕"/>
        <family val="2"/>
      </rPr>
      <t>영역의</t>
    </r>
    <r>
      <rPr>
        <sz val="9"/>
        <color theme="1"/>
        <rFont val="Calibri"/>
        <family val="2"/>
      </rPr>
      <t xml:space="preserve"> </t>
    </r>
    <r>
      <rPr>
        <sz val="9"/>
        <color theme="1"/>
        <rFont val="맑은 고딕"/>
        <family val="2"/>
      </rPr>
      <t>첫번째</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</si>
  <si>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형식입니다</t>
    </r>
    <r>
      <rPr>
        <sz val="9"/>
        <color theme="1"/>
        <rFont val="Calibri"/>
        <family val="2"/>
      </rPr>
      <t xml:space="preserve">. XLGantt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</si>
  <si>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다음의</t>
    </r>
    <r>
      <rPr>
        <sz val="9"/>
        <color theme="1"/>
        <rFont val="Calibri"/>
        <family val="2"/>
      </rPr>
      <t xml:space="preserve"> XLGantt</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버전입니다</t>
    </r>
    <r>
      <rPr>
        <sz val="9"/>
        <color theme="1"/>
        <rFont val="Calibri"/>
        <family val="2"/>
      </rPr>
      <t xml:space="preserve">.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</si>
  <si>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성공적으로</t>
    </r>
    <r>
      <rPr>
        <sz val="9"/>
        <color theme="1"/>
        <rFont val="Calibri"/>
        <family val="2"/>
      </rPr>
      <t xml:space="preserve"> </t>
    </r>
    <r>
      <rPr>
        <sz val="9"/>
        <color theme="1"/>
        <rFont val="맑은 고딕"/>
        <family val="2"/>
      </rPr>
      <t>가져왔습니다</t>
    </r>
    <r>
      <rPr>
        <sz val="9"/>
        <color theme="1"/>
        <rFont val="Calibri"/>
        <family val="2"/>
      </rPr>
      <t>.</t>
    </r>
  </si>
  <si>
    <r>
      <rPr>
        <sz val="9"/>
        <color theme="1"/>
        <rFont val="맑은 고딕"/>
        <family val="2"/>
      </rPr>
      <t>다음의</t>
    </r>
    <r>
      <rPr>
        <sz val="9"/>
        <color theme="1"/>
        <rFont val="Calibri"/>
        <family val="2"/>
      </rPr>
      <t xml:space="preserve"> </t>
    </r>
    <r>
      <rPr>
        <sz val="9"/>
        <color theme="1"/>
        <rFont val="맑은 고딕"/>
        <family val="2"/>
      </rPr>
      <t>폴더가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</si>
  <si>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</si>
  <si>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</si>
  <si>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</si>
  <si>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</si>
  <si>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기간의</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잘못되었습니다</t>
    </r>
    <r>
      <rPr>
        <sz val="9"/>
        <color theme="1"/>
        <rFont val="Calibri"/>
        <family val="2"/>
      </rPr>
      <t>. W(</t>
    </r>
    <r>
      <rPr>
        <sz val="9"/>
        <color theme="1"/>
        <rFont val="맑은 고딕"/>
        <family val="2"/>
      </rPr>
      <t>주</t>
    </r>
    <r>
      <rPr>
        <sz val="9"/>
        <color theme="1"/>
        <rFont val="Calibri"/>
        <family val="2"/>
      </rPr>
      <t>), M(</t>
    </r>
    <r>
      <rPr>
        <sz val="9"/>
        <color theme="1"/>
        <rFont val="맑은 고딕"/>
        <family val="2"/>
      </rPr>
      <t>월</t>
    </r>
    <r>
      <rPr>
        <sz val="9"/>
        <color theme="1"/>
        <rFont val="Calibri"/>
        <family val="2"/>
      </rPr>
      <t xml:space="preserve">) </t>
    </r>
    <r>
      <rPr>
        <sz val="9"/>
        <color theme="1"/>
        <rFont val="맑은 고딕"/>
        <family val="2"/>
      </rPr>
      <t>중에</t>
    </r>
    <r>
      <rPr>
        <sz val="9"/>
        <color theme="1"/>
        <rFont val="Calibri"/>
        <family val="2"/>
      </rPr>
      <t xml:space="preserve"> </t>
    </r>
    <r>
      <rPr>
        <sz val="9"/>
        <color theme="1"/>
        <rFont val="맑은 고딕"/>
        <family val="2"/>
      </rPr>
      <t>하나를</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합니다</t>
    </r>
  </si>
  <si>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</si>
  <si>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행의</t>
    </r>
    <r>
      <rPr>
        <sz val="9"/>
        <color theme="1"/>
        <rFont val="Calibri"/>
        <family val="2"/>
      </rPr>
      <t xml:space="preserve"> Level</t>
    </r>
    <r>
      <rPr>
        <sz val="9"/>
        <color theme="1"/>
        <rFont val="맑은 고딕"/>
        <family val="2"/>
      </rPr>
      <t>이</t>
    </r>
    <r>
      <rPr>
        <sz val="9"/>
        <color theme="1"/>
        <rFont val="Calibri"/>
        <family val="2"/>
      </rPr>
      <t xml:space="preserve"> </t>
    </r>
    <r>
      <rPr>
        <sz val="9"/>
        <color theme="1"/>
        <rFont val="맑은 고딕"/>
        <family val="2"/>
      </rPr>
      <t>맞지</t>
    </r>
    <r>
      <rPr>
        <sz val="9"/>
        <color theme="1"/>
        <rFont val="Calibri"/>
        <family val="2"/>
      </rPr>
      <t xml:space="preserve"> </t>
    </r>
    <r>
      <rPr>
        <sz val="9"/>
        <color theme="1"/>
        <rFont val="맑은 고딕"/>
        <family val="2"/>
      </rPr>
      <t>않습니다</t>
    </r>
    <r>
      <rPr>
        <sz val="9"/>
        <color theme="1"/>
        <rFont val="Calibri"/>
        <family val="2"/>
      </rPr>
      <t>. Level</t>
    </r>
    <r>
      <rPr>
        <sz val="9"/>
        <color theme="1"/>
        <rFont val="맑은 고딕"/>
        <family val="2"/>
      </rPr>
      <t>을</t>
    </r>
    <r>
      <rPr>
        <sz val="9"/>
        <color theme="1"/>
        <rFont val="Calibri"/>
        <family val="2"/>
      </rPr>
      <t xml:space="preserve"> 1</t>
    </r>
    <r>
      <rPr>
        <sz val="9"/>
        <color theme="1"/>
        <rFont val="맑은 고딕"/>
        <family val="2"/>
      </rPr>
      <t>보다</t>
    </r>
    <r>
      <rPr>
        <sz val="9"/>
        <color theme="1"/>
        <rFont val="Calibri"/>
        <family val="2"/>
      </rPr>
      <t xml:space="preserve"> </t>
    </r>
    <r>
      <rPr>
        <sz val="9"/>
        <color theme="1"/>
        <rFont val="맑은 고딕"/>
        <family val="2"/>
      </rPr>
      <t>크게</t>
    </r>
    <r>
      <rPr>
        <sz val="9"/>
        <color theme="1"/>
        <rFont val="Calibri"/>
        <family val="2"/>
      </rPr>
      <t xml:space="preserve"> </t>
    </r>
    <r>
      <rPr>
        <sz val="9"/>
        <color theme="1"/>
        <rFont val="맑은 고딕"/>
        <family val="2"/>
      </rPr>
      <t>증가했는지</t>
    </r>
    <r>
      <rPr>
        <sz val="9"/>
        <color theme="1"/>
        <rFont val="Calibri"/>
        <family val="2"/>
      </rPr>
      <t xml:space="preserve"> </t>
    </r>
    <r>
      <rPr>
        <sz val="9"/>
        <color theme="1"/>
        <rFont val="맑은 고딕"/>
        <family val="2"/>
      </rPr>
      <t>확인하세요</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</si>
  <si>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개까지만</t>
    </r>
    <r>
      <rPr>
        <sz val="9"/>
        <color theme="1"/>
        <rFont val="Calibri"/>
        <family val="2"/>
      </rPr>
      <t xml:space="preserve"> </t>
    </r>
    <r>
      <rPr>
        <sz val="9"/>
        <color theme="1"/>
        <rFont val="맑은 고딕"/>
        <family val="2"/>
      </rPr>
      <t>가능합니다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</si>
  <si>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양의</t>
    </r>
    <r>
      <rPr>
        <sz val="9"/>
        <color theme="1"/>
        <rFont val="Calibri"/>
        <family val="2"/>
      </rPr>
      <t xml:space="preserve"> </t>
    </r>
    <r>
      <rPr>
        <sz val="9"/>
        <color theme="1"/>
        <rFont val="맑은 고딕"/>
        <family val="2"/>
      </rPr>
      <t>정수만</t>
    </r>
    <r>
      <rPr>
        <sz val="9"/>
        <color theme="1"/>
        <rFont val="Calibri"/>
        <family val="2"/>
      </rPr>
      <t xml:space="preserve"> </t>
    </r>
    <r>
      <rPr>
        <sz val="9"/>
        <color theme="1"/>
        <rFont val="맑은 고딕"/>
        <family val="2"/>
      </rPr>
      <t>가능합니다</t>
    </r>
    <r>
      <rPr>
        <sz val="9"/>
        <color theme="1"/>
        <rFont val="Calibri"/>
        <family val="2"/>
      </rPr>
      <t>.</t>
    </r>
  </si>
  <si>
    <r>
      <t>Task</t>
    </r>
    <r>
      <rPr>
        <sz val="9"/>
        <color theme="1"/>
        <rFont val="맑은 고딕"/>
        <family val="2"/>
      </rPr>
      <t>열의</t>
    </r>
    <r>
      <rPr>
        <sz val="9"/>
        <color theme="1"/>
        <rFont val="Calibri"/>
        <family val="2"/>
      </rPr>
      <t xml:space="preserve"> </t>
    </r>
    <r>
      <rPr>
        <sz val="9"/>
        <color theme="1"/>
        <rFont val="맑은 고딕"/>
        <family val="2"/>
      </rPr>
      <t>갯수가</t>
    </r>
    <r>
      <rPr>
        <sz val="9"/>
        <color theme="1"/>
        <rFont val="Calibri"/>
        <family val="2"/>
      </rPr>
      <t xml:space="preserve"> 7</t>
    </r>
    <r>
      <rPr>
        <sz val="9"/>
        <color theme="1"/>
        <rFont val="맑은 고딕"/>
        <family val="2"/>
      </rPr>
      <t>개가</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</si>
  <si>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의</t>
    </r>
    <r>
      <rPr>
        <sz val="9"/>
        <color theme="1"/>
        <rFont val="Calibri"/>
        <family val="2"/>
      </rPr>
      <t xml:space="preserve"> </t>
    </r>
    <r>
      <rPr>
        <sz val="9"/>
        <color theme="1"/>
        <rFont val="맑은 고딕"/>
        <family val="2"/>
      </rPr>
      <t>에러로</t>
    </r>
    <r>
      <rPr>
        <sz val="9"/>
        <color theme="1"/>
        <rFont val="Calibri"/>
        <family val="2"/>
      </rPr>
      <t xml:space="preserve"> </t>
    </r>
    <r>
      <rPr>
        <sz val="9"/>
        <color theme="1"/>
        <rFont val="맑은 고딕"/>
        <family val="2"/>
      </rPr>
      <t>인해</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중단되었습니다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</si>
  <si>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</si>
  <si>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</si>
  <si>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</si>
  <si>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</si>
  <si>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</si>
  <si>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</si>
  <si>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 xml:space="preserve">{} sheet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1 Level</t>
    </r>
    <r>
      <rPr>
        <sz val="9"/>
        <color theme="1"/>
        <rFont val="맑은 고딕"/>
        <family val="2"/>
      </rPr>
      <t>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첫째칸이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칸에</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확인하세요</t>
    </r>
    <r>
      <rPr>
        <sz val="9"/>
        <color theme="1"/>
        <rFont val="Calibri"/>
        <family val="2"/>
      </rPr>
      <t>.</t>
    </r>
  </si>
  <si>
    <r>
      <t>Task</t>
    </r>
    <r>
      <rPr>
        <sz val="9"/>
        <color theme="1"/>
        <rFont val="맑은 고딕"/>
        <family val="2"/>
      </rPr>
      <t>필드</t>
    </r>
    <r>
      <rPr>
        <sz val="9"/>
        <color theme="1"/>
        <rFont val="Calibri"/>
        <family val="2"/>
      </rPr>
      <t xml:space="preserve"> </t>
    </r>
    <r>
      <rPr>
        <sz val="9"/>
        <color theme="1"/>
        <rFont val="맑은 고딕"/>
        <family val="2"/>
      </rPr>
      <t>유형</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</si>
  <si>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가중치가</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</si>
  <si>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산출물을</t>
    </r>
    <r>
      <rPr>
        <sz val="9"/>
        <color theme="1"/>
        <rFont val="Calibri"/>
        <family val="2"/>
      </rPr>
      <t xml:space="preserve"> </t>
    </r>
    <r>
      <rPr>
        <sz val="9"/>
        <color theme="1"/>
        <rFont val="맑은 고딕"/>
        <family val="2"/>
      </rPr>
      <t>열</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실행프로그램이</t>
    </r>
    <r>
      <rPr>
        <sz val="9"/>
        <color theme="1"/>
        <rFont val="Calibri"/>
        <family val="2"/>
      </rPr>
      <t xml:space="preserve"> </t>
    </r>
    <r>
      <rPr>
        <sz val="9"/>
        <color theme="1"/>
        <rFont val="맑은 고딕"/>
        <family val="2"/>
      </rPr>
      <t>없습니다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</si>
  <si>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또는계획작업량</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오류가</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완료일이</t>
    </r>
    <r>
      <rPr>
        <sz val="9"/>
        <color theme="1"/>
        <rFont val="Calibri"/>
        <family val="2"/>
      </rPr>
      <t xml:space="preserve"> </t>
    </r>
    <r>
      <rPr>
        <sz val="9"/>
        <color theme="1"/>
        <rFont val="맑은 고딕"/>
        <family val="2"/>
      </rPr>
      <t>잘못</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수식에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없는지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</si>
  <si>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파일에</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</si>
  <si>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</si>
  <si>
    <r>
      <rPr>
        <sz val="9"/>
        <color theme="1"/>
        <rFont val="맑은 고딕"/>
        <family val="2"/>
      </rPr>
      <t>계산할</t>
    </r>
    <r>
      <rPr>
        <sz val="9"/>
        <color theme="1"/>
        <rFont val="Calibri"/>
        <family val="2"/>
      </rPr>
      <t xml:space="preserve"> </t>
    </r>
    <r>
      <rPr>
        <sz val="9"/>
        <color theme="1"/>
        <rFont val="맑은 고딕"/>
        <family val="2"/>
      </rPr>
      <t>입력자료가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</si>
  <si>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</si>
  <si>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입력</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서식재설정</t>
    </r>
    <r>
      <rPr>
        <sz val="9"/>
        <color theme="1"/>
        <rFont val="Calibri"/>
        <family val="2"/>
      </rPr>
      <t xml:space="preserve"> </t>
    </r>
    <r>
      <rPr>
        <sz val="9"/>
        <color theme="1"/>
        <rFont val="맑은 고딕"/>
        <family val="2"/>
      </rPr>
      <t>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</si>
  <si>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진척율선</t>
    </r>
    <r>
      <rPr>
        <sz val="9"/>
        <color theme="1"/>
        <rFont val="Calibri"/>
        <family val="2"/>
      </rPr>
      <t xml:space="preserve"> </t>
    </r>
    <r>
      <rPr>
        <sz val="9"/>
        <color theme="1"/>
        <rFont val="맑은 고딕"/>
        <family val="2"/>
      </rPr>
      <t>그리기</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실제시작일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벗어난</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발생할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</si>
  <si>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영역입니다</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</si>
  <si>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이번</t>
    </r>
    <r>
      <rPr>
        <sz val="9"/>
        <color theme="1"/>
        <rFont val="Calibri"/>
        <family val="2"/>
      </rPr>
      <t xml:space="preserve"> </t>
    </r>
    <r>
      <rPr>
        <sz val="9"/>
        <color theme="1"/>
        <rFont val="맑은 고딕"/>
        <family val="2"/>
      </rPr>
      <t>달</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</si>
  <si>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이번</t>
    </r>
    <r>
      <rPr>
        <sz val="9"/>
        <color theme="1"/>
        <rFont val="Calibri"/>
        <family val="2"/>
      </rPr>
      <t xml:space="preserve"> </t>
    </r>
    <r>
      <rPr>
        <sz val="9"/>
        <color theme="1"/>
        <rFont val="맑은 고딕"/>
        <family val="2"/>
      </rPr>
      <t>주</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</si>
  <si>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지금</t>
    </r>
    <r>
      <rPr>
        <sz val="9"/>
        <color theme="1"/>
        <rFont val="Calibri"/>
        <family val="2"/>
      </rPr>
      <t xml:space="preserve"> </t>
    </r>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최신버전이</t>
    </r>
    <r>
      <rPr>
        <sz val="9"/>
        <color theme="1"/>
        <rFont val="Calibri"/>
        <family val="2"/>
      </rPr>
      <t xml:space="preserve"> </t>
    </r>
    <r>
      <rPr>
        <sz val="9"/>
        <color theme="1"/>
        <rFont val="맑은 고딕"/>
        <family val="2"/>
      </rPr>
      <t>아닙니다</t>
    </r>
    <r>
      <rPr>
        <sz val="9"/>
        <color theme="1"/>
        <rFont val="Calibri"/>
        <family val="2"/>
      </rPr>
      <t xml:space="preserve">.\n_x000D_
</t>
    </r>
    <r>
      <rPr>
        <sz val="9"/>
        <color theme="1"/>
        <rFont val="맑은 고딕"/>
        <family val="2"/>
      </rPr>
      <t>최신버전을</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사이트에서</t>
    </r>
    <r>
      <rPr>
        <sz val="9"/>
        <color theme="1"/>
        <rFont val="Calibri"/>
        <family val="2"/>
      </rPr>
      <t xml:space="preserve"> </t>
    </r>
    <r>
      <rPr>
        <sz val="9"/>
        <color theme="1"/>
        <rFont val="맑은 고딕"/>
        <family val="2"/>
      </rPr>
      <t>다운로드</t>
    </r>
    <r>
      <rPr>
        <sz val="9"/>
        <color theme="1"/>
        <rFont val="Calibri"/>
        <family val="2"/>
      </rPr>
      <t xml:space="preserve"> </t>
    </r>
    <r>
      <rPr>
        <sz val="9"/>
        <color theme="1"/>
        <rFont val="맑은 고딕"/>
        <family val="2"/>
      </rPr>
      <t>받으세요</t>
    </r>
    <r>
      <rPr>
        <sz val="9"/>
        <color theme="1"/>
        <rFont val="Calibri"/>
        <family val="2"/>
      </rPr>
      <t>.</t>
    </r>
  </si>
  <si>
    <r>
      <t xml:space="preserve">Time bucket type </t>
    </r>
    <r>
      <rPr>
        <sz val="9"/>
        <color theme="1"/>
        <rFont val="맑은 고딕"/>
        <family val="2"/>
      </rPr>
      <t>오류입니다</t>
    </r>
    <r>
      <rPr>
        <sz val="9"/>
        <color theme="1"/>
        <rFont val="Calibri"/>
        <family val="2"/>
      </rPr>
      <t>.</t>
    </r>
  </si>
  <si>
    <r>
      <t>Target</t>
    </r>
    <r>
      <rPr>
        <sz val="9"/>
        <color theme="1"/>
        <rFont val="맑은 고딕"/>
        <family val="2"/>
      </rPr>
      <t>파일</t>
    </r>
    <r>
      <rPr>
        <sz val="9"/>
        <color theme="1"/>
        <rFont val="Calibri"/>
        <family val="2"/>
      </rPr>
      <t>(</t>
    </r>
    <r>
      <rPr>
        <sz val="9"/>
        <color theme="1"/>
        <rFont val="맑은 고딕"/>
        <family val="2"/>
      </rPr>
      <t>가져온</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파일</t>
    </r>
    <r>
      <rPr>
        <sz val="9"/>
        <color theme="1"/>
        <rFont val="Calibri"/>
        <family val="2"/>
      </rPr>
      <t>)</t>
    </r>
  </si>
  <si>
    <r>
      <rPr>
        <sz val="9"/>
        <color theme="1"/>
        <rFont val="맑은 고딕"/>
        <family val="2"/>
      </rPr>
      <t>끝날짜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</si>
  <si>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Source</t>
    </r>
    <r>
      <rPr>
        <sz val="9"/>
        <color theme="1"/>
        <rFont val="맑은 고딕"/>
        <family val="2"/>
      </rPr>
      <t>파일에서</t>
    </r>
    <r>
      <rPr>
        <sz val="9"/>
        <color theme="1"/>
        <rFont val="Calibri"/>
        <family val="2"/>
      </rPr>
      <t xml:space="preserve"> Target</t>
    </r>
    <r>
      <rPr>
        <sz val="9"/>
        <color theme="1"/>
        <rFont val="맑은 고딕"/>
        <family val="2"/>
      </rPr>
      <t>파일로</t>
    </r>
    <r>
      <rPr>
        <sz val="9"/>
        <color theme="1"/>
        <rFont val="Calibri"/>
        <family val="2"/>
      </rPr>
      <t xml:space="preserve"> </t>
    </r>
    <r>
      <rPr>
        <sz val="9"/>
        <color theme="1"/>
        <rFont val="맑은 고딕"/>
        <family val="2"/>
      </rPr>
      <t>가져오기</t>
    </r>
    <r>
      <rPr>
        <sz val="9"/>
        <color theme="1"/>
        <rFont val="Calibri"/>
        <family val="2"/>
      </rPr>
      <t xml:space="preserve"> </t>
    </r>
    <r>
      <rPr>
        <sz val="9"/>
        <color theme="1"/>
        <rFont val="맑은 고딕"/>
        <family val="2"/>
      </rPr>
      <t>위해서</t>
    </r>
    <r>
      <rPr>
        <sz val="9"/>
        <color theme="1"/>
        <rFont val="Calibri"/>
        <family val="2"/>
      </rPr>
      <t xml:space="preserve"> </t>
    </r>
    <r>
      <rPr>
        <sz val="9"/>
        <color theme="1"/>
        <rFont val="맑은 고딕"/>
        <family val="2"/>
      </rPr>
      <t>각각의</t>
    </r>
    <r>
      <rPr>
        <sz val="9"/>
        <color theme="1"/>
        <rFont val="Calibri"/>
        <family val="2"/>
      </rPr>
      <t xml:space="preserve"> </t>
    </r>
    <r>
      <rPr>
        <sz val="9"/>
        <color theme="1"/>
        <rFont val="맑은 고딕"/>
        <family val="2"/>
      </rPr>
      <t>필드를</t>
    </r>
    <r>
      <rPr>
        <sz val="9"/>
        <color theme="1"/>
        <rFont val="Calibri"/>
        <family val="2"/>
      </rPr>
      <t xml:space="preserve"> Mapping</t>
    </r>
    <r>
      <rPr>
        <sz val="9"/>
        <color theme="1"/>
        <rFont val="맑은 고딕"/>
        <family val="2"/>
      </rPr>
      <t>합니다</t>
    </r>
    <r>
      <rPr>
        <sz val="9"/>
        <color theme="1"/>
        <rFont val="Calibri"/>
        <family val="2"/>
      </rPr>
      <t>. _x000D_
Source</t>
    </r>
    <r>
      <rPr>
        <sz val="9"/>
        <color theme="1"/>
        <rFont val="맑은 고딕"/>
        <family val="2"/>
      </rPr>
      <t>파일의</t>
    </r>
    <r>
      <rPr>
        <sz val="9"/>
        <color theme="1"/>
        <rFont val="Calibri"/>
        <family val="2"/>
      </rPr>
      <t xml:space="preserve"> </t>
    </r>
    <r>
      <rPr>
        <sz val="9"/>
        <color theme="1"/>
        <rFont val="맑은 고딕"/>
        <family val="2"/>
      </rPr>
      <t>필드를</t>
    </r>
    <r>
      <rPr>
        <sz val="9"/>
        <color theme="1"/>
        <rFont val="Calibri"/>
        <family val="2"/>
      </rPr>
      <t xml:space="preserve"> </t>
    </r>
    <r>
      <rPr>
        <sz val="9"/>
        <color theme="1"/>
        <rFont val="맑은 고딕"/>
        <family val="2"/>
      </rPr>
      <t>먼저</t>
    </r>
    <r>
      <rPr>
        <sz val="9"/>
        <color theme="1"/>
        <rFont val="Calibri"/>
        <family val="2"/>
      </rPr>
      <t xml:space="preserve"> </t>
    </r>
    <r>
      <rPr>
        <sz val="9"/>
        <color theme="1"/>
        <rFont val="맑은 고딕"/>
        <family val="2"/>
      </rPr>
      <t>선택하고</t>
    </r>
    <r>
      <rPr>
        <sz val="9"/>
        <color theme="1"/>
        <rFont val="Calibri"/>
        <family val="2"/>
      </rPr>
      <t xml:space="preserve"> </t>
    </r>
    <r>
      <rPr>
        <sz val="9"/>
        <color theme="1"/>
        <rFont val="맑은 고딕"/>
        <family val="2"/>
      </rPr>
      <t>해당되는</t>
    </r>
    <r>
      <rPr>
        <sz val="9"/>
        <color theme="1"/>
        <rFont val="Calibri"/>
        <family val="2"/>
      </rPr>
      <t xml:space="preserve"> </t>
    </r>
    <r>
      <rPr>
        <sz val="9"/>
        <color theme="1"/>
        <rFont val="맑은 고딕"/>
        <family val="2"/>
      </rPr>
      <t>필드를</t>
    </r>
    <r>
      <rPr>
        <sz val="9"/>
        <color theme="1"/>
        <rFont val="Calibri"/>
        <family val="2"/>
      </rPr>
      <t xml:space="preserve"> Targe</t>
    </r>
    <r>
      <rPr>
        <sz val="9"/>
        <color theme="1"/>
        <rFont val="맑은 고딕"/>
        <family val="2"/>
      </rPr>
      <t>파일에서</t>
    </r>
    <r>
      <rPr>
        <sz val="9"/>
        <color theme="1"/>
        <rFont val="Calibri"/>
        <family val="2"/>
      </rPr>
      <t xml:space="preserve"> </t>
    </r>
    <r>
      <rPr>
        <sz val="9"/>
        <color theme="1"/>
        <rFont val="맑은 고딕"/>
        <family val="2"/>
      </rPr>
      <t>찾아서</t>
    </r>
    <r>
      <rPr>
        <sz val="9"/>
        <color theme="1"/>
        <rFont val="Calibri"/>
        <family val="2"/>
      </rPr>
      <t xml:space="preserve"> Mapping</t>
    </r>
    <r>
      <rPr>
        <sz val="9"/>
        <color theme="1"/>
        <rFont val="맑은 고딕"/>
        <family val="2"/>
      </rPr>
      <t>합니다</t>
    </r>
    <r>
      <rPr>
        <sz val="9"/>
        <color theme="1"/>
        <rFont val="Calibri"/>
        <family val="2"/>
      </rPr>
      <t>.</t>
    </r>
  </si>
  <si>
    <r>
      <rPr>
        <sz val="9"/>
        <color theme="1"/>
        <rFont val="맑은 고딕"/>
        <family val="2"/>
      </rPr>
      <t>오늘</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</si>
  <si>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총작업량</t>
    </r>
    <r>
      <rPr>
        <sz val="9"/>
        <color theme="1"/>
        <rFont val="Calibri"/>
        <family val="2"/>
      </rPr>
      <t>(A)\nMan-day</t>
    </r>
  </si>
  <si>
    <r>
      <rPr>
        <sz val="9"/>
        <color theme="1"/>
        <rFont val="맑은 고딕"/>
        <family val="2"/>
      </rPr>
      <t>총</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총</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</si>
  <si>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작업량</t>
    </r>
  </si>
  <si>
    <r>
      <rPr>
        <sz val="9"/>
        <color theme="1"/>
        <rFont val="맑은 고딕"/>
        <family val="2"/>
      </rPr>
      <t>총</t>
    </r>
    <r>
      <rPr>
        <sz val="9"/>
        <color theme="1"/>
        <rFont val="Calibri"/>
        <family val="2"/>
      </rPr>
      <t>\n</t>
    </r>
    <r>
      <rPr>
        <sz val="9"/>
        <color theme="1"/>
        <rFont val="맑은 고딕"/>
        <family val="2"/>
      </rPr>
      <t>작업량</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</si>
  <si>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실적진척율을</t>
    </r>
    <r>
      <rPr>
        <sz val="9"/>
        <color theme="1"/>
        <rFont val="Calibri"/>
        <family val="2"/>
      </rPr>
      <t xml:space="preserve"> 0~100% </t>
    </r>
    <r>
      <rPr>
        <sz val="9"/>
        <color theme="1"/>
        <rFont val="맑은 고딕"/>
        <family val="2"/>
      </rPr>
      <t>범위로</t>
    </r>
    <r>
      <rPr>
        <sz val="9"/>
        <color theme="1"/>
        <rFont val="Calibri"/>
        <family val="2"/>
      </rPr>
      <t xml:space="preserve"> </t>
    </r>
    <r>
      <rPr>
        <sz val="9"/>
        <color theme="1"/>
        <rFont val="맑은 고딕"/>
        <family val="2"/>
      </rPr>
      <t>입력해주세요</t>
    </r>
    <r>
      <rPr>
        <sz val="9"/>
        <color theme="1"/>
        <rFont val="Calibri"/>
        <family val="2"/>
      </rPr>
      <t>.</t>
    </r>
  </si>
  <si>
    <r>
      <rPr>
        <sz val="9"/>
        <color theme="1"/>
        <rFont val="맑은 고딕"/>
        <family val="2"/>
      </rPr>
      <t>파일을</t>
    </r>
    <r>
      <rPr>
        <sz val="9"/>
        <color theme="1"/>
        <rFont val="Calibri"/>
        <family val="2"/>
      </rPr>
      <t xml:space="preserve"> </t>
    </r>
    <r>
      <rPr>
        <sz val="9"/>
        <color theme="1"/>
        <rFont val="맑은 고딕"/>
        <family val="2"/>
      </rPr>
      <t>열수</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환경설정</t>
    </r>
    <r>
      <rPr>
        <sz val="9"/>
        <color theme="1"/>
        <rFont val="Calibri"/>
        <family val="2"/>
      </rPr>
      <t>&gt;</t>
    </r>
    <r>
      <rPr>
        <sz val="9"/>
        <color theme="1"/>
        <rFont val="맑은 고딕"/>
        <family val="2"/>
      </rPr>
      <t>산출물관리</t>
    </r>
    <r>
      <rPr>
        <sz val="9"/>
        <color theme="1"/>
        <rFont val="Calibri"/>
        <family val="2"/>
      </rPr>
      <t xml:space="preserve"> </t>
    </r>
    <r>
      <rPr>
        <sz val="9"/>
        <color theme="1"/>
        <rFont val="맑은 고딕"/>
        <family val="2"/>
      </rPr>
      <t>탭에서</t>
    </r>
    <r>
      <rPr>
        <sz val="9"/>
        <color theme="1"/>
        <rFont val="Calibri"/>
        <family val="2"/>
      </rPr>
      <t xml:space="preserve"> "</t>
    </r>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체크상태로</t>
    </r>
    <r>
      <rPr>
        <sz val="9"/>
        <color theme="1"/>
        <rFont val="Calibri"/>
        <family val="2"/>
      </rPr>
      <t xml:space="preserve"> </t>
    </r>
    <r>
      <rPr>
        <sz val="9"/>
        <color theme="1"/>
        <rFont val="맑은 고딕"/>
        <family val="2"/>
      </rPr>
      <t>변경해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</si>
  <si>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업데이트</t>
    </r>
    <r>
      <rPr>
        <sz val="9"/>
        <color theme="1"/>
        <rFont val="Calibri"/>
        <family val="2"/>
      </rPr>
      <t xml:space="preserve"> </t>
    </r>
    <r>
      <rPr>
        <sz val="9"/>
        <color theme="1"/>
        <rFont val="맑은 고딕"/>
        <family val="2"/>
      </rPr>
      <t>내용</t>
    </r>
  </si>
  <si>
    <r>
      <rPr>
        <sz val="9"/>
        <color theme="1"/>
        <rFont val="맑은 고딕"/>
        <family val="2"/>
      </rPr>
      <t>스케줄업데이트</t>
    </r>
    <r>
      <rPr>
        <sz val="9"/>
        <color theme="1"/>
        <rFont val="Calibri"/>
        <family val="2"/>
      </rPr>
      <t xml:space="preserve"> </t>
    </r>
    <r>
      <rPr>
        <sz val="9"/>
        <color theme="1"/>
        <rFont val="맑은 고딕"/>
        <family val="2"/>
      </rPr>
      <t>중입니다</t>
    </r>
    <r>
      <rPr>
        <sz val="9"/>
        <color theme="1"/>
        <rFont val="Calibri"/>
        <family val="2"/>
      </rPr>
      <t>...\n</t>
    </r>
    <r>
      <rPr>
        <sz val="9"/>
        <color theme="1"/>
        <rFont val="맑은 고딕"/>
        <family val="2"/>
      </rPr>
      <t>잠시만</t>
    </r>
    <r>
      <rPr>
        <sz val="9"/>
        <color theme="1"/>
        <rFont val="Calibri"/>
        <family val="2"/>
      </rPr>
      <t xml:space="preserve"> </t>
    </r>
    <r>
      <rPr>
        <sz val="9"/>
        <color theme="1"/>
        <rFont val="맑은 고딕"/>
        <family val="2"/>
      </rPr>
      <t>기다려</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</si>
  <si>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</si>
  <si>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</si>
  <si>
    <r>
      <rPr>
        <sz val="9"/>
        <color theme="1"/>
        <rFont val="맑은 고딕"/>
        <family val="2"/>
      </rPr>
      <t>차이</t>
    </r>
    <r>
      <rPr>
        <sz val="9"/>
        <color theme="1"/>
        <rFont val="Calibri"/>
        <family val="2"/>
      </rPr>
      <t>(</t>
    </r>
    <r>
      <rPr>
        <sz val="9"/>
        <color theme="1"/>
        <rFont val="맑은 고딕"/>
        <family val="2"/>
      </rPr>
      <t>실적</t>
    </r>
    <r>
      <rPr>
        <sz val="9"/>
        <color theme="1"/>
        <rFont val="Calibri"/>
        <family val="2"/>
      </rPr>
      <t>-</t>
    </r>
    <r>
      <rPr>
        <sz val="9"/>
        <color theme="1"/>
        <rFont val="맑은 고딕"/>
        <family val="2"/>
      </rPr>
      <t>계획</t>
    </r>
    <r>
      <rPr>
        <sz val="9"/>
        <color theme="1"/>
        <rFont val="Calibri"/>
        <family val="2"/>
      </rPr>
      <t>)</t>
    </r>
  </si>
  <si>
    <r>
      <t>WBS</t>
    </r>
    <r>
      <rPr>
        <sz val="9"/>
        <color theme="1"/>
        <rFont val="맑은 고딕"/>
        <family val="2"/>
      </rPr>
      <t>영역</t>
    </r>
    <r>
      <rPr>
        <sz val="9"/>
        <color theme="1"/>
        <rFont val="Calibri"/>
        <family val="2"/>
      </rPr>
      <t xml:space="preserve"> </t>
    </r>
    <r>
      <rPr>
        <sz val="9"/>
        <color theme="1"/>
        <rFont val="맑은 고딕"/>
        <family val="2"/>
      </rPr>
      <t>표시방법</t>
    </r>
  </si>
  <si>
    <r>
      <t>WBS Level(</t>
    </r>
    <r>
      <rPr>
        <sz val="9"/>
        <color theme="1"/>
        <rFont val="맑은 고딕"/>
        <family val="2"/>
      </rPr>
      <t>개요번호</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</si>
  <si>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가중치의</t>
    </r>
    <r>
      <rPr>
        <sz val="9"/>
        <color theme="1"/>
        <rFont val="Calibri"/>
        <family val="2"/>
      </rPr>
      <t xml:space="preserve"> </t>
    </r>
    <r>
      <rPr>
        <sz val="9"/>
        <color theme="1"/>
        <rFont val="맑은 고딕"/>
        <family val="2"/>
      </rPr>
      <t>숫자형식이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</si>
  <si>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가중치는</t>
    </r>
    <r>
      <rPr>
        <sz val="9"/>
        <color theme="1"/>
        <rFont val="Calibri"/>
        <family val="2"/>
      </rPr>
      <t xml:space="preserve"> 0</t>
    </r>
    <r>
      <rPr>
        <sz val="9"/>
        <color theme="1"/>
        <rFont val="맑은 고딕"/>
        <family val="2"/>
      </rPr>
      <t>보다</t>
    </r>
    <r>
      <rPr>
        <sz val="9"/>
        <color theme="1"/>
        <rFont val="Calibri"/>
        <family val="2"/>
      </rPr>
      <t xml:space="preserve"> </t>
    </r>
    <r>
      <rPr>
        <sz val="9"/>
        <color theme="1"/>
        <rFont val="맑은 고딕"/>
        <family val="2"/>
      </rPr>
      <t>커야</t>
    </r>
    <r>
      <rPr>
        <sz val="9"/>
        <color theme="1"/>
        <rFont val="Calibri"/>
        <family val="2"/>
      </rPr>
      <t xml:space="preserve"> </t>
    </r>
    <r>
      <rPr>
        <sz val="9"/>
        <color theme="1"/>
        <rFont val="맑은 고딕"/>
        <family val="2"/>
      </rPr>
      <t>합니다</t>
    </r>
    <r>
      <rPr>
        <sz val="9"/>
        <color theme="1"/>
        <rFont val="Calibri"/>
        <family val="2"/>
      </rPr>
      <t>.</t>
    </r>
  </si>
  <si>
    <r>
      <t>Workload</t>
    </r>
    <r>
      <rPr>
        <sz val="9"/>
        <color theme="1"/>
        <rFont val="맑은 고딕"/>
        <family val="2"/>
      </rPr>
      <t>현황</t>
    </r>
    <r>
      <rPr>
        <sz val="9"/>
        <color theme="1"/>
        <rFont val="Calibri"/>
        <family val="2"/>
      </rPr>
      <t>({})</t>
    </r>
  </si>
  <si>
    <r>
      <t>Workload(</t>
    </r>
    <r>
      <rPr>
        <sz val="9"/>
        <color theme="1"/>
        <rFont val="맑은 고딕"/>
        <family val="2"/>
      </rPr>
      <t>월별</t>
    </r>
    <r>
      <rPr>
        <sz val="9"/>
        <color theme="1"/>
        <rFont val="Calibri"/>
        <family val="2"/>
      </rPr>
      <t>)</t>
    </r>
  </si>
  <si>
    <r>
      <t>Workload(</t>
    </r>
    <r>
      <rPr>
        <sz val="9"/>
        <color theme="1"/>
        <rFont val="맑은 고딕"/>
        <family val="2"/>
      </rPr>
      <t>담당별</t>
    </r>
    <r>
      <rPr>
        <sz val="9"/>
        <color theme="1"/>
        <rFont val="Calibri"/>
        <family val="2"/>
      </rPr>
      <t>)</t>
    </r>
  </si>
  <si>
    <r>
      <t>Workload(</t>
    </r>
    <r>
      <rPr>
        <sz val="9"/>
        <color theme="1"/>
        <rFont val="맑은 고딕"/>
        <family val="2"/>
      </rPr>
      <t>주별</t>
    </r>
    <r>
      <rPr>
        <sz val="9"/>
        <color theme="1"/>
        <rFont val="Calibri"/>
        <family val="2"/>
      </rPr>
      <t>)</t>
    </r>
  </si>
  <si>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t>
    </r>
    <r>
      <rPr>
        <sz val="9"/>
        <color theme="1"/>
        <rFont val="Calibri"/>
        <family val="2"/>
      </rPr>
      <t xml:space="preserve"> </t>
    </r>
    <r>
      <rPr>
        <sz val="9"/>
        <color theme="1"/>
        <rFont val="맑은 고딕"/>
        <family val="2"/>
      </rPr>
      <t>버전입니다</t>
    </r>
    <r>
      <rPr>
        <sz val="9"/>
        <color theme="1"/>
        <rFont val="Calibri"/>
        <family val="2"/>
      </rPr>
      <t>.\n</t>
    </r>
    <r>
      <rPr>
        <sz val="9"/>
        <color theme="1"/>
        <rFont val="맑은 고딕"/>
        <family val="2"/>
      </rPr>
      <t>현재</t>
    </r>
    <r>
      <rPr>
        <sz val="9"/>
        <color theme="1"/>
        <rFont val="Calibri"/>
        <family val="2"/>
      </rPr>
      <t xml:space="preserve"> </t>
    </r>
    <r>
      <rPr>
        <sz val="9"/>
        <color theme="1"/>
        <rFont val="맑은 고딕"/>
        <family val="2"/>
      </rPr>
      <t>버전</t>
    </r>
    <r>
      <rPr>
        <sz val="9"/>
        <color theme="1"/>
        <rFont val="Calibri"/>
        <family val="2"/>
      </rPr>
      <t xml:space="preserve"> : {}</t>
    </r>
  </si>
  <si>
    <r>
      <t>{} Sheet</t>
    </r>
    <r>
      <rPr>
        <sz val="9"/>
        <color theme="1"/>
        <rFont val="맑은 고딕"/>
        <family val="2"/>
      </rPr>
      <t>에서만</t>
    </r>
    <r>
      <rPr>
        <sz val="9"/>
        <color theme="1"/>
        <rFont val="Calibri"/>
        <family val="2"/>
      </rPr>
      <t xml:space="preserve"> Outlook</t>
    </r>
    <r>
      <rPr>
        <sz val="9"/>
        <color theme="1"/>
        <rFont val="맑은 고딕"/>
        <family val="2"/>
      </rPr>
      <t>일정을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</si>
  <si>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</si>
  <si>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편집할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</si>
  <si>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작업가능합니다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</si>
  <si>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작업할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</si>
  <si>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</si>
  <si>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A</t>
    </r>
    <r>
      <rPr>
        <sz val="9"/>
        <color theme="1"/>
        <rFont val="맑은 고딕"/>
        <family val="2"/>
      </rPr>
      <t>열부터</t>
    </r>
    <r>
      <rPr>
        <sz val="9"/>
        <color theme="1"/>
        <rFont val="Calibri"/>
        <family val="2"/>
      </rPr>
      <t xml:space="preserve"> C</t>
    </r>
    <r>
      <rPr>
        <sz val="9"/>
        <color theme="1"/>
        <rFont val="맑은 고딕"/>
        <family val="2"/>
      </rPr>
      <t>열까지는</t>
    </r>
    <r>
      <rPr>
        <sz val="9"/>
        <color theme="1"/>
        <rFont val="Calibri"/>
        <family val="2"/>
      </rPr>
      <t xml:space="preserve"> XLGantt</t>
    </r>
    <r>
      <rPr>
        <sz val="9"/>
        <color theme="1"/>
        <rFont val="맑은 고딕"/>
        <family val="2"/>
      </rPr>
      <t>프로그램에서</t>
    </r>
    <r>
      <rPr>
        <sz val="9"/>
        <color theme="1"/>
        <rFont val="Calibri"/>
        <family val="2"/>
      </rPr>
      <t xml:space="preserve"> </t>
    </r>
    <r>
      <rPr>
        <sz val="9"/>
        <color theme="1"/>
        <rFont val="맑은 고딕"/>
        <family val="2"/>
      </rPr>
      <t>사용하는</t>
    </r>
    <r>
      <rPr>
        <sz val="9"/>
        <color theme="1"/>
        <rFont val="Calibri"/>
        <family val="2"/>
      </rPr>
      <t xml:space="preserve"> </t>
    </r>
    <r>
      <rPr>
        <sz val="9"/>
        <color theme="1"/>
        <rFont val="맑은 고딕"/>
        <family val="2"/>
      </rPr>
      <t>영역이므로</t>
    </r>
    <r>
      <rPr>
        <sz val="9"/>
        <color theme="1"/>
        <rFont val="Calibri"/>
        <family val="2"/>
      </rPr>
      <t xml:space="preserve"> </t>
    </r>
    <r>
      <rPr>
        <sz val="9"/>
        <color theme="1"/>
        <rFont val="맑은 고딕"/>
        <family val="2"/>
      </rPr>
      <t>임의로</t>
    </r>
    <r>
      <rPr>
        <sz val="9"/>
        <color theme="1"/>
        <rFont val="Calibri"/>
        <family val="2"/>
      </rPr>
      <t xml:space="preserve"> </t>
    </r>
    <r>
      <rPr>
        <sz val="9"/>
        <color theme="1"/>
        <rFont val="맑은 고딕"/>
        <family val="2"/>
      </rPr>
      <t>열을</t>
    </r>
    <r>
      <rPr>
        <sz val="9"/>
        <color theme="1"/>
        <rFont val="Calibri"/>
        <family val="2"/>
      </rPr>
      <t xml:space="preserve"> </t>
    </r>
    <r>
      <rPr>
        <sz val="9"/>
        <color theme="1"/>
        <rFont val="맑은 고딕"/>
        <family val="2"/>
      </rPr>
      <t>추가할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</si>
  <si>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입력불가</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</si>
  <si>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오른쪽으로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</si>
  <si>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</si>
  <si>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왼쪽으로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</si>
  <si>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Microsoft Outlook</t>
    </r>
    <r>
      <rPr>
        <sz val="9"/>
        <color theme="1"/>
        <rFont val="맑은 고딕"/>
        <family val="2"/>
      </rPr>
      <t>을</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.\n</t>
    </r>
    <r>
      <rPr>
        <sz val="9"/>
        <color theme="1"/>
        <rFont val="맑은 고딕"/>
        <family val="2"/>
      </rPr>
      <t>정상적으로</t>
    </r>
    <r>
      <rPr>
        <sz val="9"/>
        <color theme="1"/>
        <rFont val="Calibri"/>
        <family val="2"/>
      </rPr>
      <t xml:space="preserve"> </t>
    </r>
    <r>
      <rPr>
        <sz val="9"/>
        <color theme="1"/>
        <rFont val="맑은 고딕"/>
        <family val="2"/>
      </rPr>
      <t>설치되어</t>
    </r>
    <r>
      <rPr>
        <sz val="9"/>
        <color theme="1"/>
        <rFont val="Calibri"/>
        <family val="2"/>
      </rPr>
      <t xml:space="preserve"> </t>
    </r>
    <r>
      <rPr>
        <sz val="9"/>
        <color theme="1"/>
        <rFont val="맑은 고딕"/>
        <family val="2"/>
      </rPr>
      <t>있는지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</si>
  <si>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변경된</t>
    </r>
    <r>
      <rPr>
        <sz val="9"/>
        <color theme="1"/>
        <rFont val="Calibri"/>
        <family val="2"/>
      </rPr>
      <t xml:space="preserve"> </t>
    </r>
    <r>
      <rPr>
        <sz val="9"/>
        <color theme="1"/>
        <rFont val="맑은 고딕"/>
        <family val="2"/>
      </rPr>
      <t>일정은</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변경되었을</t>
    </r>
    <r>
      <rPr>
        <sz val="9"/>
        <color theme="1"/>
        <rFont val="Calibri"/>
        <family val="2"/>
      </rPr>
      <t xml:space="preserve"> </t>
    </r>
    <r>
      <rPr>
        <sz val="9"/>
        <color theme="1"/>
        <rFont val="맑은 고딕"/>
        <family val="2"/>
      </rPr>
      <t>때는</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변경합니다</t>
    </r>
    <r>
      <rPr>
        <sz val="9"/>
        <color theme="1"/>
        <rFont val="Calibri"/>
        <family val="2"/>
      </rPr>
      <t xml:space="preserve">.  </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</si>
  <si>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실제완료일을</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시작된</t>
    </r>
    <r>
      <rPr>
        <sz val="9"/>
        <color theme="1"/>
        <rFont val="Calibri"/>
        <family val="2"/>
      </rPr>
      <t xml:space="preserve"> </t>
    </r>
    <r>
      <rPr>
        <sz val="9"/>
        <color theme="1"/>
        <rFont val="맑은 고딕"/>
        <family val="2"/>
      </rPr>
      <t>날짜와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완료된</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입력하여</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지연되었거나</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것을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</si>
  <si>
    <r>
      <rPr>
        <sz val="9"/>
        <color theme="1"/>
        <rFont val="맑은 고딕"/>
        <family val="2"/>
      </rPr>
      <t>필드명이</t>
    </r>
    <r>
      <rPr>
        <sz val="9"/>
        <color theme="1"/>
        <rFont val="Calibri"/>
        <family val="2"/>
      </rPr>
      <t xml:space="preserve"> </t>
    </r>
    <r>
      <rPr>
        <sz val="9"/>
        <color theme="1"/>
        <rFont val="맑은 고딕"/>
        <family val="2"/>
      </rPr>
      <t>비어있는</t>
    </r>
    <r>
      <rPr>
        <sz val="9"/>
        <color theme="1"/>
        <rFont val="Calibri"/>
        <family val="2"/>
      </rPr>
      <t xml:space="preserve"> </t>
    </r>
    <r>
      <rPr>
        <sz val="9"/>
        <color theme="1"/>
        <rFont val="맑은 고딕"/>
        <family val="2"/>
      </rPr>
      <t>항목은</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</si>
  <si>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엑셀매크로</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가져오기를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 xml:space="preserve">. xls </t>
    </r>
    <r>
      <rPr>
        <sz val="9"/>
        <color theme="1"/>
        <rFont val="맑은 고딕"/>
        <family val="2"/>
      </rPr>
      <t>또는</t>
    </r>
    <r>
      <rPr>
        <sz val="9"/>
        <color theme="1"/>
        <rFont val="Calibri"/>
        <family val="2"/>
      </rPr>
      <t xml:space="preserve"> xlsx</t>
    </r>
    <r>
      <rPr>
        <sz val="9"/>
        <color theme="1"/>
        <rFont val="맑은 고딕"/>
        <family val="2"/>
      </rPr>
      <t>파일로</t>
    </r>
    <r>
      <rPr>
        <sz val="9"/>
        <color theme="1"/>
        <rFont val="Calibri"/>
        <family val="2"/>
      </rPr>
      <t xml:space="preserve"> </t>
    </r>
    <r>
      <rPr>
        <sz val="9"/>
        <color theme="1"/>
        <rFont val="맑은 고딕"/>
        <family val="2"/>
      </rPr>
      <t>저장하여</t>
    </r>
    <r>
      <rPr>
        <sz val="9"/>
        <color theme="1"/>
        <rFont val="Calibri"/>
        <family val="2"/>
      </rPr>
      <t xml:space="preserve"> </t>
    </r>
    <r>
      <rPr>
        <sz val="9"/>
        <color theme="1"/>
        <rFont val="맑은 고딕"/>
        <family val="2"/>
      </rPr>
      <t>작업하시기</t>
    </r>
    <r>
      <rPr>
        <sz val="9"/>
        <color theme="1"/>
        <rFont val="Calibri"/>
        <family val="2"/>
      </rPr>
      <t xml:space="preserve"> </t>
    </r>
    <r>
      <rPr>
        <sz val="9"/>
        <color theme="1"/>
        <rFont val="맑은 고딕"/>
        <family val="2"/>
      </rPr>
      <t>바랍니다</t>
    </r>
    <r>
      <rPr>
        <sz val="9"/>
        <color theme="1"/>
        <rFont val="Calibri"/>
        <family val="2"/>
      </rPr>
      <t xml:space="preserve">. </t>
    </r>
    <r>
      <rPr>
        <sz val="9"/>
        <color theme="1"/>
        <rFont val="맑은 고딕"/>
        <family val="2"/>
      </rPr>
      <t>만약</t>
    </r>
    <r>
      <rPr>
        <sz val="9"/>
        <color theme="1"/>
        <rFont val="Calibri"/>
        <family val="2"/>
      </rPr>
      <t xml:space="preserve"> XLGantt</t>
    </r>
    <r>
      <rPr>
        <sz val="9"/>
        <color theme="1"/>
        <rFont val="맑은 고딕"/>
        <family val="2"/>
      </rPr>
      <t>파일인</t>
    </r>
    <r>
      <rPr>
        <sz val="9"/>
        <color theme="1"/>
        <rFont val="Calibri"/>
        <family val="2"/>
      </rPr>
      <t xml:space="preserve"> </t>
    </r>
    <r>
      <rPr>
        <sz val="9"/>
        <color theme="1"/>
        <rFont val="맑은 고딕"/>
        <family val="2"/>
      </rPr>
      <t>경우에는</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가능합니다</t>
    </r>
  </si>
  <si>
    <r>
      <rPr>
        <sz val="9"/>
        <color theme="1"/>
        <rFont val="맑은 고딕"/>
        <family val="2"/>
      </rPr>
      <t>기본언어인</t>
    </r>
    <r>
      <rPr>
        <sz val="9"/>
        <color theme="1"/>
        <rFont val="Calibri"/>
        <family val="2"/>
      </rPr>
      <t xml:space="preserve"> English</t>
    </r>
    <r>
      <rPr>
        <sz val="9"/>
        <color theme="1"/>
        <rFont val="맑은 고딕"/>
        <family val="2"/>
      </rPr>
      <t>와</t>
    </r>
    <r>
      <rPr>
        <sz val="9"/>
        <color theme="1"/>
        <rFont val="Calibri"/>
        <family val="2"/>
      </rPr>
      <t xml:space="preserve"> Korean</t>
    </r>
    <r>
      <rPr>
        <sz val="9"/>
        <color theme="1"/>
        <rFont val="맑은 고딕"/>
        <family val="2"/>
      </rPr>
      <t>은</t>
    </r>
    <r>
      <rPr>
        <sz val="9"/>
        <color theme="1"/>
        <rFont val="Calibri"/>
        <family val="2"/>
      </rPr>
      <t xml:space="preserve"> </t>
    </r>
    <r>
      <rPr>
        <sz val="9"/>
        <color theme="1"/>
        <rFont val="맑은 고딕"/>
        <family val="2"/>
      </rPr>
      <t>삭제할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</si>
  <si>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언어가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</si>
  <si>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Source</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</si>
  <si>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Target</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</si>
  <si>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Mapping</t>
    </r>
    <r>
      <rPr>
        <sz val="9"/>
        <color theme="1"/>
        <rFont val="맑은 고딕"/>
        <family val="2"/>
      </rPr>
      <t>취소항목이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</si>
  <si>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한곳만</t>
    </r>
    <r>
      <rPr>
        <sz val="9"/>
        <color theme="1"/>
        <rFont val="Calibri"/>
        <family val="2"/>
      </rPr>
      <t xml:space="preserve"> </t>
    </r>
    <r>
      <rPr>
        <sz val="9"/>
        <color theme="1"/>
        <rFont val="맑은 고딕"/>
        <family val="2"/>
      </rPr>
      <t>선택하세요</t>
    </r>
    <r>
      <rPr>
        <sz val="9"/>
        <color theme="1"/>
        <rFont val="Calibri"/>
        <family val="2"/>
      </rPr>
      <t xml:space="preserve">. </t>
    </r>
    <r>
      <rPr>
        <sz val="9"/>
        <color theme="1"/>
        <rFont val="맑은 고딕"/>
        <family val="2"/>
      </rPr>
      <t>현재</t>
    </r>
    <r>
      <rPr>
        <sz val="9"/>
        <color theme="1"/>
        <rFont val="Calibri"/>
        <family val="2"/>
      </rPr>
      <t xml:space="preserve"> {}</t>
    </r>
    <r>
      <rPr>
        <sz val="9"/>
        <color theme="1"/>
        <rFont val="맑은 고딕"/>
        <family val="2"/>
      </rPr>
      <t>곳이</t>
    </r>
    <r>
      <rPr>
        <sz val="9"/>
        <color theme="1"/>
        <rFont val="Calibri"/>
        <family val="2"/>
      </rPr>
      <t xml:space="preserve"> </t>
    </r>
    <r>
      <rPr>
        <sz val="9"/>
        <color theme="1"/>
        <rFont val="맑은 고딕"/>
        <family val="2"/>
      </rPr>
      <t>선택되었습니다</t>
    </r>
    <r>
      <rPr>
        <sz val="9"/>
        <color theme="1"/>
        <rFont val="Calibri"/>
        <family val="2"/>
      </rPr>
      <t>.</t>
    </r>
  </si>
  <si>
    <r>
      <t>2018</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</si>
  <si>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부처님오신날</t>
    </r>
    <phoneticPr fontId="2" type="noConversion"/>
  </si>
  <si>
    <r>
      <t>2018</t>
    </r>
    <r>
      <rPr>
        <sz val="11"/>
        <rFont val="맑은 고딕"/>
        <family val="3"/>
        <charset val="129"/>
      </rPr>
      <t>년</t>
    </r>
    <r>
      <rPr>
        <sz val="11"/>
        <rFont val="Calibri"/>
        <family val="2"/>
      </rPr>
      <t xml:space="preserve"> </t>
    </r>
    <r>
      <rPr>
        <sz val="11"/>
        <rFont val="맑은 고딕"/>
        <family val="3"/>
        <charset val="129"/>
      </rPr>
      <t>현충일</t>
    </r>
    <phoneticPr fontId="2" type="noConversion"/>
  </si>
  <si>
    <r>
      <t>2018</t>
    </r>
    <r>
      <rPr>
        <sz val="11"/>
        <rFont val="맑은 고딕"/>
        <family val="3"/>
        <charset val="129"/>
      </rPr>
      <t>년</t>
    </r>
    <r>
      <rPr>
        <sz val="11"/>
        <rFont val="Calibri"/>
        <family val="2"/>
      </rPr>
      <t xml:space="preserve"> </t>
    </r>
    <r>
      <rPr>
        <sz val="11"/>
        <rFont val="맑은 고딕"/>
        <family val="3"/>
        <charset val="129"/>
      </rPr>
      <t>광복절</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</si>
  <si>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</si>
  <si>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</si>
  <si>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</si>
  <si>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개천절</t>
    </r>
    <phoneticPr fontId="2" type="noConversion"/>
  </si>
  <si>
    <r>
      <t>2018</t>
    </r>
    <r>
      <rPr>
        <sz val="11"/>
        <rFont val="맑은 고딕"/>
        <family val="3"/>
        <charset val="129"/>
      </rPr>
      <t>년</t>
    </r>
    <r>
      <rPr>
        <sz val="11"/>
        <rFont val="Calibri"/>
        <family val="2"/>
      </rPr>
      <t xml:space="preserve"> </t>
    </r>
    <r>
      <rPr>
        <sz val="11"/>
        <rFont val="맑은 고딕"/>
        <family val="3"/>
        <charset val="129"/>
      </rPr>
      <t>한글날</t>
    </r>
    <phoneticPr fontId="2" type="noConversion"/>
  </si>
  <si>
    <r>
      <t>2018</t>
    </r>
    <r>
      <rPr>
        <sz val="11"/>
        <rFont val="맑은 고딕"/>
        <family val="3"/>
        <charset val="129"/>
      </rPr>
      <t>년</t>
    </r>
    <r>
      <rPr>
        <sz val="11"/>
        <rFont val="Calibri"/>
        <family val="2"/>
      </rPr>
      <t xml:space="preserve"> </t>
    </r>
    <r>
      <rPr>
        <sz val="11"/>
        <rFont val="맑은 고딕"/>
        <family val="3"/>
        <charset val="129"/>
      </rPr>
      <t>성탄절</t>
    </r>
    <phoneticPr fontId="2" type="noConversion"/>
  </si>
  <si>
    <r>
      <rPr>
        <sz val="9"/>
        <color theme="1"/>
        <rFont val="돋움"/>
        <family val="3"/>
        <charset val="129"/>
      </rPr>
      <t>계획</t>
    </r>
    <r>
      <rPr>
        <sz val="9"/>
        <color theme="1"/>
        <rFont val="Calibri"/>
        <family val="2"/>
      </rPr>
      <t>__</t>
    </r>
    <r>
      <rPr>
        <sz val="9"/>
        <color theme="1"/>
        <rFont val="돋움"/>
        <family val="3"/>
        <charset val="129"/>
      </rPr>
      <t>기간</t>
    </r>
    <phoneticPr fontId="7" type="noConversion"/>
  </si>
  <si>
    <t>Total__Duration</t>
    <phoneticPr fontId="7" type="noConversion"/>
  </si>
  <si>
    <r>
      <rPr>
        <sz val="9"/>
        <color theme="1"/>
        <rFont val="돋움"/>
        <family val="3"/>
        <charset val="129"/>
      </rPr>
      <t>총</t>
    </r>
    <r>
      <rPr>
        <sz val="9"/>
        <color theme="1"/>
        <rFont val="Calibri"/>
        <family val="2"/>
      </rPr>
      <t>__</t>
    </r>
    <r>
      <rPr>
        <sz val="9"/>
        <color theme="1"/>
        <rFont val="돋움"/>
        <family val="3"/>
        <charset val="129"/>
      </rPr>
      <t>작업량</t>
    </r>
    <phoneticPr fontId="7" type="noConversion"/>
  </si>
  <si>
    <t>Saturdays, Sundays and the dates entered in the Calendar sheet_x000D_</t>
    <phoneticPr fontId="2" type="noConversion"/>
  </si>
  <si>
    <t>Actual__Total Work</t>
    <phoneticPr fontId="7" type="noConversion"/>
  </si>
  <si>
    <r>
      <rPr>
        <sz val="9"/>
        <color theme="1"/>
        <rFont val="맑은 고딕"/>
        <family val="2"/>
      </rPr>
      <t>실제_x000D_</t>
    </r>
    <r>
      <rPr>
        <sz val="9"/>
        <color theme="1"/>
        <rFont val="Calibri"/>
        <family val="2"/>
      </rPr>
      <t>\n</t>
    </r>
    <r>
      <rPr>
        <sz val="9"/>
        <color theme="1"/>
        <rFont val="맑은 고딕"/>
        <family val="2"/>
      </rPr>
      <t>시작일</t>
    </r>
    <r>
      <rPr>
        <sz val="9"/>
        <color theme="1"/>
        <rFont val="Calibri"/>
        <family val="2"/>
      </rPr>
      <t>-</t>
    </r>
    <r>
      <rPr>
        <sz val="9"/>
        <color theme="1"/>
        <rFont val="맑은 고딕"/>
        <family val="2"/>
      </rPr>
      <t>완료일</t>
    </r>
    <phoneticPr fontId="2" type="noConversion"/>
  </si>
  <si>
    <r>
      <t>계획</t>
    </r>
    <r>
      <rPr>
        <sz val="10"/>
        <color theme="1"/>
        <rFont val="Calibri"/>
        <family val="2"/>
      </rPr>
      <t>\n</t>
    </r>
    <r>
      <rPr>
        <sz val="10"/>
        <color theme="1"/>
        <rFont val="돋움"/>
        <family val="3"/>
        <charset val="129"/>
      </rPr>
      <t>기간</t>
    </r>
  </si>
  <si>
    <r>
      <t>실제</t>
    </r>
    <r>
      <rPr>
        <sz val="10"/>
        <color theme="1"/>
        <rFont val="Calibri"/>
        <family val="2"/>
      </rPr>
      <t>\n</t>
    </r>
    <r>
      <rPr>
        <sz val="10"/>
        <color theme="1"/>
        <rFont val="돋움"/>
        <family val="3"/>
        <charset val="129"/>
      </rPr>
      <t>총기간</t>
    </r>
  </si>
  <si>
    <r>
      <t>총</t>
    </r>
    <r>
      <rPr>
        <sz val="10"/>
        <color theme="1"/>
        <rFont val="Calibri"/>
        <family val="2"/>
      </rPr>
      <t>\n</t>
    </r>
    <r>
      <rPr>
        <sz val="10"/>
        <color theme="1"/>
        <rFont val="돋움"/>
        <family val="3"/>
        <charset val="129"/>
      </rPr>
      <t>기간</t>
    </r>
  </si>
  <si>
    <t>Reserved</t>
    <phoneticPr fontId="7" type="noConversion"/>
  </si>
  <si>
    <t>Text Index</t>
    <phoneticPr fontId="7" type="noConversion"/>
  </si>
  <si>
    <t>Description</t>
    <phoneticPr fontId="7"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</si>
  <si>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</si>
  <si>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r>
      <rPr>
        <sz val="9"/>
        <color theme="1"/>
        <rFont val="맑은 고딕"/>
        <family val="2"/>
      </rPr>
      <t>여기에는</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휴무일만</t>
    </r>
    <r>
      <rPr>
        <sz val="9"/>
        <color theme="1"/>
        <rFont val="Calibri"/>
        <family val="2"/>
      </rPr>
      <t xml:space="preserve"> </t>
    </r>
    <r>
      <rPr>
        <sz val="9"/>
        <color theme="1"/>
        <rFont val="맑은 고딕"/>
        <family val="2"/>
      </rPr>
      <t>입력하세요</t>
    </r>
    <r>
      <rPr>
        <sz val="9"/>
        <color theme="1"/>
        <rFont val="Calibri"/>
        <family val="2"/>
      </rPr>
      <t>.</t>
    </r>
    <r>
      <rPr>
        <sz val="9"/>
        <color theme="1"/>
        <rFont val="맑은 고딕"/>
        <family val="2"/>
      </rPr>
      <t>휴무일을</t>
    </r>
    <r>
      <rPr>
        <sz val="9"/>
        <color theme="1"/>
        <rFont val="Calibri"/>
        <family val="2"/>
      </rPr>
      <t xml:space="preserve"> </t>
    </r>
    <r>
      <rPr>
        <sz val="9"/>
        <color theme="1"/>
        <rFont val="맑은 고딕"/>
        <family val="2"/>
      </rPr>
      <t>제외한</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근무일자로</t>
    </r>
    <r>
      <rPr>
        <sz val="9"/>
        <color theme="1"/>
        <rFont val="Calibri"/>
        <family val="2"/>
      </rPr>
      <t xml:space="preserve"> </t>
    </r>
    <r>
      <rPr>
        <sz val="9"/>
        <color theme="1"/>
        <rFont val="맑은 고딕"/>
        <family val="2"/>
      </rPr>
      <t>설정됩니다</t>
    </r>
    <r>
      <rPr>
        <sz val="9"/>
        <color theme="1"/>
        <rFont val="Calibri"/>
        <family val="2"/>
      </rPr>
      <t>. \n</t>
    </r>
    <r>
      <rPr>
        <sz val="9"/>
        <color theme="1"/>
        <rFont val="맑은 고딕"/>
        <family val="2"/>
      </rPr>
      <t>휴무일을</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작업기간</t>
    </r>
    <r>
      <rPr>
        <sz val="9"/>
        <color theme="1"/>
        <rFont val="Calibri"/>
        <family val="2"/>
      </rPr>
      <t xml:space="preserve"> </t>
    </r>
    <r>
      <rPr>
        <sz val="9"/>
        <color theme="1"/>
        <rFont val="맑은 고딕"/>
        <family val="2"/>
      </rPr>
      <t>계산시</t>
    </r>
    <r>
      <rPr>
        <sz val="9"/>
        <color theme="1"/>
        <rFont val="Calibri"/>
        <family val="2"/>
      </rPr>
      <t xml:space="preserve"> </t>
    </r>
    <r>
      <rPr>
        <sz val="9"/>
        <color theme="1"/>
        <rFont val="맑은 고딕"/>
        <family val="2"/>
      </rPr>
      <t>반영합니다</t>
    </r>
    <r>
      <rPr>
        <sz val="9"/>
        <color theme="1"/>
        <rFont val="Calibri"/>
        <family val="2"/>
      </rPr>
      <t xml:space="preserve">. </t>
    </r>
    <r>
      <rPr>
        <sz val="9"/>
        <color theme="1"/>
        <rFont val="맑은 고딕"/>
        <family val="2"/>
      </rPr>
      <t>입력한</t>
    </r>
    <r>
      <rPr>
        <sz val="9"/>
        <color theme="1"/>
        <rFont val="Calibri"/>
        <family val="2"/>
      </rPr>
      <t xml:space="preserve"> </t>
    </r>
    <r>
      <rPr>
        <sz val="9"/>
        <color theme="1"/>
        <rFont val="맑은 고딕"/>
        <family val="2"/>
      </rPr>
      <t>일자만큼</t>
    </r>
    <r>
      <rPr>
        <sz val="9"/>
        <color theme="1"/>
        <rFont val="Calibri"/>
        <family val="2"/>
      </rPr>
      <t xml:space="preserve"> </t>
    </r>
    <r>
      <rPr>
        <sz val="9"/>
        <color theme="1"/>
        <rFont val="맑은 고딕"/>
        <family val="2"/>
      </rPr>
      <t>작업기간에서</t>
    </r>
    <r>
      <rPr>
        <sz val="9"/>
        <color theme="1"/>
        <rFont val="Calibri"/>
        <family val="2"/>
      </rPr>
      <t xml:space="preserve"> </t>
    </r>
    <r>
      <rPr>
        <sz val="9"/>
        <color theme="1"/>
        <rFont val="맑은 고딕"/>
        <family val="2"/>
      </rPr>
      <t>제외합니다</t>
    </r>
    <r>
      <rPr>
        <sz val="9"/>
        <color theme="1"/>
        <rFont val="Calibri"/>
        <family val="2"/>
      </rPr>
      <t>.\n(</t>
    </r>
    <r>
      <rPr>
        <sz val="9"/>
        <color theme="1"/>
        <rFont val="맑은 고딕"/>
        <family val="2"/>
      </rPr>
      <t>단</t>
    </r>
    <r>
      <rPr>
        <sz val="9"/>
        <color theme="1"/>
        <rFont val="Calibri"/>
        <family val="2"/>
      </rPr>
      <t xml:space="preserve">, </t>
    </r>
    <r>
      <rPr>
        <sz val="9"/>
        <color theme="1"/>
        <rFont val="맑은 고딕"/>
        <family val="2"/>
      </rPr>
      <t>옵션창의</t>
    </r>
    <r>
      <rPr>
        <sz val="9"/>
        <color theme="1"/>
        <rFont val="Calibri"/>
        <family val="2"/>
      </rPr>
      <t xml:space="preserve"> </t>
    </r>
    <r>
      <rPr>
        <sz val="9"/>
        <color theme="1"/>
        <rFont val="맑은 고딕"/>
        <family val="2"/>
      </rPr>
      <t>캘린더</t>
    </r>
    <r>
      <rPr>
        <sz val="9"/>
        <color theme="1"/>
        <rFont val="Calibri"/>
        <family val="2"/>
      </rPr>
      <t xml:space="preserve"> </t>
    </r>
    <r>
      <rPr>
        <sz val="9"/>
        <color theme="1"/>
        <rFont val="맑은 고딕"/>
        <family val="2"/>
      </rPr>
      <t>설정에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휴무일계산방법은</t>
    </r>
    <r>
      <rPr>
        <sz val="9"/>
        <color theme="1"/>
        <rFont val="Calibri"/>
        <family val="2"/>
      </rPr>
      <t xml:space="preserve"> </t>
    </r>
    <r>
      <rPr>
        <sz val="9"/>
        <color theme="1"/>
        <rFont val="맑은 고딕"/>
        <family val="2"/>
      </rPr>
      <t>달라질</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.)\n</t>
    </r>
    <r>
      <rPr>
        <sz val="9"/>
        <color theme="1"/>
        <rFont val="맑은 고딕"/>
        <family val="2"/>
      </rPr>
      <t>표준캘린더는</t>
    </r>
    <r>
      <rPr>
        <sz val="9"/>
        <color theme="1"/>
        <rFont val="Calibri"/>
        <family val="2"/>
      </rPr>
      <t xml:space="preserve"> </t>
    </r>
    <r>
      <rPr>
        <sz val="9"/>
        <color theme="1"/>
        <rFont val="맑은 고딕"/>
        <family val="2"/>
      </rPr>
      <t>기본으로</t>
    </r>
    <r>
      <rPr>
        <sz val="9"/>
        <color theme="1"/>
        <rFont val="Calibri"/>
        <family val="2"/>
      </rPr>
      <t xml:space="preserve"> </t>
    </r>
    <r>
      <rPr>
        <sz val="9"/>
        <color theme="1"/>
        <rFont val="맑은 고딕"/>
        <family val="2"/>
      </rPr>
      <t>적용되는</t>
    </r>
    <r>
      <rPr>
        <sz val="9"/>
        <color theme="1"/>
        <rFont val="Calibri"/>
        <family val="2"/>
      </rPr>
      <t xml:space="preserve"> </t>
    </r>
    <r>
      <rPr>
        <sz val="9"/>
        <color theme="1"/>
        <rFont val="맑은 고딕"/>
        <family val="2"/>
      </rPr>
      <t>캘린더이며</t>
    </r>
    <r>
      <rPr>
        <sz val="9"/>
        <color theme="1"/>
        <rFont val="Calibri"/>
        <family val="2"/>
      </rPr>
      <t xml:space="preserve"> </t>
    </r>
    <r>
      <rPr>
        <sz val="9"/>
        <color theme="1"/>
        <rFont val="맑은 고딕"/>
        <family val="2"/>
      </rPr>
      <t>특정</t>
    </r>
    <r>
      <rPr>
        <sz val="9"/>
        <color theme="1"/>
        <rFont val="Calibri"/>
        <family val="2"/>
      </rPr>
      <t xml:space="preserve"> </t>
    </r>
    <r>
      <rPr>
        <sz val="9"/>
        <color theme="1"/>
        <rFont val="맑은 고딕"/>
        <family val="2"/>
      </rPr>
      <t>작업에</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캘린더를</t>
    </r>
    <r>
      <rPr>
        <sz val="9"/>
        <color theme="1"/>
        <rFont val="Calibri"/>
        <family val="2"/>
      </rPr>
      <t xml:space="preserve"> </t>
    </r>
    <r>
      <rPr>
        <sz val="9"/>
        <color theme="1"/>
        <rFont val="맑은 고딕"/>
        <family val="2"/>
      </rPr>
      <t>지정하고</t>
    </r>
    <r>
      <rPr>
        <sz val="9"/>
        <color theme="1"/>
        <rFont val="Calibri"/>
        <family val="2"/>
      </rPr>
      <t xml:space="preserve"> </t>
    </r>
    <r>
      <rPr>
        <sz val="9"/>
        <color theme="1"/>
        <rFont val="맑은 고딕"/>
        <family val="2"/>
      </rPr>
      <t>싶으면</t>
    </r>
    <r>
      <rPr>
        <sz val="9"/>
        <color theme="1"/>
        <rFont val="Calibri"/>
        <family val="2"/>
      </rPr>
      <t xml:space="preserve">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r>
      <rPr>
        <sz val="9"/>
        <color theme="1"/>
        <rFont val="맑은 고딕"/>
        <family val="2"/>
      </rPr>
      <t>에</t>
    </r>
    <r>
      <rPr>
        <sz val="9"/>
        <color theme="1"/>
        <rFont val="Calibri"/>
        <family val="2"/>
      </rPr>
      <t xml:space="preserve"> </t>
    </r>
    <r>
      <rPr>
        <sz val="9"/>
        <color theme="1"/>
        <rFont val="맑은 고딕"/>
        <family val="2"/>
      </rPr>
      <t>휴무일을</t>
    </r>
    <r>
      <rPr>
        <sz val="9"/>
        <color theme="1"/>
        <rFont val="Calibri"/>
        <family val="2"/>
      </rPr>
      <t xml:space="preserve"> </t>
    </r>
    <r>
      <rPr>
        <sz val="9"/>
        <color theme="1"/>
        <rFont val="맑은 고딕"/>
        <family val="2"/>
      </rPr>
      <t>지정하여</t>
    </r>
    <r>
      <rPr>
        <sz val="9"/>
        <color theme="1"/>
        <rFont val="Calibri"/>
        <family val="2"/>
      </rPr>
      <t xml:space="preserve"> </t>
    </r>
    <r>
      <rPr>
        <sz val="9"/>
        <color theme="1"/>
        <rFont val="맑은 고딕"/>
        <family val="2"/>
      </rPr>
      <t>사용합니다</t>
    </r>
    <r>
      <rPr>
        <sz val="9"/>
        <color theme="1"/>
        <rFont val="Calibri"/>
        <family val="2"/>
      </rPr>
      <t>.</t>
    </r>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</si>
  <si>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</si>
  <si>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</si>
  <si>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</si>
  <si>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</si>
  <si>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r>
      <rPr>
        <sz val="9"/>
        <color theme="1"/>
        <rFont val="맑은 고딕"/>
        <family val="2"/>
      </rPr>
      <t>토요일</t>
    </r>
    <r>
      <rPr>
        <sz val="9"/>
        <color theme="1"/>
        <rFont val="Calibri"/>
        <family val="2"/>
      </rPr>
      <t>,</t>
    </r>
    <r>
      <rPr>
        <sz val="9"/>
        <color theme="1"/>
        <rFont val="맑은 고딕"/>
        <family val="2"/>
      </rPr>
      <t>일요일</t>
    </r>
    <r>
      <rPr>
        <sz val="9"/>
        <color theme="1"/>
        <rFont val="Calibri"/>
        <family val="2"/>
      </rPr>
      <t xml:space="preserve"> </t>
    </r>
    <r>
      <rPr>
        <sz val="9"/>
        <color theme="1"/>
        <rFont val="맑은 고딕"/>
        <family val="2"/>
      </rPr>
      <t>및</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날짜_x000D_</t>
    </r>
    <phoneticPr fontId="2" type="noConversion"/>
  </si>
  <si>
    <t>for import columun</t>
    <phoneticPr fontId="7" type="noConversion"/>
  </si>
  <si>
    <t>%Work__Complete</t>
    <phoneticPr fontId="7" type="noConversion"/>
  </si>
  <si>
    <t>manual input</t>
    <phoneticPr fontId="2" type="noConversion"/>
  </si>
  <si>
    <t>Actual</t>
    <phoneticPr fontId="2" type="noConversion"/>
  </si>
  <si>
    <t>실적</t>
    <phoneticPr fontId="2" type="noConversion"/>
  </si>
  <si>
    <t>Actual Total__Duration</t>
    <phoneticPr fontId="7" type="noConversion"/>
  </si>
  <si>
    <r>
      <rPr>
        <sz val="9"/>
        <color theme="1"/>
        <rFont val="돋움"/>
        <family val="3"/>
        <charset val="129"/>
      </rPr>
      <t>실제</t>
    </r>
    <r>
      <rPr>
        <sz val="9"/>
        <color theme="1"/>
        <rFont val="Calibri"/>
        <family val="2"/>
      </rPr>
      <t xml:space="preserve"> </t>
    </r>
    <r>
      <rPr>
        <sz val="9"/>
        <color theme="1"/>
        <rFont val="돋움"/>
        <family val="3"/>
        <charset val="129"/>
      </rPr>
      <t>총기간</t>
    </r>
    <r>
      <rPr>
        <sz val="9"/>
        <color theme="1"/>
        <rFont val="Calibri"/>
        <family val="2"/>
      </rPr>
      <t>__(</t>
    </r>
    <r>
      <rPr>
        <sz val="9"/>
        <color theme="1"/>
        <rFont val="돋움"/>
        <family val="3"/>
        <charset val="129"/>
      </rPr>
      <t>전체</t>
    </r>
    <r>
      <rPr>
        <sz val="9"/>
        <color theme="1"/>
        <rFont val="Calibri"/>
        <family val="2"/>
      </rPr>
      <t xml:space="preserve"> </t>
    </r>
    <r>
      <rPr>
        <sz val="9"/>
        <color theme="1"/>
        <rFont val="돋움"/>
        <family val="3"/>
        <charset val="129"/>
      </rPr>
      <t>기간</t>
    </r>
    <r>
      <rPr>
        <sz val="9"/>
        <color theme="1"/>
        <rFont val="Calibri"/>
        <family val="2"/>
      </rPr>
      <t>)</t>
    </r>
    <phoneticPr fontId="7"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</si>
  <si>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7" type="noConversion"/>
  </si>
  <si>
    <t>for import columun</t>
    <phoneticPr fontId="7" type="noConversion"/>
  </si>
  <si>
    <t>Actual__Finish</t>
    <phoneticPr fontId="7" type="noConversion"/>
  </si>
  <si>
    <r>
      <rPr>
        <sz val="9"/>
        <color theme="1"/>
        <rFont val="돋움"/>
        <family val="3"/>
        <charset val="129"/>
      </rPr>
      <t>실제</t>
    </r>
    <r>
      <rPr>
        <sz val="9"/>
        <color theme="1"/>
        <rFont val="Calibri"/>
        <family val="2"/>
      </rPr>
      <t>__</t>
    </r>
    <r>
      <rPr>
        <sz val="9"/>
        <color theme="1"/>
        <rFont val="돋움"/>
        <family val="3"/>
        <charset val="129"/>
      </rPr>
      <t>완료일</t>
    </r>
    <phoneticPr fontId="7" type="noConversion"/>
  </si>
  <si>
    <t>Actual__Start</t>
    <phoneticPr fontId="7" type="noConversion"/>
  </si>
  <si>
    <r>
      <rPr>
        <sz val="9"/>
        <color theme="1"/>
        <rFont val="돋움"/>
        <family val="3"/>
        <charset val="129"/>
      </rPr>
      <t>실제</t>
    </r>
    <r>
      <rPr>
        <sz val="9"/>
        <color theme="1"/>
        <rFont val="Calibri"/>
        <family val="2"/>
      </rPr>
      <t>__</t>
    </r>
    <r>
      <rPr>
        <sz val="9"/>
        <color theme="1"/>
        <rFont val="돋움"/>
        <family val="3"/>
        <charset val="129"/>
      </rPr>
      <t>시작일</t>
    </r>
    <phoneticPr fontId="7" type="noConversion"/>
  </si>
  <si>
    <t>Actual__Total Duration</t>
    <phoneticPr fontId="7" type="noConversion"/>
  </si>
  <si>
    <r>
      <rPr>
        <sz val="9"/>
        <color theme="1"/>
        <rFont val="돋움"/>
        <family val="3"/>
        <charset val="129"/>
      </rPr>
      <t>실제</t>
    </r>
    <r>
      <rPr>
        <sz val="9"/>
        <color theme="1"/>
        <rFont val="Calibri"/>
        <family val="2"/>
      </rPr>
      <t>__</t>
    </r>
    <r>
      <rPr>
        <sz val="9"/>
        <color theme="1"/>
        <rFont val="돋움"/>
        <family val="3"/>
        <charset val="129"/>
      </rPr>
      <t>총기간</t>
    </r>
    <phoneticPr fontId="7" type="noConversion"/>
  </si>
  <si>
    <r>
      <rPr>
        <sz val="9"/>
        <color theme="1"/>
        <rFont val="돋움"/>
        <family val="3"/>
        <charset val="129"/>
      </rPr>
      <t>실제</t>
    </r>
    <r>
      <rPr>
        <sz val="9"/>
        <color theme="1"/>
        <rFont val="Calibri"/>
        <family val="2"/>
      </rPr>
      <t>__</t>
    </r>
    <r>
      <rPr>
        <sz val="9"/>
        <color theme="1"/>
        <rFont val="돋움"/>
        <family val="3"/>
        <charset val="129"/>
      </rPr>
      <t>총작업량</t>
    </r>
    <phoneticPr fontId="7" type="noConversion"/>
  </si>
  <si>
    <r>
      <rPr>
        <sz val="9"/>
        <color theme="1"/>
        <rFont val="맑은 고딕"/>
        <family val="2"/>
      </rPr>
      <t>실제</t>
    </r>
    <r>
      <rPr>
        <sz val="9"/>
        <color theme="1"/>
        <rFont val="Calibri"/>
        <family val="2"/>
      </rPr>
      <t>\n</t>
    </r>
    <r>
      <rPr>
        <sz val="9"/>
        <color theme="1"/>
        <rFont val="맑은 고딕"/>
        <family val="2"/>
      </rPr>
      <t>완료일</t>
    </r>
    <phoneticPr fontId="2" type="noConversion"/>
  </si>
  <si>
    <r>
      <rPr>
        <sz val="9"/>
        <color theme="1"/>
        <rFont val="맑은 고딕"/>
        <family val="2"/>
      </rPr>
      <t>실제</t>
    </r>
    <r>
      <rPr>
        <sz val="9"/>
        <color theme="1"/>
        <rFont val="Calibri"/>
        <family val="2"/>
      </rPr>
      <t>\n</t>
    </r>
    <r>
      <rPr>
        <sz val="9"/>
        <color theme="1"/>
        <rFont val="맑은 고딕"/>
        <family val="2"/>
      </rPr>
      <t>시작일</t>
    </r>
    <phoneticPr fontId="2" type="noConversion"/>
  </si>
  <si>
    <t>Actual\nStart-Finish</t>
    <phoneticPr fontId="2" type="noConversion"/>
  </si>
  <si>
    <r>
      <rPr>
        <sz val="9"/>
        <color theme="1"/>
        <rFont val="맑은 고딕"/>
        <family val="2"/>
      </rPr>
      <t>실제</t>
    </r>
    <r>
      <rPr>
        <sz val="9"/>
        <color theme="1"/>
        <rFont val="Calibri"/>
        <family val="2"/>
      </rPr>
      <t>\n</t>
    </r>
    <r>
      <rPr>
        <sz val="9"/>
        <color theme="1"/>
        <rFont val="맑은 고딕"/>
        <family val="2"/>
      </rPr>
      <t>총기간</t>
    </r>
    <phoneticPr fontId="2" type="noConversion"/>
  </si>
  <si>
    <r>
      <rPr>
        <sz val="9"/>
        <color theme="1"/>
        <rFont val="맑은 고딕"/>
        <family val="2"/>
      </rPr>
      <t>담당</t>
    </r>
    <phoneticPr fontId="2" type="noConversion"/>
  </si>
  <si>
    <r>
      <rPr>
        <sz val="9"/>
        <color theme="1"/>
        <rFont val="맑은 고딕"/>
        <family val="2"/>
      </rPr>
      <t>기타</t>
    </r>
    <phoneticPr fontId="2" type="noConversion"/>
  </si>
  <si>
    <r>
      <rPr>
        <sz val="9"/>
        <color theme="1"/>
        <rFont val="맑은 고딕"/>
        <family val="2"/>
      </rPr>
      <t>일반</t>
    </r>
    <phoneticPr fontId="2" type="noConversion"/>
  </si>
  <si>
    <r>
      <rPr>
        <sz val="9"/>
        <color theme="1"/>
        <rFont val="맑은 고딕"/>
        <family val="2"/>
      </rPr>
      <t>언어</t>
    </r>
    <phoneticPr fontId="2" type="noConversion"/>
  </si>
  <si>
    <t>yyyy/mm/dd</t>
    <phoneticPr fontId="2" type="noConversion"/>
  </si>
  <si>
    <r>
      <rPr>
        <sz val="9"/>
        <color theme="1"/>
        <rFont val="맑은 고딕"/>
        <family val="2"/>
      </rPr>
      <t>토요일</t>
    </r>
    <r>
      <rPr>
        <sz val="9"/>
        <color theme="1"/>
        <rFont val="Calibri"/>
        <family val="2"/>
      </rPr>
      <t>,</t>
    </r>
    <r>
      <rPr>
        <sz val="9"/>
        <color theme="1"/>
        <rFont val="맑은 고딕"/>
        <family val="2"/>
      </rPr>
      <t>일요일은</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phoneticPr fontId="2" type="noConversion"/>
  </si>
  <si>
    <r>
      <rPr>
        <sz val="9"/>
        <color theme="1"/>
        <rFont val="맑은 고딕"/>
        <family val="2"/>
      </rPr>
      <t>토요일</t>
    </r>
    <r>
      <rPr>
        <sz val="9"/>
        <color theme="1"/>
        <rFont val="Calibri"/>
        <family val="2"/>
      </rPr>
      <t>,</t>
    </r>
    <r>
      <rPr>
        <sz val="9"/>
        <color theme="1"/>
        <rFont val="맑은 고딕"/>
        <family val="2"/>
      </rPr>
      <t>일요일만</t>
    </r>
    <phoneticPr fontId="2" type="noConversion"/>
  </si>
  <si>
    <r>
      <t>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날짜만</t>
    </r>
    <phoneticPr fontId="2" type="noConversion"/>
  </si>
  <si>
    <t>Plan</t>
    <phoneticPr fontId="2" type="noConversion"/>
  </si>
  <si>
    <t>계획</t>
    <phoneticPr fontId="2" type="noConversion"/>
  </si>
  <si>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phoneticPr fontId="2" type="noConversion"/>
  </si>
  <si>
    <t>Planned__%Work Complete</t>
    <phoneticPr fontId="7" type="noConversion"/>
  </si>
  <si>
    <t>Planned__Duration</t>
    <phoneticPr fontId="7" type="noConversion"/>
  </si>
  <si>
    <t>Planned__Work</t>
    <phoneticPr fontId="7" type="noConversion"/>
  </si>
  <si>
    <r>
      <rPr>
        <sz val="9"/>
        <color theme="1"/>
        <rFont val="돋움"/>
        <family val="3"/>
        <charset val="129"/>
      </rPr>
      <t>계획</t>
    </r>
    <r>
      <rPr>
        <sz val="9"/>
        <color theme="1"/>
        <rFont val="Calibri"/>
        <family val="2"/>
      </rPr>
      <t>__</t>
    </r>
    <r>
      <rPr>
        <sz val="9"/>
        <color theme="1"/>
        <rFont val="돋움"/>
        <family val="3"/>
        <charset val="129"/>
      </rPr>
      <t>작업량</t>
    </r>
    <phoneticPr fontId="7" type="noConversion"/>
  </si>
  <si>
    <t>Resources</t>
    <phoneticPr fontId="2" type="noConversion"/>
  </si>
  <si>
    <t>담당</t>
    <phoneticPr fontId="2" type="noConversion"/>
  </si>
  <si>
    <r>
      <rPr>
        <sz val="9"/>
        <color theme="1"/>
        <rFont val="맑은 고딕"/>
        <family val="2"/>
      </rPr>
      <t>작업</t>
    </r>
    <phoneticPr fontId="2" type="noConversion"/>
  </si>
  <si>
    <t>The language setting has been changed.\nPress the OK button to start translation. \nIt may take a long time to translate.\nHowever, translation of Ribbon menu and Popup menu takes effect after reopening this XLGantt file.</t>
    <phoneticPr fontId="7"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</si>
  <si>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번역은</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7" type="noConversion"/>
  </si>
  <si>
    <r>
      <rPr>
        <sz val="9"/>
        <color theme="1"/>
        <rFont val="돋움"/>
        <family val="3"/>
        <charset val="129"/>
      </rPr>
      <t>총</t>
    </r>
    <r>
      <rPr>
        <sz val="9"/>
        <color theme="1"/>
        <rFont val="Calibri"/>
        <family val="2"/>
      </rPr>
      <t>__</t>
    </r>
    <r>
      <rPr>
        <sz val="9"/>
        <color theme="1"/>
        <rFont val="돋움"/>
        <family val="3"/>
        <charset val="129"/>
      </rPr>
      <t>기간</t>
    </r>
    <phoneticPr fontId="7" type="noConversion"/>
  </si>
  <si>
    <t>Total__Work</t>
    <phoneticPr fontId="7" type="noConversion"/>
  </si>
  <si>
    <t>Would you like to update the schedule before saving?</t>
    <phoneticPr fontId="7"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</si>
  <si>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7" type="noConversion"/>
  </si>
  <si>
    <t>Name:groupRows</t>
  </si>
  <si>
    <t>Group rows</t>
    <phoneticPr fontId="2" type="noConversion"/>
  </si>
  <si>
    <t>2.1.0</t>
    <phoneticPr fontId="2" type="noConversion"/>
  </si>
  <si>
    <r>
      <rPr>
        <sz val="9"/>
        <color theme="1"/>
        <rFont val="돋움"/>
        <family val="3"/>
        <charset val="129"/>
      </rPr>
      <t>작업을</t>
    </r>
    <r>
      <rPr>
        <sz val="9"/>
        <color theme="1"/>
        <rFont val="Calibri"/>
        <family val="2"/>
      </rPr>
      <t xml:space="preserve"> </t>
    </r>
    <r>
      <rPr>
        <sz val="9"/>
        <color theme="1"/>
        <rFont val="돋움"/>
        <family val="3"/>
        <charset val="129"/>
      </rPr>
      <t>그룹으로</t>
    </r>
    <r>
      <rPr>
        <sz val="9"/>
        <color theme="1"/>
        <rFont val="Calibri"/>
        <family val="2"/>
      </rPr>
      <t xml:space="preserve"> </t>
    </r>
    <r>
      <rPr>
        <sz val="9"/>
        <color theme="1"/>
        <rFont val="돋움"/>
        <family val="3"/>
        <charset val="129"/>
      </rPr>
      <t>묶기</t>
    </r>
    <phoneticPr fontId="2" type="noConversion"/>
  </si>
  <si>
    <t>C:\Temp</t>
    <phoneticPr fontId="7" type="noConversion"/>
  </si>
  <si>
    <r>
      <t>2018</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</si>
  <si>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2018</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</si>
  <si>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</si>
  <si>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2018</t>
    </r>
    <r>
      <rPr>
        <sz val="11"/>
        <rFont val="맑은 고딕"/>
        <family val="3"/>
        <charset val="129"/>
      </rPr>
      <t>년</t>
    </r>
    <r>
      <rPr>
        <sz val="11"/>
        <rFont val="Calibri"/>
        <family val="2"/>
      </rPr>
      <t xml:space="preserve"> </t>
    </r>
    <r>
      <rPr>
        <sz val="11"/>
        <rFont val="맑은 고딕"/>
        <family val="3"/>
        <charset val="129"/>
      </rPr>
      <t>삼일절</t>
    </r>
    <phoneticPr fontId="2" type="noConversion"/>
  </si>
  <si>
    <r>
      <t>2019</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</si>
  <si>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2019</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</si>
  <si>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2019</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</si>
  <si>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2019</t>
    </r>
    <r>
      <rPr>
        <sz val="11"/>
        <rFont val="맑은 고딕"/>
        <family val="3"/>
        <charset val="129"/>
      </rPr>
      <t>년</t>
    </r>
    <r>
      <rPr>
        <sz val="11"/>
        <rFont val="Calibri"/>
        <family val="2"/>
      </rPr>
      <t xml:space="preserve"> </t>
    </r>
    <r>
      <rPr>
        <sz val="11"/>
        <rFont val="맑은 고딕"/>
        <family val="3"/>
        <charset val="129"/>
      </rPr>
      <t>삼일절</t>
    </r>
  </si>
  <si>
    <r>
      <t>2019</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</si>
  <si>
    <r>
      <t>2019</t>
    </r>
    <r>
      <rPr>
        <sz val="11"/>
        <rFont val="맑은 고딕"/>
        <family val="3"/>
        <charset val="129"/>
      </rPr>
      <t>년</t>
    </r>
    <r>
      <rPr>
        <sz val="11"/>
        <rFont val="Calibri"/>
        <family val="2"/>
      </rPr>
      <t xml:space="preserve"> </t>
    </r>
    <r>
      <rPr>
        <sz val="11"/>
        <rFont val="맑은 고딕"/>
        <family val="3"/>
        <charset val="129"/>
      </rPr>
      <t>현충일</t>
    </r>
  </si>
  <si>
    <r>
      <t>2019</t>
    </r>
    <r>
      <rPr>
        <sz val="11"/>
        <rFont val="맑은 고딕"/>
        <family val="3"/>
        <charset val="129"/>
      </rPr>
      <t>년</t>
    </r>
    <r>
      <rPr>
        <sz val="11"/>
        <rFont val="Calibri"/>
        <family val="2"/>
      </rPr>
      <t xml:space="preserve"> </t>
    </r>
    <r>
      <rPr>
        <sz val="11"/>
        <rFont val="맑은 고딕"/>
        <family val="3"/>
        <charset val="129"/>
      </rPr>
      <t>광복절</t>
    </r>
  </si>
  <si>
    <r>
      <t>2019</t>
    </r>
    <r>
      <rPr>
        <sz val="11"/>
        <rFont val="맑은 고딕"/>
        <family val="3"/>
        <charset val="129"/>
      </rPr>
      <t>년</t>
    </r>
    <r>
      <rPr>
        <sz val="11"/>
        <rFont val="Calibri"/>
        <family val="2"/>
      </rPr>
      <t xml:space="preserve"> </t>
    </r>
    <r>
      <rPr>
        <sz val="11"/>
        <rFont val="맑은 고딕"/>
        <family val="3"/>
        <charset val="129"/>
      </rPr>
      <t>추석연휴</t>
    </r>
  </si>
  <si>
    <r>
      <t>2019</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</si>
  <si>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2019</t>
    </r>
    <r>
      <rPr>
        <sz val="11"/>
        <rFont val="맑은 고딕"/>
        <family val="3"/>
        <charset val="129"/>
      </rPr>
      <t>년</t>
    </r>
    <r>
      <rPr>
        <sz val="11"/>
        <rFont val="Calibri"/>
        <family val="2"/>
      </rPr>
      <t xml:space="preserve"> </t>
    </r>
    <r>
      <rPr>
        <sz val="11"/>
        <rFont val="맑은 고딕"/>
        <family val="3"/>
        <charset val="129"/>
      </rPr>
      <t>개천절</t>
    </r>
  </si>
  <si>
    <r>
      <t>2019</t>
    </r>
    <r>
      <rPr>
        <sz val="11"/>
        <rFont val="맑은 고딕"/>
        <family val="3"/>
        <charset val="129"/>
      </rPr>
      <t>년</t>
    </r>
    <r>
      <rPr>
        <sz val="11"/>
        <rFont val="Calibri"/>
        <family val="2"/>
      </rPr>
      <t xml:space="preserve"> </t>
    </r>
    <r>
      <rPr>
        <sz val="11"/>
        <rFont val="맑은 고딕"/>
        <family val="3"/>
        <charset val="129"/>
      </rPr>
      <t>한글날</t>
    </r>
  </si>
  <si>
    <r>
      <t>2019</t>
    </r>
    <r>
      <rPr>
        <sz val="11"/>
        <rFont val="맑은 고딕"/>
        <family val="3"/>
        <charset val="129"/>
      </rPr>
      <t>년</t>
    </r>
    <r>
      <rPr>
        <sz val="11"/>
        <rFont val="Calibri"/>
        <family val="2"/>
      </rPr>
      <t xml:space="preserve"> </t>
    </r>
    <r>
      <rPr>
        <sz val="11"/>
        <rFont val="맑은 고딕"/>
        <family val="3"/>
        <charset val="129"/>
      </rPr>
      <t>성탄절</t>
    </r>
  </si>
  <si>
    <t>G</t>
  </si>
  <si>
    <t>1</t>
  </si>
  <si>
    <t>메모장</t>
    <phoneticPr fontId="7" type="noConversion"/>
  </si>
  <si>
    <t>Display font color to the gray for the completed tasks</t>
    <phoneticPr fontId="2" type="noConversion"/>
  </si>
  <si>
    <t>ace</t>
    <phoneticPr fontId="7" type="noConversion"/>
  </si>
  <si>
    <t>txt</t>
    <phoneticPr fontId="7" type="noConversion"/>
  </si>
  <si>
    <t>1:English,82:Korean</t>
    <phoneticPr fontId="2" type="noConversion"/>
  </si>
  <si>
    <t>시작일</t>
  </si>
  <si>
    <t>완료일</t>
  </si>
  <si>
    <t>[담당자미지정]</t>
  </si>
  <si>
    <t>가중치</t>
    <phoneticPr fontId="7" type="noConversion"/>
  </si>
  <si>
    <t>자동지정</t>
    <phoneticPr fontId="7" type="noConversion"/>
  </si>
  <si>
    <t>doc*</t>
    <phoneticPr fontId="7" type="noConversion"/>
  </si>
  <si>
    <t>Auto CAD</t>
    <phoneticPr fontId="7" type="noConversion"/>
  </si>
  <si>
    <t>실적*</t>
    <phoneticPr fontId="7" type="noConversion"/>
  </si>
  <si>
    <t>아크로에디터</t>
    <phoneticPr fontId="7" type="noConversion"/>
  </si>
  <si>
    <t>C:\WINDOWS\system32\notepad.exe</t>
    <phoneticPr fontId="7" type="noConversion"/>
  </si>
  <si>
    <t>비고</t>
    <phoneticPr fontId="7" type="noConversion"/>
  </si>
  <si>
    <t>실제_x000D_
완료일</t>
    <phoneticPr fontId="7" type="noConversion"/>
  </si>
  <si>
    <t>WBS</t>
    <phoneticPr fontId="7" type="noConversion"/>
  </si>
  <si>
    <t>작업*</t>
    <phoneticPr fontId="7" type="noConversion"/>
  </si>
  <si>
    <t>완료일*</t>
    <phoneticPr fontId="7" type="noConversion"/>
  </si>
  <si>
    <t>실제_x000D_
총기간</t>
    <phoneticPr fontId="7" type="noConversion"/>
  </si>
  <si>
    <t>워드</t>
    <phoneticPr fontId="7" type="noConversion"/>
  </si>
  <si>
    <t>xls*</t>
    <phoneticPr fontId="7" type="noConversion"/>
  </si>
  <si>
    <t>cad</t>
    <phoneticPr fontId="7" type="noConversion"/>
  </si>
  <si>
    <t>산출물</t>
    <phoneticPr fontId="7" type="noConversion"/>
  </si>
  <si>
    <t>시작일*</t>
    <phoneticPr fontId="7" type="noConversion"/>
  </si>
  <si>
    <t>총_x000D_
기간</t>
    <phoneticPr fontId="7" type="noConversion"/>
  </si>
  <si>
    <t>계획</t>
    <phoneticPr fontId="7" type="noConversion"/>
  </si>
  <si>
    <t>{"TASK_FIRST_COL":"5","START_ROW":"5","WBS_AREA_LAST_COL":"28"}</t>
    <phoneticPr fontId="7" type="noConversion"/>
  </si>
  <si>
    <t>SCHEDULE_SHEET_POSITION:3545121314151617181920212223242526272829</t>
    <phoneticPr fontId="2" type="noConversion"/>
  </si>
  <si>
    <t>담당</t>
    <phoneticPr fontId="7" type="noConversion"/>
  </si>
  <si>
    <t>wbs_level</t>
    <phoneticPr fontId="7" type="noConversion"/>
  </si>
  <si>
    <t>TODAY</t>
    <phoneticPr fontId="2" type="noConversion"/>
  </si>
  <si>
    <t>DEFINED</t>
    <phoneticPr fontId="7" type="noConversion"/>
  </si>
  <si>
    <t>파워포인트</t>
    <phoneticPr fontId="7" type="noConversion"/>
  </si>
  <si>
    <t>ppt*</t>
    <phoneticPr fontId="7" type="noConversion"/>
  </si>
  <si>
    <t>엑셀</t>
    <phoneticPr fontId="7" type="noConversion"/>
  </si>
  <si>
    <t>c:\cad\cad\cad.exe</t>
    <phoneticPr fontId="7" type="noConversion"/>
  </si>
  <si>
    <t>c:\ace\aaa.exe</t>
    <phoneticPr fontId="7" type="noConversion"/>
  </si>
  <si>
    <t>E</t>
    <phoneticPr fontId="2" type="noConversion"/>
  </si>
  <si>
    <t>reserved</t>
    <phoneticPr fontId="7" type="noConversion"/>
  </si>
  <si>
    <t>task_group</t>
    <phoneticPr fontId="7" type="noConversion"/>
  </si>
  <si>
    <t>Calendar</t>
    <phoneticPr fontId="7" type="noConversion"/>
  </si>
  <si>
    <t>총_x000D_
작업량</t>
    <phoneticPr fontId="7" type="noConversion"/>
  </si>
  <si>
    <t>계획_x000D_
작업량</t>
    <phoneticPr fontId="7" type="noConversion"/>
  </si>
  <si>
    <t>계획_x000D_
기간</t>
    <phoneticPr fontId="7" type="noConversion"/>
  </si>
  <si>
    <t>실제_x000D_
시작일</t>
    <phoneticPr fontId="7" type="noConversion"/>
  </si>
  <si>
    <t>실제_x000D_
총작업량</t>
    <phoneticPr fontId="7" type="noConversion"/>
  </si>
  <si>
    <t>D:\12.Document\01.Project\00. 스케쥴</t>
    <phoneticPr fontId="7" type="noConversion"/>
  </si>
  <si>
    <t>1.1</t>
  </si>
  <si>
    <t>1.2</t>
  </si>
  <si>
    <t>GME Project</t>
    <phoneticPr fontId="2" type="noConversion"/>
  </si>
  <si>
    <t>[2207-01] KFTC Self Certification</t>
  </si>
  <si>
    <t>Development</t>
  </si>
  <si>
    <t>Test in Live</t>
  </si>
  <si>
    <t>Test in TB</t>
  </si>
  <si>
    <t>Service Launch</t>
  </si>
  <si>
    <t>1.3</t>
  </si>
  <si>
    <t>1.4</t>
  </si>
  <si>
    <t>프로젝트 진행율 - 일정변경 관리하지 않을때</t>
    <phoneticPr fontId="7" type="noConversion"/>
  </si>
  <si>
    <t>실제 진행된 작업량</t>
    <phoneticPr fontId="7" type="noConversion"/>
  </si>
  <si>
    <t>일정변경관리 하지 않을 때 현재까지 실제로 진행된 작업기간을 표시함(총기간 x 총실적진행율)</t>
    <phoneticPr fontId="7" type="noConversion"/>
  </si>
  <si>
    <t>* 프로젝트 작업량과 진척율을 보여줍니다.</t>
    <phoneticPr fontId="7" type="noConversion"/>
  </si>
  <si>
    <t>* "스케줄업데이트" 버튼 클릭 시 아래 항목이 자동계산됩니다.</t>
    <phoneticPr fontId="7" type="noConversion"/>
  </si>
  <si>
    <t>프로젝트 전체 작업량</t>
    <phoneticPr fontId="7" type="noConversion"/>
  </si>
  <si>
    <t>프로젝트 전체의 작업량을 Man/Day로 표시한다. 가중치를 적용한 값이다.</t>
    <phoneticPr fontId="7" type="noConversion"/>
  </si>
  <si>
    <t>현재일까지 계획된 작업량</t>
    <phoneticPr fontId="7" type="noConversion"/>
  </si>
  <si>
    <t>해당작업의 시작일부터 현재일까지의 작업기간을 의미함(현재 날짜까지 진행되었어야 할 기간)</t>
    <phoneticPr fontId="7" type="noConversion"/>
  </si>
  <si>
    <t>일정변경 관리할 때 현재까지 실제로 투입된 작업기간을 표시함</t>
    <phoneticPr fontId="7" type="noConversion"/>
  </si>
  <si>
    <t>계획 진척율(A)</t>
    <phoneticPr fontId="7" type="noConversion"/>
  </si>
  <si>
    <t>현재날짜까지 계획된 진척율, WBS의 "계획진척율"의 전체 합계 진척율을 표시함</t>
    <phoneticPr fontId="7" type="noConversion"/>
  </si>
  <si>
    <t>실적 진척율(B)</t>
    <phoneticPr fontId="7" type="noConversion"/>
  </si>
  <si>
    <t>현재날짜까지 실제로 진행된 진척율, WBS의 "실적진척율"의 전체 합계 진척율을 표시함</t>
    <phoneticPr fontId="7" type="noConversion"/>
  </si>
  <si>
    <t>차이(B-A)</t>
    <phoneticPr fontId="7" type="noConversion"/>
  </si>
  <si>
    <t>양수이면 계획보다 빨리 진행, 음수이면 지연</t>
    <phoneticPr fontId="7" type="noConversion"/>
  </si>
  <si>
    <t xml:space="preserve"> 프로젝트 휴무일 Calendar 설정</t>
    <phoneticPr fontId="7"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</si>
  <si>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7" type="noConversion"/>
  </si>
  <si>
    <t>표준캘린더</t>
    <phoneticPr fontId="7" type="noConversion"/>
  </si>
  <si>
    <t>사용자정의 캘린더1</t>
    <phoneticPr fontId="7" type="noConversion"/>
  </si>
  <si>
    <t>사용자정의 캘린더2</t>
    <phoneticPr fontId="7" type="noConversion"/>
  </si>
  <si>
    <t>휴무일명</t>
    <phoneticPr fontId="7" type="noConversion"/>
  </si>
  <si>
    <t>휴무일자</t>
    <phoneticPr fontId="7" type="noConversion"/>
  </si>
  <si>
    <t>더 이상 입력불가</t>
    <phoneticPr fontId="7" type="noConversion"/>
  </si>
  <si>
    <t>[2110-18] Zeropay in Mobile App</t>
  </si>
  <si>
    <t>[2209-16] Bill Payment using Sampath Bank</t>
  </si>
  <si>
    <t>[2304-13] KFTC Self Certification v2.0</t>
  </si>
  <si>
    <t>Design</t>
  </si>
  <si>
    <t>Android</t>
  </si>
  <si>
    <t>iOS</t>
  </si>
  <si>
    <t>Server</t>
  </si>
  <si>
    <t>[2301-08] New Type Inbound Service</t>
  </si>
  <si>
    <t>[2204-02] Change Main Page in Mobile App</t>
  </si>
  <si>
    <t>[2212-16] Double Payments Risk Management</t>
  </si>
  <si>
    <t>[2207-11] Setup AML Solution</t>
  </si>
  <si>
    <t>2</t>
  </si>
  <si>
    <t>2.1</t>
  </si>
  <si>
    <t>2.2</t>
  </si>
  <si>
    <t>2.3</t>
  </si>
  <si>
    <t>2.4</t>
  </si>
  <si>
    <t>3</t>
  </si>
  <si>
    <t>3.1</t>
  </si>
  <si>
    <t>3.2</t>
  </si>
  <si>
    <t>3.3</t>
  </si>
  <si>
    <t>3.4</t>
  </si>
  <si>
    <t>4</t>
  </si>
  <si>
    <t>4.1</t>
  </si>
  <si>
    <t>4.2</t>
  </si>
  <si>
    <t>4.3</t>
  </si>
  <si>
    <t>4.4</t>
  </si>
  <si>
    <t>5</t>
  </si>
  <si>
    <t>5.1</t>
  </si>
  <si>
    <t>5.2</t>
  </si>
  <si>
    <t>5.3</t>
  </si>
  <si>
    <t>5.4</t>
  </si>
  <si>
    <t>6</t>
  </si>
  <si>
    <t>6.1</t>
  </si>
  <si>
    <t>6.2</t>
  </si>
  <si>
    <t>6.3</t>
  </si>
  <si>
    <t>6.4</t>
  </si>
  <si>
    <t>7</t>
  </si>
  <si>
    <t>7.1</t>
  </si>
  <si>
    <t>7.2</t>
  </si>
  <si>
    <t>7.3</t>
  </si>
  <si>
    <t>7.4</t>
  </si>
  <si>
    <t>8</t>
  </si>
  <si>
    <t>8.1</t>
  </si>
  <si>
    <t>8.2</t>
  </si>
  <si>
    <t>8.3</t>
  </si>
  <si>
    <t>8.4</t>
  </si>
  <si>
    <t>8.5</t>
  </si>
  <si>
    <t>9</t>
  </si>
  <si>
    <t>10</t>
  </si>
  <si>
    <t>Manoj, Saroj, JY</t>
  </si>
  <si>
    <t xml:space="preserve">Pheaktra, Jasurbek </t>
  </si>
  <si>
    <t>9.1</t>
  </si>
  <si>
    <t>9.2</t>
  </si>
  <si>
    <t>9.3</t>
  </si>
  <si>
    <t>9.4</t>
  </si>
  <si>
    <t>9.5</t>
  </si>
  <si>
    <t>9.6</t>
  </si>
  <si>
    <t>9.7</t>
  </si>
  <si>
    <t>[2306-09] GME Card Payment</t>
  </si>
  <si>
    <t>[2306-08] User Device Registration</t>
  </si>
  <si>
    <t>10.1</t>
  </si>
  <si>
    <t>10.2</t>
  </si>
  <si>
    <t>10.3</t>
  </si>
  <si>
    <t>10.4</t>
  </si>
  <si>
    <t>11</t>
  </si>
  <si>
    <t>[2209-05] Show All Limit in Mobile App</t>
  </si>
  <si>
    <t>11.1</t>
  </si>
  <si>
    <t>11.2</t>
  </si>
  <si>
    <t>11.3</t>
  </si>
  <si>
    <t>11.4</t>
  </si>
  <si>
    <t>11.5</t>
  </si>
  <si>
    <t>12</t>
  </si>
  <si>
    <t>[2306-10] New Voice Phishing Rule in KFTC</t>
  </si>
  <si>
    <t>12.1</t>
  </si>
  <si>
    <t>12.2</t>
  </si>
  <si>
    <t>12.3</t>
  </si>
  <si>
    <t>12.4</t>
  </si>
  <si>
    <t>12.5</t>
  </si>
  <si>
    <t>12.6</t>
  </si>
  <si>
    <t>12.7</t>
  </si>
  <si>
    <t>13</t>
  </si>
  <si>
    <t>Anil</t>
  </si>
  <si>
    <t>Sagar</t>
  </si>
  <si>
    <t>Manish</t>
  </si>
  <si>
    <t>Sujan</t>
  </si>
  <si>
    <t>Chetan</t>
  </si>
  <si>
    <t>API, JsonRX</t>
  </si>
  <si>
    <t>Sapumal</t>
  </si>
  <si>
    <t>1.5</t>
  </si>
  <si>
    <t>1.6</t>
  </si>
  <si>
    <t>계획진척율(주별)</t>
  </si>
  <si>
    <t>* 주별로 프로젝트의 계획진적율을 보여줍니다.</t>
  </si>
  <si>
    <t>* "계획진척율" 메뉴를 클릭해야 갱신됨</t>
  </si>
  <si>
    <t>누적_x000D_
Man-Day</t>
  </si>
  <si>
    <t>진척율</t>
  </si>
  <si>
    <t>Pujan</t>
  </si>
  <si>
    <t>JsonRX</t>
  </si>
  <si>
    <t>Jasurbek, Thav</t>
  </si>
  <si>
    <t>JY</t>
  </si>
  <si>
    <t>[2306-11] Change KICC V/A Issue</t>
  </si>
  <si>
    <t>13.1</t>
  </si>
  <si>
    <t>13.2</t>
  </si>
  <si>
    <t>13.3</t>
  </si>
  <si>
    <t>13.4</t>
  </si>
  <si>
    <t>13.5</t>
  </si>
  <si>
    <t>13.6</t>
  </si>
  <si>
    <t>13.7</t>
  </si>
  <si>
    <t>14</t>
  </si>
  <si>
    <t>Subash</t>
  </si>
  <si>
    <t>Santosh</t>
  </si>
  <si>
    <t>Dibya</t>
  </si>
  <si>
    <t>Partner API</t>
  </si>
  <si>
    <t>Core</t>
  </si>
  <si>
    <t>Bimal</t>
  </si>
  <si>
    <t>Sapumal,Thav</t>
  </si>
  <si>
    <t>Yeshwant</t>
  </si>
  <si>
    <t>Nabin</t>
  </si>
  <si>
    <t>Anish</t>
  </si>
  <si>
    <t>Chetan,Pheaktra,Jasurbek</t>
  </si>
  <si>
    <t>[2305-05] (B2B) Alipay API Integration</t>
  </si>
  <si>
    <t>[2303-09] Manual Approval for Trx over 100m KRW</t>
  </si>
  <si>
    <t>15</t>
  </si>
  <si>
    <t>15.1</t>
  </si>
  <si>
    <t>15.2</t>
  </si>
  <si>
    <t>15.3</t>
  </si>
  <si>
    <t>14.1</t>
  </si>
  <si>
    <t>14.2</t>
  </si>
  <si>
    <t>14.3</t>
  </si>
  <si>
    <t>Sanjaya</t>
  </si>
  <si>
    <t>[2302-05] Change Logging Out Rule of Mobile App</t>
  </si>
  <si>
    <r>
      <t xml:space="preserve">  XLGantt 2.1.0 </t>
    </r>
    <r>
      <rPr>
        <b/>
        <sz val="14"/>
        <color rgb="FFFF8800"/>
        <rFont val="돋움"/>
        <family val="3"/>
        <charset val="129"/>
      </rPr>
      <t>ⓒ</t>
    </r>
    <r>
      <rPr>
        <b/>
        <sz val="14"/>
        <color rgb="FFFF8800"/>
        <rFont val="Calibri"/>
        <family val="2"/>
      </rPr>
      <t>XLWorks</t>
    </r>
    <phoneticPr fontId="7" type="noConversion"/>
  </si>
  <si>
    <t xml:space="preserve">  주별보기, Zoom 100%</t>
    <phoneticPr fontId="7" type="noConversion"/>
  </si>
  <si>
    <t>3.5</t>
  </si>
  <si>
    <t>3.6</t>
  </si>
  <si>
    <t>5.5</t>
  </si>
  <si>
    <t>5.6</t>
  </si>
  <si>
    <t>7.5</t>
  </si>
  <si>
    <t>7.6</t>
  </si>
  <si>
    <t>7.7</t>
  </si>
  <si>
    <t>14.4</t>
  </si>
  <si>
    <t>14.5</t>
  </si>
  <si>
    <t>14.6</t>
  </si>
  <si>
    <t>14.7</t>
  </si>
  <si>
    <t>14.8</t>
  </si>
  <si>
    <t>16</t>
  </si>
  <si>
    <t>16.1</t>
  </si>
  <si>
    <t>16.2</t>
  </si>
  <si>
    <t>16.3</t>
  </si>
  <si>
    <t>8.6</t>
  </si>
  <si>
    <t>8.7</t>
  </si>
  <si>
    <t>[2306-12] Automatic Reconciliation</t>
  </si>
  <si>
    <t>Plan</t>
  </si>
  <si>
    <t>9.8</t>
  </si>
  <si>
    <t>17</t>
  </si>
  <si>
    <t>17.1</t>
  </si>
  <si>
    <t>17.2</t>
  </si>
  <si>
    <t>17.3</t>
  </si>
  <si>
    <t>17.4</t>
  </si>
  <si>
    <t>17.5</t>
  </si>
  <si>
    <t>[2306-13] Online Loan Application</t>
  </si>
  <si>
    <t>Verification</t>
  </si>
  <si>
    <t>18</t>
  </si>
  <si>
    <t>18.1</t>
  </si>
  <si>
    <t>18.2</t>
  </si>
  <si>
    <t>18.3</t>
  </si>
  <si>
    <t>18.4</t>
  </si>
  <si>
    <t>[2306-05] Setup dynamic settlement currency from core</t>
  </si>
  <si>
    <t>19</t>
  </si>
  <si>
    <t>19.1</t>
  </si>
  <si>
    <t>19.2</t>
  </si>
  <si>
    <t>19.3</t>
  </si>
  <si>
    <t>19.4</t>
  </si>
  <si>
    <t>Subash,Saroj</t>
  </si>
  <si>
    <t>[2304-14] Hyperlink Inside App</t>
  </si>
  <si>
    <t>20</t>
  </si>
  <si>
    <t>20.1</t>
  </si>
  <si>
    <t>20.2</t>
  </si>
  <si>
    <t>20.3</t>
  </si>
  <si>
    <t>20.4</t>
  </si>
  <si>
    <t>20.5</t>
  </si>
  <si>
    <t>20.6</t>
  </si>
  <si>
    <t>20.7</t>
  </si>
  <si>
    <t>[2306-15] Change OTP to Simple PW</t>
  </si>
  <si>
    <t>21</t>
  </si>
  <si>
    <t>21.1</t>
  </si>
  <si>
    <t>21.2</t>
  </si>
  <si>
    <t>21.3</t>
  </si>
  <si>
    <t>21.4</t>
  </si>
  <si>
    <t>Receiver Initiated Inbound Mongolia</t>
  </si>
  <si>
    <t>Divert customers to corresponding CS according the chosen language</t>
  </si>
  <si>
    <t>Easy remit customer registration via Zalo (OCR + Face recognition via Comtrue)</t>
  </si>
  <si>
    <t>[2306-06] Add recipient using QR (Alipay)</t>
  </si>
  <si>
    <t>[2306-BXX]Phase II - Ad hoc Payments</t>
  </si>
  <si>
    <t>Cashbee iOS</t>
  </si>
  <si>
    <t>[2306-07] New user registration</t>
  </si>
  <si>
    <t>Send Bulk SMS in native language</t>
  </si>
  <si>
    <t>Kakaotalk integration for informing txn status (copy Sentbe)</t>
  </si>
  <si>
    <t>[2205-28] Pay commission calculation base on payout amount</t>
  </si>
  <si>
    <t>Online Handphone sales using GME app</t>
  </si>
  <si>
    <t>[2304-15] Wallet Deposit using KFTC</t>
  </si>
  <si>
    <t>Allow Customer to send money and put fixed deposit in their country</t>
  </si>
  <si>
    <t>Airticket by powercall</t>
  </si>
  <si>
    <t>Multi currency wallet</t>
  </si>
  <si>
    <t>QR ticketing function in Mobile App</t>
  </si>
  <si>
    <t>[2306-03] Explanation and guide to error messages</t>
  </si>
  <si>
    <t>Allow Schedule payment adding from Core system by GME Staff</t>
  </si>
  <si>
    <t>22</t>
  </si>
  <si>
    <t>23</t>
  </si>
  <si>
    <t>24</t>
  </si>
  <si>
    <t>25</t>
  </si>
  <si>
    <t>26</t>
  </si>
  <si>
    <t>27</t>
  </si>
  <si>
    <t>28</t>
  </si>
  <si>
    <t>29</t>
  </si>
  <si>
    <t>30</t>
  </si>
  <si>
    <t>31</t>
  </si>
  <si>
    <t>32</t>
  </si>
  <si>
    <t>33</t>
  </si>
  <si>
    <t>34</t>
  </si>
  <si>
    <t>35</t>
  </si>
  <si>
    <t>36</t>
  </si>
  <si>
    <t>37</t>
  </si>
  <si>
    <t>38</t>
  </si>
  <si>
    <t>39</t>
  </si>
  <si>
    <t>[2305-08] Migrate trueMoney API</t>
  </si>
  <si>
    <t>22.1</t>
  </si>
  <si>
    <t>22.2</t>
  </si>
  <si>
    <t>22.3</t>
  </si>
  <si>
    <t>40</t>
  </si>
  <si>
    <t>22.4</t>
  </si>
  <si>
    <t>ACEmoney inbound API</t>
  </si>
  <si>
    <t>9pay outboud and inbound API</t>
  </si>
  <si>
    <t>[2207-22] Aya Bank API(Myanmar)</t>
  </si>
  <si>
    <t>23.1</t>
  </si>
  <si>
    <t>23.2</t>
  </si>
  <si>
    <t>23.3</t>
  </si>
  <si>
    <t>23.4</t>
  </si>
  <si>
    <t>41</t>
  </si>
  <si>
    <t>42</t>
  </si>
  <si>
    <t>43</t>
  </si>
  <si>
    <t>IME London inbound and outbound API</t>
  </si>
  <si>
    <t>Ipay remit inbound and outbound API</t>
  </si>
  <si>
    <t>Terrapay inbound API</t>
  </si>
  <si>
    <t>Uption inbound and outbound API</t>
  </si>
  <si>
    <t>CB bank other bank API</t>
  </si>
  <si>
    <t>B2B Ebury API</t>
  </si>
  <si>
    <t>India direct partner API</t>
  </si>
  <si>
    <t>Pingpong Card Payment API</t>
  </si>
  <si>
    <t>Bangkok Bank API</t>
  </si>
  <si>
    <t>TazaPay c2c API</t>
  </si>
  <si>
    <t>44</t>
  </si>
  <si>
    <t>45</t>
  </si>
  <si>
    <t>46</t>
  </si>
  <si>
    <t>47</t>
  </si>
  <si>
    <t>48</t>
  </si>
  <si>
    <t>49</t>
  </si>
  <si>
    <t>50</t>
  </si>
  <si>
    <t>51</t>
  </si>
  <si>
    <t>52</t>
  </si>
  <si>
    <t>53</t>
  </si>
  <si>
    <t>Dutch Bangla API in new Architecture</t>
  </si>
  <si>
    <t>IME QRPay integration</t>
  </si>
  <si>
    <t>Sendmn QRPay integration</t>
  </si>
  <si>
    <t>KakaoPay QR integration</t>
  </si>
  <si>
    <t>JME inbound and outbound API</t>
  </si>
  <si>
    <t>Payform Inbound and Outbound API</t>
  </si>
  <si>
    <t>B2B Paynoeer API</t>
  </si>
  <si>
    <t>B2B Partner 1 API</t>
  </si>
  <si>
    <t>B2B Partner 2 API</t>
  </si>
  <si>
    <t>B2B Partner 3 API</t>
  </si>
  <si>
    <t>54</t>
  </si>
  <si>
    <t>55</t>
  </si>
  <si>
    <t>56</t>
  </si>
  <si>
    <t>57</t>
  </si>
  <si>
    <t>58</t>
  </si>
  <si>
    <t>59</t>
  </si>
  <si>
    <t>60</t>
  </si>
  <si>
    <t>61</t>
  </si>
  <si>
    <t>62</t>
  </si>
  <si>
    <t>63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</si>
</sst>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0"/>
    <numFmt numFmtId="178" formatCode="mm\/dd"/>
    <numFmt numFmtId="179" formatCode="0.0_);[Red]\(0.0\)"/>
    <numFmt numFmtId="180" formatCode="0.00_);[Red]\(0.00\)"/>
  </numFmts>
  <fonts count="50">
    <font>
      <sz val="11"/>
      <color theme="1"/>
      <name val="맑은 고딕"/>
      <family val="2"/>
      <scheme val="minor"/>
    </font>
    <font>
      <sz val="10"/>
      <color theme="0"/>
      <name val="맑은 고딕"/>
      <family val="2"/>
      <charset val="129"/>
    </font>
    <font>
      <sz val="8"/>
      <name val="맑은 고딕"/>
      <family val="3"/>
      <charset val="129"/>
      <scheme val="minor"/>
    </font>
    <font>
      <b/>
      <sz val="14"/>
      <color rgb="FF0070C0"/>
      <name val="Calibri"/>
      <family val="2"/>
    </font>
    <font>
      <b/>
      <sz val="16"/>
      <name val="Calibri"/>
      <family val="2"/>
    </font>
    <font>
      <u/>
      <sz val="11"/>
      <color theme="10"/>
      <name val="돋움"/>
      <family val="3"/>
      <charset val="129"/>
    </font>
    <font>
      <b/>
      <sz val="12"/>
      <color rgb="FF0070C0"/>
      <name val="Calibri"/>
      <family val="2"/>
    </font>
    <font>
      <sz val="8"/>
      <name val="돋움"/>
      <family val="3"/>
      <charset val="129"/>
    </font>
    <font>
      <sz val="11"/>
      <name val="돋움"/>
      <family val="3"/>
      <charset val="129"/>
    </font>
    <font>
      <sz val="9"/>
      <color rgb="FF0070C0"/>
      <name val="Calibri"/>
      <family val="2"/>
    </font>
    <font>
      <sz val="9"/>
      <color theme="0"/>
      <name val="Calibri"/>
      <family val="2"/>
    </font>
    <font>
      <sz val="9"/>
      <name val="Calibri"/>
      <family val="2"/>
    </font>
    <font>
      <sz val="9"/>
      <color rgb="FFFF880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2"/>
      <color rgb="FF222222"/>
      <name val="Calibri"/>
      <family val="2"/>
    </font>
    <font>
      <sz val="11"/>
      <color theme="1"/>
      <name val="맑은 고딕"/>
      <family val="3"/>
      <charset val="129"/>
      <scheme val="minor"/>
    </font>
    <font>
      <sz val="10"/>
      <color theme="1"/>
      <name val="Calibri"/>
      <family val="2"/>
    </font>
    <font>
      <sz val="11"/>
      <name val="CA"/>
      <family val="2"/>
    </font>
    <font>
      <sz val="11"/>
      <color theme="1"/>
      <name val="맑은 고딕"/>
      <family val="2"/>
      <scheme val="minor"/>
    </font>
    <font>
      <b/>
      <sz val="16"/>
      <color theme="1" tint="0.34998626667073579"/>
      <name val="Calibri"/>
      <family val="2"/>
    </font>
    <font>
      <b/>
      <sz val="12"/>
      <color theme="1" tint="0.34998626667073579"/>
      <name val="Calibri"/>
      <family val="2"/>
    </font>
    <font>
      <sz val="9"/>
      <color theme="1" tint="0.34998626667073579"/>
      <name val="Calibri"/>
      <family val="2"/>
    </font>
    <font>
      <b/>
      <sz val="9"/>
      <color theme="1" tint="0.34998626667073579"/>
      <name val="Calibri"/>
      <family val="2"/>
    </font>
    <font>
      <sz val="11"/>
      <color rgb="FF0070C0"/>
      <name val="Calibri"/>
      <family val="2"/>
    </font>
    <font>
      <sz val="9"/>
      <color theme="1"/>
      <name val="맑은 고딕"/>
      <family val="2"/>
      <scheme val="minor"/>
    </font>
    <font>
      <sz val="9"/>
      <color theme="1"/>
      <name val="Calibri"/>
      <family val="2"/>
    </font>
    <font>
      <sz val="9"/>
      <color theme="1"/>
      <name val="돋움"/>
      <family val="3"/>
      <charset val="129"/>
    </font>
    <font>
      <sz val="10"/>
      <color theme="1"/>
      <name val="돋움"/>
      <family val="3"/>
      <charset val="129"/>
    </font>
    <font>
      <sz val="9"/>
      <color rgb="FFFF0000"/>
      <name val="Calibri"/>
      <family val="2"/>
    </font>
    <font>
      <sz val="9"/>
      <color rgb="FFFF0000"/>
      <name val="맑은 고딕"/>
      <family val="2"/>
      <scheme val="minor"/>
    </font>
    <font>
      <sz val="10"/>
      <color rgb="FFFF0000"/>
      <name val="Calibri"/>
      <family val="2"/>
    </font>
    <font>
      <sz val="9"/>
      <color theme="1"/>
      <name val="맑은 고딕"/>
      <family val="2"/>
    </font>
    <font>
      <sz val="11"/>
      <name val="맑은 고딕"/>
      <family val="3"/>
      <charset val="129"/>
    </font>
    <font>
      <sz val="9"/>
      <name val="돋움"/>
      <family val="3"/>
      <charset val="129"/>
    </font>
    <font>
      <sz val="9"/>
      <name val="나눔바른고딕"/>
      <family val="3"/>
      <charset val="129"/>
    </font>
    <font>
      <sz val="9"/>
      <name val="Calibri"/>
      <family val="3"/>
    </font>
    <font>
      <sz val="9"/>
      <name val="맑은 고딕"/>
      <family val="3"/>
      <charset val="129"/>
    </font>
    <font>
      <sz val="9"/>
      <color theme="0"/>
      <name val="Calibri"/>
      <family val="3"/>
    </font>
    <font>
      <sz val="9"/>
      <color theme="0"/>
      <name val="Calibri"/>
      <family val="2"/>
      <charset val="129"/>
    </font>
    <font>
      <b/>
      <sz val="14"/>
      <color rgb="FFFF8800"/>
      <name val="Calibri"/>
      <family val="2"/>
    </font>
    <font>
      <b/>
      <sz val="14"/>
      <color rgb="FFFF8800"/>
      <name val="돋움"/>
      <family val="3"/>
      <charset val="129"/>
    </font>
    <font>
      <b/>
      <sz val="9"/>
      <color rgb="FFFF8800"/>
      <name val="Calibri"/>
      <family val="2"/>
    </font>
  </fonts>
  <fills count="12">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rgb="FFFF880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s>
  <borders count="27">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left>
      <right style="thin">
        <color theme="0"/>
      </right>
      <top style="thin">
        <color theme="0"/>
      </top>
      <bottom style="thin">
        <color theme="0"/>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theme="0" tint="-0.14996795556505021"/>
      </left>
      <right style="thin">
        <color theme="0" tint="-0.14996795556505021"/>
      </right>
      <top/>
      <bottom style="thin">
        <color theme="0" tint="-0.14996795556505021"/>
      </bottom>
      <diagonal/>
    </border>
    <border>
      <left style="thin">
        <color indexed="64"/>
      </left>
      <right style="thin">
        <color indexed="64"/>
      </right>
      <top style="thin">
        <color indexed="64"/>
      </top>
      <bottom/>
      <diagonal/>
    </border>
    <border>
      <left style="thin">
        <color theme="0" tint="-0.1498764000366222"/>
      </left>
      <right style="thin">
        <color theme="0" tint="-0.1498764000366222"/>
      </right>
      <top/>
      <bottom style="thin">
        <color theme="0" tint="-0.1498764000366222"/>
      </bottom>
      <diagonal/>
    </border>
    <border>
      <left/>
      <right style="thin">
        <color theme="0"/>
      </right>
      <top style="thin">
        <color theme="0"/>
      </top>
      <bottom style="thin">
        <color theme="0"/>
      </bottom>
      <diagonal/>
    </border>
    <border>
      <left/>
      <right/>
      <top style="thin">
        <color theme="0" tint="-0.14993743705557422"/>
      </top>
      <bottom style="thin">
        <color theme="0" tint="-0.14993743705557422"/>
      </bottom>
      <diagonal/>
    </border>
    <border>
      <left/>
      <right/>
      <top/>
      <bottom style="thin">
        <color theme="0"/>
      </bottom>
      <diagonal/>
    </border>
  </borders>
  <cellStyleXfs count="7">
    <xf numFmtId="0" fontId="0" fillId="0" borderId="0"/>
    <xf numFmtId="0" fontId="1" fillId="2" borderId="0" applyNumberFormat="0" applyBorder="0" applyAlignment="0" applyProtection="0">
      <alignment vertical="center"/>
    </xf>
    <xf numFmtId="0" fontId="5" fillId="0" borderId="0" applyNumberFormat="0" applyFill="0" applyBorder="0" applyAlignment="0" applyProtection="0"/>
    <xf numFmtId="9" fontId="8" fillId="0" borderId="0" applyFont="0" applyFill="0" applyBorder="0" applyAlignment="0" applyProtection="0">
      <alignment vertical="center"/>
    </xf>
    <xf numFmtId="0" fontId="8" fillId="0" borderId="0"/>
    <xf numFmtId="0" fontId="23" fillId="0" borderId="0"/>
    <xf numFmtId="9" fontId="26" fillId="0" borderId="0" applyFont="0" applyFill="0" applyBorder="0" applyAlignment="0" applyProtection="0">
      <alignment vertical="center"/>
    </xf>
  </cellStyleXfs>
  <cellXfs count="256">
    <xf numFmtId="0" fontId="0" fillId="0" borderId="0" xfId="0"/>
    <xf numFmtId="0" fontId="11" fillId="0" borderId="0" xfId="1" applyFont="1" applyFill="1" applyBorder="1" applyAlignment="1">
      <alignment horizontal="left" vertical="center"/>
    </xf>
    <xf numFmtId="0" fontId="11" fillId="0" borderId="2" xfId="4" applyFont="1" applyFill="1" applyBorder="1" applyAlignment="1" applyProtection="1">
      <alignment horizontal="left" vertical="center"/>
    </xf>
    <xf numFmtId="0" fontId="11" fillId="0" borderId="7" xfId="4" quotePrefix="1" applyFont="1" applyFill="1" applyBorder="1" applyAlignment="1" applyProtection="1">
      <alignment horizontal="right" vertical="top"/>
      <protection locked="0"/>
    </xf>
    <xf numFmtId="0" fontId="11" fillId="0" borderId="8" xfId="4" applyFont="1" applyFill="1" applyBorder="1" applyAlignment="1" applyProtection="1">
      <alignment horizontal="left" vertical="center"/>
      <protection locked="0"/>
    </xf>
    <xf numFmtId="0" fontId="11" fillId="0" borderId="10" xfId="4" applyFont="1" applyFill="1" applyBorder="1" applyAlignment="1" applyProtection="1">
      <alignment horizontal="right" vertical="top"/>
      <protection locked="0"/>
    </xf>
    <xf numFmtId="0" fontId="11" fillId="0" borderId="10" xfId="4" applyFont="1" applyFill="1" applyBorder="1" applyAlignment="1" applyProtection="1">
      <alignment horizontal="left" vertical="top"/>
      <protection locked="0"/>
    </xf>
    <xf numFmtId="14" fontId="11" fillId="0" borderId="10" xfId="4" applyNumberFormat="1" applyFont="1" applyFill="1" applyBorder="1" applyAlignment="1" applyProtection="1">
      <alignment horizontal="center" vertical="top"/>
      <protection locked="0"/>
    </xf>
    <xf numFmtId="0" fontId="11" fillId="0" borderId="10" xfId="4" applyNumberFormat="1" applyFont="1" applyFill="1" applyBorder="1" applyAlignment="1" applyProtection="1">
      <alignment horizontal="left" vertical="top"/>
      <protection locked="0"/>
    </xf>
    <xf numFmtId="176" fontId="11" fillId="0" borderId="10" xfId="4" applyNumberFormat="1" applyFont="1" applyFill="1" applyBorder="1" applyAlignment="1" applyProtection="1">
      <alignment horizontal="center" vertical="top"/>
      <protection locked="0"/>
    </xf>
    <xf numFmtId="0" fontId="11" fillId="0" borderId="10" xfId="4" applyNumberFormat="1" applyFont="1" applyFill="1" applyBorder="1" applyAlignment="1" applyProtection="1">
      <alignment horizontal="center" vertical="top"/>
      <protection locked="0"/>
    </xf>
    <xf numFmtId="177" fontId="11" fillId="0" borderId="10" xfId="4" applyNumberFormat="1" applyFont="1" applyFill="1" applyBorder="1" applyAlignment="1" applyProtection="1">
      <alignment horizontal="center" vertical="top"/>
      <protection locked="0"/>
    </xf>
    <xf numFmtId="1" fontId="11" fillId="0" borderId="10" xfId="4" applyNumberFormat="1" applyFont="1" applyFill="1" applyBorder="1" applyAlignment="1" applyProtection="1">
      <alignment horizontal="center" vertical="top"/>
      <protection locked="0"/>
    </xf>
    <xf numFmtId="179" fontId="11" fillId="0" borderId="10" xfId="4" applyNumberFormat="1" applyFont="1" applyFill="1" applyBorder="1" applyAlignment="1" applyProtection="1">
      <alignment horizontal="center" vertical="top"/>
      <protection locked="0"/>
    </xf>
    <xf numFmtId="14" fontId="11" fillId="0" borderId="10" xfId="4" applyNumberFormat="1" applyFont="1" applyFill="1" applyBorder="1" applyAlignment="1" applyProtection="1">
      <alignment horizontal="left" vertical="top"/>
      <protection locked="0"/>
    </xf>
    <xf numFmtId="10" fontId="11" fillId="0" borderId="10" xfId="3" applyNumberFormat="1" applyFont="1" applyFill="1" applyBorder="1" applyAlignment="1" applyProtection="1">
      <alignment horizontal="right" vertical="top" wrapText="1"/>
      <protection locked="0"/>
    </xf>
    <xf numFmtId="10" fontId="11" fillId="0" borderId="10" xfId="3" applyNumberFormat="1" applyFont="1" applyFill="1" applyBorder="1" applyAlignment="1" applyProtection="1">
      <alignment horizontal="right" vertical="top"/>
      <protection locked="0"/>
    </xf>
    <xf numFmtId="0" fontId="13" fillId="0" borderId="0" xfId="1" applyFont="1" applyFill="1" applyBorder="1" applyAlignment="1">
      <alignment vertical="center"/>
    </xf>
    <xf numFmtId="0" fontId="9" fillId="0" borderId="0" xfId="1" applyFont="1" applyFill="1" applyBorder="1" applyAlignment="1">
      <alignment vertical="center"/>
    </xf>
    <xf numFmtId="14" fontId="14" fillId="0" borderId="0" xfId="4" applyNumberFormat="1" applyFont="1" applyFill="1" applyBorder="1" applyAlignment="1" applyProtection="1">
      <alignment vertical="center"/>
    </xf>
    <xf numFmtId="14" fontId="15" fillId="0" borderId="0" xfId="4" applyNumberFormat="1" applyFont="1" applyFill="1" applyBorder="1" applyAlignment="1" applyProtection="1">
      <alignment vertical="center"/>
    </xf>
    <xf numFmtId="14" fontId="16" fillId="3" borderId="0" xfId="4" quotePrefix="1" applyNumberFormat="1" applyFont="1" applyFill="1" applyBorder="1" applyProtection="1"/>
    <xf numFmtId="14" fontId="16" fillId="3" borderId="0" xfId="4" applyNumberFormat="1" applyFont="1" applyFill="1" applyBorder="1" applyAlignment="1" applyProtection="1">
      <alignment vertical="center"/>
    </xf>
    <xf numFmtId="0" fontId="16" fillId="3" borderId="0" xfId="4" applyFont="1" applyFill="1" applyBorder="1" applyProtection="1"/>
    <xf numFmtId="176" fontId="18" fillId="3" borderId="0" xfId="4" applyNumberFormat="1" applyFont="1" applyFill="1" applyBorder="1" applyAlignment="1" applyProtection="1">
      <alignment vertical="center"/>
      <protection locked="0"/>
    </xf>
    <xf numFmtId="14" fontId="17" fillId="3" borderId="0" xfId="4" applyNumberFormat="1" applyFont="1" applyFill="1" applyBorder="1" applyAlignment="1" applyProtection="1">
      <alignment vertical="center"/>
    </xf>
    <xf numFmtId="14" fontId="16" fillId="0" borderId="11" xfId="4" applyNumberFormat="1" applyFont="1" applyFill="1" applyBorder="1" applyAlignment="1" applyProtection="1">
      <alignment vertical="top"/>
      <protection locked="0"/>
    </xf>
    <xf numFmtId="14" fontId="16" fillId="0" borderId="11" xfId="4" applyNumberFormat="1" applyFont="1" applyFill="1" applyBorder="1" applyAlignment="1" applyProtection="1">
      <alignment vertical="center"/>
      <protection locked="0"/>
    </xf>
    <xf numFmtId="0" fontId="16" fillId="0" borderId="11" xfId="4" applyFont="1" applyFill="1" applyBorder="1" applyAlignment="1" applyProtection="1">
      <alignment vertical="top"/>
      <protection locked="0"/>
    </xf>
    <xf numFmtId="0" fontId="16" fillId="0" borderId="11" xfId="4" applyFont="1" applyFill="1" applyBorder="1" applyAlignment="1" applyProtection="1">
      <alignment vertical="center" wrapText="1"/>
      <protection locked="0"/>
    </xf>
    <xf numFmtId="0" fontId="16" fillId="0" borderId="11" xfId="4" applyFont="1" applyFill="1" applyBorder="1" applyAlignment="1" applyProtection="1">
      <alignment vertical="center"/>
      <protection locked="0"/>
    </xf>
    <xf numFmtId="0" fontId="16" fillId="0" borderId="0" xfId="4" applyFont="1" applyFill="1" applyBorder="1" applyAlignment="1" applyProtection="1">
      <alignment vertical="top"/>
      <protection locked="0"/>
    </xf>
    <xf numFmtId="14" fontId="19" fillId="0" borderId="0" xfId="4" applyNumberFormat="1" applyFont="1" applyFill="1" applyBorder="1" applyAlignment="1" applyProtection="1">
      <alignment horizontal="right" vertical="top"/>
      <protection locked="0"/>
    </xf>
    <xf numFmtId="180" fontId="16" fillId="6" borderId="12" xfId="4" applyNumberFormat="1" applyFont="1" applyFill="1" applyBorder="1" applyAlignment="1" applyProtection="1">
      <alignment vertical="center"/>
      <protection locked="0"/>
    </xf>
    <xf numFmtId="14" fontId="19" fillId="0" borderId="13" xfId="4" applyNumberFormat="1" applyFont="1" applyFill="1" applyBorder="1" applyAlignment="1" applyProtection="1">
      <alignment horizontal="right" vertical="top"/>
      <protection locked="0"/>
    </xf>
    <xf numFmtId="14" fontId="16" fillId="0" borderId="13" xfId="4" applyNumberFormat="1" applyFont="1" applyFill="1" applyBorder="1" applyAlignment="1" applyProtection="1">
      <alignment vertical="center"/>
      <protection locked="0"/>
    </xf>
    <xf numFmtId="0" fontId="16" fillId="0" borderId="13" xfId="4" applyFont="1" applyFill="1" applyBorder="1" applyAlignment="1" applyProtection="1">
      <alignment vertical="top"/>
      <protection locked="0"/>
    </xf>
    <xf numFmtId="0" fontId="16" fillId="0" borderId="13" xfId="4" applyFont="1" applyFill="1" applyBorder="1" applyAlignment="1" applyProtection="1">
      <alignment vertical="center"/>
      <protection locked="0"/>
    </xf>
    <xf numFmtId="14" fontId="19" fillId="0" borderId="0" xfId="4" applyNumberFormat="1" applyFont="1" applyFill="1" applyBorder="1" applyAlignment="1" applyProtection="1">
      <alignment vertical="top"/>
      <protection locked="0"/>
    </xf>
    <xf numFmtId="14" fontId="16" fillId="0" borderId="0" xfId="4" applyNumberFormat="1" applyFont="1" applyFill="1" applyBorder="1" applyAlignment="1" applyProtection="1">
      <alignment vertical="center"/>
      <protection locked="0"/>
    </xf>
    <xf numFmtId="0" fontId="16" fillId="0" borderId="14" xfId="4" applyFont="1" applyFill="1" applyBorder="1" applyAlignment="1" applyProtection="1">
      <alignment vertical="center" wrapText="1"/>
      <protection locked="0"/>
    </xf>
    <xf numFmtId="14" fontId="16" fillId="0" borderId="0" xfId="4" applyNumberFormat="1" applyFont="1" applyFill="1" applyBorder="1" applyAlignment="1" applyProtection="1">
      <alignment vertical="top"/>
      <protection locked="0"/>
    </xf>
    <xf numFmtId="14" fontId="19" fillId="0" borderId="13" xfId="4" applyNumberFormat="1" applyFont="1" applyFill="1" applyBorder="1" applyAlignment="1" applyProtection="1">
      <alignment vertical="top"/>
      <protection locked="0"/>
    </xf>
    <xf numFmtId="0" fontId="16" fillId="0" borderId="13" xfId="4" applyFont="1" applyFill="1" applyBorder="1" applyAlignment="1" applyProtection="1">
      <alignment vertical="center" wrapText="1"/>
      <protection locked="0"/>
    </xf>
    <xf numFmtId="14" fontId="19" fillId="0" borderId="14" xfId="4" applyNumberFormat="1" applyFont="1" applyFill="1" applyBorder="1" applyAlignment="1" applyProtection="1">
      <alignment vertical="center" wrapText="1"/>
      <protection locked="0"/>
    </xf>
    <xf numFmtId="14" fontId="19" fillId="0" borderId="0" xfId="4" applyNumberFormat="1" applyFont="1" applyFill="1" applyBorder="1" applyAlignment="1" applyProtection="1">
      <alignment horizontal="right" vertical="center" wrapText="1"/>
      <protection locked="0"/>
    </xf>
    <xf numFmtId="14" fontId="19" fillId="0" borderId="13" xfId="4" applyNumberFormat="1" applyFont="1" applyFill="1" applyBorder="1" applyAlignment="1" applyProtection="1">
      <alignment vertical="center" wrapText="1"/>
      <protection locked="0"/>
    </xf>
    <xf numFmtId="0" fontId="16" fillId="0" borderId="13" xfId="4" applyFont="1" applyFill="1" applyBorder="1" applyProtection="1">
      <protection locked="0"/>
    </xf>
    <xf numFmtId="0" fontId="16" fillId="0" borderId="0" xfId="4" applyFont="1" applyFill="1" applyBorder="1" applyProtection="1">
      <protection locked="0"/>
    </xf>
    <xf numFmtId="14" fontId="16" fillId="0" borderId="0" xfId="4" applyNumberFormat="1" applyFont="1" applyFill="1" applyBorder="1" applyProtection="1">
      <protection locked="0"/>
    </xf>
    <xf numFmtId="14" fontId="16" fillId="0" borderId="14" xfId="4" applyNumberFormat="1" applyFont="1" applyFill="1" applyBorder="1" applyAlignment="1" applyProtection="1">
      <alignment vertical="center"/>
      <protection locked="0"/>
    </xf>
    <xf numFmtId="0" fontId="16" fillId="0" borderId="14" xfId="4" applyFont="1" applyFill="1" applyBorder="1" applyProtection="1">
      <protection locked="0"/>
    </xf>
    <xf numFmtId="14" fontId="16" fillId="0" borderId="15" xfId="4" applyNumberFormat="1" applyFont="1" applyFill="1" applyBorder="1" applyAlignment="1" applyProtection="1">
      <alignment vertical="center"/>
      <protection locked="0"/>
    </xf>
    <xf numFmtId="0" fontId="16" fillId="0" borderId="15" xfId="4" applyFont="1" applyFill="1" applyBorder="1" applyAlignment="1" applyProtection="1">
      <alignment vertical="top"/>
      <protection locked="0"/>
    </xf>
    <xf numFmtId="14" fontId="19" fillId="0" borderId="14" xfId="4" applyNumberFormat="1" applyFont="1" applyFill="1" applyBorder="1" applyProtection="1">
      <protection locked="0"/>
    </xf>
    <xf numFmtId="10" fontId="16" fillId="6" borderId="12" xfId="3" applyNumberFormat="1" applyFont="1" applyFill="1" applyBorder="1" applyAlignment="1" applyProtection="1">
      <alignment vertical="center"/>
      <protection locked="0"/>
    </xf>
    <xf numFmtId="14" fontId="19" fillId="0" borderId="15" xfId="4" applyNumberFormat="1" applyFont="1" applyFill="1" applyBorder="1" applyAlignment="1" applyProtection="1">
      <alignment horizontal="right" vertical="top"/>
      <protection locked="0"/>
    </xf>
    <xf numFmtId="14" fontId="19" fillId="0" borderId="11" xfId="4" applyNumberFormat="1" applyFont="1" applyFill="1" applyBorder="1" applyAlignment="1" applyProtection="1">
      <alignment horizontal="right" vertical="top"/>
      <protection locked="0"/>
    </xf>
    <xf numFmtId="14" fontId="19" fillId="0" borderId="16" xfId="4" applyNumberFormat="1" applyFont="1" applyFill="1" applyBorder="1" applyAlignment="1" applyProtection="1">
      <alignment horizontal="right" vertical="top"/>
      <protection locked="0"/>
    </xf>
    <xf numFmtId="14" fontId="16" fillId="0" borderId="16" xfId="4" applyNumberFormat="1" applyFont="1" applyFill="1" applyBorder="1" applyAlignment="1" applyProtection="1">
      <alignment vertical="center"/>
      <protection locked="0"/>
    </xf>
    <xf numFmtId="0" fontId="16" fillId="0" borderId="16" xfId="4" applyFont="1" applyFill="1" applyBorder="1" applyAlignment="1" applyProtection="1">
      <alignment vertical="top"/>
      <protection locked="0"/>
    </xf>
    <xf numFmtId="14" fontId="19" fillId="0" borderId="17" xfId="4" applyNumberFormat="1" applyFont="1" applyFill="1" applyBorder="1" applyAlignment="1" applyProtection="1">
      <alignment vertical="top"/>
      <protection locked="0"/>
    </xf>
    <xf numFmtId="14" fontId="16" fillId="0" borderId="17" xfId="4" applyNumberFormat="1" applyFont="1" applyFill="1" applyBorder="1" applyAlignment="1" applyProtection="1">
      <alignment vertical="center"/>
      <protection locked="0"/>
    </xf>
    <xf numFmtId="0" fontId="16" fillId="0" borderId="17" xfId="4" applyFont="1" applyFill="1" applyBorder="1" applyAlignment="1" applyProtection="1">
      <alignment vertical="top"/>
      <protection locked="0"/>
    </xf>
    <xf numFmtId="0" fontId="16" fillId="0" borderId="14" xfId="4" applyFont="1" applyFill="1" applyBorder="1" applyAlignment="1" applyProtection="1">
      <alignment vertical="center"/>
      <protection locked="0"/>
    </xf>
    <xf numFmtId="10" fontId="16" fillId="6" borderId="12" xfId="3" applyNumberFormat="1" applyFont="1" applyFill="1" applyBorder="1" applyAlignment="1" applyProtection="1">
      <alignment vertical="center"/>
    </xf>
    <xf numFmtId="14" fontId="16" fillId="0" borderId="18" xfId="4" applyNumberFormat="1" applyFont="1" applyFill="1" applyBorder="1" applyAlignment="1" applyProtection="1">
      <alignment horizontal="right" vertical="top"/>
      <protection locked="0"/>
    </xf>
    <xf numFmtId="14" fontId="16" fillId="0" borderId="18" xfId="4" applyNumberFormat="1" applyFont="1" applyFill="1" applyBorder="1" applyAlignment="1" applyProtection="1">
      <alignment vertical="center"/>
      <protection locked="0"/>
    </xf>
    <xf numFmtId="0" fontId="16" fillId="0" borderId="18" xfId="4" applyFont="1" applyFill="1" applyBorder="1" applyAlignment="1" applyProtection="1">
      <alignment vertical="top"/>
      <protection locked="0"/>
    </xf>
    <xf numFmtId="0" fontId="16" fillId="0" borderId="18" xfId="4" applyFont="1" applyFill="1" applyBorder="1" applyAlignment="1" applyProtection="1">
      <alignment vertical="center"/>
      <protection locked="0"/>
    </xf>
    <xf numFmtId="14" fontId="15" fillId="0" borderId="0" xfId="4" applyNumberFormat="1" applyFont="1" applyFill="1" applyBorder="1" applyAlignment="1" applyProtection="1">
      <alignment vertical="top"/>
      <protection locked="0"/>
    </xf>
    <xf numFmtId="14" fontId="15" fillId="0" borderId="0" xfId="4" applyNumberFormat="1" applyFont="1" applyFill="1" applyBorder="1" applyAlignment="1" applyProtection="1">
      <alignment vertical="center"/>
      <protection locked="0"/>
    </xf>
    <xf numFmtId="0" fontId="15" fillId="0" borderId="0" xfId="4" applyFont="1" applyFill="1" applyBorder="1" applyAlignment="1" applyProtection="1">
      <alignment vertical="top"/>
      <protection locked="0"/>
    </xf>
    <xf numFmtId="14" fontId="15" fillId="0" borderId="0" xfId="4" applyNumberFormat="1" applyFont="1" applyFill="1" applyBorder="1" applyProtection="1">
      <protection locked="0"/>
    </xf>
    <xf numFmtId="180" fontId="15" fillId="0" borderId="0" xfId="3" applyNumberFormat="1" applyFont="1" applyFill="1" applyBorder="1" applyAlignment="1" applyProtection="1">
      <alignment vertical="center"/>
      <protection locked="0"/>
    </xf>
    <xf numFmtId="0" fontId="15" fillId="0" borderId="0" xfId="4" applyFont="1" applyFill="1" applyBorder="1" applyProtection="1">
      <protection locked="0"/>
    </xf>
    <xf numFmtId="1" fontId="15" fillId="0" borderId="0" xfId="4" applyNumberFormat="1" applyFont="1" applyFill="1" applyBorder="1" applyAlignment="1" applyProtection="1">
      <alignment vertical="center"/>
      <protection locked="0"/>
    </xf>
    <xf numFmtId="176" fontId="15" fillId="0" borderId="0" xfId="4" applyNumberFormat="1" applyFont="1" applyFill="1" applyBorder="1" applyAlignment="1" applyProtection="1">
      <alignment vertical="center"/>
      <protection locked="0"/>
    </xf>
    <xf numFmtId="0" fontId="13" fillId="0" borderId="0" xfId="4" applyFont="1" applyFill="1" applyBorder="1" applyAlignment="1">
      <alignment vertical="center"/>
    </xf>
    <xf numFmtId="0" fontId="15" fillId="7" borderId="1" xfId="4" applyFont="1" applyFill="1" applyBorder="1" applyAlignment="1">
      <alignment horizontal="left" wrapText="1"/>
    </xf>
    <xf numFmtId="14" fontId="15" fillId="0" borderId="0" xfId="4" applyNumberFormat="1" applyFont="1" applyFill="1" applyProtection="1"/>
    <xf numFmtId="14" fontId="15" fillId="3" borderId="0" xfId="4" applyNumberFormat="1" applyFont="1" applyFill="1" applyAlignment="1" applyProtection="1">
      <alignment vertical="top"/>
    </xf>
    <xf numFmtId="14" fontId="21" fillId="4" borderId="19" xfId="4" applyNumberFormat="1" applyFont="1" applyFill="1" applyBorder="1" applyAlignment="1" applyProtection="1">
      <alignment horizontal="center" vertical="center"/>
    </xf>
    <xf numFmtId="14" fontId="15" fillId="0" borderId="0" xfId="4" applyNumberFormat="1" applyFont="1" applyAlignment="1" applyProtection="1">
      <alignment horizontal="center" vertical="center"/>
    </xf>
    <xf numFmtId="14" fontId="15" fillId="8" borderId="19" xfId="4" applyNumberFormat="1" applyFont="1" applyFill="1" applyBorder="1" applyProtection="1">
      <protection locked="0"/>
    </xf>
    <xf numFmtId="14" fontId="15" fillId="0" borderId="19" xfId="4" applyNumberFormat="1" applyFont="1" applyBorder="1" applyProtection="1">
      <protection locked="0"/>
    </xf>
    <xf numFmtId="14" fontId="15" fillId="0" borderId="0" xfId="4" applyNumberFormat="1" applyFont="1" applyProtection="1"/>
    <xf numFmtId="0" fontId="22" fillId="0" borderId="0" xfId="4" applyFont="1"/>
    <xf numFmtId="14" fontId="15" fillId="0" borderId="19" xfId="4" applyNumberFormat="1" applyFont="1" applyBorder="1" applyProtection="1"/>
    <xf numFmtId="0" fontId="25" fillId="0" borderId="0" xfId="4" applyNumberFormat="1" applyFont="1" applyFill="1" applyBorder="1" applyAlignment="1" applyProtection="1">
      <alignment horizontal="center"/>
      <protection locked="0"/>
    </xf>
    <xf numFmtId="14" fontId="25" fillId="0" borderId="0" xfId="4" applyNumberFormat="1" applyFont="1" applyFill="1" applyBorder="1" applyAlignment="1" applyProtection="1">
      <alignment horizontal="center"/>
      <protection locked="0"/>
    </xf>
    <xf numFmtId="0" fontId="25" fillId="0" borderId="0" xfId="4" applyFont="1" applyFill="1" applyBorder="1" applyAlignment="1" applyProtection="1">
      <alignment horizontal="center"/>
      <protection locked="0"/>
    </xf>
    <xf numFmtId="0" fontId="25" fillId="0" borderId="0" xfId="4" applyFont="1" applyFill="1" applyBorder="1" applyProtection="1">
      <protection locked="0"/>
    </xf>
    <xf numFmtId="0" fontId="25" fillId="0" borderId="0" xfId="4" applyNumberFormat="1" applyFont="1" applyFill="1" applyBorder="1" applyAlignment="1" applyProtection="1">
      <alignment horizontal="right"/>
      <protection locked="0"/>
    </xf>
    <xf numFmtId="0" fontId="25" fillId="0" borderId="0" xfId="4" applyNumberFormat="1" applyFont="1" applyFill="1" applyBorder="1" applyAlignment="1" applyProtection="1">
      <alignment horizontal="left"/>
      <protection locked="0"/>
    </xf>
    <xf numFmtId="14" fontId="25" fillId="0" borderId="0" xfId="4" applyNumberFormat="1" applyFont="1" applyFill="1" applyBorder="1" applyProtection="1">
      <protection locked="0"/>
    </xf>
    <xf numFmtId="14" fontId="25" fillId="0" borderId="0" xfId="4" applyNumberFormat="1" applyFont="1" applyFill="1" applyBorder="1" applyAlignment="1" applyProtection="1">
      <alignment horizontal="left"/>
      <protection locked="0"/>
    </xf>
    <xf numFmtId="10" fontId="11" fillId="0" borderId="7" xfId="6" applyNumberFormat="1" applyFont="1" applyFill="1" applyBorder="1" applyAlignment="1" applyProtection="1">
      <alignment horizontal="right" vertical="top" wrapText="1"/>
      <protection locked="0"/>
    </xf>
    <xf numFmtId="0" fontId="16" fillId="9" borderId="20" xfId="4" applyFont="1" applyFill="1" applyBorder="1" applyAlignment="1">
      <alignment horizontal="left" vertical="top"/>
    </xf>
    <xf numFmtId="0" fontId="16" fillId="0" borderId="0" xfId="4" applyFont="1" applyFill="1" applyAlignment="1">
      <alignment horizontal="left" vertical="top"/>
    </xf>
    <xf numFmtId="0" fontId="16" fillId="0" borderId="0" xfId="4" applyFont="1" applyFill="1" applyBorder="1" applyAlignment="1">
      <alignment vertical="top"/>
    </xf>
    <xf numFmtId="0" fontId="16" fillId="0" borderId="0" xfId="4" applyFont="1" applyFill="1" applyBorder="1" applyAlignment="1">
      <alignment horizontal="left" vertical="top"/>
    </xf>
    <xf numFmtId="0" fontId="16" fillId="0" borderId="0" xfId="4" applyFont="1" applyFill="1" applyAlignment="1">
      <alignment vertical="top"/>
    </xf>
    <xf numFmtId="0" fontId="16" fillId="0" borderId="0" xfId="4" quotePrefix="1" applyFont="1" applyFill="1" applyBorder="1" applyAlignment="1">
      <alignment horizontal="left" vertical="top"/>
    </xf>
    <xf numFmtId="14" fontId="16" fillId="0" borderId="0" xfId="4" applyNumberFormat="1" applyFont="1" applyFill="1" applyBorder="1" applyAlignment="1">
      <alignment horizontal="left" vertical="top"/>
    </xf>
    <xf numFmtId="0" fontId="16" fillId="0" borderId="20" xfId="4" applyFont="1" applyFill="1" applyBorder="1" applyAlignment="1">
      <alignment vertical="top"/>
    </xf>
    <xf numFmtId="0" fontId="16" fillId="0" borderId="20" xfId="4" applyFont="1" applyFill="1" applyBorder="1" applyAlignment="1">
      <alignment horizontal="left" vertical="top"/>
    </xf>
    <xf numFmtId="14" fontId="16" fillId="0" borderId="0" xfId="4" applyNumberFormat="1" applyFont="1" applyFill="1" applyAlignment="1">
      <alignment horizontal="left" vertical="top"/>
    </xf>
    <xf numFmtId="1" fontId="16" fillId="0" borderId="0" xfId="4" applyNumberFormat="1" applyFont="1" applyFill="1" applyAlignment="1">
      <alignment horizontal="left" vertical="top"/>
    </xf>
    <xf numFmtId="22" fontId="16" fillId="0" borderId="0" xfId="4" applyNumberFormat="1" applyFont="1" applyFill="1" applyAlignment="1">
      <alignment horizontal="left" vertical="top"/>
    </xf>
    <xf numFmtId="14" fontId="16" fillId="0" borderId="0" xfId="4" applyNumberFormat="1" applyFont="1" applyFill="1" applyAlignment="1">
      <alignment vertical="top"/>
    </xf>
    <xf numFmtId="0" fontId="24" fillId="0" borderId="0" xfId="0" applyFont="1" applyAlignment="1"/>
    <xf numFmtId="178" fontId="12" fillId="5" borderId="4" xfId="4" applyNumberFormat="1" applyFont="1" applyFill="1" applyBorder="1" applyAlignment="1" applyProtection="1">
      <alignment horizontal="left" vertical="center"/>
    </xf>
    <xf numFmtId="178" fontId="12" fillId="5" borderId="5" xfId="4" applyNumberFormat="1" applyFont="1" applyFill="1" applyBorder="1" applyAlignment="1" applyProtection="1">
      <alignment horizontal="left" vertical="center"/>
    </xf>
    <xf numFmtId="0" fontId="11" fillId="0" borderId="9" xfId="4" applyFont="1" applyFill="1" applyBorder="1" applyAlignment="1" applyProtection="1">
      <alignment horizontal="left" vertical="center"/>
      <protection locked="0"/>
    </xf>
    <xf numFmtId="178" fontId="12" fillId="5" borderId="6" xfId="4" applyNumberFormat="1" applyFont="1" applyFill="1" applyBorder="1" applyAlignment="1" applyProtection="1">
      <alignment horizontal="left" vertical="center"/>
    </xf>
    <xf numFmtId="0" fontId="11" fillId="0" borderId="7" xfId="4" applyFont="1" applyFill="1" applyBorder="1" applyAlignment="1" applyProtection="1">
      <alignment vertical="top"/>
      <protection locked="0"/>
    </xf>
    <xf numFmtId="0" fontId="11" fillId="0" borderId="10" xfId="4" applyFont="1" applyFill="1" applyBorder="1" applyAlignment="1" applyProtection="1">
      <alignment vertical="top"/>
      <protection locked="0"/>
    </xf>
    <xf numFmtId="14" fontId="15" fillId="8" borderId="19" xfId="0" applyNumberFormat="1" applyFont="1" applyFill="1" applyBorder="1" applyProtection="1">
      <protection locked="0"/>
    </xf>
    <xf numFmtId="14" fontId="15" fillId="0" borderId="19" xfId="0" applyNumberFormat="1" applyFont="1" applyBorder="1" applyProtection="1">
      <protection locked="0"/>
    </xf>
    <xf numFmtId="14" fontId="15" fillId="0" borderId="19" xfId="0" applyNumberFormat="1" applyFont="1" applyFill="1" applyBorder="1" applyProtection="1">
      <protection locked="0"/>
    </xf>
    <xf numFmtId="0" fontId="12" fillId="0" borderId="1" xfId="4" applyFont="1" applyFill="1" applyBorder="1" applyAlignment="1" applyProtection="1">
      <alignment horizontal="left" vertical="center"/>
    </xf>
    <xf numFmtId="0" fontId="12" fillId="0" borderId="2" xfId="4" applyFont="1" applyFill="1" applyBorder="1" applyAlignment="1" applyProtection="1">
      <alignment horizontal="left" vertical="center"/>
    </xf>
    <xf numFmtId="0" fontId="10" fillId="4" borderId="1" xfId="4" applyFont="1" applyFill="1" applyBorder="1" applyAlignment="1">
      <alignment horizontal="center" vertical="center"/>
    </xf>
    <xf numFmtId="0" fontId="10" fillId="4" borderId="1" xfId="4" applyFont="1" applyFill="1" applyBorder="1" applyAlignment="1">
      <alignment horizontal="center" vertical="center" wrapText="1"/>
    </xf>
    <xf numFmtId="0" fontId="32" fillId="0" borderId="0" xfId="0" applyFont="1" applyAlignment="1">
      <alignment vertical="top"/>
    </xf>
    <xf numFmtId="0" fontId="32" fillId="0" borderId="0" xfId="0" applyFont="1" applyAlignment="1">
      <alignment vertical="top" wrapText="1"/>
    </xf>
    <xf numFmtId="0" fontId="33" fillId="0" borderId="0" xfId="5" applyFont="1" applyFill="1" applyBorder="1" applyAlignment="1">
      <alignment horizontal="left" vertical="top" wrapText="1"/>
    </xf>
    <xf numFmtId="0" fontId="33" fillId="0" borderId="0" xfId="5" applyFont="1" applyFill="1" applyBorder="1" applyAlignment="1">
      <alignment horizontal="left" vertical="top"/>
    </xf>
    <xf numFmtId="0" fontId="11" fillId="0" borderId="0" xfId="4" applyFont="1" applyAlignment="1">
      <alignment vertical="top"/>
    </xf>
    <xf numFmtId="0" fontId="11" fillId="0" borderId="0" xfId="5" applyFont="1" applyFill="1" applyBorder="1" applyAlignment="1">
      <alignment horizontal="left" vertical="top"/>
    </xf>
    <xf numFmtId="0" fontId="33" fillId="0" borderId="0" xfId="5" applyNumberFormat="1" applyFont="1" applyFill="1" applyBorder="1" applyAlignment="1">
      <alignment horizontal="left" vertical="top" wrapText="1"/>
    </xf>
    <xf numFmtId="14" fontId="33" fillId="0" borderId="0" xfId="5" applyNumberFormat="1" applyFont="1" applyFill="1" applyBorder="1" applyAlignment="1">
      <alignment horizontal="left" vertical="top" wrapText="1"/>
    </xf>
    <xf numFmtId="0" fontId="24" fillId="0" borderId="0" xfId="5" applyFont="1" applyFill="1" applyBorder="1" applyAlignment="1">
      <alignment horizontal="left" vertical="top" wrapText="1"/>
    </xf>
    <xf numFmtId="0" fontId="15" fillId="0" borderId="0" xfId="4" applyFont="1" applyAlignment="1">
      <alignment vertical="top"/>
    </xf>
    <xf numFmtId="0" fontId="37" fillId="0" borderId="0" xfId="0" applyFont="1" applyAlignment="1">
      <alignment vertical="top"/>
    </xf>
    <xf numFmtId="0" fontId="38" fillId="0" borderId="0" xfId="5" applyFont="1" applyFill="1" applyBorder="1" applyAlignment="1">
      <alignment horizontal="left" vertical="top" wrapText="1"/>
    </xf>
    <xf numFmtId="0" fontId="36" fillId="0" borderId="0" xfId="5" applyFont="1" applyFill="1" applyBorder="1" applyAlignment="1">
      <alignment horizontal="left" vertical="top"/>
    </xf>
    <xf numFmtId="0" fontId="32" fillId="0" borderId="0" xfId="0" applyFont="1" applyAlignment="1">
      <alignment horizontal="center" vertical="top"/>
    </xf>
    <xf numFmtId="0" fontId="33" fillId="0" borderId="0" xfId="0" applyFont="1" applyAlignment="1">
      <alignment vertical="top" wrapText="1"/>
    </xf>
    <xf numFmtId="0" fontId="13" fillId="11" borderId="0" xfId="1" applyFont="1" applyFill="1" applyBorder="1" applyAlignment="1">
      <alignment horizontal="left" vertical="top"/>
    </xf>
    <xf numFmtId="0" fontId="6" fillId="11" borderId="0" xfId="1" applyFont="1" applyFill="1" applyBorder="1" applyAlignment="1">
      <alignment horizontal="left" vertical="top"/>
    </xf>
    <xf numFmtId="0" fontId="3" fillId="11" borderId="0" xfId="1" applyFont="1" applyFill="1" applyBorder="1" applyAlignment="1">
      <alignment horizontal="left" vertical="center"/>
    </xf>
    <xf numFmtId="0" fontId="3" fillId="11" borderId="0" xfId="1" applyFont="1" applyFill="1" applyBorder="1" applyAlignment="1">
      <alignment vertical="center"/>
    </xf>
    <xf numFmtId="14" fontId="3" fillId="11" borderId="0" xfId="1" applyNumberFormat="1" applyFont="1" applyFill="1" applyBorder="1" applyAlignment="1">
      <alignment vertical="top"/>
    </xf>
    <xf numFmtId="14" fontId="31" fillId="11" borderId="0" xfId="1" applyNumberFormat="1" applyFont="1" applyFill="1" applyBorder="1" applyAlignment="1">
      <alignment horizontal="left" vertical="top" wrapText="1"/>
    </xf>
    <xf numFmtId="0" fontId="18" fillId="11" borderId="0" xfId="1" applyFont="1" applyFill="1" applyBorder="1" applyAlignment="1">
      <alignment horizontal="center" vertical="top"/>
    </xf>
    <xf numFmtId="0" fontId="13" fillId="11" borderId="0" xfId="1" applyFont="1" applyFill="1" applyBorder="1" applyAlignment="1">
      <alignment horizontal="center" vertical="top"/>
    </xf>
    <xf numFmtId="0" fontId="3" fillId="11" borderId="0" xfId="1" applyNumberFormat="1" applyFont="1" applyFill="1" applyBorder="1" applyAlignment="1">
      <alignment horizontal="center" vertical="top"/>
    </xf>
    <xf numFmtId="14" fontId="3" fillId="11" borderId="0" xfId="1" applyNumberFormat="1" applyFont="1" applyFill="1" applyBorder="1" applyAlignment="1">
      <alignment horizontal="center" vertical="top"/>
    </xf>
    <xf numFmtId="0" fontId="13" fillId="11" borderId="0" xfId="1" applyFont="1" applyFill="1" applyBorder="1" applyAlignment="1">
      <alignment horizontal="left" vertical="center"/>
    </xf>
    <xf numFmtId="1" fontId="3" fillId="11" borderId="0" xfId="1" applyNumberFormat="1" applyFont="1" applyFill="1" applyBorder="1" applyAlignment="1">
      <alignment horizontal="center" vertical="top"/>
    </xf>
    <xf numFmtId="0" fontId="18" fillId="11" borderId="0" xfId="2" applyFont="1" applyFill="1" applyBorder="1" applyAlignment="1">
      <alignment vertical="top" wrapText="1"/>
    </xf>
    <xf numFmtId="0" fontId="18" fillId="11" borderId="0" xfId="2" applyNumberFormat="1" applyFont="1" applyFill="1" applyBorder="1" applyAlignment="1">
      <alignment vertical="top"/>
    </xf>
    <xf numFmtId="0" fontId="18" fillId="11" borderId="0" xfId="2" applyFont="1" applyFill="1" applyBorder="1" applyAlignment="1">
      <alignment vertical="top"/>
    </xf>
    <xf numFmtId="0" fontId="6" fillId="11" borderId="0" xfId="2" applyFont="1" applyFill="1" applyBorder="1" applyAlignment="1">
      <alignment horizontal="right" vertical="top"/>
    </xf>
    <xf numFmtId="0" fontId="6" fillId="11" borderId="0" xfId="2" applyFont="1" applyFill="1" applyBorder="1" applyAlignment="1">
      <alignment horizontal="right" vertical="center"/>
    </xf>
    <xf numFmtId="0" fontId="27" fillId="11" borderId="0" xfId="1" applyFont="1" applyFill="1" applyBorder="1" applyAlignment="1">
      <alignment horizontal="left" vertical="top"/>
    </xf>
    <xf numFmtId="0" fontId="28" fillId="11" borderId="0" xfId="1" applyFont="1" applyFill="1" applyBorder="1" applyAlignment="1">
      <alignment horizontal="left" vertical="top"/>
    </xf>
    <xf numFmtId="0" fontId="29" fillId="11" borderId="0" xfId="2" applyNumberFormat="1" applyFont="1" applyFill="1" applyBorder="1" applyAlignment="1">
      <alignment horizontal="right" vertical="center"/>
    </xf>
    <xf numFmtId="10" fontId="29" fillId="11" borderId="0" xfId="3" applyNumberFormat="1" applyFont="1" applyFill="1" applyBorder="1" applyAlignment="1">
      <alignment horizontal="right" vertical="center"/>
    </xf>
    <xf numFmtId="0" fontId="30" fillId="11" borderId="0" xfId="2" applyNumberFormat="1" applyFont="1" applyFill="1" applyBorder="1" applyAlignment="1">
      <alignment vertical="top"/>
    </xf>
    <xf numFmtId="0" fontId="30" fillId="11" borderId="0" xfId="2" applyNumberFormat="1" applyFont="1" applyFill="1" applyBorder="1" applyAlignment="1">
      <alignment horizontal="right" vertical="top"/>
    </xf>
    <xf numFmtId="0" fontId="34" fillId="0" borderId="0" xfId="0" applyFont="1" applyAlignment="1">
      <alignment vertical="top" wrapText="1"/>
    </xf>
    <xf numFmtId="0" fontId="39" fillId="0" borderId="0" xfId="0" applyFont="1" applyAlignment="1">
      <alignment vertical="top" wrapText="1"/>
    </xf>
    <xf numFmtId="0" fontId="35" fillId="0" borderId="0" xfId="5" applyFont="1" applyFill="1" applyBorder="1" applyAlignment="1">
      <alignment horizontal="left" vertical="top" wrapText="1"/>
    </xf>
    <xf numFmtId="0" fontId="11" fillId="0" borderId="21" xfId="4" applyFont="1" applyFill="1" applyBorder="1" applyAlignment="1" applyProtection="1">
      <alignment vertical="top"/>
      <protection locked="0"/>
    </xf>
    <xf numFmtId="0" fontId="11" fillId="0" borderId="21" xfId="4" applyFont="1" applyFill="1" applyBorder="1" applyAlignment="1" applyProtection="1">
      <alignment horizontal="right" vertical="top"/>
      <protection locked="0"/>
    </xf>
    <xf numFmtId="0" fontId="11" fillId="0" borderId="21" xfId="4" applyFont="1" applyFill="1" applyBorder="1" applyAlignment="1" applyProtection="1">
      <alignment horizontal="left" vertical="top"/>
      <protection locked="0"/>
    </xf>
    <xf numFmtId="14" fontId="11" fillId="0" borderId="21" xfId="4" applyNumberFormat="1" applyFont="1" applyFill="1" applyBorder="1" applyAlignment="1" applyProtection="1">
      <alignment horizontal="center" vertical="top"/>
      <protection locked="0"/>
    </xf>
    <xf numFmtId="0" fontId="11" fillId="0" borderId="21" xfId="4" applyNumberFormat="1" applyFont="1" applyFill="1" applyBorder="1" applyAlignment="1" applyProtection="1">
      <alignment horizontal="left" vertical="top"/>
      <protection locked="0"/>
    </xf>
    <xf numFmtId="176" fontId="11" fillId="0" borderId="21" xfId="4" applyNumberFormat="1" applyFont="1" applyFill="1" applyBorder="1" applyAlignment="1" applyProtection="1">
      <alignment horizontal="center" vertical="top"/>
      <protection locked="0"/>
    </xf>
    <xf numFmtId="0" fontId="11" fillId="0" borderId="21" xfId="4" applyNumberFormat="1" applyFont="1" applyFill="1" applyBorder="1" applyAlignment="1" applyProtection="1">
      <alignment horizontal="center" vertical="top"/>
      <protection locked="0"/>
    </xf>
    <xf numFmtId="177" fontId="11" fillId="0" borderId="21" xfId="4" applyNumberFormat="1" applyFont="1" applyFill="1" applyBorder="1" applyAlignment="1" applyProtection="1">
      <alignment horizontal="center" vertical="top"/>
      <protection locked="0"/>
    </xf>
    <xf numFmtId="1" fontId="11" fillId="0" borderId="21" xfId="4" applyNumberFormat="1" applyFont="1" applyFill="1" applyBorder="1" applyAlignment="1" applyProtection="1">
      <alignment horizontal="center" vertical="top"/>
      <protection locked="0"/>
    </xf>
    <xf numFmtId="179" fontId="11" fillId="0" borderId="21" xfId="4" applyNumberFormat="1" applyFont="1" applyFill="1" applyBorder="1" applyAlignment="1" applyProtection="1">
      <alignment horizontal="center" vertical="top"/>
      <protection locked="0"/>
    </xf>
    <xf numFmtId="14" fontId="11" fillId="0" borderId="21" xfId="4" applyNumberFormat="1" applyFont="1" applyFill="1" applyBorder="1" applyAlignment="1" applyProtection="1">
      <alignment horizontal="left" vertical="top"/>
      <protection locked="0"/>
    </xf>
    <xf numFmtId="10" fontId="11" fillId="0" borderId="21" xfId="3" applyNumberFormat="1" applyFont="1" applyFill="1" applyBorder="1" applyAlignment="1" applyProtection="1">
      <alignment horizontal="right" vertical="top" wrapText="1"/>
      <protection locked="0"/>
    </xf>
    <xf numFmtId="10" fontId="11" fillId="0" borderId="21" xfId="3" applyNumberFormat="1" applyFont="1" applyFill="1" applyBorder="1" applyAlignment="1" applyProtection="1">
      <alignment horizontal="right" vertical="top"/>
      <protection locked="0"/>
    </xf>
    <xf numFmtId="0" fontId="15" fillId="7" borderId="2" xfId="4" applyFont="1" applyFill="1" applyBorder="1" applyAlignment="1">
      <alignment horizontal="left" wrapText="1"/>
    </xf>
    <xf numFmtId="0" fontId="11" fillId="0" borderId="7" xfId="4" applyFont="1" applyFill="1" applyBorder="1" applyAlignment="1" applyProtection="1">
      <alignment horizontal="left" vertical="top"/>
      <protection locked="0"/>
    </xf>
    <xf numFmtId="14" fontId="11" fillId="0" borderId="7" xfId="4" applyNumberFormat="1" applyFont="1" applyFill="1" applyBorder="1" applyAlignment="1" applyProtection="1">
      <alignment horizontal="center" vertical="top"/>
      <protection locked="0"/>
    </xf>
    <xf numFmtId="0" fontId="11" fillId="0" borderId="7" xfId="4" applyNumberFormat="1" applyFont="1" applyFill="1" applyBorder="1" applyAlignment="1" applyProtection="1">
      <alignment horizontal="left" vertical="top"/>
      <protection locked="0"/>
    </xf>
    <xf numFmtId="176" fontId="11" fillId="0" borderId="7" xfId="4" applyNumberFormat="1" applyFont="1" applyFill="1" applyBorder="1" applyAlignment="1" applyProtection="1">
      <alignment horizontal="center" vertical="top"/>
      <protection locked="0"/>
    </xf>
    <xf numFmtId="0" fontId="11" fillId="0" borderId="7" xfId="4" applyNumberFormat="1" applyFont="1" applyFill="1" applyBorder="1" applyAlignment="1" applyProtection="1">
      <alignment horizontal="center" vertical="top"/>
      <protection locked="0"/>
    </xf>
    <xf numFmtId="177" fontId="11" fillId="0" borderId="7" xfId="4" applyNumberFormat="1" applyFont="1" applyFill="1" applyBorder="1" applyAlignment="1" applyProtection="1">
      <alignment horizontal="center" vertical="top"/>
      <protection locked="0"/>
    </xf>
    <xf numFmtId="1" fontId="11" fillId="0" borderId="7" xfId="4" applyNumberFormat="1" applyFont="1" applyFill="1" applyBorder="1" applyAlignment="1" applyProtection="1">
      <alignment horizontal="center" vertical="top"/>
      <protection locked="0"/>
    </xf>
    <xf numFmtId="179" fontId="11" fillId="0" borderId="7" xfId="4" applyNumberFormat="1" applyFont="1" applyFill="1" applyBorder="1" applyAlignment="1" applyProtection="1">
      <alignment horizontal="center" vertical="top"/>
      <protection locked="0"/>
    </xf>
    <xf numFmtId="14" fontId="11" fillId="0" borderId="7" xfId="4" applyNumberFormat="1" applyFont="1" applyFill="1" applyBorder="1" applyAlignment="1" applyProtection="1">
      <alignment horizontal="left" vertical="top"/>
      <protection locked="0"/>
    </xf>
    <xf numFmtId="10" fontId="11" fillId="0" borderId="7" xfId="6" applyNumberFormat="1" applyFont="1" applyFill="1" applyBorder="1" applyAlignment="1" applyProtection="1">
      <alignment horizontal="right" vertical="top"/>
      <protection locked="0"/>
    </xf>
    <xf numFmtId="0" fontId="11" fillId="0" borderId="23" xfId="4" applyFont="1" applyFill="1" applyBorder="1" applyAlignment="1" applyProtection="1">
      <alignment vertical="top"/>
      <protection locked="0"/>
    </xf>
    <xf numFmtId="0" fontId="11" fillId="0" borderId="23" xfId="4" quotePrefix="1" applyFont="1" applyFill="1" applyBorder="1" applyAlignment="1" applyProtection="1">
      <alignment horizontal="right" vertical="top"/>
      <protection locked="0"/>
    </xf>
    <xf numFmtId="0" fontId="11" fillId="0" borderId="23" xfId="4" applyFont="1" applyFill="1" applyBorder="1" applyAlignment="1" applyProtection="1">
      <alignment horizontal="left" vertical="top"/>
      <protection locked="0"/>
    </xf>
    <xf numFmtId="14" fontId="11" fillId="0" borderId="23" xfId="4" applyNumberFormat="1" applyFont="1" applyFill="1" applyBorder="1" applyAlignment="1" applyProtection="1">
      <alignment horizontal="center" vertical="top"/>
      <protection locked="0"/>
    </xf>
    <xf numFmtId="0" fontId="11" fillId="0" borderId="23" xfId="4" applyNumberFormat="1" applyFont="1" applyFill="1" applyBorder="1" applyAlignment="1" applyProtection="1">
      <alignment horizontal="left" vertical="top"/>
      <protection locked="0"/>
    </xf>
    <xf numFmtId="176" fontId="11" fillId="0" borderId="23" xfId="4" applyNumberFormat="1" applyFont="1" applyFill="1" applyBorder="1" applyAlignment="1" applyProtection="1">
      <alignment horizontal="center" vertical="top"/>
      <protection locked="0"/>
    </xf>
    <xf numFmtId="0" fontId="11" fillId="0" borderId="23" xfId="4" applyNumberFormat="1" applyFont="1" applyFill="1" applyBorder="1" applyAlignment="1" applyProtection="1">
      <alignment horizontal="center" vertical="top"/>
      <protection locked="0"/>
    </xf>
    <xf numFmtId="177" fontId="11" fillId="0" borderId="23" xfId="4" applyNumberFormat="1" applyFont="1" applyFill="1" applyBorder="1" applyAlignment="1" applyProtection="1">
      <alignment horizontal="center" vertical="top"/>
      <protection locked="0"/>
    </xf>
    <xf numFmtId="1" fontId="11" fillId="0" borderId="23" xfId="4" applyNumberFormat="1" applyFont="1" applyFill="1" applyBorder="1" applyAlignment="1" applyProtection="1">
      <alignment horizontal="center" vertical="top"/>
      <protection locked="0"/>
    </xf>
    <xf numFmtId="179" fontId="11" fillId="0" borderId="23" xfId="4" applyNumberFormat="1" applyFont="1" applyFill="1" applyBorder="1" applyAlignment="1" applyProtection="1">
      <alignment horizontal="center" vertical="top"/>
      <protection locked="0"/>
    </xf>
    <xf numFmtId="14" fontId="11" fillId="0" borderId="23" xfId="4" applyNumberFormat="1" applyFont="1" applyFill="1" applyBorder="1" applyAlignment="1" applyProtection="1">
      <alignment horizontal="left" vertical="top"/>
      <protection locked="0"/>
    </xf>
    <xf numFmtId="10" fontId="11" fillId="0" borderId="23" xfId="6" applyNumberFormat="1" applyFont="1" applyFill="1" applyBorder="1" applyAlignment="1" applyProtection="1">
      <alignment horizontal="right" vertical="top" wrapText="1"/>
      <protection locked="0"/>
    </xf>
    <xf numFmtId="10" fontId="11" fillId="0" borderId="23" xfId="6" applyNumberFormat="1" applyFont="1" applyFill="1" applyBorder="1" applyAlignment="1" applyProtection="1">
      <alignment horizontal="right" vertical="top"/>
      <protection locked="0"/>
    </xf>
    <xf numFmtId="0" fontId="41" fillId="0" borderId="7" xfId="4" applyFont="1" applyFill="1" applyBorder="1" applyAlignment="1" applyProtection="1">
      <alignment horizontal="left" vertical="top"/>
      <protection locked="0"/>
    </xf>
    <xf numFmtId="0" fontId="11" fillId="0" borderId="7" xfId="4" applyFont="1" applyFill="1" applyBorder="1" applyAlignment="1" applyProtection="1">
      <alignment horizontal="left" vertical="center"/>
      <protection locked="0"/>
    </xf>
    <xf numFmtId="0" fontId="42" fillId="0" borderId="7" xfId="4" applyFont="1" applyFill="1" applyBorder="1" applyAlignment="1" applyProtection="1">
      <alignment horizontal="left" vertical="top"/>
      <protection locked="0"/>
    </xf>
    <xf numFmtId="0" fontId="43" fillId="0" borderId="7" xfId="4" applyFont="1" applyFill="1" applyBorder="1" applyAlignment="1" applyProtection="1">
      <alignment horizontal="left" vertical="top"/>
      <protection locked="0"/>
    </xf>
    <xf numFmtId="0" fontId="44" fillId="0" borderId="7" xfId="4" applyFont="1" applyFill="1" applyBorder="1" applyAlignment="1" applyProtection="1">
      <alignment horizontal="left" vertical="top"/>
      <protection locked="0"/>
    </xf>
    <xf numFmtId="0" fontId="4" fillId="11" borderId="0" xfId="1" applyFont="1" applyFill="1" applyBorder="1" applyAlignment="1">
      <alignment horizontal="left" vertical="center"/>
    </xf>
    <xf numFmtId="0" fontId="49" fillId="11" borderId="0" xfId="1" applyFont="1" applyFill="1" applyBorder="1" applyAlignment="1">
      <alignment horizontal="left" vertical="center"/>
    </xf>
    <xf numFmtId="0" fontId="11" fillId="0" borderId="24" xfId="4" applyFont="1" applyFill="1" applyBorder="1" applyAlignment="1" applyProtection="1">
      <alignment horizontal="left" vertical="center"/>
      <protection locked="0"/>
    </xf>
    <xf numFmtId="0" fontId="15" fillId="0" borderId="0" xfId="4" applyFont="1" applyBorder="1"/>
    <xf numFmtId="0" fontId="15" fillId="7" borderId="3" xfId="4" applyFont="1" applyFill="1" applyBorder="1" applyAlignment="1">
      <alignment horizontal="left" wrapText="1"/>
    </xf>
    <xf numFmtId="14" fontId="15" fillId="0" borderId="15" xfId="4" applyNumberFormat="1" applyFont="1" applyBorder="1"/>
    <xf numFmtId="0" fontId="15" fillId="0" borderId="15" xfId="4" applyFont="1" applyBorder="1"/>
    <xf numFmtId="14" fontId="15" fillId="0" borderId="25" xfId="4" applyNumberFormat="1" applyFont="1" applyBorder="1"/>
    <xf numFmtId="0" fontId="15" fillId="0" borderId="25" xfId="4" applyFont="1" applyBorder="1"/>
    <xf numFmtId="10" fontId="15" fillId="0" borderId="15" xfId="6" applyNumberFormat="1" applyFont="1" applyBorder="1" applyAlignment="1"/>
    <xf numFmtId="10" fontId="15" fillId="0" borderId="25" xfId="6" applyNumberFormat="1" applyFont="1" applyBorder="1" applyAlignment="1"/>
    <xf numFmtId="0" fontId="11" fillId="0" borderId="26" xfId="4" applyFont="1" applyFill="1" applyBorder="1" applyAlignment="1" applyProtection="1">
      <alignment horizontal="left" vertical="center"/>
      <protection locked="0"/>
    </xf>
    <xf numFmtId="0" fontId="47" fillId="11" borderId="0" xfId="2" applyFont="1" applyFill="1" applyBorder="1" applyAlignment="1">
      <alignment horizontal="left" vertical="center"/>
    </xf>
    <xf numFmtId="10" fontId="45" fillId="10" borderId="3" xfId="3" applyNumberFormat="1" applyFont="1" applyFill="1" applyBorder="1" applyAlignment="1" applyProtection="1">
      <alignment horizontal="center" vertical="center" wrapText="1"/>
    </xf>
    <xf numFmtId="10" fontId="10" fillId="10" borderId="3" xfId="3" applyNumberFormat="1" applyFont="1" applyFill="1" applyBorder="1" applyAlignment="1" applyProtection="1">
      <alignment horizontal="center" vertical="center" wrapText="1"/>
    </xf>
    <xf numFmtId="14" fontId="10" fillId="10" borderId="2" xfId="4" applyNumberFormat="1" applyFont="1" applyFill="1" applyBorder="1" applyAlignment="1" applyProtection="1">
      <alignment horizontal="center" vertical="center" wrapText="1"/>
    </xf>
    <xf numFmtId="14" fontId="10" fillId="10" borderId="2" xfId="4" applyNumberFormat="1" applyFont="1" applyFill="1" applyBorder="1" applyAlignment="1" applyProtection="1">
      <alignment horizontal="center" vertical="center"/>
    </xf>
    <xf numFmtId="177" fontId="10" fillId="5" borderId="2" xfId="4" applyNumberFormat="1" applyFont="1" applyFill="1" applyBorder="1" applyAlignment="1" applyProtection="1">
      <alignment horizontal="center" vertical="center" wrapText="1"/>
    </xf>
    <xf numFmtId="1" fontId="10" fillId="5" borderId="2" xfId="4" applyNumberFormat="1" applyFont="1" applyFill="1" applyBorder="1" applyAlignment="1" applyProtection="1">
      <alignment horizontal="center" vertical="center" wrapText="1"/>
    </xf>
    <xf numFmtId="176" fontId="10" fillId="10" borderId="2" xfId="4" applyNumberFormat="1" applyFont="1" applyFill="1" applyBorder="1" applyAlignment="1" applyProtection="1">
      <alignment horizontal="center" vertical="center"/>
    </xf>
    <xf numFmtId="10" fontId="45" fillId="5" borderId="2" xfId="3" applyNumberFormat="1" applyFont="1" applyFill="1" applyBorder="1" applyAlignment="1" applyProtection="1">
      <alignment horizontal="center" vertical="center" wrapText="1"/>
    </xf>
    <xf numFmtId="10" fontId="10" fillId="5" borderId="2" xfId="3" applyNumberFormat="1" applyFont="1" applyFill="1" applyBorder="1" applyAlignment="1" applyProtection="1">
      <alignment horizontal="center" vertical="center" wrapText="1"/>
    </xf>
    <xf numFmtId="178" fontId="10" fillId="5" borderId="5" xfId="1" applyNumberFormat="1" applyFont="1" applyFill="1" applyBorder="1" applyAlignment="1">
      <alignment horizontal="left" vertical="center"/>
    </xf>
    <xf numFmtId="178" fontId="10" fillId="5" borderId="4" xfId="1" applyNumberFormat="1" applyFont="1" applyFill="1" applyBorder="1" applyAlignment="1">
      <alignment horizontal="left" vertical="center"/>
    </xf>
    <xf numFmtId="178" fontId="10" fillId="5" borderId="6" xfId="1" applyNumberFormat="1" applyFont="1" applyFill="1" applyBorder="1" applyAlignment="1">
      <alignment horizontal="left" vertical="center"/>
    </xf>
    <xf numFmtId="14" fontId="29" fillId="11" borderId="0" xfId="3" applyNumberFormat="1" applyFont="1" applyFill="1" applyBorder="1" applyAlignment="1">
      <alignment horizontal="center" vertical="center" wrapText="1"/>
    </xf>
    <xf numFmtId="14" fontId="45" fillId="10" borderId="2" xfId="4" applyNumberFormat="1" applyFont="1" applyFill="1" applyBorder="1" applyAlignment="1" applyProtection="1">
      <alignment horizontal="center" vertical="center"/>
    </xf>
    <xf numFmtId="0" fontId="10" fillId="10" borderId="2" xfId="4" applyFont="1" applyFill="1" applyBorder="1" applyAlignment="1" applyProtection="1">
      <alignment horizontal="center" vertical="center"/>
    </xf>
    <xf numFmtId="0" fontId="10" fillId="10" borderId="2" xfId="4" applyNumberFormat="1" applyFont="1" applyFill="1" applyBorder="1" applyAlignment="1" applyProtection="1">
      <alignment horizontal="center" vertical="center"/>
    </xf>
    <xf numFmtId="176" fontId="46" fillId="5" borderId="2" xfId="4" applyNumberFormat="1" applyFont="1" applyFill="1" applyBorder="1" applyAlignment="1" applyProtection="1">
      <alignment horizontal="center" vertical="center" wrapText="1"/>
    </xf>
    <xf numFmtId="176" fontId="10" fillId="5" borderId="2" xfId="4" applyNumberFormat="1" applyFont="1" applyFill="1" applyBorder="1" applyAlignment="1" applyProtection="1">
      <alignment horizontal="center" vertical="center" wrapText="1"/>
    </xf>
    <xf numFmtId="0" fontId="10" fillId="10" borderId="1" xfId="4" applyFont="1" applyFill="1" applyBorder="1" applyAlignment="1" applyProtection="1">
      <alignment horizontal="center" vertical="center" wrapText="1"/>
    </xf>
    <xf numFmtId="0" fontId="10" fillId="10" borderId="0" xfId="4" applyFont="1" applyFill="1" applyBorder="1" applyAlignment="1" applyProtection="1">
      <alignment horizontal="center" vertical="center" wrapText="1"/>
    </xf>
    <xf numFmtId="0" fontId="10" fillId="10" borderId="22" xfId="4" applyFont="1" applyFill="1" applyBorder="1" applyAlignment="1" applyProtection="1">
      <alignment horizontal="center" vertical="center"/>
    </xf>
    <xf numFmtId="0" fontId="10" fillId="10" borderId="2" xfId="4" applyFont="1" applyFill="1" applyBorder="1" applyAlignment="1" applyProtection="1">
      <alignment horizontal="center" vertical="center" wrapText="1"/>
    </xf>
    <xf numFmtId="0" fontId="10" fillId="5" borderId="2" xfId="4" applyFont="1" applyFill="1" applyBorder="1" applyAlignment="1" applyProtection="1">
      <alignment horizontal="center" vertical="center"/>
    </xf>
    <xf numFmtId="0" fontId="45" fillId="10" borderId="3" xfId="4" applyFont="1" applyFill="1" applyBorder="1" applyAlignment="1" applyProtection="1">
      <alignment horizontal="center" vertical="center"/>
    </xf>
    <xf numFmtId="0" fontId="10" fillId="10" borderId="0" xfId="4" applyFont="1" applyFill="1" applyBorder="1" applyAlignment="1" applyProtection="1">
      <alignment horizontal="center" vertical="center"/>
    </xf>
    <xf numFmtId="0" fontId="10" fillId="10" borderId="1" xfId="4" applyFont="1" applyFill="1" applyBorder="1" applyAlignment="1" applyProtection="1">
      <alignment horizontal="center" vertical="center"/>
    </xf>
    <xf numFmtId="0" fontId="10" fillId="10" borderId="3" xfId="4" applyFont="1" applyFill="1" applyBorder="1" applyAlignment="1" applyProtection="1">
      <alignment horizontal="center" vertical="center"/>
    </xf>
    <xf numFmtId="0" fontId="16" fillId="0" borderId="0" xfId="4" applyFont="1" applyFill="1" applyBorder="1" applyAlignment="1" applyProtection="1">
      <alignment horizontal="left" vertical="center" wrapText="1"/>
      <protection locked="0"/>
    </xf>
    <xf numFmtId="0" fontId="16" fillId="0" borderId="0" xfId="4" applyFont="1" applyFill="1" applyBorder="1" applyAlignment="1" applyProtection="1">
      <alignment horizontal="left" vertical="center"/>
      <protection locked="0"/>
    </xf>
    <xf numFmtId="0" fontId="13" fillId="0" borderId="0" xfId="1" applyFont="1" applyFill="1" applyBorder="1" applyAlignment="1">
      <alignment horizontal="left" vertical="center"/>
    </xf>
    <xf numFmtId="0" fontId="9" fillId="0" borderId="0" xfId="1" applyFont="1" applyFill="1" applyBorder="1" applyAlignment="1">
      <alignment horizontal="left" vertical="center"/>
    </xf>
    <xf numFmtId="14" fontId="17" fillId="3" borderId="0" xfId="4" applyNumberFormat="1" applyFont="1" applyFill="1" applyBorder="1" applyAlignment="1" applyProtection="1">
      <alignment horizontal="right" vertical="center"/>
    </xf>
    <xf numFmtId="14" fontId="15" fillId="3" borderId="0" xfId="4" applyNumberFormat="1" applyFont="1" applyFill="1" applyBorder="1" applyAlignment="1" applyProtection="1">
      <alignment horizontal="left" vertical="top" wrapText="1"/>
    </xf>
    <xf numFmtId="14" fontId="20" fillId="8" borderId="19" xfId="4" applyNumberFormat="1" applyFont="1" applyFill="1" applyBorder="1" applyAlignment="1" applyProtection="1">
      <alignment horizontal="center" vertical="center"/>
      <protection locked="0"/>
    </xf>
    <xf numFmtId="0" fontId="42" fillId="0" borderId="23" xfId="4" applyFont="1" applyFill="1" applyBorder="1" applyAlignment="1" applyProtection="1">
      <alignment horizontal="left" vertical="top"/>
      <protection locked="0"/>
    </xf>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11">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0" defaultTableStyle="TableStyleMedium2" defaultPivotStyle="PivotStyleLight16"/>
  <colors>
    <mruColors>
      <color rgb="FFFF8800"/>
      <color rgb="FFFF6600"/>
      <color rgb="FFFF9933"/>
      <color rgb="FFFF3300"/>
      <color rgb="FFE2ECFF"/>
      <color rgb="FF3399FF"/>
      <color rgb="FFF2F2FF"/>
      <color rgb="FFF3FFF9"/>
      <color rgb="FFE5FFF2"/>
      <color rgb="FFD9FF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AnalysisReport!$F$6</c:f>
              <c:strCache>
                <c:ptCount val="1"/>
                <c:pt idx="0">
                  <c:v>진척율</c:v>
                </c:pt>
              </c:strCache>
            </c:strRef>
          </c:tx>
          <c:cat>
            <c:numRef>
              <c:f>AnalysisReport!$C$7:$C$10</c:f>
              <c:numCache>
                <c:formatCode>m/d/yyyy</c:formatCode>
                <c:ptCount val="4"/>
                <c:pt idx="0">
                  <c:v>45081</c:v>
                </c:pt>
                <c:pt idx="1">
                  <c:v>45088</c:v>
                </c:pt>
                <c:pt idx="2">
                  <c:v>45095</c:v>
                </c:pt>
                <c:pt idx="3">
                  <c:v>45102</c:v>
                </c:pt>
              </c:numCache>
            </c:numRef>
          </c:cat>
          <c:val>
            <c:numRef>
              <c:f>AnalysisReport!$F$7:$F$10</c:f>
              <c:numCache>
                <c:formatCode>0.00%</c:formatCode>
                <c:ptCount val="4"/>
                <c:pt idx="0">
                  <c:v>0.36666666666666664</c:v>
                </c:pt>
                <c:pt idx="1">
                  <c:v>0.8</c:v>
                </c:pt>
                <c:pt idx="2">
                  <c:v>0.96666666666666667</c:v>
                </c:pt>
                <c:pt idx="3">
                  <c:v>1</c:v>
                </c:pt>
              </c:numCache>
            </c:numRef>
          </c:val>
          <c:smooth val="0"/>
          <c:extLst>
            <c:ext xmlns:c16="http://schemas.microsoft.com/office/drawing/2014/chart" uri="{C3380CC4-5D6E-409C-BE32-E72D297353CC}">
              <c16:uniqueId val="{00000000-BF30-4AD5-AE4B-AA92CCA9D302}"/>
            </c:ext>
          </c:extLst>
        </c:ser>
        <c:dLbls>
          <c:showLegendKey val="0"/>
          <c:showVal val="0"/>
          <c:showCatName val="0"/>
          <c:showSerName val="0"/>
          <c:showPercent val="0"/>
          <c:showBubbleSize val="0"/>
        </c:dLbls>
        <c:marker val="1"/>
        <c:smooth val="0"/>
        <c:axId val="1236078399"/>
        <c:axId val="1236078815"/>
      </c:lineChart>
      <c:dateAx>
        <c:axId val="1236078399"/>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1236078815"/>
        <c:crosses val="autoZero"/>
        <c:auto val="1"/>
        <c:lblOffset val="100"/>
        <c:baseTimeUnit val="days"/>
      </c:dateAx>
      <c:valAx>
        <c:axId val="1236078815"/>
        <c:scaling>
          <c:orientation val="minMax"/>
        </c:scaling>
        <c:delete val="0"/>
        <c:axPos val="l"/>
        <c:majorGridlines/>
        <c:numFmt formatCode="0.00%" sourceLinked="1"/>
        <c:majorTickMark val="out"/>
        <c:minorTickMark val="none"/>
        <c:tickLblPos val="nextTo"/>
        <c:crossAx val="12360783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31</xdr:col>
      <xdr:colOff>30208</xdr:colOff>
      <xdr:row>153</xdr:row>
      <xdr:rowOff>95250</xdr:rowOff>
    </xdr:from>
    <xdr:to>
      <xdr:col>31</xdr:col>
      <xdr:colOff>92256</xdr:colOff>
      <xdr:row>154</xdr:row>
      <xdr:rowOff>57150</xdr:rowOff>
    </xdr:to>
    <xdr:sp macro="" textlink="">
      <xdr:nvSpPr>
        <xdr:cNvPr id="6574" name="직사각형 6573">
          <a:extLst>
            <a:ext uri="{FF2B5EF4-FFF2-40B4-BE49-F238E27FC236}">
              <a16:creationId xmlns:a16="http://schemas.microsoft.com/office/drawing/2014/main" id="{10C16F34-79F9-4D6F-A104-D377A226D92B}"/>
            </a:ext>
          </a:extLst>
        </xdr:cNvPr>
        <xdr:cNvSpPr/>
      </xdr:nvSpPr>
      <xdr:spPr>
        <a:xfrm>
          <a:off x="6611983" y="2398395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30208</xdr:colOff>
      <xdr:row>154</xdr:row>
      <xdr:rowOff>0</xdr:rowOff>
    </xdr:from>
    <xdr:to>
      <xdr:col>31</xdr:col>
      <xdr:colOff>30208</xdr:colOff>
      <xdr:row>154</xdr:row>
      <xdr:rowOff>0</xdr:rowOff>
    </xdr:to>
    <xdr:cxnSp macro="">
      <xdr:nvCxnSpPr>
        <xdr:cNvPr id="6575" name="직선 화살표 연결선 6574">
          <a:extLst>
            <a:ext uri="{FF2B5EF4-FFF2-40B4-BE49-F238E27FC236}">
              <a16:creationId xmlns:a16="http://schemas.microsoft.com/office/drawing/2014/main" id="{5FE7DAD0-35F1-4A25-AC5B-01070D51511F}"/>
            </a:ext>
          </a:extLst>
        </xdr:cNvPr>
        <xdr:cNvCxnSpPr/>
      </xdr:nvCxnSpPr>
      <xdr:spPr>
        <a:xfrm>
          <a:off x="6611983" y="240411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30208</xdr:colOff>
      <xdr:row>152</xdr:row>
      <xdr:rowOff>114300</xdr:rowOff>
    </xdr:from>
    <xdr:to>
      <xdr:col>31</xdr:col>
      <xdr:colOff>92256</xdr:colOff>
      <xdr:row>153</xdr:row>
      <xdr:rowOff>57150</xdr:rowOff>
    </xdr:to>
    <xdr:sp macro="" textlink="">
      <xdr:nvSpPr>
        <xdr:cNvPr id="6576" name="직사각형 6575">
          <a:extLst>
            <a:ext uri="{FF2B5EF4-FFF2-40B4-BE49-F238E27FC236}">
              <a16:creationId xmlns:a16="http://schemas.microsoft.com/office/drawing/2014/main" id="{2B47363A-8249-4BB6-99BD-85C49F3C9DE0}"/>
            </a:ext>
          </a:extLst>
        </xdr:cNvPr>
        <xdr:cNvSpPr/>
      </xdr:nvSpPr>
      <xdr:spPr>
        <a:xfrm>
          <a:off x="6611983" y="23831550"/>
          <a:ext cx="6204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30208</xdr:colOff>
      <xdr:row>153</xdr:row>
      <xdr:rowOff>0</xdr:rowOff>
    </xdr:from>
    <xdr:to>
      <xdr:col>31</xdr:col>
      <xdr:colOff>30208</xdr:colOff>
      <xdr:row>153</xdr:row>
      <xdr:rowOff>0</xdr:rowOff>
    </xdr:to>
    <xdr:cxnSp macro="">
      <xdr:nvCxnSpPr>
        <xdr:cNvPr id="6577" name="직선 화살표 연결선 6576">
          <a:extLst>
            <a:ext uri="{FF2B5EF4-FFF2-40B4-BE49-F238E27FC236}">
              <a16:creationId xmlns:a16="http://schemas.microsoft.com/office/drawing/2014/main" id="{4C9DA4FB-3599-4B26-B057-18592570D1D6}"/>
            </a:ext>
          </a:extLst>
        </xdr:cNvPr>
        <xdr:cNvCxnSpPr/>
      </xdr:nvCxnSpPr>
      <xdr:spPr>
        <a:xfrm>
          <a:off x="6611983" y="238887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39733</xdr:colOff>
      <xdr:row>150</xdr:row>
      <xdr:rowOff>99061</xdr:rowOff>
    </xdr:from>
    <xdr:to>
      <xdr:col>36</xdr:col>
      <xdr:colOff>60416</xdr:colOff>
      <xdr:row>151</xdr:row>
      <xdr:rowOff>60961</xdr:rowOff>
    </xdr:to>
    <xdr:sp macro="" textlink="">
      <xdr:nvSpPr>
        <xdr:cNvPr id="6578" name="직사각형 6577">
          <a:extLst>
            <a:ext uri="{FF2B5EF4-FFF2-40B4-BE49-F238E27FC236}">
              <a16:creationId xmlns:a16="http://schemas.microsoft.com/office/drawing/2014/main" id="{A575C37C-D799-4720-BFB7-517FCA03F26F}"/>
            </a:ext>
          </a:extLst>
        </xdr:cNvPr>
        <xdr:cNvSpPr/>
      </xdr:nvSpPr>
      <xdr:spPr>
        <a:xfrm>
          <a:off x="7335883" y="23511511"/>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39733</xdr:colOff>
      <xdr:row>151</xdr:row>
      <xdr:rowOff>3811</xdr:rowOff>
    </xdr:from>
    <xdr:to>
      <xdr:col>36</xdr:col>
      <xdr:colOff>39733</xdr:colOff>
      <xdr:row>151</xdr:row>
      <xdr:rowOff>3811</xdr:rowOff>
    </xdr:to>
    <xdr:cxnSp macro="">
      <xdr:nvCxnSpPr>
        <xdr:cNvPr id="6579" name="직선 화살표 연결선 6578">
          <a:extLst>
            <a:ext uri="{FF2B5EF4-FFF2-40B4-BE49-F238E27FC236}">
              <a16:creationId xmlns:a16="http://schemas.microsoft.com/office/drawing/2014/main" id="{D74DD43A-8019-4C88-B1D7-94EC7771B3A8}"/>
            </a:ext>
          </a:extLst>
        </xdr:cNvPr>
        <xdr:cNvCxnSpPr/>
      </xdr:nvCxnSpPr>
      <xdr:spPr>
        <a:xfrm>
          <a:off x="7335883" y="23568661"/>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13335</xdr:colOff>
      <xdr:row>148</xdr:row>
      <xdr:rowOff>118111</xdr:rowOff>
    </xdr:from>
    <xdr:to>
      <xdr:col>33</xdr:col>
      <xdr:colOff>75384</xdr:colOff>
      <xdr:row>149</xdr:row>
      <xdr:rowOff>60961</xdr:rowOff>
    </xdr:to>
    <xdr:sp macro="" textlink="">
      <xdr:nvSpPr>
        <xdr:cNvPr id="6580" name="직사각형 6579">
          <a:extLst>
            <a:ext uri="{FF2B5EF4-FFF2-40B4-BE49-F238E27FC236}">
              <a16:creationId xmlns:a16="http://schemas.microsoft.com/office/drawing/2014/main" id="{7EE1DF11-CFD2-4291-BAFD-22283BF026B3}"/>
            </a:ext>
          </a:extLst>
        </xdr:cNvPr>
        <xdr:cNvSpPr/>
      </xdr:nvSpPr>
      <xdr:spPr>
        <a:xfrm>
          <a:off x="6880860" y="23206711"/>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13335</xdr:colOff>
      <xdr:row>149</xdr:row>
      <xdr:rowOff>3811</xdr:rowOff>
    </xdr:from>
    <xdr:to>
      <xdr:col>33</xdr:col>
      <xdr:colOff>13335</xdr:colOff>
      <xdr:row>149</xdr:row>
      <xdr:rowOff>3811</xdr:rowOff>
    </xdr:to>
    <xdr:cxnSp macro="">
      <xdr:nvCxnSpPr>
        <xdr:cNvPr id="6581" name="직선 화살표 연결선 6580">
          <a:extLst>
            <a:ext uri="{FF2B5EF4-FFF2-40B4-BE49-F238E27FC236}">
              <a16:creationId xmlns:a16="http://schemas.microsoft.com/office/drawing/2014/main" id="{16F9CABD-CF45-45EA-89BD-6FD02140F3BC}"/>
            </a:ext>
          </a:extLst>
        </xdr:cNvPr>
        <xdr:cNvCxnSpPr/>
      </xdr:nvCxnSpPr>
      <xdr:spPr>
        <a:xfrm>
          <a:off x="6880860" y="23263861"/>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11430</xdr:colOff>
      <xdr:row>147</xdr:row>
      <xdr:rowOff>110489</xdr:rowOff>
    </xdr:from>
    <xdr:to>
      <xdr:col>32</xdr:col>
      <xdr:colOff>114844</xdr:colOff>
      <xdr:row>148</xdr:row>
      <xdr:rowOff>72389</xdr:rowOff>
    </xdr:to>
    <xdr:sp macro="" textlink="">
      <xdr:nvSpPr>
        <xdr:cNvPr id="6582" name="직사각형 6581">
          <a:extLst>
            <a:ext uri="{FF2B5EF4-FFF2-40B4-BE49-F238E27FC236}">
              <a16:creationId xmlns:a16="http://schemas.microsoft.com/office/drawing/2014/main" id="{F1681058-DC0B-41C4-BAEA-364D44525448}"/>
            </a:ext>
          </a:extLst>
        </xdr:cNvPr>
        <xdr:cNvSpPr/>
      </xdr:nvSpPr>
      <xdr:spPr>
        <a:xfrm>
          <a:off x="6736080" y="23046689"/>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11430</xdr:colOff>
      <xdr:row>148</xdr:row>
      <xdr:rowOff>15239</xdr:rowOff>
    </xdr:from>
    <xdr:to>
      <xdr:col>32</xdr:col>
      <xdr:colOff>11430</xdr:colOff>
      <xdr:row>148</xdr:row>
      <xdr:rowOff>15239</xdr:rowOff>
    </xdr:to>
    <xdr:cxnSp macro="">
      <xdr:nvCxnSpPr>
        <xdr:cNvPr id="6583" name="직선 화살표 연결선 6582">
          <a:extLst>
            <a:ext uri="{FF2B5EF4-FFF2-40B4-BE49-F238E27FC236}">
              <a16:creationId xmlns:a16="http://schemas.microsoft.com/office/drawing/2014/main" id="{BDD11858-2DF2-4304-8462-6EFED3610B01}"/>
            </a:ext>
          </a:extLst>
        </xdr:cNvPr>
        <xdr:cNvCxnSpPr/>
      </xdr:nvCxnSpPr>
      <xdr:spPr>
        <a:xfrm>
          <a:off x="6736080" y="231038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11430</xdr:colOff>
      <xdr:row>146</xdr:row>
      <xdr:rowOff>102870</xdr:rowOff>
    </xdr:from>
    <xdr:to>
      <xdr:col>32</xdr:col>
      <xdr:colOff>114844</xdr:colOff>
      <xdr:row>147</xdr:row>
      <xdr:rowOff>64770</xdr:rowOff>
    </xdr:to>
    <xdr:sp macro="" textlink="">
      <xdr:nvSpPr>
        <xdr:cNvPr id="6584" name="직사각형 6583">
          <a:extLst>
            <a:ext uri="{FF2B5EF4-FFF2-40B4-BE49-F238E27FC236}">
              <a16:creationId xmlns:a16="http://schemas.microsoft.com/office/drawing/2014/main" id="{E5F969DB-68F5-47C9-B2B8-8AA71CE53E40}"/>
            </a:ext>
          </a:extLst>
        </xdr:cNvPr>
        <xdr:cNvSpPr/>
      </xdr:nvSpPr>
      <xdr:spPr>
        <a:xfrm>
          <a:off x="6736080" y="2288667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11430</xdr:colOff>
      <xdr:row>147</xdr:row>
      <xdr:rowOff>7620</xdr:rowOff>
    </xdr:from>
    <xdr:to>
      <xdr:col>32</xdr:col>
      <xdr:colOff>11430</xdr:colOff>
      <xdr:row>147</xdr:row>
      <xdr:rowOff>7620</xdr:rowOff>
    </xdr:to>
    <xdr:cxnSp macro="">
      <xdr:nvCxnSpPr>
        <xdr:cNvPr id="6585" name="직선 화살표 연결선 6584">
          <a:extLst>
            <a:ext uri="{FF2B5EF4-FFF2-40B4-BE49-F238E27FC236}">
              <a16:creationId xmlns:a16="http://schemas.microsoft.com/office/drawing/2014/main" id="{7C6491F7-4A20-4802-AD62-3900A5791F36}"/>
            </a:ext>
          </a:extLst>
        </xdr:cNvPr>
        <xdr:cNvCxnSpPr/>
      </xdr:nvCxnSpPr>
      <xdr:spPr>
        <a:xfrm>
          <a:off x="6736080" y="229438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9525</xdr:colOff>
      <xdr:row>144</xdr:row>
      <xdr:rowOff>102870</xdr:rowOff>
    </xdr:from>
    <xdr:to>
      <xdr:col>31</xdr:col>
      <xdr:colOff>112940</xdr:colOff>
      <xdr:row>145</xdr:row>
      <xdr:rowOff>64770</xdr:rowOff>
    </xdr:to>
    <xdr:sp macro="" textlink="">
      <xdr:nvSpPr>
        <xdr:cNvPr id="6586" name="직사각형 6585">
          <a:extLst>
            <a:ext uri="{FF2B5EF4-FFF2-40B4-BE49-F238E27FC236}">
              <a16:creationId xmlns:a16="http://schemas.microsoft.com/office/drawing/2014/main" id="{43CD21E9-81E8-485D-ADB0-4CB84C1B3FD4}"/>
            </a:ext>
          </a:extLst>
        </xdr:cNvPr>
        <xdr:cNvSpPr/>
      </xdr:nvSpPr>
      <xdr:spPr>
        <a:xfrm>
          <a:off x="6591300" y="22581870"/>
          <a:ext cx="10341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9525</xdr:colOff>
      <xdr:row>145</xdr:row>
      <xdr:rowOff>7620</xdr:rowOff>
    </xdr:from>
    <xdr:to>
      <xdr:col>31</xdr:col>
      <xdr:colOff>9525</xdr:colOff>
      <xdr:row>145</xdr:row>
      <xdr:rowOff>7620</xdr:rowOff>
    </xdr:to>
    <xdr:cxnSp macro="">
      <xdr:nvCxnSpPr>
        <xdr:cNvPr id="6587" name="직선 화살표 연결선 6586">
          <a:extLst>
            <a:ext uri="{FF2B5EF4-FFF2-40B4-BE49-F238E27FC236}">
              <a16:creationId xmlns:a16="http://schemas.microsoft.com/office/drawing/2014/main" id="{7B7662B5-B918-46AE-9F32-DFDDFFF1101E}"/>
            </a:ext>
          </a:extLst>
        </xdr:cNvPr>
        <xdr:cNvCxnSpPr/>
      </xdr:nvCxnSpPr>
      <xdr:spPr>
        <a:xfrm>
          <a:off x="6591300" y="226390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9525</xdr:colOff>
      <xdr:row>143</xdr:row>
      <xdr:rowOff>121920</xdr:rowOff>
    </xdr:from>
    <xdr:to>
      <xdr:col>36</xdr:col>
      <xdr:colOff>60416</xdr:colOff>
      <xdr:row>144</xdr:row>
      <xdr:rowOff>64770</xdr:rowOff>
    </xdr:to>
    <xdr:sp macro="" textlink="">
      <xdr:nvSpPr>
        <xdr:cNvPr id="6588" name="직사각형 6587">
          <a:extLst>
            <a:ext uri="{FF2B5EF4-FFF2-40B4-BE49-F238E27FC236}">
              <a16:creationId xmlns:a16="http://schemas.microsoft.com/office/drawing/2014/main" id="{B132EE03-5669-479C-8CA7-4EA1669F0484}"/>
            </a:ext>
          </a:extLst>
        </xdr:cNvPr>
        <xdr:cNvSpPr/>
      </xdr:nvSpPr>
      <xdr:spPr>
        <a:xfrm>
          <a:off x="6591300" y="22429470"/>
          <a:ext cx="76526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9525</xdr:colOff>
      <xdr:row>144</xdr:row>
      <xdr:rowOff>7620</xdr:rowOff>
    </xdr:from>
    <xdr:to>
      <xdr:col>31</xdr:col>
      <xdr:colOff>9525</xdr:colOff>
      <xdr:row>144</xdr:row>
      <xdr:rowOff>7620</xdr:rowOff>
    </xdr:to>
    <xdr:cxnSp macro="">
      <xdr:nvCxnSpPr>
        <xdr:cNvPr id="6589" name="직선 화살표 연결선 6588">
          <a:extLst>
            <a:ext uri="{FF2B5EF4-FFF2-40B4-BE49-F238E27FC236}">
              <a16:creationId xmlns:a16="http://schemas.microsoft.com/office/drawing/2014/main" id="{5EA6DA87-D8D3-4E35-A711-2DDE642CF188}"/>
            </a:ext>
          </a:extLst>
        </xdr:cNvPr>
        <xdr:cNvCxnSpPr/>
      </xdr:nvCxnSpPr>
      <xdr:spPr>
        <a:xfrm>
          <a:off x="6591300" y="224866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28303</xdr:colOff>
      <xdr:row>138</xdr:row>
      <xdr:rowOff>118109</xdr:rowOff>
    </xdr:from>
    <xdr:to>
      <xdr:col>32</xdr:col>
      <xdr:colOff>52796</xdr:colOff>
      <xdr:row>139</xdr:row>
      <xdr:rowOff>80009</xdr:rowOff>
    </xdr:to>
    <xdr:sp macro="" textlink="">
      <xdr:nvSpPr>
        <xdr:cNvPr id="6590" name="직사각형 6589">
          <a:extLst>
            <a:ext uri="{FF2B5EF4-FFF2-40B4-BE49-F238E27FC236}">
              <a16:creationId xmlns:a16="http://schemas.microsoft.com/office/drawing/2014/main" id="{85F5EB55-36A4-40A3-9DE6-6BFA3219B8AD}"/>
            </a:ext>
          </a:extLst>
        </xdr:cNvPr>
        <xdr:cNvSpPr/>
      </xdr:nvSpPr>
      <xdr:spPr>
        <a:xfrm>
          <a:off x="6467203" y="21644609"/>
          <a:ext cx="31024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28303</xdr:colOff>
      <xdr:row>139</xdr:row>
      <xdr:rowOff>22859</xdr:rowOff>
    </xdr:from>
    <xdr:to>
      <xdr:col>30</xdr:col>
      <xdr:colOff>28303</xdr:colOff>
      <xdr:row>139</xdr:row>
      <xdr:rowOff>22859</xdr:rowOff>
    </xdr:to>
    <xdr:cxnSp macro="">
      <xdr:nvCxnSpPr>
        <xdr:cNvPr id="6591" name="직선 화살표 연결선 6590">
          <a:extLst>
            <a:ext uri="{FF2B5EF4-FFF2-40B4-BE49-F238E27FC236}">
              <a16:creationId xmlns:a16="http://schemas.microsoft.com/office/drawing/2014/main" id="{F1E17530-F83E-4FF5-9ABB-A48D7E64348E}"/>
            </a:ext>
          </a:extLst>
        </xdr:cNvPr>
        <xdr:cNvCxnSpPr/>
      </xdr:nvCxnSpPr>
      <xdr:spPr>
        <a:xfrm>
          <a:off x="6467203" y="2170175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28303</xdr:colOff>
      <xdr:row>137</xdr:row>
      <xdr:rowOff>110489</xdr:rowOff>
    </xdr:from>
    <xdr:to>
      <xdr:col>32</xdr:col>
      <xdr:colOff>52796</xdr:colOff>
      <xdr:row>138</xdr:row>
      <xdr:rowOff>72389</xdr:rowOff>
    </xdr:to>
    <xdr:sp macro="" textlink="">
      <xdr:nvSpPr>
        <xdr:cNvPr id="6592" name="직사각형 6591">
          <a:extLst>
            <a:ext uri="{FF2B5EF4-FFF2-40B4-BE49-F238E27FC236}">
              <a16:creationId xmlns:a16="http://schemas.microsoft.com/office/drawing/2014/main" id="{DEF66911-D724-416C-9FC1-962A63AB7680}"/>
            </a:ext>
          </a:extLst>
        </xdr:cNvPr>
        <xdr:cNvSpPr/>
      </xdr:nvSpPr>
      <xdr:spPr>
        <a:xfrm>
          <a:off x="6467203" y="21484589"/>
          <a:ext cx="31024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28303</xdr:colOff>
      <xdr:row>138</xdr:row>
      <xdr:rowOff>15239</xdr:rowOff>
    </xdr:from>
    <xdr:to>
      <xdr:col>30</xdr:col>
      <xdr:colOff>28303</xdr:colOff>
      <xdr:row>138</xdr:row>
      <xdr:rowOff>15239</xdr:rowOff>
    </xdr:to>
    <xdr:cxnSp macro="">
      <xdr:nvCxnSpPr>
        <xdr:cNvPr id="6593" name="직선 화살표 연결선 6592">
          <a:extLst>
            <a:ext uri="{FF2B5EF4-FFF2-40B4-BE49-F238E27FC236}">
              <a16:creationId xmlns:a16="http://schemas.microsoft.com/office/drawing/2014/main" id="{BE0ED3E1-0ACF-43E6-90F6-4ACA3287C7B6}"/>
            </a:ext>
          </a:extLst>
        </xdr:cNvPr>
        <xdr:cNvCxnSpPr/>
      </xdr:nvCxnSpPr>
      <xdr:spPr>
        <a:xfrm>
          <a:off x="6467203" y="21541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19050</xdr:colOff>
      <xdr:row>129</xdr:row>
      <xdr:rowOff>118111</xdr:rowOff>
    </xdr:from>
    <xdr:to>
      <xdr:col>36</xdr:col>
      <xdr:colOff>39733</xdr:colOff>
      <xdr:row>130</xdr:row>
      <xdr:rowOff>80011</xdr:rowOff>
    </xdr:to>
    <xdr:sp macro="" textlink="">
      <xdr:nvSpPr>
        <xdr:cNvPr id="6594" name="직사각형 6593">
          <a:extLst>
            <a:ext uri="{FF2B5EF4-FFF2-40B4-BE49-F238E27FC236}">
              <a16:creationId xmlns:a16="http://schemas.microsoft.com/office/drawing/2014/main" id="{E01677F7-2E49-4697-9C48-EA175F0FC1D6}"/>
            </a:ext>
          </a:extLst>
        </xdr:cNvPr>
        <xdr:cNvSpPr/>
      </xdr:nvSpPr>
      <xdr:spPr>
        <a:xfrm>
          <a:off x="7315200" y="20234911"/>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19050</xdr:colOff>
      <xdr:row>130</xdr:row>
      <xdr:rowOff>22861</xdr:rowOff>
    </xdr:from>
    <xdr:to>
      <xdr:col>36</xdr:col>
      <xdr:colOff>19050</xdr:colOff>
      <xdr:row>130</xdr:row>
      <xdr:rowOff>22861</xdr:rowOff>
    </xdr:to>
    <xdr:cxnSp macro="">
      <xdr:nvCxnSpPr>
        <xdr:cNvPr id="6595" name="직선 화살표 연결선 6594">
          <a:extLst>
            <a:ext uri="{FF2B5EF4-FFF2-40B4-BE49-F238E27FC236}">
              <a16:creationId xmlns:a16="http://schemas.microsoft.com/office/drawing/2014/main" id="{42D2E173-F724-4176-9E47-180CAD8489CB}"/>
            </a:ext>
          </a:extLst>
        </xdr:cNvPr>
        <xdr:cNvCxnSpPr/>
      </xdr:nvCxnSpPr>
      <xdr:spPr>
        <a:xfrm>
          <a:off x="7315200" y="20292061"/>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15240</xdr:colOff>
      <xdr:row>128</xdr:row>
      <xdr:rowOff>118111</xdr:rowOff>
    </xdr:from>
    <xdr:to>
      <xdr:col>35</xdr:col>
      <xdr:colOff>120559</xdr:colOff>
      <xdr:row>129</xdr:row>
      <xdr:rowOff>80011</xdr:rowOff>
    </xdr:to>
    <xdr:sp macro="" textlink="">
      <xdr:nvSpPr>
        <xdr:cNvPr id="6596" name="직사각형 6595">
          <a:extLst>
            <a:ext uri="{FF2B5EF4-FFF2-40B4-BE49-F238E27FC236}">
              <a16:creationId xmlns:a16="http://schemas.microsoft.com/office/drawing/2014/main" id="{B0CA516D-1479-4ADD-9DB5-CF78328FA1E2}"/>
            </a:ext>
          </a:extLst>
        </xdr:cNvPr>
        <xdr:cNvSpPr/>
      </xdr:nvSpPr>
      <xdr:spPr>
        <a:xfrm>
          <a:off x="7025640" y="20082511"/>
          <a:ext cx="24819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15240</xdr:colOff>
      <xdr:row>129</xdr:row>
      <xdr:rowOff>22861</xdr:rowOff>
    </xdr:from>
    <xdr:to>
      <xdr:col>34</xdr:col>
      <xdr:colOff>15240</xdr:colOff>
      <xdr:row>129</xdr:row>
      <xdr:rowOff>22861</xdr:rowOff>
    </xdr:to>
    <xdr:cxnSp macro="">
      <xdr:nvCxnSpPr>
        <xdr:cNvPr id="6597" name="직선 화살표 연결선 6596">
          <a:extLst>
            <a:ext uri="{FF2B5EF4-FFF2-40B4-BE49-F238E27FC236}">
              <a16:creationId xmlns:a16="http://schemas.microsoft.com/office/drawing/2014/main" id="{78F31D03-EEF8-4620-8C10-5B7E7F44DED5}"/>
            </a:ext>
          </a:extLst>
        </xdr:cNvPr>
        <xdr:cNvCxnSpPr/>
      </xdr:nvCxnSpPr>
      <xdr:spPr>
        <a:xfrm>
          <a:off x="7025640" y="20139661"/>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11430</xdr:colOff>
      <xdr:row>127</xdr:row>
      <xdr:rowOff>137161</xdr:rowOff>
    </xdr:from>
    <xdr:to>
      <xdr:col>33</xdr:col>
      <xdr:colOff>116749</xdr:colOff>
      <xdr:row>128</xdr:row>
      <xdr:rowOff>80011</xdr:rowOff>
    </xdr:to>
    <xdr:sp macro="" textlink="">
      <xdr:nvSpPr>
        <xdr:cNvPr id="6598" name="직사각형 6597">
          <a:extLst>
            <a:ext uri="{FF2B5EF4-FFF2-40B4-BE49-F238E27FC236}">
              <a16:creationId xmlns:a16="http://schemas.microsoft.com/office/drawing/2014/main" id="{3A1D251A-68FE-4AEB-9060-3FD7D46E7D6F}"/>
            </a:ext>
          </a:extLst>
        </xdr:cNvPr>
        <xdr:cNvSpPr/>
      </xdr:nvSpPr>
      <xdr:spPr>
        <a:xfrm>
          <a:off x="6736080" y="19930111"/>
          <a:ext cx="24819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11430</xdr:colOff>
      <xdr:row>128</xdr:row>
      <xdr:rowOff>22861</xdr:rowOff>
    </xdr:from>
    <xdr:to>
      <xdr:col>32</xdr:col>
      <xdr:colOff>11430</xdr:colOff>
      <xdr:row>128</xdr:row>
      <xdr:rowOff>22861</xdr:rowOff>
    </xdr:to>
    <xdr:cxnSp macro="">
      <xdr:nvCxnSpPr>
        <xdr:cNvPr id="6599" name="직선 화살표 연결선 6598">
          <a:extLst>
            <a:ext uri="{FF2B5EF4-FFF2-40B4-BE49-F238E27FC236}">
              <a16:creationId xmlns:a16="http://schemas.microsoft.com/office/drawing/2014/main" id="{FD5B1A9A-4F3D-4FF5-AFF1-D40071293654}"/>
            </a:ext>
          </a:extLst>
        </xdr:cNvPr>
        <xdr:cNvCxnSpPr/>
      </xdr:nvCxnSpPr>
      <xdr:spPr>
        <a:xfrm>
          <a:off x="6736080" y="19987261"/>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9525</xdr:colOff>
      <xdr:row>126</xdr:row>
      <xdr:rowOff>129539</xdr:rowOff>
    </xdr:from>
    <xdr:to>
      <xdr:col>31</xdr:col>
      <xdr:colOff>112940</xdr:colOff>
      <xdr:row>127</xdr:row>
      <xdr:rowOff>91439</xdr:rowOff>
    </xdr:to>
    <xdr:sp macro="" textlink="">
      <xdr:nvSpPr>
        <xdr:cNvPr id="6600" name="직사각형 6599">
          <a:extLst>
            <a:ext uri="{FF2B5EF4-FFF2-40B4-BE49-F238E27FC236}">
              <a16:creationId xmlns:a16="http://schemas.microsoft.com/office/drawing/2014/main" id="{AEF81CDA-88B4-483A-BE32-786EEC7F85DF}"/>
            </a:ext>
          </a:extLst>
        </xdr:cNvPr>
        <xdr:cNvSpPr/>
      </xdr:nvSpPr>
      <xdr:spPr>
        <a:xfrm>
          <a:off x="6591300" y="19770089"/>
          <a:ext cx="10341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9525</xdr:colOff>
      <xdr:row>127</xdr:row>
      <xdr:rowOff>34289</xdr:rowOff>
    </xdr:from>
    <xdr:to>
      <xdr:col>31</xdr:col>
      <xdr:colOff>9525</xdr:colOff>
      <xdr:row>127</xdr:row>
      <xdr:rowOff>34289</xdr:rowOff>
    </xdr:to>
    <xdr:cxnSp macro="">
      <xdr:nvCxnSpPr>
        <xdr:cNvPr id="6601" name="직선 화살표 연결선 6600">
          <a:extLst>
            <a:ext uri="{FF2B5EF4-FFF2-40B4-BE49-F238E27FC236}">
              <a16:creationId xmlns:a16="http://schemas.microsoft.com/office/drawing/2014/main" id="{DC2CEA1F-084A-4E12-82F8-C81CA217D185}"/>
            </a:ext>
          </a:extLst>
        </xdr:cNvPr>
        <xdr:cNvCxnSpPr/>
      </xdr:nvCxnSpPr>
      <xdr:spPr>
        <a:xfrm>
          <a:off x="6591300" y="198272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9525</xdr:colOff>
      <xdr:row>124</xdr:row>
      <xdr:rowOff>121920</xdr:rowOff>
    </xdr:from>
    <xdr:to>
      <xdr:col>36</xdr:col>
      <xdr:colOff>39733</xdr:colOff>
      <xdr:row>125</xdr:row>
      <xdr:rowOff>83820</xdr:rowOff>
    </xdr:to>
    <xdr:sp macro="" textlink="">
      <xdr:nvSpPr>
        <xdr:cNvPr id="6602" name="직사각형 6601">
          <a:extLst>
            <a:ext uri="{FF2B5EF4-FFF2-40B4-BE49-F238E27FC236}">
              <a16:creationId xmlns:a16="http://schemas.microsoft.com/office/drawing/2014/main" id="{89627F59-C570-46BF-8134-EF4FC0F9F130}"/>
            </a:ext>
          </a:extLst>
        </xdr:cNvPr>
        <xdr:cNvSpPr/>
      </xdr:nvSpPr>
      <xdr:spPr>
        <a:xfrm>
          <a:off x="6591300" y="19457670"/>
          <a:ext cx="7445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9525</xdr:colOff>
      <xdr:row>125</xdr:row>
      <xdr:rowOff>26670</xdr:rowOff>
    </xdr:from>
    <xdr:to>
      <xdr:col>31</xdr:col>
      <xdr:colOff>9525</xdr:colOff>
      <xdr:row>125</xdr:row>
      <xdr:rowOff>26670</xdr:rowOff>
    </xdr:to>
    <xdr:cxnSp macro="">
      <xdr:nvCxnSpPr>
        <xdr:cNvPr id="6603" name="직선 화살표 연결선 6602">
          <a:extLst>
            <a:ext uri="{FF2B5EF4-FFF2-40B4-BE49-F238E27FC236}">
              <a16:creationId xmlns:a16="http://schemas.microsoft.com/office/drawing/2014/main" id="{8ED5BC1C-31A1-4DC7-80E8-8360B6D728CD}"/>
            </a:ext>
          </a:extLst>
        </xdr:cNvPr>
        <xdr:cNvCxnSpPr/>
      </xdr:nvCxnSpPr>
      <xdr:spPr>
        <a:xfrm>
          <a:off x="6591300" y="195148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28303</xdr:colOff>
      <xdr:row>122</xdr:row>
      <xdr:rowOff>133350</xdr:rowOff>
    </xdr:from>
    <xdr:to>
      <xdr:col>30</xdr:col>
      <xdr:colOff>48986</xdr:colOff>
      <xdr:row>123</xdr:row>
      <xdr:rowOff>95250</xdr:rowOff>
    </xdr:to>
    <xdr:sp macro="" textlink="">
      <xdr:nvSpPr>
        <xdr:cNvPr id="6604" name="직사각형 6603">
          <a:extLst>
            <a:ext uri="{FF2B5EF4-FFF2-40B4-BE49-F238E27FC236}">
              <a16:creationId xmlns:a16="http://schemas.microsoft.com/office/drawing/2014/main" id="{0CE334A5-DA49-4FC6-8D91-A41852624696}"/>
            </a:ext>
          </a:extLst>
        </xdr:cNvPr>
        <xdr:cNvSpPr/>
      </xdr:nvSpPr>
      <xdr:spPr>
        <a:xfrm>
          <a:off x="6467203" y="1914525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28303</xdr:colOff>
      <xdr:row>123</xdr:row>
      <xdr:rowOff>38100</xdr:rowOff>
    </xdr:from>
    <xdr:to>
      <xdr:col>30</xdr:col>
      <xdr:colOff>28303</xdr:colOff>
      <xdr:row>123</xdr:row>
      <xdr:rowOff>38100</xdr:rowOff>
    </xdr:to>
    <xdr:cxnSp macro="">
      <xdr:nvCxnSpPr>
        <xdr:cNvPr id="6605" name="직선 화살표 연결선 6604">
          <a:extLst>
            <a:ext uri="{FF2B5EF4-FFF2-40B4-BE49-F238E27FC236}">
              <a16:creationId xmlns:a16="http://schemas.microsoft.com/office/drawing/2014/main" id="{3E18AEB1-7C92-4736-865F-5F4E47F1E836}"/>
            </a:ext>
          </a:extLst>
        </xdr:cNvPr>
        <xdr:cNvCxnSpPr/>
      </xdr:nvCxnSpPr>
      <xdr:spPr>
        <a:xfrm>
          <a:off x="6467203" y="192024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7620</xdr:colOff>
      <xdr:row>121</xdr:row>
      <xdr:rowOff>125730</xdr:rowOff>
    </xdr:from>
    <xdr:to>
      <xdr:col>30</xdr:col>
      <xdr:colOff>28303</xdr:colOff>
      <xdr:row>122</xdr:row>
      <xdr:rowOff>87630</xdr:rowOff>
    </xdr:to>
    <xdr:sp macro="" textlink="">
      <xdr:nvSpPr>
        <xdr:cNvPr id="6606" name="직사각형 6605">
          <a:extLst>
            <a:ext uri="{FF2B5EF4-FFF2-40B4-BE49-F238E27FC236}">
              <a16:creationId xmlns:a16="http://schemas.microsoft.com/office/drawing/2014/main" id="{8E37E272-15E7-4196-825B-5B891750FF78}"/>
            </a:ext>
          </a:extLst>
        </xdr:cNvPr>
        <xdr:cNvSpPr/>
      </xdr:nvSpPr>
      <xdr:spPr>
        <a:xfrm>
          <a:off x="6446520" y="189852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7620</xdr:colOff>
      <xdr:row>122</xdr:row>
      <xdr:rowOff>30480</xdr:rowOff>
    </xdr:from>
    <xdr:to>
      <xdr:col>30</xdr:col>
      <xdr:colOff>28303</xdr:colOff>
      <xdr:row>122</xdr:row>
      <xdr:rowOff>30480</xdr:rowOff>
    </xdr:to>
    <xdr:cxnSp macro="">
      <xdr:nvCxnSpPr>
        <xdr:cNvPr id="6607" name="직선 화살표 연결선 6606">
          <a:extLst>
            <a:ext uri="{FF2B5EF4-FFF2-40B4-BE49-F238E27FC236}">
              <a16:creationId xmlns:a16="http://schemas.microsoft.com/office/drawing/2014/main" id="{90327A60-8DF2-422E-BC04-259B59FBB4AA}"/>
            </a:ext>
          </a:extLst>
        </xdr:cNvPr>
        <xdr:cNvCxnSpPr/>
      </xdr:nvCxnSpPr>
      <xdr:spPr>
        <a:xfrm>
          <a:off x="6446520" y="190423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5715</xdr:colOff>
      <xdr:row>120</xdr:row>
      <xdr:rowOff>125730</xdr:rowOff>
    </xdr:from>
    <xdr:to>
      <xdr:col>29</xdr:col>
      <xdr:colOff>109129</xdr:colOff>
      <xdr:row>121</xdr:row>
      <xdr:rowOff>87630</xdr:rowOff>
    </xdr:to>
    <xdr:sp macro="" textlink="">
      <xdr:nvSpPr>
        <xdr:cNvPr id="6608" name="직사각형 6607">
          <a:extLst>
            <a:ext uri="{FF2B5EF4-FFF2-40B4-BE49-F238E27FC236}">
              <a16:creationId xmlns:a16="http://schemas.microsoft.com/office/drawing/2014/main" id="{4AE04467-9962-4D59-BD99-7CA05C254C15}"/>
            </a:ext>
          </a:extLst>
        </xdr:cNvPr>
        <xdr:cNvSpPr/>
      </xdr:nvSpPr>
      <xdr:spPr>
        <a:xfrm>
          <a:off x="6301740" y="188328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xdr:colOff>
      <xdr:row>121</xdr:row>
      <xdr:rowOff>30480</xdr:rowOff>
    </xdr:from>
    <xdr:to>
      <xdr:col>29</xdr:col>
      <xdr:colOff>109129</xdr:colOff>
      <xdr:row>121</xdr:row>
      <xdr:rowOff>30480</xdr:rowOff>
    </xdr:to>
    <xdr:cxnSp macro="">
      <xdr:nvCxnSpPr>
        <xdr:cNvPr id="6609" name="직선 화살표 연결선 6608">
          <a:extLst>
            <a:ext uri="{FF2B5EF4-FFF2-40B4-BE49-F238E27FC236}">
              <a16:creationId xmlns:a16="http://schemas.microsoft.com/office/drawing/2014/main" id="{D79836DC-7415-4AD9-BD23-71CF3418A054}"/>
            </a:ext>
          </a:extLst>
        </xdr:cNvPr>
        <xdr:cNvCxnSpPr/>
      </xdr:nvCxnSpPr>
      <xdr:spPr>
        <a:xfrm>
          <a:off x="6301740" y="18889980"/>
          <a:ext cx="1034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5715</xdr:colOff>
      <xdr:row>119</xdr:row>
      <xdr:rowOff>144780</xdr:rowOff>
    </xdr:from>
    <xdr:to>
      <xdr:col>30</xdr:col>
      <xdr:colOff>48986</xdr:colOff>
      <xdr:row>120</xdr:row>
      <xdr:rowOff>87630</xdr:rowOff>
    </xdr:to>
    <xdr:sp macro="" textlink="">
      <xdr:nvSpPr>
        <xdr:cNvPr id="6610" name="직사각형 6609">
          <a:extLst>
            <a:ext uri="{FF2B5EF4-FFF2-40B4-BE49-F238E27FC236}">
              <a16:creationId xmlns:a16="http://schemas.microsoft.com/office/drawing/2014/main" id="{57BDD5FA-5A3D-44F1-AF0B-906C1860C56D}"/>
            </a:ext>
          </a:extLst>
        </xdr:cNvPr>
        <xdr:cNvSpPr/>
      </xdr:nvSpPr>
      <xdr:spPr>
        <a:xfrm>
          <a:off x="6301740" y="18680430"/>
          <a:ext cx="18614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xdr:colOff>
      <xdr:row>120</xdr:row>
      <xdr:rowOff>30480</xdr:rowOff>
    </xdr:from>
    <xdr:to>
      <xdr:col>30</xdr:col>
      <xdr:colOff>22394</xdr:colOff>
      <xdr:row>120</xdr:row>
      <xdr:rowOff>30480</xdr:rowOff>
    </xdr:to>
    <xdr:cxnSp macro="">
      <xdr:nvCxnSpPr>
        <xdr:cNvPr id="6611" name="직선 화살표 연결선 6610">
          <a:extLst>
            <a:ext uri="{FF2B5EF4-FFF2-40B4-BE49-F238E27FC236}">
              <a16:creationId xmlns:a16="http://schemas.microsoft.com/office/drawing/2014/main" id="{CB5DCA95-FA1F-4044-9918-5EBBDB2FDFA6}"/>
            </a:ext>
          </a:extLst>
        </xdr:cNvPr>
        <xdr:cNvCxnSpPr/>
      </xdr:nvCxnSpPr>
      <xdr:spPr>
        <a:xfrm>
          <a:off x="6301740" y="18737580"/>
          <a:ext cx="1595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97972</xdr:colOff>
      <xdr:row>117</xdr:row>
      <xdr:rowOff>129539</xdr:rowOff>
    </xdr:from>
    <xdr:to>
      <xdr:col>34</xdr:col>
      <xdr:colOff>118654</xdr:colOff>
      <xdr:row>118</xdr:row>
      <xdr:rowOff>91439</xdr:rowOff>
    </xdr:to>
    <xdr:sp macro="" textlink="">
      <xdr:nvSpPr>
        <xdr:cNvPr id="6612" name="직사각형 6611">
          <a:extLst>
            <a:ext uri="{FF2B5EF4-FFF2-40B4-BE49-F238E27FC236}">
              <a16:creationId xmlns:a16="http://schemas.microsoft.com/office/drawing/2014/main" id="{40A40249-8A10-45D2-81CC-6A7B89A38A39}"/>
            </a:ext>
          </a:extLst>
        </xdr:cNvPr>
        <xdr:cNvSpPr/>
      </xdr:nvSpPr>
      <xdr:spPr>
        <a:xfrm>
          <a:off x="7108372" y="18360389"/>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97972</xdr:colOff>
      <xdr:row>118</xdr:row>
      <xdr:rowOff>34289</xdr:rowOff>
    </xdr:from>
    <xdr:to>
      <xdr:col>34</xdr:col>
      <xdr:colOff>97972</xdr:colOff>
      <xdr:row>118</xdr:row>
      <xdr:rowOff>34289</xdr:rowOff>
    </xdr:to>
    <xdr:cxnSp macro="">
      <xdr:nvCxnSpPr>
        <xdr:cNvPr id="6613" name="직선 화살표 연결선 6612">
          <a:extLst>
            <a:ext uri="{FF2B5EF4-FFF2-40B4-BE49-F238E27FC236}">
              <a16:creationId xmlns:a16="http://schemas.microsoft.com/office/drawing/2014/main" id="{8EFFD194-B9D8-4326-8AE3-B439520D81C2}"/>
            </a:ext>
          </a:extLst>
        </xdr:cNvPr>
        <xdr:cNvCxnSpPr/>
      </xdr:nvCxnSpPr>
      <xdr:spPr>
        <a:xfrm>
          <a:off x="7108372" y="18417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13335</xdr:colOff>
      <xdr:row>116</xdr:row>
      <xdr:rowOff>129539</xdr:rowOff>
    </xdr:from>
    <xdr:to>
      <xdr:col>34</xdr:col>
      <xdr:colOff>118654</xdr:colOff>
      <xdr:row>117</xdr:row>
      <xdr:rowOff>91439</xdr:rowOff>
    </xdr:to>
    <xdr:sp macro="" textlink="">
      <xdr:nvSpPr>
        <xdr:cNvPr id="6614" name="직사각형 6613">
          <a:extLst>
            <a:ext uri="{FF2B5EF4-FFF2-40B4-BE49-F238E27FC236}">
              <a16:creationId xmlns:a16="http://schemas.microsoft.com/office/drawing/2014/main" id="{139710BE-8A05-438B-81AD-B96D6C4A1886}"/>
            </a:ext>
          </a:extLst>
        </xdr:cNvPr>
        <xdr:cNvSpPr/>
      </xdr:nvSpPr>
      <xdr:spPr>
        <a:xfrm>
          <a:off x="6880860" y="18207989"/>
          <a:ext cx="24819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13335</xdr:colOff>
      <xdr:row>117</xdr:row>
      <xdr:rowOff>34289</xdr:rowOff>
    </xdr:from>
    <xdr:to>
      <xdr:col>33</xdr:col>
      <xdr:colOff>13335</xdr:colOff>
      <xdr:row>117</xdr:row>
      <xdr:rowOff>34289</xdr:rowOff>
    </xdr:to>
    <xdr:cxnSp macro="">
      <xdr:nvCxnSpPr>
        <xdr:cNvPr id="6615" name="직선 화살표 연결선 6614">
          <a:extLst>
            <a:ext uri="{FF2B5EF4-FFF2-40B4-BE49-F238E27FC236}">
              <a16:creationId xmlns:a16="http://schemas.microsoft.com/office/drawing/2014/main" id="{FE65268A-55C8-4543-B8AB-6B518A366FB3}"/>
            </a:ext>
          </a:extLst>
        </xdr:cNvPr>
        <xdr:cNvCxnSpPr/>
      </xdr:nvCxnSpPr>
      <xdr:spPr>
        <a:xfrm>
          <a:off x="6880860" y="18265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65858</xdr:colOff>
      <xdr:row>115</xdr:row>
      <xdr:rowOff>129539</xdr:rowOff>
    </xdr:from>
    <xdr:to>
      <xdr:col>32</xdr:col>
      <xdr:colOff>114844</xdr:colOff>
      <xdr:row>116</xdr:row>
      <xdr:rowOff>91439</xdr:rowOff>
    </xdr:to>
    <xdr:sp macro="" textlink="">
      <xdr:nvSpPr>
        <xdr:cNvPr id="6616" name="직사각형 6615">
          <a:extLst>
            <a:ext uri="{FF2B5EF4-FFF2-40B4-BE49-F238E27FC236}">
              <a16:creationId xmlns:a16="http://schemas.microsoft.com/office/drawing/2014/main" id="{70AB2617-481A-4301-81F8-D7CD506F8257}"/>
            </a:ext>
          </a:extLst>
        </xdr:cNvPr>
        <xdr:cNvSpPr/>
      </xdr:nvSpPr>
      <xdr:spPr>
        <a:xfrm>
          <a:off x="6219008" y="18055589"/>
          <a:ext cx="62048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65858</xdr:colOff>
      <xdr:row>116</xdr:row>
      <xdr:rowOff>34289</xdr:rowOff>
    </xdr:from>
    <xdr:to>
      <xdr:col>31</xdr:col>
      <xdr:colOff>71573</xdr:colOff>
      <xdr:row>116</xdr:row>
      <xdr:rowOff>34289</xdr:rowOff>
    </xdr:to>
    <xdr:cxnSp macro="">
      <xdr:nvCxnSpPr>
        <xdr:cNvPr id="6617" name="직선 화살표 연결선 6616">
          <a:extLst>
            <a:ext uri="{FF2B5EF4-FFF2-40B4-BE49-F238E27FC236}">
              <a16:creationId xmlns:a16="http://schemas.microsoft.com/office/drawing/2014/main" id="{E131253A-0CA3-45FB-AE90-48BA0CDA6C0A}"/>
            </a:ext>
          </a:extLst>
        </xdr:cNvPr>
        <xdr:cNvCxnSpPr/>
      </xdr:nvCxnSpPr>
      <xdr:spPr>
        <a:xfrm>
          <a:off x="6219008" y="18112739"/>
          <a:ext cx="4343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65858</xdr:colOff>
      <xdr:row>114</xdr:row>
      <xdr:rowOff>148589</xdr:rowOff>
    </xdr:from>
    <xdr:to>
      <xdr:col>34</xdr:col>
      <xdr:colOff>118654</xdr:colOff>
      <xdr:row>115</xdr:row>
      <xdr:rowOff>91439</xdr:rowOff>
    </xdr:to>
    <xdr:sp macro="" textlink="">
      <xdr:nvSpPr>
        <xdr:cNvPr id="6618" name="직사각형 6617">
          <a:extLst>
            <a:ext uri="{FF2B5EF4-FFF2-40B4-BE49-F238E27FC236}">
              <a16:creationId xmlns:a16="http://schemas.microsoft.com/office/drawing/2014/main" id="{21D303A1-8AD8-41D4-A2DF-1299A5832B15}"/>
            </a:ext>
          </a:extLst>
        </xdr:cNvPr>
        <xdr:cNvSpPr/>
      </xdr:nvSpPr>
      <xdr:spPr>
        <a:xfrm>
          <a:off x="6219008" y="17903189"/>
          <a:ext cx="91004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65858</xdr:colOff>
      <xdr:row>115</xdr:row>
      <xdr:rowOff>34289</xdr:rowOff>
    </xdr:from>
    <xdr:to>
      <xdr:col>31</xdr:col>
      <xdr:colOff>61921</xdr:colOff>
      <xdr:row>115</xdr:row>
      <xdr:rowOff>34289</xdr:rowOff>
    </xdr:to>
    <xdr:cxnSp macro="">
      <xdr:nvCxnSpPr>
        <xdr:cNvPr id="6619" name="직선 화살표 연결선 6618">
          <a:extLst>
            <a:ext uri="{FF2B5EF4-FFF2-40B4-BE49-F238E27FC236}">
              <a16:creationId xmlns:a16="http://schemas.microsoft.com/office/drawing/2014/main" id="{23D7D4F6-E396-4C43-BB99-67C532880522}"/>
            </a:ext>
          </a:extLst>
        </xdr:cNvPr>
        <xdr:cNvCxnSpPr/>
      </xdr:nvCxnSpPr>
      <xdr:spPr>
        <a:xfrm>
          <a:off x="6219008" y="17960339"/>
          <a:ext cx="42468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43815</xdr:colOff>
      <xdr:row>112</xdr:row>
      <xdr:rowOff>133350</xdr:rowOff>
    </xdr:from>
    <xdr:to>
      <xdr:col>50</xdr:col>
      <xdr:colOff>87085</xdr:colOff>
      <xdr:row>113</xdr:row>
      <xdr:rowOff>95250</xdr:rowOff>
    </xdr:to>
    <xdr:sp macro="" textlink="">
      <xdr:nvSpPr>
        <xdr:cNvPr id="6620" name="직사각형 6619">
          <a:extLst>
            <a:ext uri="{FF2B5EF4-FFF2-40B4-BE49-F238E27FC236}">
              <a16:creationId xmlns:a16="http://schemas.microsoft.com/office/drawing/2014/main" id="{0561C7A3-15D4-4DF1-8A94-69087E7F22C1}"/>
            </a:ext>
          </a:extLst>
        </xdr:cNvPr>
        <xdr:cNvSpPr/>
      </xdr:nvSpPr>
      <xdr:spPr>
        <a:xfrm>
          <a:off x="9197340" y="17583150"/>
          <a:ext cx="1861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43815</xdr:colOff>
      <xdr:row>113</xdr:row>
      <xdr:rowOff>38100</xdr:rowOff>
    </xdr:from>
    <xdr:to>
      <xdr:col>49</xdr:col>
      <xdr:colOff>43815</xdr:colOff>
      <xdr:row>113</xdr:row>
      <xdr:rowOff>38100</xdr:rowOff>
    </xdr:to>
    <xdr:cxnSp macro="">
      <xdr:nvCxnSpPr>
        <xdr:cNvPr id="6621" name="직선 화살표 연결선 6620">
          <a:extLst>
            <a:ext uri="{FF2B5EF4-FFF2-40B4-BE49-F238E27FC236}">
              <a16:creationId xmlns:a16="http://schemas.microsoft.com/office/drawing/2014/main" id="{1D76FD59-3F87-43DA-B2E4-EF2F922FCAE6}"/>
            </a:ext>
          </a:extLst>
        </xdr:cNvPr>
        <xdr:cNvCxnSpPr/>
      </xdr:nvCxnSpPr>
      <xdr:spPr>
        <a:xfrm>
          <a:off x="9197340" y="176403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79466</xdr:colOff>
      <xdr:row>111</xdr:row>
      <xdr:rowOff>133350</xdr:rowOff>
    </xdr:from>
    <xdr:to>
      <xdr:col>49</xdr:col>
      <xdr:colOff>2449</xdr:colOff>
      <xdr:row>112</xdr:row>
      <xdr:rowOff>95250</xdr:rowOff>
    </xdr:to>
    <xdr:sp macro="" textlink="">
      <xdr:nvSpPr>
        <xdr:cNvPr id="6622" name="직사각형 6621">
          <a:extLst>
            <a:ext uri="{FF2B5EF4-FFF2-40B4-BE49-F238E27FC236}">
              <a16:creationId xmlns:a16="http://schemas.microsoft.com/office/drawing/2014/main" id="{B680DAF6-1681-4C6B-9C3E-3ABCE5201A76}"/>
            </a:ext>
          </a:extLst>
        </xdr:cNvPr>
        <xdr:cNvSpPr/>
      </xdr:nvSpPr>
      <xdr:spPr>
        <a:xfrm>
          <a:off x="8804366" y="17430750"/>
          <a:ext cx="35160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79466</xdr:colOff>
      <xdr:row>112</xdr:row>
      <xdr:rowOff>38100</xdr:rowOff>
    </xdr:from>
    <xdr:to>
      <xdr:col>46</xdr:col>
      <xdr:colOff>79466</xdr:colOff>
      <xdr:row>112</xdr:row>
      <xdr:rowOff>38100</xdr:rowOff>
    </xdr:to>
    <xdr:cxnSp macro="">
      <xdr:nvCxnSpPr>
        <xdr:cNvPr id="6623" name="직선 화살표 연결선 6622">
          <a:extLst>
            <a:ext uri="{FF2B5EF4-FFF2-40B4-BE49-F238E27FC236}">
              <a16:creationId xmlns:a16="http://schemas.microsoft.com/office/drawing/2014/main" id="{33C129EF-2DBD-4E0C-BB94-EB46B549EB34}"/>
            </a:ext>
          </a:extLst>
        </xdr:cNvPr>
        <xdr:cNvCxnSpPr/>
      </xdr:nvCxnSpPr>
      <xdr:spPr>
        <a:xfrm>
          <a:off x="8804366" y="174879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111306</xdr:colOff>
      <xdr:row>110</xdr:row>
      <xdr:rowOff>152400</xdr:rowOff>
    </xdr:from>
    <xdr:to>
      <xdr:col>45</xdr:col>
      <xdr:colOff>98244</xdr:colOff>
      <xdr:row>111</xdr:row>
      <xdr:rowOff>95250</xdr:rowOff>
    </xdr:to>
    <xdr:sp macro="" textlink="">
      <xdr:nvSpPr>
        <xdr:cNvPr id="6624" name="직사각형 6623">
          <a:extLst>
            <a:ext uri="{FF2B5EF4-FFF2-40B4-BE49-F238E27FC236}">
              <a16:creationId xmlns:a16="http://schemas.microsoft.com/office/drawing/2014/main" id="{2AF8AB8F-7F71-4713-A464-073746F3AB19}"/>
            </a:ext>
          </a:extLst>
        </xdr:cNvPr>
        <xdr:cNvSpPr/>
      </xdr:nvSpPr>
      <xdr:spPr>
        <a:xfrm>
          <a:off x="8121831" y="17278350"/>
          <a:ext cx="55843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111306</xdr:colOff>
      <xdr:row>111</xdr:row>
      <xdr:rowOff>38100</xdr:rowOff>
    </xdr:from>
    <xdr:to>
      <xdr:col>41</xdr:col>
      <xdr:colOff>111306</xdr:colOff>
      <xdr:row>111</xdr:row>
      <xdr:rowOff>38100</xdr:rowOff>
    </xdr:to>
    <xdr:cxnSp macro="">
      <xdr:nvCxnSpPr>
        <xdr:cNvPr id="6625" name="직선 화살표 연결선 6624">
          <a:extLst>
            <a:ext uri="{FF2B5EF4-FFF2-40B4-BE49-F238E27FC236}">
              <a16:creationId xmlns:a16="http://schemas.microsoft.com/office/drawing/2014/main" id="{685E9871-445B-4920-BB68-F568E0B4C630}"/>
            </a:ext>
          </a:extLst>
        </xdr:cNvPr>
        <xdr:cNvCxnSpPr/>
      </xdr:nvCxnSpPr>
      <xdr:spPr>
        <a:xfrm>
          <a:off x="8121831" y="173355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13335</xdr:colOff>
      <xdr:row>109</xdr:row>
      <xdr:rowOff>163830</xdr:rowOff>
    </xdr:from>
    <xdr:to>
      <xdr:col>41</xdr:col>
      <xdr:colOff>111306</xdr:colOff>
      <xdr:row>110</xdr:row>
      <xdr:rowOff>106680</xdr:rowOff>
    </xdr:to>
    <xdr:sp macro="" textlink="">
      <xdr:nvSpPr>
        <xdr:cNvPr id="6626" name="직사각형 6625">
          <a:extLst>
            <a:ext uri="{FF2B5EF4-FFF2-40B4-BE49-F238E27FC236}">
              <a16:creationId xmlns:a16="http://schemas.microsoft.com/office/drawing/2014/main" id="{BAF01BF1-2AFD-4EE1-90A6-2A46BB709F5E}"/>
            </a:ext>
          </a:extLst>
        </xdr:cNvPr>
        <xdr:cNvSpPr/>
      </xdr:nvSpPr>
      <xdr:spPr>
        <a:xfrm>
          <a:off x="6880860" y="17118330"/>
          <a:ext cx="124097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13335</xdr:colOff>
      <xdr:row>110</xdr:row>
      <xdr:rowOff>49530</xdr:rowOff>
    </xdr:from>
    <xdr:to>
      <xdr:col>33</xdr:col>
      <xdr:colOff>13335</xdr:colOff>
      <xdr:row>110</xdr:row>
      <xdr:rowOff>49530</xdr:rowOff>
    </xdr:to>
    <xdr:cxnSp macro="">
      <xdr:nvCxnSpPr>
        <xdr:cNvPr id="6627" name="직선 화살표 연결선 6626">
          <a:extLst>
            <a:ext uri="{FF2B5EF4-FFF2-40B4-BE49-F238E27FC236}">
              <a16:creationId xmlns:a16="http://schemas.microsoft.com/office/drawing/2014/main" id="{D095E0E9-5F51-4F9A-B772-CEA5131087EF}"/>
            </a:ext>
          </a:extLst>
        </xdr:cNvPr>
        <xdr:cNvCxnSpPr/>
      </xdr:nvCxnSpPr>
      <xdr:spPr>
        <a:xfrm>
          <a:off x="6880860" y="171754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13335</xdr:colOff>
      <xdr:row>108</xdr:row>
      <xdr:rowOff>148589</xdr:rowOff>
    </xdr:from>
    <xdr:to>
      <xdr:col>41</xdr:col>
      <xdr:colOff>111306</xdr:colOff>
      <xdr:row>109</xdr:row>
      <xdr:rowOff>110489</xdr:rowOff>
    </xdr:to>
    <xdr:sp macro="" textlink="">
      <xdr:nvSpPr>
        <xdr:cNvPr id="6628" name="직사각형 6627">
          <a:extLst>
            <a:ext uri="{FF2B5EF4-FFF2-40B4-BE49-F238E27FC236}">
              <a16:creationId xmlns:a16="http://schemas.microsoft.com/office/drawing/2014/main" id="{232A5A74-8D4F-4EB3-A7E9-628B656FD80A}"/>
            </a:ext>
          </a:extLst>
        </xdr:cNvPr>
        <xdr:cNvSpPr/>
      </xdr:nvSpPr>
      <xdr:spPr>
        <a:xfrm>
          <a:off x="6880860" y="16950689"/>
          <a:ext cx="124097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13335</xdr:colOff>
      <xdr:row>109</xdr:row>
      <xdr:rowOff>53339</xdr:rowOff>
    </xdr:from>
    <xdr:to>
      <xdr:col>33</xdr:col>
      <xdr:colOff>13335</xdr:colOff>
      <xdr:row>109</xdr:row>
      <xdr:rowOff>53339</xdr:rowOff>
    </xdr:to>
    <xdr:cxnSp macro="">
      <xdr:nvCxnSpPr>
        <xdr:cNvPr id="6629" name="직선 화살표 연결선 6628">
          <a:extLst>
            <a:ext uri="{FF2B5EF4-FFF2-40B4-BE49-F238E27FC236}">
              <a16:creationId xmlns:a16="http://schemas.microsoft.com/office/drawing/2014/main" id="{A611C17C-A59D-40D9-923E-8DA3BED11ADA}"/>
            </a:ext>
          </a:extLst>
        </xdr:cNvPr>
        <xdr:cNvCxnSpPr/>
      </xdr:nvCxnSpPr>
      <xdr:spPr>
        <a:xfrm>
          <a:off x="6880860" y="170078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13335</xdr:colOff>
      <xdr:row>107</xdr:row>
      <xdr:rowOff>140970</xdr:rowOff>
    </xdr:from>
    <xdr:to>
      <xdr:col>41</xdr:col>
      <xdr:colOff>111306</xdr:colOff>
      <xdr:row>108</xdr:row>
      <xdr:rowOff>102870</xdr:rowOff>
    </xdr:to>
    <xdr:sp macro="" textlink="">
      <xdr:nvSpPr>
        <xdr:cNvPr id="6630" name="직사각형 6629">
          <a:extLst>
            <a:ext uri="{FF2B5EF4-FFF2-40B4-BE49-F238E27FC236}">
              <a16:creationId xmlns:a16="http://schemas.microsoft.com/office/drawing/2014/main" id="{EE211C33-81C9-4C47-8CC0-E8177720200B}"/>
            </a:ext>
          </a:extLst>
        </xdr:cNvPr>
        <xdr:cNvSpPr/>
      </xdr:nvSpPr>
      <xdr:spPr>
        <a:xfrm>
          <a:off x="6880860" y="16790670"/>
          <a:ext cx="124097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13335</xdr:colOff>
      <xdr:row>108</xdr:row>
      <xdr:rowOff>45720</xdr:rowOff>
    </xdr:from>
    <xdr:to>
      <xdr:col>33</xdr:col>
      <xdr:colOff>13335</xdr:colOff>
      <xdr:row>108</xdr:row>
      <xdr:rowOff>45720</xdr:rowOff>
    </xdr:to>
    <xdr:cxnSp macro="">
      <xdr:nvCxnSpPr>
        <xdr:cNvPr id="6631" name="직선 화살표 연결선 6630">
          <a:extLst>
            <a:ext uri="{FF2B5EF4-FFF2-40B4-BE49-F238E27FC236}">
              <a16:creationId xmlns:a16="http://schemas.microsoft.com/office/drawing/2014/main" id="{7001CAFD-383D-4FA5-9A0A-34D467DF4B67}"/>
            </a:ext>
          </a:extLst>
        </xdr:cNvPr>
        <xdr:cNvCxnSpPr/>
      </xdr:nvCxnSpPr>
      <xdr:spPr>
        <a:xfrm>
          <a:off x="6880860" y="168478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13335</xdr:colOff>
      <xdr:row>106</xdr:row>
      <xdr:rowOff>140970</xdr:rowOff>
    </xdr:from>
    <xdr:to>
      <xdr:col>41</xdr:col>
      <xdr:colOff>111306</xdr:colOff>
      <xdr:row>107</xdr:row>
      <xdr:rowOff>102870</xdr:rowOff>
    </xdr:to>
    <xdr:sp macro="" textlink="">
      <xdr:nvSpPr>
        <xdr:cNvPr id="6632" name="직사각형 6631">
          <a:extLst>
            <a:ext uri="{FF2B5EF4-FFF2-40B4-BE49-F238E27FC236}">
              <a16:creationId xmlns:a16="http://schemas.microsoft.com/office/drawing/2014/main" id="{31011DEC-2060-4B29-8CCD-E5A436D82452}"/>
            </a:ext>
          </a:extLst>
        </xdr:cNvPr>
        <xdr:cNvSpPr/>
      </xdr:nvSpPr>
      <xdr:spPr>
        <a:xfrm>
          <a:off x="6880860" y="16638270"/>
          <a:ext cx="124097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13335</xdr:colOff>
      <xdr:row>107</xdr:row>
      <xdr:rowOff>45720</xdr:rowOff>
    </xdr:from>
    <xdr:to>
      <xdr:col>33</xdr:col>
      <xdr:colOff>13335</xdr:colOff>
      <xdr:row>107</xdr:row>
      <xdr:rowOff>45720</xdr:rowOff>
    </xdr:to>
    <xdr:cxnSp macro="">
      <xdr:nvCxnSpPr>
        <xdr:cNvPr id="6633" name="직선 화살표 연결선 6632">
          <a:extLst>
            <a:ext uri="{FF2B5EF4-FFF2-40B4-BE49-F238E27FC236}">
              <a16:creationId xmlns:a16="http://schemas.microsoft.com/office/drawing/2014/main" id="{4548EEA1-F898-46F1-9847-33203C5298FA}"/>
            </a:ext>
          </a:extLst>
        </xdr:cNvPr>
        <xdr:cNvCxnSpPr/>
      </xdr:nvCxnSpPr>
      <xdr:spPr>
        <a:xfrm>
          <a:off x="6880860" y="166954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9525</xdr:colOff>
      <xdr:row>105</xdr:row>
      <xdr:rowOff>140970</xdr:rowOff>
    </xdr:from>
    <xdr:to>
      <xdr:col>32</xdr:col>
      <xdr:colOff>114844</xdr:colOff>
      <xdr:row>106</xdr:row>
      <xdr:rowOff>102870</xdr:rowOff>
    </xdr:to>
    <xdr:sp macro="" textlink="">
      <xdr:nvSpPr>
        <xdr:cNvPr id="6634" name="직사각형 6633">
          <a:extLst>
            <a:ext uri="{FF2B5EF4-FFF2-40B4-BE49-F238E27FC236}">
              <a16:creationId xmlns:a16="http://schemas.microsoft.com/office/drawing/2014/main" id="{CCA32908-A631-41CC-972A-32B9C84065C3}"/>
            </a:ext>
          </a:extLst>
        </xdr:cNvPr>
        <xdr:cNvSpPr/>
      </xdr:nvSpPr>
      <xdr:spPr>
        <a:xfrm>
          <a:off x="6591300" y="16485870"/>
          <a:ext cx="24819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9525</xdr:colOff>
      <xdr:row>106</xdr:row>
      <xdr:rowOff>45720</xdr:rowOff>
    </xdr:from>
    <xdr:to>
      <xdr:col>31</xdr:col>
      <xdr:colOff>9525</xdr:colOff>
      <xdr:row>106</xdr:row>
      <xdr:rowOff>45720</xdr:rowOff>
    </xdr:to>
    <xdr:cxnSp macro="">
      <xdr:nvCxnSpPr>
        <xdr:cNvPr id="6635" name="직선 화살표 연결선 6634">
          <a:extLst>
            <a:ext uri="{FF2B5EF4-FFF2-40B4-BE49-F238E27FC236}">
              <a16:creationId xmlns:a16="http://schemas.microsoft.com/office/drawing/2014/main" id="{58F81062-DF80-47EE-869B-2D56EA49063D}"/>
            </a:ext>
          </a:extLst>
        </xdr:cNvPr>
        <xdr:cNvCxnSpPr/>
      </xdr:nvCxnSpPr>
      <xdr:spPr>
        <a:xfrm>
          <a:off x="6591300" y="165430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9525</xdr:colOff>
      <xdr:row>104</xdr:row>
      <xdr:rowOff>140970</xdr:rowOff>
    </xdr:from>
    <xdr:to>
      <xdr:col>50</xdr:col>
      <xdr:colOff>87085</xdr:colOff>
      <xdr:row>105</xdr:row>
      <xdr:rowOff>102870</xdr:rowOff>
    </xdr:to>
    <xdr:sp macro="" textlink="">
      <xdr:nvSpPr>
        <xdr:cNvPr id="6636" name="직사각형 6635">
          <a:extLst>
            <a:ext uri="{FF2B5EF4-FFF2-40B4-BE49-F238E27FC236}">
              <a16:creationId xmlns:a16="http://schemas.microsoft.com/office/drawing/2014/main" id="{E59A6D97-9634-4A0D-88CF-CC3559FD77BD}"/>
            </a:ext>
          </a:extLst>
        </xdr:cNvPr>
        <xdr:cNvSpPr/>
      </xdr:nvSpPr>
      <xdr:spPr>
        <a:xfrm>
          <a:off x="6591300" y="16333470"/>
          <a:ext cx="279218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9525</xdr:colOff>
      <xdr:row>105</xdr:row>
      <xdr:rowOff>45720</xdr:rowOff>
    </xdr:from>
    <xdr:to>
      <xdr:col>31</xdr:col>
      <xdr:colOff>9525</xdr:colOff>
      <xdr:row>105</xdr:row>
      <xdr:rowOff>45720</xdr:rowOff>
    </xdr:to>
    <xdr:cxnSp macro="">
      <xdr:nvCxnSpPr>
        <xdr:cNvPr id="6637" name="직선 화살표 연결선 6636">
          <a:extLst>
            <a:ext uri="{FF2B5EF4-FFF2-40B4-BE49-F238E27FC236}">
              <a16:creationId xmlns:a16="http://schemas.microsoft.com/office/drawing/2014/main" id="{11CE23FC-C1F1-4F8D-9373-60DEB8500D0F}"/>
            </a:ext>
          </a:extLst>
        </xdr:cNvPr>
        <xdr:cNvCxnSpPr/>
      </xdr:nvCxnSpPr>
      <xdr:spPr>
        <a:xfrm>
          <a:off x="6591300" y="163906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49258</xdr:colOff>
      <xdr:row>102</xdr:row>
      <xdr:rowOff>140970</xdr:rowOff>
    </xdr:from>
    <xdr:to>
      <xdr:col>41</xdr:col>
      <xdr:colOff>69941</xdr:colOff>
      <xdr:row>103</xdr:row>
      <xdr:rowOff>102870</xdr:rowOff>
    </xdr:to>
    <xdr:sp macro="" textlink="">
      <xdr:nvSpPr>
        <xdr:cNvPr id="6638" name="직사각형 6637">
          <a:extLst>
            <a:ext uri="{FF2B5EF4-FFF2-40B4-BE49-F238E27FC236}">
              <a16:creationId xmlns:a16="http://schemas.microsoft.com/office/drawing/2014/main" id="{79F9FD2C-C0BE-46C1-8131-E0A19227BA0B}"/>
            </a:ext>
          </a:extLst>
        </xdr:cNvPr>
        <xdr:cNvSpPr/>
      </xdr:nvSpPr>
      <xdr:spPr>
        <a:xfrm>
          <a:off x="8059783" y="1602867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49258</xdr:colOff>
      <xdr:row>103</xdr:row>
      <xdr:rowOff>45720</xdr:rowOff>
    </xdr:from>
    <xdr:to>
      <xdr:col>41</xdr:col>
      <xdr:colOff>49258</xdr:colOff>
      <xdr:row>103</xdr:row>
      <xdr:rowOff>45720</xdr:rowOff>
    </xdr:to>
    <xdr:cxnSp macro="">
      <xdr:nvCxnSpPr>
        <xdr:cNvPr id="6639" name="직선 화살표 연결선 6638">
          <a:extLst>
            <a:ext uri="{FF2B5EF4-FFF2-40B4-BE49-F238E27FC236}">
              <a16:creationId xmlns:a16="http://schemas.microsoft.com/office/drawing/2014/main" id="{57E4BFA9-D3E8-402E-8FC7-161AD67EF59C}"/>
            </a:ext>
          </a:extLst>
        </xdr:cNvPr>
        <xdr:cNvCxnSpPr/>
      </xdr:nvCxnSpPr>
      <xdr:spPr>
        <a:xfrm>
          <a:off x="8059783" y="160858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28575</xdr:colOff>
      <xdr:row>101</xdr:row>
      <xdr:rowOff>160020</xdr:rowOff>
    </xdr:from>
    <xdr:to>
      <xdr:col>41</xdr:col>
      <xdr:colOff>49258</xdr:colOff>
      <xdr:row>102</xdr:row>
      <xdr:rowOff>102870</xdr:rowOff>
    </xdr:to>
    <xdr:sp macro="" textlink="">
      <xdr:nvSpPr>
        <xdr:cNvPr id="6640" name="직사각형 6639">
          <a:extLst>
            <a:ext uri="{FF2B5EF4-FFF2-40B4-BE49-F238E27FC236}">
              <a16:creationId xmlns:a16="http://schemas.microsoft.com/office/drawing/2014/main" id="{D5A0F8EF-FB72-4942-8960-0483787CC929}"/>
            </a:ext>
          </a:extLst>
        </xdr:cNvPr>
        <xdr:cNvSpPr/>
      </xdr:nvSpPr>
      <xdr:spPr>
        <a:xfrm>
          <a:off x="8039100" y="1587627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28575</xdr:colOff>
      <xdr:row>102</xdr:row>
      <xdr:rowOff>45720</xdr:rowOff>
    </xdr:from>
    <xdr:to>
      <xdr:col>41</xdr:col>
      <xdr:colOff>28575</xdr:colOff>
      <xdr:row>102</xdr:row>
      <xdr:rowOff>45720</xdr:rowOff>
    </xdr:to>
    <xdr:cxnSp macro="">
      <xdr:nvCxnSpPr>
        <xdr:cNvPr id="6641" name="직선 화살표 연결선 6640">
          <a:extLst>
            <a:ext uri="{FF2B5EF4-FFF2-40B4-BE49-F238E27FC236}">
              <a16:creationId xmlns:a16="http://schemas.microsoft.com/office/drawing/2014/main" id="{19102FE0-E8C8-459B-88C0-C5C108523A9C}"/>
            </a:ext>
          </a:extLst>
        </xdr:cNvPr>
        <xdr:cNvCxnSpPr/>
      </xdr:nvCxnSpPr>
      <xdr:spPr>
        <a:xfrm>
          <a:off x="8039100" y="159334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17145</xdr:colOff>
      <xdr:row>101</xdr:row>
      <xdr:rowOff>0</xdr:rowOff>
    </xdr:from>
    <xdr:to>
      <xdr:col>36</xdr:col>
      <xdr:colOff>122465</xdr:colOff>
      <xdr:row>101</xdr:row>
      <xdr:rowOff>114300</xdr:rowOff>
    </xdr:to>
    <xdr:sp macro="" textlink="">
      <xdr:nvSpPr>
        <xdr:cNvPr id="6642" name="직사각형 6641">
          <a:extLst>
            <a:ext uri="{FF2B5EF4-FFF2-40B4-BE49-F238E27FC236}">
              <a16:creationId xmlns:a16="http://schemas.microsoft.com/office/drawing/2014/main" id="{02883421-504E-4505-9826-50CA75655820}"/>
            </a:ext>
          </a:extLst>
        </xdr:cNvPr>
        <xdr:cNvSpPr/>
      </xdr:nvSpPr>
      <xdr:spPr>
        <a:xfrm>
          <a:off x="7170420" y="15716250"/>
          <a:ext cx="24819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17145</xdr:colOff>
      <xdr:row>101</xdr:row>
      <xdr:rowOff>57150</xdr:rowOff>
    </xdr:from>
    <xdr:to>
      <xdr:col>35</xdr:col>
      <xdr:colOff>17145</xdr:colOff>
      <xdr:row>101</xdr:row>
      <xdr:rowOff>57150</xdr:rowOff>
    </xdr:to>
    <xdr:cxnSp macro="">
      <xdr:nvCxnSpPr>
        <xdr:cNvPr id="6643" name="직선 화살표 연결선 6642">
          <a:extLst>
            <a:ext uri="{FF2B5EF4-FFF2-40B4-BE49-F238E27FC236}">
              <a16:creationId xmlns:a16="http://schemas.microsoft.com/office/drawing/2014/main" id="{5055DBC1-A685-4348-9010-DD9A3ECFD1CF}"/>
            </a:ext>
          </a:extLst>
        </xdr:cNvPr>
        <xdr:cNvCxnSpPr/>
      </xdr:nvCxnSpPr>
      <xdr:spPr>
        <a:xfrm>
          <a:off x="7170420" y="157734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15240</xdr:colOff>
      <xdr:row>99</xdr:row>
      <xdr:rowOff>144780</xdr:rowOff>
    </xdr:from>
    <xdr:to>
      <xdr:col>34</xdr:col>
      <xdr:colOff>118654</xdr:colOff>
      <xdr:row>100</xdr:row>
      <xdr:rowOff>106680</xdr:rowOff>
    </xdr:to>
    <xdr:sp macro="" textlink="">
      <xdr:nvSpPr>
        <xdr:cNvPr id="6644" name="직사각형 6643">
          <a:extLst>
            <a:ext uri="{FF2B5EF4-FFF2-40B4-BE49-F238E27FC236}">
              <a16:creationId xmlns:a16="http://schemas.microsoft.com/office/drawing/2014/main" id="{844DE9C1-6FD3-488D-9393-10F898C82CCE}"/>
            </a:ext>
          </a:extLst>
        </xdr:cNvPr>
        <xdr:cNvSpPr/>
      </xdr:nvSpPr>
      <xdr:spPr>
        <a:xfrm>
          <a:off x="7025640" y="155562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15240</xdr:colOff>
      <xdr:row>100</xdr:row>
      <xdr:rowOff>49530</xdr:rowOff>
    </xdr:from>
    <xdr:to>
      <xdr:col>34</xdr:col>
      <xdr:colOff>15240</xdr:colOff>
      <xdr:row>100</xdr:row>
      <xdr:rowOff>49530</xdr:rowOff>
    </xdr:to>
    <xdr:cxnSp macro="">
      <xdr:nvCxnSpPr>
        <xdr:cNvPr id="6645" name="직선 화살표 연결선 6644">
          <a:extLst>
            <a:ext uri="{FF2B5EF4-FFF2-40B4-BE49-F238E27FC236}">
              <a16:creationId xmlns:a16="http://schemas.microsoft.com/office/drawing/2014/main" id="{C28F3D03-C333-4176-A96F-62FD28A10D41}"/>
            </a:ext>
          </a:extLst>
        </xdr:cNvPr>
        <xdr:cNvCxnSpPr/>
      </xdr:nvCxnSpPr>
      <xdr:spPr>
        <a:xfrm>
          <a:off x="7025640" y="15613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15240</xdr:colOff>
      <xdr:row>98</xdr:row>
      <xdr:rowOff>144780</xdr:rowOff>
    </xdr:from>
    <xdr:to>
      <xdr:col>34</xdr:col>
      <xdr:colOff>118654</xdr:colOff>
      <xdr:row>99</xdr:row>
      <xdr:rowOff>106680</xdr:rowOff>
    </xdr:to>
    <xdr:sp macro="" textlink="">
      <xdr:nvSpPr>
        <xdr:cNvPr id="6646" name="직사각형 6645">
          <a:extLst>
            <a:ext uri="{FF2B5EF4-FFF2-40B4-BE49-F238E27FC236}">
              <a16:creationId xmlns:a16="http://schemas.microsoft.com/office/drawing/2014/main" id="{F44B927C-A61D-4CD9-A277-C939CF56C692}"/>
            </a:ext>
          </a:extLst>
        </xdr:cNvPr>
        <xdr:cNvSpPr/>
      </xdr:nvSpPr>
      <xdr:spPr>
        <a:xfrm>
          <a:off x="7025640" y="154038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15240</xdr:colOff>
      <xdr:row>99</xdr:row>
      <xdr:rowOff>49530</xdr:rowOff>
    </xdr:from>
    <xdr:to>
      <xdr:col>34</xdr:col>
      <xdr:colOff>15240</xdr:colOff>
      <xdr:row>99</xdr:row>
      <xdr:rowOff>49530</xdr:rowOff>
    </xdr:to>
    <xdr:cxnSp macro="">
      <xdr:nvCxnSpPr>
        <xdr:cNvPr id="6647" name="직선 화살표 연결선 6646">
          <a:extLst>
            <a:ext uri="{FF2B5EF4-FFF2-40B4-BE49-F238E27FC236}">
              <a16:creationId xmlns:a16="http://schemas.microsoft.com/office/drawing/2014/main" id="{13FB58D5-74F5-4C6E-A9DC-69686B8A9310}"/>
            </a:ext>
          </a:extLst>
        </xdr:cNvPr>
        <xdr:cNvCxnSpPr/>
      </xdr:nvCxnSpPr>
      <xdr:spPr>
        <a:xfrm>
          <a:off x="7025640" y="15460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15240</xdr:colOff>
      <xdr:row>97</xdr:row>
      <xdr:rowOff>144780</xdr:rowOff>
    </xdr:from>
    <xdr:to>
      <xdr:col>34</xdr:col>
      <xdr:colOff>118654</xdr:colOff>
      <xdr:row>98</xdr:row>
      <xdr:rowOff>106680</xdr:rowOff>
    </xdr:to>
    <xdr:sp macro="" textlink="">
      <xdr:nvSpPr>
        <xdr:cNvPr id="6648" name="직사각형 6647">
          <a:extLst>
            <a:ext uri="{FF2B5EF4-FFF2-40B4-BE49-F238E27FC236}">
              <a16:creationId xmlns:a16="http://schemas.microsoft.com/office/drawing/2014/main" id="{FC0C137E-9445-4B8E-86C9-8F3DCD3AA561}"/>
            </a:ext>
          </a:extLst>
        </xdr:cNvPr>
        <xdr:cNvSpPr/>
      </xdr:nvSpPr>
      <xdr:spPr>
        <a:xfrm>
          <a:off x="7025640" y="152514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15240</xdr:colOff>
      <xdr:row>98</xdr:row>
      <xdr:rowOff>49530</xdr:rowOff>
    </xdr:from>
    <xdr:to>
      <xdr:col>34</xdr:col>
      <xdr:colOff>15240</xdr:colOff>
      <xdr:row>98</xdr:row>
      <xdr:rowOff>49530</xdr:rowOff>
    </xdr:to>
    <xdr:cxnSp macro="">
      <xdr:nvCxnSpPr>
        <xdr:cNvPr id="6649" name="직선 화살표 연결선 6648">
          <a:extLst>
            <a:ext uri="{FF2B5EF4-FFF2-40B4-BE49-F238E27FC236}">
              <a16:creationId xmlns:a16="http://schemas.microsoft.com/office/drawing/2014/main" id="{28BB266D-210E-4DD5-96C9-A87A5A22D33D}"/>
            </a:ext>
          </a:extLst>
        </xdr:cNvPr>
        <xdr:cNvCxnSpPr/>
      </xdr:nvCxnSpPr>
      <xdr:spPr>
        <a:xfrm>
          <a:off x="7025640" y="15308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13335</xdr:colOff>
      <xdr:row>96</xdr:row>
      <xdr:rowOff>144780</xdr:rowOff>
    </xdr:from>
    <xdr:to>
      <xdr:col>33</xdr:col>
      <xdr:colOff>116749</xdr:colOff>
      <xdr:row>97</xdr:row>
      <xdr:rowOff>106680</xdr:rowOff>
    </xdr:to>
    <xdr:sp macro="" textlink="">
      <xdr:nvSpPr>
        <xdr:cNvPr id="6650" name="직사각형 6649">
          <a:extLst>
            <a:ext uri="{FF2B5EF4-FFF2-40B4-BE49-F238E27FC236}">
              <a16:creationId xmlns:a16="http://schemas.microsoft.com/office/drawing/2014/main" id="{9548F749-A157-4780-9F1F-B8CB5B43F0CF}"/>
            </a:ext>
          </a:extLst>
        </xdr:cNvPr>
        <xdr:cNvSpPr/>
      </xdr:nvSpPr>
      <xdr:spPr>
        <a:xfrm>
          <a:off x="6880860" y="150990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13335</xdr:colOff>
      <xdr:row>97</xdr:row>
      <xdr:rowOff>49530</xdr:rowOff>
    </xdr:from>
    <xdr:to>
      <xdr:col>33</xdr:col>
      <xdr:colOff>13335</xdr:colOff>
      <xdr:row>97</xdr:row>
      <xdr:rowOff>49530</xdr:rowOff>
    </xdr:to>
    <xdr:cxnSp macro="">
      <xdr:nvCxnSpPr>
        <xdr:cNvPr id="6651" name="직선 화살표 연결선 6650">
          <a:extLst>
            <a:ext uri="{FF2B5EF4-FFF2-40B4-BE49-F238E27FC236}">
              <a16:creationId xmlns:a16="http://schemas.microsoft.com/office/drawing/2014/main" id="{0A4ABDB7-12AA-4CF0-AC5E-27CD0061CF44}"/>
            </a:ext>
          </a:extLst>
        </xdr:cNvPr>
        <xdr:cNvCxnSpPr/>
      </xdr:nvCxnSpPr>
      <xdr:spPr>
        <a:xfrm>
          <a:off x="6880860" y="15156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13335</xdr:colOff>
      <xdr:row>95</xdr:row>
      <xdr:rowOff>144780</xdr:rowOff>
    </xdr:from>
    <xdr:to>
      <xdr:col>41</xdr:col>
      <xdr:colOff>69941</xdr:colOff>
      <xdr:row>96</xdr:row>
      <xdr:rowOff>106680</xdr:rowOff>
    </xdr:to>
    <xdr:sp macro="" textlink="">
      <xdr:nvSpPr>
        <xdr:cNvPr id="6652" name="직사각형 6651">
          <a:extLst>
            <a:ext uri="{FF2B5EF4-FFF2-40B4-BE49-F238E27FC236}">
              <a16:creationId xmlns:a16="http://schemas.microsoft.com/office/drawing/2014/main" id="{3EFC4322-B92D-469A-BA0F-81EB1007FD1A}"/>
            </a:ext>
          </a:extLst>
        </xdr:cNvPr>
        <xdr:cNvSpPr/>
      </xdr:nvSpPr>
      <xdr:spPr>
        <a:xfrm>
          <a:off x="6880860" y="14946630"/>
          <a:ext cx="119960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13335</xdr:colOff>
      <xdr:row>96</xdr:row>
      <xdr:rowOff>49530</xdr:rowOff>
    </xdr:from>
    <xdr:to>
      <xdr:col>33</xdr:col>
      <xdr:colOff>13335</xdr:colOff>
      <xdr:row>96</xdr:row>
      <xdr:rowOff>49530</xdr:rowOff>
    </xdr:to>
    <xdr:cxnSp macro="">
      <xdr:nvCxnSpPr>
        <xdr:cNvPr id="6653" name="직선 화살표 연결선 6652">
          <a:extLst>
            <a:ext uri="{FF2B5EF4-FFF2-40B4-BE49-F238E27FC236}">
              <a16:creationId xmlns:a16="http://schemas.microsoft.com/office/drawing/2014/main" id="{228564D0-CB05-4F55-82A6-34B46832E596}"/>
            </a:ext>
          </a:extLst>
        </xdr:cNvPr>
        <xdr:cNvCxnSpPr/>
      </xdr:nvCxnSpPr>
      <xdr:spPr>
        <a:xfrm>
          <a:off x="6880860" y="15003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39733</xdr:colOff>
      <xdr:row>93</xdr:row>
      <xdr:rowOff>144780</xdr:rowOff>
    </xdr:from>
    <xdr:to>
      <xdr:col>36</xdr:col>
      <xdr:colOff>60416</xdr:colOff>
      <xdr:row>94</xdr:row>
      <xdr:rowOff>106680</xdr:rowOff>
    </xdr:to>
    <xdr:sp macro="" textlink="">
      <xdr:nvSpPr>
        <xdr:cNvPr id="6654" name="직사각형 6653">
          <a:extLst>
            <a:ext uri="{FF2B5EF4-FFF2-40B4-BE49-F238E27FC236}">
              <a16:creationId xmlns:a16="http://schemas.microsoft.com/office/drawing/2014/main" id="{73A69D0E-3CD9-4874-9B20-90B7817B94E4}"/>
            </a:ext>
          </a:extLst>
        </xdr:cNvPr>
        <xdr:cNvSpPr/>
      </xdr:nvSpPr>
      <xdr:spPr>
        <a:xfrm>
          <a:off x="7335883" y="146418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39733</xdr:colOff>
      <xdr:row>94</xdr:row>
      <xdr:rowOff>49530</xdr:rowOff>
    </xdr:from>
    <xdr:to>
      <xdr:col>36</xdr:col>
      <xdr:colOff>39733</xdr:colOff>
      <xdr:row>94</xdr:row>
      <xdr:rowOff>49530</xdr:rowOff>
    </xdr:to>
    <xdr:cxnSp macro="">
      <xdr:nvCxnSpPr>
        <xdr:cNvPr id="6655" name="직선 화살표 연결선 6654">
          <a:extLst>
            <a:ext uri="{FF2B5EF4-FFF2-40B4-BE49-F238E27FC236}">
              <a16:creationId xmlns:a16="http://schemas.microsoft.com/office/drawing/2014/main" id="{486BBCC4-5969-490D-8A54-3C19DAC6AF63}"/>
            </a:ext>
          </a:extLst>
        </xdr:cNvPr>
        <xdr:cNvCxnSpPr/>
      </xdr:nvCxnSpPr>
      <xdr:spPr>
        <a:xfrm>
          <a:off x="7335883" y="14698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13335</xdr:colOff>
      <xdr:row>91</xdr:row>
      <xdr:rowOff>144780</xdr:rowOff>
    </xdr:from>
    <xdr:to>
      <xdr:col>33</xdr:col>
      <xdr:colOff>75384</xdr:colOff>
      <xdr:row>92</xdr:row>
      <xdr:rowOff>106680</xdr:rowOff>
    </xdr:to>
    <xdr:sp macro="" textlink="">
      <xdr:nvSpPr>
        <xdr:cNvPr id="6656" name="직사각형 6655">
          <a:extLst>
            <a:ext uri="{FF2B5EF4-FFF2-40B4-BE49-F238E27FC236}">
              <a16:creationId xmlns:a16="http://schemas.microsoft.com/office/drawing/2014/main" id="{6A2CB5B2-26AF-4EBF-9937-F17D4B786BEC}"/>
            </a:ext>
          </a:extLst>
        </xdr:cNvPr>
        <xdr:cNvSpPr/>
      </xdr:nvSpPr>
      <xdr:spPr>
        <a:xfrm>
          <a:off x="6880860" y="1433703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13335</xdr:colOff>
      <xdr:row>92</xdr:row>
      <xdr:rowOff>49530</xdr:rowOff>
    </xdr:from>
    <xdr:to>
      <xdr:col>33</xdr:col>
      <xdr:colOff>13335</xdr:colOff>
      <xdr:row>92</xdr:row>
      <xdr:rowOff>49530</xdr:rowOff>
    </xdr:to>
    <xdr:cxnSp macro="">
      <xdr:nvCxnSpPr>
        <xdr:cNvPr id="6657" name="직선 화살표 연결선 6656">
          <a:extLst>
            <a:ext uri="{FF2B5EF4-FFF2-40B4-BE49-F238E27FC236}">
              <a16:creationId xmlns:a16="http://schemas.microsoft.com/office/drawing/2014/main" id="{3A9D54B9-C607-453C-B872-F53EEC14F457}"/>
            </a:ext>
          </a:extLst>
        </xdr:cNvPr>
        <xdr:cNvCxnSpPr/>
      </xdr:nvCxnSpPr>
      <xdr:spPr>
        <a:xfrm>
          <a:off x="6880860" y="14394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11430</xdr:colOff>
      <xdr:row>90</xdr:row>
      <xdr:rowOff>144780</xdr:rowOff>
    </xdr:from>
    <xdr:to>
      <xdr:col>32</xdr:col>
      <xdr:colOff>114844</xdr:colOff>
      <xdr:row>91</xdr:row>
      <xdr:rowOff>106680</xdr:rowOff>
    </xdr:to>
    <xdr:sp macro="" textlink="">
      <xdr:nvSpPr>
        <xdr:cNvPr id="6658" name="직사각형 6657">
          <a:extLst>
            <a:ext uri="{FF2B5EF4-FFF2-40B4-BE49-F238E27FC236}">
              <a16:creationId xmlns:a16="http://schemas.microsoft.com/office/drawing/2014/main" id="{4D003DB6-83A9-4DEC-B384-5EE8464AB157}"/>
            </a:ext>
          </a:extLst>
        </xdr:cNvPr>
        <xdr:cNvSpPr/>
      </xdr:nvSpPr>
      <xdr:spPr>
        <a:xfrm>
          <a:off x="6736080" y="141846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11430</xdr:colOff>
      <xdr:row>91</xdr:row>
      <xdr:rowOff>49530</xdr:rowOff>
    </xdr:from>
    <xdr:to>
      <xdr:col>32</xdr:col>
      <xdr:colOff>11430</xdr:colOff>
      <xdr:row>91</xdr:row>
      <xdr:rowOff>49530</xdr:rowOff>
    </xdr:to>
    <xdr:cxnSp macro="">
      <xdr:nvCxnSpPr>
        <xdr:cNvPr id="6659" name="직선 화살표 연결선 6658">
          <a:extLst>
            <a:ext uri="{FF2B5EF4-FFF2-40B4-BE49-F238E27FC236}">
              <a16:creationId xmlns:a16="http://schemas.microsoft.com/office/drawing/2014/main" id="{C0E20C47-E81F-42B5-B71A-D154F22AE82D}"/>
            </a:ext>
          </a:extLst>
        </xdr:cNvPr>
        <xdr:cNvCxnSpPr/>
      </xdr:nvCxnSpPr>
      <xdr:spPr>
        <a:xfrm>
          <a:off x="6736080" y="14241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11430</xdr:colOff>
      <xdr:row>89</xdr:row>
      <xdr:rowOff>144780</xdr:rowOff>
    </xdr:from>
    <xdr:to>
      <xdr:col>32</xdr:col>
      <xdr:colOff>114844</xdr:colOff>
      <xdr:row>90</xdr:row>
      <xdr:rowOff>106680</xdr:rowOff>
    </xdr:to>
    <xdr:sp macro="" textlink="">
      <xdr:nvSpPr>
        <xdr:cNvPr id="6660" name="직사각형 6659">
          <a:extLst>
            <a:ext uri="{FF2B5EF4-FFF2-40B4-BE49-F238E27FC236}">
              <a16:creationId xmlns:a16="http://schemas.microsoft.com/office/drawing/2014/main" id="{02F386D0-272B-40C5-8365-BB59F347C4F8}"/>
            </a:ext>
          </a:extLst>
        </xdr:cNvPr>
        <xdr:cNvSpPr/>
      </xdr:nvSpPr>
      <xdr:spPr>
        <a:xfrm>
          <a:off x="6736080" y="140322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11430</xdr:colOff>
      <xdr:row>90</xdr:row>
      <xdr:rowOff>49530</xdr:rowOff>
    </xdr:from>
    <xdr:to>
      <xdr:col>32</xdr:col>
      <xdr:colOff>11430</xdr:colOff>
      <xdr:row>90</xdr:row>
      <xdr:rowOff>49530</xdr:rowOff>
    </xdr:to>
    <xdr:cxnSp macro="">
      <xdr:nvCxnSpPr>
        <xdr:cNvPr id="6661" name="직선 화살표 연결선 6660">
          <a:extLst>
            <a:ext uri="{FF2B5EF4-FFF2-40B4-BE49-F238E27FC236}">
              <a16:creationId xmlns:a16="http://schemas.microsoft.com/office/drawing/2014/main" id="{5774F33C-56FE-4FCB-A045-199872E7E861}"/>
            </a:ext>
          </a:extLst>
        </xdr:cNvPr>
        <xdr:cNvCxnSpPr/>
      </xdr:nvCxnSpPr>
      <xdr:spPr>
        <a:xfrm>
          <a:off x="6736080" y="1408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9525</xdr:colOff>
      <xdr:row>88</xdr:row>
      <xdr:rowOff>144780</xdr:rowOff>
    </xdr:from>
    <xdr:to>
      <xdr:col>31</xdr:col>
      <xdr:colOff>112940</xdr:colOff>
      <xdr:row>89</xdr:row>
      <xdr:rowOff>106680</xdr:rowOff>
    </xdr:to>
    <xdr:sp macro="" textlink="">
      <xdr:nvSpPr>
        <xdr:cNvPr id="6662" name="직사각형 6661">
          <a:extLst>
            <a:ext uri="{FF2B5EF4-FFF2-40B4-BE49-F238E27FC236}">
              <a16:creationId xmlns:a16="http://schemas.microsoft.com/office/drawing/2014/main" id="{B7BE4981-8369-4325-BED7-C84C2E40A29C}"/>
            </a:ext>
          </a:extLst>
        </xdr:cNvPr>
        <xdr:cNvSpPr/>
      </xdr:nvSpPr>
      <xdr:spPr>
        <a:xfrm>
          <a:off x="6591300" y="13879830"/>
          <a:ext cx="10341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9525</xdr:colOff>
      <xdr:row>89</xdr:row>
      <xdr:rowOff>49530</xdr:rowOff>
    </xdr:from>
    <xdr:to>
      <xdr:col>31</xdr:col>
      <xdr:colOff>9525</xdr:colOff>
      <xdr:row>89</xdr:row>
      <xdr:rowOff>49530</xdr:rowOff>
    </xdr:to>
    <xdr:cxnSp macro="">
      <xdr:nvCxnSpPr>
        <xdr:cNvPr id="6663" name="직선 화살표 연결선 6662">
          <a:extLst>
            <a:ext uri="{FF2B5EF4-FFF2-40B4-BE49-F238E27FC236}">
              <a16:creationId xmlns:a16="http://schemas.microsoft.com/office/drawing/2014/main" id="{8B78C8D0-8EF3-4269-A853-91CFFA9059A4}"/>
            </a:ext>
          </a:extLst>
        </xdr:cNvPr>
        <xdr:cNvCxnSpPr/>
      </xdr:nvCxnSpPr>
      <xdr:spPr>
        <a:xfrm>
          <a:off x="6591300" y="1393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7620</xdr:colOff>
      <xdr:row>87</xdr:row>
      <xdr:rowOff>144780</xdr:rowOff>
    </xdr:from>
    <xdr:to>
      <xdr:col>31</xdr:col>
      <xdr:colOff>112940</xdr:colOff>
      <xdr:row>88</xdr:row>
      <xdr:rowOff>106680</xdr:rowOff>
    </xdr:to>
    <xdr:sp macro="" textlink="">
      <xdr:nvSpPr>
        <xdr:cNvPr id="6664" name="직사각형 6663">
          <a:extLst>
            <a:ext uri="{FF2B5EF4-FFF2-40B4-BE49-F238E27FC236}">
              <a16:creationId xmlns:a16="http://schemas.microsoft.com/office/drawing/2014/main" id="{4F762A68-AB1C-45AA-B386-33F7116AC1D4}"/>
            </a:ext>
          </a:extLst>
        </xdr:cNvPr>
        <xdr:cNvSpPr/>
      </xdr:nvSpPr>
      <xdr:spPr>
        <a:xfrm>
          <a:off x="6446520" y="13727430"/>
          <a:ext cx="24819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7620</xdr:colOff>
      <xdr:row>88</xdr:row>
      <xdr:rowOff>49530</xdr:rowOff>
    </xdr:from>
    <xdr:to>
      <xdr:col>30</xdr:col>
      <xdr:colOff>57259</xdr:colOff>
      <xdr:row>88</xdr:row>
      <xdr:rowOff>49530</xdr:rowOff>
    </xdr:to>
    <xdr:cxnSp macro="">
      <xdr:nvCxnSpPr>
        <xdr:cNvPr id="6665" name="직선 화살표 연결선 6664">
          <a:extLst>
            <a:ext uri="{FF2B5EF4-FFF2-40B4-BE49-F238E27FC236}">
              <a16:creationId xmlns:a16="http://schemas.microsoft.com/office/drawing/2014/main" id="{5476ECDB-7AF8-4C42-95F9-7115799BEBC5}"/>
            </a:ext>
          </a:extLst>
        </xdr:cNvPr>
        <xdr:cNvCxnSpPr/>
      </xdr:nvCxnSpPr>
      <xdr:spPr>
        <a:xfrm>
          <a:off x="6446520" y="13784580"/>
          <a:ext cx="4963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7620</xdr:colOff>
      <xdr:row>86</xdr:row>
      <xdr:rowOff>144780</xdr:rowOff>
    </xdr:from>
    <xdr:to>
      <xdr:col>36</xdr:col>
      <xdr:colOff>60416</xdr:colOff>
      <xdr:row>87</xdr:row>
      <xdr:rowOff>106680</xdr:rowOff>
    </xdr:to>
    <xdr:sp macro="" textlink="">
      <xdr:nvSpPr>
        <xdr:cNvPr id="6666" name="직사각형 6665">
          <a:extLst>
            <a:ext uri="{FF2B5EF4-FFF2-40B4-BE49-F238E27FC236}">
              <a16:creationId xmlns:a16="http://schemas.microsoft.com/office/drawing/2014/main" id="{38582632-C190-4DE6-BC42-D6EF622E5D97}"/>
            </a:ext>
          </a:extLst>
        </xdr:cNvPr>
        <xdr:cNvSpPr/>
      </xdr:nvSpPr>
      <xdr:spPr>
        <a:xfrm>
          <a:off x="6446520" y="13575030"/>
          <a:ext cx="91004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7620</xdr:colOff>
      <xdr:row>87</xdr:row>
      <xdr:rowOff>49530</xdr:rowOff>
    </xdr:from>
    <xdr:to>
      <xdr:col>30</xdr:col>
      <xdr:colOff>70382</xdr:colOff>
      <xdr:row>87</xdr:row>
      <xdr:rowOff>49530</xdr:rowOff>
    </xdr:to>
    <xdr:cxnSp macro="">
      <xdr:nvCxnSpPr>
        <xdr:cNvPr id="6667" name="직선 화살표 연결선 6666">
          <a:extLst>
            <a:ext uri="{FF2B5EF4-FFF2-40B4-BE49-F238E27FC236}">
              <a16:creationId xmlns:a16="http://schemas.microsoft.com/office/drawing/2014/main" id="{AEA4A676-ED2F-4EA9-96DD-E76FCBC4D7F1}"/>
            </a:ext>
          </a:extLst>
        </xdr:cNvPr>
        <xdr:cNvCxnSpPr/>
      </xdr:nvCxnSpPr>
      <xdr:spPr>
        <a:xfrm>
          <a:off x="6446520" y="13632180"/>
          <a:ext cx="6276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17145</xdr:colOff>
      <xdr:row>85</xdr:row>
      <xdr:rowOff>3809</xdr:rowOff>
    </xdr:from>
    <xdr:to>
      <xdr:col>35</xdr:col>
      <xdr:colOff>58510</xdr:colOff>
      <xdr:row>85</xdr:row>
      <xdr:rowOff>118109</xdr:rowOff>
    </xdr:to>
    <xdr:sp macro="" textlink="">
      <xdr:nvSpPr>
        <xdr:cNvPr id="6668" name="직사각형 6667">
          <a:extLst>
            <a:ext uri="{FF2B5EF4-FFF2-40B4-BE49-F238E27FC236}">
              <a16:creationId xmlns:a16="http://schemas.microsoft.com/office/drawing/2014/main" id="{8ABCCA1D-8771-43FF-A891-84EC684A55E4}"/>
            </a:ext>
          </a:extLst>
        </xdr:cNvPr>
        <xdr:cNvSpPr/>
      </xdr:nvSpPr>
      <xdr:spPr>
        <a:xfrm>
          <a:off x="7170420" y="13262609"/>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17145</xdr:colOff>
      <xdr:row>85</xdr:row>
      <xdr:rowOff>60959</xdr:rowOff>
    </xdr:from>
    <xdr:to>
      <xdr:col>35</xdr:col>
      <xdr:colOff>17145</xdr:colOff>
      <xdr:row>85</xdr:row>
      <xdr:rowOff>60959</xdr:rowOff>
    </xdr:to>
    <xdr:cxnSp macro="">
      <xdr:nvCxnSpPr>
        <xdr:cNvPr id="6669" name="직선 화살표 연결선 6668">
          <a:extLst>
            <a:ext uri="{FF2B5EF4-FFF2-40B4-BE49-F238E27FC236}">
              <a16:creationId xmlns:a16="http://schemas.microsoft.com/office/drawing/2014/main" id="{854E5F3C-BC41-4284-94A4-09B0058AF559}"/>
            </a:ext>
          </a:extLst>
        </xdr:cNvPr>
        <xdr:cNvCxnSpPr/>
      </xdr:nvCxnSpPr>
      <xdr:spPr>
        <a:xfrm>
          <a:off x="7170420" y="1331975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17145</xdr:colOff>
      <xdr:row>83</xdr:row>
      <xdr:rowOff>148589</xdr:rowOff>
    </xdr:from>
    <xdr:to>
      <xdr:col>35</xdr:col>
      <xdr:colOff>120559</xdr:colOff>
      <xdr:row>84</xdr:row>
      <xdr:rowOff>110489</xdr:rowOff>
    </xdr:to>
    <xdr:sp macro="" textlink="">
      <xdr:nvSpPr>
        <xdr:cNvPr id="6670" name="직사각형 6669">
          <a:extLst>
            <a:ext uri="{FF2B5EF4-FFF2-40B4-BE49-F238E27FC236}">
              <a16:creationId xmlns:a16="http://schemas.microsoft.com/office/drawing/2014/main" id="{DF1C3AE4-5A2D-40BA-85B3-F20D139B73BF}"/>
            </a:ext>
          </a:extLst>
        </xdr:cNvPr>
        <xdr:cNvSpPr/>
      </xdr:nvSpPr>
      <xdr:spPr>
        <a:xfrm>
          <a:off x="7170420" y="13102589"/>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17145</xdr:colOff>
      <xdr:row>84</xdr:row>
      <xdr:rowOff>53339</xdr:rowOff>
    </xdr:from>
    <xdr:to>
      <xdr:col>35</xdr:col>
      <xdr:colOff>17145</xdr:colOff>
      <xdr:row>84</xdr:row>
      <xdr:rowOff>53339</xdr:rowOff>
    </xdr:to>
    <xdr:cxnSp macro="">
      <xdr:nvCxnSpPr>
        <xdr:cNvPr id="6671" name="직선 화살표 연결선 6670">
          <a:extLst>
            <a:ext uri="{FF2B5EF4-FFF2-40B4-BE49-F238E27FC236}">
              <a16:creationId xmlns:a16="http://schemas.microsoft.com/office/drawing/2014/main" id="{D05EE29A-B8C2-42EE-80C4-A43FAEA29420}"/>
            </a:ext>
          </a:extLst>
        </xdr:cNvPr>
        <xdr:cNvCxnSpPr/>
      </xdr:nvCxnSpPr>
      <xdr:spPr>
        <a:xfrm>
          <a:off x="7170420" y="13159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13335</xdr:colOff>
      <xdr:row>82</xdr:row>
      <xdr:rowOff>148590</xdr:rowOff>
    </xdr:from>
    <xdr:to>
      <xdr:col>34</xdr:col>
      <xdr:colOff>118654</xdr:colOff>
      <xdr:row>83</xdr:row>
      <xdr:rowOff>110489</xdr:rowOff>
    </xdr:to>
    <xdr:sp macro="" textlink="">
      <xdr:nvSpPr>
        <xdr:cNvPr id="6672" name="직사각형 6671">
          <a:extLst>
            <a:ext uri="{FF2B5EF4-FFF2-40B4-BE49-F238E27FC236}">
              <a16:creationId xmlns:a16="http://schemas.microsoft.com/office/drawing/2014/main" id="{292A5A82-6DF3-4467-B2F2-82E86FABDC30}"/>
            </a:ext>
          </a:extLst>
        </xdr:cNvPr>
        <xdr:cNvSpPr/>
      </xdr:nvSpPr>
      <xdr:spPr>
        <a:xfrm>
          <a:off x="6880860" y="12950190"/>
          <a:ext cx="248194" cy="114299"/>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13335</xdr:colOff>
      <xdr:row>83</xdr:row>
      <xdr:rowOff>53339</xdr:rowOff>
    </xdr:from>
    <xdr:to>
      <xdr:col>33</xdr:col>
      <xdr:colOff>13335</xdr:colOff>
      <xdr:row>83</xdr:row>
      <xdr:rowOff>53339</xdr:rowOff>
    </xdr:to>
    <xdr:cxnSp macro="">
      <xdr:nvCxnSpPr>
        <xdr:cNvPr id="6673" name="직선 화살표 연결선 6672">
          <a:extLst>
            <a:ext uri="{FF2B5EF4-FFF2-40B4-BE49-F238E27FC236}">
              <a16:creationId xmlns:a16="http://schemas.microsoft.com/office/drawing/2014/main" id="{B1F85308-712B-4FA2-AA68-01B71D784DD0}"/>
            </a:ext>
          </a:extLst>
        </xdr:cNvPr>
        <xdr:cNvCxnSpPr/>
      </xdr:nvCxnSpPr>
      <xdr:spPr>
        <a:xfrm>
          <a:off x="6880860" y="13007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11430</xdr:colOff>
      <xdr:row>81</xdr:row>
      <xdr:rowOff>167640</xdr:rowOff>
    </xdr:from>
    <xdr:to>
      <xdr:col>32</xdr:col>
      <xdr:colOff>114844</xdr:colOff>
      <xdr:row>82</xdr:row>
      <xdr:rowOff>110490</xdr:rowOff>
    </xdr:to>
    <xdr:sp macro="" textlink="">
      <xdr:nvSpPr>
        <xdr:cNvPr id="6674" name="직사각형 6673">
          <a:extLst>
            <a:ext uri="{FF2B5EF4-FFF2-40B4-BE49-F238E27FC236}">
              <a16:creationId xmlns:a16="http://schemas.microsoft.com/office/drawing/2014/main" id="{995007E2-B383-493C-90C0-81BFB467F3DF}"/>
            </a:ext>
          </a:extLst>
        </xdr:cNvPr>
        <xdr:cNvSpPr/>
      </xdr:nvSpPr>
      <xdr:spPr>
        <a:xfrm>
          <a:off x="6736080" y="1279779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11430</xdr:colOff>
      <xdr:row>82</xdr:row>
      <xdr:rowOff>53340</xdr:rowOff>
    </xdr:from>
    <xdr:to>
      <xdr:col>32</xdr:col>
      <xdr:colOff>11430</xdr:colOff>
      <xdr:row>82</xdr:row>
      <xdr:rowOff>53340</xdr:rowOff>
    </xdr:to>
    <xdr:cxnSp macro="">
      <xdr:nvCxnSpPr>
        <xdr:cNvPr id="6675" name="직선 화살표 연결선 6674">
          <a:extLst>
            <a:ext uri="{FF2B5EF4-FFF2-40B4-BE49-F238E27FC236}">
              <a16:creationId xmlns:a16="http://schemas.microsoft.com/office/drawing/2014/main" id="{C27E4F0D-1EF4-4B6A-BE82-1B08E9C8E658}"/>
            </a:ext>
          </a:extLst>
        </xdr:cNvPr>
        <xdr:cNvCxnSpPr/>
      </xdr:nvCxnSpPr>
      <xdr:spPr>
        <a:xfrm>
          <a:off x="6736080" y="12854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7620</xdr:colOff>
      <xdr:row>81</xdr:row>
      <xdr:rowOff>7620</xdr:rowOff>
    </xdr:from>
    <xdr:to>
      <xdr:col>31</xdr:col>
      <xdr:colOff>112940</xdr:colOff>
      <xdr:row>81</xdr:row>
      <xdr:rowOff>121920</xdr:rowOff>
    </xdr:to>
    <xdr:sp macro="" textlink="">
      <xdr:nvSpPr>
        <xdr:cNvPr id="6676" name="직사각형 6675">
          <a:extLst>
            <a:ext uri="{FF2B5EF4-FFF2-40B4-BE49-F238E27FC236}">
              <a16:creationId xmlns:a16="http://schemas.microsoft.com/office/drawing/2014/main" id="{39CA0FE2-6850-4681-8EDD-6EB71F385303}"/>
            </a:ext>
          </a:extLst>
        </xdr:cNvPr>
        <xdr:cNvSpPr/>
      </xdr:nvSpPr>
      <xdr:spPr>
        <a:xfrm>
          <a:off x="6446520" y="12637770"/>
          <a:ext cx="24819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7620</xdr:colOff>
      <xdr:row>81</xdr:row>
      <xdr:rowOff>64770</xdr:rowOff>
    </xdr:from>
    <xdr:to>
      <xdr:col>30</xdr:col>
      <xdr:colOff>82079</xdr:colOff>
      <xdr:row>81</xdr:row>
      <xdr:rowOff>64770</xdr:rowOff>
    </xdr:to>
    <xdr:cxnSp macro="">
      <xdr:nvCxnSpPr>
        <xdr:cNvPr id="6677" name="직선 화살표 연결선 6676">
          <a:extLst>
            <a:ext uri="{FF2B5EF4-FFF2-40B4-BE49-F238E27FC236}">
              <a16:creationId xmlns:a16="http://schemas.microsoft.com/office/drawing/2014/main" id="{40DA9B1A-17ED-4E2C-B953-4476A8C4889F}"/>
            </a:ext>
          </a:extLst>
        </xdr:cNvPr>
        <xdr:cNvCxnSpPr/>
      </xdr:nvCxnSpPr>
      <xdr:spPr>
        <a:xfrm>
          <a:off x="6446520" y="12694920"/>
          <a:ext cx="7445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7620</xdr:colOff>
      <xdr:row>80</xdr:row>
      <xdr:rowOff>0</xdr:rowOff>
    </xdr:from>
    <xdr:to>
      <xdr:col>35</xdr:col>
      <xdr:colOff>120559</xdr:colOff>
      <xdr:row>80</xdr:row>
      <xdr:rowOff>114300</xdr:rowOff>
    </xdr:to>
    <xdr:sp macro="" textlink="">
      <xdr:nvSpPr>
        <xdr:cNvPr id="6678" name="직사각형 6677">
          <a:extLst>
            <a:ext uri="{FF2B5EF4-FFF2-40B4-BE49-F238E27FC236}">
              <a16:creationId xmlns:a16="http://schemas.microsoft.com/office/drawing/2014/main" id="{FB2126B5-A893-4084-BC1C-CDB64510A6A7}"/>
            </a:ext>
          </a:extLst>
        </xdr:cNvPr>
        <xdr:cNvSpPr/>
      </xdr:nvSpPr>
      <xdr:spPr>
        <a:xfrm>
          <a:off x="6446520" y="12477750"/>
          <a:ext cx="82731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7620</xdr:colOff>
      <xdr:row>80</xdr:row>
      <xdr:rowOff>57150</xdr:rowOff>
    </xdr:from>
    <xdr:to>
      <xdr:col>30</xdr:col>
      <xdr:colOff>85181</xdr:colOff>
      <xdr:row>80</xdr:row>
      <xdr:rowOff>57150</xdr:rowOff>
    </xdr:to>
    <xdr:cxnSp macro="">
      <xdr:nvCxnSpPr>
        <xdr:cNvPr id="6679" name="직선 화살표 연결선 6678">
          <a:extLst>
            <a:ext uri="{FF2B5EF4-FFF2-40B4-BE49-F238E27FC236}">
              <a16:creationId xmlns:a16="http://schemas.microsoft.com/office/drawing/2014/main" id="{B70C70F2-570C-4C52-BED3-939DC1A4291F}"/>
            </a:ext>
          </a:extLst>
        </xdr:cNvPr>
        <xdr:cNvCxnSpPr/>
      </xdr:nvCxnSpPr>
      <xdr:spPr>
        <a:xfrm>
          <a:off x="6446520" y="12534900"/>
          <a:ext cx="775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17145</xdr:colOff>
      <xdr:row>78</xdr:row>
      <xdr:rowOff>0</xdr:rowOff>
    </xdr:from>
    <xdr:to>
      <xdr:col>35</xdr:col>
      <xdr:colOff>120559</xdr:colOff>
      <xdr:row>78</xdr:row>
      <xdr:rowOff>114300</xdr:rowOff>
    </xdr:to>
    <xdr:sp macro="" textlink="">
      <xdr:nvSpPr>
        <xdr:cNvPr id="6680" name="직사각형 6679">
          <a:extLst>
            <a:ext uri="{FF2B5EF4-FFF2-40B4-BE49-F238E27FC236}">
              <a16:creationId xmlns:a16="http://schemas.microsoft.com/office/drawing/2014/main" id="{FB762B7F-399E-426B-A7CB-C90865FC7911}"/>
            </a:ext>
          </a:extLst>
        </xdr:cNvPr>
        <xdr:cNvSpPr/>
      </xdr:nvSpPr>
      <xdr:spPr>
        <a:xfrm>
          <a:off x="7170420" y="1217295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17145</xdr:colOff>
      <xdr:row>78</xdr:row>
      <xdr:rowOff>57150</xdr:rowOff>
    </xdr:from>
    <xdr:to>
      <xdr:col>35</xdr:col>
      <xdr:colOff>17145</xdr:colOff>
      <xdr:row>78</xdr:row>
      <xdr:rowOff>57150</xdr:rowOff>
    </xdr:to>
    <xdr:cxnSp macro="">
      <xdr:nvCxnSpPr>
        <xdr:cNvPr id="6681" name="직선 화살표 연결선 6680">
          <a:extLst>
            <a:ext uri="{FF2B5EF4-FFF2-40B4-BE49-F238E27FC236}">
              <a16:creationId xmlns:a16="http://schemas.microsoft.com/office/drawing/2014/main" id="{39BDC336-DC23-45A0-B0E3-6689FD6BAD3A}"/>
            </a:ext>
          </a:extLst>
        </xdr:cNvPr>
        <xdr:cNvCxnSpPr/>
      </xdr:nvCxnSpPr>
      <xdr:spPr>
        <a:xfrm>
          <a:off x="7170420" y="122301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13335</xdr:colOff>
      <xdr:row>77</xdr:row>
      <xdr:rowOff>0</xdr:rowOff>
    </xdr:from>
    <xdr:to>
      <xdr:col>34</xdr:col>
      <xdr:colOff>118654</xdr:colOff>
      <xdr:row>77</xdr:row>
      <xdr:rowOff>114300</xdr:rowOff>
    </xdr:to>
    <xdr:sp macro="" textlink="">
      <xdr:nvSpPr>
        <xdr:cNvPr id="6682" name="직사각형 6681">
          <a:extLst>
            <a:ext uri="{FF2B5EF4-FFF2-40B4-BE49-F238E27FC236}">
              <a16:creationId xmlns:a16="http://schemas.microsoft.com/office/drawing/2014/main" id="{7BEFF357-CE9A-412D-A150-0C25297B90C4}"/>
            </a:ext>
          </a:extLst>
        </xdr:cNvPr>
        <xdr:cNvSpPr/>
      </xdr:nvSpPr>
      <xdr:spPr>
        <a:xfrm>
          <a:off x="6880860" y="12020550"/>
          <a:ext cx="24819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13335</xdr:colOff>
      <xdr:row>77</xdr:row>
      <xdr:rowOff>57150</xdr:rowOff>
    </xdr:from>
    <xdr:to>
      <xdr:col>33</xdr:col>
      <xdr:colOff>13335</xdr:colOff>
      <xdr:row>77</xdr:row>
      <xdr:rowOff>57150</xdr:rowOff>
    </xdr:to>
    <xdr:cxnSp macro="">
      <xdr:nvCxnSpPr>
        <xdr:cNvPr id="6683" name="직선 화살표 연결선 6682">
          <a:extLst>
            <a:ext uri="{FF2B5EF4-FFF2-40B4-BE49-F238E27FC236}">
              <a16:creationId xmlns:a16="http://schemas.microsoft.com/office/drawing/2014/main" id="{0E0A499D-0C70-40A1-BDCB-E1DE0BB9AEC5}"/>
            </a:ext>
          </a:extLst>
        </xdr:cNvPr>
        <xdr:cNvCxnSpPr/>
      </xdr:nvCxnSpPr>
      <xdr:spPr>
        <a:xfrm>
          <a:off x="6880860" y="120777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7620</xdr:colOff>
      <xdr:row>76</xdr:row>
      <xdr:rowOff>11430</xdr:rowOff>
    </xdr:from>
    <xdr:to>
      <xdr:col>32</xdr:col>
      <xdr:colOff>114844</xdr:colOff>
      <xdr:row>76</xdr:row>
      <xdr:rowOff>125730</xdr:rowOff>
    </xdr:to>
    <xdr:sp macro="" textlink="">
      <xdr:nvSpPr>
        <xdr:cNvPr id="6684" name="직사각형 6683">
          <a:extLst>
            <a:ext uri="{FF2B5EF4-FFF2-40B4-BE49-F238E27FC236}">
              <a16:creationId xmlns:a16="http://schemas.microsoft.com/office/drawing/2014/main" id="{A7B55E4B-3C78-4A1C-BA28-7C31D744D6DC}"/>
            </a:ext>
          </a:extLst>
        </xdr:cNvPr>
        <xdr:cNvSpPr/>
      </xdr:nvSpPr>
      <xdr:spPr>
        <a:xfrm>
          <a:off x="6446520" y="11860530"/>
          <a:ext cx="39297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7620</xdr:colOff>
      <xdr:row>76</xdr:row>
      <xdr:rowOff>68580</xdr:rowOff>
    </xdr:from>
    <xdr:to>
      <xdr:col>30</xdr:col>
      <xdr:colOff>46917</xdr:colOff>
      <xdr:row>76</xdr:row>
      <xdr:rowOff>68580</xdr:rowOff>
    </xdr:to>
    <xdr:cxnSp macro="">
      <xdr:nvCxnSpPr>
        <xdr:cNvPr id="6685" name="직선 화살표 연결선 6684">
          <a:extLst>
            <a:ext uri="{FF2B5EF4-FFF2-40B4-BE49-F238E27FC236}">
              <a16:creationId xmlns:a16="http://schemas.microsoft.com/office/drawing/2014/main" id="{0139F6BC-B1A0-4C59-8C85-A7662D6F6E26}"/>
            </a:ext>
          </a:extLst>
        </xdr:cNvPr>
        <xdr:cNvCxnSpPr/>
      </xdr:nvCxnSpPr>
      <xdr:spPr>
        <a:xfrm>
          <a:off x="6446520" y="11917680"/>
          <a:ext cx="392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7620</xdr:colOff>
      <xdr:row>74</xdr:row>
      <xdr:rowOff>3810</xdr:rowOff>
    </xdr:from>
    <xdr:to>
      <xdr:col>35</xdr:col>
      <xdr:colOff>120559</xdr:colOff>
      <xdr:row>74</xdr:row>
      <xdr:rowOff>118110</xdr:rowOff>
    </xdr:to>
    <xdr:sp macro="" textlink="">
      <xdr:nvSpPr>
        <xdr:cNvPr id="6686" name="직사각형 6685">
          <a:extLst>
            <a:ext uri="{FF2B5EF4-FFF2-40B4-BE49-F238E27FC236}">
              <a16:creationId xmlns:a16="http://schemas.microsoft.com/office/drawing/2014/main" id="{E6A10B30-7EDF-4942-A1F5-BD7DB0DD5F83}"/>
            </a:ext>
          </a:extLst>
        </xdr:cNvPr>
        <xdr:cNvSpPr/>
      </xdr:nvSpPr>
      <xdr:spPr>
        <a:xfrm>
          <a:off x="6446520" y="11548110"/>
          <a:ext cx="82731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7620</xdr:colOff>
      <xdr:row>74</xdr:row>
      <xdr:rowOff>60960</xdr:rowOff>
    </xdr:from>
    <xdr:to>
      <xdr:col>30</xdr:col>
      <xdr:colOff>48986</xdr:colOff>
      <xdr:row>74</xdr:row>
      <xdr:rowOff>60960</xdr:rowOff>
    </xdr:to>
    <xdr:cxnSp macro="">
      <xdr:nvCxnSpPr>
        <xdr:cNvPr id="6687" name="직선 화살표 연결선 6686">
          <a:extLst>
            <a:ext uri="{FF2B5EF4-FFF2-40B4-BE49-F238E27FC236}">
              <a16:creationId xmlns:a16="http://schemas.microsoft.com/office/drawing/2014/main" id="{4E5137C2-D41E-4FDD-9504-6D6647A731AE}"/>
            </a:ext>
          </a:extLst>
        </xdr:cNvPr>
        <xdr:cNvCxnSpPr/>
      </xdr:nvCxnSpPr>
      <xdr:spPr>
        <a:xfrm>
          <a:off x="6446520" y="1160526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39733</xdr:colOff>
      <xdr:row>72</xdr:row>
      <xdr:rowOff>3810</xdr:rowOff>
    </xdr:from>
    <xdr:to>
      <xdr:col>36</xdr:col>
      <xdr:colOff>60416</xdr:colOff>
      <xdr:row>72</xdr:row>
      <xdr:rowOff>118110</xdr:rowOff>
    </xdr:to>
    <xdr:sp macro="" textlink="">
      <xdr:nvSpPr>
        <xdr:cNvPr id="6688" name="직사각형 6687">
          <a:extLst>
            <a:ext uri="{FF2B5EF4-FFF2-40B4-BE49-F238E27FC236}">
              <a16:creationId xmlns:a16="http://schemas.microsoft.com/office/drawing/2014/main" id="{1FF33DD8-D824-43F9-816B-C2CCDAC083E2}"/>
            </a:ext>
          </a:extLst>
        </xdr:cNvPr>
        <xdr:cNvSpPr/>
      </xdr:nvSpPr>
      <xdr:spPr>
        <a:xfrm>
          <a:off x="7335883" y="1124331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39733</xdr:colOff>
      <xdr:row>72</xdr:row>
      <xdr:rowOff>60960</xdr:rowOff>
    </xdr:from>
    <xdr:to>
      <xdr:col>36</xdr:col>
      <xdr:colOff>39733</xdr:colOff>
      <xdr:row>72</xdr:row>
      <xdr:rowOff>60960</xdr:rowOff>
    </xdr:to>
    <xdr:cxnSp macro="">
      <xdr:nvCxnSpPr>
        <xdr:cNvPr id="6689" name="직선 화살표 연결선 6688">
          <a:extLst>
            <a:ext uri="{FF2B5EF4-FFF2-40B4-BE49-F238E27FC236}">
              <a16:creationId xmlns:a16="http://schemas.microsoft.com/office/drawing/2014/main" id="{BADFEEF8-4F30-4B0A-8801-A479A50ECF26}"/>
            </a:ext>
          </a:extLst>
        </xdr:cNvPr>
        <xdr:cNvCxnSpPr/>
      </xdr:nvCxnSpPr>
      <xdr:spPr>
        <a:xfrm>
          <a:off x="7335883" y="1130046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19050</xdr:colOff>
      <xdr:row>71</xdr:row>
      <xdr:rowOff>3810</xdr:rowOff>
    </xdr:from>
    <xdr:to>
      <xdr:col>36</xdr:col>
      <xdr:colOff>39733</xdr:colOff>
      <xdr:row>71</xdr:row>
      <xdr:rowOff>118110</xdr:rowOff>
    </xdr:to>
    <xdr:sp macro="" textlink="">
      <xdr:nvSpPr>
        <xdr:cNvPr id="6690" name="직사각형 6689">
          <a:extLst>
            <a:ext uri="{FF2B5EF4-FFF2-40B4-BE49-F238E27FC236}">
              <a16:creationId xmlns:a16="http://schemas.microsoft.com/office/drawing/2014/main" id="{4F3A4AC9-E751-483C-9397-7F3A53B46127}"/>
            </a:ext>
          </a:extLst>
        </xdr:cNvPr>
        <xdr:cNvSpPr/>
      </xdr:nvSpPr>
      <xdr:spPr>
        <a:xfrm>
          <a:off x="7315200" y="1109091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19050</xdr:colOff>
      <xdr:row>71</xdr:row>
      <xdr:rowOff>60960</xdr:rowOff>
    </xdr:from>
    <xdr:to>
      <xdr:col>36</xdr:col>
      <xdr:colOff>19050</xdr:colOff>
      <xdr:row>71</xdr:row>
      <xdr:rowOff>60960</xdr:rowOff>
    </xdr:to>
    <xdr:cxnSp macro="">
      <xdr:nvCxnSpPr>
        <xdr:cNvPr id="6691" name="직선 화살표 연결선 6690">
          <a:extLst>
            <a:ext uri="{FF2B5EF4-FFF2-40B4-BE49-F238E27FC236}">
              <a16:creationId xmlns:a16="http://schemas.microsoft.com/office/drawing/2014/main" id="{131F0B5E-C30E-4212-8569-C7A3F26CD917}"/>
            </a:ext>
          </a:extLst>
        </xdr:cNvPr>
        <xdr:cNvCxnSpPr/>
      </xdr:nvCxnSpPr>
      <xdr:spPr>
        <a:xfrm>
          <a:off x="7315200" y="1114806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7620</xdr:colOff>
      <xdr:row>70</xdr:row>
      <xdr:rowOff>15239</xdr:rowOff>
    </xdr:from>
    <xdr:to>
      <xdr:col>32</xdr:col>
      <xdr:colOff>114844</xdr:colOff>
      <xdr:row>70</xdr:row>
      <xdr:rowOff>129539</xdr:rowOff>
    </xdr:to>
    <xdr:sp macro="" textlink="">
      <xdr:nvSpPr>
        <xdr:cNvPr id="6692" name="직사각형 6691">
          <a:extLst>
            <a:ext uri="{FF2B5EF4-FFF2-40B4-BE49-F238E27FC236}">
              <a16:creationId xmlns:a16="http://schemas.microsoft.com/office/drawing/2014/main" id="{E15A67F4-3CCA-48E3-95F8-5F5F1BC38F28}"/>
            </a:ext>
          </a:extLst>
        </xdr:cNvPr>
        <xdr:cNvSpPr/>
      </xdr:nvSpPr>
      <xdr:spPr>
        <a:xfrm>
          <a:off x="6446520" y="10930889"/>
          <a:ext cx="39297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7620</xdr:colOff>
      <xdr:row>70</xdr:row>
      <xdr:rowOff>72389</xdr:rowOff>
    </xdr:from>
    <xdr:to>
      <xdr:col>30</xdr:col>
      <xdr:colOff>86215</xdr:colOff>
      <xdr:row>70</xdr:row>
      <xdr:rowOff>72389</xdr:rowOff>
    </xdr:to>
    <xdr:cxnSp macro="">
      <xdr:nvCxnSpPr>
        <xdr:cNvPr id="6693" name="직선 화살표 연결선 6692">
          <a:extLst>
            <a:ext uri="{FF2B5EF4-FFF2-40B4-BE49-F238E27FC236}">
              <a16:creationId xmlns:a16="http://schemas.microsoft.com/office/drawing/2014/main" id="{EF2DA9CD-97E9-4845-B23B-1E4D8A6571C0}"/>
            </a:ext>
          </a:extLst>
        </xdr:cNvPr>
        <xdr:cNvCxnSpPr/>
      </xdr:nvCxnSpPr>
      <xdr:spPr>
        <a:xfrm>
          <a:off x="6446520" y="10988039"/>
          <a:ext cx="7859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65858</xdr:colOff>
      <xdr:row>69</xdr:row>
      <xdr:rowOff>7620</xdr:rowOff>
    </xdr:from>
    <xdr:to>
      <xdr:col>31</xdr:col>
      <xdr:colOff>112940</xdr:colOff>
      <xdr:row>69</xdr:row>
      <xdr:rowOff>121920</xdr:rowOff>
    </xdr:to>
    <xdr:sp macro="" textlink="">
      <xdr:nvSpPr>
        <xdr:cNvPr id="6694" name="직사각형 6693">
          <a:extLst>
            <a:ext uri="{FF2B5EF4-FFF2-40B4-BE49-F238E27FC236}">
              <a16:creationId xmlns:a16="http://schemas.microsoft.com/office/drawing/2014/main" id="{C5B19657-E665-4EA4-BEB8-C67FDE1343AB}"/>
            </a:ext>
          </a:extLst>
        </xdr:cNvPr>
        <xdr:cNvSpPr/>
      </xdr:nvSpPr>
      <xdr:spPr>
        <a:xfrm>
          <a:off x="6219008" y="10770870"/>
          <a:ext cx="47570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65858</xdr:colOff>
      <xdr:row>69</xdr:row>
      <xdr:rowOff>64770</xdr:rowOff>
    </xdr:from>
    <xdr:to>
      <xdr:col>30</xdr:col>
      <xdr:colOff>113102</xdr:colOff>
      <xdr:row>69</xdr:row>
      <xdr:rowOff>64770</xdr:rowOff>
    </xdr:to>
    <xdr:cxnSp macro="">
      <xdr:nvCxnSpPr>
        <xdr:cNvPr id="6695" name="직선 화살표 연결선 6694">
          <a:extLst>
            <a:ext uri="{FF2B5EF4-FFF2-40B4-BE49-F238E27FC236}">
              <a16:creationId xmlns:a16="http://schemas.microsoft.com/office/drawing/2014/main" id="{FD00EB89-E8EC-4A62-B4CC-D5B35E1F8237}"/>
            </a:ext>
          </a:extLst>
        </xdr:cNvPr>
        <xdr:cNvCxnSpPr/>
      </xdr:nvCxnSpPr>
      <xdr:spPr>
        <a:xfrm>
          <a:off x="6219008" y="10828020"/>
          <a:ext cx="3329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65858</xdr:colOff>
      <xdr:row>68</xdr:row>
      <xdr:rowOff>7620</xdr:rowOff>
    </xdr:from>
    <xdr:to>
      <xdr:col>29</xdr:col>
      <xdr:colOff>109129</xdr:colOff>
      <xdr:row>68</xdr:row>
      <xdr:rowOff>121920</xdr:rowOff>
    </xdr:to>
    <xdr:sp macro="" textlink="">
      <xdr:nvSpPr>
        <xdr:cNvPr id="6696" name="직사각형 6695">
          <a:extLst>
            <a:ext uri="{FF2B5EF4-FFF2-40B4-BE49-F238E27FC236}">
              <a16:creationId xmlns:a16="http://schemas.microsoft.com/office/drawing/2014/main" id="{0ADF643F-879A-4C9F-86A5-A7874A8217EC}"/>
            </a:ext>
          </a:extLst>
        </xdr:cNvPr>
        <xdr:cNvSpPr/>
      </xdr:nvSpPr>
      <xdr:spPr>
        <a:xfrm>
          <a:off x="6219008" y="10618470"/>
          <a:ext cx="18614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65858</xdr:colOff>
      <xdr:row>68</xdr:row>
      <xdr:rowOff>64770</xdr:rowOff>
    </xdr:from>
    <xdr:to>
      <xdr:col>29</xdr:col>
      <xdr:colOff>99822</xdr:colOff>
      <xdr:row>68</xdr:row>
      <xdr:rowOff>64770</xdr:rowOff>
    </xdr:to>
    <xdr:cxnSp macro="">
      <xdr:nvCxnSpPr>
        <xdr:cNvPr id="6697" name="직선 화살표 연결선 6696">
          <a:extLst>
            <a:ext uri="{FF2B5EF4-FFF2-40B4-BE49-F238E27FC236}">
              <a16:creationId xmlns:a16="http://schemas.microsoft.com/office/drawing/2014/main" id="{A466B026-AD5C-4C61-A1F9-9D0B7AE459EA}"/>
            </a:ext>
          </a:extLst>
        </xdr:cNvPr>
        <xdr:cNvCxnSpPr/>
      </xdr:nvCxnSpPr>
      <xdr:spPr>
        <a:xfrm>
          <a:off x="6219008" y="10675620"/>
          <a:ext cx="17683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65858</xdr:colOff>
      <xdr:row>67</xdr:row>
      <xdr:rowOff>7620</xdr:rowOff>
    </xdr:from>
    <xdr:to>
      <xdr:col>29</xdr:col>
      <xdr:colOff>109129</xdr:colOff>
      <xdr:row>67</xdr:row>
      <xdr:rowOff>121920</xdr:rowOff>
    </xdr:to>
    <xdr:sp macro="" textlink="">
      <xdr:nvSpPr>
        <xdr:cNvPr id="6698" name="직사각형 6697">
          <a:extLst>
            <a:ext uri="{FF2B5EF4-FFF2-40B4-BE49-F238E27FC236}">
              <a16:creationId xmlns:a16="http://schemas.microsoft.com/office/drawing/2014/main" id="{5017F88F-4293-4875-9D24-52CE91AD9E40}"/>
            </a:ext>
          </a:extLst>
        </xdr:cNvPr>
        <xdr:cNvSpPr/>
      </xdr:nvSpPr>
      <xdr:spPr>
        <a:xfrm>
          <a:off x="6219008" y="10466070"/>
          <a:ext cx="18614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65858</xdr:colOff>
      <xdr:row>67</xdr:row>
      <xdr:rowOff>64770</xdr:rowOff>
    </xdr:from>
    <xdr:to>
      <xdr:col>29</xdr:col>
      <xdr:colOff>99822</xdr:colOff>
      <xdr:row>67</xdr:row>
      <xdr:rowOff>64770</xdr:rowOff>
    </xdr:to>
    <xdr:cxnSp macro="">
      <xdr:nvCxnSpPr>
        <xdr:cNvPr id="6699" name="직선 화살표 연결선 6698">
          <a:extLst>
            <a:ext uri="{FF2B5EF4-FFF2-40B4-BE49-F238E27FC236}">
              <a16:creationId xmlns:a16="http://schemas.microsoft.com/office/drawing/2014/main" id="{D1A574AB-92C3-4CDA-BE91-D309C0A26446}"/>
            </a:ext>
          </a:extLst>
        </xdr:cNvPr>
        <xdr:cNvCxnSpPr/>
      </xdr:nvCxnSpPr>
      <xdr:spPr>
        <a:xfrm>
          <a:off x="6219008" y="10523220"/>
          <a:ext cx="17683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65858</xdr:colOff>
      <xdr:row>66</xdr:row>
      <xdr:rowOff>7620</xdr:rowOff>
    </xdr:from>
    <xdr:to>
      <xdr:col>31</xdr:col>
      <xdr:colOff>112940</xdr:colOff>
      <xdr:row>66</xdr:row>
      <xdr:rowOff>121920</xdr:rowOff>
    </xdr:to>
    <xdr:sp macro="" textlink="">
      <xdr:nvSpPr>
        <xdr:cNvPr id="6700" name="직사각형 6699">
          <a:extLst>
            <a:ext uri="{FF2B5EF4-FFF2-40B4-BE49-F238E27FC236}">
              <a16:creationId xmlns:a16="http://schemas.microsoft.com/office/drawing/2014/main" id="{4A9C97D6-FC3A-4346-8F02-0FB756F3020F}"/>
            </a:ext>
          </a:extLst>
        </xdr:cNvPr>
        <xdr:cNvSpPr/>
      </xdr:nvSpPr>
      <xdr:spPr>
        <a:xfrm>
          <a:off x="6219008" y="10313670"/>
          <a:ext cx="47570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65858</xdr:colOff>
      <xdr:row>66</xdr:row>
      <xdr:rowOff>64770</xdr:rowOff>
    </xdr:from>
    <xdr:to>
      <xdr:col>30</xdr:col>
      <xdr:colOff>113102</xdr:colOff>
      <xdr:row>66</xdr:row>
      <xdr:rowOff>64770</xdr:rowOff>
    </xdr:to>
    <xdr:cxnSp macro="">
      <xdr:nvCxnSpPr>
        <xdr:cNvPr id="6701" name="직선 화살표 연결선 6700">
          <a:extLst>
            <a:ext uri="{FF2B5EF4-FFF2-40B4-BE49-F238E27FC236}">
              <a16:creationId xmlns:a16="http://schemas.microsoft.com/office/drawing/2014/main" id="{B324016A-7F59-4720-9E76-E6C1DD2CA3C2}"/>
            </a:ext>
          </a:extLst>
        </xdr:cNvPr>
        <xdr:cNvCxnSpPr/>
      </xdr:nvCxnSpPr>
      <xdr:spPr>
        <a:xfrm>
          <a:off x="6219008" y="10370820"/>
          <a:ext cx="3329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65858</xdr:colOff>
      <xdr:row>65</xdr:row>
      <xdr:rowOff>7620</xdr:rowOff>
    </xdr:from>
    <xdr:to>
      <xdr:col>31</xdr:col>
      <xdr:colOff>112940</xdr:colOff>
      <xdr:row>65</xdr:row>
      <xdr:rowOff>121920</xdr:rowOff>
    </xdr:to>
    <xdr:sp macro="" textlink="">
      <xdr:nvSpPr>
        <xdr:cNvPr id="6702" name="직사각형 6701">
          <a:extLst>
            <a:ext uri="{FF2B5EF4-FFF2-40B4-BE49-F238E27FC236}">
              <a16:creationId xmlns:a16="http://schemas.microsoft.com/office/drawing/2014/main" id="{1B42AB25-1DD1-4488-8628-B2930ACCF78E}"/>
            </a:ext>
          </a:extLst>
        </xdr:cNvPr>
        <xdr:cNvSpPr/>
      </xdr:nvSpPr>
      <xdr:spPr>
        <a:xfrm>
          <a:off x="6219008" y="10161270"/>
          <a:ext cx="47570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65858</xdr:colOff>
      <xdr:row>65</xdr:row>
      <xdr:rowOff>64770</xdr:rowOff>
    </xdr:from>
    <xdr:to>
      <xdr:col>31</xdr:col>
      <xdr:colOff>17798</xdr:colOff>
      <xdr:row>65</xdr:row>
      <xdr:rowOff>64770</xdr:rowOff>
    </xdr:to>
    <xdr:cxnSp macro="">
      <xdr:nvCxnSpPr>
        <xdr:cNvPr id="6703" name="직선 화살표 연결선 6702">
          <a:extLst>
            <a:ext uri="{FF2B5EF4-FFF2-40B4-BE49-F238E27FC236}">
              <a16:creationId xmlns:a16="http://schemas.microsoft.com/office/drawing/2014/main" id="{041E95F3-6371-40D4-AB46-1CBEABAD60E8}"/>
            </a:ext>
          </a:extLst>
        </xdr:cNvPr>
        <xdr:cNvCxnSpPr/>
      </xdr:nvCxnSpPr>
      <xdr:spPr>
        <a:xfrm>
          <a:off x="6219008" y="10218420"/>
          <a:ext cx="3805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65858</xdr:colOff>
      <xdr:row>64</xdr:row>
      <xdr:rowOff>7620</xdr:rowOff>
    </xdr:from>
    <xdr:to>
      <xdr:col>36</xdr:col>
      <xdr:colOff>60416</xdr:colOff>
      <xdr:row>64</xdr:row>
      <xdr:rowOff>121920</xdr:rowOff>
    </xdr:to>
    <xdr:sp macro="" textlink="">
      <xdr:nvSpPr>
        <xdr:cNvPr id="6704" name="직사각형 6703">
          <a:extLst>
            <a:ext uri="{FF2B5EF4-FFF2-40B4-BE49-F238E27FC236}">
              <a16:creationId xmlns:a16="http://schemas.microsoft.com/office/drawing/2014/main" id="{E6B34AE6-E251-4AD3-AD51-9F13A0449945}"/>
            </a:ext>
          </a:extLst>
        </xdr:cNvPr>
        <xdr:cNvSpPr/>
      </xdr:nvSpPr>
      <xdr:spPr>
        <a:xfrm>
          <a:off x="6219008" y="10008870"/>
          <a:ext cx="113755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65858</xdr:colOff>
      <xdr:row>64</xdr:row>
      <xdr:rowOff>64770</xdr:rowOff>
    </xdr:from>
    <xdr:to>
      <xdr:col>33</xdr:col>
      <xdr:colOff>96445</xdr:colOff>
      <xdr:row>64</xdr:row>
      <xdr:rowOff>64770</xdr:rowOff>
    </xdr:to>
    <xdr:cxnSp macro="">
      <xdr:nvCxnSpPr>
        <xdr:cNvPr id="6705" name="직선 화살표 연결선 6704">
          <a:extLst>
            <a:ext uri="{FF2B5EF4-FFF2-40B4-BE49-F238E27FC236}">
              <a16:creationId xmlns:a16="http://schemas.microsoft.com/office/drawing/2014/main" id="{2B694A91-44B2-407E-BF11-3E17AFA87964}"/>
            </a:ext>
          </a:extLst>
        </xdr:cNvPr>
        <xdr:cNvCxnSpPr/>
      </xdr:nvCxnSpPr>
      <xdr:spPr>
        <a:xfrm>
          <a:off x="6219008" y="10066020"/>
          <a:ext cx="74496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32113</xdr:colOff>
      <xdr:row>62</xdr:row>
      <xdr:rowOff>7620</xdr:rowOff>
    </xdr:from>
    <xdr:to>
      <xdr:col>32</xdr:col>
      <xdr:colOff>52796</xdr:colOff>
      <xdr:row>62</xdr:row>
      <xdr:rowOff>121920</xdr:rowOff>
    </xdr:to>
    <xdr:sp macro="" textlink="">
      <xdr:nvSpPr>
        <xdr:cNvPr id="6706" name="직사각형 6705">
          <a:extLst>
            <a:ext uri="{FF2B5EF4-FFF2-40B4-BE49-F238E27FC236}">
              <a16:creationId xmlns:a16="http://schemas.microsoft.com/office/drawing/2014/main" id="{860871E9-9CA3-4451-BD28-D73F959414DE}"/>
            </a:ext>
          </a:extLst>
        </xdr:cNvPr>
        <xdr:cNvSpPr/>
      </xdr:nvSpPr>
      <xdr:spPr>
        <a:xfrm>
          <a:off x="6756763" y="970407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32113</xdr:colOff>
      <xdr:row>62</xdr:row>
      <xdr:rowOff>64770</xdr:rowOff>
    </xdr:from>
    <xdr:to>
      <xdr:col>32</xdr:col>
      <xdr:colOff>32113</xdr:colOff>
      <xdr:row>62</xdr:row>
      <xdr:rowOff>64770</xdr:rowOff>
    </xdr:to>
    <xdr:cxnSp macro="">
      <xdr:nvCxnSpPr>
        <xdr:cNvPr id="6707" name="직선 화살표 연결선 6706">
          <a:extLst>
            <a:ext uri="{FF2B5EF4-FFF2-40B4-BE49-F238E27FC236}">
              <a16:creationId xmlns:a16="http://schemas.microsoft.com/office/drawing/2014/main" id="{13412C60-DEB9-42D4-8BFE-8355D90DED0F}"/>
            </a:ext>
          </a:extLst>
        </xdr:cNvPr>
        <xdr:cNvCxnSpPr/>
      </xdr:nvCxnSpPr>
      <xdr:spPr>
        <a:xfrm>
          <a:off x="6756763" y="97612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11430</xdr:colOff>
      <xdr:row>61</xdr:row>
      <xdr:rowOff>19050</xdr:rowOff>
    </xdr:from>
    <xdr:to>
      <xdr:col>32</xdr:col>
      <xdr:colOff>32113</xdr:colOff>
      <xdr:row>61</xdr:row>
      <xdr:rowOff>133350</xdr:rowOff>
    </xdr:to>
    <xdr:sp macro="" textlink="">
      <xdr:nvSpPr>
        <xdr:cNvPr id="6708" name="직사각형 6707">
          <a:extLst>
            <a:ext uri="{FF2B5EF4-FFF2-40B4-BE49-F238E27FC236}">
              <a16:creationId xmlns:a16="http://schemas.microsoft.com/office/drawing/2014/main" id="{6B092B5C-A8F8-440B-85F9-1700A3D6A89B}"/>
            </a:ext>
          </a:extLst>
        </xdr:cNvPr>
        <xdr:cNvSpPr/>
      </xdr:nvSpPr>
      <xdr:spPr>
        <a:xfrm>
          <a:off x="6736080" y="954405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11430</xdr:colOff>
      <xdr:row>61</xdr:row>
      <xdr:rowOff>76200</xdr:rowOff>
    </xdr:from>
    <xdr:to>
      <xdr:col>32</xdr:col>
      <xdr:colOff>11430</xdr:colOff>
      <xdr:row>61</xdr:row>
      <xdr:rowOff>76200</xdr:rowOff>
    </xdr:to>
    <xdr:cxnSp macro="">
      <xdr:nvCxnSpPr>
        <xdr:cNvPr id="6709" name="직선 화살표 연결선 6708">
          <a:extLst>
            <a:ext uri="{FF2B5EF4-FFF2-40B4-BE49-F238E27FC236}">
              <a16:creationId xmlns:a16="http://schemas.microsoft.com/office/drawing/2014/main" id="{7BCC6BE6-4103-4D86-A6E6-C54CB1D5FBAA}"/>
            </a:ext>
          </a:extLst>
        </xdr:cNvPr>
        <xdr:cNvCxnSpPr/>
      </xdr:nvCxnSpPr>
      <xdr:spPr>
        <a:xfrm>
          <a:off x="6736080" y="96012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9525</xdr:colOff>
      <xdr:row>60</xdr:row>
      <xdr:rowOff>11430</xdr:rowOff>
    </xdr:from>
    <xdr:to>
      <xdr:col>31</xdr:col>
      <xdr:colOff>112940</xdr:colOff>
      <xdr:row>60</xdr:row>
      <xdr:rowOff>125730</xdr:rowOff>
    </xdr:to>
    <xdr:sp macro="" textlink="">
      <xdr:nvSpPr>
        <xdr:cNvPr id="6710" name="직사각형 6709">
          <a:extLst>
            <a:ext uri="{FF2B5EF4-FFF2-40B4-BE49-F238E27FC236}">
              <a16:creationId xmlns:a16="http://schemas.microsoft.com/office/drawing/2014/main" id="{0162B1F6-6B4E-439E-BDB4-D2EE7C0E1D2C}"/>
            </a:ext>
          </a:extLst>
        </xdr:cNvPr>
        <xdr:cNvSpPr/>
      </xdr:nvSpPr>
      <xdr:spPr>
        <a:xfrm>
          <a:off x="6591300" y="9384030"/>
          <a:ext cx="10341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9525</xdr:colOff>
      <xdr:row>60</xdr:row>
      <xdr:rowOff>68580</xdr:rowOff>
    </xdr:from>
    <xdr:to>
      <xdr:col>31</xdr:col>
      <xdr:colOff>9525</xdr:colOff>
      <xdr:row>60</xdr:row>
      <xdr:rowOff>68580</xdr:rowOff>
    </xdr:to>
    <xdr:cxnSp macro="">
      <xdr:nvCxnSpPr>
        <xdr:cNvPr id="6711" name="직선 화살표 연결선 6710">
          <a:extLst>
            <a:ext uri="{FF2B5EF4-FFF2-40B4-BE49-F238E27FC236}">
              <a16:creationId xmlns:a16="http://schemas.microsoft.com/office/drawing/2014/main" id="{9CED8CAB-8EA2-4BC7-88E5-83632640BFF6}"/>
            </a:ext>
          </a:extLst>
        </xdr:cNvPr>
        <xdr:cNvCxnSpPr/>
      </xdr:nvCxnSpPr>
      <xdr:spPr>
        <a:xfrm>
          <a:off x="6591300" y="9441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65858</xdr:colOff>
      <xdr:row>59</xdr:row>
      <xdr:rowOff>11430</xdr:rowOff>
    </xdr:from>
    <xdr:to>
      <xdr:col>30</xdr:col>
      <xdr:colOff>111034</xdr:colOff>
      <xdr:row>59</xdr:row>
      <xdr:rowOff>125730</xdr:rowOff>
    </xdr:to>
    <xdr:sp macro="" textlink="">
      <xdr:nvSpPr>
        <xdr:cNvPr id="6712" name="직사각형 6711">
          <a:extLst>
            <a:ext uri="{FF2B5EF4-FFF2-40B4-BE49-F238E27FC236}">
              <a16:creationId xmlns:a16="http://schemas.microsoft.com/office/drawing/2014/main" id="{E562A5F5-B4D8-4B7B-8D78-4DB90E9C083E}"/>
            </a:ext>
          </a:extLst>
        </xdr:cNvPr>
        <xdr:cNvSpPr/>
      </xdr:nvSpPr>
      <xdr:spPr>
        <a:xfrm>
          <a:off x="6219008" y="9231630"/>
          <a:ext cx="33092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65858</xdr:colOff>
      <xdr:row>59</xdr:row>
      <xdr:rowOff>68580</xdr:rowOff>
    </xdr:from>
    <xdr:to>
      <xdr:col>30</xdr:col>
      <xdr:colOff>77942</xdr:colOff>
      <xdr:row>59</xdr:row>
      <xdr:rowOff>68580</xdr:rowOff>
    </xdr:to>
    <xdr:cxnSp macro="">
      <xdr:nvCxnSpPr>
        <xdr:cNvPr id="6713" name="직선 화살표 연결선 6712">
          <a:extLst>
            <a:ext uri="{FF2B5EF4-FFF2-40B4-BE49-F238E27FC236}">
              <a16:creationId xmlns:a16="http://schemas.microsoft.com/office/drawing/2014/main" id="{6F2B79DD-0E7D-4C8A-8D07-8B4D979EA835}"/>
            </a:ext>
          </a:extLst>
        </xdr:cNvPr>
        <xdr:cNvCxnSpPr/>
      </xdr:nvCxnSpPr>
      <xdr:spPr>
        <a:xfrm>
          <a:off x="6219008" y="9288780"/>
          <a:ext cx="2978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65858</xdr:colOff>
      <xdr:row>58</xdr:row>
      <xdr:rowOff>22860</xdr:rowOff>
    </xdr:from>
    <xdr:to>
      <xdr:col>30</xdr:col>
      <xdr:colOff>111034</xdr:colOff>
      <xdr:row>58</xdr:row>
      <xdr:rowOff>137160</xdr:rowOff>
    </xdr:to>
    <xdr:sp macro="" textlink="">
      <xdr:nvSpPr>
        <xdr:cNvPr id="6714" name="직사각형 6713">
          <a:extLst>
            <a:ext uri="{FF2B5EF4-FFF2-40B4-BE49-F238E27FC236}">
              <a16:creationId xmlns:a16="http://schemas.microsoft.com/office/drawing/2014/main" id="{FE0D652C-862B-4EAF-BF8E-CF72BA90765A}"/>
            </a:ext>
          </a:extLst>
        </xdr:cNvPr>
        <xdr:cNvSpPr/>
      </xdr:nvSpPr>
      <xdr:spPr>
        <a:xfrm>
          <a:off x="6219008" y="9071610"/>
          <a:ext cx="33092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65858</xdr:colOff>
      <xdr:row>58</xdr:row>
      <xdr:rowOff>80010</xdr:rowOff>
    </xdr:from>
    <xdr:to>
      <xdr:col>30</xdr:col>
      <xdr:colOff>77942</xdr:colOff>
      <xdr:row>58</xdr:row>
      <xdr:rowOff>80010</xdr:rowOff>
    </xdr:to>
    <xdr:cxnSp macro="">
      <xdr:nvCxnSpPr>
        <xdr:cNvPr id="6715" name="직선 화살표 연결선 6714">
          <a:extLst>
            <a:ext uri="{FF2B5EF4-FFF2-40B4-BE49-F238E27FC236}">
              <a16:creationId xmlns:a16="http://schemas.microsoft.com/office/drawing/2014/main" id="{051053AE-9274-4BC4-9C3A-49838E048CDF}"/>
            </a:ext>
          </a:extLst>
        </xdr:cNvPr>
        <xdr:cNvCxnSpPr/>
      </xdr:nvCxnSpPr>
      <xdr:spPr>
        <a:xfrm>
          <a:off x="6219008" y="9128760"/>
          <a:ext cx="2978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65858</xdr:colOff>
      <xdr:row>57</xdr:row>
      <xdr:rowOff>15240</xdr:rowOff>
    </xdr:from>
    <xdr:to>
      <xdr:col>30</xdr:col>
      <xdr:colOff>111034</xdr:colOff>
      <xdr:row>57</xdr:row>
      <xdr:rowOff>129540</xdr:rowOff>
    </xdr:to>
    <xdr:sp macro="" textlink="">
      <xdr:nvSpPr>
        <xdr:cNvPr id="6716" name="직사각형 6715">
          <a:extLst>
            <a:ext uri="{FF2B5EF4-FFF2-40B4-BE49-F238E27FC236}">
              <a16:creationId xmlns:a16="http://schemas.microsoft.com/office/drawing/2014/main" id="{B0C0E838-8049-499A-824C-4E1D7EC6365E}"/>
            </a:ext>
          </a:extLst>
        </xdr:cNvPr>
        <xdr:cNvSpPr/>
      </xdr:nvSpPr>
      <xdr:spPr>
        <a:xfrm>
          <a:off x="6219008" y="8911590"/>
          <a:ext cx="33092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65858</xdr:colOff>
      <xdr:row>57</xdr:row>
      <xdr:rowOff>72390</xdr:rowOff>
    </xdr:from>
    <xdr:to>
      <xdr:col>30</xdr:col>
      <xdr:colOff>77942</xdr:colOff>
      <xdr:row>57</xdr:row>
      <xdr:rowOff>72390</xdr:rowOff>
    </xdr:to>
    <xdr:cxnSp macro="">
      <xdr:nvCxnSpPr>
        <xdr:cNvPr id="6717" name="직선 화살표 연결선 6716">
          <a:extLst>
            <a:ext uri="{FF2B5EF4-FFF2-40B4-BE49-F238E27FC236}">
              <a16:creationId xmlns:a16="http://schemas.microsoft.com/office/drawing/2014/main" id="{582CF49D-319B-49DA-96DD-4A31BF0BD104}"/>
            </a:ext>
          </a:extLst>
        </xdr:cNvPr>
        <xdr:cNvCxnSpPr/>
      </xdr:nvCxnSpPr>
      <xdr:spPr>
        <a:xfrm>
          <a:off x="6219008" y="8968740"/>
          <a:ext cx="2978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65858</xdr:colOff>
      <xdr:row>55</xdr:row>
      <xdr:rowOff>15240</xdr:rowOff>
    </xdr:from>
    <xdr:to>
      <xdr:col>32</xdr:col>
      <xdr:colOff>52796</xdr:colOff>
      <xdr:row>55</xdr:row>
      <xdr:rowOff>129540</xdr:rowOff>
    </xdr:to>
    <xdr:sp macro="" textlink="">
      <xdr:nvSpPr>
        <xdr:cNvPr id="6718" name="직사각형 6717">
          <a:extLst>
            <a:ext uri="{FF2B5EF4-FFF2-40B4-BE49-F238E27FC236}">
              <a16:creationId xmlns:a16="http://schemas.microsoft.com/office/drawing/2014/main" id="{C0544DDB-C584-4BDE-B1BB-89B7776CB8EB}"/>
            </a:ext>
          </a:extLst>
        </xdr:cNvPr>
        <xdr:cNvSpPr/>
      </xdr:nvSpPr>
      <xdr:spPr>
        <a:xfrm>
          <a:off x="6219008" y="8606790"/>
          <a:ext cx="55843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65858</xdr:colOff>
      <xdr:row>55</xdr:row>
      <xdr:rowOff>72390</xdr:rowOff>
    </xdr:from>
    <xdr:to>
      <xdr:col>31</xdr:col>
      <xdr:colOff>58010</xdr:colOff>
      <xdr:row>55</xdr:row>
      <xdr:rowOff>72390</xdr:rowOff>
    </xdr:to>
    <xdr:cxnSp macro="">
      <xdr:nvCxnSpPr>
        <xdr:cNvPr id="6719" name="직선 화살표 연결선 6718">
          <a:extLst>
            <a:ext uri="{FF2B5EF4-FFF2-40B4-BE49-F238E27FC236}">
              <a16:creationId xmlns:a16="http://schemas.microsoft.com/office/drawing/2014/main" id="{11A80996-666F-4CE2-8DC1-322040DF6065}"/>
            </a:ext>
          </a:extLst>
        </xdr:cNvPr>
        <xdr:cNvCxnSpPr/>
      </xdr:nvCxnSpPr>
      <xdr:spPr>
        <a:xfrm>
          <a:off x="6219008" y="8663940"/>
          <a:ext cx="42077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32113</xdr:colOff>
      <xdr:row>53</xdr:row>
      <xdr:rowOff>15240</xdr:rowOff>
    </xdr:from>
    <xdr:to>
      <xdr:col>32</xdr:col>
      <xdr:colOff>52796</xdr:colOff>
      <xdr:row>53</xdr:row>
      <xdr:rowOff>129540</xdr:rowOff>
    </xdr:to>
    <xdr:sp macro="" textlink="">
      <xdr:nvSpPr>
        <xdr:cNvPr id="6720" name="직사각형 6719">
          <a:extLst>
            <a:ext uri="{FF2B5EF4-FFF2-40B4-BE49-F238E27FC236}">
              <a16:creationId xmlns:a16="http://schemas.microsoft.com/office/drawing/2014/main" id="{8C33EB0C-968A-455E-89C9-371A65B4C7D5}"/>
            </a:ext>
          </a:extLst>
        </xdr:cNvPr>
        <xdr:cNvSpPr/>
      </xdr:nvSpPr>
      <xdr:spPr>
        <a:xfrm>
          <a:off x="6756763" y="830199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32113</xdr:colOff>
      <xdr:row>53</xdr:row>
      <xdr:rowOff>72390</xdr:rowOff>
    </xdr:from>
    <xdr:to>
      <xdr:col>32</xdr:col>
      <xdr:colOff>32113</xdr:colOff>
      <xdr:row>53</xdr:row>
      <xdr:rowOff>72390</xdr:rowOff>
    </xdr:to>
    <xdr:cxnSp macro="">
      <xdr:nvCxnSpPr>
        <xdr:cNvPr id="6721" name="직선 화살표 연결선 6720">
          <a:extLst>
            <a:ext uri="{FF2B5EF4-FFF2-40B4-BE49-F238E27FC236}">
              <a16:creationId xmlns:a16="http://schemas.microsoft.com/office/drawing/2014/main" id="{BB49C0F7-4CB0-4978-87CF-CD0FAFFBD562}"/>
            </a:ext>
          </a:extLst>
        </xdr:cNvPr>
        <xdr:cNvCxnSpPr/>
      </xdr:nvCxnSpPr>
      <xdr:spPr>
        <a:xfrm>
          <a:off x="6756763" y="8359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11430</xdr:colOff>
      <xdr:row>52</xdr:row>
      <xdr:rowOff>15240</xdr:rowOff>
    </xdr:from>
    <xdr:to>
      <xdr:col>32</xdr:col>
      <xdr:colOff>32113</xdr:colOff>
      <xdr:row>52</xdr:row>
      <xdr:rowOff>129540</xdr:rowOff>
    </xdr:to>
    <xdr:sp macro="" textlink="">
      <xdr:nvSpPr>
        <xdr:cNvPr id="6722" name="직사각형 6721">
          <a:extLst>
            <a:ext uri="{FF2B5EF4-FFF2-40B4-BE49-F238E27FC236}">
              <a16:creationId xmlns:a16="http://schemas.microsoft.com/office/drawing/2014/main" id="{ED7AB15D-884B-412C-BEB2-5A4372D0CCB0}"/>
            </a:ext>
          </a:extLst>
        </xdr:cNvPr>
        <xdr:cNvSpPr/>
      </xdr:nvSpPr>
      <xdr:spPr>
        <a:xfrm>
          <a:off x="6736080" y="814959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11430</xdr:colOff>
      <xdr:row>52</xdr:row>
      <xdr:rowOff>72390</xdr:rowOff>
    </xdr:from>
    <xdr:to>
      <xdr:col>32</xdr:col>
      <xdr:colOff>11430</xdr:colOff>
      <xdr:row>52</xdr:row>
      <xdr:rowOff>72390</xdr:rowOff>
    </xdr:to>
    <xdr:cxnSp macro="">
      <xdr:nvCxnSpPr>
        <xdr:cNvPr id="6723" name="직선 화살표 연결선 6722">
          <a:extLst>
            <a:ext uri="{FF2B5EF4-FFF2-40B4-BE49-F238E27FC236}">
              <a16:creationId xmlns:a16="http://schemas.microsoft.com/office/drawing/2014/main" id="{E16D3D8D-F08D-4D02-A96C-11627AF26B4A}"/>
            </a:ext>
          </a:extLst>
        </xdr:cNvPr>
        <xdr:cNvCxnSpPr/>
      </xdr:nvCxnSpPr>
      <xdr:spPr>
        <a:xfrm>
          <a:off x="6736080" y="8206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71574</xdr:colOff>
      <xdr:row>51</xdr:row>
      <xdr:rowOff>15240</xdr:rowOff>
    </xdr:from>
    <xdr:to>
      <xdr:col>31</xdr:col>
      <xdr:colOff>112940</xdr:colOff>
      <xdr:row>51</xdr:row>
      <xdr:rowOff>129540</xdr:rowOff>
    </xdr:to>
    <xdr:sp macro="" textlink="">
      <xdr:nvSpPr>
        <xdr:cNvPr id="6724" name="직사각형 6723">
          <a:extLst>
            <a:ext uri="{FF2B5EF4-FFF2-40B4-BE49-F238E27FC236}">
              <a16:creationId xmlns:a16="http://schemas.microsoft.com/office/drawing/2014/main" id="{A9E3CC95-E310-4943-8FC9-65589857DFC6}"/>
            </a:ext>
          </a:extLst>
        </xdr:cNvPr>
        <xdr:cNvSpPr/>
      </xdr:nvSpPr>
      <xdr:spPr>
        <a:xfrm>
          <a:off x="6653349" y="799719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71574</xdr:colOff>
      <xdr:row>51</xdr:row>
      <xdr:rowOff>72390</xdr:rowOff>
    </xdr:from>
    <xdr:to>
      <xdr:col>31</xdr:col>
      <xdr:colOff>71574</xdr:colOff>
      <xdr:row>51</xdr:row>
      <xdr:rowOff>72390</xdr:rowOff>
    </xdr:to>
    <xdr:cxnSp macro="">
      <xdr:nvCxnSpPr>
        <xdr:cNvPr id="6725" name="직선 화살표 연결선 6724">
          <a:extLst>
            <a:ext uri="{FF2B5EF4-FFF2-40B4-BE49-F238E27FC236}">
              <a16:creationId xmlns:a16="http://schemas.microsoft.com/office/drawing/2014/main" id="{7981C178-C16F-465E-93F2-F12265C5070D}"/>
            </a:ext>
          </a:extLst>
        </xdr:cNvPr>
        <xdr:cNvCxnSpPr/>
      </xdr:nvCxnSpPr>
      <xdr:spPr>
        <a:xfrm>
          <a:off x="6653349" y="8054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9525</xdr:colOff>
      <xdr:row>50</xdr:row>
      <xdr:rowOff>15240</xdr:rowOff>
    </xdr:from>
    <xdr:to>
      <xdr:col>31</xdr:col>
      <xdr:colOff>71574</xdr:colOff>
      <xdr:row>50</xdr:row>
      <xdr:rowOff>129540</xdr:rowOff>
    </xdr:to>
    <xdr:sp macro="" textlink="">
      <xdr:nvSpPr>
        <xdr:cNvPr id="6726" name="직사각형 6725">
          <a:extLst>
            <a:ext uri="{FF2B5EF4-FFF2-40B4-BE49-F238E27FC236}">
              <a16:creationId xmlns:a16="http://schemas.microsoft.com/office/drawing/2014/main" id="{90DA0E1A-89A1-4186-A9E2-CF4270DAA816}"/>
            </a:ext>
          </a:extLst>
        </xdr:cNvPr>
        <xdr:cNvSpPr/>
      </xdr:nvSpPr>
      <xdr:spPr>
        <a:xfrm>
          <a:off x="6591300" y="784479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9525</xdr:colOff>
      <xdr:row>50</xdr:row>
      <xdr:rowOff>72390</xdr:rowOff>
    </xdr:from>
    <xdr:to>
      <xdr:col>31</xdr:col>
      <xdr:colOff>9525</xdr:colOff>
      <xdr:row>50</xdr:row>
      <xdr:rowOff>72390</xdr:rowOff>
    </xdr:to>
    <xdr:cxnSp macro="">
      <xdr:nvCxnSpPr>
        <xdr:cNvPr id="6727" name="직선 화살표 연결선 6726">
          <a:extLst>
            <a:ext uri="{FF2B5EF4-FFF2-40B4-BE49-F238E27FC236}">
              <a16:creationId xmlns:a16="http://schemas.microsoft.com/office/drawing/2014/main" id="{AFEF5963-3E6E-4726-8A8E-F5ED36A9D2C8}"/>
            </a:ext>
          </a:extLst>
        </xdr:cNvPr>
        <xdr:cNvCxnSpPr/>
      </xdr:nvCxnSpPr>
      <xdr:spPr>
        <a:xfrm>
          <a:off x="6591300" y="7901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9525</xdr:colOff>
      <xdr:row>49</xdr:row>
      <xdr:rowOff>15240</xdr:rowOff>
    </xdr:from>
    <xdr:to>
      <xdr:col>31</xdr:col>
      <xdr:colOff>71574</xdr:colOff>
      <xdr:row>49</xdr:row>
      <xdr:rowOff>129540</xdr:rowOff>
    </xdr:to>
    <xdr:sp macro="" textlink="">
      <xdr:nvSpPr>
        <xdr:cNvPr id="6728" name="직사각형 6727">
          <a:extLst>
            <a:ext uri="{FF2B5EF4-FFF2-40B4-BE49-F238E27FC236}">
              <a16:creationId xmlns:a16="http://schemas.microsoft.com/office/drawing/2014/main" id="{9BB309F2-5471-4836-8640-EE845E735DA1}"/>
            </a:ext>
          </a:extLst>
        </xdr:cNvPr>
        <xdr:cNvSpPr/>
      </xdr:nvSpPr>
      <xdr:spPr>
        <a:xfrm>
          <a:off x="6591300" y="769239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9525</xdr:colOff>
      <xdr:row>49</xdr:row>
      <xdr:rowOff>72390</xdr:rowOff>
    </xdr:from>
    <xdr:to>
      <xdr:col>31</xdr:col>
      <xdr:colOff>9525</xdr:colOff>
      <xdr:row>49</xdr:row>
      <xdr:rowOff>72390</xdr:rowOff>
    </xdr:to>
    <xdr:cxnSp macro="">
      <xdr:nvCxnSpPr>
        <xdr:cNvPr id="6729" name="직선 화살표 연결선 6728">
          <a:extLst>
            <a:ext uri="{FF2B5EF4-FFF2-40B4-BE49-F238E27FC236}">
              <a16:creationId xmlns:a16="http://schemas.microsoft.com/office/drawing/2014/main" id="{546F5C78-F993-43DA-A646-CB95A4AC0541}"/>
            </a:ext>
          </a:extLst>
        </xdr:cNvPr>
        <xdr:cNvCxnSpPr/>
      </xdr:nvCxnSpPr>
      <xdr:spPr>
        <a:xfrm>
          <a:off x="6591300" y="7749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69669</xdr:colOff>
      <xdr:row>48</xdr:row>
      <xdr:rowOff>15240</xdr:rowOff>
    </xdr:from>
    <xdr:to>
      <xdr:col>31</xdr:col>
      <xdr:colOff>30208</xdr:colOff>
      <xdr:row>48</xdr:row>
      <xdr:rowOff>129540</xdr:rowOff>
    </xdr:to>
    <xdr:sp macro="" textlink="">
      <xdr:nvSpPr>
        <xdr:cNvPr id="6730" name="직사각형 6729">
          <a:extLst>
            <a:ext uri="{FF2B5EF4-FFF2-40B4-BE49-F238E27FC236}">
              <a16:creationId xmlns:a16="http://schemas.microsoft.com/office/drawing/2014/main" id="{E61810AE-E11B-46CB-A9B6-9D3D488A64B3}"/>
            </a:ext>
          </a:extLst>
        </xdr:cNvPr>
        <xdr:cNvSpPr/>
      </xdr:nvSpPr>
      <xdr:spPr>
        <a:xfrm>
          <a:off x="6508569" y="753999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69669</xdr:colOff>
      <xdr:row>48</xdr:row>
      <xdr:rowOff>72390</xdr:rowOff>
    </xdr:from>
    <xdr:to>
      <xdr:col>30</xdr:col>
      <xdr:colOff>69669</xdr:colOff>
      <xdr:row>48</xdr:row>
      <xdr:rowOff>72390</xdr:rowOff>
    </xdr:to>
    <xdr:cxnSp macro="">
      <xdr:nvCxnSpPr>
        <xdr:cNvPr id="6731" name="직선 화살표 연결선 6730">
          <a:extLst>
            <a:ext uri="{FF2B5EF4-FFF2-40B4-BE49-F238E27FC236}">
              <a16:creationId xmlns:a16="http://schemas.microsoft.com/office/drawing/2014/main" id="{19E002D3-90B1-4A04-8027-A99D8D7DF7B0}"/>
            </a:ext>
          </a:extLst>
        </xdr:cNvPr>
        <xdr:cNvCxnSpPr/>
      </xdr:nvCxnSpPr>
      <xdr:spPr>
        <a:xfrm>
          <a:off x="6508569" y="7597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7620</xdr:colOff>
      <xdr:row>47</xdr:row>
      <xdr:rowOff>15240</xdr:rowOff>
    </xdr:from>
    <xdr:to>
      <xdr:col>30</xdr:col>
      <xdr:colOff>69669</xdr:colOff>
      <xdr:row>47</xdr:row>
      <xdr:rowOff>129540</xdr:rowOff>
    </xdr:to>
    <xdr:sp macro="" textlink="">
      <xdr:nvSpPr>
        <xdr:cNvPr id="6732" name="직사각형 6731">
          <a:extLst>
            <a:ext uri="{FF2B5EF4-FFF2-40B4-BE49-F238E27FC236}">
              <a16:creationId xmlns:a16="http://schemas.microsoft.com/office/drawing/2014/main" id="{85FF7E64-C7F0-4BB8-9DB3-D557C1DA1CFC}"/>
            </a:ext>
          </a:extLst>
        </xdr:cNvPr>
        <xdr:cNvSpPr/>
      </xdr:nvSpPr>
      <xdr:spPr>
        <a:xfrm>
          <a:off x="6446520" y="738759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7620</xdr:colOff>
      <xdr:row>47</xdr:row>
      <xdr:rowOff>72390</xdr:rowOff>
    </xdr:from>
    <xdr:to>
      <xdr:col>30</xdr:col>
      <xdr:colOff>7620</xdr:colOff>
      <xdr:row>47</xdr:row>
      <xdr:rowOff>72390</xdr:rowOff>
    </xdr:to>
    <xdr:cxnSp macro="">
      <xdr:nvCxnSpPr>
        <xdr:cNvPr id="6733" name="직선 화살표 연결선 6732">
          <a:extLst>
            <a:ext uri="{FF2B5EF4-FFF2-40B4-BE49-F238E27FC236}">
              <a16:creationId xmlns:a16="http://schemas.microsoft.com/office/drawing/2014/main" id="{390E56E0-65DB-4612-ACB7-F9B6F4A173B4}"/>
            </a:ext>
          </a:extLst>
        </xdr:cNvPr>
        <xdr:cNvCxnSpPr/>
      </xdr:nvCxnSpPr>
      <xdr:spPr>
        <a:xfrm>
          <a:off x="6446520" y="7444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7620</xdr:colOff>
      <xdr:row>46</xdr:row>
      <xdr:rowOff>15240</xdr:rowOff>
    </xdr:from>
    <xdr:to>
      <xdr:col>32</xdr:col>
      <xdr:colOff>52796</xdr:colOff>
      <xdr:row>46</xdr:row>
      <xdr:rowOff>129540</xdr:rowOff>
    </xdr:to>
    <xdr:sp macro="" textlink="">
      <xdr:nvSpPr>
        <xdr:cNvPr id="6734" name="직사각형 6733">
          <a:extLst>
            <a:ext uri="{FF2B5EF4-FFF2-40B4-BE49-F238E27FC236}">
              <a16:creationId xmlns:a16="http://schemas.microsoft.com/office/drawing/2014/main" id="{29E7A9D5-2018-4403-8C16-F6F8E8B45CE9}"/>
            </a:ext>
          </a:extLst>
        </xdr:cNvPr>
        <xdr:cNvSpPr/>
      </xdr:nvSpPr>
      <xdr:spPr>
        <a:xfrm>
          <a:off x="6446520" y="7235190"/>
          <a:ext cx="33092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7620</xdr:colOff>
      <xdr:row>46</xdr:row>
      <xdr:rowOff>72390</xdr:rowOff>
    </xdr:from>
    <xdr:to>
      <xdr:col>30</xdr:col>
      <xdr:colOff>7620</xdr:colOff>
      <xdr:row>46</xdr:row>
      <xdr:rowOff>72390</xdr:rowOff>
    </xdr:to>
    <xdr:cxnSp macro="">
      <xdr:nvCxnSpPr>
        <xdr:cNvPr id="6735" name="직선 화살표 연결선 6734">
          <a:extLst>
            <a:ext uri="{FF2B5EF4-FFF2-40B4-BE49-F238E27FC236}">
              <a16:creationId xmlns:a16="http://schemas.microsoft.com/office/drawing/2014/main" id="{7B3FAE77-5315-4681-875B-F45D31871BBB}"/>
            </a:ext>
          </a:extLst>
        </xdr:cNvPr>
        <xdr:cNvCxnSpPr/>
      </xdr:nvCxnSpPr>
      <xdr:spPr>
        <a:xfrm>
          <a:off x="6446520" y="7292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30208</xdr:colOff>
      <xdr:row>44</xdr:row>
      <xdr:rowOff>15240</xdr:rowOff>
    </xdr:from>
    <xdr:to>
      <xdr:col>31</xdr:col>
      <xdr:colOff>50891</xdr:colOff>
      <xdr:row>44</xdr:row>
      <xdr:rowOff>129540</xdr:rowOff>
    </xdr:to>
    <xdr:sp macro="" textlink="">
      <xdr:nvSpPr>
        <xdr:cNvPr id="6736" name="직사각형 6735">
          <a:extLst>
            <a:ext uri="{FF2B5EF4-FFF2-40B4-BE49-F238E27FC236}">
              <a16:creationId xmlns:a16="http://schemas.microsoft.com/office/drawing/2014/main" id="{B7D2A558-B65E-4F74-A430-C21B44602057}"/>
            </a:ext>
          </a:extLst>
        </xdr:cNvPr>
        <xdr:cNvSpPr/>
      </xdr:nvSpPr>
      <xdr:spPr>
        <a:xfrm>
          <a:off x="6611983" y="693039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30208</xdr:colOff>
      <xdr:row>44</xdr:row>
      <xdr:rowOff>72390</xdr:rowOff>
    </xdr:from>
    <xdr:to>
      <xdr:col>31</xdr:col>
      <xdr:colOff>30208</xdr:colOff>
      <xdr:row>44</xdr:row>
      <xdr:rowOff>72390</xdr:rowOff>
    </xdr:to>
    <xdr:cxnSp macro="">
      <xdr:nvCxnSpPr>
        <xdr:cNvPr id="6737" name="직선 화살표 연결선 6736">
          <a:extLst>
            <a:ext uri="{FF2B5EF4-FFF2-40B4-BE49-F238E27FC236}">
              <a16:creationId xmlns:a16="http://schemas.microsoft.com/office/drawing/2014/main" id="{5834D3E2-3130-48DD-9FA4-81B191CBEA54}"/>
            </a:ext>
          </a:extLst>
        </xdr:cNvPr>
        <xdr:cNvCxnSpPr/>
      </xdr:nvCxnSpPr>
      <xdr:spPr>
        <a:xfrm>
          <a:off x="6611983" y="6987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9525</xdr:colOff>
      <xdr:row>43</xdr:row>
      <xdr:rowOff>15240</xdr:rowOff>
    </xdr:from>
    <xdr:to>
      <xdr:col>31</xdr:col>
      <xdr:colOff>30208</xdr:colOff>
      <xdr:row>43</xdr:row>
      <xdr:rowOff>129540</xdr:rowOff>
    </xdr:to>
    <xdr:sp macro="" textlink="">
      <xdr:nvSpPr>
        <xdr:cNvPr id="6738" name="직사각형 6737">
          <a:extLst>
            <a:ext uri="{FF2B5EF4-FFF2-40B4-BE49-F238E27FC236}">
              <a16:creationId xmlns:a16="http://schemas.microsoft.com/office/drawing/2014/main" id="{6EB700C7-61D5-43E2-830C-CBD5AC96F839}"/>
            </a:ext>
          </a:extLst>
        </xdr:cNvPr>
        <xdr:cNvSpPr/>
      </xdr:nvSpPr>
      <xdr:spPr>
        <a:xfrm>
          <a:off x="6591300" y="677799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9525</xdr:colOff>
      <xdr:row>43</xdr:row>
      <xdr:rowOff>72390</xdr:rowOff>
    </xdr:from>
    <xdr:to>
      <xdr:col>31</xdr:col>
      <xdr:colOff>9525</xdr:colOff>
      <xdr:row>43</xdr:row>
      <xdr:rowOff>72390</xdr:rowOff>
    </xdr:to>
    <xdr:cxnSp macro="">
      <xdr:nvCxnSpPr>
        <xdr:cNvPr id="6739" name="직선 화살표 연결선 6738">
          <a:extLst>
            <a:ext uri="{FF2B5EF4-FFF2-40B4-BE49-F238E27FC236}">
              <a16:creationId xmlns:a16="http://schemas.microsoft.com/office/drawing/2014/main" id="{D5B9368C-66DD-4443-96D3-B8576DE8DDF4}"/>
            </a:ext>
          </a:extLst>
        </xdr:cNvPr>
        <xdr:cNvCxnSpPr/>
      </xdr:nvCxnSpPr>
      <xdr:spPr>
        <a:xfrm>
          <a:off x="6591300" y="6835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69669</xdr:colOff>
      <xdr:row>42</xdr:row>
      <xdr:rowOff>15240</xdr:rowOff>
    </xdr:from>
    <xdr:to>
      <xdr:col>30</xdr:col>
      <xdr:colOff>90351</xdr:colOff>
      <xdr:row>42</xdr:row>
      <xdr:rowOff>129540</xdr:rowOff>
    </xdr:to>
    <xdr:sp macro="" textlink="">
      <xdr:nvSpPr>
        <xdr:cNvPr id="6740" name="직사각형 6739">
          <a:extLst>
            <a:ext uri="{FF2B5EF4-FFF2-40B4-BE49-F238E27FC236}">
              <a16:creationId xmlns:a16="http://schemas.microsoft.com/office/drawing/2014/main" id="{F2BB7D55-91DB-4664-BD25-CA087F2BFAA9}"/>
            </a:ext>
          </a:extLst>
        </xdr:cNvPr>
        <xdr:cNvSpPr/>
      </xdr:nvSpPr>
      <xdr:spPr>
        <a:xfrm>
          <a:off x="6508569" y="662559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69669</xdr:colOff>
      <xdr:row>42</xdr:row>
      <xdr:rowOff>72390</xdr:rowOff>
    </xdr:from>
    <xdr:to>
      <xdr:col>30</xdr:col>
      <xdr:colOff>75874</xdr:colOff>
      <xdr:row>42</xdr:row>
      <xdr:rowOff>72390</xdr:rowOff>
    </xdr:to>
    <xdr:cxnSp macro="">
      <xdr:nvCxnSpPr>
        <xdr:cNvPr id="6741" name="직선 화살표 연결선 6740">
          <a:extLst>
            <a:ext uri="{FF2B5EF4-FFF2-40B4-BE49-F238E27FC236}">
              <a16:creationId xmlns:a16="http://schemas.microsoft.com/office/drawing/2014/main" id="{C1A1B8C5-8A0B-4FAA-83FC-542B13F4B2BC}"/>
            </a:ext>
          </a:extLst>
        </xdr:cNvPr>
        <xdr:cNvCxnSpPr/>
      </xdr:nvCxnSpPr>
      <xdr:spPr>
        <a:xfrm>
          <a:off x="6508569" y="6682740"/>
          <a:ext cx="620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28303</xdr:colOff>
      <xdr:row>41</xdr:row>
      <xdr:rowOff>15240</xdr:rowOff>
    </xdr:from>
    <xdr:to>
      <xdr:col>30</xdr:col>
      <xdr:colOff>69669</xdr:colOff>
      <xdr:row>41</xdr:row>
      <xdr:rowOff>129540</xdr:rowOff>
    </xdr:to>
    <xdr:sp macro="" textlink="">
      <xdr:nvSpPr>
        <xdr:cNvPr id="6742" name="직사각형 6741">
          <a:extLst>
            <a:ext uri="{FF2B5EF4-FFF2-40B4-BE49-F238E27FC236}">
              <a16:creationId xmlns:a16="http://schemas.microsoft.com/office/drawing/2014/main" id="{8A19BCE5-1C52-45FE-9D8F-7125E96210B2}"/>
            </a:ext>
          </a:extLst>
        </xdr:cNvPr>
        <xdr:cNvSpPr/>
      </xdr:nvSpPr>
      <xdr:spPr>
        <a:xfrm>
          <a:off x="6467203" y="647319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28303</xdr:colOff>
      <xdr:row>41</xdr:row>
      <xdr:rowOff>72390</xdr:rowOff>
    </xdr:from>
    <xdr:to>
      <xdr:col>30</xdr:col>
      <xdr:colOff>67601</xdr:colOff>
      <xdr:row>41</xdr:row>
      <xdr:rowOff>72390</xdr:rowOff>
    </xdr:to>
    <xdr:cxnSp macro="">
      <xdr:nvCxnSpPr>
        <xdr:cNvPr id="6743" name="직선 화살표 연결선 6742">
          <a:extLst>
            <a:ext uri="{FF2B5EF4-FFF2-40B4-BE49-F238E27FC236}">
              <a16:creationId xmlns:a16="http://schemas.microsoft.com/office/drawing/2014/main" id="{6C916991-E103-4F5C-9DBB-6FB505CA5D8B}"/>
            </a:ext>
          </a:extLst>
        </xdr:cNvPr>
        <xdr:cNvCxnSpPr/>
      </xdr:nvCxnSpPr>
      <xdr:spPr>
        <a:xfrm>
          <a:off x="6467203" y="6530340"/>
          <a:ext cx="3929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28303</xdr:colOff>
      <xdr:row>40</xdr:row>
      <xdr:rowOff>15240</xdr:rowOff>
    </xdr:from>
    <xdr:to>
      <xdr:col>31</xdr:col>
      <xdr:colOff>50891</xdr:colOff>
      <xdr:row>40</xdr:row>
      <xdr:rowOff>129540</xdr:rowOff>
    </xdr:to>
    <xdr:sp macro="" textlink="">
      <xdr:nvSpPr>
        <xdr:cNvPr id="6744" name="직사각형 6743">
          <a:extLst>
            <a:ext uri="{FF2B5EF4-FFF2-40B4-BE49-F238E27FC236}">
              <a16:creationId xmlns:a16="http://schemas.microsoft.com/office/drawing/2014/main" id="{A0CD0A1F-AB60-465D-8413-2677FAD9A8E9}"/>
            </a:ext>
          </a:extLst>
        </xdr:cNvPr>
        <xdr:cNvSpPr/>
      </xdr:nvSpPr>
      <xdr:spPr>
        <a:xfrm>
          <a:off x="6467203" y="6320790"/>
          <a:ext cx="16546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28303</xdr:colOff>
      <xdr:row>40</xdr:row>
      <xdr:rowOff>72390</xdr:rowOff>
    </xdr:from>
    <xdr:to>
      <xdr:col>30</xdr:col>
      <xdr:colOff>101106</xdr:colOff>
      <xdr:row>40</xdr:row>
      <xdr:rowOff>72390</xdr:rowOff>
    </xdr:to>
    <xdr:cxnSp macro="">
      <xdr:nvCxnSpPr>
        <xdr:cNvPr id="6745" name="직선 화살표 연결선 6744">
          <a:extLst>
            <a:ext uri="{FF2B5EF4-FFF2-40B4-BE49-F238E27FC236}">
              <a16:creationId xmlns:a16="http://schemas.microsoft.com/office/drawing/2014/main" id="{A23B4DEB-87E9-44E4-A3E6-EB0ACC88F14C}"/>
            </a:ext>
          </a:extLst>
        </xdr:cNvPr>
        <xdr:cNvCxnSpPr/>
      </xdr:nvCxnSpPr>
      <xdr:spPr>
        <a:xfrm>
          <a:off x="6467203" y="6377940"/>
          <a:ext cx="7280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30208</xdr:colOff>
      <xdr:row>38</xdr:row>
      <xdr:rowOff>26670</xdr:rowOff>
    </xdr:from>
    <xdr:to>
      <xdr:col>31</xdr:col>
      <xdr:colOff>50891</xdr:colOff>
      <xdr:row>38</xdr:row>
      <xdr:rowOff>140970</xdr:rowOff>
    </xdr:to>
    <xdr:sp macro="" textlink="">
      <xdr:nvSpPr>
        <xdr:cNvPr id="6746" name="직사각형 6745">
          <a:extLst>
            <a:ext uri="{FF2B5EF4-FFF2-40B4-BE49-F238E27FC236}">
              <a16:creationId xmlns:a16="http://schemas.microsoft.com/office/drawing/2014/main" id="{5CC0FBC6-7A8A-48FC-8332-B6949C139AD8}"/>
            </a:ext>
          </a:extLst>
        </xdr:cNvPr>
        <xdr:cNvSpPr/>
      </xdr:nvSpPr>
      <xdr:spPr>
        <a:xfrm>
          <a:off x="6611983" y="600837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30208</xdr:colOff>
      <xdr:row>38</xdr:row>
      <xdr:rowOff>83820</xdr:rowOff>
    </xdr:from>
    <xdr:to>
      <xdr:col>31</xdr:col>
      <xdr:colOff>30208</xdr:colOff>
      <xdr:row>38</xdr:row>
      <xdr:rowOff>83820</xdr:rowOff>
    </xdr:to>
    <xdr:cxnSp macro="">
      <xdr:nvCxnSpPr>
        <xdr:cNvPr id="6747" name="직선 화살표 연결선 6746">
          <a:extLst>
            <a:ext uri="{FF2B5EF4-FFF2-40B4-BE49-F238E27FC236}">
              <a16:creationId xmlns:a16="http://schemas.microsoft.com/office/drawing/2014/main" id="{EEB74622-6E5A-4010-B747-BE0EB15A4386}"/>
            </a:ext>
          </a:extLst>
        </xdr:cNvPr>
        <xdr:cNvCxnSpPr/>
      </xdr:nvCxnSpPr>
      <xdr:spPr>
        <a:xfrm>
          <a:off x="6611983" y="60655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7620</xdr:colOff>
      <xdr:row>37</xdr:row>
      <xdr:rowOff>19050</xdr:rowOff>
    </xdr:from>
    <xdr:to>
      <xdr:col>30</xdr:col>
      <xdr:colOff>111034</xdr:colOff>
      <xdr:row>37</xdr:row>
      <xdr:rowOff>133350</xdr:rowOff>
    </xdr:to>
    <xdr:sp macro="" textlink="">
      <xdr:nvSpPr>
        <xdr:cNvPr id="6748" name="직사각형 6747">
          <a:extLst>
            <a:ext uri="{FF2B5EF4-FFF2-40B4-BE49-F238E27FC236}">
              <a16:creationId xmlns:a16="http://schemas.microsoft.com/office/drawing/2014/main" id="{C60BD201-D19B-49AA-A96F-DDEB7BB641B8}"/>
            </a:ext>
          </a:extLst>
        </xdr:cNvPr>
        <xdr:cNvSpPr/>
      </xdr:nvSpPr>
      <xdr:spPr>
        <a:xfrm>
          <a:off x="6446520" y="584835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7620</xdr:colOff>
      <xdr:row>37</xdr:row>
      <xdr:rowOff>76200</xdr:rowOff>
    </xdr:from>
    <xdr:to>
      <xdr:col>30</xdr:col>
      <xdr:colOff>33474</xdr:colOff>
      <xdr:row>37</xdr:row>
      <xdr:rowOff>76200</xdr:rowOff>
    </xdr:to>
    <xdr:cxnSp macro="">
      <xdr:nvCxnSpPr>
        <xdr:cNvPr id="6749" name="직선 화살표 연결선 6748">
          <a:extLst>
            <a:ext uri="{FF2B5EF4-FFF2-40B4-BE49-F238E27FC236}">
              <a16:creationId xmlns:a16="http://schemas.microsoft.com/office/drawing/2014/main" id="{F320BB75-0E98-4539-B8E4-51F7FD13AFE0}"/>
            </a:ext>
          </a:extLst>
        </xdr:cNvPr>
        <xdr:cNvCxnSpPr/>
      </xdr:nvCxnSpPr>
      <xdr:spPr>
        <a:xfrm>
          <a:off x="6446520" y="5905500"/>
          <a:ext cx="258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5715</xdr:colOff>
      <xdr:row>36</xdr:row>
      <xdr:rowOff>19050</xdr:rowOff>
    </xdr:from>
    <xdr:to>
      <xdr:col>29</xdr:col>
      <xdr:colOff>109129</xdr:colOff>
      <xdr:row>36</xdr:row>
      <xdr:rowOff>133350</xdr:rowOff>
    </xdr:to>
    <xdr:sp macro="" textlink="">
      <xdr:nvSpPr>
        <xdr:cNvPr id="6750" name="직사각형 6749">
          <a:extLst>
            <a:ext uri="{FF2B5EF4-FFF2-40B4-BE49-F238E27FC236}">
              <a16:creationId xmlns:a16="http://schemas.microsoft.com/office/drawing/2014/main" id="{D82000DC-9D34-4BE3-BB67-32E1D19954AD}"/>
            </a:ext>
          </a:extLst>
        </xdr:cNvPr>
        <xdr:cNvSpPr/>
      </xdr:nvSpPr>
      <xdr:spPr>
        <a:xfrm>
          <a:off x="6301740" y="569595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xdr:colOff>
      <xdr:row>36</xdr:row>
      <xdr:rowOff>76200</xdr:rowOff>
    </xdr:from>
    <xdr:to>
      <xdr:col>29</xdr:col>
      <xdr:colOff>103959</xdr:colOff>
      <xdr:row>36</xdr:row>
      <xdr:rowOff>76200</xdr:rowOff>
    </xdr:to>
    <xdr:cxnSp macro="">
      <xdr:nvCxnSpPr>
        <xdr:cNvPr id="6751" name="직선 화살표 연결선 6750">
          <a:extLst>
            <a:ext uri="{FF2B5EF4-FFF2-40B4-BE49-F238E27FC236}">
              <a16:creationId xmlns:a16="http://schemas.microsoft.com/office/drawing/2014/main" id="{FEAE0802-01B7-43FB-80AF-FAB9EF65C2D9}"/>
            </a:ext>
          </a:extLst>
        </xdr:cNvPr>
        <xdr:cNvCxnSpPr/>
      </xdr:nvCxnSpPr>
      <xdr:spPr>
        <a:xfrm>
          <a:off x="6301740" y="5753100"/>
          <a:ext cx="9824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65858</xdr:colOff>
      <xdr:row>35</xdr:row>
      <xdr:rowOff>19050</xdr:rowOff>
    </xdr:from>
    <xdr:to>
      <xdr:col>28</xdr:col>
      <xdr:colOff>107224</xdr:colOff>
      <xdr:row>35</xdr:row>
      <xdr:rowOff>133350</xdr:rowOff>
    </xdr:to>
    <xdr:sp macro="" textlink="">
      <xdr:nvSpPr>
        <xdr:cNvPr id="6752" name="직사각형 6751">
          <a:extLst>
            <a:ext uri="{FF2B5EF4-FFF2-40B4-BE49-F238E27FC236}">
              <a16:creationId xmlns:a16="http://schemas.microsoft.com/office/drawing/2014/main" id="{8AE91077-FD3F-445D-A610-2290A3B44D28}"/>
            </a:ext>
          </a:extLst>
        </xdr:cNvPr>
        <xdr:cNvSpPr/>
      </xdr:nvSpPr>
      <xdr:spPr>
        <a:xfrm>
          <a:off x="6219008" y="554355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65858</xdr:colOff>
      <xdr:row>35</xdr:row>
      <xdr:rowOff>76200</xdr:rowOff>
    </xdr:from>
    <xdr:to>
      <xdr:col>28</xdr:col>
      <xdr:colOff>105156</xdr:colOff>
      <xdr:row>35</xdr:row>
      <xdr:rowOff>76200</xdr:rowOff>
    </xdr:to>
    <xdr:cxnSp macro="">
      <xdr:nvCxnSpPr>
        <xdr:cNvPr id="6753" name="직선 화살표 연결선 6752">
          <a:extLst>
            <a:ext uri="{FF2B5EF4-FFF2-40B4-BE49-F238E27FC236}">
              <a16:creationId xmlns:a16="http://schemas.microsoft.com/office/drawing/2014/main" id="{DF07674A-85B7-4DE6-AEF8-AD152B1898F2}"/>
            </a:ext>
          </a:extLst>
        </xdr:cNvPr>
        <xdr:cNvCxnSpPr/>
      </xdr:nvCxnSpPr>
      <xdr:spPr>
        <a:xfrm>
          <a:off x="6219008" y="5600700"/>
          <a:ext cx="3929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65858</xdr:colOff>
      <xdr:row>34</xdr:row>
      <xdr:rowOff>19050</xdr:rowOff>
    </xdr:from>
    <xdr:to>
      <xdr:col>28</xdr:col>
      <xdr:colOff>107224</xdr:colOff>
      <xdr:row>34</xdr:row>
      <xdr:rowOff>133350</xdr:rowOff>
    </xdr:to>
    <xdr:sp macro="" textlink="">
      <xdr:nvSpPr>
        <xdr:cNvPr id="6754" name="직사각형 6753">
          <a:extLst>
            <a:ext uri="{FF2B5EF4-FFF2-40B4-BE49-F238E27FC236}">
              <a16:creationId xmlns:a16="http://schemas.microsoft.com/office/drawing/2014/main" id="{048FB932-81DE-4466-AE6E-2C6EB0E1AAA3}"/>
            </a:ext>
          </a:extLst>
        </xdr:cNvPr>
        <xdr:cNvSpPr/>
      </xdr:nvSpPr>
      <xdr:spPr>
        <a:xfrm>
          <a:off x="6219008" y="539115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65858</xdr:colOff>
      <xdr:row>34</xdr:row>
      <xdr:rowOff>76200</xdr:rowOff>
    </xdr:from>
    <xdr:to>
      <xdr:col>28</xdr:col>
      <xdr:colOff>105156</xdr:colOff>
      <xdr:row>34</xdr:row>
      <xdr:rowOff>76200</xdr:rowOff>
    </xdr:to>
    <xdr:cxnSp macro="">
      <xdr:nvCxnSpPr>
        <xdr:cNvPr id="6755" name="직선 화살표 연결선 6754">
          <a:extLst>
            <a:ext uri="{FF2B5EF4-FFF2-40B4-BE49-F238E27FC236}">
              <a16:creationId xmlns:a16="http://schemas.microsoft.com/office/drawing/2014/main" id="{82494A95-3903-40A7-94EA-9B4EB451B3C6}"/>
            </a:ext>
          </a:extLst>
        </xdr:cNvPr>
        <xdr:cNvCxnSpPr/>
      </xdr:nvCxnSpPr>
      <xdr:spPr>
        <a:xfrm>
          <a:off x="6219008" y="5448300"/>
          <a:ext cx="3929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65858</xdr:colOff>
      <xdr:row>33</xdr:row>
      <xdr:rowOff>19050</xdr:rowOff>
    </xdr:from>
    <xdr:to>
      <xdr:col>28</xdr:col>
      <xdr:colOff>107224</xdr:colOff>
      <xdr:row>33</xdr:row>
      <xdr:rowOff>133350</xdr:rowOff>
    </xdr:to>
    <xdr:sp macro="" textlink="">
      <xdr:nvSpPr>
        <xdr:cNvPr id="6756" name="직사각형 6755">
          <a:extLst>
            <a:ext uri="{FF2B5EF4-FFF2-40B4-BE49-F238E27FC236}">
              <a16:creationId xmlns:a16="http://schemas.microsoft.com/office/drawing/2014/main" id="{1C008D93-B721-42A8-8ACF-C621EB150E6B}"/>
            </a:ext>
          </a:extLst>
        </xdr:cNvPr>
        <xdr:cNvSpPr/>
      </xdr:nvSpPr>
      <xdr:spPr>
        <a:xfrm>
          <a:off x="6219008" y="523875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65858</xdr:colOff>
      <xdr:row>33</xdr:row>
      <xdr:rowOff>76200</xdr:rowOff>
    </xdr:from>
    <xdr:to>
      <xdr:col>28</xdr:col>
      <xdr:colOff>105156</xdr:colOff>
      <xdr:row>33</xdr:row>
      <xdr:rowOff>76200</xdr:rowOff>
    </xdr:to>
    <xdr:cxnSp macro="">
      <xdr:nvCxnSpPr>
        <xdr:cNvPr id="6757" name="직선 화살표 연결선 6756">
          <a:extLst>
            <a:ext uri="{FF2B5EF4-FFF2-40B4-BE49-F238E27FC236}">
              <a16:creationId xmlns:a16="http://schemas.microsoft.com/office/drawing/2014/main" id="{4EAE360E-CB18-4CC7-907E-D828D10A789C}"/>
            </a:ext>
          </a:extLst>
        </xdr:cNvPr>
        <xdr:cNvCxnSpPr/>
      </xdr:nvCxnSpPr>
      <xdr:spPr>
        <a:xfrm>
          <a:off x="6219008" y="5295900"/>
          <a:ext cx="3929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65858</xdr:colOff>
      <xdr:row>32</xdr:row>
      <xdr:rowOff>19050</xdr:rowOff>
    </xdr:from>
    <xdr:to>
      <xdr:col>31</xdr:col>
      <xdr:colOff>50891</xdr:colOff>
      <xdr:row>32</xdr:row>
      <xdr:rowOff>133350</xdr:rowOff>
    </xdr:to>
    <xdr:sp macro="" textlink="">
      <xdr:nvSpPr>
        <xdr:cNvPr id="6758" name="직사각형 6757">
          <a:extLst>
            <a:ext uri="{FF2B5EF4-FFF2-40B4-BE49-F238E27FC236}">
              <a16:creationId xmlns:a16="http://schemas.microsoft.com/office/drawing/2014/main" id="{0E33EC3D-BEF2-435E-BCF7-3B7A53EF0C6B}"/>
            </a:ext>
          </a:extLst>
        </xdr:cNvPr>
        <xdr:cNvSpPr/>
      </xdr:nvSpPr>
      <xdr:spPr>
        <a:xfrm>
          <a:off x="6219008" y="5086350"/>
          <a:ext cx="41365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65858</xdr:colOff>
      <xdr:row>32</xdr:row>
      <xdr:rowOff>76200</xdr:rowOff>
    </xdr:from>
    <xdr:to>
      <xdr:col>30</xdr:col>
      <xdr:colOff>64802</xdr:colOff>
      <xdr:row>32</xdr:row>
      <xdr:rowOff>76200</xdr:rowOff>
    </xdr:to>
    <xdr:cxnSp macro="">
      <xdr:nvCxnSpPr>
        <xdr:cNvPr id="6759" name="직선 화살표 연결선 6758">
          <a:extLst>
            <a:ext uri="{FF2B5EF4-FFF2-40B4-BE49-F238E27FC236}">
              <a16:creationId xmlns:a16="http://schemas.microsoft.com/office/drawing/2014/main" id="{15B83EB9-1FA0-4CBA-96C1-503F3927E17C}"/>
            </a:ext>
          </a:extLst>
        </xdr:cNvPr>
        <xdr:cNvCxnSpPr/>
      </xdr:nvCxnSpPr>
      <xdr:spPr>
        <a:xfrm>
          <a:off x="6219008" y="5143500"/>
          <a:ext cx="2846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52796</xdr:colOff>
      <xdr:row>30</xdr:row>
      <xdr:rowOff>19050</xdr:rowOff>
    </xdr:from>
    <xdr:to>
      <xdr:col>32</xdr:col>
      <xdr:colOff>73478</xdr:colOff>
      <xdr:row>30</xdr:row>
      <xdr:rowOff>133350</xdr:rowOff>
    </xdr:to>
    <xdr:sp macro="" textlink="">
      <xdr:nvSpPr>
        <xdr:cNvPr id="6760" name="직사각형 6759">
          <a:extLst>
            <a:ext uri="{FF2B5EF4-FFF2-40B4-BE49-F238E27FC236}">
              <a16:creationId xmlns:a16="http://schemas.microsoft.com/office/drawing/2014/main" id="{C129BDA2-7EE2-4AA5-96DC-ADB2F2706B97}"/>
            </a:ext>
          </a:extLst>
        </xdr:cNvPr>
        <xdr:cNvSpPr/>
      </xdr:nvSpPr>
      <xdr:spPr>
        <a:xfrm>
          <a:off x="6777446" y="478155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52796</xdr:colOff>
      <xdr:row>30</xdr:row>
      <xdr:rowOff>76200</xdr:rowOff>
    </xdr:from>
    <xdr:to>
      <xdr:col>32</xdr:col>
      <xdr:colOff>52796</xdr:colOff>
      <xdr:row>30</xdr:row>
      <xdr:rowOff>76200</xdr:rowOff>
    </xdr:to>
    <xdr:cxnSp macro="">
      <xdr:nvCxnSpPr>
        <xdr:cNvPr id="6761" name="직선 화살표 연결선 6760">
          <a:extLst>
            <a:ext uri="{FF2B5EF4-FFF2-40B4-BE49-F238E27FC236}">
              <a16:creationId xmlns:a16="http://schemas.microsoft.com/office/drawing/2014/main" id="{12309117-6205-43BA-B1A4-74407AA313E6}"/>
            </a:ext>
          </a:extLst>
        </xdr:cNvPr>
        <xdr:cNvCxnSpPr/>
      </xdr:nvCxnSpPr>
      <xdr:spPr>
        <a:xfrm>
          <a:off x="6777446" y="48387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32113</xdr:colOff>
      <xdr:row>29</xdr:row>
      <xdr:rowOff>19050</xdr:rowOff>
    </xdr:from>
    <xdr:to>
      <xdr:col>32</xdr:col>
      <xdr:colOff>52796</xdr:colOff>
      <xdr:row>29</xdr:row>
      <xdr:rowOff>133350</xdr:rowOff>
    </xdr:to>
    <xdr:sp macro="" textlink="">
      <xdr:nvSpPr>
        <xdr:cNvPr id="6762" name="직사각형 6761">
          <a:extLst>
            <a:ext uri="{FF2B5EF4-FFF2-40B4-BE49-F238E27FC236}">
              <a16:creationId xmlns:a16="http://schemas.microsoft.com/office/drawing/2014/main" id="{5E48D7D9-1983-4610-A49A-C50C2F53473E}"/>
            </a:ext>
          </a:extLst>
        </xdr:cNvPr>
        <xdr:cNvSpPr/>
      </xdr:nvSpPr>
      <xdr:spPr>
        <a:xfrm>
          <a:off x="6756763" y="462915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32113</xdr:colOff>
      <xdr:row>29</xdr:row>
      <xdr:rowOff>76200</xdr:rowOff>
    </xdr:from>
    <xdr:to>
      <xdr:col>32</xdr:col>
      <xdr:colOff>32113</xdr:colOff>
      <xdr:row>29</xdr:row>
      <xdr:rowOff>76200</xdr:rowOff>
    </xdr:to>
    <xdr:cxnSp macro="">
      <xdr:nvCxnSpPr>
        <xdr:cNvPr id="6763" name="직선 화살표 연결선 6762">
          <a:extLst>
            <a:ext uri="{FF2B5EF4-FFF2-40B4-BE49-F238E27FC236}">
              <a16:creationId xmlns:a16="http://schemas.microsoft.com/office/drawing/2014/main" id="{64F1E98A-7F64-4E5E-9508-6800B5BC7DCA}"/>
            </a:ext>
          </a:extLst>
        </xdr:cNvPr>
        <xdr:cNvCxnSpPr/>
      </xdr:nvCxnSpPr>
      <xdr:spPr>
        <a:xfrm>
          <a:off x="6756763" y="46863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90351</xdr:colOff>
      <xdr:row>28</xdr:row>
      <xdr:rowOff>19050</xdr:rowOff>
    </xdr:from>
    <xdr:to>
      <xdr:col>31</xdr:col>
      <xdr:colOff>71574</xdr:colOff>
      <xdr:row>28</xdr:row>
      <xdr:rowOff>133350</xdr:rowOff>
    </xdr:to>
    <xdr:sp macro="" textlink="">
      <xdr:nvSpPr>
        <xdr:cNvPr id="6764" name="직사각형 6763">
          <a:extLst>
            <a:ext uri="{FF2B5EF4-FFF2-40B4-BE49-F238E27FC236}">
              <a16:creationId xmlns:a16="http://schemas.microsoft.com/office/drawing/2014/main" id="{DF7B1AEE-B66E-4EB1-8DFB-5D4104E8468D}"/>
            </a:ext>
          </a:extLst>
        </xdr:cNvPr>
        <xdr:cNvSpPr/>
      </xdr:nvSpPr>
      <xdr:spPr>
        <a:xfrm>
          <a:off x="6529251" y="4476750"/>
          <a:ext cx="1240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90351</xdr:colOff>
      <xdr:row>28</xdr:row>
      <xdr:rowOff>76200</xdr:rowOff>
    </xdr:from>
    <xdr:to>
      <xdr:col>31</xdr:col>
      <xdr:colOff>9525</xdr:colOff>
      <xdr:row>28</xdr:row>
      <xdr:rowOff>76200</xdr:rowOff>
    </xdr:to>
    <xdr:cxnSp macro="">
      <xdr:nvCxnSpPr>
        <xdr:cNvPr id="6765" name="직선 화살표 연결선 6764">
          <a:extLst>
            <a:ext uri="{FF2B5EF4-FFF2-40B4-BE49-F238E27FC236}">
              <a16:creationId xmlns:a16="http://schemas.microsoft.com/office/drawing/2014/main" id="{148DE3EB-A016-4DAD-860F-5BF269F242F5}"/>
            </a:ext>
          </a:extLst>
        </xdr:cNvPr>
        <xdr:cNvCxnSpPr/>
      </xdr:nvCxnSpPr>
      <xdr:spPr>
        <a:xfrm>
          <a:off x="6529251" y="4533900"/>
          <a:ext cx="6204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65858</xdr:colOff>
      <xdr:row>27</xdr:row>
      <xdr:rowOff>19050</xdr:rowOff>
    </xdr:from>
    <xdr:to>
      <xdr:col>30</xdr:col>
      <xdr:colOff>90351</xdr:colOff>
      <xdr:row>27</xdr:row>
      <xdr:rowOff>133350</xdr:rowOff>
    </xdr:to>
    <xdr:sp macro="" textlink="">
      <xdr:nvSpPr>
        <xdr:cNvPr id="6766" name="직사각형 6765">
          <a:extLst>
            <a:ext uri="{FF2B5EF4-FFF2-40B4-BE49-F238E27FC236}">
              <a16:creationId xmlns:a16="http://schemas.microsoft.com/office/drawing/2014/main" id="{B8B1DA83-D249-4AAD-86C9-4D2CAC9F8808}"/>
            </a:ext>
          </a:extLst>
        </xdr:cNvPr>
        <xdr:cNvSpPr/>
      </xdr:nvSpPr>
      <xdr:spPr>
        <a:xfrm>
          <a:off x="6219008" y="4324350"/>
          <a:ext cx="31024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65858</xdr:colOff>
      <xdr:row>27</xdr:row>
      <xdr:rowOff>76200</xdr:rowOff>
    </xdr:from>
    <xdr:to>
      <xdr:col>30</xdr:col>
      <xdr:colOff>59327</xdr:colOff>
      <xdr:row>27</xdr:row>
      <xdr:rowOff>76200</xdr:rowOff>
    </xdr:to>
    <xdr:cxnSp macro="">
      <xdr:nvCxnSpPr>
        <xdr:cNvPr id="6767" name="직선 화살표 연결선 6766">
          <a:extLst>
            <a:ext uri="{FF2B5EF4-FFF2-40B4-BE49-F238E27FC236}">
              <a16:creationId xmlns:a16="http://schemas.microsoft.com/office/drawing/2014/main" id="{0ABCC145-73D6-47A3-B12A-8F649F3131FA}"/>
            </a:ext>
          </a:extLst>
        </xdr:cNvPr>
        <xdr:cNvCxnSpPr/>
      </xdr:nvCxnSpPr>
      <xdr:spPr>
        <a:xfrm>
          <a:off x="6219008" y="4381500"/>
          <a:ext cx="27921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65858</xdr:colOff>
      <xdr:row>26</xdr:row>
      <xdr:rowOff>19050</xdr:rowOff>
    </xdr:from>
    <xdr:to>
      <xdr:col>32</xdr:col>
      <xdr:colOff>73478</xdr:colOff>
      <xdr:row>26</xdr:row>
      <xdr:rowOff>133350</xdr:rowOff>
    </xdr:to>
    <xdr:sp macro="" textlink="">
      <xdr:nvSpPr>
        <xdr:cNvPr id="6768" name="직사각형 6767">
          <a:extLst>
            <a:ext uri="{FF2B5EF4-FFF2-40B4-BE49-F238E27FC236}">
              <a16:creationId xmlns:a16="http://schemas.microsoft.com/office/drawing/2014/main" id="{6E6DC8B0-91C5-4232-AAFB-0D16BB9B5455}"/>
            </a:ext>
          </a:extLst>
        </xdr:cNvPr>
        <xdr:cNvSpPr/>
      </xdr:nvSpPr>
      <xdr:spPr>
        <a:xfrm>
          <a:off x="6219008" y="4171950"/>
          <a:ext cx="5791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65858</xdr:colOff>
      <xdr:row>26</xdr:row>
      <xdr:rowOff>76200</xdr:rowOff>
    </xdr:from>
    <xdr:to>
      <xdr:col>31</xdr:col>
      <xdr:colOff>42618</xdr:colOff>
      <xdr:row>26</xdr:row>
      <xdr:rowOff>76200</xdr:rowOff>
    </xdr:to>
    <xdr:cxnSp macro="">
      <xdr:nvCxnSpPr>
        <xdr:cNvPr id="6769" name="직선 화살표 연결선 6768">
          <a:extLst>
            <a:ext uri="{FF2B5EF4-FFF2-40B4-BE49-F238E27FC236}">
              <a16:creationId xmlns:a16="http://schemas.microsoft.com/office/drawing/2014/main" id="{062BE07C-51DF-46BC-BB2F-CB61D8DE2A7C}"/>
            </a:ext>
          </a:extLst>
        </xdr:cNvPr>
        <xdr:cNvCxnSpPr/>
      </xdr:nvCxnSpPr>
      <xdr:spPr>
        <a:xfrm>
          <a:off x="6219008" y="4229100"/>
          <a:ext cx="40538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52796</xdr:colOff>
      <xdr:row>24</xdr:row>
      <xdr:rowOff>19050</xdr:rowOff>
    </xdr:from>
    <xdr:to>
      <xdr:col>32</xdr:col>
      <xdr:colOff>73478</xdr:colOff>
      <xdr:row>24</xdr:row>
      <xdr:rowOff>133350</xdr:rowOff>
    </xdr:to>
    <xdr:sp macro="" textlink="">
      <xdr:nvSpPr>
        <xdr:cNvPr id="6770" name="직사각형 6769">
          <a:extLst>
            <a:ext uri="{FF2B5EF4-FFF2-40B4-BE49-F238E27FC236}">
              <a16:creationId xmlns:a16="http://schemas.microsoft.com/office/drawing/2014/main" id="{E5CD8489-6C72-49CC-AC60-CCD663A34097}"/>
            </a:ext>
          </a:extLst>
        </xdr:cNvPr>
        <xdr:cNvSpPr/>
      </xdr:nvSpPr>
      <xdr:spPr>
        <a:xfrm>
          <a:off x="6777446" y="386715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52796</xdr:colOff>
      <xdr:row>24</xdr:row>
      <xdr:rowOff>76200</xdr:rowOff>
    </xdr:from>
    <xdr:to>
      <xdr:col>32</xdr:col>
      <xdr:colOff>52796</xdr:colOff>
      <xdr:row>24</xdr:row>
      <xdr:rowOff>76200</xdr:rowOff>
    </xdr:to>
    <xdr:cxnSp macro="">
      <xdr:nvCxnSpPr>
        <xdr:cNvPr id="6771" name="직선 화살표 연결선 6770">
          <a:extLst>
            <a:ext uri="{FF2B5EF4-FFF2-40B4-BE49-F238E27FC236}">
              <a16:creationId xmlns:a16="http://schemas.microsoft.com/office/drawing/2014/main" id="{FC70B867-1D8E-4450-A3D8-E2D67DD2465D}"/>
            </a:ext>
          </a:extLst>
        </xdr:cNvPr>
        <xdr:cNvCxnSpPr/>
      </xdr:nvCxnSpPr>
      <xdr:spPr>
        <a:xfrm>
          <a:off x="6777446" y="39243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30208</xdr:colOff>
      <xdr:row>22</xdr:row>
      <xdr:rowOff>19050</xdr:rowOff>
    </xdr:from>
    <xdr:to>
      <xdr:col>31</xdr:col>
      <xdr:colOff>71574</xdr:colOff>
      <xdr:row>22</xdr:row>
      <xdr:rowOff>133350</xdr:rowOff>
    </xdr:to>
    <xdr:sp macro="" textlink="">
      <xdr:nvSpPr>
        <xdr:cNvPr id="6772" name="직사각형 6771">
          <a:extLst>
            <a:ext uri="{FF2B5EF4-FFF2-40B4-BE49-F238E27FC236}">
              <a16:creationId xmlns:a16="http://schemas.microsoft.com/office/drawing/2014/main" id="{5479FFF2-E31A-4A30-AC11-D2DAD3CDCD9E}"/>
            </a:ext>
          </a:extLst>
        </xdr:cNvPr>
        <xdr:cNvSpPr/>
      </xdr:nvSpPr>
      <xdr:spPr>
        <a:xfrm>
          <a:off x="6611983" y="356235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30208</xdr:colOff>
      <xdr:row>22</xdr:row>
      <xdr:rowOff>76200</xdr:rowOff>
    </xdr:from>
    <xdr:to>
      <xdr:col>31</xdr:col>
      <xdr:colOff>30208</xdr:colOff>
      <xdr:row>22</xdr:row>
      <xdr:rowOff>76200</xdr:rowOff>
    </xdr:to>
    <xdr:cxnSp macro="">
      <xdr:nvCxnSpPr>
        <xdr:cNvPr id="6773" name="직선 화살표 연결선 6772">
          <a:extLst>
            <a:ext uri="{FF2B5EF4-FFF2-40B4-BE49-F238E27FC236}">
              <a16:creationId xmlns:a16="http://schemas.microsoft.com/office/drawing/2014/main" id="{D9D341D3-C9A9-4F1A-A03E-89587C5BAC19}"/>
            </a:ext>
          </a:extLst>
        </xdr:cNvPr>
        <xdr:cNvCxnSpPr/>
      </xdr:nvCxnSpPr>
      <xdr:spPr>
        <a:xfrm>
          <a:off x="6611983" y="36195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9525</xdr:colOff>
      <xdr:row>21</xdr:row>
      <xdr:rowOff>19050</xdr:rowOff>
    </xdr:from>
    <xdr:to>
      <xdr:col>31</xdr:col>
      <xdr:colOff>50891</xdr:colOff>
      <xdr:row>21</xdr:row>
      <xdr:rowOff>133350</xdr:rowOff>
    </xdr:to>
    <xdr:sp macro="" textlink="">
      <xdr:nvSpPr>
        <xdr:cNvPr id="6774" name="직사각형 6773">
          <a:extLst>
            <a:ext uri="{FF2B5EF4-FFF2-40B4-BE49-F238E27FC236}">
              <a16:creationId xmlns:a16="http://schemas.microsoft.com/office/drawing/2014/main" id="{0A8FDDF7-3238-4444-B93E-1BBBD60D5E81}"/>
            </a:ext>
          </a:extLst>
        </xdr:cNvPr>
        <xdr:cNvSpPr/>
      </xdr:nvSpPr>
      <xdr:spPr>
        <a:xfrm>
          <a:off x="6591300" y="340995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9525</xdr:colOff>
      <xdr:row>21</xdr:row>
      <xdr:rowOff>76200</xdr:rowOff>
    </xdr:from>
    <xdr:to>
      <xdr:col>31</xdr:col>
      <xdr:colOff>30207</xdr:colOff>
      <xdr:row>21</xdr:row>
      <xdr:rowOff>76200</xdr:rowOff>
    </xdr:to>
    <xdr:cxnSp macro="">
      <xdr:nvCxnSpPr>
        <xdr:cNvPr id="6775" name="직선 화살표 연결선 6774">
          <a:extLst>
            <a:ext uri="{FF2B5EF4-FFF2-40B4-BE49-F238E27FC236}">
              <a16:creationId xmlns:a16="http://schemas.microsoft.com/office/drawing/2014/main" id="{1B639CC7-67BF-4801-B164-3A78B0B931F7}"/>
            </a:ext>
          </a:extLst>
        </xdr:cNvPr>
        <xdr:cNvCxnSpPr/>
      </xdr:nvCxnSpPr>
      <xdr:spPr>
        <a:xfrm>
          <a:off x="6591300" y="346710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9525</xdr:colOff>
      <xdr:row>20</xdr:row>
      <xdr:rowOff>19050</xdr:rowOff>
    </xdr:from>
    <xdr:to>
      <xdr:col>31</xdr:col>
      <xdr:colOff>50891</xdr:colOff>
      <xdr:row>20</xdr:row>
      <xdr:rowOff>133350</xdr:rowOff>
    </xdr:to>
    <xdr:sp macro="" textlink="">
      <xdr:nvSpPr>
        <xdr:cNvPr id="6776" name="직사각형 6775">
          <a:extLst>
            <a:ext uri="{FF2B5EF4-FFF2-40B4-BE49-F238E27FC236}">
              <a16:creationId xmlns:a16="http://schemas.microsoft.com/office/drawing/2014/main" id="{7E77058B-296E-4893-8A35-2D25AC5FEC7C}"/>
            </a:ext>
          </a:extLst>
        </xdr:cNvPr>
        <xdr:cNvSpPr/>
      </xdr:nvSpPr>
      <xdr:spPr>
        <a:xfrm>
          <a:off x="6591300" y="325755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9525</xdr:colOff>
      <xdr:row>20</xdr:row>
      <xdr:rowOff>76200</xdr:rowOff>
    </xdr:from>
    <xdr:to>
      <xdr:col>31</xdr:col>
      <xdr:colOff>30207</xdr:colOff>
      <xdr:row>20</xdr:row>
      <xdr:rowOff>76200</xdr:rowOff>
    </xdr:to>
    <xdr:cxnSp macro="">
      <xdr:nvCxnSpPr>
        <xdr:cNvPr id="6777" name="직선 화살표 연결선 6776">
          <a:extLst>
            <a:ext uri="{FF2B5EF4-FFF2-40B4-BE49-F238E27FC236}">
              <a16:creationId xmlns:a16="http://schemas.microsoft.com/office/drawing/2014/main" id="{0484019A-776D-492D-AA34-29D5A7CAE801}"/>
            </a:ext>
          </a:extLst>
        </xdr:cNvPr>
        <xdr:cNvCxnSpPr/>
      </xdr:nvCxnSpPr>
      <xdr:spPr>
        <a:xfrm>
          <a:off x="6591300" y="331470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9525</xdr:colOff>
      <xdr:row>19</xdr:row>
      <xdr:rowOff>19050</xdr:rowOff>
    </xdr:from>
    <xdr:to>
      <xdr:col>31</xdr:col>
      <xdr:colOff>50891</xdr:colOff>
      <xdr:row>19</xdr:row>
      <xdr:rowOff>133350</xdr:rowOff>
    </xdr:to>
    <xdr:sp macro="" textlink="">
      <xdr:nvSpPr>
        <xdr:cNvPr id="6778" name="직사각형 6777">
          <a:extLst>
            <a:ext uri="{FF2B5EF4-FFF2-40B4-BE49-F238E27FC236}">
              <a16:creationId xmlns:a16="http://schemas.microsoft.com/office/drawing/2014/main" id="{6C9A1448-8455-4E0A-B7E6-F5FEA677FFA9}"/>
            </a:ext>
          </a:extLst>
        </xdr:cNvPr>
        <xdr:cNvSpPr/>
      </xdr:nvSpPr>
      <xdr:spPr>
        <a:xfrm>
          <a:off x="6591300" y="310515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9525</xdr:colOff>
      <xdr:row>19</xdr:row>
      <xdr:rowOff>76200</xdr:rowOff>
    </xdr:from>
    <xdr:to>
      <xdr:col>31</xdr:col>
      <xdr:colOff>30207</xdr:colOff>
      <xdr:row>19</xdr:row>
      <xdr:rowOff>76200</xdr:rowOff>
    </xdr:to>
    <xdr:cxnSp macro="">
      <xdr:nvCxnSpPr>
        <xdr:cNvPr id="6779" name="직선 화살표 연결선 6778">
          <a:extLst>
            <a:ext uri="{FF2B5EF4-FFF2-40B4-BE49-F238E27FC236}">
              <a16:creationId xmlns:a16="http://schemas.microsoft.com/office/drawing/2014/main" id="{0923C9CF-E533-4B83-B30B-40EF70A3A9F2}"/>
            </a:ext>
          </a:extLst>
        </xdr:cNvPr>
        <xdr:cNvCxnSpPr/>
      </xdr:nvCxnSpPr>
      <xdr:spPr>
        <a:xfrm>
          <a:off x="6591300" y="316230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9525</xdr:colOff>
      <xdr:row>18</xdr:row>
      <xdr:rowOff>19050</xdr:rowOff>
    </xdr:from>
    <xdr:to>
      <xdr:col>32</xdr:col>
      <xdr:colOff>73478</xdr:colOff>
      <xdr:row>18</xdr:row>
      <xdr:rowOff>133350</xdr:rowOff>
    </xdr:to>
    <xdr:sp macro="" textlink="">
      <xdr:nvSpPr>
        <xdr:cNvPr id="6780" name="직사각형 6779">
          <a:extLst>
            <a:ext uri="{FF2B5EF4-FFF2-40B4-BE49-F238E27FC236}">
              <a16:creationId xmlns:a16="http://schemas.microsoft.com/office/drawing/2014/main" id="{18B3DE54-606D-4BDE-834F-657315B3429C}"/>
            </a:ext>
          </a:extLst>
        </xdr:cNvPr>
        <xdr:cNvSpPr/>
      </xdr:nvSpPr>
      <xdr:spPr>
        <a:xfrm>
          <a:off x="6591300" y="2952750"/>
          <a:ext cx="20682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9525</xdr:colOff>
      <xdr:row>18</xdr:row>
      <xdr:rowOff>76200</xdr:rowOff>
    </xdr:from>
    <xdr:to>
      <xdr:col>31</xdr:col>
      <xdr:colOff>78468</xdr:colOff>
      <xdr:row>18</xdr:row>
      <xdr:rowOff>76200</xdr:rowOff>
    </xdr:to>
    <xdr:cxnSp macro="">
      <xdr:nvCxnSpPr>
        <xdr:cNvPr id="6781" name="직선 화살표 연결선 6780">
          <a:extLst>
            <a:ext uri="{FF2B5EF4-FFF2-40B4-BE49-F238E27FC236}">
              <a16:creationId xmlns:a16="http://schemas.microsoft.com/office/drawing/2014/main" id="{AF2DF281-D055-4B15-A394-E8BFDD29C298}"/>
            </a:ext>
          </a:extLst>
        </xdr:cNvPr>
        <xdr:cNvCxnSpPr/>
      </xdr:nvCxnSpPr>
      <xdr:spPr>
        <a:xfrm>
          <a:off x="6591300" y="3009900"/>
          <a:ext cx="689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88447</xdr:colOff>
      <xdr:row>16</xdr:row>
      <xdr:rowOff>19050</xdr:rowOff>
    </xdr:from>
    <xdr:to>
      <xdr:col>29</xdr:col>
      <xdr:colOff>109129</xdr:colOff>
      <xdr:row>16</xdr:row>
      <xdr:rowOff>133350</xdr:rowOff>
    </xdr:to>
    <xdr:sp macro="" textlink="">
      <xdr:nvSpPr>
        <xdr:cNvPr id="6782" name="직사각형 6781">
          <a:extLst>
            <a:ext uri="{FF2B5EF4-FFF2-40B4-BE49-F238E27FC236}">
              <a16:creationId xmlns:a16="http://schemas.microsoft.com/office/drawing/2014/main" id="{871543F3-FBFE-4BE6-A177-AD1C84B99D2F}"/>
            </a:ext>
          </a:extLst>
        </xdr:cNvPr>
        <xdr:cNvSpPr/>
      </xdr:nvSpPr>
      <xdr:spPr>
        <a:xfrm>
          <a:off x="6384472" y="264795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88447</xdr:colOff>
      <xdr:row>16</xdr:row>
      <xdr:rowOff>76200</xdr:rowOff>
    </xdr:from>
    <xdr:to>
      <xdr:col>29</xdr:col>
      <xdr:colOff>109129</xdr:colOff>
      <xdr:row>16</xdr:row>
      <xdr:rowOff>76200</xdr:rowOff>
    </xdr:to>
    <xdr:cxnSp macro="">
      <xdr:nvCxnSpPr>
        <xdr:cNvPr id="6783" name="직선 화살표 연결선 6782">
          <a:extLst>
            <a:ext uri="{FF2B5EF4-FFF2-40B4-BE49-F238E27FC236}">
              <a16:creationId xmlns:a16="http://schemas.microsoft.com/office/drawing/2014/main" id="{47D23C8B-290C-4D38-9D86-9DA5C8CFCEC2}"/>
            </a:ext>
          </a:extLst>
        </xdr:cNvPr>
        <xdr:cNvCxnSpPr/>
      </xdr:nvCxnSpPr>
      <xdr:spPr>
        <a:xfrm>
          <a:off x="6384472" y="270510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67764</xdr:colOff>
      <xdr:row>15</xdr:row>
      <xdr:rowOff>19050</xdr:rowOff>
    </xdr:from>
    <xdr:to>
      <xdr:col>29</xdr:col>
      <xdr:colOff>88447</xdr:colOff>
      <xdr:row>15</xdr:row>
      <xdr:rowOff>133350</xdr:rowOff>
    </xdr:to>
    <xdr:sp macro="" textlink="">
      <xdr:nvSpPr>
        <xdr:cNvPr id="6784" name="직사각형 6783">
          <a:extLst>
            <a:ext uri="{FF2B5EF4-FFF2-40B4-BE49-F238E27FC236}">
              <a16:creationId xmlns:a16="http://schemas.microsoft.com/office/drawing/2014/main" id="{BB722BB7-24C1-4CFB-A38C-933F9F82BADF}"/>
            </a:ext>
          </a:extLst>
        </xdr:cNvPr>
        <xdr:cNvSpPr/>
      </xdr:nvSpPr>
      <xdr:spPr>
        <a:xfrm>
          <a:off x="6363789" y="249555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67764</xdr:colOff>
      <xdr:row>15</xdr:row>
      <xdr:rowOff>76200</xdr:rowOff>
    </xdr:from>
    <xdr:to>
      <xdr:col>29</xdr:col>
      <xdr:colOff>88447</xdr:colOff>
      <xdr:row>15</xdr:row>
      <xdr:rowOff>76200</xdr:rowOff>
    </xdr:to>
    <xdr:cxnSp macro="">
      <xdr:nvCxnSpPr>
        <xdr:cNvPr id="6785" name="직선 화살표 연결선 6784">
          <a:extLst>
            <a:ext uri="{FF2B5EF4-FFF2-40B4-BE49-F238E27FC236}">
              <a16:creationId xmlns:a16="http://schemas.microsoft.com/office/drawing/2014/main" id="{21145993-3D93-446D-AC75-A7E47C95D59E}"/>
            </a:ext>
          </a:extLst>
        </xdr:cNvPr>
        <xdr:cNvCxnSpPr/>
      </xdr:nvCxnSpPr>
      <xdr:spPr>
        <a:xfrm>
          <a:off x="6363789" y="255270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5715</xdr:colOff>
      <xdr:row>14</xdr:row>
      <xdr:rowOff>19050</xdr:rowOff>
    </xdr:from>
    <xdr:to>
      <xdr:col>29</xdr:col>
      <xdr:colOff>67764</xdr:colOff>
      <xdr:row>14</xdr:row>
      <xdr:rowOff>133350</xdr:rowOff>
    </xdr:to>
    <xdr:sp macro="" textlink="">
      <xdr:nvSpPr>
        <xdr:cNvPr id="6786" name="직사각형 6785">
          <a:extLst>
            <a:ext uri="{FF2B5EF4-FFF2-40B4-BE49-F238E27FC236}">
              <a16:creationId xmlns:a16="http://schemas.microsoft.com/office/drawing/2014/main" id="{7C47FE05-5CC7-46A1-B92B-EA77B630D268}"/>
            </a:ext>
          </a:extLst>
        </xdr:cNvPr>
        <xdr:cNvSpPr/>
      </xdr:nvSpPr>
      <xdr:spPr>
        <a:xfrm>
          <a:off x="6301740" y="234315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xdr:colOff>
      <xdr:row>14</xdr:row>
      <xdr:rowOff>76200</xdr:rowOff>
    </xdr:from>
    <xdr:to>
      <xdr:col>29</xdr:col>
      <xdr:colOff>67764</xdr:colOff>
      <xdr:row>14</xdr:row>
      <xdr:rowOff>76200</xdr:rowOff>
    </xdr:to>
    <xdr:cxnSp macro="">
      <xdr:nvCxnSpPr>
        <xdr:cNvPr id="6787" name="직선 화살표 연결선 6786">
          <a:extLst>
            <a:ext uri="{FF2B5EF4-FFF2-40B4-BE49-F238E27FC236}">
              <a16:creationId xmlns:a16="http://schemas.microsoft.com/office/drawing/2014/main" id="{39EA0ACF-F425-4FCB-BD40-4139D72D08C2}"/>
            </a:ext>
          </a:extLst>
        </xdr:cNvPr>
        <xdr:cNvCxnSpPr/>
      </xdr:nvCxnSpPr>
      <xdr:spPr>
        <a:xfrm>
          <a:off x="6301740" y="2400300"/>
          <a:ext cx="6204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65858</xdr:colOff>
      <xdr:row>13</xdr:row>
      <xdr:rowOff>19050</xdr:rowOff>
    </xdr:from>
    <xdr:to>
      <xdr:col>28</xdr:col>
      <xdr:colOff>107224</xdr:colOff>
      <xdr:row>13</xdr:row>
      <xdr:rowOff>133350</xdr:rowOff>
    </xdr:to>
    <xdr:sp macro="" textlink="">
      <xdr:nvSpPr>
        <xdr:cNvPr id="6788" name="직사각형 6787">
          <a:extLst>
            <a:ext uri="{FF2B5EF4-FFF2-40B4-BE49-F238E27FC236}">
              <a16:creationId xmlns:a16="http://schemas.microsoft.com/office/drawing/2014/main" id="{E8F32199-A08B-4C9A-B1BD-0BEA4E7C66F2}"/>
            </a:ext>
          </a:extLst>
        </xdr:cNvPr>
        <xdr:cNvSpPr/>
      </xdr:nvSpPr>
      <xdr:spPr>
        <a:xfrm>
          <a:off x="6219008" y="219075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65858</xdr:colOff>
      <xdr:row>13</xdr:row>
      <xdr:rowOff>76200</xdr:rowOff>
    </xdr:from>
    <xdr:to>
      <xdr:col>28</xdr:col>
      <xdr:colOff>107224</xdr:colOff>
      <xdr:row>13</xdr:row>
      <xdr:rowOff>76200</xdr:rowOff>
    </xdr:to>
    <xdr:cxnSp macro="">
      <xdr:nvCxnSpPr>
        <xdr:cNvPr id="6789" name="직선 화살표 연결선 6788">
          <a:extLst>
            <a:ext uri="{FF2B5EF4-FFF2-40B4-BE49-F238E27FC236}">
              <a16:creationId xmlns:a16="http://schemas.microsoft.com/office/drawing/2014/main" id="{DB2AA4E9-AB96-43A6-A63F-2633B0980217}"/>
            </a:ext>
          </a:extLst>
        </xdr:cNvPr>
        <xdr:cNvCxnSpPr/>
      </xdr:nvCxnSpPr>
      <xdr:spPr>
        <a:xfrm>
          <a:off x="6219008" y="224790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65858</xdr:colOff>
      <xdr:row>12</xdr:row>
      <xdr:rowOff>19050</xdr:rowOff>
    </xdr:from>
    <xdr:to>
      <xdr:col>29</xdr:col>
      <xdr:colOff>109129</xdr:colOff>
      <xdr:row>12</xdr:row>
      <xdr:rowOff>133350</xdr:rowOff>
    </xdr:to>
    <xdr:sp macro="" textlink="">
      <xdr:nvSpPr>
        <xdr:cNvPr id="6790" name="직사각형 6789">
          <a:extLst>
            <a:ext uri="{FF2B5EF4-FFF2-40B4-BE49-F238E27FC236}">
              <a16:creationId xmlns:a16="http://schemas.microsoft.com/office/drawing/2014/main" id="{17C89FA1-40CB-4747-B737-FA4889C2D938}"/>
            </a:ext>
          </a:extLst>
        </xdr:cNvPr>
        <xdr:cNvSpPr/>
      </xdr:nvSpPr>
      <xdr:spPr>
        <a:xfrm>
          <a:off x="6219008" y="2038350"/>
          <a:ext cx="18614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65858</xdr:colOff>
      <xdr:row>12</xdr:row>
      <xdr:rowOff>76200</xdr:rowOff>
    </xdr:from>
    <xdr:to>
      <xdr:col>29</xdr:col>
      <xdr:colOff>109129</xdr:colOff>
      <xdr:row>12</xdr:row>
      <xdr:rowOff>76200</xdr:rowOff>
    </xdr:to>
    <xdr:cxnSp macro="">
      <xdr:nvCxnSpPr>
        <xdr:cNvPr id="6791" name="직선 화살표 연결선 6790">
          <a:extLst>
            <a:ext uri="{FF2B5EF4-FFF2-40B4-BE49-F238E27FC236}">
              <a16:creationId xmlns:a16="http://schemas.microsoft.com/office/drawing/2014/main" id="{71DE246C-C091-4497-AD85-C0678F35EC41}"/>
            </a:ext>
          </a:extLst>
        </xdr:cNvPr>
        <xdr:cNvCxnSpPr/>
      </xdr:nvCxnSpPr>
      <xdr:spPr>
        <a:xfrm>
          <a:off x="6219008" y="2095500"/>
          <a:ext cx="18614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67764</xdr:colOff>
      <xdr:row>10</xdr:row>
      <xdr:rowOff>19050</xdr:rowOff>
    </xdr:from>
    <xdr:to>
      <xdr:col>29</xdr:col>
      <xdr:colOff>88447</xdr:colOff>
      <xdr:row>10</xdr:row>
      <xdr:rowOff>133350</xdr:rowOff>
    </xdr:to>
    <xdr:sp macro="" textlink="">
      <xdr:nvSpPr>
        <xdr:cNvPr id="6792" name="직사각형 6791">
          <a:extLst>
            <a:ext uri="{FF2B5EF4-FFF2-40B4-BE49-F238E27FC236}">
              <a16:creationId xmlns:a16="http://schemas.microsoft.com/office/drawing/2014/main" id="{C18EFA8E-1BD4-49D9-A08A-D9A23AD48CDE}"/>
            </a:ext>
          </a:extLst>
        </xdr:cNvPr>
        <xdr:cNvSpPr/>
      </xdr:nvSpPr>
      <xdr:spPr>
        <a:xfrm>
          <a:off x="6363789" y="173355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67764</xdr:colOff>
      <xdr:row>10</xdr:row>
      <xdr:rowOff>76200</xdr:rowOff>
    </xdr:from>
    <xdr:to>
      <xdr:col>29</xdr:col>
      <xdr:colOff>88447</xdr:colOff>
      <xdr:row>10</xdr:row>
      <xdr:rowOff>76200</xdr:rowOff>
    </xdr:to>
    <xdr:cxnSp macro="">
      <xdr:nvCxnSpPr>
        <xdr:cNvPr id="6793" name="직선 화살표 연결선 6792">
          <a:extLst>
            <a:ext uri="{FF2B5EF4-FFF2-40B4-BE49-F238E27FC236}">
              <a16:creationId xmlns:a16="http://schemas.microsoft.com/office/drawing/2014/main" id="{8A7A8975-C507-43E4-98D0-62527D2C484B}"/>
            </a:ext>
          </a:extLst>
        </xdr:cNvPr>
        <xdr:cNvCxnSpPr/>
      </xdr:nvCxnSpPr>
      <xdr:spPr>
        <a:xfrm>
          <a:off x="6363789" y="179070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47081</xdr:colOff>
      <xdr:row>9</xdr:row>
      <xdr:rowOff>19050</xdr:rowOff>
    </xdr:from>
    <xdr:to>
      <xdr:col>29</xdr:col>
      <xdr:colOff>67764</xdr:colOff>
      <xdr:row>9</xdr:row>
      <xdr:rowOff>133350</xdr:rowOff>
    </xdr:to>
    <xdr:sp macro="" textlink="">
      <xdr:nvSpPr>
        <xdr:cNvPr id="6794" name="직사각형 6793">
          <a:extLst>
            <a:ext uri="{FF2B5EF4-FFF2-40B4-BE49-F238E27FC236}">
              <a16:creationId xmlns:a16="http://schemas.microsoft.com/office/drawing/2014/main" id="{8FE2ADC5-EF31-429F-A157-D5662A1DB5FC}"/>
            </a:ext>
          </a:extLst>
        </xdr:cNvPr>
        <xdr:cNvSpPr/>
      </xdr:nvSpPr>
      <xdr:spPr>
        <a:xfrm>
          <a:off x="6343106" y="158115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47081</xdr:colOff>
      <xdr:row>9</xdr:row>
      <xdr:rowOff>76200</xdr:rowOff>
    </xdr:from>
    <xdr:to>
      <xdr:col>29</xdr:col>
      <xdr:colOff>67764</xdr:colOff>
      <xdr:row>9</xdr:row>
      <xdr:rowOff>76200</xdr:rowOff>
    </xdr:to>
    <xdr:cxnSp macro="">
      <xdr:nvCxnSpPr>
        <xdr:cNvPr id="6795" name="직선 화살표 연결선 6794">
          <a:extLst>
            <a:ext uri="{FF2B5EF4-FFF2-40B4-BE49-F238E27FC236}">
              <a16:creationId xmlns:a16="http://schemas.microsoft.com/office/drawing/2014/main" id="{3C249D72-9877-4DCE-A441-06C903D4D9C1}"/>
            </a:ext>
          </a:extLst>
        </xdr:cNvPr>
        <xdr:cNvCxnSpPr/>
      </xdr:nvCxnSpPr>
      <xdr:spPr>
        <a:xfrm>
          <a:off x="6343106" y="163830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86542</xdr:colOff>
      <xdr:row>8</xdr:row>
      <xdr:rowOff>19050</xdr:rowOff>
    </xdr:from>
    <xdr:to>
      <xdr:col>29</xdr:col>
      <xdr:colOff>26398</xdr:colOff>
      <xdr:row>8</xdr:row>
      <xdr:rowOff>133350</xdr:rowOff>
    </xdr:to>
    <xdr:sp macro="" textlink="">
      <xdr:nvSpPr>
        <xdr:cNvPr id="6796" name="직사각형 6795">
          <a:extLst>
            <a:ext uri="{FF2B5EF4-FFF2-40B4-BE49-F238E27FC236}">
              <a16:creationId xmlns:a16="http://schemas.microsoft.com/office/drawing/2014/main" id="{37EC2C5B-239D-494F-8519-440229746EED}"/>
            </a:ext>
          </a:extLst>
        </xdr:cNvPr>
        <xdr:cNvSpPr/>
      </xdr:nvSpPr>
      <xdr:spPr>
        <a:xfrm>
          <a:off x="6239692" y="1428750"/>
          <a:ext cx="827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86542</xdr:colOff>
      <xdr:row>8</xdr:row>
      <xdr:rowOff>76200</xdr:rowOff>
    </xdr:from>
    <xdr:to>
      <xdr:col>29</xdr:col>
      <xdr:colOff>26398</xdr:colOff>
      <xdr:row>8</xdr:row>
      <xdr:rowOff>76200</xdr:rowOff>
    </xdr:to>
    <xdr:cxnSp macro="">
      <xdr:nvCxnSpPr>
        <xdr:cNvPr id="6797" name="직선 화살표 연결선 6796">
          <a:extLst>
            <a:ext uri="{FF2B5EF4-FFF2-40B4-BE49-F238E27FC236}">
              <a16:creationId xmlns:a16="http://schemas.microsoft.com/office/drawing/2014/main" id="{8539A9EB-7A9E-4ABA-804C-55E909915C38}"/>
            </a:ext>
          </a:extLst>
        </xdr:cNvPr>
        <xdr:cNvCxnSpPr/>
      </xdr:nvCxnSpPr>
      <xdr:spPr>
        <a:xfrm>
          <a:off x="6239692" y="1485900"/>
          <a:ext cx="827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65858</xdr:colOff>
      <xdr:row>7</xdr:row>
      <xdr:rowOff>30480</xdr:rowOff>
    </xdr:from>
    <xdr:to>
      <xdr:col>28</xdr:col>
      <xdr:colOff>107224</xdr:colOff>
      <xdr:row>7</xdr:row>
      <xdr:rowOff>144780</xdr:rowOff>
    </xdr:to>
    <xdr:sp macro="" textlink="">
      <xdr:nvSpPr>
        <xdr:cNvPr id="6798" name="직사각형 6797">
          <a:extLst>
            <a:ext uri="{FF2B5EF4-FFF2-40B4-BE49-F238E27FC236}">
              <a16:creationId xmlns:a16="http://schemas.microsoft.com/office/drawing/2014/main" id="{F69B37A9-2A9E-4B31-B842-7BED65424C3E}"/>
            </a:ext>
          </a:extLst>
        </xdr:cNvPr>
        <xdr:cNvSpPr/>
      </xdr:nvSpPr>
      <xdr:spPr>
        <a:xfrm>
          <a:off x="6219008" y="12687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65858</xdr:colOff>
      <xdr:row>7</xdr:row>
      <xdr:rowOff>87630</xdr:rowOff>
    </xdr:from>
    <xdr:to>
      <xdr:col>28</xdr:col>
      <xdr:colOff>107224</xdr:colOff>
      <xdr:row>7</xdr:row>
      <xdr:rowOff>87630</xdr:rowOff>
    </xdr:to>
    <xdr:cxnSp macro="">
      <xdr:nvCxnSpPr>
        <xdr:cNvPr id="6799" name="직선 화살표 연결선 6798">
          <a:extLst>
            <a:ext uri="{FF2B5EF4-FFF2-40B4-BE49-F238E27FC236}">
              <a16:creationId xmlns:a16="http://schemas.microsoft.com/office/drawing/2014/main" id="{B9547236-0AA5-4604-9EEB-E5E7D8F1AE7C}"/>
            </a:ext>
          </a:extLst>
        </xdr:cNvPr>
        <xdr:cNvCxnSpPr/>
      </xdr:nvCxnSpPr>
      <xdr:spPr>
        <a:xfrm>
          <a:off x="6219008" y="13258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65858</xdr:colOff>
      <xdr:row>6</xdr:row>
      <xdr:rowOff>34290</xdr:rowOff>
    </xdr:from>
    <xdr:to>
      <xdr:col>28</xdr:col>
      <xdr:colOff>107224</xdr:colOff>
      <xdr:row>6</xdr:row>
      <xdr:rowOff>148590</xdr:rowOff>
    </xdr:to>
    <xdr:sp macro="" textlink="">
      <xdr:nvSpPr>
        <xdr:cNvPr id="6800" name="직사각형 6799">
          <a:extLst>
            <a:ext uri="{FF2B5EF4-FFF2-40B4-BE49-F238E27FC236}">
              <a16:creationId xmlns:a16="http://schemas.microsoft.com/office/drawing/2014/main" id="{DB480E67-9458-4CA5-B3B7-00E172388AF1}"/>
            </a:ext>
          </a:extLst>
        </xdr:cNvPr>
        <xdr:cNvSpPr/>
      </xdr:nvSpPr>
      <xdr:spPr>
        <a:xfrm>
          <a:off x="6219008" y="110109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65858</xdr:colOff>
      <xdr:row>6</xdr:row>
      <xdr:rowOff>91440</xdr:rowOff>
    </xdr:from>
    <xdr:to>
      <xdr:col>28</xdr:col>
      <xdr:colOff>107224</xdr:colOff>
      <xdr:row>6</xdr:row>
      <xdr:rowOff>91440</xdr:rowOff>
    </xdr:to>
    <xdr:cxnSp macro="">
      <xdr:nvCxnSpPr>
        <xdr:cNvPr id="6801" name="직선 화살표 연결선 6800">
          <a:extLst>
            <a:ext uri="{FF2B5EF4-FFF2-40B4-BE49-F238E27FC236}">
              <a16:creationId xmlns:a16="http://schemas.microsoft.com/office/drawing/2014/main" id="{BEF71A65-27F4-411B-8ED4-72054900E9C8}"/>
            </a:ext>
          </a:extLst>
        </xdr:cNvPr>
        <xdr:cNvCxnSpPr/>
      </xdr:nvCxnSpPr>
      <xdr:spPr>
        <a:xfrm>
          <a:off x="6219008" y="11582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65858</xdr:colOff>
      <xdr:row>5</xdr:row>
      <xdr:rowOff>38100</xdr:rowOff>
    </xdr:from>
    <xdr:to>
      <xdr:col>28</xdr:col>
      <xdr:colOff>107224</xdr:colOff>
      <xdr:row>5</xdr:row>
      <xdr:rowOff>152400</xdr:rowOff>
    </xdr:to>
    <xdr:sp macro="" textlink="">
      <xdr:nvSpPr>
        <xdr:cNvPr id="6802" name="직사각형 6801">
          <a:extLst>
            <a:ext uri="{FF2B5EF4-FFF2-40B4-BE49-F238E27FC236}">
              <a16:creationId xmlns:a16="http://schemas.microsoft.com/office/drawing/2014/main" id="{3B94BAF1-1956-4CC5-BE9A-6FE273C4D504}"/>
            </a:ext>
          </a:extLst>
        </xdr:cNvPr>
        <xdr:cNvSpPr/>
      </xdr:nvSpPr>
      <xdr:spPr>
        <a:xfrm>
          <a:off x="6219008" y="93345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65858</xdr:colOff>
      <xdr:row>5</xdr:row>
      <xdr:rowOff>95250</xdr:rowOff>
    </xdr:from>
    <xdr:to>
      <xdr:col>28</xdr:col>
      <xdr:colOff>107224</xdr:colOff>
      <xdr:row>5</xdr:row>
      <xdr:rowOff>95250</xdr:rowOff>
    </xdr:to>
    <xdr:cxnSp macro="">
      <xdr:nvCxnSpPr>
        <xdr:cNvPr id="6803" name="직선 화살표 연결선 6802">
          <a:extLst>
            <a:ext uri="{FF2B5EF4-FFF2-40B4-BE49-F238E27FC236}">
              <a16:creationId xmlns:a16="http://schemas.microsoft.com/office/drawing/2014/main" id="{CA6DD3D7-CBA5-4ADC-A4C9-FAE78831E53D}"/>
            </a:ext>
          </a:extLst>
        </xdr:cNvPr>
        <xdr:cNvCxnSpPr/>
      </xdr:nvCxnSpPr>
      <xdr:spPr>
        <a:xfrm>
          <a:off x="6219008" y="99060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65858</xdr:colOff>
      <xdr:row>4</xdr:row>
      <xdr:rowOff>30480</xdr:rowOff>
    </xdr:from>
    <xdr:to>
      <xdr:col>29</xdr:col>
      <xdr:colOff>88447</xdr:colOff>
      <xdr:row>4</xdr:row>
      <xdr:rowOff>144780</xdr:rowOff>
    </xdr:to>
    <xdr:sp macro="" textlink="">
      <xdr:nvSpPr>
        <xdr:cNvPr id="6804" name="직사각형 6803">
          <a:extLst>
            <a:ext uri="{FF2B5EF4-FFF2-40B4-BE49-F238E27FC236}">
              <a16:creationId xmlns:a16="http://schemas.microsoft.com/office/drawing/2014/main" id="{58A2D252-4CF8-4C33-B152-DA30C6F21790}"/>
            </a:ext>
          </a:extLst>
        </xdr:cNvPr>
        <xdr:cNvSpPr/>
      </xdr:nvSpPr>
      <xdr:spPr>
        <a:xfrm>
          <a:off x="6219008" y="773430"/>
          <a:ext cx="165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65858</xdr:colOff>
      <xdr:row>4</xdr:row>
      <xdr:rowOff>87630</xdr:rowOff>
    </xdr:from>
    <xdr:to>
      <xdr:col>29</xdr:col>
      <xdr:colOff>88447</xdr:colOff>
      <xdr:row>4</xdr:row>
      <xdr:rowOff>87630</xdr:rowOff>
    </xdr:to>
    <xdr:cxnSp macro="">
      <xdr:nvCxnSpPr>
        <xdr:cNvPr id="6805" name="직선 화살표 연결선 6804">
          <a:extLst>
            <a:ext uri="{FF2B5EF4-FFF2-40B4-BE49-F238E27FC236}">
              <a16:creationId xmlns:a16="http://schemas.microsoft.com/office/drawing/2014/main" id="{A437274D-7DF6-4F37-93A1-889DA4043C8D}"/>
            </a:ext>
          </a:extLst>
        </xdr:cNvPr>
        <xdr:cNvCxnSpPr/>
      </xdr:nvCxnSpPr>
      <xdr:spPr>
        <a:xfrm>
          <a:off x="6219008" y="830580"/>
          <a:ext cx="16546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160019</xdr:colOff>
      <xdr:row>5</xdr:row>
      <xdr:rowOff>9524</xdr:rowOff>
    </xdr:from>
    <xdr:to>
      <xdr:col>25</xdr:col>
      <xdr:colOff>166686</xdr:colOff>
      <xdr:row>65</xdr:row>
      <xdr:rowOff>59530</xdr:rowOff>
    </xdr:to>
    <xdr:graphicFrame macro="">
      <xdr:nvGraphicFramePr>
        <xdr:cNvPr id="2" name="차트 1">
          <a:extLst>
            <a:ext uri="{FF2B5EF4-FFF2-40B4-BE49-F238E27FC236}">
              <a16:creationId xmlns:a16="http://schemas.microsoft.com/office/drawing/2014/main" id="{D4B474B6-8FE7-4289-99D9-610FE0159F4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thjung\Desktop\&#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http://xlworks.net/"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115" zoomScaleNormal="115" workbookViewId="0">
      <selection activeCell="B19" sqref="B19"/>
    </sheetView>
  </sheetViews>
  <sheetFormatPr defaultColWidth="10" defaultRowHeight="13.8"/>
  <cols>
    <col min="1" max="1" width="28.19921875" style="102" bestFit="1" customWidth="1"/>
    <col min="2" max="2" width="23.09765625" style="99" bestFit="1" customWidth="1"/>
    <col min="3" max="3" width="21.69921875" style="99" customWidth="1"/>
    <col min="4" max="4" width="27.3984375" style="99" bestFit="1" customWidth="1"/>
    <col min="5" max="5" width="12.8984375" style="99" bestFit="1" customWidth="1"/>
    <col min="6" max="6" width="17.69921875" style="99" bestFit="1" customWidth="1"/>
    <col min="7" max="7" width="21.8984375" style="102" bestFit="1" customWidth="1"/>
    <col min="8" max="8" width="23.69921875" style="102" bestFit="1" customWidth="1"/>
    <col min="9" max="9" width="9.69921875" style="102" bestFit="1" customWidth="1"/>
    <col min="10" max="10" width="25.09765625" style="102" bestFit="1" customWidth="1"/>
    <col min="11" max="11" width="4.8984375" style="102" bestFit="1" customWidth="1"/>
    <col min="12" max="12" width="25.09765625" style="102" bestFit="1" customWidth="1"/>
    <col min="13" max="13" width="4.8984375" style="102" bestFit="1" customWidth="1"/>
    <col min="14" max="14" width="23" style="102" bestFit="1" customWidth="1"/>
    <col min="15" max="15" width="14.5" style="102" customWidth="1"/>
    <col min="16" max="16" width="28.3984375" style="102" bestFit="1" customWidth="1"/>
    <col min="17" max="17" width="9.5" style="102" bestFit="1" customWidth="1"/>
    <col min="18" max="18" width="27.69921875" style="102" bestFit="1" customWidth="1"/>
    <col min="19" max="19" width="4.8984375" style="102" bestFit="1" customWidth="1"/>
    <col min="20" max="20" width="25" style="102" bestFit="1" customWidth="1"/>
    <col min="21" max="21" width="4.3984375" style="102" bestFit="1" customWidth="1"/>
    <col min="22" max="22" width="23" style="102" bestFit="1" customWidth="1"/>
    <col min="23" max="23" width="8.09765625" style="102" bestFit="1" customWidth="1"/>
    <col min="24" max="24" width="22.59765625" style="102" bestFit="1" customWidth="1"/>
    <col min="25" max="25" width="9.5" style="102" bestFit="1" customWidth="1"/>
    <col min="26" max="26" width="26.19921875" style="102" bestFit="1" customWidth="1"/>
    <col min="27" max="27" width="7.8984375" style="102" bestFit="1" customWidth="1"/>
    <col min="28" max="28" width="21.19921875" style="102" bestFit="1" customWidth="1"/>
    <col min="29" max="29" width="15.59765625" style="102" bestFit="1" customWidth="1"/>
    <col min="30" max="30" width="23.5" style="102" bestFit="1" customWidth="1"/>
    <col min="31" max="31" width="15.19921875" style="102" bestFit="1" customWidth="1"/>
    <col min="32" max="32" width="22.59765625" style="102" bestFit="1" customWidth="1"/>
    <col min="33" max="33" width="60.8984375" style="102" bestFit="1" customWidth="1"/>
    <col min="34" max="34" width="28.3984375" style="102" bestFit="1" customWidth="1"/>
    <col min="35" max="35" width="11.5" style="102" bestFit="1" customWidth="1"/>
    <col min="36" max="36" width="25.09765625" style="102" bestFit="1" customWidth="1"/>
    <col min="37" max="37" width="4" style="102" bestFit="1" customWidth="1"/>
    <col min="38" max="38" width="14.8984375" style="102" bestFit="1" customWidth="1"/>
    <col min="39" max="39" width="11.59765625" style="102" bestFit="1" customWidth="1"/>
    <col min="40" max="40" width="22.59765625" style="102" bestFit="1" customWidth="1"/>
    <col min="41" max="41" width="5.8984375" style="102" bestFit="1" customWidth="1"/>
    <col min="42" max="42" width="15.8984375" style="102" bestFit="1" customWidth="1"/>
    <col min="43" max="43" width="6.3984375" style="102" bestFit="1" customWidth="1"/>
    <col min="44" max="44" width="13.19921875" style="102" bestFit="1" customWidth="1"/>
    <col min="45" max="45" width="3.19921875" style="102" bestFit="1" customWidth="1"/>
    <col min="46" max="46" width="14.8984375" style="102" bestFit="1" customWidth="1"/>
    <col min="47" max="47" width="28.59765625" style="102" bestFit="1" customWidth="1"/>
    <col min="48" max="48" width="22.59765625" style="102" bestFit="1" customWidth="1"/>
    <col min="49" max="49" width="5.3984375" style="102" bestFit="1" customWidth="1"/>
    <col min="50" max="50" width="15.8984375" style="102" bestFit="1" customWidth="1"/>
    <col min="51" max="51" width="10" style="102"/>
    <col min="52" max="52" width="13.19921875" style="102" bestFit="1" customWidth="1"/>
    <col min="53" max="53" width="10" style="102"/>
    <col min="54" max="54" width="14.8984375" style="102" bestFit="1" customWidth="1"/>
    <col min="55" max="55" width="10" style="102"/>
    <col min="56" max="56" width="22.59765625" style="102" bestFit="1" customWidth="1"/>
    <col min="57" max="57" width="10" style="102"/>
    <col min="58" max="58" width="15.8984375" style="102" bestFit="1" customWidth="1"/>
    <col min="59" max="59" width="10" style="102"/>
    <col min="60" max="60" width="13.19921875" style="102" bestFit="1" customWidth="1"/>
    <col min="61" max="61" width="10" style="102"/>
    <col min="62" max="62" width="14.8984375" style="102" bestFit="1" customWidth="1"/>
    <col min="63" max="63" width="10" style="102"/>
    <col min="64" max="64" width="22.59765625" style="102" bestFit="1" customWidth="1"/>
    <col min="65" max="65" width="10" style="102"/>
    <col min="66" max="66" width="33.69921875" style="102" bestFit="1" customWidth="1"/>
    <col min="67" max="16384" width="10" style="102"/>
  </cols>
  <sheetData>
    <row r="1" spans="1:64" s="99" customFormat="1">
      <c r="A1" s="98" t="s">
        <v>4</v>
      </c>
      <c r="B1" s="98" t="s">
        <v>5</v>
      </c>
      <c r="C1" s="98" t="s">
        <v>6</v>
      </c>
      <c r="D1" s="98" t="s">
        <v>7</v>
      </c>
      <c r="E1" s="98" t="s">
        <v>8</v>
      </c>
      <c r="F1" s="98" t="s">
        <v>9</v>
      </c>
    </row>
    <row r="2" spans="1:64">
      <c r="A2" s="100" t="s">
        <v>10</v>
      </c>
      <c r="B2" s="101" t="s">
        <v>11</v>
      </c>
      <c r="C2" s="101"/>
      <c r="D2" s="101"/>
      <c r="E2" s="101" t="s">
        <v>12</v>
      </c>
      <c r="F2" s="101"/>
    </row>
    <row r="3" spans="1:64">
      <c r="A3" s="100" t="s">
        <v>398</v>
      </c>
      <c r="B3" s="101" t="s">
        <v>11</v>
      </c>
      <c r="C3" s="101"/>
      <c r="D3" s="101"/>
      <c r="E3" s="101" t="s">
        <v>12</v>
      </c>
      <c r="F3" s="101"/>
    </row>
    <row r="4" spans="1:64">
      <c r="A4" s="100" t="s">
        <v>13</v>
      </c>
      <c r="B4" s="111" t="s">
        <v>399</v>
      </c>
      <c r="C4" s="101"/>
      <c r="D4" s="101"/>
      <c r="E4" s="101" t="s">
        <v>12</v>
      </c>
      <c r="F4" s="101"/>
    </row>
    <row r="5" spans="1:64">
      <c r="A5" s="100" t="s">
        <v>14</v>
      </c>
      <c r="B5" s="101" t="s">
        <v>15</v>
      </c>
      <c r="C5" s="101"/>
      <c r="D5" s="101"/>
      <c r="E5" s="101" t="s">
        <v>12</v>
      </c>
      <c r="F5" s="101"/>
    </row>
    <row r="6" spans="1:64">
      <c r="A6" s="100" t="s">
        <v>16</v>
      </c>
      <c r="B6" s="111" t="s">
        <v>17</v>
      </c>
      <c r="C6" s="101"/>
      <c r="D6" s="101"/>
      <c r="E6" s="101" t="s">
        <v>12</v>
      </c>
      <c r="F6" s="101"/>
    </row>
    <row r="7" spans="1:64">
      <c r="A7" s="100" t="s">
        <v>18</v>
      </c>
      <c r="B7" s="100" t="s">
        <v>11</v>
      </c>
      <c r="C7" s="101"/>
      <c r="D7" s="101"/>
      <c r="E7" s="101" t="s">
        <v>12</v>
      </c>
      <c r="F7" s="101"/>
    </row>
    <row r="8" spans="1:64">
      <c r="A8" s="100" t="s">
        <v>19</v>
      </c>
      <c r="B8" s="103" t="s">
        <v>964</v>
      </c>
      <c r="C8" s="101" t="s">
        <v>1013</v>
      </c>
      <c r="D8" s="101">
        <v>82</v>
      </c>
      <c r="E8" s="101" t="s">
        <v>20</v>
      </c>
      <c r="F8" s="101"/>
    </row>
    <row r="9" spans="1:64">
      <c r="A9" s="100" t="s">
        <v>21</v>
      </c>
      <c r="B9" s="104">
        <v>43387</v>
      </c>
      <c r="C9" s="101"/>
      <c r="D9" s="101"/>
      <c r="E9" s="101" t="s">
        <v>12</v>
      </c>
      <c r="F9" s="101"/>
    </row>
    <row r="10" spans="1:64">
      <c r="A10" s="105" t="s">
        <v>22</v>
      </c>
      <c r="B10" s="106" t="s">
        <v>23</v>
      </c>
      <c r="C10" s="106"/>
      <c r="D10" s="106"/>
      <c r="E10" s="106" t="s">
        <v>12</v>
      </c>
      <c r="F10" s="106"/>
    </row>
    <row r="11" spans="1:64">
      <c r="A11" s="102" t="s">
        <v>400</v>
      </c>
      <c r="B11" s="107" t="s">
        <v>24</v>
      </c>
      <c r="C11" s="99" t="s">
        <v>1036</v>
      </c>
      <c r="D11" s="99" t="s">
        <v>25</v>
      </c>
      <c r="E11" s="108">
        <v>1</v>
      </c>
      <c r="F11" s="109" t="s">
        <v>26</v>
      </c>
      <c r="G11" s="110">
        <v>45078</v>
      </c>
      <c r="H11" s="109" t="s">
        <v>27</v>
      </c>
      <c r="I11" s="110">
        <v>45230</v>
      </c>
      <c r="J11" s="102" t="s">
        <v>417</v>
      </c>
      <c r="K11" s="102" t="s">
        <v>1014</v>
      </c>
      <c r="L11" s="102" t="s">
        <v>414</v>
      </c>
      <c r="M11" s="102">
        <v>0</v>
      </c>
      <c r="N11" s="107" t="s">
        <v>28</v>
      </c>
      <c r="O11" s="99">
        <v>0</v>
      </c>
      <c r="P11" s="99" t="s">
        <v>29</v>
      </c>
      <c r="Q11" s="107" t="s">
        <v>1017</v>
      </c>
      <c r="R11" s="102" t="s">
        <v>419</v>
      </c>
      <c r="S11" s="102">
        <v>2</v>
      </c>
      <c r="T11" s="102" t="s">
        <v>424</v>
      </c>
      <c r="U11" s="102">
        <v>0</v>
      </c>
      <c r="V11" s="102" t="s">
        <v>425</v>
      </c>
      <c r="W11" s="102">
        <v>0</v>
      </c>
      <c r="X11" s="102" t="s">
        <v>428</v>
      </c>
      <c r="Y11" s="102">
        <v>1</v>
      </c>
    </row>
    <row r="12" spans="1:64">
      <c r="A12" s="102" t="s">
        <v>403</v>
      </c>
      <c r="B12" s="102" t="s">
        <v>404</v>
      </c>
      <c r="C12" s="102">
        <v>1</v>
      </c>
      <c r="D12" s="102" t="s">
        <v>405</v>
      </c>
      <c r="E12" s="102">
        <v>1</v>
      </c>
      <c r="F12" s="102" t="s">
        <v>406</v>
      </c>
      <c r="G12" s="102">
        <v>0</v>
      </c>
      <c r="H12" s="102" t="s">
        <v>407</v>
      </c>
      <c r="I12" s="102">
        <v>1</v>
      </c>
      <c r="J12" s="102" t="s">
        <v>408</v>
      </c>
      <c r="K12" s="102">
        <v>0.7</v>
      </c>
      <c r="L12" s="102" t="s">
        <v>409</v>
      </c>
      <c r="M12" s="102">
        <v>2</v>
      </c>
      <c r="N12" s="102" t="s">
        <v>410</v>
      </c>
      <c r="O12" s="102">
        <v>1</v>
      </c>
      <c r="P12" s="102" t="s">
        <v>413</v>
      </c>
      <c r="Q12" s="102">
        <v>1</v>
      </c>
      <c r="R12" s="102" t="s">
        <v>420</v>
      </c>
      <c r="S12" s="102">
        <v>7</v>
      </c>
      <c r="T12" s="102" t="s">
        <v>421</v>
      </c>
      <c r="U12" s="102">
        <v>0</v>
      </c>
      <c r="V12" s="102" t="s">
        <v>422</v>
      </c>
      <c r="W12" s="102">
        <v>100</v>
      </c>
      <c r="X12" s="102" t="s">
        <v>423</v>
      </c>
      <c r="Y12" s="102">
        <v>0</v>
      </c>
      <c r="Z12" s="102" t="s">
        <v>426</v>
      </c>
      <c r="AA12" s="102">
        <v>1</v>
      </c>
      <c r="AB12" s="102" t="s">
        <v>427</v>
      </c>
      <c r="AC12" s="102">
        <v>1</v>
      </c>
      <c r="AD12" s="102" t="s">
        <v>962</v>
      </c>
      <c r="AE12" s="102">
        <v>1</v>
      </c>
    </row>
    <row r="13" spans="1:64">
      <c r="A13" s="101" t="s">
        <v>401</v>
      </c>
      <c r="B13" s="107" t="s">
        <v>30</v>
      </c>
      <c r="C13" s="99">
        <v>0</v>
      </c>
      <c r="D13" s="107" t="s">
        <v>31</v>
      </c>
      <c r="E13" s="99" t="s">
        <v>1018</v>
      </c>
      <c r="F13" s="99" t="s">
        <v>32</v>
      </c>
      <c r="G13" s="109" t="s">
        <v>1033</v>
      </c>
      <c r="H13" s="109" t="s">
        <v>33</v>
      </c>
      <c r="I13" s="102" t="s">
        <v>966</v>
      </c>
    </row>
    <row r="14" spans="1:64">
      <c r="A14" s="101" t="s">
        <v>402</v>
      </c>
      <c r="B14" s="108" t="s">
        <v>34</v>
      </c>
      <c r="C14" s="108" t="s">
        <v>1019</v>
      </c>
      <c r="D14" s="108" t="s">
        <v>35</v>
      </c>
      <c r="E14" s="108" t="s">
        <v>1020</v>
      </c>
      <c r="F14" s="108" t="s">
        <v>36</v>
      </c>
      <c r="G14" s="108" t="s">
        <v>994</v>
      </c>
      <c r="H14" s="108" t="s">
        <v>37</v>
      </c>
      <c r="I14" s="108" t="b">
        <v>0</v>
      </c>
      <c r="J14" s="108" t="s">
        <v>38</v>
      </c>
      <c r="K14" s="108" t="s">
        <v>1006</v>
      </c>
      <c r="L14" s="108" t="s">
        <v>39</v>
      </c>
      <c r="M14" s="108" t="s">
        <v>995</v>
      </c>
      <c r="N14" s="108" t="s">
        <v>40</v>
      </c>
      <c r="O14" s="108" t="s">
        <v>994</v>
      </c>
      <c r="P14" s="108" t="s">
        <v>41</v>
      </c>
      <c r="Q14" s="108" t="b">
        <v>0</v>
      </c>
      <c r="R14" s="108" t="s">
        <v>42</v>
      </c>
      <c r="S14" s="108" t="s">
        <v>1021</v>
      </c>
      <c r="T14" s="108" t="s">
        <v>43</v>
      </c>
      <c r="U14" s="108" t="s">
        <v>1007</v>
      </c>
      <c r="V14" s="108" t="s">
        <v>44</v>
      </c>
      <c r="W14" s="108" t="s">
        <v>994</v>
      </c>
      <c r="X14" s="108" t="s">
        <v>45</v>
      </c>
      <c r="Y14" s="108" t="b">
        <v>1</v>
      </c>
      <c r="Z14" s="108" t="s">
        <v>46</v>
      </c>
      <c r="AA14" s="108" t="s">
        <v>996</v>
      </c>
      <c r="AB14" s="108" t="s">
        <v>47</v>
      </c>
      <c r="AC14" s="108" t="s">
        <v>1008</v>
      </c>
      <c r="AD14" s="108" t="s">
        <v>48</v>
      </c>
      <c r="AE14" s="108" t="s">
        <v>1022</v>
      </c>
      <c r="AF14" s="108" t="s">
        <v>49</v>
      </c>
      <c r="AG14" s="108" t="b">
        <v>1</v>
      </c>
      <c r="AH14" s="108" t="s">
        <v>50</v>
      </c>
      <c r="AI14" s="108" t="s">
        <v>998</v>
      </c>
      <c r="AJ14" s="108" t="s">
        <v>51</v>
      </c>
      <c r="AK14" s="108" t="s">
        <v>987</v>
      </c>
      <c r="AL14" s="108" t="s">
        <v>52</v>
      </c>
      <c r="AM14" s="108" t="s">
        <v>1023</v>
      </c>
      <c r="AN14" s="108" t="s">
        <v>53</v>
      </c>
      <c r="AO14" s="108" t="b">
        <v>0</v>
      </c>
      <c r="AP14" s="108" t="s">
        <v>54</v>
      </c>
      <c r="AQ14" s="108" t="s">
        <v>985</v>
      </c>
      <c r="AR14" s="108" t="s">
        <v>55</v>
      </c>
      <c r="AS14" s="108" t="s">
        <v>988</v>
      </c>
      <c r="AT14" s="108" t="s">
        <v>56</v>
      </c>
      <c r="AU14" s="108" t="s">
        <v>999</v>
      </c>
      <c r="AV14" s="108" t="s">
        <v>57</v>
      </c>
      <c r="AW14" s="108" t="b">
        <v>1</v>
      </c>
      <c r="AX14" s="102" t="s">
        <v>58</v>
      </c>
      <c r="AZ14" s="102" t="s">
        <v>59</v>
      </c>
      <c r="BB14" s="102" t="s">
        <v>60</v>
      </c>
      <c r="BD14" s="102" t="s">
        <v>61</v>
      </c>
      <c r="BF14" s="102" t="s">
        <v>62</v>
      </c>
      <c r="BH14" s="102" t="s">
        <v>63</v>
      </c>
      <c r="BJ14" s="102" t="s">
        <v>64</v>
      </c>
      <c r="BL14" s="102" t="s">
        <v>65</v>
      </c>
    </row>
    <row r="15" spans="1:64">
      <c r="A15" s="101" t="s">
        <v>418</v>
      </c>
      <c r="B15" s="102" t="s">
        <v>411</v>
      </c>
      <c r="C15" s="102">
        <v>1</v>
      </c>
      <c r="D15" s="102" t="s">
        <v>412</v>
      </c>
      <c r="E15" s="102">
        <v>82</v>
      </c>
      <c r="F15" s="102" t="s">
        <v>415</v>
      </c>
      <c r="G15" s="102" t="s">
        <v>989</v>
      </c>
      <c r="H15" s="102" t="s">
        <v>416</v>
      </c>
      <c r="I15" s="102">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F435"/>
  <sheetViews>
    <sheetView zoomScaleNormal="100" workbookViewId="0">
      <pane ySplit="1" topLeftCell="A103" activePane="bottomLeft" state="frozen"/>
      <selection pane="bottomLeft" activeCell="D116" sqref="D116"/>
    </sheetView>
  </sheetViews>
  <sheetFormatPr defaultColWidth="73.3984375" defaultRowHeight="13.2"/>
  <cols>
    <col min="1" max="1" width="7.59765625" style="125" bestFit="1" customWidth="1"/>
    <col min="2" max="2" width="8.3984375" style="138" bestFit="1" customWidth="1"/>
    <col min="3" max="3" width="15.69921875" style="135" customWidth="1"/>
    <col min="4" max="4" width="60.59765625" style="126" customWidth="1"/>
    <col min="5" max="5" width="60.59765625" style="139" customWidth="1"/>
    <col min="6" max="16384" width="73.3984375" style="125"/>
  </cols>
  <sheetData>
    <row r="1" spans="1:5" s="123" customFormat="1" ht="24.75" customHeight="1">
      <c r="A1" s="123" t="s">
        <v>908</v>
      </c>
      <c r="B1" s="123" t="s">
        <v>909</v>
      </c>
      <c r="C1" s="124" t="s">
        <v>910</v>
      </c>
      <c r="D1" s="124" t="s">
        <v>66</v>
      </c>
      <c r="E1" s="124" t="s">
        <v>67</v>
      </c>
    </row>
    <row r="2" spans="1:5" ht="79.2">
      <c r="A2" s="125" t="s">
        <v>1024</v>
      </c>
      <c r="B2" s="138">
        <v>1</v>
      </c>
      <c r="D2" s="126" t="s">
        <v>911</v>
      </c>
      <c r="E2" s="139" t="s">
        <v>587</v>
      </c>
    </row>
    <row r="3" spans="1:5" ht="112.5" customHeight="1">
      <c r="A3" s="127">
        <v>450</v>
      </c>
      <c r="B3" s="138">
        <v>2</v>
      </c>
      <c r="D3" s="126" t="s">
        <v>514</v>
      </c>
      <c r="E3" s="139" t="s">
        <v>912</v>
      </c>
    </row>
    <row r="4" spans="1:5" ht="52.8">
      <c r="B4" s="138">
        <v>3</v>
      </c>
      <c r="D4" s="126" t="s">
        <v>913</v>
      </c>
      <c r="E4" s="139" t="s">
        <v>588</v>
      </c>
    </row>
    <row r="5" spans="1:5" ht="52.8">
      <c r="B5" s="138">
        <v>4</v>
      </c>
      <c r="D5" s="126" t="s">
        <v>914</v>
      </c>
      <c r="E5" s="139" t="s">
        <v>589</v>
      </c>
    </row>
    <row r="6" spans="1:5" ht="52.8">
      <c r="B6" s="138">
        <v>5</v>
      </c>
      <c r="D6" s="126" t="s">
        <v>915</v>
      </c>
      <c r="E6" s="139" t="s">
        <v>590</v>
      </c>
    </row>
    <row r="7" spans="1:5" ht="39.6">
      <c r="B7" s="138">
        <v>6</v>
      </c>
      <c r="D7" s="126" t="s">
        <v>916</v>
      </c>
      <c r="E7" s="139" t="s">
        <v>591</v>
      </c>
    </row>
    <row r="8" spans="1:5">
      <c r="B8" s="138">
        <v>7</v>
      </c>
      <c r="D8" s="126" t="s">
        <v>902</v>
      </c>
      <c r="E8" s="139" t="s">
        <v>917</v>
      </c>
    </row>
    <row r="9" spans="1:5">
      <c r="B9" s="138">
        <v>101</v>
      </c>
      <c r="D9" s="126" t="s">
        <v>68</v>
      </c>
      <c r="E9" s="139" t="s">
        <v>592</v>
      </c>
    </row>
    <row r="10" spans="1:5">
      <c r="B10" s="138">
        <v>102</v>
      </c>
      <c r="D10" s="126" t="s">
        <v>69</v>
      </c>
      <c r="E10" s="139" t="s">
        <v>593</v>
      </c>
    </row>
    <row r="11" spans="1:5">
      <c r="B11" s="138">
        <v>103</v>
      </c>
      <c r="D11" s="126" t="s">
        <v>70</v>
      </c>
      <c r="E11" s="139" t="s">
        <v>594</v>
      </c>
    </row>
    <row r="12" spans="1:5">
      <c r="B12" s="138">
        <v>104</v>
      </c>
      <c r="D12" s="126" t="s">
        <v>71</v>
      </c>
      <c r="E12" s="139" t="s">
        <v>595</v>
      </c>
    </row>
    <row r="13" spans="1:5">
      <c r="B13" s="138">
        <v>105</v>
      </c>
      <c r="D13" s="126" t="s">
        <v>72</v>
      </c>
      <c r="E13" s="139" t="s">
        <v>596</v>
      </c>
    </row>
    <row r="14" spans="1:5">
      <c r="B14" s="138">
        <v>106</v>
      </c>
      <c r="D14" s="126" t="s">
        <v>432</v>
      </c>
      <c r="E14" s="139" t="s">
        <v>597</v>
      </c>
    </row>
    <row r="15" spans="1:5" ht="26.4">
      <c r="B15" s="138">
        <v>107</v>
      </c>
      <c r="D15" s="126" t="s">
        <v>433</v>
      </c>
      <c r="E15" s="139" t="s">
        <v>598</v>
      </c>
    </row>
    <row r="16" spans="1:5" ht="39.6">
      <c r="B16" s="138">
        <v>108</v>
      </c>
      <c r="D16" s="126" t="s">
        <v>434</v>
      </c>
      <c r="E16" s="139" t="s">
        <v>599</v>
      </c>
    </row>
    <row r="17" spans="1:6">
      <c r="B17" s="138">
        <v>109</v>
      </c>
      <c r="D17" s="126" t="s">
        <v>73</v>
      </c>
      <c r="E17" s="139" t="s">
        <v>517</v>
      </c>
    </row>
    <row r="18" spans="1:6">
      <c r="B18" s="138">
        <v>110</v>
      </c>
      <c r="D18" s="126" t="s">
        <v>74</v>
      </c>
      <c r="E18" s="139" t="s">
        <v>600</v>
      </c>
    </row>
    <row r="19" spans="1:6">
      <c r="B19" s="138">
        <v>111</v>
      </c>
      <c r="D19" s="126" t="s">
        <v>75</v>
      </c>
      <c r="E19" s="139" t="s">
        <v>601</v>
      </c>
    </row>
    <row r="20" spans="1:6">
      <c r="A20" s="128"/>
      <c r="B20" s="138">
        <v>112</v>
      </c>
      <c r="C20" s="137" t="s">
        <v>918</v>
      </c>
      <c r="D20" s="127" t="s">
        <v>919</v>
      </c>
      <c r="E20" s="127" t="s">
        <v>515</v>
      </c>
      <c r="F20" s="129"/>
    </row>
    <row r="21" spans="1:6">
      <c r="B21" s="138">
        <v>113</v>
      </c>
      <c r="D21" s="126" t="s">
        <v>76</v>
      </c>
      <c r="E21" s="139" t="s">
        <v>518</v>
      </c>
    </row>
    <row r="22" spans="1:6">
      <c r="B22" s="138">
        <v>114</v>
      </c>
      <c r="D22" s="126" t="s">
        <v>77</v>
      </c>
      <c r="E22" s="139" t="s">
        <v>602</v>
      </c>
    </row>
    <row r="23" spans="1:6">
      <c r="B23" s="138">
        <v>115</v>
      </c>
      <c r="D23" s="126" t="s">
        <v>78</v>
      </c>
      <c r="E23" s="139" t="s">
        <v>603</v>
      </c>
    </row>
    <row r="24" spans="1:6" ht="26.4">
      <c r="B24" s="138">
        <v>116</v>
      </c>
      <c r="D24" s="126" t="s">
        <v>435</v>
      </c>
      <c r="E24" s="139" t="s">
        <v>604</v>
      </c>
    </row>
    <row r="25" spans="1:6">
      <c r="B25" s="138">
        <v>117</v>
      </c>
      <c r="D25" s="126" t="s">
        <v>436</v>
      </c>
      <c r="E25" s="139" t="s">
        <v>605</v>
      </c>
    </row>
    <row r="26" spans="1:6" ht="26.4">
      <c r="B26" s="138">
        <v>118</v>
      </c>
      <c r="D26" s="126" t="s">
        <v>79</v>
      </c>
      <c r="E26" s="139" t="s">
        <v>606</v>
      </c>
    </row>
    <row r="27" spans="1:6">
      <c r="B27" s="138">
        <v>119</v>
      </c>
      <c r="D27" s="126" t="s">
        <v>80</v>
      </c>
      <c r="E27" s="139" t="s">
        <v>607</v>
      </c>
    </row>
    <row r="28" spans="1:6">
      <c r="B28" s="138">
        <v>120</v>
      </c>
      <c r="D28" s="126" t="s">
        <v>430</v>
      </c>
      <c r="E28" s="139" t="s">
        <v>608</v>
      </c>
    </row>
    <row r="29" spans="1:6">
      <c r="B29" s="138">
        <v>121</v>
      </c>
      <c r="D29" s="126" t="s">
        <v>81</v>
      </c>
      <c r="E29" s="139" t="s">
        <v>609</v>
      </c>
    </row>
    <row r="30" spans="1:6">
      <c r="B30" s="138">
        <v>122</v>
      </c>
      <c r="D30" s="126" t="s">
        <v>82</v>
      </c>
      <c r="E30" s="139" t="s">
        <v>610</v>
      </c>
    </row>
    <row r="31" spans="1:6">
      <c r="B31" s="138">
        <v>123</v>
      </c>
      <c r="D31" s="126" t="s">
        <v>83</v>
      </c>
      <c r="E31" s="139" t="s">
        <v>611</v>
      </c>
    </row>
    <row r="32" spans="1:6">
      <c r="B32" s="138">
        <v>124</v>
      </c>
      <c r="D32" s="126" t="s">
        <v>84</v>
      </c>
      <c r="E32" s="139" t="s">
        <v>612</v>
      </c>
    </row>
    <row r="33" spans="2:5" ht="26.4">
      <c r="B33" s="138">
        <v>125</v>
      </c>
      <c r="D33" s="126" t="s">
        <v>431</v>
      </c>
      <c r="E33" s="139" t="s">
        <v>613</v>
      </c>
    </row>
    <row r="34" spans="2:5">
      <c r="B34" s="138">
        <v>126</v>
      </c>
      <c r="D34" s="126" t="s">
        <v>85</v>
      </c>
      <c r="E34" s="139" t="s">
        <v>614</v>
      </c>
    </row>
    <row r="35" spans="2:5">
      <c r="B35" s="138">
        <v>127</v>
      </c>
      <c r="D35" s="126" t="s">
        <v>86</v>
      </c>
      <c r="E35" s="139" t="s">
        <v>615</v>
      </c>
    </row>
    <row r="36" spans="2:5">
      <c r="B36" s="138">
        <v>128</v>
      </c>
      <c r="D36" s="126" t="s">
        <v>437</v>
      </c>
      <c r="E36" s="139" t="s">
        <v>616</v>
      </c>
    </row>
    <row r="37" spans="2:5">
      <c r="B37" s="138">
        <v>129</v>
      </c>
      <c r="D37" s="126" t="s">
        <v>87</v>
      </c>
      <c r="E37" s="139" t="s">
        <v>617</v>
      </c>
    </row>
    <row r="38" spans="2:5">
      <c r="B38" s="138">
        <v>130</v>
      </c>
      <c r="D38" s="126" t="s">
        <v>88</v>
      </c>
      <c r="E38" s="139" t="s">
        <v>519</v>
      </c>
    </row>
    <row r="39" spans="2:5">
      <c r="B39" s="138">
        <v>131</v>
      </c>
      <c r="D39" s="126" t="s">
        <v>89</v>
      </c>
      <c r="E39" s="139" t="s">
        <v>520</v>
      </c>
    </row>
    <row r="40" spans="2:5">
      <c r="B40" s="138">
        <v>132</v>
      </c>
      <c r="D40" s="131" t="s">
        <v>438</v>
      </c>
      <c r="E40" s="132">
        <v>43435</v>
      </c>
    </row>
    <row r="41" spans="2:5">
      <c r="B41" s="138">
        <v>133</v>
      </c>
      <c r="D41" s="131" t="s">
        <v>438</v>
      </c>
      <c r="E41" s="132">
        <v>43435</v>
      </c>
    </row>
    <row r="42" spans="2:5">
      <c r="B42" s="138">
        <v>134</v>
      </c>
      <c r="D42" s="131" t="s">
        <v>439</v>
      </c>
      <c r="E42" s="132">
        <v>43465</v>
      </c>
    </row>
    <row r="43" spans="2:5">
      <c r="B43" s="138">
        <v>135</v>
      </c>
      <c r="D43" s="131" t="s">
        <v>439</v>
      </c>
      <c r="E43" s="132">
        <v>43465</v>
      </c>
    </row>
    <row r="44" spans="2:5">
      <c r="B44" s="138">
        <v>136</v>
      </c>
      <c r="D44" s="126" t="s">
        <v>90</v>
      </c>
      <c r="E44" s="139" t="s">
        <v>90</v>
      </c>
    </row>
    <row r="45" spans="2:5">
      <c r="B45" s="138">
        <v>137</v>
      </c>
      <c r="D45" s="126" t="s">
        <v>91</v>
      </c>
      <c r="E45" s="139" t="s">
        <v>618</v>
      </c>
    </row>
    <row r="46" spans="2:5">
      <c r="B46" s="138">
        <v>138</v>
      </c>
      <c r="C46" s="135" t="s">
        <v>920</v>
      </c>
      <c r="D46" s="126" t="s">
        <v>921</v>
      </c>
      <c r="E46" s="163" t="s">
        <v>922</v>
      </c>
    </row>
    <row r="47" spans="2:5">
      <c r="B47" s="138">
        <v>139</v>
      </c>
      <c r="D47" s="126" t="s">
        <v>92</v>
      </c>
      <c r="E47" s="139" t="s">
        <v>619</v>
      </c>
    </row>
    <row r="48" spans="2:5">
      <c r="B48" s="138">
        <v>140</v>
      </c>
      <c r="D48" s="126" t="s">
        <v>93</v>
      </c>
      <c r="E48" s="139" t="s">
        <v>620</v>
      </c>
    </row>
    <row r="49" spans="1:6">
      <c r="B49" s="138">
        <v>141</v>
      </c>
      <c r="D49" s="126" t="s">
        <v>440</v>
      </c>
      <c r="E49" s="139" t="s">
        <v>521</v>
      </c>
    </row>
    <row r="50" spans="1:6">
      <c r="B50" s="138">
        <v>142</v>
      </c>
      <c r="D50" s="126" t="s">
        <v>94</v>
      </c>
      <c r="E50" s="139" t="s">
        <v>522</v>
      </c>
    </row>
    <row r="51" spans="1:6">
      <c r="B51" s="138">
        <v>143</v>
      </c>
      <c r="D51" s="126" t="s">
        <v>95</v>
      </c>
      <c r="E51" s="139" t="s">
        <v>621</v>
      </c>
    </row>
    <row r="52" spans="1:6">
      <c r="B52" s="138">
        <v>144</v>
      </c>
      <c r="D52" s="126" t="s">
        <v>96</v>
      </c>
      <c r="E52" s="139" t="s">
        <v>622</v>
      </c>
    </row>
    <row r="53" spans="1:6">
      <c r="B53" s="138">
        <v>145</v>
      </c>
      <c r="D53" s="126" t="s">
        <v>97</v>
      </c>
      <c r="E53" s="139" t="s">
        <v>623</v>
      </c>
    </row>
    <row r="54" spans="1:6">
      <c r="B54" s="138">
        <v>146</v>
      </c>
      <c r="D54" s="126" t="s">
        <v>98</v>
      </c>
      <c r="E54" s="139" t="s">
        <v>624</v>
      </c>
    </row>
    <row r="55" spans="1:6">
      <c r="B55" s="138">
        <v>147</v>
      </c>
      <c r="D55" s="126" t="s">
        <v>441</v>
      </c>
      <c r="E55" s="139" t="s">
        <v>523</v>
      </c>
    </row>
    <row r="56" spans="1:6">
      <c r="B56" s="138">
        <v>148</v>
      </c>
      <c r="D56" s="126" t="s">
        <v>99</v>
      </c>
      <c r="E56" s="139" t="s">
        <v>524</v>
      </c>
    </row>
    <row r="57" spans="1:6">
      <c r="B57" s="138">
        <v>149</v>
      </c>
      <c r="D57" s="126" t="s">
        <v>100</v>
      </c>
      <c r="E57" s="139" t="s">
        <v>625</v>
      </c>
    </row>
    <row r="58" spans="1:6">
      <c r="B58" s="138">
        <v>150</v>
      </c>
      <c r="D58" s="126" t="s">
        <v>101</v>
      </c>
      <c r="E58" s="139" t="s">
        <v>626</v>
      </c>
    </row>
    <row r="59" spans="1:6">
      <c r="B59" s="138">
        <v>151</v>
      </c>
      <c r="D59" s="126" t="s">
        <v>102</v>
      </c>
      <c r="E59" s="139" t="s">
        <v>627</v>
      </c>
    </row>
    <row r="60" spans="1:6">
      <c r="B60" s="138">
        <v>152</v>
      </c>
      <c r="D60" s="126" t="s">
        <v>442</v>
      </c>
      <c r="E60" s="139" t="s">
        <v>628</v>
      </c>
    </row>
    <row r="61" spans="1:6">
      <c r="A61" s="130"/>
      <c r="B61" s="138">
        <v>153</v>
      </c>
      <c r="C61" s="137" t="s">
        <v>509</v>
      </c>
      <c r="D61" s="127" t="s">
        <v>923</v>
      </c>
      <c r="E61" s="127" t="s">
        <v>924</v>
      </c>
      <c r="F61" s="129"/>
    </row>
    <row r="62" spans="1:6" ht="14.4">
      <c r="B62" s="138">
        <v>154</v>
      </c>
      <c r="D62" s="126" t="s">
        <v>103</v>
      </c>
      <c r="E62" s="165" t="s">
        <v>906</v>
      </c>
    </row>
    <row r="63" spans="1:6" ht="14.4">
      <c r="B63" s="138">
        <v>155</v>
      </c>
      <c r="D63" s="126" t="s">
        <v>104</v>
      </c>
      <c r="E63" s="165" t="s">
        <v>925</v>
      </c>
    </row>
    <row r="64" spans="1:6">
      <c r="A64" s="130"/>
      <c r="B64" s="138">
        <v>156</v>
      </c>
      <c r="C64" s="137" t="s">
        <v>926</v>
      </c>
      <c r="D64" s="127" t="s">
        <v>927</v>
      </c>
      <c r="E64" s="127" t="s">
        <v>928</v>
      </c>
      <c r="F64" s="129"/>
    </row>
    <row r="65" spans="1:6">
      <c r="A65" s="130"/>
      <c r="B65" s="138">
        <v>157</v>
      </c>
      <c r="C65" s="137" t="s">
        <v>509</v>
      </c>
      <c r="D65" s="127" t="s">
        <v>929</v>
      </c>
      <c r="E65" s="127" t="s">
        <v>930</v>
      </c>
      <c r="F65" s="129"/>
    </row>
    <row r="66" spans="1:6">
      <c r="A66" s="130"/>
      <c r="B66" s="138">
        <v>158</v>
      </c>
      <c r="C66" s="137" t="s">
        <v>509</v>
      </c>
      <c r="D66" s="127" t="s">
        <v>931</v>
      </c>
      <c r="E66" s="127" t="s">
        <v>932</v>
      </c>
      <c r="F66" s="129"/>
    </row>
    <row r="67" spans="1:6">
      <c r="A67" s="130"/>
      <c r="B67" s="138">
        <v>159</v>
      </c>
      <c r="C67" s="137" t="s">
        <v>926</v>
      </c>
      <c r="D67" s="127" t="s">
        <v>903</v>
      </c>
      <c r="E67" s="127" t="s">
        <v>933</v>
      </c>
      <c r="F67" s="129"/>
    </row>
    <row r="68" spans="1:6">
      <c r="B68" s="138">
        <v>160</v>
      </c>
      <c r="D68" s="126" t="s">
        <v>105</v>
      </c>
      <c r="E68" s="139" t="s">
        <v>934</v>
      </c>
    </row>
    <row r="69" spans="1:6">
      <c r="B69" s="138">
        <v>161</v>
      </c>
      <c r="D69" s="126" t="s">
        <v>106</v>
      </c>
      <c r="E69" s="139" t="s">
        <v>935</v>
      </c>
    </row>
    <row r="70" spans="1:6">
      <c r="B70" s="138">
        <v>162</v>
      </c>
      <c r="D70" s="126" t="s">
        <v>936</v>
      </c>
      <c r="E70" s="139" t="s">
        <v>904</v>
      </c>
    </row>
    <row r="71" spans="1:6">
      <c r="B71" s="138">
        <v>163</v>
      </c>
      <c r="D71" s="126" t="s">
        <v>107</v>
      </c>
      <c r="E71" s="139" t="s">
        <v>937</v>
      </c>
    </row>
    <row r="72" spans="1:6">
      <c r="B72" s="138">
        <v>164</v>
      </c>
      <c r="D72" s="126" t="s">
        <v>108</v>
      </c>
      <c r="E72" s="139" t="s">
        <v>629</v>
      </c>
    </row>
    <row r="73" spans="1:6">
      <c r="B73" s="138">
        <v>165</v>
      </c>
      <c r="D73" s="126" t="s">
        <v>109</v>
      </c>
      <c r="E73" s="139" t="s">
        <v>630</v>
      </c>
    </row>
    <row r="74" spans="1:6">
      <c r="B74" s="138">
        <v>166</v>
      </c>
      <c r="D74" s="126" t="s">
        <v>110</v>
      </c>
      <c r="E74" s="139" t="s">
        <v>631</v>
      </c>
    </row>
    <row r="75" spans="1:6" ht="26.4">
      <c r="B75" s="138">
        <v>167</v>
      </c>
      <c r="D75" s="126" t="s">
        <v>111</v>
      </c>
      <c r="E75" s="139" t="s">
        <v>632</v>
      </c>
    </row>
    <row r="76" spans="1:6">
      <c r="B76" s="138">
        <v>168</v>
      </c>
      <c r="D76" s="126" t="s">
        <v>112</v>
      </c>
      <c r="E76" s="139" t="s">
        <v>633</v>
      </c>
    </row>
    <row r="77" spans="1:6">
      <c r="B77" s="138">
        <v>169</v>
      </c>
      <c r="D77" s="126" t="s">
        <v>113</v>
      </c>
      <c r="E77" s="139" t="s">
        <v>634</v>
      </c>
    </row>
    <row r="78" spans="1:6">
      <c r="B78" s="138">
        <v>170</v>
      </c>
      <c r="D78" s="126" t="s">
        <v>114</v>
      </c>
      <c r="E78" s="139" t="s">
        <v>635</v>
      </c>
    </row>
    <row r="79" spans="1:6">
      <c r="B79" s="138">
        <v>171</v>
      </c>
      <c r="D79" s="126" t="s">
        <v>443</v>
      </c>
      <c r="E79" s="139" t="s">
        <v>636</v>
      </c>
    </row>
    <row r="80" spans="1:6">
      <c r="B80" s="138">
        <v>172</v>
      </c>
      <c r="D80" s="126" t="s">
        <v>115</v>
      </c>
      <c r="E80" s="139" t="s">
        <v>637</v>
      </c>
    </row>
    <row r="81" spans="2:5">
      <c r="B81" s="138">
        <v>173</v>
      </c>
      <c r="D81" s="126" t="s">
        <v>116</v>
      </c>
      <c r="E81" s="139" t="s">
        <v>638</v>
      </c>
    </row>
    <row r="82" spans="2:5">
      <c r="B82" s="138">
        <v>174</v>
      </c>
      <c r="D82" s="126" t="s">
        <v>117</v>
      </c>
      <c r="E82" s="139" t="s">
        <v>639</v>
      </c>
    </row>
    <row r="83" spans="2:5">
      <c r="B83" s="138">
        <v>175</v>
      </c>
      <c r="D83" s="126" t="s">
        <v>118</v>
      </c>
      <c r="E83" s="139" t="s">
        <v>640</v>
      </c>
    </row>
    <row r="84" spans="2:5">
      <c r="B84" s="138">
        <v>176</v>
      </c>
      <c r="D84" s="126" t="s">
        <v>119</v>
      </c>
      <c r="E84" s="139" t="s">
        <v>641</v>
      </c>
    </row>
    <row r="85" spans="2:5">
      <c r="B85" s="138">
        <v>177</v>
      </c>
      <c r="D85" s="126" t="s">
        <v>120</v>
      </c>
      <c r="E85" s="139" t="s">
        <v>525</v>
      </c>
    </row>
    <row r="86" spans="2:5">
      <c r="B86" s="138">
        <v>178</v>
      </c>
      <c r="D86" s="126" t="s">
        <v>121</v>
      </c>
      <c r="E86" s="139" t="s">
        <v>526</v>
      </c>
    </row>
    <row r="87" spans="2:5">
      <c r="B87" s="138">
        <v>179</v>
      </c>
      <c r="D87" s="126" t="s">
        <v>122</v>
      </c>
      <c r="E87" s="139" t="s">
        <v>642</v>
      </c>
    </row>
    <row r="88" spans="2:5">
      <c r="B88" s="138">
        <v>180</v>
      </c>
      <c r="D88" s="126" t="s">
        <v>444</v>
      </c>
      <c r="E88" s="139" t="s">
        <v>643</v>
      </c>
    </row>
    <row r="89" spans="2:5" ht="26.4">
      <c r="B89" s="138">
        <v>181</v>
      </c>
      <c r="D89" s="126" t="s">
        <v>445</v>
      </c>
      <c r="E89" s="139" t="s">
        <v>644</v>
      </c>
    </row>
    <row r="90" spans="2:5" ht="26.4">
      <c r="B90" s="138">
        <v>182</v>
      </c>
      <c r="D90" s="126" t="s">
        <v>123</v>
      </c>
      <c r="E90" s="139" t="s">
        <v>645</v>
      </c>
    </row>
    <row r="91" spans="2:5">
      <c r="B91" s="138">
        <v>183</v>
      </c>
      <c r="D91" s="126" t="s">
        <v>124</v>
      </c>
      <c r="E91" s="139" t="s">
        <v>125</v>
      </c>
    </row>
    <row r="92" spans="2:5">
      <c r="B92" s="138">
        <v>184</v>
      </c>
      <c r="D92" s="126" t="s">
        <v>446</v>
      </c>
      <c r="E92" s="139" t="s">
        <v>527</v>
      </c>
    </row>
    <row r="93" spans="2:5">
      <c r="B93" s="138">
        <v>185</v>
      </c>
      <c r="D93" s="126" t="s">
        <v>447</v>
      </c>
      <c r="E93" s="139" t="s">
        <v>528</v>
      </c>
    </row>
    <row r="94" spans="2:5">
      <c r="B94" s="138">
        <v>186</v>
      </c>
      <c r="D94" s="126" t="s">
        <v>448</v>
      </c>
      <c r="E94" s="139" t="s">
        <v>938</v>
      </c>
    </row>
    <row r="95" spans="2:5">
      <c r="B95" s="138">
        <v>187</v>
      </c>
      <c r="D95" s="126" t="s">
        <v>126</v>
      </c>
      <c r="E95" s="139" t="s">
        <v>646</v>
      </c>
    </row>
    <row r="96" spans="2:5" ht="26.4">
      <c r="B96" s="138">
        <v>188</v>
      </c>
      <c r="D96" s="126" t="s">
        <v>127</v>
      </c>
      <c r="E96" s="139" t="s">
        <v>647</v>
      </c>
    </row>
    <row r="97" spans="2:5" ht="26.4">
      <c r="B97" s="138">
        <v>189</v>
      </c>
      <c r="D97" s="126" t="s">
        <v>128</v>
      </c>
      <c r="E97" s="139" t="s">
        <v>648</v>
      </c>
    </row>
    <row r="98" spans="2:5">
      <c r="B98" s="138">
        <v>190</v>
      </c>
      <c r="D98" s="126" t="s">
        <v>129</v>
      </c>
      <c r="E98" s="139" t="s">
        <v>129</v>
      </c>
    </row>
    <row r="99" spans="2:5">
      <c r="B99" s="138">
        <v>191</v>
      </c>
      <c r="D99" s="126" t="s">
        <v>130</v>
      </c>
      <c r="E99" s="139" t="s">
        <v>529</v>
      </c>
    </row>
    <row r="100" spans="2:5">
      <c r="B100" s="138">
        <v>192</v>
      </c>
      <c r="D100" s="126" t="s">
        <v>131</v>
      </c>
      <c r="E100" s="139" t="s">
        <v>530</v>
      </c>
    </row>
    <row r="101" spans="2:5">
      <c r="B101" s="138">
        <v>193</v>
      </c>
      <c r="D101" s="126" t="s">
        <v>132</v>
      </c>
      <c r="E101" s="139" t="s">
        <v>531</v>
      </c>
    </row>
    <row r="102" spans="2:5">
      <c r="B102" s="138">
        <v>194</v>
      </c>
      <c r="D102" s="126" t="s">
        <v>449</v>
      </c>
      <c r="E102" s="139" t="s">
        <v>649</v>
      </c>
    </row>
    <row r="103" spans="2:5">
      <c r="B103" s="138">
        <v>195</v>
      </c>
      <c r="D103" s="126" t="s">
        <v>133</v>
      </c>
      <c r="E103" s="139" t="s">
        <v>650</v>
      </c>
    </row>
    <row r="104" spans="2:5">
      <c r="B104" s="138">
        <v>196</v>
      </c>
      <c r="D104" s="126" t="s">
        <v>450</v>
      </c>
      <c r="E104" s="139" t="s">
        <v>651</v>
      </c>
    </row>
    <row r="105" spans="2:5">
      <c r="B105" s="138">
        <v>197</v>
      </c>
      <c r="D105" s="126" t="s">
        <v>134</v>
      </c>
      <c r="E105" s="139" t="s">
        <v>652</v>
      </c>
    </row>
    <row r="106" spans="2:5">
      <c r="B106" s="138">
        <v>198</v>
      </c>
      <c r="D106" s="126" t="s">
        <v>135</v>
      </c>
      <c r="E106" s="139" t="s">
        <v>653</v>
      </c>
    </row>
    <row r="107" spans="2:5">
      <c r="B107" s="138">
        <v>199</v>
      </c>
      <c r="D107" s="126" t="s">
        <v>136</v>
      </c>
      <c r="E107" s="139" t="s">
        <v>654</v>
      </c>
    </row>
    <row r="108" spans="2:5">
      <c r="B108" s="138">
        <v>200</v>
      </c>
      <c r="D108" s="126" t="s">
        <v>451</v>
      </c>
      <c r="E108" s="139" t="s">
        <v>655</v>
      </c>
    </row>
    <row r="109" spans="2:5">
      <c r="B109" s="138">
        <v>201</v>
      </c>
      <c r="D109" s="126" t="s">
        <v>137</v>
      </c>
      <c r="E109" s="139" t="s">
        <v>656</v>
      </c>
    </row>
    <row r="110" spans="2:5">
      <c r="B110" s="138">
        <v>202</v>
      </c>
      <c r="D110" s="126" t="s">
        <v>138</v>
      </c>
      <c r="E110" s="139" t="s">
        <v>657</v>
      </c>
    </row>
    <row r="111" spans="2:5">
      <c r="B111" s="138">
        <v>203</v>
      </c>
      <c r="D111" s="126" t="s">
        <v>139</v>
      </c>
      <c r="E111" s="139" t="s">
        <v>532</v>
      </c>
    </row>
    <row r="112" spans="2:5">
      <c r="B112" s="138">
        <v>204</v>
      </c>
      <c r="D112" s="126" t="s">
        <v>452</v>
      </c>
      <c r="E112" s="139" t="s">
        <v>533</v>
      </c>
    </row>
    <row r="113" spans="2:5">
      <c r="B113" s="138">
        <v>205</v>
      </c>
      <c r="D113" s="126" t="s">
        <v>453</v>
      </c>
      <c r="E113" s="139" t="s">
        <v>534</v>
      </c>
    </row>
    <row r="114" spans="2:5">
      <c r="B114" s="138">
        <v>206</v>
      </c>
      <c r="D114" s="126" t="s">
        <v>454</v>
      </c>
      <c r="E114" s="139" t="s">
        <v>658</v>
      </c>
    </row>
    <row r="115" spans="2:5">
      <c r="B115" s="138">
        <v>207</v>
      </c>
      <c r="D115" s="126" t="s">
        <v>455</v>
      </c>
      <c r="E115" s="139" t="s">
        <v>535</v>
      </c>
    </row>
    <row r="116" spans="2:5">
      <c r="B116" s="138">
        <v>208</v>
      </c>
      <c r="D116" s="126" t="s">
        <v>456</v>
      </c>
      <c r="E116" s="139" t="s">
        <v>536</v>
      </c>
    </row>
    <row r="117" spans="2:5">
      <c r="B117" s="138">
        <v>209</v>
      </c>
      <c r="D117" s="126" t="s">
        <v>140</v>
      </c>
      <c r="E117" s="139" t="s">
        <v>659</v>
      </c>
    </row>
    <row r="118" spans="2:5">
      <c r="B118" s="138">
        <v>210</v>
      </c>
      <c r="D118" s="126" t="s">
        <v>457</v>
      </c>
      <c r="E118" s="139" t="s">
        <v>660</v>
      </c>
    </row>
    <row r="119" spans="2:5">
      <c r="B119" s="138">
        <v>211</v>
      </c>
      <c r="D119" s="126" t="s">
        <v>141</v>
      </c>
      <c r="E119" s="139" t="s">
        <v>537</v>
      </c>
    </row>
    <row r="120" spans="2:5">
      <c r="B120" s="138">
        <v>212</v>
      </c>
      <c r="D120" s="126" t="s">
        <v>142</v>
      </c>
      <c r="E120" s="139" t="s">
        <v>661</v>
      </c>
    </row>
    <row r="121" spans="2:5">
      <c r="B121" s="138">
        <v>213</v>
      </c>
      <c r="D121" s="126" t="s">
        <v>143</v>
      </c>
      <c r="E121" s="139" t="s">
        <v>662</v>
      </c>
    </row>
    <row r="122" spans="2:5">
      <c r="B122" s="138">
        <v>214</v>
      </c>
      <c r="D122" s="126" t="s">
        <v>458</v>
      </c>
      <c r="E122" s="139" t="s">
        <v>663</v>
      </c>
    </row>
    <row r="123" spans="2:5">
      <c r="B123" s="138">
        <v>215</v>
      </c>
      <c r="D123" s="126" t="s">
        <v>459</v>
      </c>
      <c r="E123" s="139" t="s">
        <v>664</v>
      </c>
    </row>
    <row r="124" spans="2:5">
      <c r="B124" s="138">
        <v>216</v>
      </c>
      <c r="D124" s="126" t="s">
        <v>986</v>
      </c>
      <c r="E124" s="139" t="s">
        <v>665</v>
      </c>
    </row>
    <row r="125" spans="2:5">
      <c r="B125" s="138">
        <v>217</v>
      </c>
      <c r="D125" s="126" t="s">
        <v>460</v>
      </c>
      <c r="E125" s="139" t="s">
        <v>666</v>
      </c>
    </row>
    <row r="126" spans="2:5">
      <c r="B126" s="138">
        <v>218</v>
      </c>
      <c r="D126" s="126" t="s">
        <v>461</v>
      </c>
      <c r="E126" s="139" t="s">
        <v>667</v>
      </c>
    </row>
    <row r="127" spans="2:5">
      <c r="B127" s="138">
        <v>219</v>
      </c>
      <c r="D127" s="126" t="s">
        <v>462</v>
      </c>
      <c r="E127" s="139" t="s">
        <v>668</v>
      </c>
    </row>
    <row r="128" spans="2:5">
      <c r="B128" s="138">
        <v>220</v>
      </c>
      <c r="D128" s="126" t="s">
        <v>463</v>
      </c>
      <c r="E128" s="139" t="s">
        <v>669</v>
      </c>
    </row>
    <row r="129" spans="2:5">
      <c r="B129" s="138">
        <v>221</v>
      </c>
      <c r="D129" s="126" t="s">
        <v>144</v>
      </c>
      <c r="E129" s="139" t="s">
        <v>670</v>
      </c>
    </row>
    <row r="130" spans="2:5">
      <c r="B130" s="138">
        <v>222</v>
      </c>
      <c r="D130" s="126" t="s">
        <v>145</v>
      </c>
      <c r="E130" s="139" t="s">
        <v>671</v>
      </c>
    </row>
    <row r="131" spans="2:5">
      <c r="B131" s="138">
        <v>223</v>
      </c>
      <c r="D131" s="126" t="s">
        <v>146</v>
      </c>
      <c r="E131" s="139" t="s">
        <v>672</v>
      </c>
    </row>
    <row r="132" spans="2:5">
      <c r="B132" s="138">
        <v>224</v>
      </c>
      <c r="D132" s="126" t="s">
        <v>147</v>
      </c>
      <c r="E132" s="139" t="s">
        <v>673</v>
      </c>
    </row>
    <row r="133" spans="2:5">
      <c r="B133" s="138">
        <v>225</v>
      </c>
      <c r="D133" s="126" t="s">
        <v>464</v>
      </c>
      <c r="E133" s="139" t="s">
        <v>674</v>
      </c>
    </row>
    <row r="134" spans="2:5">
      <c r="B134" s="138">
        <v>226</v>
      </c>
      <c r="D134" s="126" t="s">
        <v>465</v>
      </c>
      <c r="E134" s="139" t="s">
        <v>675</v>
      </c>
    </row>
    <row r="135" spans="2:5">
      <c r="B135" s="138">
        <v>227</v>
      </c>
      <c r="D135" s="126" t="s">
        <v>466</v>
      </c>
      <c r="E135" s="139" t="s">
        <v>676</v>
      </c>
    </row>
    <row r="136" spans="2:5">
      <c r="B136" s="138">
        <v>228</v>
      </c>
      <c r="D136" s="126" t="s">
        <v>148</v>
      </c>
      <c r="E136" s="139" t="s">
        <v>677</v>
      </c>
    </row>
    <row r="137" spans="2:5">
      <c r="B137" s="138">
        <v>229</v>
      </c>
      <c r="D137" s="126" t="s">
        <v>149</v>
      </c>
      <c r="E137" s="139" t="s">
        <v>678</v>
      </c>
    </row>
    <row r="138" spans="2:5">
      <c r="B138" s="138">
        <v>230</v>
      </c>
      <c r="D138" s="126" t="s">
        <v>467</v>
      </c>
      <c r="E138" s="139" t="s">
        <v>538</v>
      </c>
    </row>
    <row r="139" spans="2:5">
      <c r="B139" s="138">
        <v>231</v>
      </c>
      <c r="D139" s="126" t="s">
        <v>150</v>
      </c>
      <c r="E139" s="139" t="s">
        <v>679</v>
      </c>
    </row>
    <row r="140" spans="2:5" ht="39.6">
      <c r="B140" s="138">
        <v>232</v>
      </c>
      <c r="D140" s="126" t="s">
        <v>151</v>
      </c>
      <c r="E140" s="139" t="s">
        <v>680</v>
      </c>
    </row>
    <row r="141" spans="2:5">
      <c r="B141" s="138">
        <v>233</v>
      </c>
      <c r="D141" s="126" t="s">
        <v>152</v>
      </c>
      <c r="E141" s="139" t="s">
        <v>681</v>
      </c>
    </row>
    <row r="142" spans="2:5">
      <c r="B142" s="138">
        <v>234</v>
      </c>
      <c r="D142" s="126" t="s">
        <v>153</v>
      </c>
      <c r="E142" s="139" t="s">
        <v>939</v>
      </c>
    </row>
    <row r="143" spans="2:5">
      <c r="B143" s="138">
        <v>235</v>
      </c>
      <c r="D143" s="126" t="s">
        <v>154</v>
      </c>
      <c r="E143" s="139" t="s">
        <v>539</v>
      </c>
    </row>
    <row r="144" spans="2:5">
      <c r="B144" s="138">
        <v>236</v>
      </c>
      <c r="D144" s="126" t="s">
        <v>155</v>
      </c>
      <c r="E144" s="139" t="s">
        <v>682</v>
      </c>
    </row>
    <row r="145" spans="2:5">
      <c r="B145" s="138">
        <v>237</v>
      </c>
      <c r="D145" s="126" t="s">
        <v>156</v>
      </c>
      <c r="E145" s="139" t="s">
        <v>540</v>
      </c>
    </row>
    <row r="146" spans="2:5">
      <c r="B146" s="138">
        <v>238</v>
      </c>
      <c r="D146" s="126" t="s">
        <v>157</v>
      </c>
      <c r="E146" s="139" t="s">
        <v>683</v>
      </c>
    </row>
    <row r="147" spans="2:5">
      <c r="B147" s="138">
        <v>239</v>
      </c>
      <c r="D147" s="126" t="s">
        <v>158</v>
      </c>
      <c r="E147" s="139" t="s">
        <v>684</v>
      </c>
    </row>
    <row r="148" spans="2:5">
      <c r="B148" s="138">
        <v>240</v>
      </c>
      <c r="D148" s="126" t="s">
        <v>159</v>
      </c>
      <c r="E148" s="139" t="s">
        <v>541</v>
      </c>
    </row>
    <row r="149" spans="2:5">
      <c r="B149" s="138">
        <v>241</v>
      </c>
      <c r="D149" s="126" t="s">
        <v>160</v>
      </c>
      <c r="E149" s="139" t="s">
        <v>542</v>
      </c>
    </row>
    <row r="150" spans="2:5">
      <c r="B150" s="138">
        <v>242</v>
      </c>
      <c r="D150" s="126" t="s">
        <v>161</v>
      </c>
      <c r="E150" s="139" t="s">
        <v>685</v>
      </c>
    </row>
    <row r="151" spans="2:5">
      <c r="B151" s="138">
        <v>243</v>
      </c>
      <c r="D151" s="126" t="s">
        <v>162</v>
      </c>
      <c r="E151" s="139" t="s">
        <v>686</v>
      </c>
    </row>
    <row r="152" spans="2:5">
      <c r="B152" s="138">
        <v>244</v>
      </c>
      <c r="D152" s="126" t="s">
        <v>163</v>
      </c>
      <c r="E152" s="139" t="s">
        <v>687</v>
      </c>
    </row>
    <row r="153" spans="2:5">
      <c r="B153" s="138">
        <v>245</v>
      </c>
      <c r="D153" s="126" t="s">
        <v>468</v>
      </c>
      <c r="E153" s="139" t="s">
        <v>688</v>
      </c>
    </row>
    <row r="154" spans="2:5">
      <c r="B154" s="138">
        <v>246</v>
      </c>
      <c r="D154" s="126" t="s">
        <v>164</v>
      </c>
      <c r="E154" s="139" t="s">
        <v>689</v>
      </c>
    </row>
    <row r="155" spans="2:5">
      <c r="B155" s="138">
        <v>247</v>
      </c>
      <c r="D155" s="126" t="s">
        <v>165</v>
      </c>
      <c r="E155" s="139" t="s">
        <v>543</v>
      </c>
    </row>
    <row r="156" spans="2:5">
      <c r="B156" s="138">
        <v>248</v>
      </c>
      <c r="D156" s="126" t="s">
        <v>166</v>
      </c>
      <c r="E156" s="139" t="s">
        <v>690</v>
      </c>
    </row>
    <row r="157" spans="2:5">
      <c r="B157" s="138">
        <v>249</v>
      </c>
      <c r="D157" s="126" t="s">
        <v>469</v>
      </c>
      <c r="E157" s="139" t="s">
        <v>691</v>
      </c>
    </row>
    <row r="158" spans="2:5">
      <c r="B158" s="138">
        <v>250</v>
      </c>
      <c r="D158" s="126" t="s">
        <v>470</v>
      </c>
      <c r="E158" s="139" t="s">
        <v>692</v>
      </c>
    </row>
    <row r="159" spans="2:5">
      <c r="B159" s="138">
        <v>251</v>
      </c>
      <c r="D159" s="126" t="s">
        <v>471</v>
      </c>
      <c r="E159" s="139" t="s">
        <v>693</v>
      </c>
    </row>
    <row r="160" spans="2:5">
      <c r="B160" s="138">
        <v>252</v>
      </c>
      <c r="D160" s="126" t="s">
        <v>472</v>
      </c>
      <c r="E160" s="139" t="s">
        <v>694</v>
      </c>
    </row>
    <row r="161" spans="2:5">
      <c r="B161" s="138">
        <v>253</v>
      </c>
      <c r="D161" s="126" t="s">
        <v>167</v>
      </c>
      <c r="E161" s="139" t="s">
        <v>940</v>
      </c>
    </row>
    <row r="162" spans="2:5" ht="26.4">
      <c r="B162" s="138">
        <v>254</v>
      </c>
      <c r="D162" s="126" t="s">
        <v>168</v>
      </c>
      <c r="E162" s="139" t="s">
        <v>695</v>
      </c>
    </row>
    <row r="163" spans="2:5" ht="26.4">
      <c r="B163" s="138">
        <v>255</v>
      </c>
      <c r="D163" s="126" t="s">
        <v>169</v>
      </c>
      <c r="E163" s="139" t="s">
        <v>696</v>
      </c>
    </row>
    <row r="164" spans="2:5" ht="26.4">
      <c r="B164" s="138">
        <v>256</v>
      </c>
      <c r="D164" s="126" t="s">
        <v>170</v>
      </c>
      <c r="E164" s="139" t="s">
        <v>697</v>
      </c>
    </row>
    <row r="165" spans="2:5">
      <c r="B165" s="138">
        <v>257</v>
      </c>
      <c r="D165" s="126" t="s">
        <v>171</v>
      </c>
      <c r="E165" s="139" t="s">
        <v>544</v>
      </c>
    </row>
    <row r="166" spans="2:5">
      <c r="B166" s="138">
        <v>258</v>
      </c>
      <c r="D166" s="126" t="s">
        <v>172</v>
      </c>
      <c r="E166" s="139" t="s">
        <v>698</v>
      </c>
    </row>
    <row r="167" spans="2:5">
      <c r="B167" s="138">
        <v>259</v>
      </c>
      <c r="D167" s="126" t="s">
        <v>173</v>
      </c>
      <c r="E167" s="139" t="s">
        <v>699</v>
      </c>
    </row>
    <row r="168" spans="2:5">
      <c r="B168" s="138">
        <v>260</v>
      </c>
      <c r="D168" s="126" t="s">
        <v>174</v>
      </c>
      <c r="E168" s="139" t="s">
        <v>700</v>
      </c>
    </row>
    <row r="169" spans="2:5">
      <c r="B169" s="138">
        <v>261</v>
      </c>
      <c r="D169" s="126" t="s">
        <v>175</v>
      </c>
      <c r="E169" s="139" t="s">
        <v>701</v>
      </c>
    </row>
    <row r="170" spans="2:5" ht="26.4">
      <c r="B170" s="138">
        <v>262</v>
      </c>
      <c r="D170" s="126" t="s">
        <v>176</v>
      </c>
      <c r="E170" s="139" t="s">
        <v>702</v>
      </c>
    </row>
    <row r="171" spans="2:5">
      <c r="B171" s="138">
        <v>263</v>
      </c>
      <c r="D171" s="126" t="s">
        <v>177</v>
      </c>
      <c r="E171" s="139" t="s">
        <v>703</v>
      </c>
    </row>
    <row r="172" spans="2:5">
      <c r="B172" s="138">
        <v>264</v>
      </c>
      <c r="D172" s="126" t="s">
        <v>178</v>
      </c>
      <c r="E172" s="139" t="s">
        <v>704</v>
      </c>
    </row>
    <row r="173" spans="2:5">
      <c r="B173" s="138">
        <v>265</v>
      </c>
      <c r="D173" s="126" t="s">
        <v>179</v>
      </c>
      <c r="E173" s="139" t="s">
        <v>705</v>
      </c>
    </row>
    <row r="174" spans="2:5">
      <c r="B174" s="138">
        <v>266</v>
      </c>
      <c r="D174" s="126" t="s">
        <v>180</v>
      </c>
      <c r="E174" s="139" t="s">
        <v>706</v>
      </c>
    </row>
    <row r="175" spans="2:5">
      <c r="B175" s="138">
        <v>267</v>
      </c>
      <c r="D175" s="126" t="s">
        <v>181</v>
      </c>
      <c r="E175" s="139" t="s">
        <v>707</v>
      </c>
    </row>
    <row r="176" spans="2:5">
      <c r="B176" s="138">
        <v>268</v>
      </c>
      <c r="D176" s="126" t="s">
        <v>182</v>
      </c>
      <c r="E176" s="139" t="s">
        <v>708</v>
      </c>
    </row>
    <row r="177" spans="2:5">
      <c r="B177" s="138">
        <v>269</v>
      </c>
      <c r="D177" s="126" t="s">
        <v>473</v>
      </c>
      <c r="E177" s="139" t="s">
        <v>709</v>
      </c>
    </row>
    <row r="178" spans="2:5">
      <c r="B178" s="138">
        <v>270</v>
      </c>
      <c r="D178" s="126" t="s">
        <v>183</v>
      </c>
      <c r="E178" s="139" t="s">
        <v>710</v>
      </c>
    </row>
    <row r="179" spans="2:5">
      <c r="B179" s="138">
        <v>271</v>
      </c>
      <c r="D179" s="126" t="s">
        <v>474</v>
      </c>
      <c r="E179" s="139" t="s">
        <v>545</v>
      </c>
    </row>
    <row r="180" spans="2:5" ht="26.4">
      <c r="B180" s="138">
        <v>272</v>
      </c>
      <c r="D180" s="126" t="s">
        <v>184</v>
      </c>
    </row>
    <row r="181" spans="2:5">
      <c r="B181" s="138">
        <v>273</v>
      </c>
      <c r="D181" s="126" t="s">
        <v>185</v>
      </c>
      <c r="E181" s="139" t="s">
        <v>711</v>
      </c>
    </row>
    <row r="182" spans="2:5">
      <c r="B182" s="138">
        <v>274</v>
      </c>
      <c r="D182" s="126" t="s">
        <v>186</v>
      </c>
      <c r="E182" s="139" t="s">
        <v>546</v>
      </c>
    </row>
    <row r="183" spans="2:5">
      <c r="B183" s="138">
        <v>275</v>
      </c>
      <c r="D183" s="126" t="s">
        <v>187</v>
      </c>
      <c r="E183" s="139" t="s">
        <v>547</v>
      </c>
    </row>
    <row r="184" spans="2:5">
      <c r="B184" s="138">
        <v>276</v>
      </c>
      <c r="D184" s="126" t="s">
        <v>188</v>
      </c>
      <c r="E184" s="139" t="s">
        <v>941</v>
      </c>
    </row>
    <row r="185" spans="2:5">
      <c r="B185" s="138">
        <v>277</v>
      </c>
      <c r="D185" s="126" t="s">
        <v>475</v>
      </c>
      <c r="E185" s="139" t="s">
        <v>548</v>
      </c>
    </row>
    <row r="186" spans="2:5">
      <c r="B186" s="138">
        <v>278</v>
      </c>
      <c r="D186" s="126" t="s">
        <v>189</v>
      </c>
      <c r="E186" s="139" t="s">
        <v>549</v>
      </c>
    </row>
    <row r="187" spans="2:5">
      <c r="B187" s="138">
        <v>279</v>
      </c>
      <c r="D187" s="126" t="s">
        <v>190</v>
      </c>
      <c r="E187" s="139" t="s">
        <v>712</v>
      </c>
    </row>
    <row r="188" spans="2:5">
      <c r="B188" s="138">
        <v>280</v>
      </c>
      <c r="D188" s="126" t="s">
        <v>1</v>
      </c>
      <c r="E188" s="139" t="s">
        <v>1</v>
      </c>
    </row>
    <row r="189" spans="2:5">
      <c r="B189" s="138">
        <v>281</v>
      </c>
      <c r="D189" s="126" t="s">
        <v>2</v>
      </c>
      <c r="E189" s="139" t="s">
        <v>2</v>
      </c>
    </row>
    <row r="190" spans="2:5">
      <c r="B190" s="138">
        <v>282</v>
      </c>
      <c r="D190" s="126" t="s">
        <v>191</v>
      </c>
      <c r="E190" s="139" t="s">
        <v>192</v>
      </c>
    </row>
    <row r="191" spans="2:5">
      <c r="B191" s="138">
        <v>283</v>
      </c>
      <c r="D191" s="126" t="s">
        <v>193</v>
      </c>
      <c r="E191" s="139" t="s">
        <v>942</v>
      </c>
    </row>
    <row r="192" spans="2:5">
      <c r="B192" s="138">
        <v>284</v>
      </c>
      <c r="D192" s="126" t="s">
        <v>194</v>
      </c>
      <c r="E192" s="139" t="s">
        <v>713</v>
      </c>
    </row>
    <row r="193" spans="2:5">
      <c r="B193" s="138">
        <v>285</v>
      </c>
      <c r="D193" s="126" t="s">
        <v>195</v>
      </c>
      <c r="E193" s="139" t="s">
        <v>550</v>
      </c>
    </row>
    <row r="194" spans="2:5">
      <c r="B194" s="138">
        <v>286</v>
      </c>
      <c r="D194" s="126" t="s">
        <v>476</v>
      </c>
      <c r="E194" s="139" t="s">
        <v>551</v>
      </c>
    </row>
    <row r="195" spans="2:5">
      <c r="B195" s="138">
        <v>287</v>
      </c>
      <c r="D195" s="126" t="s">
        <v>477</v>
      </c>
      <c r="E195" s="139" t="s">
        <v>552</v>
      </c>
    </row>
    <row r="196" spans="2:5">
      <c r="B196" s="138">
        <v>288</v>
      </c>
      <c r="D196" s="126" t="s">
        <v>478</v>
      </c>
      <c r="E196" s="139" t="s">
        <v>551</v>
      </c>
    </row>
    <row r="197" spans="2:5">
      <c r="B197" s="138">
        <v>289</v>
      </c>
      <c r="D197" s="126" t="s">
        <v>196</v>
      </c>
      <c r="E197" s="139" t="s">
        <v>553</v>
      </c>
    </row>
    <row r="198" spans="2:5">
      <c r="B198" s="138">
        <v>290</v>
      </c>
      <c r="D198" s="126" t="s">
        <v>479</v>
      </c>
      <c r="E198" s="139" t="s">
        <v>714</v>
      </c>
    </row>
    <row r="199" spans="2:5">
      <c r="B199" s="138">
        <v>291</v>
      </c>
      <c r="D199" s="126" t="s">
        <v>197</v>
      </c>
      <c r="E199" s="139" t="s">
        <v>715</v>
      </c>
    </row>
    <row r="200" spans="2:5">
      <c r="B200" s="138">
        <v>292</v>
      </c>
      <c r="D200" s="126" t="s">
        <v>510</v>
      </c>
      <c r="E200" s="139" t="s">
        <v>716</v>
      </c>
    </row>
    <row r="201" spans="2:5">
      <c r="B201" s="138">
        <v>293</v>
      </c>
      <c r="D201" s="126" t="s">
        <v>511</v>
      </c>
      <c r="E201" s="139" t="s">
        <v>943</v>
      </c>
    </row>
    <row r="202" spans="2:5">
      <c r="B202" s="138">
        <v>294</v>
      </c>
      <c r="D202" s="126" t="s">
        <v>198</v>
      </c>
      <c r="E202" s="139" t="s">
        <v>554</v>
      </c>
    </row>
    <row r="203" spans="2:5">
      <c r="B203" s="138">
        <v>295</v>
      </c>
      <c r="D203" s="126" t="s">
        <v>480</v>
      </c>
      <c r="E203" s="139" t="s">
        <v>555</v>
      </c>
    </row>
    <row r="204" spans="2:5">
      <c r="B204" s="138">
        <v>296</v>
      </c>
      <c r="D204" s="126" t="s">
        <v>199</v>
      </c>
      <c r="E204" s="139" t="s">
        <v>717</v>
      </c>
    </row>
    <row r="205" spans="2:5">
      <c r="B205" s="138">
        <v>297</v>
      </c>
      <c r="D205" s="126" t="s">
        <v>200</v>
      </c>
      <c r="E205" s="139" t="s">
        <v>718</v>
      </c>
    </row>
    <row r="206" spans="2:5">
      <c r="B206" s="138">
        <v>298</v>
      </c>
      <c r="D206" s="126" t="s">
        <v>201</v>
      </c>
      <c r="E206" s="139" t="s">
        <v>556</v>
      </c>
    </row>
    <row r="207" spans="2:5" ht="26.4">
      <c r="B207" s="138">
        <v>299</v>
      </c>
      <c r="D207" s="126" t="s">
        <v>202</v>
      </c>
      <c r="E207" s="139" t="s">
        <v>719</v>
      </c>
    </row>
    <row r="208" spans="2:5" ht="26.4">
      <c r="B208" s="138">
        <v>300</v>
      </c>
      <c r="D208" s="126" t="s">
        <v>512</v>
      </c>
      <c r="E208" s="139" t="s">
        <v>720</v>
      </c>
    </row>
    <row r="209" spans="2:5">
      <c r="B209" s="138">
        <v>301</v>
      </c>
      <c r="D209" s="126" t="s">
        <v>513</v>
      </c>
      <c r="E209" s="139" t="s">
        <v>944</v>
      </c>
    </row>
    <row r="210" spans="2:5">
      <c r="B210" s="138">
        <v>302</v>
      </c>
      <c r="D210" s="126" t="s">
        <v>481</v>
      </c>
      <c r="E210" s="139" t="s">
        <v>945</v>
      </c>
    </row>
    <row r="211" spans="2:5">
      <c r="B211" s="138">
        <v>303</v>
      </c>
      <c r="D211" s="126" t="s">
        <v>203</v>
      </c>
      <c r="E211" s="139" t="s">
        <v>721</v>
      </c>
    </row>
    <row r="212" spans="2:5">
      <c r="B212" s="138">
        <v>304</v>
      </c>
      <c r="D212" s="126" t="s">
        <v>482</v>
      </c>
      <c r="E212" s="139" t="s">
        <v>722</v>
      </c>
    </row>
    <row r="213" spans="2:5">
      <c r="B213" s="138">
        <v>305</v>
      </c>
      <c r="D213" s="126" t="s">
        <v>483</v>
      </c>
      <c r="E213" s="139" t="s">
        <v>557</v>
      </c>
    </row>
    <row r="214" spans="2:5">
      <c r="B214" s="138">
        <v>306</v>
      </c>
      <c r="D214" s="126" t="s">
        <v>204</v>
      </c>
      <c r="E214" s="139" t="s">
        <v>723</v>
      </c>
    </row>
    <row r="215" spans="2:5">
      <c r="B215" s="138">
        <v>307</v>
      </c>
      <c r="D215" s="126" t="s">
        <v>205</v>
      </c>
      <c r="E215" s="139" t="s">
        <v>558</v>
      </c>
    </row>
    <row r="216" spans="2:5">
      <c r="B216" s="138">
        <v>308</v>
      </c>
      <c r="D216" s="126" t="s">
        <v>484</v>
      </c>
      <c r="E216" s="139" t="s">
        <v>724</v>
      </c>
    </row>
    <row r="217" spans="2:5">
      <c r="B217" s="138">
        <v>309</v>
      </c>
      <c r="D217" s="126" t="s">
        <v>206</v>
      </c>
      <c r="E217" s="139" t="s">
        <v>725</v>
      </c>
    </row>
    <row r="218" spans="2:5">
      <c r="B218" s="138">
        <v>310</v>
      </c>
      <c r="D218" s="126" t="s">
        <v>207</v>
      </c>
      <c r="E218" s="139" t="s">
        <v>726</v>
      </c>
    </row>
    <row r="219" spans="2:5" ht="26.4">
      <c r="B219" s="138">
        <v>311</v>
      </c>
      <c r="D219" s="126" t="s">
        <v>208</v>
      </c>
      <c r="E219" s="139" t="s">
        <v>727</v>
      </c>
    </row>
    <row r="220" spans="2:5">
      <c r="B220" s="138">
        <v>312</v>
      </c>
      <c r="D220" s="126" t="s">
        <v>209</v>
      </c>
      <c r="E220" s="139" t="s">
        <v>728</v>
      </c>
    </row>
    <row r="221" spans="2:5">
      <c r="B221" s="138">
        <v>313</v>
      </c>
      <c r="C221" s="135" t="s">
        <v>920</v>
      </c>
      <c r="D221" s="126" t="s">
        <v>946</v>
      </c>
      <c r="E221" s="163" t="s">
        <v>947</v>
      </c>
    </row>
    <row r="222" spans="2:5">
      <c r="B222" s="138">
        <v>314</v>
      </c>
      <c r="D222" s="126" t="s">
        <v>210</v>
      </c>
      <c r="E222" s="139" t="s">
        <v>948</v>
      </c>
    </row>
    <row r="223" spans="2:5">
      <c r="B223" s="138">
        <v>315</v>
      </c>
      <c r="D223" s="126" t="s">
        <v>211</v>
      </c>
      <c r="E223" s="139" t="s">
        <v>729</v>
      </c>
    </row>
    <row r="224" spans="2:5">
      <c r="B224" s="138">
        <v>316</v>
      </c>
      <c r="D224" s="126" t="s">
        <v>212</v>
      </c>
      <c r="E224" s="139" t="s">
        <v>730</v>
      </c>
    </row>
    <row r="225" spans="1:6">
      <c r="B225" s="138">
        <v>317</v>
      </c>
      <c r="D225" s="126" t="s">
        <v>213</v>
      </c>
      <c r="E225" s="139" t="s">
        <v>731</v>
      </c>
    </row>
    <row r="226" spans="1:6">
      <c r="B226" s="138">
        <v>318</v>
      </c>
      <c r="D226" s="126" t="s">
        <v>214</v>
      </c>
      <c r="E226" s="139" t="s">
        <v>559</v>
      </c>
    </row>
    <row r="227" spans="1:6">
      <c r="B227" s="138">
        <v>319</v>
      </c>
      <c r="D227" s="126" t="s">
        <v>485</v>
      </c>
      <c r="E227" s="139" t="s">
        <v>732</v>
      </c>
    </row>
    <row r="228" spans="1:6">
      <c r="B228" s="138">
        <v>320</v>
      </c>
      <c r="D228" s="126" t="s">
        <v>215</v>
      </c>
      <c r="E228" s="139" t="s">
        <v>733</v>
      </c>
    </row>
    <row r="229" spans="1:6" ht="39.6">
      <c r="B229" s="138">
        <v>321</v>
      </c>
      <c r="D229" s="126" t="s">
        <v>216</v>
      </c>
      <c r="E229" s="139" t="s">
        <v>734</v>
      </c>
    </row>
    <row r="230" spans="1:6">
      <c r="B230" s="138">
        <v>322</v>
      </c>
      <c r="D230" s="126" t="s">
        <v>217</v>
      </c>
      <c r="E230" s="139" t="s">
        <v>735</v>
      </c>
    </row>
    <row r="231" spans="1:6" ht="26.4">
      <c r="B231" s="138">
        <v>323</v>
      </c>
      <c r="D231" s="126" t="s">
        <v>218</v>
      </c>
      <c r="E231" s="139" t="s">
        <v>736</v>
      </c>
    </row>
    <row r="232" spans="1:6">
      <c r="A232" s="128"/>
      <c r="B232" s="138">
        <v>324</v>
      </c>
      <c r="C232" s="137" t="s">
        <v>509</v>
      </c>
      <c r="D232" s="127" t="s">
        <v>949</v>
      </c>
      <c r="E232" s="127" t="s">
        <v>516</v>
      </c>
      <c r="F232" s="129"/>
    </row>
    <row r="233" spans="1:6">
      <c r="A233" s="128"/>
      <c r="B233" s="138">
        <v>325</v>
      </c>
      <c r="C233" s="137" t="s">
        <v>509</v>
      </c>
      <c r="D233" s="127" t="s">
        <v>950</v>
      </c>
      <c r="E233" s="127" t="s">
        <v>899</v>
      </c>
      <c r="F233" s="129"/>
    </row>
    <row r="234" spans="1:6">
      <c r="A234" s="128"/>
      <c r="B234" s="138">
        <v>326</v>
      </c>
      <c r="C234" s="137" t="s">
        <v>918</v>
      </c>
      <c r="D234" s="127" t="s">
        <v>951</v>
      </c>
      <c r="E234" s="127" t="s">
        <v>952</v>
      </c>
      <c r="F234" s="129"/>
    </row>
    <row r="235" spans="1:6">
      <c r="B235" s="138">
        <v>327</v>
      </c>
      <c r="D235" s="126" t="s">
        <v>219</v>
      </c>
      <c r="E235" s="139" t="s">
        <v>560</v>
      </c>
    </row>
    <row r="236" spans="1:6" ht="14.4">
      <c r="B236" s="138">
        <v>328</v>
      </c>
      <c r="D236" s="126" t="s">
        <v>220</v>
      </c>
      <c r="E236" s="165" t="s">
        <v>905</v>
      </c>
    </row>
    <row r="237" spans="1:6">
      <c r="B237" s="138">
        <v>329</v>
      </c>
      <c r="D237" s="126" t="s">
        <v>221</v>
      </c>
      <c r="E237" s="139" t="s">
        <v>737</v>
      </c>
    </row>
    <row r="238" spans="1:6">
      <c r="B238" s="138">
        <v>330</v>
      </c>
      <c r="D238" s="126" t="s">
        <v>222</v>
      </c>
      <c r="E238" s="139" t="s">
        <v>738</v>
      </c>
    </row>
    <row r="239" spans="1:6">
      <c r="B239" s="138">
        <v>331</v>
      </c>
      <c r="D239" s="126" t="s">
        <v>223</v>
      </c>
      <c r="E239" s="139" t="s">
        <v>739</v>
      </c>
    </row>
    <row r="240" spans="1:6">
      <c r="B240" s="138">
        <v>332</v>
      </c>
      <c r="D240" s="126" t="s">
        <v>224</v>
      </c>
      <c r="E240" s="139" t="s">
        <v>740</v>
      </c>
    </row>
    <row r="241" spans="2:5">
      <c r="B241" s="138">
        <v>333</v>
      </c>
      <c r="D241" s="126" t="s">
        <v>225</v>
      </c>
      <c r="E241" s="139" t="s">
        <v>741</v>
      </c>
    </row>
    <row r="242" spans="2:5">
      <c r="B242" s="138">
        <v>334</v>
      </c>
      <c r="D242" s="126" t="s">
        <v>226</v>
      </c>
      <c r="E242" s="139" t="s">
        <v>742</v>
      </c>
    </row>
    <row r="243" spans="2:5">
      <c r="B243" s="138">
        <v>335</v>
      </c>
      <c r="D243" s="126" t="s">
        <v>227</v>
      </c>
      <c r="E243" s="139" t="s">
        <v>743</v>
      </c>
    </row>
    <row r="244" spans="2:5">
      <c r="B244" s="138">
        <v>336</v>
      </c>
      <c r="D244" s="126" t="s">
        <v>228</v>
      </c>
      <c r="E244" s="139" t="s">
        <v>561</v>
      </c>
    </row>
    <row r="245" spans="2:5">
      <c r="B245" s="138">
        <v>337</v>
      </c>
      <c r="D245" s="126" t="s">
        <v>229</v>
      </c>
      <c r="E245" s="139" t="s">
        <v>744</v>
      </c>
    </row>
    <row r="246" spans="2:5">
      <c r="B246" s="138">
        <v>338</v>
      </c>
      <c r="D246" s="126" t="s">
        <v>230</v>
      </c>
      <c r="E246" s="139" t="s">
        <v>562</v>
      </c>
    </row>
    <row r="247" spans="2:5">
      <c r="B247" s="138">
        <v>339</v>
      </c>
      <c r="D247" s="126" t="s">
        <v>231</v>
      </c>
      <c r="E247" s="139" t="s">
        <v>745</v>
      </c>
    </row>
    <row r="248" spans="2:5">
      <c r="B248" s="138">
        <v>340</v>
      </c>
      <c r="D248" s="126" t="s">
        <v>232</v>
      </c>
      <c r="E248" s="139" t="s">
        <v>563</v>
      </c>
    </row>
    <row r="249" spans="2:5">
      <c r="B249" s="138">
        <v>341</v>
      </c>
      <c r="D249" s="126" t="s">
        <v>233</v>
      </c>
      <c r="E249" s="139" t="s">
        <v>746</v>
      </c>
    </row>
    <row r="250" spans="2:5">
      <c r="B250" s="138">
        <v>342</v>
      </c>
      <c r="D250" s="126" t="s">
        <v>234</v>
      </c>
      <c r="E250" s="139" t="s">
        <v>564</v>
      </c>
    </row>
    <row r="251" spans="2:5">
      <c r="B251" s="138">
        <v>343</v>
      </c>
      <c r="D251" s="126" t="s">
        <v>235</v>
      </c>
      <c r="E251" s="139" t="s">
        <v>747</v>
      </c>
    </row>
    <row r="252" spans="2:5">
      <c r="B252" s="138">
        <v>344</v>
      </c>
      <c r="D252" s="126" t="s">
        <v>236</v>
      </c>
      <c r="E252" s="139" t="s">
        <v>565</v>
      </c>
    </row>
    <row r="253" spans="2:5">
      <c r="B253" s="138">
        <v>345</v>
      </c>
      <c r="D253" s="126" t="s">
        <v>237</v>
      </c>
      <c r="E253" s="139" t="s">
        <v>748</v>
      </c>
    </row>
    <row r="254" spans="2:5">
      <c r="B254" s="138">
        <v>346</v>
      </c>
      <c r="D254" s="126" t="s">
        <v>238</v>
      </c>
      <c r="E254" s="139" t="s">
        <v>749</v>
      </c>
    </row>
    <row r="255" spans="2:5">
      <c r="B255" s="138">
        <v>347</v>
      </c>
      <c r="D255" s="126" t="s">
        <v>486</v>
      </c>
      <c r="E255" s="139" t="s">
        <v>486</v>
      </c>
    </row>
    <row r="256" spans="2:5">
      <c r="B256" s="138">
        <v>348</v>
      </c>
      <c r="D256" s="126" t="s">
        <v>239</v>
      </c>
      <c r="E256" s="139" t="s">
        <v>566</v>
      </c>
    </row>
    <row r="257" spans="2:5" ht="26.4">
      <c r="B257" s="138">
        <v>349</v>
      </c>
      <c r="D257" s="126" t="s">
        <v>240</v>
      </c>
      <c r="E257" s="139" t="s">
        <v>750</v>
      </c>
    </row>
    <row r="258" spans="2:5">
      <c r="B258" s="138">
        <v>350</v>
      </c>
      <c r="D258" s="126" t="s">
        <v>241</v>
      </c>
      <c r="E258" s="139" t="s">
        <v>751</v>
      </c>
    </row>
    <row r="259" spans="2:5" ht="26.4">
      <c r="B259" s="138">
        <v>351</v>
      </c>
      <c r="D259" s="126" t="s">
        <v>242</v>
      </c>
      <c r="E259" s="139" t="s">
        <v>752</v>
      </c>
    </row>
    <row r="260" spans="2:5" ht="13.8">
      <c r="B260" s="138">
        <v>352</v>
      </c>
      <c r="D260" s="133" t="s">
        <v>953</v>
      </c>
      <c r="E260" s="164" t="s">
        <v>954</v>
      </c>
    </row>
    <row r="261" spans="2:5">
      <c r="B261" s="138">
        <v>353</v>
      </c>
      <c r="D261" s="126" t="s">
        <v>487</v>
      </c>
      <c r="E261" s="139" t="s">
        <v>567</v>
      </c>
    </row>
    <row r="262" spans="2:5">
      <c r="B262" s="138">
        <v>354</v>
      </c>
      <c r="D262" s="126" t="s">
        <v>243</v>
      </c>
      <c r="E262" s="139" t="s">
        <v>753</v>
      </c>
    </row>
    <row r="263" spans="2:5">
      <c r="B263" s="138">
        <v>355</v>
      </c>
      <c r="D263" s="126" t="s">
        <v>488</v>
      </c>
      <c r="E263" s="139" t="s">
        <v>754</v>
      </c>
    </row>
    <row r="264" spans="2:5">
      <c r="B264" s="138">
        <v>356</v>
      </c>
      <c r="D264" s="126" t="s">
        <v>244</v>
      </c>
      <c r="E264" s="139" t="s">
        <v>568</v>
      </c>
    </row>
    <row r="265" spans="2:5">
      <c r="B265" s="138">
        <v>357</v>
      </c>
      <c r="D265" s="126" t="s">
        <v>245</v>
      </c>
      <c r="E265" s="139" t="s">
        <v>569</v>
      </c>
    </row>
    <row r="266" spans="2:5">
      <c r="B266" s="138">
        <v>358</v>
      </c>
      <c r="D266" s="126" t="s">
        <v>246</v>
      </c>
      <c r="E266" s="139" t="s">
        <v>755</v>
      </c>
    </row>
    <row r="267" spans="2:5">
      <c r="B267" s="138">
        <v>359</v>
      </c>
      <c r="D267" s="126" t="s">
        <v>247</v>
      </c>
      <c r="E267" s="139" t="s">
        <v>756</v>
      </c>
    </row>
    <row r="268" spans="2:5">
      <c r="B268" s="138">
        <v>360</v>
      </c>
      <c r="D268" s="126" t="s">
        <v>248</v>
      </c>
      <c r="E268" s="139" t="s">
        <v>757</v>
      </c>
    </row>
    <row r="269" spans="2:5">
      <c r="B269" s="138">
        <v>361</v>
      </c>
      <c r="D269" s="126" t="s">
        <v>249</v>
      </c>
    </row>
    <row r="270" spans="2:5">
      <c r="B270" s="138">
        <v>362</v>
      </c>
      <c r="D270" s="126" t="s">
        <v>489</v>
      </c>
      <c r="E270" s="139" t="s">
        <v>758</v>
      </c>
    </row>
    <row r="271" spans="2:5" ht="26.4">
      <c r="B271" s="138">
        <v>363</v>
      </c>
      <c r="D271" s="126" t="s">
        <v>490</v>
      </c>
      <c r="E271" s="139" t="s">
        <v>759</v>
      </c>
    </row>
    <row r="272" spans="2:5" ht="26.4">
      <c r="B272" s="138">
        <v>364</v>
      </c>
      <c r="D272" s="126" t="s">
        <v>250</v>
      </c>
      <c r="E272" s="139" t="s">
        <v>760</v>
      </c>
    </row>
    <row r="273" spans="2:5">
      <c r="B273" s="138">
        <v>365</v>
      </c>
      <c r="D273" s="126" t="s">
        <v>251</v>
      </c>
      <c r="E273" s="139" t="s">
        <v>761</v>
      </c>
    </row>
    <row r="274" spans="2:5">
      <c r="B274" s="138">
        <v>366</v>
      </c>
      <c r="D274" s="126" t="s">
        <v>252</v>
      </c>
      <c r="E274" s="139" t="s">
        <v>762</v>
      </c>
    </row>
    <row r="275" spans="2:5">
      <c r="B275" s="138">
        <v>367</v>
      </c>
      <c r="D275" s="126" t="s">
        <v>253</v>
      </c>
      <c r="E275" s="139" t="s">
        <v>570</v>
      </c>
    </row>
    <row r="276" spans="2:5">
      <c r="B276" s="138">
        <v>368</v>
      </c>
      <c r="D276" s="126" t="s">
        <v>254</v>
      </c>
      <c r="E276" s="139" t="s">
        <v>571</v>
      </c>
    </row>
    <row r="277" spans="2:5">
      <c r="B277" s="138">
        <v>369</v>
      </c>
      <c r="D277" s="126" t="s">
        <v>255</v>
      </c>
      <c r="E277" s="139" t="s">
        <v>763</v>
      </c>
    </row>
    <row r="278" spans="2:5">
      <c r="B278" s="138">
        <v>370</v>
      </c>
      <c r="D278" s="126" t="s">
        <v>256</v>
      </c>
      <c r="E278" s="139" t="s">
        <v>572</v>
      </c>
    </row>
    <row r="279" spans="2:5">
      <c r="B279" s="138">
        <v>371</v>
      </c>
      <c r="D279" s="126" t="s">
        <v>257</v>
      </c>
      <c r="E279" s="139" t="s">
        <v>764</v>
      </c>
    </row>
    <row r="280" spans="2:5">
      <c r="B280" s="138">
        <v>372</v>
      </c>
      <c r="D280" s="126" t="s">
        <v>258</v>
      </c>
      <c r="E280" s="139" t="s">
        <v>573</v>
      </c>
    </row>
    <row r="281" spans="2:5">
      <c r="B281" s="138">
        <v>373</v>
      </c>
      <c r="D281" s="126" t="s">
        <v>259</v>
      </c>
      <c r="E281" s="139" t="s">
        <v>574</v>
      </c>
    </row>
    <row r="282" spans="2:5">
      <c r="B282" s="138">
        <v>374</v>
      </c>
      <c r="D282" s="126" t="s">
        <v>260</v>
      </c>
      <c r="E282" s="139" t="s">
        <v>765</v>
      </c>
    </row>
    <row r="283" spans="2:5">
      <c r="B283" s="138">
        <v>375</v>
      </c>
      <c r="D283" s="126" t="s">
        <v>261</v>
      </c>
      <c r="E283" s="139" t="s">
        <v>766</v>
      </c>
    </row>
    <row r="284" spans="2:5">
      <c r="B284" s="138">
        <v>376</v>
      </c>
      <c r="D284" s="126" t="s">
        <v>262</v>
      </c>
      <c r="E284" s="139" t="s">
        <v>767</v>
      </c>
    </row>
    <row r="285" spans="2:5">
      <c r="B285" s="138">
        <v>377</v>
      </c>
      <c r="D285" s="126" t="s">
        <v>263</v>
      </c>
      <c r="E285" s="139" t="s">
        <v>768</v>
      </c>
    </row>
    <row r="286" spans="2:5">
      <c r="B286" s="138">
        <v>378</v>
      </c>
      <c r="D286" s="126" t="s">
        <v>264</v>
      </c>
      <c r="E286" s="139" t="s">
        <v>575</v>
      </c>
    </row>
    <row r="287" spans="2:5">
      <c r="B287" s="138">
        <v>379</v>
      </c>
      <c r="D287" s="126" t="s">
        <v>265</v>
      </c>
      <c r="E287" s="139" t="s">
        <v>955</v>
      </c>
    </row>
    <row r="288" spans="2:5">
      <c r="B288" s="138">
        <v>380</v>
      </c>
      <c r="D288" s="126" t="s">
        <v>266</v>
      </c>
      <c r="E288" s="139" t="s">
        <v>769</v>
      </c>
    </row>
    <row r="289" spans="2:5">
      <c r="B289" s="138">
        <v>381</v>
      </c>
      <c r="D289" s="126" t="s">
        <v>267</v>
      </c>
      <c r="E289" s="139" t="s">
        <v>576</v>
      </c>
    </row>
    <row r="290" spans="2:5" ht="39.6">
      <c r="B290" s="138">
        <v>382</v>
      </c>
      <c r="D290" s="126" t="s">
        <v>268</v>
      </c>
      <c r="E290" s="139" t="s">
        <v>770</v>
      </c>
    </row>
    <row r="291" spans="2:5">
      <c r="B291" s="138">
        <v>383</v>
      </c>
      <c r="D291" s="126" t="s">
        <v>269</v>
      </c>
      <c r="E291" s="139" t="s">
        <v>771</v>
      </c>
    </row>
    <row r="292" spans="2:5" ht="26.4">
      <c r="B292" s="138">
        <v>384</v>
      </c>
      <c r="D292" s="126" t="s">
        <v>270</v>
      </c>
      <c r="E292" s="139" t="s">
        <v>772</v>
      </c>
    </row>
    <row r="293" spans="2:5">
      <c r="B293" s="138">
        <v>385</v>
      </c>
      <c r="D293" s="126" t="s">
        <v>271</v>
      </c>
      <c r="E293" s="139" t="s">
        <v>773</v>
      </c>
    </row>
    <row r="294" spans="2:5" ht="26.4">
      <c r="B294" s="138">
        <v>386</v>
      </c>
      <c r="D294" s="126" t="s">
        <v>272</v>
      </c>
      <c r="E294" s="139" t="s">
        <v>774</v>
      </c>
    </row>
    <row r="295" spans="2:5" ht="26.4">
      <c r="B295" s="138">
        <v>387</v>
      </c>
      <c r="D295" s="126" t="s">
        <v>273</v>
      </c>
      <c r="E295" s="139" t="s">
        <v>775</v>
      </c>
    </row>
    <row r="296" spans="2:5" ht="26.4">
      <c r="B296" s="138">
        <v>388</v>
      </c>
      <c r="D296" s="126" t="s">
        <v>274</v>
      </c>
      <c r="E296" s="139" t="s">
        <v>776</v>
      </c>
    </row>
    <row r="297" spans="2:5" ht="26.4">
      <c r="B297" s="138">
        <v>389</v>
      </c>
      <c r="D297" s="126" t="s">
        <v>275</v>
      </c>
      <c r="E297" s="139" t="s">
        <v>777</v>
      </c>
    </row>
    <row r="298" spans="2:5" ht="26.4">
      <c r="B298" s="138">
        <v>390</v>
      </c>
      <c r="D298" s="126" t="s">
        <v>276</v>
      </c>
      <c r="E298" s="139" t="s">
        <v>778</v>
      </c>
    </row>
    <row r="299" spans="2:5" ht="26.4">
      <c r="B299" s="138">
        <v>391</v>
      </c>
      <c r="D299" s="126" t="s">
        <v>277</v>
      </c>
      <c r="E299" s="139" t="s">
        <v>779</v>
      </c>
    </row>
    <row r="300" spans="2:5" ht="26.4">
      <c r="B300" s="138">
        <v>392</v>
      </c>
      <c r="D300" s="126" t="s">
        <v>278</v>
      </c>
      <c r="E300" s="139" t="s">
        <v>780</v>
      </c>
    </row>
    <row r="301" spans="2:5" ht="26.4">
      <c r="B301" s="138">
        <v>393</v>
      </c>
      <c r="D301" s="126" t="s">
        <v>279</v>
      </c>
      <c r="E301" s="139" t="s">
        <v>781</v>
      </c>
    </row>
    <row r="302" spans="2:5" ht="26.4">
      <c r="B302" s="138">
        <v>394</v>
      </c>
      <c r="D302" s="126" t="s">
        <v>280</v>
      </c>
      <c r="E302" s="139" t="s">
        <v>782</v>
      </c>
    </row>
    <row r="303" spans="2:5" ht="26.4">
      <c r="B303" s="138">
        <v>395</v>
      </c>
      <c r="D303" s="126" t="s">
        <v>281</v>
      </c>
      <c r="E303" s="139" t="s">
        <v>783</v>
      </c>
    </row>
    <row r="304" spans="2:5" ht="26.4">
      <c r="B304" s="138">
        <v>396</v>
      </c>
      <c r="D304" s="126" t="s">
        <v>282</v>
      </c>
      <c r="E304" s="139" t="s">
        <v>784</v>
      </c>
    </row>
    <row r="305" spans="2:5" ht="26.4">
      <c r="B305" s="138">
        <v>397</v>
      </c>
      <c r="D305" s="126" t="s">
        <v>283</v>
      </c>
      <c r="E305" s="139" t="s">
        <v>785</v>
      </c>
    </row>
    <row r="306" spans="2:5" ht="26.4">
      <c r="B306" s="138">
        <v>398</v>
      </c>
      <c r="D306" s="126" t="s">
        <v>284</v>
      </c>
      <c r="E306" s="139" t="s">
        <v>786</v>
      </c>
    </row>
    <row r="307" spans="2:5" ht="26.4">
      <c r="B307" s="138">
        <v>399</v>
      </c>
      <c r="D307" s="126" t="s">
        <v>285</v>
      </c>
      <c r="E307" s="139" t="s">
        <v>787</v>
      </c>
    </row>
    <row r="308" spans="2:5" ht="26.4">
      <c r="B308" s="138">
        <v>400</v>
      </c>
      <c r="D308" s="126" t="s">
        <v>286</v>
      </c>
      <c r="E308" s="139" t="s">
        <v>788</v>
      </c>
    </row>
    <row r="309" spans="2:5" ht="26.4">
      <c r="B309" s="138">
        <v>401</v>
      </c>
      <c r="D309" s="126" t="s">
        <v>287</v>
      </c>
      <c r="E309" s="139" t="s">
        <v>789</v>
      </c>
    </row>
    <row r="310" spans="2:5" ht="26.4">
      <c r="B310" s="138">
        <v>402</v>
      </c>
      <c r="D310" s="126" t="s">
        <v>288</v>
      </c>
      <c r="E310" s="139" t="s">
        <v>790</v>
      </c>
    </row>
    <row r="311" spans="2:5" ht="26.4">
      <c r="B311" s="138">
        <v>403</v>
      </c>
      <c r="D311" s="126" t="s">
        <v>289</v>
      </c>
      <c r="E311" s="139" t="s">
        <v>791</v>
      </c>
    </row>
    <row r="312" spans="2:5" ht="26.4">
      <c r="B312" s="138">
        <v>404</v>
      </c>
      <c r="D312" s="126" t="s">
        <v>290</v>
      </c>
      <c r="E312" s="139" t="s">
        <v>792</v>
      </c>
    </row>
    <row r="313" spans="2:5">
      <c r="B313" s="138">
        <v>405</v>
      </c>
      <c r="D313" s="126" t="s">
        <v>491</v>
      </c>
      <c r="E313" s="139" t="s">
        <v>793</v>
      </c>
    </row>
    <row r="314" spans="2:5">
      <c r="B314" s="138">
        <v>406</v>
      </c>
      <c r="D314" s="126" t="s">
        <v>492</v>
      </c>
      <c r="E314" s="139" t="s">
        <v>793</v>
      </c>
    </row>
    <row r="315" spans="2:5">
      <c r="B315" s="138">
        <v>407</v>
      </c>
      <c r="D315" s="126" t="s">
        <v>291</v>
      </c>
      <c r="E315" s="139" t="s">
        <v>794</v>
      </c>
    </row>
    <row r="316" spans="2:5" ht="26.4">
      <c r="B316" s="138">
        <v>408</v>
      </c>
      <c r="D316" s="126" t="s">
        <v>292</v>
      </c>
      <c r="E316" s="139" t="s">
        <v>795</v>
      </c>
    </row>
    <row r="317" spans="2:5">
      <c r="B317" s="138">
        <v>409</v>
      </c>
      <c r="D317" s="126" t="s">
        <v>293</v>
      </c>
      <c r="E317" s="139" t="s">
        <v>796</v>
      </c>
    </row>
    <row r="318" spans="2:5" ht="26.4">
      <c r="B318" s="138">
        <v>410</v>
      </c>
      <c r="D318" s="126" t="s">
        <v>294</v>
      </c>
      <c r="E318" s="139" t="s">
        <v>797</v>
      </c>
    </row>
    <row r="319" spans="2:5">
      <c r="B319" s="138">
        <v>411</v>
      </c>
      <c r="D319" s="126" t="s">
        <v>493</v>
      </c>
      <c r="E319" s="139" t="s">
        <v>798</v>
      </c>
    </row>
    <row r="320" spans="2:5" ht="26.4">
      <c r="B320" s="138">
        <v>412</v>
      </c>
      <c r="D320" s="126" t="s">
        <v>494</v>
      </c>
      <c r="E320" s="139" t="s">
        <v>799</v>
      </c>
    </row>
    <row r="321" spans="1:6">
      <c r="B321" s="138">
        <v>413</v>
      </c>
      <c r="D321" s="126" t="s">
        <v>295</v>
      </c>
      <c r="E321" s="139" t="s">
        <v>800</v>
      </c>
    </row>
    <row r="322" spans="1:6" ht="26.4">
      <c r="B322" s="138">
        <v>414</v>
      </c>
      <c r="D322" s="126" t="s">
        <v>296</v>
      </c>
      <c r="E322" s="139" t="s">
        <v>801</v>
      </c>
    </row>
    <row r="323" spans="1:6">
      <c r="B323" s="138">
        <v>415</v>
      </c>
      <c r="D323" s="126" t="s">
        <v>297</v>
      </c>
      <c r="E323" s="139" t="s">
        <v>802</v>
      </c>
    </row>
    <row r="324" spans="1:6" ht="39.6">
      <c r="B324" s="138">
        <v>416</v>
      </c>
      <c r="D324" s="126" t="s">
        <v>298</v>
      </c>
      <c r="E324" s="139" t="s">
        <v>803</v>
      </c>
    </row>
    <row r="325" spans="1:6">
      <c r="B325" s="138">
        <v>417</v>
      </c>
      <c r="D325" s="126" t="s">
        <v>299</v>
      </c>
      <c r="E325" s="139" t="s">
        <v>804</v>
      </c>
    </row>
    <row r="326" spans="1:6" ht="26.4">
      <c r="B326" s="138">
        <v>418</v>
      </c>
      <c r="D326" s="126" t="s">
        <v>300</v>
      </c>
      <c r="E326" s="139" t="s">
        <v>805</v>
      </c>
    </row>
    <row r="327" spans="1:6" ht="26.4">
      <c r="B327" s="138">
        <v>419</v>
      </c>
      <c r="D327" s="126" t="s">
        <v>301</v>
      </c>
      <c r="E327" s="139" t="s">
        <v>806</v>
      </c>
    </row>
    <row r="328" spans="1:6" ht="26.4">
      <c r="B328" s="138">
        <v>420</v>
      </c>
      <c r="D328" s="126" t="s">
        <v>302</v>
      </c>
      <c r="E328" s="139" t="s">
        <v>807</v>
      </c>
    </row>
    <row r="329" spans="1:6">
      <c r="B329" s="138">
        <v>421</v>
      </c>
      <c r="D329" s="126" t="s">
        <v>303</v>
      </c>
      <c r="E329" s="139" t="s">
        <v>808</v>
      </c>
    </row>
    <row r="330" spans="1:6">
      <c r="B330" s="138">
        <v>422</v>
      </c>
      <c r="D330" s="126" t="s">
        <v>304</v>
      </c>
      <c r="E330" s="139" t="s">
        <v>809</v>
      </c>
    </row>
    <row r="331" spans="1:6">
      <c r="B331" s="138">
        <v>423</v>
      </c>
      <c r="D331" s="126" t="s">
        <v>305</v>
      </c>
      <c r="E331" s="139" t="s">
        <v>810</v>
      </c>
    </row>
    <row r="332" spans="1:6">
      <c r="B332" s="138">
        <v>424</v>
      </c>
      <c r="D332" s="126" t="s">
        <v>306</v>
      </c>
      <c r="E332" s="139" t="s">
        <v>811</v>
      </c>
    </row>
    <row r="333" spans="1:6">
      <c r="B333" s="138">
        <v>425</v>
      </c>
      <c r="D333" s="126" t="s">
        <v>307</v>
      </c>
      <c r="E333" s="139" t="s">
        <v>812</v>
      </c>
    </row>
    <row r="334" spans="1:6">
      <c r="B334" s="138">
        <v>426</v>
      </c>
      <c r="D334" s="126" t="s">
        <v>308</v>
      </c>
      <c r="E334" s="139" t="s">
        <v>813</v>
      </c>
    </row>
    <row r="335" spans="1:6">
      <c r="B335" s="138">
        <v>427</v>
      </c>
      <c r="D335" s="126" t="s">
        <v>495</v>
      </c>
      <c r="E335" s="139" t="s">
        <v>814</v>
      </c>
    </row>
    <row r="336" spans="1:6" ht="43.2">
      <c r="A336" s="133"/>
      <c r="B336" s="138">
        <v>428</v>
      </c>
      <c r="C336" s="136" t="s">
        <v>920</v>
      </c>
      <c r="D336" s="133" t="s">
        <v>956</v>
      </c>
      <c r="E336" s="133" t="s">
        <v>957</v>
      </c>
      <c r="F336" s="134"/>
    </row>
    <row r="337" spans="2:5" ht="39.6">
      <c r="B337" s="138">
        <v>429</v>
      </c>
      <c r="D337" s="126" t="s">
        <v>309</v>
      </c>
      <c r="E337" s="139" t="s">
        <v>815</v>
      </c>
    </row>
    <row r="338" spans="2:5">
      <c r="B338" s="138">
        <v>430</v>
      </c>
      <c r="D338" s="126" t="s">
        <v>310</v>
      </c>
      <c r="E338" s="139" t="s">
        <v>816</v>
      </c>
    </row>
    <row r="339" spans="2:5">
      <c r="B339" s="138">
        <v>431</v>
      </c>
      <c r="D339" s="126" t="s">
        <v>311</v>
      </c>
      <c r="E339" s="139" t="s">
        <v>817</v>
      </c>
    </row>
    <row r="340" spans="2:5">
      <c r="B340" s="138">
        <v>432</v>
      </c>
      <c r="D340" s="126" t="s">
        <v>312</v>
      </c>
      <c r="E340" s="139" t="s">
        <v>818</v>
      </c>
    </row>
    <row r="341" spans="2:5" ht="26.4">
      <c r="B341" s="138">
        <v>433</v>
      </c>
      <c r="D341" s="126" t="s">
        <v>313</v>
      </c>
      <c r="E341" s="139" t="s">
        <v>819</v>
      </c>
    </row>
    <row r="342" spans="2:5">
      <c r="B342" s="138">
        <v>434</v>
      </c>
      <c r="D342" s="126" t="s">
        <v>314</v>
      </c>
      <c r="E342" s="139" t="s">
        <v>820</v>
      </c>
    </row>
    <row r="343" spans="2:5">
      <c r="B343" s="138">
        <v>435</v>
      </c>
      <c r="D343" s="126" t="s">
        <v>315</v>
      </c>
      <c r="E343" s="139" t="s">
        <v>821</v>
      </c>
    </row>
    <row r="344" spans="2:5">
      <c r="B344" s="138">
        <v>436</v>
      </c>
      <c r="D344" s="126" t="s">
        <v>316</v>
      </c>
      <c r="E344" s="139" t="s">
        <v>822</v>
      </c>
    </row>
    <row r="345" spans="2:5">
      <c r="B345" s="138">
        <v>437</v>
      </c>
      <c r="D345" s="126" t="s">
        <v>317</v>
      </c>
      <c r="E345" s="139" t="s">
        <v>823</v>
      </c>
    </row>
    <row r="346" spans="2:5">
      <c r="B346" s="138">
        <v>438</v>
      </c>
      <c r="D346" s="126" t="s">
        <v>496</v>
      </c>
      <c r="E346" s="139" t="s">
        <v>824</v>
      </c>
    </row>
    <row r="347" spans="2:5">
      <c r="B347" s="138">
        <v>439</v>
      </c>
      <c r="D347" s="126" t="s">
        <v>318</v>
      </c>
      <c r="E347" s="139" t="s">
        <v>825</v>
      </c>
    </row>
    <row r="348" spans="2:5">
      <c r="B348" s="138">
        <v>440</v>
      </c>
      <c r="D348" s="126" t="s">
        <v>497</v>
      </c>
      <c r="E348" s="139" t="s">
        <v>826</v>
      </c>
    </row>
    <row r="349" spans="2:5" ht="26.4">
      <c r="B349" s="138">
        <v>441</v>
      </c>
      <c r="D349" s="126" t="s">
        <v>319</v>
      </c>
      <c r="E349" s="139" t="s">
        <v>827</v>
      </c>
    </row>
    <row r="350" spans="2:5">
      <c r="B350" s="138">
        <v>442</v>
      </c>
      <c r="D350" s="126" t="s">
        <v>320</v>
      </c>
      <c r="E350" s="139" t="s">
        <v>828</v>
      </c>
    </row>
    <row r="351" spans="2:5">
      <c r="B351" s="138">
        <v>443</v>
      </c>
      <c r="D351" s="126" t="s">
        <v>321</v>
      </c>
      <c r="E351" s="139" t="s">
        <v>829</v>
      </c>
    </row>
    <row r="352" spans="2:5">
      <c r="B352" s="138">
        <v>444</v>
      </c>
      <c r="D352" s="126" t="s">
        <v>322</v>
      </c>
      <c r="E352" s="139" t="s">
        <v>830</v>
      </c>
    </row>
    <row r="353" spans="2:5" ht="39.6">
      <c r="B353" s="138">
        <v>445</v>
      </c>
      <c r="D353" s="126" t="s">
        <v>389</v>
      </c>
      <c r="E353" s="139" t="s">
        <v>831</v>
      </c>
    </row>
    <row r="354" spans="2:5">
      <c r="B354" s="138">
        <v>446</v>
      </c>
      <c r="D354" s="126" t="s">
        <v>323</v>
      </c>
      <c r="E354" s="139" t="s">
        <v>832</v>
      </c>
    </row>
    <row r="355" spans="2:5">
      <c r="B355" s="138">
        <v>447</v>
      </c>
      <c r="D355" s="126" t="s">
        <v>324</v>
      </c>
      <c r="E355" s="139" t="s">
        <v>833</v>
      </c>
    </row>
    <row r="356" spans="2:5">
      <c r="B356" s="138">
        <v>448</v>
      </c>
      <c r="D356" s="126" t="s">
        <v>325</v>
      </c>
      <c r="E356" s="139" t="s">
        <v>834</v>
      </c>
    </row>
    <row r="357" spans="2:5">
      <c r="B357" s="138">
        <v>449</v>
      </c>
      <c r="D357" s="126" t="s">
        <v>326</v>
      </c>
      <c r="E357" s="139" t="s">
        <v>835</v>
      </c>
    </row>
    <row r="358" spans="2:5">
      <c r="B358" s="138">
        <v>450</v>
      </c>
      <c r="D358" s="126" t="s">
        <v>327</v>
      </c>
      <c r="E358" s="139" t="s">
        <v>836</v>
      </c>
    </row>
    <row r="359" spans="2:5" ht="26.4">
      <c r="B359" s="138">
        <v>451</v>
      </c>
      <c r="D359" s="126" t="s">
        <v>328</v>
      </c>
      <c r="E359" s="139" t="s">
        <v>837</v>
      </c>
    </row>
    <row r="360" spans="2:5">
      <c r="B360" s="138">
        <v>452</v>
      </c>
      <c r="D360" s="126" t="s">
        <v>329</v>
      </c>
      <c r="E360" s="139" t="s">
        <v>838</v>
      </c>
    </row>
    <row r="361" spans="2:5">
      <c r="B361" s="138">
        <v>453</v>
      </c>
      <c r="D361" s="126" t="s">
        <v>330</v>
      </c>
      <c r="E361" s="139" t="s">
        <v>839</v>
      </c>
    </row>
    <row r="362" spans="2:5">
      <c r="B362" s="138">
        <v>454</v>
      </c>
      <c r="D362" s="126" t="s">
        <v>331</v>
      </c>
      <c r="E362" s="139" t="s">
        <v>840</v>
      </c>
    </row>
    <row r="363" spans="2:5" ht="26.4">
      <c r="B363" s="138">
        <v>455</v>
      </c>
      <c r="D363" s="126" t="s">
        <v>498</v>
      </c>
      <c r="E363" s="139" t="s">
        <v>841</v>
      </c>
    </row>
    <row r="364" spans="2:5">
      <c r="B364" s="138">
        <v>456</v>
      </c>
      <c r="D364" s="126" t="s">
        <v>332</v>
      </c>
      <c r="E364" s="139" t="s">
        <v>577</v>
      </c>
    </row>
    <row r="365" spans="2:5">
      <c r="B365" s="138">
        <v>457</v>
      </c>
      <c r="D365" s="126" t="s">
        <v>333</v>
      </c>
      <c r="E365" s="139" t="s">
        <v>842</v>
      </c>
    </row>
    <row r="366" spans="2:5">
      <c r="B366" s="138">
        <v>458</v>
      </c>
      <c r="D366" s="126" t="s">
        <v>334</v>
      </c>
      <c r="E366" s="139" t="s">
        <v>843</v>
      </c>
    </row>
    <row r="367" spans="2:5">
      <c r="B367" s="138">
        <v>459</v>
      </c>
      <c r="D367" s="126" t="s">
        <v>499</v>
      </c>
      <c r="E367" s="139" t="s">
        <v>844</v>
      </c>
    </row>
    <row r="368" spans="2:5" ht="26.4">
      <c r="B368" s="138">
        <v>460</v>
      </c>
      <c r="D368" s="126" t="s">
        <v>500</v>
      </c>
      <c r="E368" s="139" t="s">
        <v>845</v>
      </c>
    </row>
    <row r="369" spans="1:6">
      <c r="B369" s="138">
        <v>461</v>
      </c>
      <c r="D369" s="126" t="s">
        <v>335</v>
      </c>
      <c r="E369" s="139" t="s">
        <v>578</v>
      </c>
    </row>
    <row r="370" spans="1:6">
      <c r="B370" s="138">
        <v>462</v>
      </c>
      <c r="D370" s="126" t="s">
        <v>336</v>
      </c>
      <c r="E370" s="139" t="s">
        <v>846</v>
      </c>
    </row>
    <row r="371" spans="1:6">
      <c r="B371" s="138">
        <v>463</v>
      </c>
      <c r="D371" s="126" t="s">
        <v>337</v>
      </c>
      <c r="E371" s="139" t="s">
        <v>847</v>
      </c>
    </row>
    <row r="372" spans="1:6" ht="39.6">
      <c r="B372" s="138">
        <v>464</v>
      </c>
      <c r="D372" s="126" t="s">
        <v>338</v>
      </c>
      <c r="E372" s="139" t="s">
        <v>848</v>
      </c>
    </row>
    <row r="373" spans="1:6">
      <c r="B373" s="138">
        <v>465</v>
      </c>
      <c r="D373" s="126" t="s">
        <v>339</v>
      </c>
      <c r="E373" s="139" t="s">
        <v>849</v>
      </c>
    </row>
    <row r="374" spans="1:6">
      <c r="A374" s="128"/>
      <c r="B374" s="138">
        <v>466</v>
      </c>
      <c r="C374" s="137" t="s">
        <v>509</v>
      </c>
      <c r="D374" s="127" t="s">
        <v>900</v>
      </c>
      <c r="E374" s="127" t="s">
        <v>958</v>
      </c>
      <c r="F374" s="129"/>
    </row>
    <row r="375" spans="1:6">
      <c r="A375" s="128"/>
      <c r="B375" s="138">
        <v>467</v>
      </c>
      <c r="C375" s="137" t="s">
        <v>509</v>
      </c>
      <c r="D375" s="127" t="s">
        <v>959</v>
      </c>
      <c r="E375" s="127" t="s">
        <v>901</v>
      </c>
      <c r="F375" s="129"/>
    </row>
    <row r="376" spans="1:6" ht="14.4">
      <c r="B376" s="138">
        <v>468</v>
      </c>
      <c r="D376" s="126" t="s">
        <v>340</v>
      </c>
      <c r="E376" s="165" t="s">
        <v>907</v>
      </c>
    </row>
    <row r="377" spans="1:6">
      <c r="B377" s="138">
        <v>469</v>
      </c>
      <c r="D377" s="126" t="s">
        <v>341</v>
      </c>
      <c r="E377" s="139" t="s">
        <v>850</v>
      </c>
    </row>
    <row r="378" spans="1:6">
      <c r="B378" s="138">
        <v>470</v>
      </c>
      <c r="D378" s="126" t="s">
        <v>342</v>
      </c>
      <c r="E378" s="139" t="s">
        <v>579</v>
      </c>
    </row>
    <row r="379" spans="1:6" ht="26.4">
      <c r="B379" s="138">
        <v>471</v>
      </c>
      <c r="D379" s="126" t="s">
        <v>343</v>
      </c>
      <c r="E379" s="139" t="s">
        <v>851</v>
      </c>
    </row>
    <row r="380" spans="1:6">
      <c r="B380" s="138">
        <v>472</v>
      </c>
      <c r="D380" s="126" t="s">
        <v>344</v>
      </c>
      <c r="E380" s="139" t="s">
        <v>580</v>
      </c>
    </row>
    <row r="381" spans="1:6" ht="26.4">
      <c r="B381" s="138">
        <v>473</v>
      </c>
      <c r="D381" s="126" t="s">
        <v>345</v>
      </c>
      <c r="E381" s="139" t="s">
        <v>852</v>
      </c>
    </row>
    <row r="382" spans="1:6">
      <c r="B382" s="138">
        <v>474</v>
      </c>
      <c r="D382" s="126" t="s">
        <v>346</v>
      </c>
      <c r="E382" s="139" t="s">
        <v>581</v>
      </c>
    </row>
    <row r="383" spans="1:6">
      <c r="B383" s="138">
        <v>475</v>
      </c>
      <c r="D383" s="126" t="s">
        <v>347</v>
      </c>
      <c r="E383" s="139" t="s">
        <v>853</v>
      </c>
    </row>
    <row r="384" spans="1:6">
      <c r="B384" s="138">
        <v>476</v>
      </c>
      <c r="D384" s="126" t="s">
        <v>348</v>
      </c>
      <c r="E384" s="139" t="s">
        <v>854</v>
      </c>
    </row>
    <row r="385" spans="2:5">
      <c r="B385" s="138">
        <v>477</v>
      </c>
      <c r="D385" s="126" t="s">
        <v>349</v>
      </c>
      <c r="E385" s="139" t="s">
        <v>855</v>
      </c>
    </row>
    <row r="386" spans="2:5">
      <c r="B386" s="138">
        <v>478</v>
      </c>
      <c r="D386" s="126" t="s">
        <v>350</v>
      </c>
      <c r="E386" s="139" t="s">
        <v>856</v>
      </c>
    </row>
    <row r="387" spans="2:5">
      <c r="B387" s="138">
        <v>479</v>
      </c>
      <c r="D387" s="126" t="s">
        <v>351</v>
      </c>
      <c r="E387" s="139" t="s">
        <v>857</v>
      </c>
    </row>
    <row r="388" spans="2:5">
      <c r="B388" s="138">
        <v>480</v>
      </c>
      <c r="D388" s="126" t="s">
        <v>352</v>
      </c>
      <c r="E388" s="139" t="s">
        <v>352</v>
      </c>
    </row>
    <row r="389" spans="2:5">
      <c r="B389" s="138">
        <v>481</v>
      </c>
      <c r="D389" s="126" t="s">
        <v>501</v>
      </c>
      <c r="E389" s="139" t="s">
        <v>858</v>
      </c>
    </row>
    <row r="390" spans="2:5" ht="26.4">
      <c r="B390" s="138">
        <v>482</v>
      </c>
      <c r="D390" s="126" t="s">
        <v>353</v>
      </c>
      <c r="E390" s="139" t="s">
        <v>859</v>
      </c>
    </row>
    <row r="391" spans="2:5">
      <c r="B391" s="138">
        <v>483</v>
      </c>
      <c r="D391" s="126" t="s">
        <v>354</v>
      </c>
      <c r="E391" s="139" t="s">
        <v>354</v>
      </c>
    </row>
    <row r="392" spans="2:5">
      <c r="B392" s="138">
        <v>484</v>
      </c>
      <c r="D392" s="126" t="s">
        <v>502</v>
      </c>
    </row>
    <row r="393" spans="2:5">
      <c r="B393" s="138">
        <v>485</v>
      </c>
      <c r="D393" s="126" t="s">
        <v>355</v>
      </c>
      <c r="E393" s="139" t="s">
        <v>582</v>
      </c>
    </row>
    <row r="394" spans="2:5">
      <c r="B394" s="138">
        <v>486</v>
      </c>
      <c r="D394" s="126" t="s">
        <v>503</v>
      </c>
      <c r="E394" s="139" t="s">
        <v>583</v>
      </c>
    </row>
    <row r="395" spans="2:5">
      <c r="B395" s="138">
        <v>487</v>
      </c>
      <c r="D395" s="126" t="s">
        <v>504</v>
      </c>
      <c r="E395" s="139" t="s">
        <v>584</v>
      </c>
    </row>
    <row r="396" spans="2:5">
      <c r="B396" s="138">
        <v>488</v>
      </c>
      <c r="D396" s="126" t="s">
        <v>505</v>
      </c>
      <c r="E396" s="139" t="s">
        <v>583</v>
      </c>
    </row>
    <row r="397" spans="2:5">
      <c r="B397" s="138">
        <v>489</v>
      </c>
      <c r="D397" s="126" t="s">
        <v>356</v>
      </c>
      <c r="E397" s="139" t="s">
        <v>585</v>
      </c>
    </row>
    <row r="398" spans="2:5">
      <c r="B398" s="138">
        <v>490</v>
      </c>
      <c r="D398" s="126" t="s">
        <v>357</v>
      </c>
      <c r="E398" s="139" t="s">
        <v>860</v>
      </c>
    </row>
    <row r="399" spans="2:5">
      <c r="B399" s="138">
        <v>491</v>
      </c>
      <c r="D399" s="126" t="s">
        <v>358</v>
      </c>
      <c r="E399" s="139" t="s">
        <v>861</v>
      </c>
    </row>
    <row r="400" spans="2:5">
      <c r="B400" s="138">
        <v>492</v>
      </c>
      <c r="D400" s="126" t="s">
        <v>359</v>
      </c>
      <c r="E400" s="139" t="s">
        <v>586</v>
      </c>
    </row>
    <row r="401" spans="1:6">
      <c r="B401" s="138">
        <v>493</v>
      </c>
      <c r="D401" s="126" t="s">
        <v>360</v>
      </c>
    </row>
    <row r="402" spans="1:6">
      <c r="B402" s="138">
        <v>494</v>
      </c>
      <c r="D402" s="126" t="s">
        <v>361</v>
      </c>
    </row>
    <row r="403" spans="1:6">
      <c r="B403" s="138">
        <v>495</v>
      </c>
      <c r="D403" s="126" t="s">
        <v>362</v>
      </c>
      <c r="E403" s="139" t="s">
        <v>862</v>
      </c>
    </row>
    <row r="404" spans="1:6">
      <c r="B404" s="138">
        <v>496</v>
      </c>
      <c r="D404" s="126" t="s">
        <v>506</v>
      </c>
      <c r="E404" s="139" t="s">
        <v>863</v>
      </c>
    </row>
    <row r="405" spans="1:6">
      <c r="B405" s="138">
        <v>497</v>
      </c>
      <c r="D405" s="126" t="s">
        <v>363</v>
      </c>
      <c r="E405" s="139" t="s">
        <v>864</v>
      </c>
    </row>
    <row r="406" spans="1:6">
      <c r="B406" s="138">
        <v>498</v>
      </c>
      <c r="D406" s="126" t="s">
        <v>429</v>
      </c>
      <c r="E406" s="139" t="s">
        <v>865</v>
      </c>
    </row>
    <row r="407" spans="1:6">
      <c r="B407" s="138">
        <v>499</v>
      </c>
      <c r="D407" s="126" t="s">
        <v>364</v>
      </c>
      <c r="E407" s="139" t="s">
        <v>864</v>
      </c>
    </row>
    <row r="408" spans="1:6" ht="28.8">
      <c r="A408" s="133"/>
      <c r="B408" s="138">
        <v>500</v>
      </c>
      <c r="C408" s="133"/>
      <c r="D408" s="133" t="s">
        <v>960</v>
      </c>
      <c r="E408" s="133" t="s">
        <v>961</v>
      </c>
      <c r="F408" s="134"/>
    </row>
    <row r="409" spans="1:6">
      <c r="B409" s="138">
        <v>501</v>
      </c>
      <c r="D409" s="126" t="s">
        <v>365</v>
      </c>
      <c r="E409" s="139" t="s">
        <v>365</v>
      </c>
    </row>
    <row r="410" spans="1:6">
      <c r="B410" s="138">
        <v>502</v>
      </c>
      <c r="D410" s="126" t="s">
        <v>366</v>
      </c>
      <c r="E410" s="139" t="s">
        <v>866</v>
      </c>
    </row>
    <row r="411" spans="1:6">
      <c r="B411" s="138">
        <v>503</v>
      </c>
      <c r="D411" s="126" t="s">
        <v>367</v>
      </c>
      <c r="E411" s="139" t="s">
        <v>867</v>
      </c>
    </row>
    <row r="412" spans="1:6">
      <c r="B412" s="138">
        <v>504</v>
      </c>
      <c r="D412" s="126" t="s">
        <v>507</v>
      </c>
      <c r="E412" s="139" t="s">
        <v>868</v>
      </c>
    </row>
    <row r="413" spans="1:6">
      <c r="B413" s="138">
        <v>505</v>
      </c>
      <c r="D413" s="126" t="s">
        <v>368</v>
      </c>
      <c r="E413" s="139" t="s">
        <v>869</v>
      </c>
    </row>
    <row r="414" spans="1:6">
      <c r="B414" s="138">
        <v>506</v>
      </c>
      <c r="D414" s="126" t="s">
        <v>369</v>
      </c>
      <c r="E414" s="139" t="s">
        <v>870</v>
      </c>
    </row>
    <row r="415" spans="1:6">
      <c r="B415" s="138">
        <v>507</v>
      </c>
      <c r="D415" s="126" t="s">
        <v>370</v>
      </c>
      <c r="E415" s="139" t="s">
        <v>871</v>
      </c>
    </row>
    <row r="416" spans="1:6">
      <c r="B416" s="138">
        <v>508</v>
      </c>
      <c r="D416" s="126" t="s">
        <v>508</v>
      </c>
      <c r="E416" s="139" t="s">
        <v>872</v>
      </c>
    </row>
    <row r="417" spans="1:6" ht="26.4">
      <c r="B417" s="138">
        <v>509</v>
      </c>
      <c r="D417" s="126" t="s">
        <v>371</v>
      </c>
      <c r="E417" s="139" t="s">
        <v>873</v>
      </c>
    </row>
    <row r="418" spans="1:6">
      <c r="B418" s="138">
        <v>510</v>
      </c>
      <c r="D418" s="126" t="s">
        <v>372</v>
      </c>
      <c r="E418" s="139" t="s">
        <v>871</v>
      </c>
    </row>
    <row r="419" spans="1:6">
      <c r="B419" s="138">
        <v>511</v>
      </c>
      <c r="D419" s="126" t="s">
        <v>373</v>
      </c>
      <c r="E419" s="139" t="s">
        <v>874</v>
      </c>
    </row>
    <row r="420" spans="1:6">
      <c r="B420" s="138">
        <v>512</v>
      </c>
      <c r="D420" s="126" t="s">
        <v>374</v>
      </c>
      <c r="E420" s="139" t="s">
        <v>875</v>
      </c>
    </row>
    <row r="421" spans="1:6">
      <c r="B421" s="138">
        <v>513</v>
      </c>
      <c r="D421" s="126" t="s">
        <v>375</v>
      </c>
      <c r="E421" s="139" t="s">
        <v>876</v>
      </c>
    </row>
    <row r="422" spans="1:6" s="133" customFormat="1" ht="13.8">
      <c r="A422" s="125"/>
      <c r="B422" s="138">
        <v>514</v>
      </c>
      <c r="C422" s="135"/>
      <c r="D422" s="126" t="s">
        <v>376</v>
      </c>
      <c r="E422" s="139" t="s">
        <v>877</v>
      </c>
      <c r="F422" s="125"/>
    </row>
    <row r="423" spans="1:6" s="133" customFormat="1" ht="13.8">
      <c r="A423" s="125"/>
      <c r="B423" s="138">
        <v>515</v>
      </c>
      <c r="C423" s="135"/>
      <c r="D423" s="126" t="s">
        <v>377</v>
      </c>
      <c r="E423" s="139" t="s">
        <v>878</v>
      </c>
      <c r="F423" s="125"/>
    </row>
    <row r="424" spans="1:6" s="128" customFormat="1">
      <c r="A424" s="125"/>
      <c r="B424" s="138">
        <v>516</v>
      </c>
      <c r="C424" s="135"/>
      <c r="D424" s="126" t="s">
        <v>378</v>
      </c>
      <c r="E424" s="139" t="s">
        <v>870</v>
      </c>
      <c r="F424" s="125"/>
    </row>
    <row r="425" spans="1:6" s="128" customFormat="1" ht="26.4">
      <c r="A425" s="125"/>
      <c r="B425" s="138">
        <v>517</v>
      </c>
      <c r="C425" s="135"/>
      <c r="D425" s="126" t="s">
        <v>379</v>
      </c>
      <c r="E425" s="139" t="s">
        <v>879</v>
      </c>
      <c r="F425" s="125"/>
    </row>
    <row r="426" spans="1:6" s="128" customFormat="1" ht="39.6">
      <c r="A426" s="125"/>
      <c r="B426" s="138">
        <v>518</v>
      </c>
      <c r="C426" s="135"/>
      <c r="D426" s="126" t="s">
        <v>380</v>
      </c>
      <c r="E426" s="139" t="s">
        <v>880</v>
      </c>
      <c r="F426" s="125"/>
    </row>
    <row r="427" spans="1:6" s="128" customFormat="1">
      <c r="A427" s="125"/>
      <c r="B427" s="138">
        <v>519</v>
      </c>
      <c r="C427" s="135"/>
      <c r="D427" s="126" t="s">
        <v>381</v>
      </c>
      <c r="E427" s="139" t="s">
        <v>881</v>
      </c>
      <c r="F427" s="125"/>
    </row>
    <row r="428" spans="1:6" s="128" customFormat="1" ht="39.6">
      <c r="A428" s="125"/>
      <c r="B428" s="138">
        <v>520</v>
      </c>
      <c r="C428" s="135"/>
      <c r="D428" s="126" t="s">
        <v>382</v>
      </c>
      <c r="E428" s="139" t="s">
        <v>882</v>
      </c>
      <c r="F428" s="125"/>
    </row>
    <row r="429" spans="1:6" s="128" customFormat="1">
      <c r="A429" s="125"/>
      <c r="B429" s="138">
        <v>521</v>
      </c>
      <c r="C429" s="135"/>
      <c r="D429" s="126" t="s">
        <v>383</v>
      </c>
      <c r="E429" s="139" t="s">
        <v>883</v>
      </c>
      <c r="F429" s="125"/>
    </row>
    <row r="430" spans="1:6" s="128" customFormat="1">
      <c r="A430" s="125"/>
      <c r="B430" s="138">
        <v>522</v>
      </c>
      <c r="C430" s="135"/>
      <c r="D430" s="126" t="s">
        <v>384</v>
      </c>
      <c r="E430" s="139" t="s">
        <v>884</v>
      </c>
      <c r="F430" s="125"/>
    </row>
    <row r="431" spans="1:6" s="128" customFormat="1">
      <c r="A431" s="125"/>
      <c r="B431" s="138">
        <v>523</v>
      </c>
      <c r="C431" s="135"/>
      <c r="D431" s="126" t="s">
        <v>385</v>
      </c>
      <c r="E431" s="139" t="s">
        <v>885</v>
      </c>
      <c r="F431" s="125"/>
    </row>
    <row r="432" spans="1:6" s="128" customFormat="1">
      <c r="A432" s="125"/>
      <c r="B432" s="138">
        <v>524</v>
      </c>
      <c r="C432" s="135"/>
      <c r="D432" s="126" t="s">
        <v>386</v>
      </c>
      <c r="E432" s="139" t="s">
        <v>886</v>
      </c>
      <c r="F432" s="125"/>
    </row>
    <row r="433" spans="1:6" s="128" customFormat="1">
      <c r="A433" s="125"/>
      <c r="B433" s="138">
        <v>525</v>
      </c>
      <c r="C433" s="135"/>
      <c r="D433" s="126" t="s">
        <v>387</v>
      </c>
      <c r="E433" s="139" t="s">
        <v>887</v>
      </c>
      <c r="F433" s="125"/>
    </row>
    <row r="434" spans="1:6" s="128" customFormat="1">
      <c r="A434" s="125"/>
      <c r="B434" s="138">
        <v>526</v>
      </c>
      <c r="C434" s="135"/>
      <c r="D434" s="126" t="s">
        <v>388</v>
      </c>
      <c r="E434" s="139" t="s">
        <v>888</v>
      </c>
      <c r="F434" s="125"/>
    </row>
    <row r="435" spans="1:6">
      <c r="B435" s="138">
        <v>527</v>
      </c>
      <c r="D435" s="126" t="s">
        <v>963</v>
      </c>
      <c r="E435" s="139" t="s">
        <v>965</v>
      </c>
    </row>
  </sheetData>
  <sortState xmlns:xlrd2="http://schemas.microsoft.com/office/spreadsheetml/2017/richdata2" ref="A9:F434">
    <sortCondition ref="E9:E434"/>
  </sortState>
  <phoneticPr fontId="2"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dimension ref="A1:H17"/>
  <sheetViews>
    <sheetView topLeftCell="A94" zoomScale="85" zoomScaleNormal="85" workbookViewId="0">
      <selection activeCell="H177" sqref="H177"/>
    </sheetView>
  </sheetViews>
  <sheetFormatPr defaultColWidth="9.69921875" defaultRowHeight="13.8"/>
  <cols>
    <col min="1" max="1" width="9.69921875" style="93"/>
    <col min="2" max="2" width="9.69921875" style="94"/>
    <col min="3" max="4" width="9.69921875" style="95"/>
    <col min="5" max="5" width="9.69921875" style="94"/>
    <col min="6" max="16384" width="9.69921875" style="92"/>
  </cols>
  <sheetData>
    <row r="1" spans="1:8">
      <c r="A1" s="89" t="s">
        <v>390</v>
      </c>
      <c r="B1" s="89" t="s">
        <v>391</v>
      </c>
      <c r="C1" s="90" t="s">
        <v>392</v>
      </c>
      <c r="D1" s="90" t="s">
        <v>393</v>
      </c>
      <c r="E1" s="89" t="s">
        <v>394</v>
      </c>
      <c r="F1" s="91" t="s">
        <v>395</v>
      </c>
      <c r="G1" s="91" t="s">
        <v>396</v>
      </c>
      <c r="H1" s="91" t="s">
        <v>397</v>
      </c>
    </row>
    <row r="2" spans="1:8">
      <c r="A2" s="93">
        <v>1.1000000000000001</v>
      </c>
      <c r="B2" s="94" t="s">
        <v>1074</v>
      </c>
      <c r="C2" s="95" t="s">
        <v>1150</v>
      </c>
      <c r="D2" s="95">
        <v>45078</v>
      </c>
      <c r="E2" s="96">
        <v>45079</v>
      </c>
      <c r="F2" s="95">
        <v>45078</v>
      </c>
      <c r="G2" s="95">
        <v>45081</v>
      </c>
      <c r="H2" s="92">
        <v>2</v>
      </c>
    </row>
    <row r="3" spans="1:8">
      <c r="A3" s="93">
        <v>1.2</v>
      </c>
      <c r="B3" s="94" t="s">
        <v>1073</v>
      </c>
      <c r="C3" s="95" t="s">
        <v>1151</v>
      </c>
      <c r="D3" s="95">
        <v>45078</v>
      </c>
      <c r="E3" s="96">
        <v>45079</v>
      </c>
      <c r="F3" s="95">
        <v>45078</v>
      </c>
      <c r="G3" s="95">
        <v>45081</v>
      </c>
      <c r="H3" s="92">
        <v>2</v>
      </c>
    </row>
    <row r="4" spans="1:8">
      <c r="A4" s="93">
        <v>1.3</v>
      </c>
      <c r="B4" s="94" t="s">
        <v>1072</v>
      </c>
      <c r="C4" s="95" t="s">
        <v>1152</v>
      </c>
      <c r="D4" s="95">
        <v>45078</v>
      </c>
      <c r="E4" s="96">
        <v>45079</v>
      </c>
      <c r="F4" s="95">
        <v>45078</v>
      </c>
      <c r="G4" s="95">
        <v>45081</v>
      </c>
      <c r="H4" s="92">
        <v>2</v>
      </c>
    </row>
    <row r="5" spans="1:8">
      <c r="A5" s="93">
        <v>1.4</v>
      </c>
      <c r="B5" s="94" t="s">
        <v>1040</v>
      </c>
      <c r="C5" s="95" t="s">
        <v>1153</v>
      </c>
      <c r="D5" s="95">
        <v>45079</v>
      </c>
      <c r="E5" s="96">
        <v>45082</v>
      </c>
      <c r="F5" s="95">
        <v>45078</v>
      </c>
      <c r="G5" s="95">
        <v>45081</v>
      </c>
      <c r="H5" s="92">
        <v>1</v>
      </c>
    </row>
    <row r="6" spans="1:8">
      <c r="A6" s="93">
        <v>1.4</v>
      </c>
      <c r="B6" s="94" t="s">
        <v>1040</v>
      </c>
      <c r="C6" s="95" t="s">
        <v>1153</v>
      </c>
      <c r="D6" s="95">
        <v>45079</v>
      </c>
      <c r="E6" s="96">
        <v>45082</v>
      </c>
      <c r="F6" s="95">
        <v>45082</v>
      </c>
      <c r="G6" s="95">
        <v>45088</v>
      </c>
      <c r="H6" s="92">
        <v>1</v>
      </c>
    </row>
    <row r="7" spans="1:8">
      <c r="A7" s="93">
        <v>1.5</v>
      </c>
      <c r="B7" s="94" t="s">
        <v>1039</v>
      </c>
      <c r="C7" s="95" t="s">
        <v>992</v>
      </c>
      <c r="D7" s="95">
        <v>45084</v>
      </c>
      <c r="E7" s="96">
        <v>45084</v>
      </c>
      <c r="F7" s="95">
        <v>45082</v>
      </c>
      <c r="G7" s="95">
        <v>45088</v>
      </c>
      <c r="H7" s="92">
        <v>1</v>
      </c>
    </row>
    <row r="8" spans="1:8">
      <c r="A8" s="93">
        <v>1.6</v>
      </c>
      <c r="B8" s="94" t="s">
        <v>1041</v>
      </c>
      <c r="C8" s="95" t="s">
        <v>992</v>
      </c>
      <c r="D8" s="95">
        <v>45085</v>
      </c>
      <c r="E8" s="96">
        <v>45085</v>
      </c>
      <c r="F8" s="95">
        <v>45082</v>
      </c>
      <c r="G8" s="95">
        <v>45088</v>
      </c>
      <c r="H8" s="92">
        <v>1</v>
      </c>
    </row>
    <row r="9" spans="1:8">
      <c r="A9" s="93">
        <v>2.1</v>
      </c>
      <c r="B9" s="94" t="s">
        <v>1038</v>
      </c>
      <c r="C9" s="95" t="s">
        <v>1149</v>
      </c>
      <c r="D9" s="95">
        <v>45078</v>
      </c>
      <c r="E9" s="96">
        <v>45079</v>
      </c>
      <c r="F9" s="95">
        <v>45078</v>
      </c>
      <c r="G9" s="95">
        <v>45081</v>
      </c>
      <c r="H9" s="92">
        <v>2</v>
      </c>
    </row>
    <row r="10" spans="1:8">
      <c r="A10" s="93">
        <v>2.2000000000000002</v>
      </c>
      <c r="B10" s="94" t="s">
        <v>1040</v>
      </c>
      <c r="C10" s="95" t="s">
        <v>1155</v>
      </c>
      <c r="D10" s="95">
        <v>45082</v>
      </c>
      <c r="E10" s="96">
        <v>45084</v>
      </c>
      <c r="F10" s="95">
        <v>45082</v>
      </c>
      <c r="G10" s="95">
        <v>45088</v>
      </c>
      <c r="H10" s="92">
        <v>3</v>
      </c>
    </row>
    <row r="11" spans="1:8">
      <c r="A11" s="93">
        <v>2.2999999999999998</v>
      </c>
      <c r="B11" s="94" t="s">
        <v>1039</v>
      </c>
      <c r="C11" s="95" t="s">
        <v>992</v>
      </c>
      <c r="D11" s="95">
        <v>45085</v>
      </c>
      <c r="E11" s="96">
        <v>45085</v>
      </c>
      <c r="F11" s="95">
        <v>45082</v>
      </c>
      <c r="G11" s="95">
        <v>45088</v>
      </c>
      <c r="H11" s="92">
        <v>1</v>
      </c>
    </row>
    <row r="12" spans="1:8">
      <c r="A12" s="93">
        <v>2.4</v>
      </c>
      <c r="B12" s="94" t="s">
        <v>1041</v>
      </c>
      <c r="C12" s="95" t="s">
        <v>992</v>
      </c>
      <c r="D12" s="95">
        <v>45086</v>
      </c>
      <c r="E12" s="96">
        <v>45086</v>
      </c>
      <c r="F12" s="95">
        <v>45082</v>
      </c>
      <c r="G12" s="95">
        <v>45088</v>
      </c>
      <c r="H12" s="92">
        <v>1</v>
      </c>
    </row>
    <row r="13" spans="1:8">
      <c r="A13" s="93">
        <v>4.0999999999999996</v>
      </c>
      <c r="B13" s="94" t="s">
        <v>1038</v>
      </c>
      <c r="C13" s="95" t="s">
        <v>992</v>
      </c>
      <c r="D13" s="95">
        <v>45078</v>
      </c>
      <c r="E13" s="96">
        <v>45079</v>
      </c>
      <c r="F13" s="95">
        <v>45078</v>
      </c>
      <c r="G13" s="95">
        <v>45081</v>
      </c>
      <c r="H13" s="92">
        <v>2</v>
      </c>
    </row>
    <row r="14" spans="1:8">
      <c r="A14" s="93">
        <v>4.2</v>
      </c>
      <c r="B14" s="94" t="s">
        <v>1040</v>
      </c>
      <c r="C14" s="95" t="s">
        <v>992</v>
      </c>
      <c r="D14" s="95">
        <v>45082</v>
      </c>
      <c r="E14" s="96">
        <v>45086</v>
      </c>
      <c r="F14" s="95">
        <v>45082</v>
      </c>
      <c r="G14" s="95">
        <v>45088</v>
      </c>
      <c r="H14" s="92">
        <v>5</v>
      </c>
    </row>
    <row r="15" spans="1:8">
      <c r="A15" s="93">
        <v>4.3</v>
      </c>
      <c r="B15" s="94" t="s">
        <v>1039</v>
      </c>
      <c r="C15" s="95" t="s">
        <v>992</v>
      </c>
      <c r="D15" s="95">
        <v>45089</v>
      </c>
      <c r="E15" s="96">
        <v>45093</v>
      </c>
      <c r="F15" s="95">
        <v>45089</v>
      </c>
      <c r="G15" s="95">
        <v>45095</v>
      </c>
      <c r="H15" s="92">
        <v>5</v>
      </c>
    </row>
    <row r="16" spans="1:8">
      <c r="A16" s="93">
        <v>4.4000000000000004</v>
      </c>
      <c r="B16" s="94" t="s">
        <v>1041</v>
      </c>
      <c r="C16" s="95" t="s">
        <v>992</v>
      </c>
      <c r="D16" s="95">
        <v>45097</v>
      </c>
      <c r="E16" s="96">
        <v>45097</v>
      </c>
      <c r="F16" s="95">
        <v>45096</v>
      </c>
      <c r="G16" s="95">
        <v>45102</v>
      </c>
      <c r="H16" s="92">
        <v>1</v>
      </c>
    </row>
    <row r="17" spans="7:8">
      <c r="G17" s="92" t="s">
        <v>3</v>
      </c>
      <c r="H17" s="92">
        <f>SUM(H2:H16)</f>
        <v>30</v>
      </c>
    </row>
  </sheetData>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outlinePr summaryBelow="0"/>
    <pageSetUpPr fitToPage="1"/>
  </sheetPr>
  <dimension ref="A1:GG477"/>
  <sheetViews>
    <sheetView tabSelected="1" zoomScale="145" zoomScaleNormal="145" zoomScalePageLayoutView="55" workbookViewId="0">
      <pane ySplit="4" topLeftCell="A83" activePane="bottomLeft" state="frozen"/>
      <selection activeCell="E5" sqref="E5"/>
      <selection pane="bottomLeft" activeCell="D5" sqref="D5"/>
    </sheetView>
  </sheetViews>
  <sheetFormatPr defaultColWidth="10" defaultRowHeight="12" outlineLevelRow="1"/>
  <cols>
    <col min="1" max="1" width="19.8984375" style="117" hidden="1" customWidth="1"/>
    <col min="2" max="2" width="8.3984375" style="117" hidden="1" customWidth="1"/>
    <col min="3" max="3" width="9.3984375" style="117" hidden="1" customWidth="1"/>
    <col min="4" max="4" width="10.09765625" style="5" customWidth="1"/>
    <col min="5" max="10" width="2.3984375" style="6" customWidth="1"/>
    <col min="11" max="11" width="13.8984375" style="6" customWidth="1"/>
    <col min="12" max="12" width="9.69921875" style="6" hidden="1" customWidth="1"/>
    <col min="13" max="14" width="8.5" style="7" bestFit="1" customWidth="1"/>
    <col min="15" max="15" width="7.59765625" style="8" hidden="1" customWidth="1"/>
    <col min="16" max="16" width="6" style="9" hidden="1" customWidth="1"/>
    <col min="17" max="17" width="5.3984375" style="9" hidden="1" customWidth="1"/>
    <col min="18" max="18" width="8.3984375" style="10" hidden="1" customWidth="1"/>
    <col min="19" max="19" width="4.19921875" style="10" hidden="1" customWidth="1"/>
    <col min="20" max="20" width="13.09765625" style="7" hidden="1" customWidth="1"/>
    <col min="21" max="21" width="13.59765625" style="7" hidden="1" customWidth="1"/>
    <col min="22" max="22" width="8.3984375" style="11" hidden="1" customWidth="1"/>
    <col min="23" max="23" width="6.59765625" style="12" hidden="1" customWidth="1"/>
    <col min="24" max="24" width="4.69921875" style="13" hidden="1" customWidth="1"/>
    <col min="25" max="25" width="9.19921875" style="8" customWidth="1"/>
    <col min="26" max="26" width="11.5" style="14" hidden="1" customWidth="1"/>
    <col min="27" max="27" width="7" style="15" customWidth="1"/>
    <col min="28" max="28" width="9.19921875" style="16" customWidth="1"/>
    <col min="29" max="189" width="1.8984375" style="114" customWidth="1"/>
    <col min="190" max="16384" width="10" style="114"/>
  </cols>
  <sheetData>
    <row r="1" spans="1:189" s="208" customFormat="1" ht="19.95" customHeight="1">
      <c r="A1" s="140"/>
      <c r="B1" s="150"/>
      <c r="C1" s="141"/>
      <c r="D1" s="142" t="str">
        <f ca="1">xlgantt.ProjectName()</f>
        <v>GME Project</v>
      </c>
      <c r="E1" s="143"/>
      <c r="F1" s="143"/>
      <c r="G1" s="143"/>
      <c r="H1" s="143"/>
      <c r="I1" s="143"/>
      <c r="J1" s="143"/>
      <c r="K1" s="143"/>
      <c r="L1" s="143"/>
      <c r="M1" s="143"/>
      <c r="N1" s="144"/>
      <c r="O1" s="145"/>
      <c r="P1" s="146"/>
      <c r="Q1" s="147"/>
      <c r="R1" s="148"/>
      <c r="S1" s="148"/>
      <c r="T1" s="149"/>
      <c r="U1" s="149"/>
      <c r="V1" s="150"/>
      <c r="W1" s="151"/>
      <c r="X1" s="152"/>
      <c r="Y1" s="153"/>
      <c r="Z1" s="154"/>
      <c r="AA1" s="155"/>
      <c r="AB1" s="156" t="str">
        <f ca="1">xlgantt.ProjectProgressString()</f>
        <v>2023-06-01~2023-10-31 [계획:31.24% 실적:24.47%]</v>
      </c>
      <c r="AC1" s="220" t="s">
        <v>1198</v>
      </c>
      <c r="AD1" s="220"/>
      <c r="AE1" s="220"/>
      <c r="AF1" s="220"/>
      <c r="AG1" s="220"/>
      <c r="AH1" s="220"/>
      <c r="AI1" s="220"/>
      <c r="AJ1" s="220"/>
      <c r="AK1" s="220"/>
      <c r="AL1" s="220"/>
      <c r="AM1" s="220"/>
      <c r="AN1" s="220"/>
      <c r="AO1" s="220"/>
      <c r="AP1" s="220"/>
      <c r="AQ1" s="220"/>
      <c r="AR1" s="220"/>
      <c r="AS1" s="220"/>
      <c r="AT1" s="220"/>
      <c r="AU1" s="220"/>
      <c r="AV1" s="220"/>
      <c r="AW1" s="220"/>
      <c r="AX1" s="220"/>
      <c r="AY1" s="220"/>
      <c r="AZ1" s="220"/>
      <c r="BA1" s="220"/>
      <c r="BB1" s="220"/>
      <c r="BC1" s="220"/>
      <c r="BD1" s="220"/>
      <c r="BE1" s="220"/>
      <c r="BF1" s="220"/>
      <c r="BG1" s="220"/>
      <c r="BH1" s="220"/>
      <c r="BI1" s="220"/>
      <c r="BJ1" s="220"/>
      <c r="BK1" s="220"/>
      <c r="BL1" s="220"/>
      <c r="BM1" s="220"/>
      <c r="BN1" s="220"/>
      <c r="BO1" s="220"/>
      <c r="BP1" s="220"/>
      <c r="BQ1" s="220"/>
      <c r="BR1" s="220"/>
      <c r="BS1" s="220"/>
      <c r="BT1" s="220"/>
      <c r="BU1" s="220"/>
      <c r="BV1" s="220"/>
      <c r="BW1" s="220"/>
      <c r="BX1" s="220"/>
      <c r="BY1" s="220"/>
      <c r="BZ1" s="220"/>
      <c r="CA1" s="220"/>
    </row>
    <row r="2" spans="1:189" s="208" customFormat="1" ht="15" customHeight="1">
      <c r="A2" s="157"/>
      <c r="B2" s="157"/>
      <c r="C2" s="158"/>
      <c r="D2" s="233"/>
      <c r="E2" s="233"/>
      <c r="F2" s="233"/>
      <c r="G2" s="159"/>
      <c r="H2" s="160"/>
      <c r="I2" s="159"/>
      <c r="J2" s="159"/>
      <c r="K2" s="159"/>
      <c r="L2" s="159"/>
      <c r="M2" s="159"/>
      <c r="N2" s="159"/>
      <c r="O2" s="159"/>
      <c r="P2" s="159"/>
      <c r="Q2" s="159"/>
      <c r="R2" s="159"/>
      <c r="S2" s="159"/>
      <c r="T2" s="159"/>
      <c r="U2" s="159"/>
      <c r="V2" s="159"/>
      <c r="W2" s="159"/>
      <c r="X2" s="159"/>
      <c r="Y2" s="159"/>
      <c r="Z2" s="161"/>
      <c r="AA2" s="162"/>
      <c r="AB2" s="159" t="str">
        <f ca="1">xlgantt.CommentOnHeadArea()</f>
        <v>별(*)표시는 필수입력, 주황색열은 자동계산</v>
      </c>
      <c r="AC2" s="209" t="s">
        <v>1199</v>
      </c>
    </row>
    <row r="3" spans="1:189" s="1" customFormat="1" ht="19.95" customHeight="1">
      <c r="A3" s="239" t="s">
        <v>1025</v>
      </c>
      <c r="B3" s="235" t="s">
        <v>1026</v>
      </c>
      <c r="C3" s="242" t="s">
        <v>1016</v>
      </c>
      <c r="D3" s="243" t="s">
        <v>1002</v>
      </c>
      <c r="E3" s="244" t="s">
        <v>1003</v>
      </c>
      <c r="F3" s="245"/>
      <c r="G3" s="245"/>
      <c r="H3" s="245"/>
      <c r="I3" s="245"/>
      <c r="J3" s="245"/>
      <c r="K3" s="246"/>
      <c r="L3" s="224" t="s">
        <v>1000</v>
      </c>
      <c r="M3" s="224" t="s">
        <v>1010</v>
      </c>
      <c r="N3" s="234" t="s">
        <v>1004</v>
      </c>
      <c r="O3" s="236" t="s">
        <v>1027</v>
      </c>
      <c r="P3" s="237" t="s">
        <v>1028</v>
      </c>
      <c r="Q3" s="238" t="s">
        <v>1029</v>
      </c>
      <c r="R3" s="238" t="s">
        <v>1011</v>
      </c>
      <c r="S3" s="238" t="s">
        <v>1030</v>
      </c>
      <c r="T3" s="223" t="s">
        <v>1031</v>
      </c>
      <c r="U3" s="223" t="s">
        <v>1001</v>
      </c>
      <c r="V3" s="225" t="s">
        <v>1032</v>
      </c>
      <c r="W3" s="226" t="s">
        <v>1005</v>
      </c>
      <c r="X3" s="227" t="s">
        <v>993</v>
      </c>
      <c r="Y3" s="234" t="s">
        <v>1015</v>
      </c>
      <c r="Z3" s="235" t="s">
        <v>1009</v>
      </c>
      <c r="AA3" s="228" t="s">
        <v>1012</v>
      </c>
      <c r="AB3" s="221" t="s">
        <v>997</v>
      </c>
      <c r="AC3" s="231">
        <v>45075</v>
      </c>
      <c r="AD3" s="230"/>
      <c r="AE3" s="230"/>
      <c r="AF3" s="230"/>
      <c r="AG3" s="230">
        <v>45103</v>
      </c>
      <c r="AH3" s="230"/>
      <c r="AI3" s="230"/>
      <c r="AJ3" s="230"/>
      <c r="AK3" s="230">
        <v>45131</v>
      </c>
      <c r="AL3" s="230"/>
      <c r="AM3" s="230"/>
      <c r="AN3" s="230"/>
      <c r="AO3" s="230">
        <v>45159</v>
      </c>
      <c r="AP3" s="230"/>
      <c r="AQ3" s="230"/>
      <c r="AR3" s="230"/>
      <c r="AS3" s="230">
        <v>45187</v>
      </c>
      <c r="AT3" s="230"/>
      <c r="AU3" s="230"/>
      <c r="AV3" s="230"/>
      <c r="AW3" s="230">
        <v>45215</v>
      </c>
      <c r="AX3" s="230"/>
      <c r="AY3" s="230"/>
      <c r="AZ3" s="232"/>
    </row>
    <row r="4" spans="1:189" s="2" customFormat="1" ht="4.95" customHeight="1">
      <c r="A4" s="240"/>
      <c r="B4" s="241"/>
      <c r="C4" s="239"/>
      <c r="D4" s="243"/>
      <c r="E4" s="247"/>
      <c r="F4" s="245"/>
      <c r="G4" s="245"/>
      <c r="H4" s="245"/>
      <c r="I4" s="245"/>
      <c r="J4" s="245"/>
      <c r="K4" s="246"/>
      <c r="L4" s="224"/>
      <c r="M4" s="224"/>
      <c r="N4" s="224"/>
      <c r="O4" s="236"/>
      <c r="P4" s="238"/>
      <c r="Q4" s="238"/>
      <c r="R4" s="238"/>
      <c r="S4" s="238"/>
      <c r="T4" s="224"/>
      <c r="U4" s="224"/>
      <c r="V4" s="225"/>
      <c r="W4" s="226"/>
      <c r="X4" s="227"/>
      <c r="Y4" s="224"/>
      <c r="Z4" s="235"/>
      <c r="AA4" s="229"/>
      <c r="AB4" s="222"/>
      <c r="AC4" s="112">
        <v>45075</v>
      </c>
      <c r="AD4" s="113">
        <v>45082</v>
      </c>
      <c r="AE4" s="113">
        <v>45089</v>
      </c>
      <c r="AF4" s="113">
        <v>45096</v>
      </c>
      <c r="AG4" s="113">
        <v>45103</v>
      </c>
      <c r="AH4" s="113">
        <v>45110</v>
      </c>
      <c r="AI4" s="113">
        <v>45117</v>
      </c>
      <c r="AJ4" s="113">
        <v>45124</v>
      </c>
      <c r="AK4" s="113">
        <v>45131</v>
      </c>
      <c r="AL4" s="113">
        <v>45138</v>
      </c>
      <c r="AM4" s="113">
        <v>45145</v>
      </c>
      <c r="AN4" s="113">
        <v>45152</v>
      </c>
      <c r="AO4" s="113">
        <v>45159</v>
      </c>
      <c r="AP4" s="113">
        <v>45166</v>
      </c>
      <c r="AQ4" s="113">
        <v>45173</v>
      </c>
      <c r="AR4" s="113">
        <v>45180</v>
      </c>
      <c r="AS4" s="113">
        <v>45187</v>
      </c>
      <c r="AT4" s="113">
        <v>45194</v>
      </c>
      <c r="AU4" s="113">
        <v>45201</v>
      </c>
      <c r="AV4" s="113">
        <v>45208</v>
      </c>
      <c r="AW4" s="113">
        <v>45215</v>
      </c>
      <c r="AX4" s="113">
        <v>45222</v>
      </c>
      <c r="AY4" s="113">
        <v>45229</v>
      </c>
      <c r="AZ4" s="115"/>
      <c r="BA4" s="121"/>
      <c r="BB4" s="122"/>
      <c r="BC4" s="122"/>
      <c r="BD4" s="122"/>
      <c r="BE4" s="122"/>
      <c r="BF4" s="122"/>
      <c r="BG4" s="122"/>
      <c r="BH4" s="122"/>
      <c r="BI4" s="122"/>
      <c r="BJ4" s="122"/>
      <c r="BK4" s="122"/>
      <c r="BL4" s="122"/>
      <c r="BM4" s="122"/>
      <c r="BN4" s="122"/>
      <c r="BO4" s="122"/>
      <c r="BP4" s="122"/>
      <c r="BQ4" s="122"/>
      <c r="BR4" s="122"/>
      <c r="BS4" s="122"/>
      <c r="BT4" s="122"/>
      <c r="BU4" s="122"/>
      <c r="BV4" s="122"/>
      <c r="BW4" s="122"/>
      <c r="BX4" s="122"/>
      <c r="BY4" s="122"/>
      <c r="BZ4" s="122"/>
      <c r="CA4" s="122"/>
      <c r="CB4" s="122"/>
      <c r="CC4" s="122"/>
      <c r="CD4" s="122"/>
      <c r="CE4" s="122"/>
      <c r="CF4" s="122"/>
      <c r="CG4" s="122"/>
      <c r="CH4" s="122"/>
      <c r="CI4" s="122"/>
      <c r="CJ4" s="122"/>
      <c r="CK4" s="122"/>
      <c r="CL4" s="122"/>
      <c r="CM4" s="122"/>
      <c r="CN4" s="122"/>
      <c r="CO4" s="122"/>
      <c r="CP4" s="122"/>
      <c r="CQ4" s="122"/>
      <c r="CR4" s="122"/>
      <c r="CS4" s="122"/>
      <c r="CT4" s="122"/>
      <c r="CU4" s="122"/>
      <c r="CV4" s="122"/>
      <c r="CW4" s="122"/>
      <c r="CX4" s="122"/>
      <c r="CY4" s="122"/>
      <c r="CZ4" s="122"/>
      <c r="DA4" s="122"/>
      <c r="DB4" s="122"/>
      <c r="DC4" s="122"/>
      <c r="DD4" s="122"/>
      <c r="DE4" s="122"/>
      <c r="DF4" s="122"/>
      <c r="DG4" s="122"/>
      <c r="DH4" s="122"/>
      <c r="DI4" s="122"/>
      <c r="DJ4" s="122"/>
      <c r="DK4" s="122"/>
      <c r="DL4" s="122"/>
      <c r="DM4" s="122"/>
      <c r="DN4" s="122"/>
      <c r="DO4" s="122"/>
      <c r="DP4" s="122"/>
      <c r="DQ4" s="122"/>
      <c r="DR4" s="122"/>
      <c r="DS4" s="122"/>
      <c r="DT4" s="122"/>
      <c r="DU4" s="122"/>
      <c r="DV4" s="122"/>
      <c r="DW4" s="122"/>
      <c r="DX4" s="122"/>
      <c r="DY4" s="122"/>
      <c r="DZ4" s="122"/>
      <c r="EA4" s="122"/>
      <c r="EB4" s="122"/>
      <c r="EC4" s="122"/>
      <c r="ED4" s="122"/>
      <c r="EE4" s="122"/>
      <c r="EF4" s="122"/>
      <c r="EG4" s="122"/>
      <c r="EH4" s="122"/>
      <c r="EI4" s="122"/>
      <c r="EJ4" s="122"/>
      <c r="EK4" s="122"/>
      <c r="EL4" s="122"/>
      <c r="EM4" s="122"/>
      <c r="EN4" s="122"/>
      <c r="EO4" s="122"/>
      <c r="EP4" s="122"/>
      <c r="EQ4" s="122"/>
      <c r="ER4" s="122"/>
      <c r="ES4" s="122"/>
      <c r="ET4" s="122"/>
      <c r="EU4" s="122"/>
      <c r="EV4" s="122"/>
      <c r="EW4" s="122"/>
      <c r="EX4" s="122"/>
      <c r="EY4" s="122"/>
      <c r="EZ4" s="122"/>
      <c r="FA4" s="122"/>
      <c r="FB4" s="122"/>
      <c r="FC4" s="122"/>
      <c r="FD4" s="122"/>
      <c r="FE4" s="122"/>
      <c r="FF4" s="122"/>
      <c r="FG4" s="122"/>
      <c r="FH4" s="122"/>
      <c r="FI4" s="122"/>
      <c r="FJ4" s="122"/>
      <c r="FK4" s="122"/>
      <c r="FL4" s="122"/>
      <c r="FM4" s="122"/>
      <c r="FN4" s="122"/>
      <c r="FO4" s="122"/>
      <c r="FP4" s="122"/>
      <c r="FQ4" s="122"/>
      <c r="FR4" s="122"/>
      <c r="FS4" s="122"/>
      <c r="FT4" s="122"/>
      <c r="FU4" s="122"/>
      <c r="FV4" s="122"/>
      <c r="FW4" s="122"/>
      <c r="FX4" s="122"/>
      <c r="FY4" s="122"/>
      <c r="FZ4" s="122"/>
      <c r="GA4" s="122"/>
      <c r="GB4" s="122"/>
      <c r="GC4" s="122"/>
      <c r="GD4" s="122"/>
      <c r="GE4" s="122"/>
      <c r="GF4" s="122"/>
      <c r="GG4" s="122"/>
    </row>
    <row r="5" spans="1:189">
      <c r="A5" s="116"/>
      <c r="B5" s="116" t="s">
        <v>983</v>
      </c>
      <c r="C5" s="116">
        <v>1</v>
      </c>
      <c r="D5" s="3" t="s">
        <v>984</v>
      </c>
      <c r="E5" s="180" t="s">
        <v>1069</v>
      </c>
      <c r="F5" s="180"/>
      <c r="G5" s="180"/>
      <c r="H5" s="180"/>
      <c r="I5" s="180"/>
      <c r="J5" s="180"/>
      <c r="K5" s="180"/>
      <c r="L5" s="180"/>
      <c r="M5" s="181">
        <v>45078</v>
      </c>
      <c r="N5" s="181">
        <v>45085</v>
      </c>
      <c r="O5" s="182"/>
      <c r="P5" s="183">
        <v>10</v>
      </c>
      <c r="Q5" s="183">
        <v>10</v>
      </c>
      <c r="R5" s="184">
        <v>6</v>
      </c>
      <c r="S5" s="184">
        <v>6</v>
      </c>
      <c r="T5" s="181"/>
      <c r="U5" s="181"/>
      <c r="V5" s="185">
        <v>0</v>
      </c>
      <c r="W5" s="186">
        <v>0</v>
      </c>
      <c r="X5" s="187"/>
      <c r="Y5" s="182"/>
      <c r="Z5" s="188"/>
      <c r="AA5" s="97">
        <v>1</v>
      </c>
      <c r="AB5" s="189">
        <v>1</v>
      </c>
      <c r="AC5" s="210"/>
      <c r="AD5" s="4" t="str">
        <f>"    " &amp; TEXT(AB5,"#0.00%") &amp; " " &amp; "[2209-16] Bill Payment using Sampath Bank" &amp; " " &amp; IF(M5="","",TEXT(M5,"M/D-")) &amp; IF(N5="","",TEXT(N5,"M/D")) &amp; " "</f>
        <v xml:space="preserve">    100.00% [2209-16] Bill Payment using Sampath Bank 6/1-6/8 </v>
      </c>
      <c r="AE5" s="4"/>
      <c r="AF5" s="4"/>
      <c r="AG5" s="4"/>
      <c r="AH5" s="4"/>
      <c r="AI5" s="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c r="DC5" s="4"/>
      <c r="DD5" s="4"/>
      <c r="DE5" s="4"/>
      <c r="DF5" s="4"/>
      <c r="DG5" s="4"/>
      <c r="DH5" s="4"/>
      <c r="DI5" s="4"/>
      <c r="DJ5" s="4"/>
      <c r="DK5" s="4"/>
      <c r="DL5" s="4"/>
      <c r="DM5" s="4"/>
      <c r="DN5" s="4"/>
      <c r="DO5" s="4"/>
      <c r="DP5" s="4"/>
      <c r="DQ5" s="4"/>
      <c r="DR5" s="4"/>
      <c r="DS5" s="4"/>
      <c r="DT5" s="4"/>
      <c r="DU5" s="4"/>
      <c r="DV5" s="4"/>
      <c r="DW5" s="4"/>
      <c r="DX5" s="4"/>
      <c r="DY5" s="4"/>
      <c r="DZ5" s="4"/>
      <c r="EA5" s="4"/>
      <c r="EB5" s="4"/>
      <c r="EC5" s="4"/>
      <c r="ED5" s="4"/>
      <c r="EE5" s="4"/>
      <c r="EF5" s="4"/>
      <c r="EG5" s="4"/>
      <c r="EH5" s="4"/>
      <c r="EI5" s="4"/>
      <c r="EJ5" s="4"/>
      <c r="EK5" s="4"/>
      <c r="EL5" s="4"/>
      <c r="EM5" s="4"/>
      <c r="EN5" s="4"/>
      <c r="EO5" s="4"/>
      <c r="EP5" s="4"/>
      <c r="EQ5" s="4"/>
      <c r="ER5" s="4"/>
      <c r="ES5" s="4"/>
      <c r="ET5" s="4"/>
      <c r="EU5" s="4"/>
      <c r="EV5" s="4"/>
      <c r="EW5" s="4"/>
      <c r="EX5" s="4"/>
      <c r="EY5" s="4"/>
      <c r="EZ5" s="4"/>
      <c r="FA5" s="4"/>
      <c r="FB5" s="4"/>
      <c r="FC5" s="4"/>
      <c r="FD5" s="4"/>
      <c r="FE5" s="4"/>
      <c r="FF5" s="4"/>
      <c r="FG5" s="4"/>
      <c r="FH5" s="4"/>
      <c r="FI5" s="4"/>
      <c r="FJ5" s="4"/>
      <c r="FK5" s="4"/>
      <c r="FL5" s="4"/>
      <c r="FM5" s="4"/>
      <c r="FN5" s="4"/>
      <c r="FO5" s="4"/>
      <c r="FP5" s="4"/>
      <c r="FQ5" s="4"/>
      <c r="FR5" s="4"/>
      <c r="FS5" s="4"/>
      <c r="FT5" s="4"/>
      <c r="FU5" s="4"/>
      <c r="FV5" s="4"/>
      <c r="FW5" s="4"/>
      <c r="FX5" s="4"/>
      <c r="FY5" s="4"/>
      <c r="FZ5" s="4"/>
      <c r="GA5" s="4"/>
      <c r="GB5" s="4"/>
      <c r="GC5" s="4"/>
      <c r="GD5" s="4"/>
      <c r="GE5" s="4"/>
      <c r="GF5" s="4"/>
      <c r="GG5" s="4"/>
    </row>
    <row r="6" spans="1:189" ht="13.2" outlineLevel="1">
      <c r="A6" s="116"/>
      <c r="B6" s="116"/>
      <c r="C6" s="116">
        <v>2</v>
      </c>
      <c r="D6" s="3" t="s">
        <v>1034</v>
      </c>
      <c r="E6" s="207"/>
      <c r="F6" s="180" t="s">
        <v>1074</v>
      </c>
      <c r="G6" s="180"/>
      <c r="H6" s="180"/>
      <c r="I6" s="180"/>
      <c r="J6" s="180"/>
      <c r="K6" s="180"/>
      <c r="L6" s="180"/>
      <c r="M6" s="181">
        <v>45078</v>
      </c>
      <c r="N6" s="181">
        <v>45079</v>
      </c>
      <c r="O6" s="182"/>
      <c r="P6" s="183">
        <v>2</v>
      </c>
      <c r="Q6" s="183">
        <v>2</v>
      </c>
      <c r="R6" s="184">
        <v>2</v>
      </c>
      <c r="S6" s="184">
        <v>2</v>
      </c>
      <c r="T6" s="181"/>
      <c r="U6" s="181"/>
      <c r="V6" s="185"/>
      <c r="W6" s="186">
        <v>0</v>
      </c>
      <c r="X6" s="187">
        <v>1</v>
      </c>
      <c r="Y6" s="182" t="s">
        <v>1150</v>
      </c>
      <c r="Z6" s="188" t="s">
        <v>1154</v>
      </c>
      <c r="AA6" s="97">
        <v>1</v>
      </c>
      <c r="AB6" s="189">
        <v>1</v>
      </c>
      <c r="AC6" s="210" t="str">
        <f>"     " &amp; TEXT(AB6,"#0.00%") &amp; " " &amp; "Server" &amp; "(Sagar)" &amp; " " &amp; IF(M6="","",TEXT(M6,"M/D-")) &amp; IF(N6="","",TEXT(N6,"M/D")) &amp; " "</f>
        <v xml:space="preserve">     100.00% Server(Sagar) 6/1-6/2 </v>
      </c>
      <c r="AD6" s="4"/>
      <c r="AE6" s="4"/>
      <c r="AF6" s="4"/>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c r="DC6" s="4"/>
      <c r="DD6" s="4"/>
      <c r="DE6" s="4"/>
      <c r="DF6" s="4"/>
      <c r="DG6" s="4"/>
      <c r="DH6" s="4"/>
      <c r="DI6" s="4"/>
      <c r="DJ6" s="4"/>
      <c r="DK6" s="4"/>
      <c r="DL6" s="4"/>
      <c r="DM6" s="4"/>
      <c r="DN6" s="4"/>
      <c r="DO6" s="4"/>
      <c r="DP6" s="4"/>
      <c r="DQ6" s="4"/>
      <c r="DR6" s="4"/>
      <c r="DS6" s="4"/>
      <c r="DT6" s="4"/>
      <c r="DU6" s="4"/>
      <c r="DV6" s="4"/>
      <c r="DW6" s="4"/>
      <c r="DX6" s="4"/>
      <c r="DY6" s="4"/>
      <c r="DZ6" s="4"/>
      <c r="EA6" s="4"/>
      <c r="EB6" s="4"/>
      <c r="EC6" s="4"/>
      <c r="ED6" s="4"/>
      <c r="EE6" s="4"/>
      <c r="EF6" s="4"/>
      <c r="EG6" s="4"/>
      <c r="EH6" s="4"/>
      <c r="EI6" s="4"/>
      <c r="EJ6" s="4"/>
      <c r="EK6" s="4"/>
      <c r="EL6" s="4"/>
      <c r="EM6" s="4"/>
      <c r="EN6" s="4"/>
      <c r="EO6" s="4"/>
      <c r="EP6" s="4"/>
      <c r="EQ6" s="4"/>
      <c r="ER6" s="4"/>
      <c r="ES6" s="4"/>
      <c r="ET6" s="4"/>
      <c r="EU6" s="4"/>
      <c r="EV6" s="4"/>
      <c r="EW6" s="4"/>
      <c r="EX6" s="4"/>
      <c r="EY6" s="4"/>
      <c r="EZ6" s="4"/>
      <c r="FA6" s="4"/>
      <c r="FB6" s="4"/>
      <c r="FC6" s="4"/>
      <c r="FD6" s="4"/>
      <c r="FE6" s="4"/>
      <c r="FF6" s="4"/>
      <c r="FG6" s="4"/>
      <c r="FH6" s="4"/>
      <c r="FI6" s="4"/>
      <c r="FJ6" s="4"/>
      <c r="FK6" s="4"/>
      <c r="FL6" s="4"/>
      <c r="FM6" s="4"/>
      <c r="FN6" s="4"/>
      <c r="FO6" s="4"/>
      <c r="FP6" s="4"/>
      <c r="FQ6" s="4"/>
      <c r="FR6" s="4"/>
      <c r="FS6" s="4"/>
      <c r="FT6" s="4"/>
      <c r="FU6" s="4"/>
      <c r="FV6" s="4"/>
      <c r="FW6" s="4"/>
      <c r="FX6" s="4"/>
      <c r="FY6" s="4"/>
      <c r="FZ6" s="4"/>
      <c r="GA6" s="4"/>
      <c r="GB6" s="4"/>
      <c r="GC6" s="4"/>
      <c r="GD6" s="4"/>
      <c r="GE6" s="4"/>
      <c r="GF6" s="4"/>
      <c r="GG6" s="4"/>
    </row>
    <row r="7" spans="1:189" ht="13.2" outlineLevel="1">
      <c r="A7" s="116"/>
      <c r="B7" s="116"/>
      <c r="C7" s="116">
        <v>2</v>
      </c>
      <c r="D7" s="3" t="s">
        <v>1035</v>
      </c>
      <c r="E7" s="207"/>
      <c r="F7" s="180" t="s">
        <v>1073</v>
      </c>
      <c r="G7" s="180"/>
      <c r="H7" s="180"/>
      <c r="I7" s="180"/>
      <c r="J7" s="180"/>
      <c r="K7" s="180"/>
      <c r="L7" s="180"/>
      <c r="M7" s="181">
        <v>45078</v>
      </c>
      <c r="N7" s="181">
        <v>45079</v>
      </c>
      <c r="O7" s="182"/>
      <c r="P7" s="183">
        <v>2</v>
      </c>
      <c r="Q7" s="183">
        <v>2</v>
      </c>
      <c r="R7" s="184">
        <v>2</v>
      </c>
      <c r="S7" s="184">
        <v>2</v>
      </c>
      <c r="T7" s="181"/>
      <c r="U7" s="181"/>
      <c r="V7" s="185"/>
      <c r="W7" s="186">
        <v>0</v>
      </c>
      <c r="X7" s="187">
        <v>1</v>
      </c>
      <c r="Y7" s="182" t="s">
        <v>1151</v>
      </c>
      <c r="Z7" s="188"/>
      <c r="AA7" s="97">
        <v>1</v>
      </c>
      <c r="AB7" s="189">
        <v>1</v>
      </c>
      <c r="AC7" s="210" t="str">
        <f>"     " &amp; TEXT(AB7,"#0.00%") &amp; " " &amp; "iOS" &amp; "(Manish)" &amp; " " &amp; IF(M7="","",TEXT(M7,"M/D-")) &amp; IF(N7="","",TEXT(N7,"M/D")) &amp; " "</f>
        <v xml:space="preserve">     100.00% iOS(Manish) 6/1-6/2 </v>
      </c>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c r="CY7" s="4"/>
      <c r="CZ7" s="4"/>
      <c r="DA7" s="4"/>
      <c r="DB7" s="4"/>
      <c r="DC7" s="4"/>
      <c r="DD7" s="4"/>
      <c r="DE7" s="4"/>
      <c r="DF7" s="4"/>
      <c r="DG7" s="4"/>
      <c r="DH7" s="4"/>
      <c r="DI7" s="4"/>
      <c r="DJ7" s="4"/>
      <c r="DK7" s="4"/>
      <c r="DL7" s="4"/>
      <c r="DM7" s="4"/>
      <c r="DN7" s="4"/>
      <c r="DO7" s="4"/>
      <c r="DP7" s="4"/>
      <c r="DQ7" s="4"/>
      <c r="DR7" s="4"/>
      <c r="DS7" s="4"/>
      <c r="DT7" s="4"/>
      <c r="DU7" s="4"/>
      <c r="DV7" s="4"/>
      <c r="DW7" s="4"/>
      <c r="DX7" s="4"/>
      <c r="DY7" s="4"/>
      <c r="DZ7" s="4"/>
      <c r="EA7" s="4"/>
      <c r="EB7" s="4"/>
      <c r="EC7" s="4"/>
      <c r="ED7" s="4"/>
      <c r="EE7" s="4"/>
      <c r="EF7" s="4"/>
      <c r="EG7" s="4"/>
      <c r="EH7" s="4"/>
      <c r="EI7" s="4"/>
      <c r="EJ7" s="4"/>
      <c r="EK7" s="4"/>
      <c r="EL7" s="4"/>
      <c r="EM7" s="4"/>
      <c r="EN7" s="4"/>
      <c r="EO7" s="4"/>
      <c r="EP7" s="4"/>
      <c r="EQ7" s="4"/>
      <c r="ER7" s="4"/>
      <c r="ES7" s="4"/>
      <c r="ET7" s="4"/>
      <c r="EU7" s="4"/>
      <c r="EV7" s="4"/>
      <c r="EW7" s="4"/>
      <c r="EX7" s="4"/>
      <c r="EY7" s="4"/>
      <c r="EZ7" s="4"/>
      <c r="FA7" s="4"/>
      <c r="FB7" s="4"/>
      <c r="FC7" s="4"/>
      <c r="FD7" s="4"/>
      <c r="FE7" s="4"/>
      <c r="FF7" s="4"/>
      <c r="FG7" s="4"/>
      <c r="FH7" s="4"/>
      <c r="FI7" s="4"/>
      <c r="FJ7" s="4"/>
      <c r="FK7" s="4"/>
      <c r="FL7" s="4"/>
      <c r="FM7" s="4"/>
      <c r="FN7" s="4"/>
      <c r="FO7" s="4"/>
      <c r="FP7" s="4"/>
      <c r="FQ7" s="4"/>
      <c r="FR7" s="4"/>
      <c r="FS7" s="4"/>
      <c r="FT7" s="4"/>
      <c r="FU7" s="4"/>
      <c r="FV7" s="4"/>
      <c r="FW7" s="4"/>
      <c r="FX7" s="4"/>
      <c r="FY7" s="4"/>
      <c r="FZ7" s="4"/>
      <c r="GA7" s="4"/>
      <c r="GB7" s="4"/>
      <c r="GC7" s="4"/>
      <c r="GD7" s="4"/>
      <c r="GE7" s="4"/>
      <c r="GF7" s="4"/>
      <c r="GG7" s="4"/>
    </row>
    <row r="8" spans="1:189" ht="13.2" outlineLevel="1">
      <c r="A8" s="116"/>
      <c r="B8" s="116"/>
      <c r="C8" s="116">
        <v>2</v>
      </c>
      <c r="D8" s="3" t="s">
        <v>1042</v>
      </c>
      <c r="E8" s="207"/>
      <c r="F8" s="180" t="s">
        <v>1072</v>
      </c>
      <c r="G8" s="180"/>
      <c r="H8" s="180"/>
      <c r="I8" s="180"/>
      <c r="J8" s="180"/>
      <c r="K8" s="180"/>
      <c r="L8" s="180"/>
      <c r="M8" s="181">
        <v>45078</v>
      </c>
      <c r="N8" s="181">
        <v>45079</v>
      </c>
      <c r="O8" s="182"/>
      <c r="P8" s="183">
        <v>2</v>
      </c>
      <c r="Q8" s="183">
        <v>2</v>
      </c>
      <c r="R8" s="184">
        <v>2</v>
      </c>
      <c r="S8" s="184">
        <v>2</v>
      </c>
      <c r="T8" s="181"/>
      <c r="U8" s="181"/>
      <c r="V8" s="185"/>
      <c r="W8" s="186">
        <v>0</v>
      </c>
      <c r="X8" s="187">
        <v>1</v>
      </c>
      <c r="Y8" s="182" t="s">
        <v>1152</v>
      </c>
      <c r="Z8" s="188"/>
      <c r="AA8" s="97">
        <v>1</v>
      </c>
      <c r="AB8" s="189">
        <v>1</v>
      </c>
      <c r="AC8" s="210" t="str">
        <f>"     " &amp; TEXT(AB8,"#0.00%") &amp; " " &amp; "Android" &amp; "(Sujan)" &amp; " " &amp; IF(M8="","",TEXT(M8,"M/D-")) &amp; IF(N8="","",TEXT(N8,"M/D")) &amp; " "</f>
        <v xml:space="preserve">     100.00% Android(Sujan) 6/1-6/2 </v>
      </c>
      <c r="AD8" s="4"/>
      <c r="AE8" s="4"/>
      <c r="AF8" s="4"/>
      <c r="AG8" s="4"/>
      <c r="AH8" s="4"/>
      <c r="AI8" s="4"/>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4"/>
      <c r="CR8" s="4"/>
      <c r="CS8" s="4"/>
      <c r="CT8" s="4"/>
      <c r="CU8" s="4"/>
      <c r="CV8" s="4"/>
      <c r="CW8" s="4"/>
      <c r="CX8" s="4"/>
      <c r="CY8" s="4"/>
      <c r="CZ8" s="4"/>
      <c r="DA8" s="4"/>
      <c r="DB8" s="4"/>
      <c r="DC8" s="4"/>
      <c r="DD8" s="4"/>
      <c r="DE8" s="4"/>
      <c r="DF8" s="4"/>
      <c r="DG8" s="4"/>
      <c r="DH8" s="4"/>
      <c r="DI8" s="4"/>
      <c r="DJ8" s="4"/>
      <c r="DK8" s="4"/>
      <c r="DL8" s="4"/>
      <c r="DM8" s="4"/>
      <c r="DN8" s="4"/>
      <c r="DO8" s="4"/>
      <c r="DP8" s="4"/>
      <c r="DQ8" s="4"/>
      <c r="DR8" s="4"/>
      <c r="DS8" s="4"/>
      <c r="DT8" s="4"/>
      <c r="DU8" s="4"/>
      <c r="DV8" s="4"/>
      <c r="DW8" s="4"/>
      <c r="DX8" s="4"/>
      <c r="DY8" s="4"/>
      <c r="DZ8" s="4"/>
      <c r="EA8" s="4"/>
      <c r="EB8" s="4"/>
      <c r="EC8" s="4"/>
      <c r="ED8" s="4"/>
      <c r="EE8" s="4"/>
      <c r="EF8" s="4"/>
      <c r="EG8" s="4"/>
      <c r="EH8" s="4"/>
      <c r="EI8" s="4"/>
      <c r="EJ8" s="4"/>
      <c r="EK8" s="4"/>
      <c r="EL8" s="4"/>
      <c r="EM8" s="4"/>
      <c r="EN8" s="4"/>
      <c r="EO8" s="4"/>
      <c r="EP8" s="4"/>
      <c r="EQ8" s="4"/>
      <c r="ER8" s="4"/>
      <c r="ES8" s="4"/>
      <c r="ET8" s="4"/>
      <c r="EU8" s="4"/>
      <c r="EV8" s="4"/>
      <c r="EW8" s="4"/>
      <c r="EX8" s="4"/>
      <c r="EY8" s="4"/>
      <c r="EZ8" s="4"/>
      <c r="FA8" s="4"/>
      <c r="FB8" s="4"/>
      <c r="FC8" s="4"/>
      <c r="FD8" s="4"/>
      <c r="FE8" s="4"/>
      <c r="FF8" s="4"/>
      <c r="FG8" s="4"/>
      <c r="FH8" s="4"/>
      <c r="FI8" s="4"/>
      <c r="FJ8" s="4"/>
      <c r="FK8" s="4"/>
      <c r="FL8" s="4"/>
      <c r="FM8" s="4"/>
      <c r="FN8" s="4"/>
      <c r="FO8" s="4"/>
      <c r="FP8" s="4"/>
      <c r="FQ8" s="4"/>
      <c r="FR8" s="4"/>
      <c r="FS8" s="4"/>
      <c r="FT8" s="4"/>
      <c r="FU8" s="4"/>
      <c r="FV8" s="4"/>
      <c r="FW8" s="4"/>
      <c r="FX8" s="4"/>
      <c r="FY8" s="4"/>
      <c r="FZ8" s="4"/>
      <c r="GA8" s="4"/>
      <c r="GB8" s="4"/>
      <c r="GC8" s="4"/>
      <c r="GD8" s="4"/>
      <c r="GE8" s="4"/>
      <c r="GF8" s="4"/>
      <c r="GG8" s="4"/>
    </row>
    <row r="9" spans="1:189" outlineLevel="1">
      <c r="A9" s="116"/>
      <c r="B9" s="116"/>
      <c r="C9" s="116">
        <v>2</v>
      </c>
      <c r="D9" s="3" t="s">
        <v>1043</v>
      </c>
      <c r="E9" s="180"/>
      <c r="F9" s="180" t="s">
        <v>1040</v>
      </c>
      <c r="G9" s="180"/>
      <c r="H9" s="180"/>
      <c r="I9" s="180"/>
      <c r="J9" s="180"/>
      <c r="K9" s="180"/>
      <c r="L9" s="180"/>
      <c r="M9" s="181">
        <v>45079</v>
      </c>
      <c r="N9" s="181">
        <v>45082</v>
      </c>
      <c r="O9" s="182"/>
      <c r="P9" s="183">
        <v>2</v>
      </c>
      <c r="Q9" s="183">
        <v>2</v>
      </c>
      <c r="R9" s="184">
        <v>2</v>
      </c>
      <c r="S9" s="184">
        <v>2</v>
      </c>
      <c r="T9" s="181"/>
      <c r="U9" s="181"/>
      <c r="V9" s="185"/>
      <c r="W9" s="186">
        <v>0</v>
      </c>
      <c r="X9" s="187">
        <v>1</v>
      </c>
      <c r="Y9" s="182" t="s">
        <v>1153</v>
      </c>
      <c r="Z9" s="188"/>
      <c r="AA9" s="97">
        <v>1</v>
      </c>
      <c r="AB9" s="189">
        <v>1</v>
      </c>
      <c r="AC9" s="210"/>
      <c r="AD9" s="4" t="str">
        <f>" " &amp; TEXT(AB9,"#0.00%") &amp; " " &amp; "Test in TB" &amp; "(Chetan)" &amp; " " &amp; IF(M9="","",TEXT(M9,"M/D-")) &amp; IF(N9="","",TEXT(N9,"M/D")) &amp; " "</f>
        <v xml:space="preserve"> 100.00% Test in TB(Chetan) 6/2-6/5 </v>
      </c>
      <c r="AE9" s="4"/>
      <c r="AF9" s="4"/>
      <c r="AG9" s="4"/>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4"/>
      <c r="CR9" s="4"/>
      <c r="CS9" s="4"/>
      <c r="CT9" s="4"/>
      <c r="CU9" s="4"/>
      <c r="CV9" s="4"/>
      <c r="CW9" s="4"/>
      <c r="CX9" s="4"/>
      <c r="CY9" s="4"/>
      <c r="CZ9" s="4"/>
      <c r="DA9" s="4"/>
      <c r="DB9" s="4"/>
      <c r="DC9" s="4"/>
      <c r="DD9" s="4"/>
      <c r="DE9" s="4"/>
      <c r="DF9" s="4"/>
      <c r="DG9" s="4"/>
      <c r="DH9" s="4"/>
      <c r="DI9" s="4"/>
      <c r="DJ9" s="4"/>
      <c r="DK9" s="4"/>
      <c r="DL9" s="4"/>
      <c r="DM9" s="4"/>
      <c r="DN9" s="4"/>
      <c r="DO9" s="4"/>
      <c r="DP9" s="4"/>
      <c r="DQ9" s="4"/>
      <c r="DR9" s="4"/>
      <c r="DS9" s="4"/>
      <c r="DT9" s="4"/>
      <c r="DU9" s="4"/>
      <c r="DV9" s="4"/>
      <c r="DW9" s="4"/>
      <c r="DX9" s="4"/>
      <c r="DY9" s="4"/>
      <c r="DZ9" s="4"/>
      <c r="EA9" s="4"/>
      <c r="EB9" s="4"/>
      <c r="EC9" s="4"/>
      <c r="ED9" s="4"/>
      <c r="EE9" s="4"/>
      <c r="EF9" s="4"/>
      <c r="EG9" s="4"/>
      <c r="EH9" s="4"/>
      <c r="EI9" s="4"/>
      <c r="EJ9" s="4"/>
      <c r="EK9" s="4"/>
      <c r="EL9" s="4"/>
      <c r="EM9" s="4"/>
      <c r="EN9" s="4"/>
      <c r="EO9" s="4"/>
      <c r="EP9" s="4"/>
      <c r="EQ9" s="4"/>
      <c r="ER9" s="4"/>
      <c r="ES9" s="4"/>
      <c r="ET9" s="4"/>
      <c r="EU9" s="4"/>
      <c r="EV9" s="4"/>
      <c r="EW9" s="4"/>
      <c r="EX9" s="4"/>
      <c r="EY9" s="4"/>
      <c r="EZ9" s="4"/>
      <c r="FA9" s="4"/>
      <c r="FB9" s="4"/>
      <c r="FC9" s="4"/>
      <c r="FD9" s="4"/>
      <c r="FE9" s="4"/>
      <c r="FF9" s="4"/>
      <c r="FG9" s="4"/>
      <c r="FH9" s="4"/>
      <c r="FI9" s="4"/>
      <c r="FJ9" s="4"/>
      <c r="FK9" s="4"/>
      <c r="FL9" s="4"/>
      <c r="FM9" s="4"/>
      <c r="FN9" s="4"/>
      <c r="FO9" s="4"/>
      <c r="FP9" s="4"/>
      <c r="FQ9" s="4"/>
      <c r="FR9" s="4"/>
      <c r="FS9" s="4"/>
      <c r="FT9" s="4"/>
      <c r="FU9" s="4"/>
      <c r="FV9" s="4"/>
      <c r="FW9" s="4"/>
      <c r="FX9" s="4"/>
      <c r="FY9" s="4"/>
      <c r="FZ9" s="4"/>
      <c r="GA9" s="4"/>
      <c r="GB9" s="4"/>
      <c r="GC9" s="4"/>
      <c r="GD9" s="4"/>
      <c r="GE9" s="4"/>
      <c r="GF9" s="4"/>
      <c r="GG9" s="4"/>
    </row>
    <row r="10" spans="1:189" outlineLevel="1">
      <c r="A10" s="116"/>
      <c r="B10" s="116"/>
      <c r="C10" s="116">
        <v>2</v>
      </c>
      <c r="D10" s="3" t="s">
        <v>1156</v>
      </c>
      <c r="E10" s="180"/>
      <c r="F10" s="180" t="s">
        <v>1039</v>
      </c>
      <c r="G10" s="180"/>
      <c r="H10" s="180"/>
      <c r="I10" s="180"/>
      <c r="J10" s="180"/>
      <c r="K10" s="180"/>
      <c r="L10" s="180"/>
      <c r="M10" s="181">
        <v>45084</v>
      </c>
      <c r="N10" s="181">
        <v>45084</v>
      </c>
      <c r="O10" s="182"/>
      <c r="P10" s="183">
        <v>1</v>
      </c>
      <c r="Q10" s="183">
        <v>1</v>
      </c>
      <c r="R10" s="184">
        <v>1</v>
      </c>
      <c r="S10" s="184">
        <v>1</v>
      </c>
      <c r="T10" s="181"/>
      <c r="U10" s="181"/>
      <c r="V10" s="185"/>
      <c r="W10" s="186">
        <v>0</v>
      </c>
      <c r="X10" s="187">
        <v>1</v>
      </c>
      <c r="Y10" s="182"/>
      <c r="Z10" s="188"/>
      <c r="AA10" s="97">
        <v>1</v>
      </c>
      <c r="AB10" s="189">
        <v>1</v>
      </c>
      <c r="AC10" s="210"/>
      <c r="AD10" s="4" t="str">
        <f>"   " &amp; TEXT(AB10,"#0.00%") &amp; " " &amp; "Test in Live" &amp; " " &amp; IF(M10="","",TEXT(M10,"M/D-")) &amp; IF(N10="","",TEXT(N10,"M/D")) &amp; " "</f>
        <v xml:space="preserve">   100.00% Test in Live 6/7-6/7 </v>
      </c>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c r="CH10" s="4"/>
      <c r="CI10" s="4"/>
      <c r="CJ10" s="4"/>
      <c r="CK10" s="4"/>
      <c r="CL10" s="4"/>
      <c r="CM10" s="4"/>
      <c r="CN10" s="4"/>
      <c r="CO10" s="4"/>
      <c r="CP10" s="4"/>
      <c r="CQ10" s="4"/>
      <c r="CR10" s="4"/>
      <c r="CS10" s="4"/>
      <c r="CT10" s="4"/>
      <c r="CU10" s="4"/>
      <c r="CV10" s="4"/>
      <c r="CW10" s="4"/>
      <c r="CX10" s="4"/>
      <c r="CY10" s="4"/>
      <c r="CZ10" s="4"/>
      <c r="DA10" s="4"/>
      <c r="DB10" s="4"/>
      <c r="DC10" s="4"/>
      <c r="DD10" s="4"/>
      <c r="DE10" s="4"/>
      <c r="DF10" s="4"/>
      <c r="DG10" s="4"/>
      <c r="DH10" s="4"/>
      <c r="DI10" s="4"/>
      <c r="DJ10" s="4"/>
      <c r="DK10" s="4"/>
      <c r="DL10" s="4"/>
      <c r="DM10" s="4"/>
      <c r="DN10" s="4"/>
      <c r="DO10" s="4"/>
      <c r="DP10" s="4"/>
      <c r="DQ10" s="4"/>
      <c r="DR10" s="4"/>
      <c r="DS10" s="4"/>
      <c r="DT10" s="4"/>
      <c r="DU10" s="4"/>
      <c r="DV10" s="4"/>
      <c r="DW10" s="4"/>
      <c r="DX10" s="4"/>
      <c r="DY10" s="4"/>
      <c r="DZ10" s="4"/>
      <c r="EA10" s="4"/>
      <c r="EB10" s="4"/>
      <c r="EC10" s="4"/>
      <c r="ED10" s="4"/>
      <c r="EE10" s="4"/>
      <c r="EF10" s="4"/>
      <c r="EG10" s="4"/>
      <c r="EH10" s="4"/>
      <c r="EI10" s="4"/>
      <c r="EJ10" s="4"/>
      <c r="EK10" s="4"/>
      <c r="EL10" s="4"/>
      <c r="EM10" s="4"/>
      <c r="EN10" s="4"/>
      <c r="EO10" s="4"/>
      <c r="EP10" s="4"/>
      <c r="EQ10" s="4"/>
      <c r="ER10" s="4"/>
      <c r="ES10" s="4"/>
      <c r="ET10" s="4"/>
      <c r="EU10" s="4"/>
      <c r="EV10" s="4"/>
      <c r="EW10" s="4"/>
      <c r="EX10" s="4"/>
      <c r="EY10" s="4"/>
      <c r="EZ10" s="4"/>
      <c r="FA10" s="4"/>
      <c r="FB10" s="4"/>
      <c r="FC10" s="4"/>
      <c r="FD10" s="4"/>
      <c r="FE10" s="4"/>
      <c r="FF10" s="4"/>
      <c r="FG10" s="4"/>
      <c r="FH10" s="4"/>
      <c r="FI10" s="4"/>
      <c r="FJ10" s="4"/>
      <c r="FK10" s="4"/>
      <c r="FL10" s="4"/>
      <c r="FM10" s="4"/>
      <c r="FN10" s="4"/>
      <c r="FO10" s="4"/>
      <c r="FP10" s="4"/>
      <c r="FQ10" s="4"/>
      <c r="FR10" s="4"/>
      <c r="FS10" s="4"/>
      <c r="FT10" s="4"/>
      <c r="FU10" s="4"/>
      <c r="FV10" s="4"/>
      <c r="FW10" s="4"/>
      <c r="FX10" s="4"/>
      <c r="FY10" s="4"/>
      <c r="FZ10" s="4"/>
      <c r="GA10" s="4"/>
      <c r="GB10" s="4"/>
      <c r="GC10" s="4"/>
      <c r="GD10" s="4"/>
      <c r="GE10" s="4"/>
      <c r="GF10" s="4"/>
      <c r="GG10" s="4"/>
    </row>
    <row r="11" spans="1:189" outlineLevel="1">
      <c r="A11" s="116"/>
      <c r="B11" s="116"/>
      <c r="C11" s="116">
        <v>2</v>
      </c>
      <c r="D11" s="3" t="s">
        <v>1157</v>
      </c>
      <c r="E11" s="180"/>
      <c r="F11" s="180" t="s">
        <v>1041</v>
      </c>
      <c r="G11" s="180"/>
      <c r="H11" s="180"/>
      <c r="I11" s="180"/>
      <c r="J11" s="180"/>
      <c r="K11" s="180"/>
      <c r="L11" s="180"/>
      <c r="M11" s="181">
        <v>45085</v>
      </c>
      <c r="N11" s="181">
        <v>45085</v>
      </c>
      <c r="O11" s="182"/>
      <c r="P11" s="183">
        <v>1</v>
      </c>
      <c r="Q11" s="183">
        <v>1</v>
      </c>
      <c r="R11" s="184">
        <v>1</v>
      </c>
      <c r="S11" s="184">
        <v>1</v>
      </c>
      <c r="T11" s="181"/>
      <c r="U11" s="181"/>
      <c r="V11" s="185"/>
      <c r="W11" s="186">
        <v>0</v>
      </c>
      <c r="X11" s="187">
        <v>1</v>
      </c>
      <c r="Y11" s="182"/>
      <c r="Z11" s="188"/>
      <c r="AA11" s="97">
        <v>1</v>
      </c>
      <c r="AB11" s="189">
        <v>1</v>
      </c>
      <c r="AC11" s="210"/>
      <c r="AD11" s="4" t="str">
        <f>"    " &amp; TEXT(AB11,"#0.00%") &amp; " " &amp; "Service Launch" &amp; " " &amp; IF(M11="","",TEXT(M11,"M/D-")) &amp; IF(N11="","",TEXT(N11,"M/D")) &amp; " "</f>
        <v xml:space="preserve">    100.00% Service Launch 6/8-6/8 </v>
      </c>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c r="CM11" s="4"/>
      <c r="CN11" s="4"/>
      <c r="CO11" s="4"/>
      <c r="CP11" s="4"/>
      <c r="CQ11" s="4"/>
      <c r="CR11" s="4"/>
      <c r="CS11" s="4"/>
      <c r="CT11" s="4"/>
      <c r="CU11" s="4"/>
      <c r="CV11" s="4"/>
      <c r="CW11" s="4"/>
      <c r="CX11" s="4"/>
      <c r="CY11" s="4"/>
      <c r="CZ11" s="4"/>
      <c r="DA11" s="4"/>
      <c r="DB11" s="4"/>
      <c r="DC11" s="4"/>
      <c r="DD11" s="4"/>
      <c r="DE11" s="4"/>
      <c r="DF11" s="4"/>
      <c r="DG11" s="4"/>
      <c r="DH11" s="4"/>
      <c r="DI11" s="4"/>
      <c r="DJ11" s="4"/>
      <c r="DK11" s="4"/>
      <c r="DL11" s="4"/>
      <c r="DM11" s="4"/>
      <c r="DN11" s="4"/>
      <c r="DO11" s="4"/>
      <c r="DP11" s="4"/>
      <c r="DQ11" s="4"/>
      <c r="DR11" s="4"/>
      <c r="DS11" s="4"/>
      <c r="DT11" s="4"/>
      <c r="DU11" s="4"/>
      <c r="DV11" s="4"/>
      <c r="DW11" s="4"/>
      <c r="DX11" s="4"/>
      <c r="DY11" s="4"/>
      <c r="DZ11" s="4"/>
      <c r="EA11" s="4"/>
      <c r="EB11" s="4"/>
      <c r="EC11" s="4"/>
      <c r="ED11" s="4"/>
      <c r="EE11" s="4"/>
      <c r="EF11" s="4"/>
      <c r="EG11" s="4"/>
      <c r="EH11" s="4"/>
      <c r="EI11" s="4"/>
      <c r="EJ11" s="4"/>
      <c r="EK11" s="4"/>
      <c r="EL11" s="4"/>
      <c r="EM11" s="4"/>
      <c r="EN11" s="4"/>
      <c r="EO11" s="4"/>
      <c r="EP11" s="4"/>
      <c r="EQ11" s="4"/>
      <c r="ER11" s="4"/>
      <c r="ES11" s="4"/>
      <c r="ET11" s="4"/>
      <c r="EU11" s="4"/>
      <c r="EV11" s="4"/>
      <c r="EW11" s="4"/>
      <c r="EX11" s="4"/>
      <c r="EY11" s="4"/>
      <c r="EZ11" s="4"/>
      <c r="FA11" s="4"/>
      <c r="FB11" s="4"/>
      <c r="FC11" s="4"/>
      <c r="FD11" s="4"/>
      <c r="FE11" s="4"/>
      <c r="FF11" s="4"/>
      <c r="FG11" s="4"/>
      <c r="FH11" s="4"/>
      <c r="FI11" s="4"/>
      <c r="FJ11" s="4"/>
      <c r="FK11" s="4"/>
      <c r="FL11" s="4"/>
      <c r="FM11" s="4"/>
      <c r="FN11" s="4"/>
      <c r="FO11" s="4"/>
      <c r="FP11" s="4"/>
      <c r="FQ11" s="4"/>
      <c r="FR11" s="4"/>
      <c r="FS11" s="4"/>
      <c r="FT11" s="4"/>
      <c r="FU11" s="4"/>
      <c r="FV11" s="4"/>
      <c r="FW11" s="4"/>
      <c r="FX11" s="4"/>
      <c r="FY11" s="4"/>
      <c r="FZ11" s="4"/>
      <c r="GA11" s="4"/>
      <c r="GB11" s="4"/>
      <c r="GC11" s="4"/>
      <c r="GD11" s="4"/>
      <c r="GE11" s="4"/>
      <c r="GF11" s="4"/>
      <c r="GG11" s="4"/>
    </row>
    <row r="12" spans="1:189" outlineLevel="1">
      <c r="A12" s="116"/>
      <c r="B12" s="116"/>
      <c r="C12" s="116">
        <v>0</v>
      </c>
      <c r="D12" s="3"/>
      <c r="E12" s="180"/>
      <c r="F12" s="180"/>
      <c r="G12" s="180"/>
      <c r="H12" s="180"/>
      <c r="I12" s="180"/>
      <c r="J12" s="180"/>
      <c r="K12" s="180"/>
      <c r="L12" s="180"/>
      <c r="M12" s="181"/>
      <c r="N12" s="181"/>
      <c r="O12" s="182"/>
      <c r="P12" s="183"/>
      <c r="Q12" s="183"/>
      <c r="R12" s="184">
        <v>0</v>
      </c>
      <c r="S12" s="184">
        <v>0</v>
      </c>
      <c r="T12" s="181"/>
      <c r="U12" s="181"/>
      <c r="V12" s="185"/>
      <c r="W12" s="186">
        <v>0</v>
      </c>
      <c r="X12" s="187"/>
      <c r="Y12" s="182"/>
      <c r="Z12" s="188"/>
      <c r="AA12" s="97"/>
      <c r="AB12" s="189"/>
      <c r="AC12" s="210"/>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c r="CN12" s="4"/>
      <c r="CO12" s="4"/>
      <c r="CP12" s="4"/>
      <c r="CQ12" s="4"/>
      <c r="CR12" s="4"/>
      <c r="CS12" s="4"/>
      <c r="CT12" s="4"/>
      <c r="CU12" s="4"/>
      <c r="CV12" s="4"/>
      <c r="CW12" s="4"/>
      <c r="CX12" s="4"/>
      <c r="CY12" s="4"/>
      <c r="CZ12" s="4"/>
      <c r="DA12" s="4"/>
      <c r="DB12" s="4"/>
      <c r="DC12" s="4"/>
      <c r="DD12" s="4"/>
      <c r="DE12" s="4"/>
      <c r="DF12" s="4"/>
      <c r="DG12" s="4"/>
      <c r="DH12" s="4"/>
      <c r="DI12" s="4"/>
      <c r="DJ12" s="4"/>
      <c r="DK12" s="4"/>
      <c r="DL12" s="4"/>
      <c r="DM12" s="4"/>
      <c r="DN12" s="4"/>
      <c r="DO12" s="4"/>
      <c r="DP12" s="4"/>
      <c r="DQ12" s="4"/>
      <c r="DR12" s="4"/>
      <c r="DS12" s="4"/>
      <c r="DT12" s="4"/>
      <c r="DU12" s="4"/>
      <c r="DV12" s="4"/>
      <c r="DW12" s="4"/>
      <c r="DX12" s="4"/>
      <c r="DY12" s="4"/>
      <c r="DZ12" s="4"/>
      <c r="EA12" s="4"/>
      <c r="EB12" s="4"/>
      <c r="EC12" s="4"/>
      <c r="ED12" s="4"/>
      <c r="EE12" s="4"/>
      <c r="EF12" s="4"/>
      <c r="EG12" s="4"/>
      <c r="EH12" s="4"/>
      <c r="EI12" s="4"/>
      <c r="EJ12" s="4"/>
      <c r="EK12" s="4"/>
      <c r="EL12" s="4"/>
      <c r="EM12" s="4"/>
      <c r="EN12" s="4"/>
      <c r="EO12" s="4"/>
      <c r="EP12" s="4"/>
      <c r="EQ12" s="4"/>
      <c r="ER12" s="4"/>
      <c r="ES12" s="4"/>
      <c r="ET12" s="4"/>
      <c r="EU12" s="4"/>
      <c r="EV12" s="4"/>
      <c r="EW12" s="4"/>
      <c r="EX12" s="4"/>
      <c r="EY12" s="4"/>
      <c r="EZ12" s="4"/>
      <c r="FA12" s="4"/>
      <c r="FB12" s="4"/>
      <c r="FC12" s="4"/>
      <c r="FD12" s="4"/>
      <c r="FE12" s="4"/>
      <c r="FF12" s="4"/>
      <c r="FG12" s="4"/>
      <c r="FH12" s="4"/>
      <c r="FI12" s="4"/>
      <c r="FJ12" s="4"/>
      <c r="FK12" s="4"/>
      <c r="FL12" s="4"/>
      <c r="FM12" s="4"/>
      <c r="FN12" s="4"/>
      <c r="FO12" s="4"/>
      <c r="FP12" s="4"/>
      <c r="FQ12" s="4"/>
      <c r="FR12" s="4"/>
      <c r="FS12" s="4"/>
      <c r="FT12" s="4"/>
      <c r="FU12" s="4"/>
      <c r="FV12" s="4"/>
      <c r="FW12" s="4"/>
      <c r="FX12" s="4"/>
      <c r="FY12" s="4"/>
      <c r="FZ12" s="4"/>
      <c r="GA12" s="4"/>
      <c r="GB12" s="4"/>
      <c r="GC12" s="4"/>
      <c r="GD12" s="4"/>
      <c r="GE12" s="4"/>
      <c r="GF12" s="4"/>
      <c r="GG12" s="4"/>
    </row>
    <row r="13" spans="1:189">
      <c r="A13" s="116"/>
      <c r="B13" s="116" t="s">
        <v>983</v>
      </c>
      <c r="C13" s="116">
        <v>1</v>
      </c>
      <c r="D13" s="3" t="s">
        <v>1079</v>
      </c>
      <c r="E13" s="180" t="s">
        <v>1078</v>
      </c>
      <c r="F13" s="180"/>
      <c r="G13" s="180"/>
      <c r="H13" s="180"/>
      <c r="I13" s="180"/>
      <c r="J13" s="180"/>
      <c r="K13" s="180"/>
      <c r="L13" s="180"/>
      <c r="M13" s="181">
        <v>45078</v>
      </c>
      <c r="N13" s="181">
        <v>45086</v>
      </c>
      <c r="O13" s="182"/>
      <c r="P13" s="183">
        <v>7</v>
      </c>
      <c r="Q13" s="183">
        <v>7</v>
      </c>
      <c r="R13" s="184">
        <v>7</v>
      </c>
      <c r="S13" s="184">
        <v>7</v>
      </c>
      <c r="T13" s="181"/>
      <c r="U13" s="181"/>
      <c r="V13" s="185">
        <v>0</v>
      </c>
      <c r="W13" s="186">
        <v>0</v>
      </c>
      <c r="X13" s="187"/>
      <c r="Y13" s="182"/>
      <c r="Z13" s="188"/>
      <c r="AA13" s="97">
        <v>1</v>
      </c>
      <c r="AB13" s="189">
        <v>1</v>
      </c>
      <c r="AC13" s="210"/>
      <c r="AD13" s="4" t="str">
        <f>"     " &amp; TEXT(AB13,"#0.00%") &amp; " " &amp; "[2207-11] Setup AML Solution" &amp; " " &amp; IF(M13="","",TEXT(M13,"M/D-")) &amp; IF(N13="","",TEXT(N13,"M/D")) &amp; " "</f>
        <v xml:space="preserve">     100.00% [2207-11] Setup AML Solution 6/1-6/9 </v>
      </c>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c r="CG13" s="4"/>
      <c r="CH13" s="4"/>
      <c r="CI13" s="4"/>
      <c r="CJ13" s="4"/>
      <c r="CK13" s="4"/>
      <c r="CL13" s="4"/>
      <c r="CM13" s="4"/>
      <c r="CN13" s="4"/>
      <c r="CO13" s="4"/>
      <c r="CP13" s="4"/>
      <c r="CQ13" s="4"/>
      <c r="CR13" s="4"/>
      <c r="CS13" s="4"/>
      <c r="CT13" s="4"/>
      <c r="CU13" s="4"/>
      <c r="CV13" s="4"/>
      <c r="CW13" s="4"/>
      <c r="CX13" s="4"/>
      <c r="CY13" s="4"/>
      <c r="CZ13" s="4"/>
      <c r="DA13" s="4"/>
      <c r="DB13" s="4"/>
      <c r="DC13" s="4"/>
      <c r="DD13" s="4"/>
      <c r="DE13" s="4"/>
      <c r="DF13" s="4"/>
      <c r="DG13" s="4"/>
      <c r="DH13" s="4"/>
      <c r="DI13" s="4"/>
      <c r="DJ13" s="4"/>
      <c r="DK13" s="4"/>
      <c r="DL13" s="4"/>
      <c r="DM13" s="4"/>
      <c r="DN13" s="4"/>
      <c r="DO13" s="4"/>
      <c r="DP13" s="4"/>
      <c r="DQ13" s="4"/>
      <c r="DR13" s="4"/>
      <c r="DS13" s="4"/>
      <c r="DT13" s="4"/>
      <c r="DU13" s="4"/>
      <c r="DV13" s="4"/>
      <c r="DW13" s="4"/>
      <c r="DX13" s="4"/>
      <c r="DY13" s="4"/>
      <c r="DZ13" s="4"/>
      <c r="EA13" s="4"/>
      <c r="EB13" s="4"/>
      <c r="EC13" s="4"/>
      <c r="ED13" s="4"/>
      <c r="EE13" s="4"/>
      <c r="EF13" s="4"/>
      <c r="EG13" s="4"/>
      <c r="EH13" s="4"/>
      <c r="EI13" s="4"/>
      <c r="EJ13" s="4"/>
      <c r="EK13" s="4"/>
      <c r="EL13" s="4"/>
      <c r="EM13" s="4"/>
      <c r="EN13" s="4"/>
      <c r="EO13" s="4"/>
      <c r="EP13" s="4"/>
      <c r="EQ13" s="4"/>
      <c r="ER13" s="4"/>
      <c r="ES13" s="4"/>
      <c r="ET13" s="4"/>
      <c r="EU13" s="4"/>
      <c r="EV13" s="4"/>
      <c r="EW13" s="4"/>
      <c r="EX13" s="4"/>
      <c r="EY13" s="4"/>
      <c r="EZ13" s="4"/>
      <c r="FA13" s="4"/>
      <c r="FB13" s="4"/>
      <c r="FC13" s="4"/>
      <c r="FD13" s="4"/>
      <c r="FE13" s="4"/>
      <c r="FF13" s="4"/>
      <c r="FG13" s="4"/>
      <c r="FH13" s="4"/>
      <c r="FI13" s="4"/>
      <c r="FJ13" s="4"/>
      <c r="FK13" s="4"/>
      <c r="FL13" s="4"/>
      <c r="FM13" s="4"/>
      <c r="FN13" s="4"/>
      <c r="FO13" s="4"/>
      <c r="FP13" s="4"/>
      <c r="FQ13" s="4"/>
      <c r="FR13" s="4"/>
      <c r="FS13" s="4"/>
      <c r="FT13" s="4"/>
      <c r="FU13" s="4"/>
      <c r="FV13" s="4"/>
      <c r="FW13" s="4"/>
      <c r="FX13" s="4"/>
      <c r="FY13" s="4"/>
      <c r="FZ13" s="4"/>
      <c r="GA13" s="4"/>
      <c r="GB13" s="4"/>
      <c r="GC13" s="4"/>
      <c r="GD13" s="4"/>
      <c r="GE13" s="4"/>
      <c r="GF13" s="4"/>
      <c r="GG13" s="4"/>
    </row>
    <row r="14" spans="1:189" outlineLevel="1">
      <c r="A14" s="116"/>
      <c r="B14" s="116"/>
      <c r="C14" s="116">
        <v>2</v>
      </c>
      <c r="D14" s="3" t="s">
        <v>1080</v>
      </c>
      <c r="E14" s="180"/>
      <c r="F14" s="180" t="s">
        <v>1038</v>
      </c>
      <c r="G14" s="180"/>
      <c r="H14" s="180"/>
      <c r="I14" s="180"/>
      <c r="J14" s="180"/>
      <c r="K14" s="180"/>
      <c r="L14" s="180"/>
      <c r="M14" s="181">
        <v>45078</v>
      </c>
      <c r="N14" s="181">
        <v>45079</v>
      </c>
      <c r="O14" s="182"/>
      <c r="P14" s="183">
        <v>2</v>
      </c>
      <c r="Q14" s="183">
        <v>2</v>
      </c>
      <c r="R14" s="184">
        <v>2</v>
      </c>
      <c r="S14" s="184">
        <v>2</v>
      </c>
      <c r="T14" s="181"/>
      <c r="U14" s="181"/>
      <c r="V14" s="185"/>
      <c r="W14" s="186">
        <v>0</v>
      </c>
      <c r="X14" s="187">
        <v>1</v>
      </c>
      <c r="Y14" s="182" t="s">
        <v>1149</v>
      </c>
      <c r="Z14" s="188" t="s">
        <v>1154</v>
      </c>
      <c r="AA14" s="97">
        <v>1</v>
      </c>
      <c r="AB14" s="189">
        <v>1</v>
      </c>
      <c r="AC14" s="210" t="str">
        <f>"     " &amp; TEXT(AB14,"#0.00%") &amp; " " &amp; "Development" &amp; "(Anil)" &amp; " " &amp; IF(M14="","",TEXT(M14,"M/D-")) &amp; IF(N14="","",TEXT(N14,"M/D")) &amp; " "</f>
        <v xml:space="preserve">     100.00% Development(Anil) 6/1-6/2 </v>
      </c>
      <c r="AD14" s="4"/>
      <c r="AE14" s="4"/>
      <c r="AF14" s="4"/>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c r="CG14" s="4"/>
      <c r="CH14" s="4"/>
      <c r="CI14" s="4"/>
      <c r="CJ14" s="4"/>
      <c r="CK14" s="4"/>
      <c r="CL14" s="4"/>
      <c r="CM14" s="4"/>
      <c r="CN14" s="4"/>
      <c r="CO14" s="4"/>
      <c r="CP14" s="4"/>
      <c r="CQ14" s="4"/>
      <c r="CR14" s="4"/>
      <c r="CS14" s="4"/>
      <c r="CT14" s="4"/>
      <c r="CU14" s="4"/>
      <c r="CV14" s="4"/>
      <c r="CW14" s="4"/>
      <c r="CX14" s="4"/>
      <c r="CY14" s="4"/>
      <c r="CZ14" s="4"/>
      <c r="DA14" s="4"/>
      <c r="DB14" s="4"/>
      <c r="DC14" s="4"/>
      <c r="DD14" s="4"/>
      <c r="DE14" s="4"/>
      <c r="DF14" s="4"/>
      <c r="DG14" s="4"/>
      <c r="DH14" s="4"/>
      <c r="DI14" s="4"/>
      <c r="DJ14" s="4"/>
      <c r="DK14" s="4"/>
      <c r="DL14" s="4"/>
      <c r="DM14" s="4"/>
      <c r="DN14" s="4"/>
      <c r="DO14" s="4"/>
      <c r="DP14" s="4"/>
      <c r="DQ14" s="4"/>
      <c r="DR14" s="4"/>
      <c r="DS14" s="4"/>
      <c r="DT14" s="4"/>
      <c r="DU14" s="4"/>
      <c r="DV14" s="4"/>
      <c r="DW14" s="4"/>
      <c r="DX14" s="4"/>
      <c r="DY14" s="4"/>
      <c r="DZ14" s="4"/>
      <c r="EA14" s="4"/>
      <c r="EB14" s="4"/>
      <c r="EC14" s="4"/>
      <c r="ED14" s="4"/>
      <c r="EE14" s="4"/>
      <c r="EF14" s="4"/>
      <c r="EG14" s="4"/>
      <c r="EH14" s="4"/>
      <c r="EI14" s="4"/>
      <c r="EJ14" s="4"/>
      <c r="EK14" s="4"/>
      <c r="EL14" s="4"/>
      <c r="EM14" s="4"/>
      <c r="EN14" s="4"/>
      <c r="EO14" s="4"/>
      <c r="EP14" s="4"/>
      <c r="EQ14" s="4"/>
      <c r="ER14" s="4"/>
      <c r="ES14" s="4"/>
      <c r="ET14" s="4"/>
      <c r="EU14" s="4"/>
      <c r="EV14" s="4"/>
      <c r="EW14" s="4"/>
      <c r="EX14" s="4"/>
      <c r="EY14" s="4"/>
      <c r="EZ14" s="4"/>
      <c r="FA14" s="4"/>
      <c r="FB14" s="4"/>
      <c r="FC14" s="4"/>
      <c r="FD14" s="4"/>
      <c r="FE14" s="4"/>
      <c r="FF14" s="4"/>
      <c r="FG14" s="4"/>
      <c r="FH14" s="4"/>
      <c r="FI14" s="4"/>
      <c r="FJ14" s="4"/>
      <c r="FK14" s="4"/>
      <c r="FL14" s="4"/>
      <c r="FM14" s="4"/>
      <c r="FN14" s="4"/>
      <c r="FO14" s="4"/>
      <c r="FP14" s="4"/>
      <c r="FQ14" s="4"/>
      <c r="FR14" s="4"/>
      <c r="FS14" s="4"/>
      <c r="FT14" s="4"/>
      <c r="FU14" s="4"/>
      <c r="FV14" s="4"/>
      <c r="FW14" s="4"/>
      <c r="FX14" s="4"/>
      <c r="FY14" s="4"/>
      <c r="FZ14" s="4"/>
      <c r="GA14" s="4"/>
      <c r="GB14" s="4"/>
      <c r="GC14" s="4"/>
      <c r="GD14" s="4"/>
      <c r="GE14" s="4"/>
      <c r="GF14" s="4"/>
      <c r="GG14" s="4"/>
    </row>
    <row r="15" spans="1:189" outlineLevel="1">
      <c r="A15" s="116"/>
      <c r="B15" s="116"/>
      <c r="C15" s="116">
        <v>2</v>
      </c>
      <c r="D15" s="3" t="s">
        <v>1081</v>
      </c>
      <c r="E15" s="180"/>
      <c r="F15" s="180" t="s">
        <v>1040</v>
      </c>
      <c r="G15" s="180"/>
      <c r="H15" s="180"/>
      <c r="I15" s="180"/>
      <c r="J15" s="180"/>
      <c r="K15" s="180"/>
      <c r="L15" s="180"/>
      <c r="M15" s="181">
        <v>45082</v>
      </c>
      <c r="N15" s="181">
        <v>45084</v>
      </c>
      <c r="O15" s="182"/>
      <c r="P15" s="183">
        <v>3</v>
      </c>
      <c r="Q15" s="183">
        <v>3</v>
      </c>
      <c r="R15" s="184">
        <v>3</v>
      </c>
      <c r="S15" s="184">
        <v>3</v>
      </c>
      <c r="T15" s="181"/>
      <c r="U15" s="181"/>
      <c r="V15" s="185"/>
      <c r="W15" s="186">
        <v>0</v>
      </c>
      <c r="X15" s="187">
        <v>1</v>
      </c>
      <c r="Y15" s="182" t="s">
        <v>1155</v>
      </c>
      <c r="Z15" s="188"/>
      <c r="AA15" s="97">
        <v>1</v>
      </c>
      <c r="AB15" s="189">
        <v>1</v>
      </c>
      <c r="AC15" s="210"/>
      <c r="AD15" s="4" t="str">
        <f>"   " &amp; TEXT(AB15,"#0.00%") &amp; " " &amp; "Test in TB" &amp; "(Sapumal)" &amp; " " &amp; IF(M15="","",TEXT(M15,"M/D-")) &amp; IF(N15="","",TEXT(N15,"M/D")) &amp; " "</f>
        <v xml:space="preserve">   100.00% Test in TB(Sapumal) 6/5-6/7 </v>
      </c>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c r="CG15" s="4"/>
      <c r="CH15" s="4"/>
      <c r="CI15" s="4"/>
      <c r="CJ15" s="4"/>
      <c r="CK15" s="4"/>
      <c r="CL15" s="4"/>
      <c r="CM15" s="4"/>
      <c r="CN15" s="4"/>
      <c r="CO15" s="4"/>
      <c r="CP15" s="4"/>
      <c r="CQ15" s="4"/>
      <c r="CR15" s="4"/>
      <c r="CS15" s="4"/>
      <c r="CT15" s="4"/>
      <c r="CU15" s="4"/>
      <c r="CV15" s="4"/>
      <c r="CW15" s="4"/>
      <c r="CX15" s="4"/>
      <c r="CY15" s="4"/>
      <c r="CZ15" s="4"/>
      <c r="DA15" s="4"/>
      <c r="DB15" s="4"/>
      <c r="DC15" s="4"/>
      <c r="DD15" s="4"/>
      <c r="DE15" s="4"/>
      <c r="DF15" s="4"/>
      <c r="DG15" s="4"/>
      <c r="DH15" s="4"/>
      <c r="DI15" s="4"/>
      <c r="DJ15" s="4"/>
      <c r="DK15" s="4"/>
      <c r="DL15" s="4"/>
      <c r="DM15" s="4"/>
      <c r="DN15" s="4"/>
      <c r="DO15" s="4"/>
      <c r="DP15" s="4"/>
      <c r="DQ15" s="4"/>
      <c r="DR15" s="4"/>
      <c r="DS15" s="4"/>
      <c r="DT15" s="4"/>
      <c r="DU15" s="4"/>
      <c r="DV15" s="4"/>
      <c r="DW15" s="4"/>
      <c r="DX15" s="4"/>
      <c r="DY15" s="4"/>
      <c r="DZ15" s="4"/>
      <c r="EA15" s="4"/>
      <c r="EB15" s="4"/>
      <c r="EC15" s="4"/>
      <c r="ED15" s="4"/>
      <c r="EE15" s="4"/>
      <c r="EF15" s="4"/>
      <c r="EG15" s="4"/>
      <c r="EH15" s="4"/>
      <c r="EI15" s="4"/>
      <c r="EJ15" s="4"/>
      <c r="EK15" s="4"/>
      <c r="EL15" s="4"/>
      <c r="EM15" s="4"/>
      <c r="EN15" s="4"/>
      <c r="EO15" s="4"/>
      <c r="EP15" s="4"/>
      <c r="EQ15" s="4"/>
      <c r="ER15" s="4"/>
      <c r="ES15" s="4"/>
      <c r="ET15" s="4"/>
      <c r="EU15" s="4"/>
      <c r="EV15" s="4"/>
      <c r="EW15" s="4"/>
      <c r="EX15" s="4"/>
      <c r="EY15" s="4"/>
      <c r="EZ15" s="4"/>
      <c r="FA15" s="4"/>
      <c r="FB15" s="4"/>
      <c r="FC15" s="4"/>
      <c r="FD15" s="4"/>
      <c r="FE15" s="4"/>
      <c r="FF15" s="4"/>
      <c r="FG15" s="4"/>
      <c r="FH15" s="4"/>
      <c r="FI15" s="4"/>
      <c r="FJ15" s="4"/>
      <c r="FK15" s="4"/>
      <c r="FL15" s="4"/>
      <c r="FM15" s="4"/>
      <c r="FN15" s="4"/>
      <c r="FO15" s="4"/>
      <c r="FP15" s="4"/>
      <c r="FQ15" s="4"/>
      <c r="FR15" s="4"/>
      <c r="FS15" s="4"/>
      <c r="FT15" s="4"/>
      <c r="FU15" s="4"/>
      <c r="FV15" s="4"/>
      <c r="FW15" s="4"/>
      <c r="FX15" s="4"/>
      <c r="FY15" s="4"/>
      <c r="FZ15" s="4"/>
      <c r="GA15" s="4"/>
      <c r="GB15" s="4"/>
      <c r="GC15" s="4"/>
      <c r="GD15" s="4"/>
      <c r="GE15" s="4"/>
      <c r="GF15" s="4"/>
      <c r="GG15" s="4"/>
    </row>
    <row r="16" spans="1:189" outlineLevel="1">
      <c r="A16" s="116"/>
      <c r="B16" s="116"/>
      <c r="C16" s="116">
        <v>2</v>
      </c>
      <c r="D16" s="3" t="s">
        <v>1082</v>
      </c>
      <c r="E16" s="180"/>
      <c r="F16" s="180" t="s">
        <v>1039</v>
      </c>
      <c r="G16" s="180"/>
      <c r="H16" s="180"/>
      <c r="I16" s="180"/>
      <c r="J16" s="180"/>
      <c r="K16" s="180"/>
      <c r="L16" s="180"/>
      <c r="M16" s="181">
        <v>45085</v>
      </c>
      <c r="N16" s="181">
        <v>45085</v>
      </c>
      <c r="O16" s="182"/>
      <c r="P16" s="183">
        <v>1</v>
      </c>
      <c r="Q16" s="183">
        <v>1</v>
      </c>
      <c r="R16" s="184">
        <v>1</v>
      </c>
      <c r="S16" s="184">
        <v>1</v>
      </c>
      <c r="T16" s="181"/>
      <c r="U16" s="181"/>
      <c r="V16" s="185"/>
      <c r="W16" s="186">
        <v>0</v>
      </c>
      <c r="X16" s="187">
        <v>1</v>
      </c>
      <c r="Y16" s="182"/>
      <c r="Z16" s="188"/>
      <c r="AA16" s="97">
        <v>1</v>
      </c>
      <c r="AB16" s="189">
        <v>1</v>
      </c>
      <c r="AC16" s="210"/>
      <c r="AD16" s="4" t="str">
        <f>"    " &amp; TEXT(AB16,"#0.00%") &amp; " " &amp; "Test in Live" &amp; " " &amp; IF(M16="","",TEXT(M16,"M/D-")) &amp; IF(N16="","",TEXT(N16,"M/D")) &amp; " "</f>
        <v xml:space="preserve">    100.00% Test in Live 6/8-6/8 </v>
      </c>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c r="CG16" s="4"/>
      <c r="CH16" s="4"/>
      <c r="CI16" s="4"/>
      <c r="CJ16" s="4"/>
      <c r="CK16" s="4"/>
      <c r="CL16" s="4"/>
      <c r="CM16" s="4"/>
      <c r="CN16" s="4"/>
      <c r="CO16" s="4"/>
      <c r="CP16" s="4"/>
      <c r="CQ16" s="4"/>
      <c r="CR16" s="4"/>
      <c r="CS16" s="4"/>
      <c r="CT16" s="4"/>
      <c r="CU16" s="4"/>
      <c r="CV16" s="4"/>
      <c r="CW16" s="4"/>
      <c r="CX16" s="4"/>
      <c r="CY16" s="4"/>
      <c r="CZ16" s="4"/>
      <c r="DA16" s="4"/>
      <c r="DB16" s="4"/>
      <c r="DC16" s="4"/>
      <c r="DD16" s="4"/>
      <c r="DE16" s="4"/>
      <c r="DF16" s="4"/>
      <c r="DG16" s="4"/>
      <c r="DH16" s="4"/>
      <c r="DI16" s="4"/>
      <c r="DJ16" s="4"/>
      <c r="DK16" s="4"/>
      <c r="DL16" s="4"/>
      <c r="DM16" s="4"/>
      <c r="DN16" s="4"/>
      <c r="DO16" s="4"/>
      <c r="DP16" s="4"/>
      <c r="DQ16" s="4"/>
      <c r="DR16" s="4"/>
      <c r="DS16" s="4"/>
      <c r="DT16" s="4"/>
      <c r="DU16" s="4"/>
      <c r="DV16" s="4"/>
      <c r="DW16" s="4"/>
      <c r="DX16" s="4"/>
      <c r="DY16" s="4"/>
      <c r="DZ16" s="4"/>
      <c r="EA16" s="4"/>
      <c r="EB16" s="4"/>
      <c r="EC16" s="4"/>
      <c r="ED16" s="4"/>
      <c r="EE16" s="4"/>
      <c r="EF16" s="4"/>
      <c r="EG16" s="4"/>
      <c r="EH16" s="4"/>
      <c r="EI16" s="4"/>
      <c r="EJ16" s="4"/>
      <c r="EK16" s="4"/>
      <c r="EL16" s="4"/>
      <c r="EM16" s="4"/>
      <c r="EN16" s="4"/>
      <c r="EO16" s="4"/>
      <c r="EP16" s="4"/>
      <c r="EQ16" s="4"/>
      <c r="ER16" s="4"/>
      <c r="ES16" s="4"/>
      <c r="ET16" s="4"/>
      <c r="EU16" s="4"/>
      <c r="EV16" s="4"/>
      <c r="EW16" s="4"/>
      <c r="EX16" s="4"/>
      <c r="EY16" s="4"/>
      <c r="EZ16" s="4"/>
      <c r="FA16" s="4"/>
      <c r="FB16" s="4"/>
      <c r="FC16" s="4"/>
      <c r="FD16" s="4"/>
      <c r="FE16" s="4"/>
      <c r="FF16" s="4"/>
      <c r="FG16" s="4"/>
      <c r="FH16" s="4"/>
      <c r="FI16" s="4"/>
      <c r="FJ16" s="4"/>
      <c r="FK16" s="4"/>
      <c r="FL16" s="4"/>
      <c r="FM16" s="4"/>
      <c r="FN16" s="4"/>
      <c r="FO16" s="4"/>
      <c r="FP16" s="4"/>
      <c r="FQ16" s="4"/>
      <c r="FR16" s="4"/>
      <c r="FS16" s="4"/>
      <c r="FT16" s="4"/>
      <c r="FU16" s="4"/>
      <c r="FV16" s="4"/>
      <c r="FW16" s="4"/>
      <c r="FX16" s="4"/>
      <c r="FY16" s="4"/>
      <c r="FZ16" s="4"/>
      <c r="GA16" s="4"/>
      <c r="GB16" s="4"/>
      <c r="GC16" s="4"/>
      <c r="GD16" s="4"/>
      <c r="GE16" s="4"/>
      <c r="GF16" s="4"/>
      <c r="GG16" s="4"/>
    </row>
    <row r="17" spans="1:189" outlineLevel="1">
      <c r="A17" s="116"/>
      <c r="B17" s="116"/>
      <c r="C17" s="116">
        <v>2</v>
      </c>
      <c r="D17" s="3" t="s">
        <v>1083</v>
      </c>
      <c r="E17" s="180"/>
      <c r="F17" s="180" t="s">
        <v>1041</v>
      </c>
      <c r="G17" s="180"/>
      <c r="H17" s="180"/>
      <c r="I17" s="180"/>
      <c r="J17" s="180"/>
      <c r="K17" s="180"/>
      <c r="L17" s="180"/>
      <c r="M17" s="181">
        <v>45086</v>
      </c>
      <c r="N17" s="181">
        <v>45086</v>
      </c>
      <c r="O17" s="182"/>
      <c r="P17" s="183">
        <v>1</v>
      </c>
      <c r="Q17" s="183">
        <v>1</v>
      </c>
      <c r="R17" s="184">
        <v>1</v>
      </c>
      <c r="S17" s="184">
        <v>1</v>
      </c>
      <c r="T17" s="181"/>
      <c r="U17" s="181"/>
      <c r="V17" s="185"/>
      <c r="W17" s="186">
        <v>0</v>
      </c>
      <c r="X17" s="187">
        <v>1</v>
      </c>
      <c r="Y17" s="182"/>
      <c r="Z17" s="188"/>
      <c r="AA17" s="97">
        <v>1</v>
      </c>
      <c r="AB17" s="189">
        <v>1</v>
      </c>
      <c r="AC17" s="210"/>
      <c r="AD17" s="4" t="str">
        <f>"     " &amp; TEXT(AB17,"#0.00%") &amp; " " &amp; "Service Launch" &amp; " " &amp; IF(M17="","",TEXT(M17,"M/D-")) &amp; IF(N17="","",TEXT(N17,"M/D")) &amp; " "</f>
        <v xml:space="preserve">     100.00% Service Launch 6/9-6/9 </v>
      </c>
      <c r="AE17" s="4"/>
      <c r="AF17" s="4"/>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c r="CG17" s="4"/>
      <c r="CH17" s="4"/>
      <c r="CI17" s="4"/>
      <c r="CJ17" s="4"/>
      <c r="CK17" s="4"/>
      <c r="CL17" s="4"/>
      <c r="CM17" s="4"/>
      <c r="CN17" s="4"/>
      <c r="CO17" s="4"/>
      <c r="CP17" s="4"/>
      <c r="CQ17" s="4"/>
      <c r="CR17" s="4"/>
      <c r="CS17" s="4"/>
      <c r="CT17" s="4"/>
      <c r="CU17" s="4"/>
      <c r="CV17" s="4"/>
      <c r="CW17" s="4"/>
      <c r="CX17" s="4"/>
      <c r="CY17" s="4"/>
      <c r="CZ17" s="4"/>
      <c r="DA17" s="4"/>
      <c r="DB17" s="4"/>
      <c r="DC17" s="4"/>
      <c r="DD17" s="4"/>
      <c r="DE17" s="4"/>
      <c r="DF17" s="4"/>
      <c r="DG17" s="4"/>
      <c r="DH17" s="4"/>
      <c r="DI17" s="4"/>
      <c r="DJ17" s="4"/>
      <c r="DK17" s="4"/>
      <c r="DL17" s="4"/>
      <c r="DM17" s="4"/>
      <c r="DN17" s="4"/>
      <c r="DO17" s="4"/>
      <c r="DP17" s="4"/>
      <c r="DQ17" s="4"/>
      <c r="DR17" s="4"/>
      <c r="DS17" s="4"/>
      <c r="DT17" s="4"/>
      <c r="DU17" s="4"/>
      <c r="DV17" s="4"/>
      <c r="DW17" s="4"/>
      <c r="DX17" s="4"/>
      <c r="DY17" s="4"/>
      <c r="DZ17" s="4"/>
      <c r="EA17" s="4"/>
      <c r="EB17" s="4"/>
      <c r="EC17" s="4"/>
      <c r="ED17" s="4"/>
      <c r="EE17" s="4"/>
      <c r="EF17" s="4"/>
      <c r="EG17" s="4"/>
      <c r="EH17" s="4"/>
      <c r="EI17" s="4"/>
      <c r="EJ17" s="4"/>
      <c r="EK17" s="4"/>
      <c r="EL17" s="4"/>
      <c r="EM17" s="4"/>
      <c r="EN17" s="4"/>
      <c r="EO17" s="4"/>
      <c r="EP17" s="4"/>
      <c r="EQ17" s="4"/>
      <c r="ER17" s="4"/>
      <c r="ES17" s="4"/>
      <c r="ET17" s="4"/>
      <c r="EU17" s="4"/>
      <c r="EV17" s="4"/>
      <c r="EW17" s="4"/>
      <c r="EX17" s="4"/>
      <c r="EY17" s="4"/>
      <c r="EZ17" s="4"/>
      <c r="FA17" s="4"/>
      <c r="FB17" s="4"/>
      <c r="FC17" s="4"/>
      <c r="FD17" s="4"/>
      <c r="FE17" s="4"/>
      <c r="FF17" s="4"/>
      <c r="FG17" s="4"/>
      <c r="FH17" s="4"/>
      <c r="FI17" s="4"/>
      <c r="FJ17" s="4"/>
      <c r="FK17" s="4"/>
      <c r="FL17" s="4"/>
      <c r="FM17" s="4"/>
      <c r="FN17" s="4"/>
      <c r="FO17" s="4"/>
      <c r="FP17" s="4"/>
      <c r="FQ17" s="4"/>
      <c r="FR17" s="4"/>
      <c r="FS17" s="4"/>
      <c r="FT17" s="4"/>
      <c r="FU17" s="4"/>
      <c r="FV17" s="4"/>
      <c r="FW17" s="4"/>
      <c r="FX17" s="4"/>
      <c r="FY17" s="4"/>
      <c r="FZ17" s="4"/>
      <c r="GA17" s="4"/>
      <c r="GB17" s="4"/>
      <c r="GC17" s="4"/>
      <c r="GD17" s="4"/>
      <c r="GE17" s="4"/>
      <c r="GF17" s="4"/>
      <c r="GG17" s="4"/>
    </row>
    <row r="18" spans="1:189" outlineLevel="1">
      <c r="A18" s="116"/>
      <c r="B18" s="116"/>
      <c r="C18" s="116">
        <v>0</v>
      </c>
      <c r="D18" s="3"/>
      <c r="E18" s="180"/>
      <c r="F18" s="180"/>
      <c r="G18" s="180"/>
      <c r="H18" s="180"/>
      <c r="I18" s="180"/>
      <c r="J18" s="180"/>
      <c r="K18" s="180"/>
      <c r="L18" s="180"/>
      <c r="M18" s="181"/>
      <c r="N18" s="181"/>
      <c r="O18" s="182"/>
      <c r="P18" s="183"/>
      <c r="Q18" s="183"/>
      <c r="R18" s="184">
        <v>0</v>
      </c>
      <c r="S18" s="184">
        <v>0</v>
      </c>
      <c r="T18" s="181"/>
      <c r="U18" s="181"/>
      <c r="V18" s="185"/>
      <c r="W18" s="186">
        <v>0</v>
      </c>
      <c r="X18" s="187"/>
      <c r="Y18" s="182"/>
      <c r="Z18" s="188"/>
      <c r="AA18" s="97"/>
      <c r="AB18" s="189"/>
      <c r="AC18" s="210"/>
      <c r="AD18" s="4"/>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c r="CG18" s="4"/>
      <c r="CH18" s="4"/>
      <c r="CI18" s="4"/>
      <c r="CJ18" s="4"/>
      <c r="CK18" s="4"/>
      <c r="CL18" s="4"/>
      <c r="CM18" s="4"/>
      <c r="CN18" s="4"/>
      <c r="CO18" s="4"/>
      <c r="CP18" s="4"/>
      <c r="CQ18" s="4"/>
      <c r="CR18" s="4"/>
      <c r="CS18" s="4"/>
      <c r="CT18" s="4"/>
      <c r="CU18" s="4"/>
      <c r="CV18" s="4"/>
      <c r="CW18" s="4"/>
      <c r="CX18" s="4"/>
      <c r="CY18" s="4"/>
      <c r="CZ18" s="4"/>
      <c r="DA18" s="4"/>
      <c r="DB18" s="4"/>
      <c r="DC18" s="4"/>
      <c r="DD18" s="4"/>
      <c r="DE18" s="4"/>
      <c r="DF18" s="4"/>
      <c r="DG18" s="4"/>
      <c r="DH18" s="4"/>
      <c r="DI18" s="4"/>
      <c r="DJ18" s="4"/>
      <c r="DK18" s="4"/>
      <c r="DL18" s="4"/>
      <c r="DM18" s="4"/>
      <c r="DN18" s="4"/>
      <c r="DO18" s="4"/>
      <c r="DP18" s="4"/>
      <c r="DQ18" s="4"/>
      <c r="DR18" s="4"/>
      <c r="DS18" s="4"/>
      <c r="DT18" s="4"/>
      <c r="DU18" s="4"/>
      <c r="DV18" s="4"/>
      <c r="DW18" s="4"/>
      <c r="DX18" s="4"/>
      <c r="DY18" s="4"/>
      <c r="DZ18" s="4"/>
      <c r="EA18" s="4"/>
      <c r="EB18" s="4"/>
      <c r="EC18" s="4"/>
      <c r="ED18" s="4"/>
      <c r="EE18" s="4"/>
      <c r="EF18" s="4"/>
      <c r="EG18" s="4"/>
      <c r="EH18" s="4"/>
      <c r="EI18" s="4"/>
      <c r="EJ18" s="4"/>
      <c r="EK18" s="4"/>
      <c r="EL18" s="4"/>
      <c r="EM18" s="4"/>
      <c r="EN18" s="4"/>
      <c r="EO18" s="4"/>
      <c r="EP18" s="4"/>
      <c r="EQ18" s="4"/>
      <c r="ER18" s="4"/>
      <c r="ES18" s="4"/>
      <c r="ET18" s="4"/>
      <c r="EU18" s="4"/>
      <c r="EV18" s="4"/>
      <c r="EW18" s="4"/>
      <c r="EX18" s="4"/>
      <c r="EY18" s="4"/>
      <c r="EZ18" s="4"/>
      <c r="FA18" s="4"/>
      <c r="FB18" s="4"/>
      <c r="FC18" s="4"/>
      <c r="FD18" s="4"/>
      <c r="FE18" s="4"/>
      <c r="FF18" s="4"/>
      <c r="FG18" s="4"/>
      <c r="FH18" s="4"/>
      <c r="FI18" s="4"/>
      <c r="FJ18" s="4"/>
      <c r="FK18" s="4"/>
      <c r="FL18" s="4"/>
      <c r="FM18" s="4"/>
      <c r="FN18" s="4"/>
      <c r="FO18" s="4"/>
      <c r="FP18" s="4"/>
      <c r="FQ18" s="4"/>
      <c r="FR18" s="4"/>
      <c r="FS18" s="4"/>
      <c r="FT18" s="4"/>
      <c r="FU18" s="4"/>
      <c r="FV18" s="4"/>
      <c r="FW18" s="4"/>
      <c r="FX18" s="4"/>
      <c r="FY18" s="4"/>
      <c r="FZ18" s="4"/>
      <c r="GA18" s="4"/>
      <c r="GB18" s="4"/>
      <c r="GC18" s="4"/>
      <c r="GD18" s="4"/>
      <c r="GE18" s="4"/>
      <c r="GF18" s="4"/>
      <c r="GG18" s="4"/>
    </row>
    <row r="19" spans="1:189">
      <c r="A19" s="116"/>
      <c r="B19" s="116" t="s">
        <v>983</v>
      </c>
      <c r="C19" s="116">
        <v>1</v>
      </c>
      <c r="D19" s="3" t="s">
        <v>1084</v>
      </c>
      <c r="E19" s="180" t="s">
        <v>1197</v>
      </c>
      <c r="F19" s="180"/>
      <c r="G19" s="180"/>
      <c r="H19" s="180"/>
      <c r="I19" s="180"/>
      <c r="J19" s="180"/>
      <c r="K19" s="180"/>
      <c r="L19" s="180"/>
      <c r="M19" s="181">
        <v>45096</v>
      </c>
      <c r="N19" s="181">
        <v>45105</v>
      </c>
      <c r="O19" s="182"/>
      <c r="P19" s="183">
        <v>9</v>
      </c>
      <c r="Q19" s="183">
        <v>3</v>
      </c>
      <c r="R19" s="184">
        <v>8</v>
      </c>
      <c r="S19" s="184">
        <v>1</v>
      </c>
      <c r="T19" s="181"/>
      <c r="U19" s="181"/>
      <c r="V19" s="185">
        <v>0</v>
      </c>
      <c r="W19" s="186">
        <v>0</v>
      </c>
      <c r="X19" s="187"/>
      <c r="Y19" s="182"/>
      <c r="Z19" s="188"/>
      <c r="AA19" s="97">
        <v>0.33333333333333331</v>
      </c>
      <c r="AB19" s="189">
        <v>0.33333333333333331</v>
      </c>
      <c r="AC19" s="210"/>
      <c r="AD19" s="4"/>
      <c r="AE19" s="4"/>
      <c r="AF19" s="4" t="str">
        <f>"   " &amp; TEXT(AB19,"#0.00%") &amp; " " &amp; "[2302-05] Change Logging Out Rule of Mobile App" &amp; " " &amp; IF(M19="","",TEXT(M19,"M/D-")) &amp; IF(N19="","",TEXT(N19,"M/D")) &amp; " "</f>
        <v xml:space="preserve">   33.33% [2302-05] Change Logging Out Rule of Mobile App 6/19-6/28 </v>
      </c>
      <c r="AG19" s="4"/>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c r="CG19" s="4"/>
      <c r="CH19" s="4"/>
      <c r="CI19" s="4"/>
      <c r="CJ19" s="4"/>
      <c r="CK19" s="4"/>
      <c r="CL19" s="4"/>
      <c r="CM19" s="4"/>
      <c r="CN19" s="4"/>
      <c r="CO19" s="4"/>
      <c r="CP19" s="4"/>
      <c r="CQ19" s="4"/>
      <c r="CR19" s="4"/>
      <c r="CS19" s="4"/>
      <c r="CT19" s="4"/>
      <c r="CU19" s="4"/>
      <c r="CV19" s="4"/>
      <c r="CW19" s="4"/>
      <c r="CX19" s="4"/>
      <c r="CY19" s="4"/>
      <c r="CZ19" s="4"/>
      <c r="DA19" s="4"/>
      <c r="DB19" s="4"/>
      <c r="DC19" s="4"/>
      <c r="DD19" s="4"/>
      <c r="DE19" s="4"/>
      <c r="DF19" s="4"/>
      <c r="DG19" s="4"/>
      <c r="DH19" s="4"/>
      <c r="DI19" s="4"/>
      <c r="DJ19" s="4"/>
      <c r="DK19" s="4"/>
      <c r="DL19" s="4"/>
      <c r="DM19" s="4"/>
      <c r="DN19" s="4"/>
      <c r="DO19" s="4"/>
      <c r="DP19" s="4"/>
      <c r="DQ19" s="4"/>
      <c r="DR19" s="4"/>
      <c r="DS19" s="4"/>
      <c r="DT19" s="4"/>
      <c r="DU19" s="4"/>
      <c r="DV19" s="4"/>
      <c r="DW19" s="4"/>
      <c r="DX19" s="4"/>
      <c r="DY19" s="4"/>
      <c r="DZ19" s="4"/>
      <c r="EA19" s="4"/>
      <c r="EB19" s="4"/>
      <c r="EC19" s="4"/>
      <c r="ED19" s="4"/>
      <c r="EE19" s="4"/>
      <c r="EF19" s="4"/>
      <c r="EG19" s="4"/>
      <c r="EH19" s="4"/>
      <c r="EI19" s="4"/>
      <c r="EJ19" s="4"/>
      <c r="EK19" s="4"/>
      <c r="EL19" s="4"/>
      <c r="EM19" s="4"/>
      <c r="EN19" s="4"/>
      <c r="EO19" s="4"/>
      <c r="EP19" s="4"/>
      <c r="EQ19" s="4"/>
      <c r="ER19" s="4"/>
      <c r="ES19" s="4"/>
      <c r="ET19" s="4"/>
      <c r="EU19" s="4"/>
      <c r="EV19" s="4"/>
      <c r="EW19" s="4"/>
      <c r="EX19" s="4"/>
      <c r="EY19" s="4"/>
      <c r="EZ19" s="4"/>
      <c r="FA19" s="4"/>
      <c r="FB19" s="4"/>
      <c r="FC19" s="4"/>
      <c r="FD19" s="4"/>
      <c r="FE19" s="4"/>
      <c r="FF19" s="4"/>
      <c r="FG19" s="4"/>
      <c r="FH19" s="4"/>
      <c r="FI19" s="4"/>
      <c r="FJ19" s="4"/>
      <c r="FK19" s="4"/>
      <c r="FL19" s="4"/>
      <c r="FM19" s="4"/>
      <c r="FN19" s="4"/>
      <c r="FO19" s="4"/>
      <c r="FP19" s="4"/>
      <c r="FQ19" s="4"/>
      <c r="FR19" s="4"/>
      <c r="FS19" s="4"/>
      <c r="FT19" s="4"/>
      <c r="FU19" s="4"/>
      <c r="FV19" s="4"/>
      <c r="FW19" s="4"/>
      <c r="FX19" s="4"/>
      <c r="FY19" s="4"/>
      <c r="FZ19" s="4"/>
      <c r="GA19" s="4"/>
      <c r="GB19" s="4"/>
      <c r="GC19" s="4"/>
      <c r="GD19" s="4"/>
      <c r="GE19" s="4"/>
      <c r="GF19" s="4"/>
      <c r="GG19" s="4"/>
    </row>
    <row r="20" spans="1:189" outlineLevel="1">
      <c r="A20" s="116"/>
      <c r="B20" s="116"/>
      <c r="C20" s="116">
        <v>2</v>
      </c>
      <c r="D20" s="3" t="s">
        <v>1085</v>
      </c>
      <c r="E20" s="180"/>
      <c r="F20" s="180" t="s">
        <v>1074</v>
      </c>
      <c r="G20" s="180"/>
      <c r="H20" s="180"/>
      <c r="I20" s="180"/>
      <c r="J20" s="180"/>
      <c r="K20" s="180"/>
      <c r="L20" s="180"/>
      <c r="M20" s="181">
        <v>45096</v>
      </c>
      <c r="N20" s="181">
        <v>45097</v>
      </c>
      <c r="O20" s="182"/>
      <c r="P20" s="183">
        <v>2</v>
      </c>
      <c r="Q20" s="183">
        <v>1</v>
      </c>
      <c r="R20" s="184">
        <v>2</v>
      </c>
      <c r="S20" s="184">
        <v>1</v>
      </c>
      <c r="T20" s="181"/>
      <c r="U20" s="181"/>
      <c r="V20" s="185"/>
      <c r="W20" s="186">
        <v>0</v>
      </c>
      <c r="X20" s="187">
        <v>1</v>
      </c>
      <c r="Y20" s="182"/>
      <c r="Z20" s="188"/>
      <c r="AA20" s="97">
        <v>0.5</v>
      </c>
      <c r="AB20" s="189">
        <v>0.5</v>
      </c>
      <c r="AC20" s="210"/>
      <c r="AD20" s="4"/>
      <c r="AE20" s="4"/>
      <c r="AF20" s="4" t="str">
        <f>" " &amp; TEXT(AB20,"#0.00%") &amp; " " &amp; "Server" &amp; " " &amp; IF(M20="","",TEXT(M20,"M/D-")) &amp; IF(N20="","",TEXT(N20,"M/D")) &amp; " "</f>
        <v xml:space="preserve"> 50.00% Server 6/19-6/20 </v>
      </c>
      <c r="AG20" s="4"/>
      <c r="AH20" s="4"/>
      <c r="AI20" s="4"/>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c r="CG20" s="4"/>
      <c r="CH20" s="4"/>
      <c r="CI20" s="4"/>
      <c r="CJ20" s="4"/>
      <c r="CK20" s="4"/>
      <c r="CL20" s="4"/>
      <c r="CM20" s="4"/>
      <c r="CN20" s="4"/>
      <c r="CO20" s="4"/>
      <c r="CP20" s="4"/>
      <c r="CQ20" s="4"/>
      <c r="CR20" s="4"/>
      <c r="CS20" s="4"/>
      <c r="CT20" s="4"/>
      <c r="CU20" s="4"/>
      <c r="CV20" s="4"/>
      <c r="CW20" s="4"/>
      <c r="CX20" s="4"/>
      <c r="CY20" s="4"/>
      <c r="CZ20" s="4"/>
      <c r="DA20" s="4"/>
      <c r="DB20" s="4"/>
      <c r="DC20" s="4"/>
      <c r="DD20" s="4"/>
      <c r="DE20" s="4"/>
      <c r="DF20" s="4"/>
      <c r="DG20" s="4"/>
      <c r="DH20" s="4"/>
      <c r="DI20" s="4"/>
      <c r="DJ20" s="4"/>
      <c r="DK20" s="4"/>
      <c r="DL20" s="4"/>
      <c r="DM20" s="4"/>
      <c r="DN20" s="4"/>
      <c r="DO20" s="4"/>
      <c r="DP20" s="4"/>
      <c r="DQ20" s="4"/>
      <c r="DR20" s="4"/>
      <c r="DS20" s="4"/>
      <c r="DT20" s="4"/>
      <c r="DU20" s="4"/>
      <c r="DV20" s="4"/>
      <c r="DW20" s="4"/>
      <c r="DX20" s="4"/>
      <c r="DY20" s="4"/>
      <c r="DZ20" s="4"/>
      <c r="EA20" s="4"/>
      <c r="EB20" s="4"/>
      <c r="EC20" s="4"/>
      <c r="ED20" s="4"/>
      <c r="EE20" s="4"/>
      <c r="EF20" s="4"/>
      <c r="EG20" s="4"/>
      <c r="EH20" s="4"/>
      <c r="EI20" s="4"/>
      <c r="EJ20" s="4"/>
      <c r="EK20" s="4"/>
      <c r="EL20" s="4"/>
      <c r="EM20" s="4"/>
      <c r="EN20" s="4"/>
      <c r="EO20" s="4"/>
      <c r="EP20" s="4"/>
      <c r="EQ20" s="4"/>
      <c r="ER20" s="4"/>
      <c r="ES20" s="4"/>
      <c r="ET20" s="4"/>
      <c r="EU20" s="4"/>
      <c r="EV20" s="4"/>
      <c r="EW20" s="4"/>
      <c r="EX20" s="4"/>
      <c r="EY20" s="4"/>
      <c r="EZ20" s="4"/>
      <c r="FA20" s="4"/>
      <c r="FB20" s="4"/>
      <c r="FC20" s="4"/>
      <c r="FD20" s="4"/>
      <c r="FE20" s="4"/>
      <c r="FF20" s="4"/>
      <c r="FG20" s="4"/>
      <c r="FH20" s="4"/>
      <c r="FI20" s="4"/>
      <c r="FJ20" s="4"/>
      <c r="FK20" s="4"/>
      <c r="FL20" s="4"/>
      <c r="FM20" s="4"/>
      <c r="FN20" s="4"/>
      <c r="FO20" s="4"/>
      <c r="FP20" s="4"/>
      <c r="FQ20" s="4"/>
      <c r="FR20" s="4"/>
      <c r="FS20" s="4"/>
      <c r="FT20" s="4"/>
      <c r="FU20" s="4"/>
      <c r="FV20" s="4"/>
      <c r="FW20" s="4"/>
      <c r="FX20" s="4"/>
      <c r="FY20" s="4"/>
      <c r="FZ20" s="4"/>
      <c r="GA20" s="4"/>
      <c r="GB20" s="4"/>
      <c r="GC20" s="4"/>
      <c r="GD20" s="4"/>
      <c r="GE20" s="4"/>
      <c r="GF20" s="4"/>
      <c r="GG20" s="4"/>
    </row>
    <row r="21" spans="1:189" outlineLevel="1">
      <c r="A21" s="116"/>
      <c r="B21" s="116"/>
      <c r="C21" s="116">
        <v>2</v>
      </c>
      <c r="D21" s="3" t="s">
        <v>1086</v>
      </c>
      <c r="E21" s="180"/>
      <c r="F21" s="180" t="s">
        <v>1073</v>
      </c>
      <c r="G21" s="180"/>
      <c r="H21" s="180"/>
      <c r="I21" s="180"/>
      <c r="J21" s="180"/>
      <c r="K21" s="180"/>
      <c r="L21" s="180"/>
      <c r="M21" s="181">
        <v>45096</v>
      </c>
      <c r="N21" s="181">
        <v>45097</v>
      </c>
      <c r="O21" s="182"/>
      <c r="P21" s="183">
        <v>2</v>
      </c>
      <c r="Q21" s="183">
        <v>1</v>
      </c>
      <c r="R21" s="184">
        <v>2</v>
      </c>
      <c r="S21" s="184">
        <v>1</v>
      </c>
      <c r="T21" s="181"/>
      <c r="U21" s="181"/>
      <c r="V21" s="185"/>
      <c r="W21" s="186">
        <v>0</v>
      </c>
      <c r="X21" s="187">
        <v>1</v>
      </c>
      <c r="Y21" s="182" t="s">
        <v>1151</v>
      </c>
      <c r="Z21" s="188"/>
      <c r="AA21" s="97">
        <v>0.5</v>
      </c>
      <c r="AB21" s="189">
        <v>0.5</v>
      </c>
      <c r="AC21" s="210"/>
      <c r="AD21" s="4"/>
      <c r="AE21" s="4"/>
      <c r="AF21" s="4" t="str">
        <f>" " &amp; TEXT(AB21,"#0.00%") &amp; " " &amp; "iOS" &amp; "(Manish)" &amp; " " &amp; IF(M21="","",TEXT(M21,"M/D-")) &amp; IF(N21="","",TEXT(N21,"M/D")) &amp; " "</f>
        <v xml:space="preserve"> 50.00% iOS(Manish) 6/19-6/20 </v>
      </c>
      <c r="AG21" s="4"/>
      <c r="AH21" s="4"/>
      <c r="AI21" s="4"/>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c r="CG21" s="4"/>
      <c r="CH21" s="4"/>
      <c r="CI21" s="4"/>
      <c r="CJ21" s="4"/>
      <c r="CK21" s="4"/>
      <c r="CL21" s="4"/>
      <c r="CM21" s="4"/>
      <c r="CN21" s="4"/>
      <c r="CO21" s="4"/>
      <c r="CP21" s="4"/>
      <c r="CQ21" s="4"/>
      <c r="CR21" s="4"/>
      <c r="CS21" s="4"/>
      <c r="CT21" s="4"/>
      <c r="CU21" s="4"/>
      <c r="CV21" s="4"/>
      <c r="CW21" s="4"/>
      <c r="CX21" s="4"/>
      <c r="CY21" s="4"/>
      <c r="CZ21" s="4"/>
      <c r="DA21" s="4"/>
      <c r="DB21" s="4"/>
      <c r="DC21" s="4"/>
      <c r="DD21" s="4"/>
      <c r="DE21" s="4"/>
      <c r="DF21" s="4"/>
      <c r="DG21" s="4"/>
      <c r="DH21" s="4"/>
      <c r="DI21" s="4"/>
      <c r="DJ21" s="4"/>
      <c r="DK21" s="4"/>
      <c r="DL21" s="4"/>
      <c r="DM21" s="4"/>
      <c r="DN21" s="4"/>
      <c r="DO21" s="4"/>
      <c r="DP21" s="4"/>
      <c r="DQ21" s="4"/>
      <c r="DR21" s="4"/>
      <c r="DS21" s="4"/>
      <c r="DT21" s="4"/>
      <c r="DU21" s="4"/>
      <c r="DV21" s="4"/>
      <c r="DW21" s="4"/>
      <c r="DX21" s="4"/>
      <c r="DY21" s="4"/>
      <c r="DZ21" s="4"/>
      <c r="EA21" s="4"/>
      <c r="EB21" s="4"/>
      <c r="EC21" s="4"/>
      <c r="ED21" s="4"/>
      <c r="EE21" s="4"/>
      <c r="EF21" s="4"/>
      <c r="EG21" s="4"/>
      <c r="EH21" s="4"/>
      <c r="EI21" s="4"/>
      <c r="EJ21" s="4"/>
      <c r="EK21" s="4"/>
      <c r="EL21" s="4"/>
      <c r="EM21" s="4"/>
      <c r="EN21" s="4"/>
      <c r="EO21" s="4"/>
      <c r="EP21" s="4"/>
      <c r="EQ21" s="4"/>
      <c r="ER21" s="4"/>
      <c r="ES21" s="4"/>
      <c r="ET21" s="4"/>
      <c r="EU21" s="4"/>
      <c r="EV21" s="4"/>
      <c r="EW21" s="4"/>
      <c r="EX21" s="4"/>
      <c r="EY21" s="4"/>
      <c r="EZ21" s="4"/>
      <c r="FA21" s="4"/>
      <c r="FB21" s="4"/>
      <c r="FC21" s="4"/>
      <c r="FD21" s="4"/>
      <c r="FE21" s="4"/>
      <c r="FF21" s="4"/>
      <c r="FG21" s="4"/>
      <c r="FH21" s="4"/>
      <c r="FI21" s="4"/>
      <c r="FJ21" s="4"/>
      <c r="FK21" s="4"/>
      <c r="FL21" s="4"/>
      <c r="FM21" s="4"/>
      <c r="FN21" s="4"/>
      <c r="FO21" s="4"/>
      <c r="FP21" s="4"/>
      <c r="FQ21" s="4"/>
      <c r="FR21" s="4"/>
      <c r="FS21" s="4"/>
      <c r="FT21" s="4"/>
      <c r="FU21" s="4"/>
      <c r="FV21" s="4"/>
      <c r="FW21" s="4"/>
      <c r="FX21" s="4"/>
      <c r="FY21" s="4"/>
      <c r="FZ21" s="4"/>
      <c r="GA21" s="4"/>
      <c r="GB21" s="4"/>
      <c r="GC21" s="4"/>
      <c r="GD21" s="4"/>
      <c r="GE21" s="4"/>
      <c r="GF21" s="4"/>
      <c r="GG21" s="4"/>
    </row>
    <row r="22" spans="1:189" outlineLevel="1">
      <c r="A22" s="116"/>
      <c r="B22" s="116"/>
      <c r="C22" s="116">
        <v>2</v>
      </c>
      <c r="D22" s="3" t="s">
        <v>1087</v>
      </c>
      <c r="E22" s="180"/>
      <c r="F22" s="180" t="s">
        <v>1072</v>
      </c>
      <c r="G22" s="180"/>
      <c r="H22" s="180"/>
      <c r="I22" s="180"/>
      <c r="J22" s="180"/>
      <c r="K22" s="180"/>
      <c r="L22" s="180"/>
      <c r="M22" s="181">
        <v>45096</v>
      </c>
      <c r="N22" s="181">
        <v>45097</v>
      </c>
      <c r="O22" s="182"/>
      <c r="P22" s="183">
        <v>2</v>
      </c>
      <c r="Q22" s="183">
        <v>1</v>
      </c>
      <c r="R22" s="184">
        <v>2</v>
      </c>
      <c r="S22" s="184">
        <v>1</v>
      </c>
      <c r="T22" s="181"/>
      <c r="U22" s="181"/>
      <c r="V22" s="185"/>
      <c r="W22" s="186">
        <v>0</v>
      </c>
      <c r="X22" s="187">
        <v>1</v>
      </c>
      <c r="Y22" s="182" t="s">
        <v>1152</v>
      </c>
      <c r="Z22" s="188"/>
      <c r="AA22" s="97">
        <v>0.5</v>
      </c>
      <c r="AB22" s="189">
        <v>0.5</v>
      </c>
      <c r="AC22" s="210"/>
      <c r="AD22" s="4"/>
      <c r="AE22" s="4"/>
      <c r="AF22" s="4" t="str">
        <f>" " &amp; TEXT(AB22,"#0.00%") &amp; " " &amp; "Android" &amp; "(Sujan)" &amp; " " &amp; IF(M22="","",TEXT(M22,"M/D-")) &amp; IF(N22="","",TEXT(N22,"M/D")) &amp; " "</f>
        <v xml:space="preserve"> 50.00% Android(Sujan) 6/19-6/20 </v>
      </c>
      <c r="AG22" s="4"/>
      <c r="AH22" s="4"/>
      <c r="AI22" s="4"/>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c r="CG22" s="4"/>
      <c r="CH22" s="4"/>
      <c r="CI22" s="4"/>
      <c r="CJ22" s="4"/>
      <c r="CK22" s="4"/>
      <c r="CL22" s="4"/>
      <c r="CM22" s="4"/>
      <c r="CN22" s="4"/>
      <c r="CO22" s="4"/>
      <c r="CP22" s="4"/>
      <c r="CQ22" s="4"/>
      <c r="CR22" s="4"/>
      <c r="CS22" s="4"/>
      <c r="CT22" s="4"/>
      <c r="CU22" s="4"/>
      <c r="CV22" s="4"/>
      <c r="CW22" s="4"/>
      <c r="CX22" s="4"/>
      <c r="CY22" s="4"/>
      <c r="CZ22" s="4"/>
      <c r="DA22" s="4"/>
      <c r="DB22" s="4"/>
      <c r="DC22" s="4"/>
      <c r="DD22" s="4"/>
      <c r="DE22" s="4"/>
      <c r="DF22" s="4"/>
      <c r="DG22" s="4"/>
      <c r="DH22" s="4"/>
      <c r="DI22" s="4"/>
      <c r="DJ22" s="4"/>
      <c r="DK22" s="4"/>
      <c r="DL22" s="4"/>
      <c r="DM22" s="4"/>
      <c r="DN22" s="4"/>
      <c r="DO22" s="4"/>
      <c r="DP22" s="4"/>
      <c r="DQ22" s="4"/>
      <c r="DR22" s="4"/>
      <c r="DS22" s="4"/>
      <c r="DT22" s="4"/>
      <c r="DU22" s="4"/>
      <c r="DV22" s="4"/>
      <c r="DW22" s="4"/>
      <c r="DX22" s="4"/>
      <c r="DY22" s="4"/>
      <c r="DZ22" s="4"/>
      <c r="EA22" s="4"/>
      <c r="EB22" s="4"/>
      <c r="EC22" s="4"/>
      <c r="ED22" s="4"/>
      <c r="EE22" s="4"/>
      <c r="EF22" s="4"/>
      <c r="EG22" s="4"/>
      <c r="EH22" s="4"/>
      <c r="EI22" s="4"/>
      <c r="EJ22" s="4"/>
      <c r="EK22" s="4"/>
      <c r="EL22" s="4"/>
      <c r="EM22" s="4"/>
      <c r="EN22" s="4"/>
      <c r="EO22" s="4"/>
      <c r="EP22" s="4"/>
      <c r="EQ22" s="4"/>
      <c r="ER22" s="4"/>
      <c r="ES22" s="4"/>
      <c r="ET22" s="4"/>
      <c r="EU22" s="4"/>
      <c r="EV22" s="4"/>
      <c r="EW22" s="4"/>
      <c r="EX22" s="4"/>
      <c r="EY22" s="4"/>
      <c r="EZ22" s="4"/>
      <c r="FA22" s="4"/>
      <c r="FB22" s="4"/>
      <c r="FC22" s="4"/>
      <c r="FD22" s="4"/>
      <c r="FE22" s="4"/>
      <c r="FF22" s="4"/>
      <c r="FG22" s="4"/>
      <c r="FH22" s="4"/>
      <c r="FI22" s="4"/>
      <c r="FJ22" s="4"/>
      <c r="FK22" s="4"/>
      <c r="FL22" s="4"/>
      <c r="FM22" s="4"/>
      <c r="FN22" s="4"/>
      <c r="FO22" s="4"/>
      <c r="FP22" s="4"/>
      <c r="FQ22" s="4"/>
      <c r="FR22" s="4"/>
      <c r="FS22" s="4"/>
      <c r="FT22" s="4"/>
      <c r="FU22" s="4"/>
      <c r="FV22" s="4"/>
      <c r="FW22" s="4"/>
      <c r="FX22" s="4"/>
      <c r="FY22" s="4"/>
      <c r="FZ22" s="4"/>
      <c r="GA22" s="4"/>
      <c r="GB22" s="4"/>
      <c r="GC22" s="4"/>
      <c r="GD22" s="4"/>
      <c r="GE22" s="4"/>
      <c r="GF22" s="4"/>
      <c r="GG22" s="4"/>
    </row>
    <row r="23" spans="1:189" outlineLevel="1">
      <c r="A23" s="116"/>
      <c r="B23" s="116"/>
      <c r="C23" s="116">
        <v>2</v>
      </c>
      <c r="D23" s="3" t="s">
        <v>1088</v>
      </c>
      <c r="E23" s="180"/>
      <c r="F23" s="180" t="s">
        <v>1040</v>
      </c>
      <c r="G23" s="180"/>
      <c r="H23" s="180"/>
      <c r="I23" s="180"/>
      <c r="J23" s="180"/>
      <c r="K23" s="180"/>
      <c r="L23" s="180"/>
      <c r="M23" s="181">
        <v>45097</v>
      </c>
      <c r="N23" s="181">
        <v>45098</v>
      </c>
      <c r="O23" s="182"/>
      <c r="P23" s="183">
        <v>2</v>
      </c>
      <c r="Q23" s="183">
        <v>0</v>
      </c>
      <c r="R23" s="184">
        <v>2</v>
      </c>
      <c r="S23" s="184">
        <v>0</v>
      </c>
      <c r="T23" s="181"/>
      <c r="U23" s="181"/>
      <c r="V23" s="185"/>
      <c r="W23" s="186">
        <v>0</v>
      </c>
      <c r="X23" s="187">
        <v>1</v>
      </c>
      <c r="Y23" s="182"/>
      <c r="Z23" s="188"/>
      <c r="AA23" s="97">
        <v>0</v>
      </c>
      <c r="AB23" s="189">
        <v>0</v>
      </c>
      <c r="AC23" s="210"/>
      <c r="AD23" s="4"/>
      <c r="AE23" s="4"/>
      <c r="AF23" s="4" t="str">
        <f>" " &amp; TEXT(AB23,"#0.00%") &amp; " " &amp; "Test in TB" &amp; " " &amp; IF(M23="","",TEXT(M23,"M/D-")) &amp; IF(N23="","",TEXT(N23,"M/D")) &amp; " "</f>
        <v xml:space="preserve"> 0.00% Test in TB 6/20-6/21 </v>
      </c>
      <c r="AG23" s="4"/>
      <c r="AH23" s="4"/>
      <c r="AI23" s="4"/>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c r="CG23" s="4"/>
      <c r="CH23" s="4"/>
      <c r="CI23" s="4"/>
      <c r="CJ23" s="4"/>
      <c r="CK23" s="4"/>
      <c r="CL23" s="4"/>
      <c r="CM23" s="4"/>
      <c r="CN23" s="4"/>
      <c r="CO23" s="4"/>
      <c r="CP23" s="4"/>
      <c r="CQ23" s="4"/>
      <c r="CR23" s="4"/>
      <c r="CS23" s="4"/>
      <c r="CT23" s="4"/>
      <c r="CU23" s="4"/>
      <c r="CV23" s="4"/>
      <c r="CW23" s="4"/>
      <c r="CX23" s="4"/>
      <c r="CY23" s="4"/>
      <c r="CZ23" s="4"/>
      <c r="DA23" s="4"/>
      <c r="DB23" s="4"/>
      <c r="DC23" s="4"/>
      <c r="DD23" s="4"/>
      <c r="DE23" s="4"/>
      <c r="DF23" s="4"/>
      <c r="DG23" s="4"/>
      <c r="DH23" s="4"/>
      <c r="DI23" s="4"/>
      <c r="DJ23" s="4"/>
      <c r="DK23" s="4"/>
      <c r="DL23" s="4"/>
      <c r="DM23" s="4"/>
      <c r="DN23" s="4"/>
      <c r="DO23" s="4"/>
      <c r="DP23" s="4"/>
      <c r="DQ23" s="4"/>
      <c r="DR23" s="4"/>
      <c r="DS23" s="4"/>
      <c r="DT23" s="4"/>
      <c r="DU23" s="4"/>
      <c r="DV23" s="4"/>
      <c r="DW23" s="4"/>
      <c r="DX23" s="4"/>
      <c r="DY23" s="4"/>
      <c r="DZ23" s="4"/>
      <c r="EA23" s="4"/>
      <c r="EB23" s="4"/>
      <c r="EC23" s="4"/>
      <c r="ED23" s="4"/>
      <c r="EE23" s="4"/>
      <c r="EF23" s="4"/>
      <c r="EG23" s="4"/>
      <c r="EH23" s="4"/>
      <c r="EI23" s="4"/>
      <c r="EJ23" s="4"/>
      <c r="EK23" s="4"/>
      <c r="EL23" s="4"/>
      <c r="EM23" s="4"/>
      <c r="EN23" s="4"/>
      <c r="EO23" s="4"/>
      <c r="EP23" s="4"/>
      <c r="EQ23" s="4"/>
      <c r="ER23" s="4"/>
      <c r="ES23" s="4"/>
      <c r="ET23" s="4"/>
      <c r="EU23" s="4"/>
      <c r="EV23" s="4"/>
      <c r="EW23" s="4"/>
      <c r="EX23" s="4"/>
      <c r="EY23" s="4"/>
      <c r="EZ23" s="4"/>
      <c r="FA23" s="4"/>
      <c r="FB23" s="4"/>
      <c r="FC23" s="4"/>
      <c r="FD23" s="4"/>
      <c r="FE23" s="4"/>
      <c r="FF23" s="4"/>
      <c r="FG23" s="4"/>
      <c r="FH23" s="4"/>
      <c r="FI23" s="4"/>
      <c r="FJ23" s="4"/>
      <c r="FK23" s="4"/>
      <c r="FL23" s="4"/>
      <c r="FM23" s="4"/>
      <c r="FN23" s="4"/>
      <c r="FO23" s="4"/>
      <c r="FP23" s="4"/>
      <c r="FQ23" s="4"/>
      <c r="FR23" s="4"/>
      <c r="FS23" s="4"/>
      <c r="FT23" s="4"/>
      <c r="FU23" s="4"/>
      <c r="FV23" s="4"/>
      <c r="FW23" s="4"/>
      <c r="FX23" s="4"/>
      <c r="FY23" s="4"/>
      <c r="FZ23" s="4"/>
      <c r="GA23" s="4"/>
      <c r="GB23" s="4"/>
      <c r="GC23" s="4"/>
      <c r="GD23" s="4"/>
      <c r="GE23" s="4"/>
      <c r="GF23" s="4"/>
      <c r="GG23" s="4"/>
    </row>
    <row r="24" spans="1:189" outlineLevel="1">
      <c r="A24" s="116"/>
      <c r="B24" s="116"/>
      <c r="C24" s="116">
        <v>2</v>
      </c>
      <c r="D24" s="3" t="s">
        <v>1200</v>
      </c>
      <c r="E24" s="180"/>
      <c r="F24" s="180" t="s">
        <v>1039</v>
      </c>
      <c r="G24" s="180"/>
      <c r="H24" s="180"/>
      <c r="I24" s="180"/>
      <c r="J24" s="180"/>
      <c r="K24" s="180"/>
      <c r="L24" s="180"/>
      <c r="M24" s="181"/>
      <c r="N24" s="181"/>
      <c r="O24" s="182"/>
      <c r="P24" s="183">
        <v>0</v>
      </c>
      <c r="Q24" s="183">
        <v>0</v>
      </c>
      <c r="R24" s="184">
        <v>0</v>
      </c>
      <c r="S24" s="184">
        <v>0</v>
      </c>
      <c r="T24" s="181"/>
      <c r="U24" s="181"/>
      <c r="V24" s="185">
        <v>0</v>
      </c>
      <c r="W24" s="186">
        <v>0</v>
      </c>
      <c r="X24" s="187"/>
      <c r="Y24" s="182"/>
      <c r="Z24" s="188"/>
      <c r="AA24" s="97">
        <v>0</v>
      </c>
      <c r="AB24" s="189">
        <v>0</v>
      </c>
      <c r="AC24" s="210"/>
      <c r="AD24" s="4"/>
      <c r="AE24" s="4"/>
      <c r="AF24" s="4"/>
      <c r="AG24" s="4"/>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c r="CG24" s="4"/>
      <c r="CH24" s="4"/>
      <c r="CI24" s="4"/>
      <c r="CJ24" s="4"/>
      <c r="CK24" s="4"/>
      <c r="CL24" s="4"/>
      <c r="CM24" s="4"/>
      <c r="CN24" s="4"/>
      <c r="CO24" s="4"/>
      <c r="CP24" s="4"/>
      <c r="CQ24" s="4"/>
      <c r="CR24" s="4"/>
      <c r="CS24" s="4"/>
      <c r="CT24" s="4"/>
      <c r="CU24" s="4"/>
      <c r="CV24" s="4"/>
      <c r="CW24" s="4"/>
      <c r="CX24" s="4"/>
      <c r="CY24" s="4"/>
      <c r="CZ24" s="4"/>
      <c r="DA24" s="4"/>
      <c r="DB24" s="4"/>
      <c r="DC24" s="4"/>
      <c r="DD24" s="4"/>
      <c r="DE24" s="4"/>
      <c r="DF24" s="4"/>
      <c r="DG24" s="4"/>
      <c r="DH24" s="4"/>
      <c r="DI24" s="4"/>
      <c r="DJ24" s="4"/>
      <c r="DK24" s="4"/>
      <c r="DL24" s="4"/>
      <c r="DM24" s="4"/>
      <c r="DN24" s="4"/>
      <c r="DO24" s="4"/>
      <c r="DP24" s="4"/>
      <c r="DQ24" s="4"/>
      <c r="DR24" s="4"/>
      <c r="DS24" s="4"/>
      <c r="DT24" s="4"/>
      <c r="DU24" s="4"/>
      <c r="DV24" s="4"/>
      <c r="DW24" s="4"/>
      <c r="DX24" s="4"/>
      <c r="DY24" s="4"/>
      <c r="DZ24" s="4"/>
      <c r="EA24" s="4"/>
      <c r="EB24" s="4"/>
      <c r="EC24" s="4"/>
      <c r="ED24" s="4"/>
      <c r="EE24" s="4"/>
      <c r="EF24" s="4"/>
      <c r="EG24" s="4"/>
      <c r="EH24" s="4"/>
      <c r="EI24" s="4"/>
      <c r="EJ24" s="4"/>
      <c r="EK24" s="4"/>
      <c r="EL24" s="4"/>
      <c r="EM24" s="4"/>
      <c r="EN24" s="4"/>
      <c r="EO24" s="4"/>
      <c r="EP24" s="4"/>
      <c r="EQ24" s="4"/>
      <c r="ER24" s="4"/>
      <c r="ES24" s="4"/>
      <c r="ET24" s="4"/>
      <c r="EU24" s="4"/>
      <c r="EV24" s="4"/>
      <c r="EW24" s="4"/>
      <c r="EX24" s="4"/>
      <c r="EY24" s="4"/>
      <c r="EZ24" s="4"/>
      <c r="FA24" s="4"/>
      <c r="FB24" s="4"/>
      <c r="FC24" s="4"/>
      <c r="FD24" s="4"/>
      <c r="FE24" s="4"/>
      <c r="FF24" s="4"/>
      <c r="FG24" s="4"/>
      <c r="FH24" s="4"/>
      <c r="FI24" s="4"/>
      <c r="FJ24" s="4"/>
      <c r="FK24" s="4"/>
      <c r="FL24" s="4"/>
      <c r="FM24" s="4"/>
      <c r="FN24" s="4"/>
      <c r="FO24" s="4"/>
      <c r="FP24" s="4"/>
      <c r="FQ24" s="4"/>
      <c r="FR24" s="4"/>
      <c r="FS24" s="4"/>
      <c r="FT24" s="4"/>
      <c r="FU24" s="4"/>
      <c r="FV24" s="4"/>
      <c r="FW24" s="4"/>
      <c r="FX24" s="4"/>
      <c r="FY24" s="4"/>
      <c r="FZ24" s="4"/>
      <c r="GA24" s="4"/>
      <c r="GB24" s="4"/>
      <c r="GC24" s="4"/>
      <c r="GD24" s="4"/>
      <c r="GE24" s="4"/>
      <c r="GF24" s="4"/>
      <c r="GG24" s="4"/>
    </row>
    <row r="25" spans="1:189" outlineLevel="1">
      <c r="A25" s="116"/>
      <c r="B25" s="116"/>
      <c r="C25" s="116">
        <v>2</v>
      </c>
      <c r="D25" s="3" t="s">
        <v>1201</v>
      </c>
      <c r="E25" s="180"/>
      <c r="F25" s="180" t="s">
        <v>1041</v>
      </c>
      <c r="G25" s="180"/>
      <c r="H25" s="180"/>
      <c r="I25" s="180"/>
      <c r="J25" s="180"/>
      <c r="K25" s="180"/>
      <c r="L25" s="180"/>
      <c r="M25" s="181">
        <v>45105</v>
      </c>
      <c r="N25" s="181">
        <v>45105</v>
      </c>
      <c r="O25" s="182"/>
      <c r="P25" s="183">
        <v>1</v>
      </c>
      <c r="Q25" s="183">
        <v>0</v>
      </c>
      <c r="R25" s="184">
        <v>1</v>
      </c>
      <c r="S25" s="184">
        <v>0</v>
      </c>
      <c r="T25" s="181"/>
      <c r="U25" s="181"/>
      <c r="V25" s="185"/>
      <c r="W25" s="186">
        <v>0</v>
      </c>
      <c r="X25" s="187">
        <v>1</v>
      </c>
      <c r="Y25" s="182"/>
      <c r="Z25" s="188"/>
      <c r="AA25" s="97">
        <v>0</v>
      </c>
      <c r="AB25" s="189">
        <v>0</v>
      </c>
      <c r="AC25" s="210"/>
      <c r="AD25" s="4"/>
      <c r="AE25" s="4"/>
      <c r="AF25" s="4"/>
      <c r="AG25" s="4" t="str">
        <f>"  " &amp; TEXT(AB25,"#0.00%") &amp; " " &amp; "Service Launch" &amp; " " &amp; IF(M25="","",TEXT(M25,"M/D-")) &amp; IF(N25="","",TEXT(N25,"M/D")) &amp; " "</f>
        <v xml:space="preserve">  0.00% Service Launch 6/28-6/28 </v>
      </c>
      <c r="AH25" s="4"/>
      <c r="AI25" s="4"/>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c r="DC25" s="4"/>
      <c r="DD25" s="4"/>
      <c r="DE25" s="4"/>
      <c r="DF25" s="4"/>
      <c r="DG25" s="4"/>
      <c r="DH25" s="4"/>
      <c r="DI25" s="4"/>
      <c r="DJ25" s="4"/>
      <c r="DK25" s="4"/>
      <c r="DL25" s="4"/>
      <c r="DM25" s="4"/>
      <c r="DN25" s="4"/>
      <c r="DO25" s="4"/>
      <c r="DP25" s="4"/>
      <c r="DQ25" s="4"/>
      <c r="DR25" s="4"/>
      <c r="DS25" s="4"/>
      <c r="DT25" s="4"/>
      <c r="DU25" s="4"/>
      <c r="DV25" s="4"/>
      <c r="DW25" s="4"/>
      <c r="DX25" s="4"/>
      <c r="DY25" s="4"/>
      <c r="DZ25" s="4"/>
      <c r="EA25" s="4"/>
      <c r="EB25" s="4"/>
      <c r="EC25" s="4"/>
      <c r="ED25" s="4"/>
      <c r="EE25" s="4"/>
      <c r="EF25" s="4"/>
      <c r="EG25" s="4"/>
      <c r="EH25" s="4"/>
      <c r="EI25" s="4"/>
      <c r="EJ25" s="4"/>
      <c r="EK25" s="4"/>
      <c r="EL25" s="4"/>
      <c r="EM25" s="4"/>
      <c r="EN25" s="4"/>
      <c r="EO25" s="4"/>
      <c r="EP25" s="4"/>
      <c r="EQ25" s="4"/>
      <c r="ER25" s="4"/>
      <c r="ES25" s="4"/>
      <c r="ET25" s="4"/>
      <c r="EU25" s="4"/>
      <c r="EV25" s="4"/>
      <c r="EW25" s="4"/>
      <c r="EX25" s="4"/>
      <c r="EY25" s="4"/>
      <c r="EZ25" s="4"/>
      <c r="FA25" s="4"/>
      <c r="FB25" s="4"/>
      <c r="FC25" s="4"/>
      <c r="FD25" s="4"/>
      <c r="FE25" s="4"/>
      <c r="FF25" s="4"/>
      <c r="FG25" s="4"/>
      <c r="FH25" s="4"/>
      <c r="FI25" s="4"/>
      <c r="FJ25" s="4"/>
      <c r="FK25" s="4"/>
      <c r="FL25" s="4"/>
      <c r="FM25" s="4"/>
      <c r="FN25" s="4"/>
      <c r="FO25" s="4"/>
      <c r="FP25" s="4"/>
      <c r="FQ25" s="4"/>
      <c r="FR25" s="4"/>
      <c r="FS25" s="4"/>
      <c r="FT25" s="4"/>
      <c r="FU25" s="4"/>
      <c r="FV25" s="4"/>
      <c r="FW25" s="4"/>
      <c r="FX25" s="4"/>
      <c r="FY25" s="4"/>
      <c r="FZ25" s="4"/>
      <c r="GA25" s="4"/>
      <c r="GB25" s="4"/>
      <c r="GC25" s="4"/>
      <c r="GD25" s="4"/>
      <c r="GE25" s="4"/>
      <c r="GF25" s="4"/>
      <c r="GG25" s="4"/>
    </row>
    <row r="26" spans="1:189" outlineLevel="1">
      <c r="A26" s="116"/>
      <c r="B26" s="116"/>
      <c r="C26" s="116">
        <v>0</v>
      </c>
      <c r="D26" s="3"/>
      <c r="E26" s="180"/>
      <c r="F26" s="180"/>
      <c r="G26" s="180"/>
      <c r="H26" s="180"/>
      <c r="I26" s="180"/>
      <c r="J26" s="180"/>
      <c r="K26" s="180"/>
      <c r="L26" s="180"/>
      <c r="M26" s="181"/>
      <c r="N26" s="181"/>
      <c r="O26" s="182"/>
      <c r="P26" s="183"/>
      <c r="Q26" s="183"/>
      <c r="R26" s="184">
        <v>0</v>
      </c>
      <c r="S26" s="184">
        <v>0</v>
      </c>
      <c r="T26" s="181"/>
      <c r="U26" s="181"/>
      <c r="V26" s="185"/>
      <c r="W26" s="186">
        <v>0</v>
      </c>
      <c r="X26" s="187"/>
      <c r="Y26" s="182"/>
      <c r="Z26" s="188"/>
      <c r="AA26" s="97"/>
      <c r="AB26" s="189"/>
      <c r="AC26" s="210"/>
      <c r="AD26" s="4"/>
      <c r="AE26" s="4"/>
      <c r="AF26" s="4"/>
      <c r="AG26" s="4"/>
      <c r="AH26" s="4"/>
      <c r="AI26" s="4"/>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c r="DC26" s="4"/>
      <c r="DD26" s="4"/>
      <c r="DE26" s="4"/>
      <c r="DF26" s="4"/>
      <c r="DG26" s="4"/>
      <c r="DH26" s="4"/>
      <c r="DI26" s="4"/>
      <c r="DJ26" s="4"/>
      <c r="DK26" s="4"/>
      <c r="DL26" s="4"/>
      <c r="DM26" s="4"/>
      <c r="DN26" s="4"/>
      <c r="DO26" s="4"/>
      <c r="DP26" s="4"/>
      <c r="DQ26" s="4"/>
      <c r="DR26" s="4"/>
      <c r="DS26" s="4"/>
      <c r="DT26" s="4"/>
      <c r="DU26" s="4"/>
      <c r="DV26" s="4"/>
      <c r="DW26" s="4"/>
      <c r="DX26" s="4"/>
      <c r="DY26" s="4"/>
      <c r="DZ26" s="4"/>
      <c r="EA26" s="4"/>
      <c r="EB26" s="4"/>
      <c r="EC26" s="4"/>
      <c r="ED26" s="4"/>
      <c r="EE26" s="4"/>
      <c r="EF26" s="4"/>
      <c r="EG26" s="4"/>
      <c r="EH26" s="4"/>
      <c r="EI26" s="4"/>
      <c r="EJ26" s="4"/>
      <c r="EK26" s="4"/>
      <c r="EL26" s="4"/>
      <c r="EM26" s="4"/>
      <c r="EN26" s="4"/>
      <c r="EO26" s="4"/>
      <c r="EP26" s="4"/>
      <c r="EQ26" s="4"/>
      <c r="ER26" s="4"/>
      <c r="ES26" s="4"/>
      <c r="ET26" s="4"/>
      <c r="EU26" s="4"/>
      <c r="EV26" s="4"/>
      <c r="EW26" s="4"/>
      <c r="EX26" s="4"/>
      <c r="EY26" s="4"/>
      <c r="EZ26" s="4"/>
      <c r="FA26" s="4"/>
      <c r="FB26" s="4"/>
      <c r="FC26" s="4"/>
      <c r="FD26" s="4"/>
      <c r="FE26" s="4"/>
      <c r="FF26" s="4"/>
      <c r="FG26" s="4"/>
      <c r="FH26" s="4"/>
      <c r="FI26" s="4"/>
      <c r="FJ26" s="4"/>
      <c r="FK26" s="4"/>
      <c r="FL26" s="4"/>
      <c r="FM26" s="4"/>
      <c r="FN26" s="4"/>
      <c r="FO26" s="4"/>
      <c r="FP26" s="4"/>
      <c r="FQ26" s="4"/>
      <c r="FR26" s="4"/>
      <c r="FS26" s="4"/>
      <c r="FT26" s="4"/>
      <c r="FU26" s="4"/>
      <c r="FV26" s="4"/>
      <c r="FW26" s="4"/>
      <c r="FX26" s="4"/>
      <c r="FY26" s="4"/>
      <c r="FZ26" s="4"/>
      <c r="GA26" s="4"/>
      <c r="GB26" s="4"/>
      <c r="GC26" s="4"/>
      <c r="GD26" s="4"/>
      <c r="GE26" s="4"/>
      <c r="GF26" s="4"/>
      <c r="GG26" s="4"/>
    </row>
    <row r="27" spans="1:189">
      <c r="A27" s="116"/>
      <c r="B27" s="116" t="s">
        <v>983</v>
      </c>
      <c r="C27" s="116">
        <v>1</v>
      </c>
      <c r="D27" s="3" t="s">
        <v>1089</v>
      </c>
      <c r="E27" s="180" t="s">
        <v>1133</v>
      </c>
      <c r="F27" s="180"/>
      <c r="G27" s="180"/>
      <c r="H27" s="180"/>
      <c r="I27" s="180"/>
      <c r="J27" s="180"/>
      <c r="K27" s="180"/>
      <c r="L27" s="180"/>
      <c r="M27" s="181">
        <v>45078</v>
      </c>
      <c r="N27" s="181">
        <v>45105</v>
      </c>
      <c r="O27" s="182"/>
      <c r="P27" s="183">
        <v>17</v>
      </c>
      <c r="Q27" s="183">
        <v>13</v>
      </c>
      <c r="R27" s="184">
        <v>20</v>
      </c>
      <c r="S27" s="184">
        <v>13</v>
      </c>
      <c r="T27" s="181"/>
      <c r="U27" s="181"/>
      <c r="V27" s="185">
        <v>0</v>
      </c>
      <c r="W27" s="186">
        <v>0</v>
      </c>
      <c r="X27" s="187"/>
      <c r="Y27" s="182"/>
      <c r="Z27" s="188"/>
      <c r="AA27" s="97">
        <v>0.76470588235294112</v>
      </c>
      <c r="AB27" s="189">
        <v>0.70000000000000007</v>
      </c>
      <c r="AC27" s="210"/>
      <c r="AD27" s="4"/>
      <c r="AE27" s="4"/>
      <c r="AF27" s="4" t="str">
        <f>"  " &amp; TEXT(AB27,"#0.00%") &amp; " " &amp; "[2209-05] Show All Limit in Mobile App" &amp; " " &amp; IF(M27="","",TEXT(M27,"M/D-")) &amp; IF(N27="","",TEXT(N27,"M/D")) &amp; " "</f>
        <v xml:space="preserve">  70.00% [2209-05] Show All Limit in Mobile App 6/1-6/28 </v>
      </c>
      <c r="AG27" s="4"/>
      <c r="AH27" s="4"/>
      <c r="AI27" s="4"/>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c r="DC27" s="4"/>
      <c r="DD27" s="4"/>
      <c r="DE27" s="4"/>
      <c r="DF27" s="4"/>
      <c r="DG27" s="4"/>
      <c r="DH27" s="4"/>
      <c r="DI27" s="4"/>
      <c r="DJ27" s="4"/>
      <c r="DK27" s="4"/>
      <c r="DL27" s="4"/>
      <c r="DM27" s="4"/>
      <c r="DN27" s="4"/>
      <c r="DO27" s="4"/>
      <c r="DP27" s="4"/>
      <c r="DQ27" s="4"/>
      <c r="DR27" s="4"/>
      <c r="DS27" s="4"/>
      <c r="DT27" s="4"/>
      <c r="DU27" s="4"/>
      <c r="DV27" s="4"/>
      <c r="DW27" s="4"/>
      <c r="DX27" s="4"/>
      <c r="DY27" s="4"/>
      <c r="DZ27" s="4"/>
      <c r="EA27" s="4"/>
      <c r="EB27" s="4"/>
      <c r="EC27" s="4"/>
      <c r="ED27" s="4"/>
      <c r="EE27" s="4"/>
      <c r="EF27" s="4"/>
      <c r="EG27" s="4"/>
      <c r="EH27" s="4"/>
      <c r="EI27" s="4"/>
      <c r="EJ27" s="4"/>
      <c r="EK27" s="4"/>
      <c r="EL27" s="4"/>
      <c r="EM27" s="4"/>
      <c r="EN27" s="4"/>
      <c r="EO27" s="4"/>
      <c r="EP27" s="4"/>
      <c r="EQ27" s="4"/>
      <c r="ER27" s="4"/>
      <c r="ES27" s="4"/>
      <c r="ET27" s="4"/>
      <c r="EU27" s="4"/>
      <c r="EV27" s="4"/>
      <c r="EW27" s="4"/>
      <c r="EX27" s="4"/>
      <c r="EY27" s="4"/>
      <c r="EZ27" s="4"/>
      <c r="FA27" s="4"/>
      <c r="FB27" s="4"/>
      <c r="FC27" s="4"/>
      <c r="FD27" s="4"/>
      <c r="FE27" s="4"/>
      <c r="FF27" s="4"/>
      <c r="FG27" s="4"/>
      <c r="FH27" s="4"/>
      <c r="FI27" s="4"/>
      <c r="FJ27" s="4"/>
      <c r="FK27" s="4"/>
      <c r="FL27" s="4"/>
      <c r="FM27" s="4"/>
      <c r="FN27" s="4"/>
      <c r="FO27" s="4"/>
      <c r="FP27" s="4"/>
      <c r="FQ27" s="4"/>
      <c r="FR27" s="4"/>
      <c r="FS27" s="4"/>
      <c r="FT27" s="4"/>
      <c r="FU27" s="4"/>
      <c r="FV27" s="4"/>
      <c r="FW27" s="4"/>
      <c r="FX27" s="4"/>
      <c r="FY27" s="4"/>
      <c r="FZ27" s="4"/>
      <c r="GA27" s="4"/>
      <c r="GB27" s="4"/>
      <c r="GC27" s="4"/>
      <c r="GD27" s="4"/>
      <c r="GE27" s="4"/>
      <c r="GF27" s="4"/>
      <c r="GG27" s="4"/>
    </row>
    <row r="28" spans="1:189" outlineLevel="1">
      <c r="A28" s="116"/>
      <c r="B28" s="116"/>
      <c r="C28" s="116">
        <v>2</v>
      </c>
      <c r="D28" s="3" t="s">
        <v>1090</v>
      </c>
      <c r="E28" s="180"/>
      <c r="F28" s="180" t="s">
        <v>1038</v>
      </c>
      <c r="G28" s="180"/>
      <c r="H28" s="180"/>
      <c r="I28" s="180"/>
      <c r="J28" s="180"/>
      <c r="K28" s="180"/>
      <c r="L28" s="180"/>
      <c r="M28" s="181">
        <v>45078</v>
      </c>
      <c r="N28" s="181">
        <v>45092</v>
      </c>
      <c r="O28" s="182"/>
      <c r="P28" s="183">
        <v>11</v>
      </c>
      <c r="Q28" s="183">
        <v>11</v>
      </c>
      <c r="R28" s="184">
        <v>11</v>
      </c>
      <c r="S28" s="184">
        <v>11</v>
      </c>
      <c r="T28" s="181"/>
      <c r="U28" s="181"/>
      <c r="V28" s="185"/>
      <c r="W28" s="186">
        <v>0</v>
      </c>
      <c r="X28" s="187">
        <v>1</v>
      </c>
      <c r="Y28" s="182" t="s">
        <v>1163</v>
      </c>
      <c r="Z28" s="188" t="s">
        <v>1164</v>
      </c>
      <c r="AA28" s="97">
        <v>1</v>
      </c>
      <c r="AB28" s="189">
        <v>0.9</v>
      </c>
      <c r="AC28" s="210"/>
      <c r="AD28" s="4"/>
      <c r="AE28" s="4" t="str">
        <f>"   " &amp; TEXT(AB28,"#0.00%") &amp; " " &amp; "Development" &amp; "(Pujan)" &amp; " " &amp; IF(M28="","",TEXT(M28,"M/D-")) &amp; IF(N28="","",TEXT(N28,"M/D")) &amp; " "</f>
        <v xml:space="preserve">   90.00% Development(Pujan) 6/1-6/15 </v>
      </c>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c r="DC28" s="4"/>
      <c r="DD28" s="4"/>
      <c r="DE28" s="4"/>
      <c r="DF28" s="4"/>
      <c r="DG28" s="4"/>
      <c r="DH28" s="4"/>
      <c r="DI28" s="4"/>
      <c r="DJ28" s="4"/>
      <c r="DK28" s="4"/>
      <c r="DL28" s="4"/>
      <c r="DM28" s="4"/>
      <c r="DN28" s="4"/>
      <c r="DO28" s="4"/>
      <c r="DP28" s="4"/>
      <c r="DQ28" s="4"/>
      <c r="DR28" s="4"/>
      <c r="DS28" s="4"/>
      <c r="DT28" s="4"/>
      <c r="DU28" s="4"/>
      <c r="DV28" s="4"/>
      <c r="DW28" s="4"/>
      <c r="DX28" s="4"/>
      <c r="DY28" s="4"/>
      <c r="DZ28" s="4"/>
      <c r="EA28" s="4"/>
      <c r="EB28" s="4"/>
      <c r="EC28" s="4"/>
      <c r="ED28" s="4"/>
      <c r="EE28" s="4"/>
      <c r="EF28" s="4"/>
      <c r="EG28" s="4"/>
      <c r="EH28" s="4"/>
      <c r="EI28" s="4"/>
      <c r="EJ28" s="4"/>
      <c r="EK28" s="4"/>
      <c r="EL28" s="4"/>
      <c r="EM28" s="4"/>
      <c r="EN28" s="4"/>
      <c r="EO28" s="4"/>
      <c r="EP28" s="4"/>
      <c r="EQ28" s="4"/>
      <c r="ER28" s="4"/>
      <c r="ES28" s="4"/>
      <c r="ET28" s="4"/>
      <c r="EU28" s="4"/>
      <c r="EV28" s="4"/>
      <c r="EW28" s="4"/>
      <c r="EX28" s="4"/>
      <c r="EY28" s="4"/>
      <c r="EZ28" s="4"/>
      <c r="FA28" s="4"/>
      <c r="FB28" s="4"/>
      <c r="FC28" s="4"/>
      <c r="FD28" s="4"/>
      <c r="FE28" s="4"/>
      <c r="FF28" s="4"/>
      <c r="FG28" s="4"/>
      <c r="FH28" s="4"/>
      <c r="FI28" s="4"/>
      <c r="FJ28" s="4"/>
      <c r="FK28" s="4"/>
      <c r="FL28" s="4"/>
      <c r="FM28" s="4"/>
      <c r="FN28" s="4"/>
      <c r="FO28" s="4"/>
      <c r="FP28" s="4"/>
      <c r="FQ28" s="4"/>
      <c r="FR28" s="4"/>
      <c r="FS28" s="4"/>
      <c r="FT28" s="4"/>
      <c r="FU28" s="4"/>
      <c r="FV28" s="4"/>
      <c r="FW28" s="4"/>
      <c r="FX28" s="4"/>
      <c r="FY28" s="4"/>
      <c r="FZ28" s="4"/>
      <c r="GA28" s="4"/>
      <c r="GB28" s="4"/>
      <c r="GC28" s="4"/>
      <c r="GD28" s="4"/>
      <c r="GE28" s="4"/>
      <c r="GF28" s="4"/>
      <c r="GG28" s="4"/>
    </row>
    <row r="29" spans="1:189" outlineLevel="1">
      <c r="A29" s="116"/>
      <c r="B29" s="116"/>
      <c r="C29" s="116">
        <v>2</v>
      </c>
      <c r="D29" s="3" t="s">
        <v>1091</v>
      </c>
      <c r="E29" s="180"/>
      <c r="F29" s="180" t="s">
        <v>1040</v>
      </c>
      <c r="G29" s="180"/>
      <c r="H29" s="180"/>
      <c r="I29" s="180"/>
      <c r="J29" s="180"/>
      <c r="K29" s="180"/>
      <c r="L29" s="180"/>
      <c r="M29" s="181">
        <v>45093</v>
      </c>
      <c r="N29" s="181">
        <v>45098</v>
      </c>
      <c r="O29" s="182"/>
      <c r="P29" s="183">
        <v>4</v>
      </c>
      <c r="Q29" s="183">
        <v>2</v>
      </c>
      <c r="R29" s="184">
        <v>4</v>
      </c>
      <c r="S29" s="184">
        <v>2</v>
      </c>
      <c r="T29" s="181"/>
      <c r="U29" s="181"/>
      <c r="V29" s="185"/>
      <c r="W29" s="186">
        <v>0</v>
      </c>
      <c r="X29" s="187">
        <v>1</v>
      </c>
      <c r="Y29" s="182" t="s">
        <v>1165</v>
      </c>
      <c r="Z29" s="188"/>
      <c r="AA29" s="97">
        <v>0.5</v>
      </c>
      <c r="AB29" s="189">
        <v>0.5</v>
      </c>
      <c r="AC29" s="210"/>
      <c r="AD29" s="4"/>
      <c r="AE29" s="4"/>
      <c r="AF29" s="4" t="str">
        <f>"" &amp; TEXT(AB29,"#0.00%") &amp; " " &amp; "Test in TB" &amp; "(Jasurbek, Thav)" &amp; " " &amp; IF(M29="","",TEXT(M29,"M/D-")) &amp; IF(N29="","",TEXT(N29,"M/D")) &amp; " "</f>
        <v xml:space="preserve">50.00% Test in TB(Jasurbek, Thav) 6/16-6/21 </v>
      </c>
      <c r="AG29" s="4"/>
      <c r="AH29" s="4"/>
      <c r="AI29" s="4"/>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c r="DC29" s="4"/>
      <c r="DD29" s="4"/>
      <c r="DE29" s="4"/>
      <c r="DF29" s="4"/>
      <c r="DG29" s="4"/>
      <c r="DH29" s="4"/>
      <c r="DI29" s="4"/>
      <c r="DJ29" s="4"/>
      <c r="DK29" s="4"/>
      <c r="DL29" s="4"/>
      <c r="DM29" s="4"/>
      <c r="DN29" s="4"/>
      <c r="DO29" s="4"/>
      <c r="DP29" s="4"/>
      <c r="DQ29" s="4"/>
      <c r="DR29" s="4"/>
      <c r="DS29" s="4"/>
      <c r="DT29" s="4"/>
      <c r="DU29" s="4"/>
      <c r="DV29" s="4"/>
      <c r="DW29" s="4"/>
      <c r="DX29" s="4"/>
      <c r="DY29" s="4"/>
      <c r="DZ29" s="4"/>
      <c r="EA29" s="4"/>
      <c r="EB29" s="4"/>
      <c r="EC29" s="4"/>
      <c r="ED29" s="4"/>
      <c r="EE29" s="4"/>
      <c r="EF29" s="4"/>
      <c r="EG29" s="4"/>
      <c r="EH29" s="4"/>
      <c r="EI29" s="4"/>
      <c r="EJ29" s="4"/>
      <c r="EK29" s="4"/>
      <c r="EL29" s="4"/>
      <c r="EM29" s="4"/>
      <c r="EN29" s="4"/>
      <c r="EO29" s="4"/>
      <c r="EP29" s="4"/>
      <c r="EQ29" s="4"/>
      <c r="ER29" s="4"/>
      <c r="ES29" s="4"/>
      <c r="ET29" s="4"/>
      <c r="EU29" s="4"/>
      <c r="EV29" s="4"/>
      <c r="EW29" s="4"/>
      <c r="EX29" s="4"/>
      <c r="EY29" s="4"/>
      <c r="EZ29" s="4"/>
      <c r="FA29" s="4"/>
      <c r="FB29" s="4"/>
      <c r="FC29" s="4"/>
      <c r="FD29" s="4"/>
      <c r="FE29" s="4"/>
      <c r="FF29" s="4"/>
      <c r="FG29" s="4"/>
      <c r="FH29" s="4"/>
      <c r="FI29" s="4"/>
      <c r="FJ29" s="4"/>
      <c r="FK29" s="4"/>
      <c r="FL29" s="4"/>
      <c r="FM29" s="4"/>
      <c r="FN29" s="4"/>
      <c r="FO29" s="4"/>
      <c r="FP29" s="4"/>
      <c r="FQ29" s="4"/>
      <c r="FR29" s="4"/>
      <c r="FS29" s="4"/>
      <c r="FT29" s="4"/>
      <c r="FU29" s="4"/>
      <c r="FV29" s="4"/>
      <c r="FW29" s="4"/>
      <c r="FX29" s="4"/>
      <c r="FY29" s="4"/>
      <c r="FZ29" s="4"/>
      <c r="GA29" s="4"/>
      <c r="GB29" s="4"/>
      <c r="GC29" s="4"/>
      <c r="GD29" s="4"/>
      <c r="GE29" s="4"/>
      <c r="GF29" s="4"/>
      <c r="GG29" s="4"/>
    </row>
    <row r="30" spans="1:189" outlineLevel="1">
      <c r="A30" s="116"/>
      <c r="B30" s="116"/>
      <c r="C30" s="116">
        <v>2</v>
      </c>
      <c r="D30" s="3" t="s">
        <v>1092</v>
      </c>
      <c r="E30" s="180"/>
      <c r="F30" s="180" t="s">
        <v>1039</v>
      </c>
      <c r="G30" s="180"/>
      <c r="H30" s="180"/>
      <c r="I30" s="180"/>
      <c r="J30" s="180"/>
      <c r="K30" s="180"/>
      <c r="L30" s="180"/>
      <c r="M30" s="181">
        <v>45104</v>
      </c>
      <c r="N30" s="181">
        <v>45104</v>
      </c>
      <c r="O30" s="182"/>
      <c r="P30" s="183">
        <v>1</v>
      </c>
      <c r="Q30" s="183">
        <v>0</v>
      </c>
      <c r="R30" s="184">
        <v>1</v>
      </c>
      <c r="S30" s="184">
        <v>0</v>
      </c>
      <c r="T30" s="181"/>
      <c r="U30" s="181"/>
      <c r="V30" s="185"/>
      <c r="W30" s="186">
        <v>0</v>
      </c>
      <c r="X30" s="187">
        <v>1</v>
      </c>
      <c r="Y30" s="182"/>
      <c r="Z30" s="188"/>
      <c r="AA30" s="97">
        <v>0</v>
      </c>
      <c r="AB30" s="189">
        <v>0</v>
      </c>
      <c r="AC30" s="210"/>
      <c r="AD30" s="4"/>
      <c r="AE30" s="4"/>
      <c r="AF30" s="4"/>
      <c r="AG30" s="4" t="str">
        <f>" " &amp; TEXT(AB30,"#0.00%") &amp; " " &amp; "Test in Live" &amp; " " &amp; IF(M30="","",TEXT(M30,"M/D-")) &amp; IF(N30="","",TEXT(N30,"M/D")) &amp; " "</f>
        <v xml:space="preserve"> 0.00% Test in Live 6/27-6/27 </v>
      </c>
      <c r="AH30" s="4"/>
      <c r="AI30" s="4"/>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c r="DC30" s="4"/>
      <c r="DD30" s="4"/>
      <c r="DE30" s="4"/>
      <c r="DF30" s="4"/>
      <c r="DG30" s="4"/>
      <c r="DH30" s="4"/>
      <c r="DI30" s="4"/>
      <c r="DJ30" s="4"/>
      <c r="DK30" s="4"/>
      <c r="DL30" s="4"/>
      <c r="DM30" s="4"/>
      <c r="DN30" s="4"/>
      <c r="DO30" s="4"/>
      <c r="DP30" s="4"/>
      <c r="DQ30" s="4"/>
      <c r="DR30" s="4"/>
      <c r="DS30" s="4"/>
      <c r="DT30" s="4"/>
      <c r="DU30" s="4"/>
      <c r="DV30" s="4"/>
      <c r="DW30" s="4"/>
      <c r="DX30" s="4"/>
      <c r="DY30" s="4"/>
      <c r="DZ30" s="4"/>
      <c r="EA30" s="4"/>
      <c r="EB30" s="4"/>
      <c r="EC30" s="4"/>
      <c r="ED30" s="4"/>
      <c r="EE30" s="4"/>
      <c r="EF30" s="4"/>
      <c r="EG30" s="4"/>
      <c r="EH30" s="4"/>
      <c r="EI30" s="4"/>
      <c r="EJ30" s="4"/>
      <c r="EK30" s="4"/>
      <c r="EL30" s="4"/>
      <c r="EM30" s="4"/>
      <c r="EN30" s="4"/>
      <c r="EO30" s="4"/>
      <c r="EP30" s="4"/>
      <c r="EQ30" s="4"/>
      <c r="ER30" s="4"/>
      <c r="ES30" s="4"/>
      <c r="ET30" s="4"/>
      <c r="EU30" s="4"/>
      <c r="EV30" s="4"/>
      <c r="EW30" s="4"/>
      <c r="EX30" s="4"/>
      <c r="EY30" s="4"/>
      <c r="EZ30" s="4"/>
      <c r="FA30" s="4"/>
      <c r="FB30" s="4"/>
      <c r="FC30" s="4"/>
      <c r="FD30" s="4"/>
      <c r="FE30" s="4"/>
      <c r="FF30" s="4"/>
      <c r="FG30" s="4"/>
      <c r="FH30" s="4"/>
      <c r="FI30" s="4"/>
      <c r="FJ30" s="4"/>
      <c r="FK30" s="4"/>
      <c r="FL30" s="4"/>
      <c r="FM30" s="4"/>
      <c r="FN30" s="4"/>
      <c r="FO30" s="4"/>
      <c r="FP30" s="4"/>
      <c r="FQ30" s="4"/>
      <c r="FR30" s="4"/>
      <c r="FS30" s="4"/>
      <c r="FT30" s="4"/>
      <c r="FU30" s="4"/>
      <c r="FV30" s="4"/>
      <c r="FW30" s="4"/>
      <c r="FX30" s="4"/>
      <c r="FY30" s="4"/>
      <c r="FZ30" s="4"/>
      <c r="GA30" s="4"/>
      <c r="GB30" s="4"/>
      <c r="GC30" s="4"/>
      <c r="GD30" s="4"/>
      <c r="GE30" s="4"/>
      <c r="GF30" s="4"/>
      <c r="GG30" s="4"/>
    </row>
    <row r="31" spans="1:189" outlineLevel="1">
      <c r="A31" s="116"/>
      <c r="B31" s="116"/>
      <c r="C31" s="116">
        <v>2</v>
      </c>
      <c r="D31" s="3" t="s">
        <v>1093</v>
      </c>
      <c r="E31" s="180"/>
      <c r="F31" s="180" t="s">
        <v>1041</v>
      </c>
      <c r="G31" s="180"/>
      <c r="H31" s="180"/>
      <c r="I31" s="180"/>
      <c r="J31" s="180"/>
      <c r="K31" s="180"/>
      <c r="L31" s="180"/>
      <c r="M31" s="181">
        <v>45105</v>
      </c>
      <c r="N31" s="181">
        <v>45105</v>
      </c>
      <c r="O31" s="182"/>
      <c r="P31" s="183">
        <v>1</v>
      </c>
      <c r="Q31" s="183">
        <v>0</v>
      </c>
      <c r="R31" s="184">
        <v>1</v>
      </c>
      <c r="S31" s="184">
        <v>0</v>
      </c>
      <c r="T31" s="181"/>
      <c r="U31" s="181"/>
      <c r="V31" s="185"/>
      <c r="W31" s="186">
        <v>0</v>
      </c>
      <c r="X31" s="187">
        <v>1</v>
      </c>
      <c r="Y31" s="182"/>
      <c r="Z31" s="188"/>
      <c r="AA31" s="97">
        <v>0</v>
      </c>
      <c r="AB31" s="189">
        <v>0</v>
      </c>
      <c r="AC31" s="210"/>
      <c r="AD31" s="4"/>
      <c r="AE31" s="4"/>
      <c r="AF31" s="4"/>
      <c r="AG31" s="4" t="str">
        <f>"  " &amp; TEXT(AB31,"#0.00%") &amp; " " &amp; "Service Launch" &amp; " " &amp; IF(M31="","",TEXT(M31,"M/D-")) &amp; IF(N31="","",TEXT(N31,"M/D")) &amp; " "</f>
        <v xml:space="preserve">  0.00% Service Launch 6/28-6/28 </v>
      </c>
      <c r="AH31" s="4"/>
      <c r="AI31" s="4"/>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c r="DC31" s="4"/>
      <c r="DD31" s="4"/>
      <c r="DE31" s="4"/>
      <c r="DF31" s="4"/>
      <c r="DG31" s="4"/>
      <c r="DH31" s="4"/>
      <c r="DI31" s="4"/>
      <c r="DJ31" s="4"/>
      <c r="DK31" s="4"/>
      <c r="DL31" s="4"/>
      <c r="DM31" s="4"/>
      <c r="DN31" s="4"/>
      <c r="DO31" s="4"/>
      <c r="DP31" s="4"/>
      <c r="DQ31" s="4"/>
      <c r="DR31" s="4"/>
      <c r="DS31" s="4"/>
      <c r="DT31" s="4"/>
      <c r="DU31" s="4"/>
      <c r="DV31" s="4"/>
      <c r="DW31" s="4"/>
      <c r="DX31" s="4"/>
      <c r="DY31" s="4"/>
      <c r="DZ31" s="4"/>
      <c r="EA31" s="4"/>
      <c r="EB31" s="4"/>
      <c r="EC31" s="4"/>
      <c r="ED31" s="4"/>
      <c r="EE31" s="4"/>
      <c r="EF31" s="4"/>
      <c r="EG31" s="4"/>
      <c r="EH31" s="4"/>
      <c r="EI31" s="4"/>
      <c r="EJ31" s="4"/>
      <c r="EK31" s="4"/>
      <c r="EL31" s="4"/>
      <c r="EM31" s="4"/>
      <c r="EN31" s="4"/>
      <c r="EO31" s="4"/>
      <c r="EP31" s="4"/>
      <c r="EQ31" s="4"/>
      <c r="ER31" s="4"/>
      <c r="ES31" s="4"/>
      <c r="ET31" s="4"/>
      <c r="EU31" s="4"/>
      <c r="EV31" s="4"/>
      <c r="EW31" s="4"/>
      <c r="EX31" s="4"/>
      <c r="EY31" s="4"/>
      <c r="EZ31" s="4"/>
      <c r="FA31" s="4"/>
      <c r="FB31" s="4"/>
      <c r="FC31" s="4"/>
      <c r="FD31" s="4"/>
      <c r="FE31" s="4"/>
      <c r="FF31" s="4"/>
      <c r="FG31" s="4"/>
      <c r="FH31" s="4"/>
      <c r="FI31" s="4"/>
      <c r="FJ31" s="4"/>
      <c r="FK31" s="4"/>
      <c r="FL31" s="4"/>
      <c r="FM31" s="4"/>
      <c r="FN31" s="4"/>
      <c r="FO31" s="4"/>
      <c r="FP31" s="4"/>
      <c r="FQ31" s="4"/>
      <c r="FR31" s="4"/>
      <c r="FS31" s="4"/>
      <c r="FT31" s="4"/>
      <c r="FU31" s="4"/>
      <c r="FV31" s="4"/>
      <c r="FW31" s="4"/>
      <c r="FX31" s="4"/>
      <c r="FY31" s="4"/>
      <c r="FZ31" s="4"/>
      <c r="GA31" s="4"/>
      <c r="GB31" s="4"/>
      <c r="GC31" s="4"/>
      <c r="GD31" s="4"/>
      <c r="GE31" s="4"/>
      <c r="GF31" s="4"/>
      <c r="GG31" s="4"/>
    </row>
    <row r="32" spans="1:189" outlineLevel="1">
      <c r="A32" s="116"/>
      <c r="B32" s="116"/>
      <c r="C32" s="116">
        <v>0</v>
      </c>
      <c r="D32" s="3"/>
      <c r="E32" s="180"/>
      <c r="F32" s="180"/>
      <c r="G32" s="180"/>
      <c r="H32" s="180"/>
      <c r="I32" s="180"/>
      <c r="J32" s="180"/>
      <c r="K32" s="180"/>
      <c r="L32" s="180"/>
      <c r="M32" s="181"/>
      <c r="N32" s="181"/>
      <c r="O32" s="182"/>
      <c r="P32" s="183"/>
      <c r="Q32" s="183"/>
      <c r="R32" s="184">
        <v>0</v>
      </c>
      <c r="S32" s="184">
        <v>0</v>
      </c>
      <c r="T32" s="181"/>
      <c r="U32" s="181"/>
      <c r="V32" s="185"/>
      <c r="W32" s="186">
        <v>0</v>
      </c>
      <c r="X32" s="187"/>
      <c r="Y32" s="182"/>
      <c r="Z32" s="188"/>
      <c r="AA32" s="97"/>
      <c r="AB32" s="189"/>
      <c r="AC32" s="210"/>
      <c r="AD32" s="4"/>
      <c r="AE32" s="4"/>
      <c r="AF32" s="4"/>
      <c r="AG32" s="4"/>
      <c r="AH32" s="4"/>
      <c r="AI32" s="4"/>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c r="DC32" s="4"/>
      <c r="DD32" s="4"/>
      <c r="DE32" s="4"/>
      <c r="DF32" s="4"/>
      <c r="DG32" s="4"/>
      <c r="DH32" s="4"/>
      <c r="DI32" s="4"/>
      <c r="DJ32" s="4"/>
      <c r="DK32" s="4"/>
      <c r="DL32" s="4"/>
      <c r="DM32" s="4"/>
      <c r="DN32" s="4"/>
      <c r="DO32" s="4"/>
      <c r="DP32" s="4"/>
      <c r="DQ32" s="4"/>
      <c r="DR32" s="4"/>
      <c r="DS32" s="4"/>
      <c r="DT32" s="4"/>
      <c r="DU32" s="4"/>
      <c r="DV32" s="4"/>
      <c r="DW32" s="4"/>
      <c r="DX32" s="4"/>
      <c r="DY32" s="4"/>
      <c r="DZ32" s="4"/>
      <c r="EA32" s="4"/>
      <c r="EB32" s="4"/>
      <c r="EC32" s="4"/>
      <c r="ED32" s="4"/>
      <c r="EE32" s="4"/>
      <c r="EF32" s="4"/>
      <c r="EG32" s="4"/>
      <c r="EH32" s="4"/>
      <c r="EI32" s="4"/>
      <c r="EJ32" s="4"/>
      <c r="EK32" s="4"/>
      <c r="EL32" s="4"/>
      <c r="EM32" s="4"/>
      <c r="EN32" s="4"/>
      <c r="EO32" s="4"/>
      <c r="EP32" s="4"/>
      <c r="EQ32" s="4"/>
      <c r="ER32" s="4"/>
      <c r="ES32" s="4"/>
      <c r="ET32" s="4"/>
      <c r="EU32" s="4"/>
      <c r="EV32" s="4"/>
      <c r="EW32" s="4"/>
      <c r="EX32" s="4"/>
      <c r="EY32" s="4"/>
      <c r="EZ32" s="4"/>
      <c r="FA32" s="4"/>
      <c r="FB32" s="4"/>
      <c r="FC32" s="4"/>
      <c r="FD32" s="4"/>
      <c r="FE32" s="4"/>
      <c r="FF32" s="4"/>
      <c r="FG32" s="4"/>
      <c r="FH32" s="4"/>
      <c r="FI32" s="4"/>
      <c r="FJ32" s="4"/>
      <c r="FK32" s="4"/>
      <c r="FL32" s="4"/>
      <c r="FM32" s="4"/>
      <c r="FN32" s="4"/>
      <c r="FO32" s="4"/>
      <c r="FP32" s="4"/>
      <c r="FQ32" s="4"/>
      <c r="FR32" s="4"/>
      <c r="FS32" s="4"/>
      <c r="FT32" s="4"/>
      <c r="FU32" s="4"/>
      <c r="FV32" s="4"/>
      <c r="FW32" s="4"/>
      <c r="FX32" s="4"/>
      <c r="FY32" s="4"/>
      <c r="FZ32" s="4"/>
      <c r="GA32" s="4"/>
      <c r="GB32" s="4"/>
      <c r="GC32" s="4"/>
      <c r="GD32" s="4"/>
      <c r="GE32" s="4"/>
      <c r="GF32" s="4"/>
      <c r="GG32" s="4"/>
    </row>
    <row r="33" spans="1:189">
      <c r="A33" s="116"/>
      <c r="B33" s="116" t="s">
        <v>983</v>
      </c>
      <c r="C33" s="116">
        <v>1</v>
      </c>
      <c r="D33" s="3" t="s">
        <v>1094</v>
      </c>
      <c r="E33" s="180" t="s">
        <v>1037</v>
      </c>
      <c r="F33" s="180"/>
      <c r="G33" s="180"/>
      <c r="H33" s="180"/>
      <c r="I33" s="180"/>
      <c r="J33" s="180"/>
      <c r="K33" s="180"/>
      <c r="L33" s="180"/>
      <c r="M33" s="181">
        <v>45078</v>
      </c>
      <c r="N33" s="181">
        <v>45097</v>
      </c>
      <c r="O33" s="182"/>
      <c r="P33" s="183">
        <v>17</v>
      </c>
      <c r="Q33" s="183">
        <v>16</v>
      </c>
      <c r="R33" s="184">
        <v>14</v>
      </c>
      <c r="S33" s="184">
        <v>13</v>
      </c>
      <c r="T33" s="181"/>
      <c r="U33" s="181"/>
      <c r="V33" s="185">
        <v>0</v>
      </c>
      <c r="W33" s="186">
        <v>0</v>
      </c>
      <c r="X33" s="187"/>
      <c r="Y33" s="182"/>
      <c r="Z33" s="188"/>
      <c r="AA33" s="97">
        <v>0.94117647058823528</v>
      </c>
      <c r="AB33" s="189">
        <v>0.68823529411764717</v>
      </c>
      <c r="AC33" s="210"/>
      <c r="AD33" s="4"/>
      <c r="AE33" s="4" t="str">
        <f>"   " &amp; TEXT(AB33,"#0.00%") &amp; " " &amp; "[2207-01] KFTC Self Certification" &amp; " " &amp; IF(M33="","",TEXT(M33,"M/D-")) &amp; IF(N33="","",TEXT(N33,"M/D")) &amp; " "</f>
        <v xml:space="preserve">   68.82% [2207-01] KFTC Self Certification 6/1-6/20 </v>
      </c>
      <c r="AF33" s="4"/>
      <c r="AG33" s="4"/>
      <c r="AH33" s="4"/>
      <c r="AI33" s="4"/>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c r="DC33" s="4"/>
      <c r="DD33" s="4"/>
      <c r="DE33" s="4"/>
      <c r="DF33" s="4"/>
      <c r="DG33" s="4"/>
      <c r="DH33" s="4"/>
      <c r="DI33" s="4"/>
      <c r="DJ33" s="4"/>
      <c r="DK33" s="4"/>
      <c r="DL33" s="4"/>
      <c r="DM33" s="4"/>
      <c r="DN33" s="4"/>
      <c r="DO33" s="4"/>
      <c r="DP33" s="4"/>
      <c r="DQ33" s="4"/>
      <c r="DR33" s="4"/>
      <c r="DS33" s="4"/>
      <c r="DT33" s="4"/>
      <c r="DU33" s="4"/>
      <c r="DV33" s="4"/>
      <c r="DW33" s="4"/>
      <c r="DX33" s="4"/>
      <c r="DY33" s="4"/>
      <c r="DZ33" s="4"/>
      <c r="EA33" s="4"/>
      <c r="EB33" s="4"/>
      <c r="EC33" s="4"/>
      <c r="ED33" s="4"/>
      <c r="EE33" s="4"/>
      <c r="EF33" s="4"/>
      <c r="EG33" s="4"/>
      <c r="EH33" s="4"/>
      <c r="EI33" s="4"/>
      <c r="EJ33" s="4"/>
      <c r="EK33" s="4"/>
      <c r="EL33" s="4"/>
      <c r="EM33" s="4"/>
      <c r="EN33" s="4"/>
      <c r="EO33" s="4"/>
      <c r="EP33" s="4"/>
      <c r="EQ33" s="4"/>
      <c r="ER33" s="4"/>
      <c r="ES33" s="4"/>
      <c r="ET33" s="4"/>
      <c r="EU33" s="4"/>
      <c r="EV33" s="4"/>
      <c r="EW33" s="4"/>
      <c r="EX33" s="4"/>
      <c r="EY33" s="4"/>
      <c r="EZ33" s="4"/>
      <c r="FA33" s="4"/>
      <c r="FB33" s="4"/>
      <c r="FC33" s="4"/>
      <c r="FD33" s="4"/>
      <c r="FE33" s="4"/>
      <c r="FF33" s="4"/>
      <c r="FG33" s="4"/>
      <c r="FH33" s="4"/>
      <c r="FI33" s="4"/>
      <c r="FJ33" s="4"/>
      <c r="FK33" s="4"/>
      <c r="FL33" s="4"/>
      <c r="FM33" s="4"/>
      <c r="FN33" s="4"/>
      <c r="FO33" s="4"/>
      <c r="FP33" s="4"/>
      <c r="FQ33" s="4"/>
      <c r="FR33" s="4"/>
      <c r="FS33" s="4"/>
      <c r="FT33" s="4"/>
      <c r="FU33" s="4"/>
      <c r="FV33" s="4"/>
      <c r="FW33" s="4"/>
      <c r="FX33" s="4"/>
      <c r="FY33" s="4"/>
      <c r="FZ33" s="4"/>
      <c r="GA33" s="4"/>
      <c r="GB33" s="4"/>
      <c r="GC33" s="4"/>
      <c r="GD33" s="4"/>
      <c r="GE33" s="4"/>
      <c r="GF33" s="4"/>
      <c r="GG33" s="4"/>
    </row>
    <row r="34" spans="1:189" outlineLevel="1">
      <c r="A34" s="116"/>
      <c r="B34" s="116"/>
      <c r="C34" s="116">
        <v>2</v>
      </c>
      <c r="D34" s="3" t="s">
        <v>1095</v>
      </c>
      <c r="E34" s="180"/>
      <c r="F34" s="180" t="s">
        <v>1074</v>
      </c>
      <c r="G34" s="180"/>
      <c r="H34" s="180"/>
      <c r="I34" s="180"/>
      <c r="J34" s="180"/>
      <c r="K34" s="180"/>
      <c r="L34" s="180"/>
      <c r="M34" s="181">
        <v>45078</v>
      </c>
      <c r="N34" s="181">
        <v>45079</v>
      </c>
      <c r="O34" s="182"/>
      <c r="P34" s="183">
        <v>2</v>
      </c>
      <c r="Q34" s="183">
        <v>2</v>
      </c>
      <c r="R34" s="184">
        <v>2</v>
      </c>
      <c r="S34" s="184">
        <v>2</v>
      </c>
      <c r="T34" s="181"/>
      <c r="U34" s="181"/>
      <c r="V34" s="185"/>
      <c r="W34" s="186">
        <v>0</v>
      </c>
      <c r="X34" s="187">
        <v>1</v>
      </c>
      <c r="Y34" s="182" t="s">
        <v>1166</v>
      </c>
      <c r="Z34" s="188" t="s">
        <v>1154</v>
      </c>
      <c r="AA34" s="97">
        <v>1</v>
      </c>
      <c r="AB34" s="189">
        <v>0.95</v>
      </c>
      <c r="AC34" s="210" t="str">
        <f>"     " &amp; TEXT(AB34,"#0.00%") &amp; " " &amp; "Server" &amp; "(JY)" &amp; " " &amp; IF(M34="","",TEXT(M34,"M/D-")) &amp; IF(N34="","",TEXT(N34,"M/D")) &amp; " "</f>
        <v xml:space="preserve">     95.00% Server(JY) 6/1-6/2 </v>
      </c>
      <c r="AD34" s="4"/>
      <c r="AE34" s="4"/>
      <c r="AF34" s="4"/>
      <c r="AG34" s="4"/>
      <c r="AH34" s="4"/>
      <c r="AI34" s="4"/>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c r="DC34" s="4"/>
      <c r="DD34" s="4"/>
      <c r="DE34" s="4"/>
      <c r="DF34" s="4"/>
      <c r="DG34" s="4"/>
      <c r="DH34" s="4"/>
      <c r="DI34" s="4"/>
      <c r="DJ34" s="4"/>
      <c r="DK34" s="4"/>
      <c r="DL34" s="4"/>
      <c r="DM34" s="4"/>
      <c r="DN34" s="4"/>
      <c r="DO34" s="4"/>
      <c r="DP34" s="4"/>
      <c r="DQ34" s="4"/>
      <c r="DR34" s="4"/>
      <c r="DS34" s="4"/>
      <c r="DT34" s="4"/>
      <c r="DU34" s="4"/>
      <c r="DV34" s="4"/>
      <c r="DW34" s="4"/>
      <c r="DX34" s="4"/>
      <c r="DY34" s="4"/>
      <c r="DZ34" s="4"/>
      <c r="EA34" s="4"/>
      <c r="EB34" s="4"/>
      <c r="EC34" s="4"/>
      <c r="ED34" s="4"/>
      <c r="EE34" s="4"/>
      <c r="EF34" s="4"/>
      <c r="EG34" s="4"/>
      <c r="EH34" s="4"/>
      <c r="EI34" s="4"/>
      <c r="EJ34" s="4"/>
      <c r="EK34" s="4"/>
      <c r="EL34" s="4"/>
      <c r="EM34" s="4"/>
      <c r="EN34" s="4"/>
      <c r="EO34" s="4"/>
      <c r="EP34" s="4"/>
      <c r="EQ34" s="4"/>
      <c r="ER34" s="4"/>
      <c r="ES34" s="4"/>
      <c r="ET34" s="4"/>
      <c r="EU34" s="4"/>
      <c r="EV34" s="4"/>
      <c r="EW34" s="4"/>
      <c r="EX34" s="4"/>
      <c r="EY34" s="4"/>
      <c r="EZ34" s="4"/>
      <c r="FA34" s="4"/>
      <c r="FB34" s="4"/>
      <c r="FC34" s="4"/>
      <c r="FD34" s="4"/>
      <c r="FE34" s="4"/>
      <c r="FF34" s="4"/>
      <c r="FG34" s="4"/>
      <c r="FH34" s="4"/>
      <c r="FI34" s="4"/>
      <c r="FJ34" s="4"/>
      <c r="FK34" s="4"/>
      <c r="FL34" s="4"/>
      <c r="FM34" s="4"/>
      <c r="FN34" s="4"/>
      <c r="FO34" s="4"/>
      <c r="FP34" s="4"/>
      <c r="FQ34" s="4"/>
      <c r="FR34" s="4"/>
      <c r="FS34" s="4"/>
      <c r="FT34" s="4"/>
      <c r="FU34" s="4"/>
      <c r="FV34" s="4"/>
      <c r="FW34" s="4"/>
      <c r="FX34" s="4"/>
      <c r="FY34" s="4"/>
      <c r="FZ34" s="4"/>
      <c r="GA34" s="4"/>
      <c r="GB34" s="4"/>
      <c r="GC34" s="4"/>
      <c r="GD34" s="4"/>
      <c r="GE34" s="4"/>
      <c r="GF34" s="4"/>
      <c r="GG34" s="4"/>
    </row>
    <row r="35" spans="1:189" outlineLevel="1">
      <c r="A35" s="116"/>
      <c r="B35" s="116"/>
      <c r="C35" s="116">
        <v>2</v>
      </c>
      <c r="D35" s="3" t="s">
        <v>1096</v>
      </c>
      <c r="E35" s="180"/>
      <c r="F35" s="180" t="s">
        <v>1073</v>
      </c>
      <c r="G35" s="180"/>
      <c r="H35" s="180"/>
      <c r="I35" s="180"/>
      <c r="J35" s="180"/>
      <c r="K35" s="180"/>
      <c r="L35" s="180"/>
      <c r="M35" s="181">
        <v>45078</v>
      </c>
      <c r="N35" s="181">
        <v>45079</v>
      </c>
      <c r="O35" s="182"/>
      <c r="P35" s="183">
        <v>2</v>
      </c>
      <c r="Q35" s="183">
        <v>2</v>
      </c>
      <c r="R35" s="184">
        <v>2</v>
      </c>
      <c r="S35" s="184">
        <v>2</v>
      </c>
      <c r="T35" s="181"/>
      <c r="U35" s="181"/>
      <c r="V35" s="185"/>
      <c r="W35" s="186">
        <v>0</v>
      </c>
      <c r="X35" s="187">
        <v>1</v>
      </c>
      <c r="Y35" s="182" t="s">
        <v>1151</v>
      </c>
      <c r="Z35" s="188"/>
      <c r="AA35" s="97">
        <v>1</v>
      </c>
      <c r="AB35" s="189">
        <v>0.95</v>
      </c>
      <c r="AC35" s="210" t="str">
        <f>"     " &amp; TEXT(AB35,"#0.00%") &amp; " " &amp; "iOS" &amp; "(Manish)" &amp; " " &amp; IF(M35="","",TEXT(M35,"M/D-")) &amp; IF(N35="","",TEXT(N35,"M/D")) &amp; " "</f>
        <v xml:space="preserve">     95.00% iOS(Manish) 6/1-6/2 </v>
      </c>
      <c r="AD35" s="4"/>
      <c r="AE35" s="4"/>
      <c r="AF35" s="4"/>
      <c r="AG35" s="4"/>
      <c r="AH35" s="4"/>
      <c r="AI35" s="4"/>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c r="DC35" s="4"/>
      <c r="DD35" s="4"/>
      <c r="DE35" s="4"/>
      <c r="DF35" s="4"/>
      <c r="DG35" s="4"/>
      <c r="DH35" s="4"/>
      <c r="DI35" s="4"/>
      <c r="DJ35" s="4"/>
      <c r="DK35" s="4"/>
      <c r="DL35" s="4"/>
      <c r="DM35" s="4"/>
      <c r="DN35" s="4"/>
      <c r="DO35" s="4"/>
      <c r="DP35" s="4"/>
      <c r="DQ35" s="4"/>
      <c r="DR35" s="4"/>
      <c r="DS35" s="4"/>
      <c r="DT35" s="4"/>
      <c r="DU35" s="4"/>
      <c r="DV35" s="4"/>
      <c r="DW35" s="4"/>
      <c r="DX35" s="4"/>
      <c r="DY35" s="4"/>
      <c r="DZ35" s="4"/>
      <c r="EA35" s="4"/>
      <c r="EB35" s="4"/>
      <c r="EC35" s="4"/>
      <c r="ED35" s="4"/>
      <c r="EE35" s="4"/>
      <c r="EF35" s="4"/>
      <c r="EG35" s="4"/>
      <c r="EH35" s="4"/>
      <c r="EI35" s="4"/>
      <c r="EJ35" s="4"/>
      <c r="EK35" s="4"/>
      <c r="EL35" s="4"/>
      <c r="EM35" s="4"/>
      <c r="EN35" s="4"/>
      <c r="EO35" s="4"/>
      <c r="EP35" s="4"/>
      <c r="EQ35" s="4"/>
      <c r="ER35" s="4"/>
      <c r="ES35" s="4"/>
      <c r="ET35" s="4"/>
      <c r="EU35" s="4"/>
      <c r="EV35" s="4"/>
      <c r="EW35" s="4"/>
      <c r="EX35" s="4"/>
      <c r="EY35" s="4"/>
      <c r="EZ35" s="4"/>
      <c r="FA35" s="4"/>
      <c r="FB35" s="4"/>
      <c r="FC35" s="4"/>
      <c r="FD35" s="4"/>
      <c r="FE35" s="4"/>
      <c r="FF35" s="4"/>
      <c r="FG35" s="4"/>
      <c r="FH35" s="4"/>
      <c r="FI35" s="4"/>
      <c r="FJ35" s="4"/>
      <c r="FK35" s="4"/>
      <c r="FL35" s="4"/>
      <c r="FM35" s="4"/>
      <c r="FN35" s="4"/>
      <c r="FO35" s="4"/>
      <c r="FP35" s="4"/>
      <c r="FQ35" s="4"/>
      <c r="FR35" s="4"/>
      <c r="FS35" s="4"/>
      <c r="FT35" s="4"/>
      <c r="FU35" s="4"/>
      <c r="FV35" s="4"/>
      <c r="FW35" s="4"/>
      <c r="FX35" s="4"/>
      <c r="FY35" s="4"/>
      <c r="FZ35" s="4"/>
      <c r="GA35" s="4"/>
      <c r="GB35" s="4"/>
      <c r="GC35" s="4"/>
      <c r="GD35" s="4"/>
      <c r="GE35" s="4"/>
      <c r="GF35" s="4"/>
      <c r="GG35" s="4"/>
    </row>
    <row r="36" spans="1:189" outlineLevel="1">
      <c r="A36" s="116"/>
      <c r="B36" s="116"/>
      <c r="C36" s="116">
        <v>2</v>
      </c>
      <c r="D36" s="3" t="s">
        <v>1097</v>
      </c>
      <c r="E36" s="180"/>
      <c r="F36" s="180" t="s">
        <v>1072</v>
      </c>
      <c r="G36" s="180"/>
      <c r="H36" s="180"/>
      <c r="I36" s="180"/>
      <c r="J36" s="180"/>
      <c r="K36" s="180"/>
      <c r="L36" s="180"/>
      <c r="M36" s="181">
        <v>45078</v>
      </c>
      <c r="N36" s="181">
        <v>45079</v>
      </c>
      <c r="O36" s="182"/>
      <c r="P36" s="183">
        <v>2</v>
      </c>
      <c r="Q36" s="183">
        <v>2</v>
      </c>
      <c r="R36" s="184">
        <v>2</v>
      </c>
      <c r="S36" s="184">
        <v>2</v>
      </c>
      <c r="T36" s="181"/>
      <c r="U36" s="181"/>
      <c r="V36" s="185"/>
      <c r="W36" s="186">
        <v>0</v>
      </c>
      <c r="X36" s="187">
        <v>1</v>
      </c>
      <c r="Y36" s="182" t="s">
        <v>1152</v>
      </c>
      <c r="Z36" s="188"/>
      <c r="AA36" s="97">
        <v>1</v>
      </c>
      <c r="AB36" s="189">
        <v>0.95</v>
      </c>
      <c r="AC36" s="210" t="str">
        <f>"     " &amp; TEXT(AB36,"#0.00%") &amp; " " &amp; "Android" &amp; "(Sujan)" &amp; " " &amp; IF(M36="","",TEXT(M36,"M/D-")) &amp; IF(N36="","",TEXT(N36,"M/D")) &amp; " "</f>
        <v xml:space="preserve">     95.00% Android(Sujan) 6/1-6/2 </v>
      </c>
      <c r="AD36" s="4"/>
      <c r="AE36" s="4"/>
      <c r="AF36" s="4"/>
      <c r="AG36" s="4"/>
      <c r="AH36" s="4"/>
      <c r="AI36" s="4"/>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c r="DC36" s="4"/>
      <c r="DD36" s="4"/>
      <c r="DE36" s="4"/>
      <c r="DF36" s="4"/>
      <c r="DG36" s="4"/>
      <c r="DH36" s="4"/>
      <c r="DI36" s="4"/>
      <c r="DJ36" s="4"/>
      <c r="DK36" s="4"/>
      <c r="DL36" s="4"/>
      <c r="DM36" s="4"/>
      <c r="DN36" s="4"/>
      <c r="DO36" s="4"/>
      <c r="DP36" s="4"/>
      <c r="DQ36" s="4"/>
      <c r="DR36" s="4"/>
      <c r="DS36" s="4"/>
      <c r="DT36" s="4"/>
      <c r="DU36" s="4"/>
      <c r="DV36" s="4"/>
      <c r="DW36" s="4"/>
      <c r="DX36" s="4"/>
      <c r="DY36" s="4"/>
      <c r="DZ36" s="4"/>
      <c r="EA36" s="4"/>
      <c r="EB36" s="4"/>
      <c r="EC36" s="4"/>
      <c r="ED36" s="4"/>
      <c r="EE36" s="4"/>
      <c r="EF36" s="4"/>
      <c r="EG36" s="4"/>
      <c r="EH36" s="4"/>
      <c r="EI36" s="4"/>
      <c r="EJ36" s="4"/>
      <c r="EK36" s="4"/>
      <c r="EL36" s="4"/>
      <c r="EM36" s="4"/>
      <c r="EN36" s="4"/>
      <c r="EO36" s="4"/>
      <c r="EP36" s="4"/>
      <c r="EQ36" s="4"/>
      <c r="ER36" s="4"/>
      <c r="ES36" s="4"/>
      <c r="ET36" s="4"/>
      <c r="EU36" s="4"/>
      <c r="EV36" s="4"/>
      <c r="EW36" s="4"/>
      <c r="EX36" s="4"/>
      <c r="EY36" s="4"/>
      <c r="EZ36" s="4"/>
      <c r="FA36" s="4"/>
      <c r="FB36" s="4"/>
      <c r="FC36" s="4"/>
      <c r="FD36" s="4"/>
      <c r="FE36" s="4"/>
      <c r="FF36" s="4"/>
      <c r="FG36" s="4"/>
      <c r="FH36" s="4"/>
      <c r="FI36" s="4"/>
      <c r="FJ36" s="4"/>
      <c r="FK36" s="4"/>
      <c r="FL36" s="4"/>
      <c r="FM36" s="4"/>
      <c r="FN36" s="4"/>
      <c r="FO36" s="4"/>
      <c r="FP36" s="4"/>
      <c r="FQ36" s="4"/>
      <c r="FR36" s="4"/>
      <c r="FS36" s="4"/>
      <c r="FT36" s="4"/>
      <c r="FU36" s="4"/>
      <c r="FV36" s="4"/>
      <c r="FW36" s="4"/>
      <c r="FX36" s="4"/>
      <c r="FY36" s="4"/>
      <c r="FZ36" s="4"/>
      <c r="GA36" s="4"/>
      <c r="GB36" s="4"/>
      <c r="GC36" s="4"/>
      <c r="GD36" s="4"/>
      <c r="GE36" s="4"/>
      <c r="GF36" s="4"/>
      <c r="GG36" s="4"/>
    </row>
    <row r="37" spans="1:189" outlineLevel="1">
      <c r="A37" s="116"/>
      <c r="B37" s="116"/>
      <c r="C37" s="116">
        <v>2</v>
      </c>
      <c r="D37" s="3" t="s">
        <v>1098</v>
      </c>
      <c r="E37" s="180"/>
      <c r="F37" s="180" t="s">
        <v>1040</v>
      </c>
      <c r="G37" s="180"/>
      <c r="H37" s="180"/>
      <c r="I37" s="180"/>
      <c r="J37" s="180"/>
      <c r="K37" s="180"/>
      <c r="L37" s="180"/>
      <c r="M37" s="181">
        <v>45082</v>
      </c>
      <c r="N37" s="181">
        <v>45086</v>
      </c>
      <c r="O37" s="182"/>
      <c r="P37" s="183">
        <v>5</v>
      </c>
      <c r="Q37" s="183">
        <v>5</v>
      </c>
      <c r="R37" s="184">
        <v>5</v>
      </c>
      <c r="S37" s="184">
        <v>5</v>
      </c>
      <c r="T37" s="181"/>
      <c r="U37" s="181"/>
      <c r="V37" s="185"/>
      <c r="W37" s="186">
        <v>0</v>
      </c>
      <c r="X37" s="187">
        <v>1</v>
      </c>
      <c r="Y37" s="182" t="s">
        <v>1118</v>
      </c>
      <c r="Z37" s="188"/>
      <c r="AA37" s="97">
        <v>1</v>
      </c>
      <c r="AB37" s="189">
        <v>0.95</v>
      </c>
      <c r="AC37" s="210"/>
      <c r="AD37" s="4" t="str">
        <f>"     " &amp; TEXT(AB37,"#0.00%") &amp; " " &amp; "Test in TB" &amp; "(Pheaktra, Jasurbek )" &amp; " " &amp; IF(M37="","",TEXT(M37,"M/D-")) &amp; IF(N37="","",TEXT(N37,"M/D")) &amp; " "</f>
        <v xml:space="preserve">     95.00% Test in TB(Pheaktra, Jasurbek ) 6/5-6/9 </v>
      </c>
      <c r="AE37" s="4"/>
      <c r="AF37" s="4"/>
      <c r="AG37" s="4"/>
      <c r="AH37" s="4"/>
      <c r="AI37" s="4"/>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c r="DC37" s="4"/>
      <c r="DD37" s="4"/>
      <c r="DE37" s="4"/>
      <c r="DF37" s="4"/>
      <c r="DG37" s="4"/>
      <c r="DH37" s="4"/>
      <c r="DI37" s="4"/>
      <c r="DJ37" s="4"/>
      <c r="DK37" s="4"/>
      <c r="DL37" s="4"/>
      <c r="DM37" s="4"/>
      <c r="DN37" s="4"/>
      <c r="DO37" s="4"/>
      <c r="DP37" s="4"/>
      <c r="DQ37" s="4"/>
      <c r="DR37" s="4"/>
      <c r="DS37" s="4"/>
      <c r="DT37" s="4"/>
      <c r="DU37" s="4"/>
      <c r="DV37" s="4"/>
      <c r="DW37" s="4"/>
      <c r="DX37" s="4"/>
      <c r="DY37" s="4"/>
      <c r="DZ37" s="4"/>
      <c r="EA37" s="4"/>
      <c r="EB37" s="4"/>
      <c r="EC37" s="4"/>
      <c r="ED37" s="4"/>
      <c r="EE37" s="4"/>
      <c r="EF37" s="4"/>
      <c r="EG37" s="4"/>
      <c r="EH37" s="4"/>
      <c r="EI37" s="4"/>
      <c r="EJ37" s="4"/>
      <c r="EK37" s="4"/>
      <c r="EL37" s="4"/>
      <c r="EM37" s="4"/>
      <c r="EN37" s="4"/>
      <c r="EO37" s="4"/>
      <c r="EP37" s="4"/>
      <c r="EQ37" s="4"/>
      <c r="ER37" s="4"/>
      <c r="ES37" s="4"/>
      <c r="ET37" s="4"/>
      <c r="EU37" s="4"/>
      <c r="EV37" s="4"/>
      <c r="EW37" s="4"/>
      <c r="EX37" s="4"/>
      <c r="EY37" s="4"/>
      <c r="EZ37" s="4"/>
      <c r="FA37" s="4"/>
      <c r="FB37" s="4"/>
      <c r="FC37" s="4"/>
      <c r="FD37" s="4"/>
      <c r="FE37" s="4"/>
      <c r="FF37" s="4"/>
      <c r="FG37" s="4"/>
      <c r="FH37" s="4"/>
      <c r="FI37" s="4"/>
      <c r="FJ37" s="4"/>
      <c r="FK37" s="4"/>
      <c r="FL37" s="4"/>
      <c r="FM37" s="4"/>
      <c r="FN37" s="4"/>
      <c r="FO37" s="4"/>
      <c r="FP37" s="4"/>
      <c r="FQ37" s="4"/>
      <c r="FR37" s="4"/>
      <c r="FS37" s="4"/>
      <c r="FT37" s="4"/>
      <c r="FU37" s="4"/>
      <c r="FV37" s="4"/>
      <c r="FW37" s="4"/>
      <c r="FX37" s="4"/>
      <c r="FY37" s="4"/>
      <c r="FZ37" s="4"/>
      <c r="GA37" s="4"/>
      <c r="GB37" s="4"/>
      <c r="GC37" s="4"/>
      <c r="GD37" s="4"/>
      <c r="GE37" s="4"/>
      <c r="GF37" s="4"/>
      <c r="GG37" s="4"/>
    </row>
    <row r="38" spans="1:189" outlineLevel="1">
      <c r="A38" s="116"/>
      <c r="B38" s="116"/>
      <c r="C38" s="116">
        <v>2</v>
      </c>
      <c r="D38" s="3" t="s">
        <v>1202</v>
      </c>
      <c r="E38" s="180"/>
      <c r="F38" s="180" t="s">
        <v>1039</v>
      </c>
      <c r="G38" s="180"/>
      <c r="H38" s="180"/>
      <c r="I38" s="180"/>
      <c r="J38" s="180"/>
      <c r="K38" s="180"/>
      <c r="L38" s="180"/>
      <c r="M38" s="181">
        <v>45089</v>
      </c>
      <c r="N38" s="181">
        <v>45093</v>
      </c>
      <c r="O38" s="182"/>
      <c r="P38" s="183">
        <v>5</v>
      </c>
      <c r="Q38" s="183">
        <v>5</v>
      </c>
      <c r="R38" s="184">
        <v>5</v>
      </c>
      <c r="S38" s="184">
        <v>5</v>
      </c>
      <c r="T38" s="181"/>
      <c r="U38" s="181"/>
      <c r="V38" s="185"/>
      <c r="W38" s="186">
        <v>0</v>
      </c>
      <c r="X38" s="187">
        <v>1</v>
      </c>
      <c r="Y38" s="182"/>
      <c r="Z38" s="188"/>
      <c r="AA38" s="97">
        <v>1</v>
      </c>
      <c r="AB38" s="189">
        <v>0.25</v>
      </c>
      <c r="AC38" s="210"/>
      <c r="AD38" s="4"/>
      <c r="AE38" s="4" t="str">
        <f>" " &amp; TEXT(AB38,"#0.00%") &amp; " " &amp; "Test in Live" &amp; " " &amp; IF(M38="","",TEXT(M38,"M/D-")) &amp; IF(N38="","",TEXT(N38,"M/D")) &amp; " "</f>
        <v xml:space="preserve"> 25.00% Test in Live 6/12-6/16 </v>
      </c>
      <c r="AF38" s="4"/>
      <c r="AG38" s="4"/>
      <c r="AH38" s="4"/>
      <c r="AI38" s="4"/>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c r="DC38" s="4"/>
      <c r="DD38" s="4"/>
      <c r="DE38" s="4"/>
      <c r="DF38" s="4"/>
      <c r="DG38" s="4"/>
      <c r="DH38" s="4"/>
      <c r="DI38" s="4"/>
      <c r="DJ38" s="4"/>
      <c r="DK38" s="4"/>
      <c r="DL38" s="4"/>
      <c r="DM38" s="4"/>
      <c r="DN38" s="4"/>
      <c r="DO38" s="4"/>
      <c r="DP38" s="4"/>
      <c r="DQ38" s="4"/>
      <c r="DR38" s="4"/>
      <c r="DS38" s="4"/>
      <c r="DT38" s="4"/>
      <c r="DU38" s="4"/>
      <c r="DV38" s="4"/>
      <c r="DW38" s="4"/>
      <c r="DX38" s="4"/>
      <c r="DY38" s="4"/>
      <c r="DZ38" s="4"/>
      <c r="EA38" s="4"/>
      <c r="EB38" s="4"/>
      <c r="EC38" s="4"/>
      <c r="ED38" s="4"/>
      <c r="EE38" s="4"/>
      <c r="EF38" s="4"/>
      <c r="EG38" s="4"/>
      <c r="EH38" s="4"/>
      <c r="EI38" s="4"/>
      <c r="EJ38" s="4"/>
      <c r="EK38" s="4"/>
      <c r="EL38" s="4"/>
      <c r="EM38" s="4"/>
      <c r="EN38" s="4"/>
      <c r="EO38" s="4"/>
      <c r="EP38" s="4"/>
      <c r="EQ38" s="4"/>
      <c r="ER38" s="4"/>
      <c r="ES38" s="4"/>
      <c r="ET38" s="4"/>
      <c r="EU38" s="4"/>
      <c r="EV38" s="4"/>
      <c r="EW38" s="4"/>
      <c r="EX38" s="4"/>
      <c r="EY38" s="4"/>
      <c r="EZ38" s="4"/>
      <c r="FA38" s="4"/>
      <c r="FB38" s="4"/>
      <c r="FC38" s="4"/>
      <c r="FD38" s="4"/>
      <c r="FE38" s="4"/>
      <c r="FF38" s="4"/>
      <c r="FG38" s="4"/>
      <c r="FH38" s="4"/>
      <c r="FI38" s="4"/>
      <c r="FJ38" s="4"/>
      <c r="FK38" s="4"/>
      <c r="FL38" s="4"/>
      <c r="FM38" s="4"/>
      <c r="FN38" s="4"/>
      <c r="FO38" s="4"/>
      <c r="FP38" s="4"/>
      <c r="FQ38" s="4"/>
      <c r="FR38" s="4"/>
      <c r="FS38" s="4"/>
      <c r="FT38" s="4"/>
      <c r="FU38" s="4"/>
      <c r="FV38" s="4"/>
      <c r="FW38" s="4"/>
      <c r="FX38" s="4"/>
      <c r="FY38" s="4"/>
      <c r="FZ38" s="4"/>
      <c r="GA38" s="4"/>
      <c r="GB38" s="4"/>
      <c r="GC38" s="4"/>
      <c r="GD38" s="4"/>
      <c r="GE38" s="4"/>
      <c r="GF38" s="4"/>
      <c r="GG38" s="4"/>
    </row>
    <row r="39" spans="1:189" ht="13.2" outlineLevel="1">
      <c r="A39" s="116"/>
      <c r="B39" s="116"/>
      <c r="C39" s="116">
        <v>2</v>
      </c>
      <c r="D39" s="3" t="s">
        <v>1203</v>
      </c>
      <c r="E39" s="207"/>
      <c r="F39" s="180" t="s">
        <v>1041</v>
      </c>
      <c r="G39" s="180"/>
      <c r="H39" s="180"/>
      <c r="I39" s="180"/>
      <c r="J39" s="180"/>
      <c r="K39" s="180"/>
      <c r="L39" s="180"/>
      <c r="M39" s="181">
        <v>45097</v>
      </c>
      <c r="N39" s="181">
        <v>45097</v>
      </c>
      <c r="O39" s="182"/>
      <c r="P39" s="183">
        <v>1</v>
      </c>
      <c r="Q39" s="183">
        <v>0</v>
      </c>
      <c r="R39" s="184">
        <v>1</v>
      </c>
      <c r="S39" s="184">
        <v>0</v>
      </c>
      <c r="T39" s="181"/>
      <c r="U39" s="181"/>
      <c r="V39" s="185"/>
      <c r="W39" s="186">
        <v>0</v>
      </c>
      <c r="X39" s="187">
        <v>1</v>
      </c>
      <c r="Y39" s="182"/>
      <c r="Z39" s="188"/>
      <c r="AA39" s="97">
        <v>0</v>
      </c>
      <c r="AB39" s="189">
        <v>0</v>
      </c>
      <c r="AC39" s="210"/>
      <c r="AD39" s="4"/>
      <c r="AE39" s="4"/>
      <c r="AF39" s="4" t="str">
        <f>" " &amp; TEXT(AB39,"#0.00%") &amp; " " &amp; "Service Launch" &amp; " " &amp; IF(M39="","",TEXT(M39,"M/D-")) &amp; IF(N39="","",TEXT(N39,"M/D")) &amp; " "</f>
        <v xml:space="preserve"> 0.00% Service Launch 6/20-6/20 </v>
      </c>
      <c r="AG39" s="4"/>
      <c r="AH39" s="4"/>
      <c r="AI39" s="4"/>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c r="DC39" s="4"/>
      <c r="DD39" s="4"/>
      <c r="DE39" s="4"/>
      <c r="DF39" s="4"/>
      <c r="DG39" s="4"/>
      <c r="DH39" s="4"/>
      <c r="DI39" s="4"/>
      <c r="DJ39" s="4"/>
      <c r="DK39" s="4"/>
      <c r="DL39" s="4"/>
      <c r="DM39" s="4"/>
      <c r="DN39" s="4"/>
      <c r="DO39" s="4"/>
      <c r="DP39" s="4"/>
      <c r="DQ39" s="4"/>
      <c r="DR39" s="4"/>
      <c r="DS39" s="4"/>
      <c r="DT39" s="4"/>
      <c r="DU39" s="4"/>
      <c r="DV39" s="4"/>
      <c r="DW39" s="4"/>
      <c r="DX39" s="4"/>
      <c r="DY39" s="4"/>
      <c r="DZ39" s="4"/>
      <c r="EA39" s="4"/>
      <c r="EB39" s="4"/>
      <c r="EC39" s="4"/>
      <c r="ED39" s="4"/>
      <c r="EE39" s="4"/>
      <c r="EF39" s="4"/>
      <c r="EG39" s="4"/>
      <c r="EH39" s="4"/>
      <c r="EI39" s="4"/>
      <c r="EJ39" s="4"/>
      <c r="EK39" s="4"/>
      <c r="EL39" s="4"/>
      <c r="EM39" s="4"/>
      <c r="EN39" s="4"/>
      <c r="EO39" s="4"/>
      <c r="EP39" s="4"/>
      <c r="EQ39" s="4"/>
      <c r="ER39" s="4"/>
      <c r="ES39" s="4"/>
      <c r="ET39" s="4"/>
      <c r="EU39" s="4"/>
      <c r="EV39" s="4"/>
      <c r="EW39" s="4"/>
      <c r="EX39" s="4"/>
      <c r="EY39" s="4"/>
      <c r="EZ39" s="4"/>
      <c r="FA39" s="4"/>
      <c r="FB39" s="4"/>
      <c r="FC39" s="4"/>
      <c r="FD39" s="4"/>
      <c r="FE39" s="4"/>
      <c r="FF39" s="4"/>
      <c r="FG39" s="4"/>
      <c r="FH39" s="4"/>
      <c r="FI39" s="4"/>
      <c r="FJ39" s="4"/>
      <c r="FK39" s="4"/>
      <c r="FL39" s="4"/>
      <c r="FM39" s="4"/>
      <c r="FN39" s="4"/>
      <c r="FO39" s="4"/>
      <c r="FP39" s="4"/>
      <c r="FQ39" s="4"/>
      <c r="FR39" s="4"/>
      <c r="FS39" s="4"/>
      <c r="FT39" s="4"/>
      <c r="FU39" s="4"/>
      <c r="FV39" s="4"/>
      <c r="FW39" s="4"/>
      <c r="FX39" s="4"/>
      <c r="FY39" s="4"/>
      <c r="FZ39" s="4"/>
      <c r="GA39" s="4"/>
      <c r="GB39" s="4"/>
      <c r="GC39" s="4"/>
      <c r="GD39" s="4"/>
      <c r="GE39" s="4"/>
      <c r="GF39" s="4"/>
      <c r="GG39" s="4"/>
    </row>
    <row r="40" spans="1:189" outlineLevel="1">
      <c r="A40" s="116"/>
      <c r="B40" s="116"/>
      <c r="C40" s="116">
        <v>0</v>
      </c>
      <c r="D40" s="3"/>
      <c r="E40" s="180"/>
      <c r="F40" s="180"/>
      <c r="G40" s="180"/>
      <c r="H40" s="180"/>
      <c r="I40" s="180"/>
      <c r="J40" s="180"/>
      <c r="K40" s="180"/>
      <c r="L40" s="180"/>
      <c r="M40" s="181"/>
      <c r="N40" s="181"/>
      <c r="O40" s="182"/>
      <c r="P40" s="183"/>
      <c r="Q40" s="183"/>
      <c r="R40" s="184">
        <v>0</v>
      </c>
      <c r="S40" s="184">
        <v>0</v>
      </c>
      <c r="T40" s="181"/>
      <c r="U40" s="181"/>
      <c r="V40" s="185"/>
      <c r="W40" s="186">
        <v>0</v>
      </c>
      <c r="X40" s="187"/>
      <c r="Y40" s="182"/>
      <c r="Z40" s="188"/>
      <c r="AA40" s="97"/>
      <c r="AB40" s="189"/>
      <c r="AC40" s="210"/>
      <c r="AD40" s="4"/>
      <c r="AE40" s="4"/>
      <c r="AF40" s="4"/>
      <c r="AG40" s="4"/>
      <c r="AH40" s="4"/>
      <c r="AI40" s="4"/>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c r="DC40" s="4"/>
      <c r="DD40" s="4"/>
      <c r="DE40" s="4"/>
      <c r="DF40" s="4"/>
      <c r="DG40" s="4"/>
      <c r="DH40" s="4"/>
      <c r="DI40" s="4"/>
      <c r="DJ40" s="4"/>
      <c r="DK40" s="4"/>
      <c r="DL40" s="4"/>
      <c r="DM40" s="4"/>
      <c r="DN40" s="4"/>
      <c r="DO40" s="4"/>
      <c r="DP40" s="4"/>
      <c r="DQ40" s="4"/>
      <c r="DR40" s="4"/>
      <c r="DS40" s="4"/>
      <c r="DT40" s="4"/>
      <c r="DU40" s="4"/>
      <c r="DV40" s="4"/>
      <c r="DW40" s="4"/>
      <c r="DX40" s="4"/>
      <c r="DY40" s="4"/>
      <c r="DZ40" s="4"/>
      <c r="EA40" s="4"/>
      <c r="EB40" s="4"/>
      <c r="EC40" s="4"/>
      <c r="ED40" s="4"/>
      <c r="EE40" s="4"/>
      <c r="EF40" s="4"/>
      <c r="EG40" s="4"/>
      <c r="EH40" s="4"/>
      <c r="EI40" s="4"/>
      <c r="EJ40" s="4"/>
      <c r="EK40" s="4"/>
      <c r="EL40" s="4"/>
      <c r="EM40" s="4"/>
      <c r="EN40" s="4"/>
      <c r="EO40" s="4"/>
      <c r="EP40" s="4"/>
      <c r="EQ40" s="4"/>
      <c r="ER40" s="4"/>
      <c r="ES40" s="4"/>
      <c r="ET40" s="4"/>
      <c r="EU40" s="4"/>
      <c r="EV40" s="4"/>
      <c r="EW40" s="4"/>
      <c r="EX40" s="4"/>
      <c r="EY40" s="4"/>
      <c r="EZ40" s="4"/>
      <c r="FA40" s="4"/>
      <c r="FB40" s="4"/>
      <c r="FC40" s="4"/>
      <c r="FD40" s="4"/>
      <c r="FE40" s="4"/>
      <c r="FF40" s="4"/>
      <c r="FG40" s="4"/>
      <c r="FH40" s="4"/>
      <c r="FI40" s="4"/>
      <c r="FJ40" s="4"/>
      <c r="FK40" s="4"/>
      <c r="FL40" s="4"/>
      <c r="FM40" s="4"/>
      <c r="FN40" s="4"/>
      <c r="FO40" s="4"/>
      <c r="FP40" s="4"/>
      <c r="FQ40" s="4"/>
      <c r="FR40" s="4"/>
      <c r="FS40" s="4"/>
      <c r="FT40" s="4"/>
      <c r="FU40" s="4"/>
      <c r="FV40" s="4"/>
      <c r="FW40" s="4"/>
      <c r="FX40" s="4"/>
      <c r="FY40" s="4"/>
      <c r="FZ40" s="4"/>
      <c r="GA40" s="4"/>
      <c r="GB40" s="4"/>
      <c r="GC40" s="4"/>
      <c r="GD40" s="4"/>
      <c r="GE40" s="4"/>
      <c r="GF40" s="4"/>
      <c r="GG40" s="4"/>
    </row>
    <row r="41" spans="1:189">
      <c r="A41" s="116"/>
      <c r="B41" s="116" t="s">
        <v>983</v>
      </c>
      <c r="C41" s="116">
        <v>1</v>
      </c>
      <c r="D41" s="3" t="s">
        <v>1099</v>
      </c>
      <c r="E41" s="180" t="s">
        <v>1167</v>
      </c>
      <c r="F41" s="180"/>
      <c r="G41" s="180"/>
      <c r="H41" s="180"/>
      <c r="I41" s="180"/>
      <c r="J41" s="180"/>
      <c r="K41" s="180"/>
      <c r="L41" s="180"/>
      <c r="M41" s="181">
        <v>45090</v>
      </c>
      <c r="N41" s="181">
        <v>45097</v>
      </c>
      <c r="O41" s="182"/>
      <c r="P41" s="183">
        <v>5</v>
      </c>
      <c r="Q41" s="183">
        <v>4</v>
      </c>
      <c r="R41" s="184">
        <v>6</v>
      </c>
      <c r="S41" s="184">
        <v>5</v>
      </c>
      <c r="T41" s="181"/>
      <c r="U41" s="181"/>
      <c r="V41" s="185">
        <v>0</v>
      </c>
      <c r="W41" s="186">
        <v>0</v>
      </c>
      <c r="X41" s="187"/>
      <c r="Y41" s="182"/>
      <c r="Z41" s="188"/>
      <c r="AA41" s="97">
        <v>0.8</v>
      </c>
      <c r="AB41" s="189">
        <v>0.43999999999999995</v>
      </c>
      <c r="AC41" s="210"/>
      <c r="AD41" s="4"/>
      <c r="AE41" s="4" t="str">
        <f>"     " &amp; TEXT(AB41,"#0.00%") &amp; " " &amp; "[2306-11] Change KICC V/A Issue" &amp; " " &amp; IF(M41="","",TEXT(M41,"M/D-")) &amp; IF(N41="","",TEXT(N41,"M/D")) &amp; " "</f>
        <v xml:space="preserve">     44.00% [2306-11] Change KICC V/A Issue 6/13-6/20 </v>
      </c>
      <c r="AF41" s="4"/>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c r="DC41" s="4"/>
      <c r="DD41" s="4"/>
      <c r="DE41" s="4"/>
      <c r="DF41" s="4"/>
      <c r="DG41" s="4"/>
      <c r="DH41" s="4"/>
      <c r="DI41" s="4"/>
      <c r="DJ41" s="4"/>
      <c r="DK41" s="4"/>
      <c r="DL41" s="4"/>
      <c r="DM41" s="4"/>
      <c r="DN41" s="4"/>
      <c r="DO41" s="4"/>
      <c r="DP41" s="4"/>
      <c r="DQ41" s="4"/>
      <c r="DR41" s="4"/>
      <c r="DS41" s="4"/>
      <c r="DT41" s="4"/>
      <c r="DU41" s="4"/>
      <c r="DV41" s="4"/>
      <c r="DW41" s="4"/>
      <c r="DX41" s="4"/>
      <c r="DY41" s="4"/>
      <c r="DZ41" s="4"/>
      <c r="EA41" s="4"/>
      <c r="EB41" s="4"/>
      <c r="EC41" s="4"/>
      <c r="ED41" s="4"/>
      <c r="EE41" s="4"/>
      <c r="EF41" s="4"/>
      <c r="EG41" s="4"/>
      <c r="EH41" s="4"/>
      <c r="EI41" s="4"/>
      <c r="EJ41" s="4"/>
      <c r="EK41" s="4"/>
      <c r="EL41" s="4"/>
      <c r="EM41" s="4"/>
      <c r="EN41" s="4"/>
      <c r="EO41" s="4"/>
      <c r="EP41" s="4"/>
      <c r="EQ41" s="4"/>
      <c r="ER41" s="4"/>
      <c r="ES41" s="4"/>
      <c r="ET41" s="4"/>
      <c r="EU41" s="4"/>
      <c r="EV41" s="4"/>
      <c r="EW41" s="4"/>
      <c r="EX41" s="4"/>
      <c r="EY41" s="4"/>
      <c r="EZ41" s="4"/>
      <c r="FA41" s="4"/>
      <c r="FB41" s="4"/>
      <c r="FC41" s="4"/>
      <c r="FD41" s="4"/>
      <c r="FE41" s="4"/>
      <c r="FF41" s="4"/>
      <c r="FG41" s="4"/>
      <c r="FH41" s="4"/>
      <c r="FI41" s="4"/>
      <c r="FJ41" s="4"/>
      <c r="FK41" s="4"/>
      <c r="FL41" s="4"/>
      <c r="FM41" s="4"/>
      <c r="FN41" s="4"/>
      <c r="FO41" s="4"/>
      <c r="FP41" s="4"/>
      <c r="FQ41" s="4"/>
      <c r="FR41" s="4"/>
      <c r="FS41" s="4"/>
      <c r="FT41" s="4"/>
      <c r="FU41" s="4"/>
      <c r="FV41" s="4"/>
      <c r="FW41" s="4"/>
      <c r="FX41" s="4"/>
      <c r="FY41" s="4"/>
      <c r="FZ41" s="4"/>
      <c r="GA41" s="4"/>
      <c r="GB41" s="4"/>
      <c r="GC41" s="4"/>
      <c r="GD41" s="4"/>
      <c r="GE41" s="4"/>
      <c r="GF41" s="4"/>
      <c r="GG41" s="4"/>
    </row>
    <row r="42" spans="1:189" outlineLevel="1">
      <c r="A42" s="116"/>
      <c r="B42" s="116"/>
      <c r="C42" s="116">
        <v>2</v>
      </c>
      <c r="D42" s="3" t="s">
        <v>1100</v>
      </c>
      <c r="E42" s="180"/>
      <c r="F42" s="180" t="s">
        <v>1074</v>
      </c>
      <c r="G42" s="180"/>
      <c r="H42" s="180"/>
      <c r="I42" s="180"/>
      <c r="J42" s="180"/>
      <c r="K42" s="180"/>
      <c r="L42" s="180"/>
      <c r="M42" s="181">
        <v>45090</v>
      </c>
      <c r="N42" s="181">
        <v>45091</v>
      </c>
      <c r="O42" s="182"/>
      <c r="P42" s="183">
        <v>2</v>
      </c>
      <c r="Q42" s="183">
        <v>2</v>
      </c>
      <c r="R42" s="184">
        <v>2</v>
      </c>
      <c r="S42" s="184">
        <v>2</v>
      </c>
      <c r="T42" s="181"/>
      <c r="U42" s="181"/>
      <c r="V42" s="185"/>
      <c r="W42" s="186">
        <v>0</v>
      </c>
      <c r="X42" s="187">
        <v>1</v>
      </c>
      <c r="Y42" s="182" t="s">
        <v>1181</v>
      </c>
      <c r="Z42" s="188"/>
      <c r="AA42" s="97">
        <v>1</v>
      </c>
      <c r="AB42" s="189">
        <v>0.95</v>
      </c>
      <c r="AC42" s="210"/>
      <c r="AD42" s="4"/>
      <c r="AE42" s="4" t="str">
        <f>"   " &amp; TEXT(AB42,"#0.00%") &amp; " " &amp; "Server" &amp; "(Bimal)" &amp; " " &amp; IF(M42="","",TEXT(M42,"M/D-")) &amp; IF(N42="","",TEXT(N42,"M/D")) &amp; " "</f>
        <v xml:space="preserve">   95.00% Server(Bimal) 6/13-6/14 </v>
      </c>
      <c r="AF42" s="4"/>
      <c r="AG42" s="4"/>
      <c r="AH42" s="4"/>
      <c r="AI42" s="4"/>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c r="DC42" s="4"/>
      <c r="DD42" s="4"/>
      <c r="DE42" s="4"/>
      <c r="DF42" s="4"/>
      <c r="DG42" s="4"/>
      <c r="DH42" s="4"/>
      <c r="DI42" s="4"/>
      <c r="DJ42" s="4"/>
      <c r="DK42" s="4"/>
      <c r="DL42" s="4"/>
      <c r="DM42" s="4"/>
      <c r="DN42" s="4"/>
      <c r="DO42" s="4"/>
      <c r="DP42" s="4"/>
      <c r="DQ42" s="4"/>
      <c r="DR42" s="4"/>
      <c r="DS42" s="4"/>
      <c r="DT42" s="4"/>
      <c r="DU42" s="4"/>
      <c r="DV42" s="4"/>
      <c r="DW42" s="4"/>
      <c r="DX42" s="4"/>
      <c r="DY42" s="4"/>
      <c r="DZ42" s="4"/>
      <c r="EA42" s="4"/>
      <c r="EB42" s="4"/>
      <c r="EC42" s="4"/>
      <c r="ED42" s="4"/>
      <c r="EE42" s="4"/>
      <c r="EF42" s="4"/>
      <c r="EG42" s="4"/>
      <c r="EH42" s="4"/>
      <c r="EI42" s="4"/>
      <c r="EJ42" s="4"/>
      <c r="EK42" s="4"/>
      <c r="EL42" s="4"/>
      <c r="EM42" s="4"/>
      <c r="EN42" s="4"/>
      <c r="EO42" s="4"/>
      <c r="EP42" s="4"/>
      <c r="EQ42" s="4"/>
      <c r="ER42" s="4"/>
      <c r="ES42" s="4"/>
      <c r="ET42" s="4"/>
      <c r="EU42" s="4"/>
      <c r="EV42" s="4"/>
      <c r="EW42" s="4"/>
      <c r="EX42" s="4"/>
      <c r="EY42" s="4"/>
      <c r="EZ42" s="4"/>
      <c r="FA42" s="4"/>
      <c r="FB42" s="4"/>
      <c r="FC42" s="4"/>
      <c r="FD42" s="4"/>
      <c r="FE42" s="4"/>
      <c r="FF42" s="4"/>
      <c r="FG42" s="4"/>
      <c r="FH42" s="4"/>
      <c r="FI42" s="4"/>
      <c r="FJ42" s="4"/>
      <c r="FK42" s="4"/>
      <c r="FL42" s="4"/>
      <c r="FM42" s="4"/>
      <c r="FN42" s="4"/>
      <c r="FO42" s="4"/>
      <c r="FP42" s="4"/>
      <c r="FQ42" s="4"/>
      <c r="FR42" s="4"/>
      <c r="FS42" s="4"/>
      <c r="FT42" s="4"/>
      <c r="FU42" s="4"/>
      <c r="FV42" s="4"/>
      <c r="FW42" s="4"/>
      <c r="FX42" s="4"/>
      <c r="FY42" s="4"/>
      <c r="FZ42" s="4"/>
      <c r="GA42" s="4"/>
      <c r="GB42" s="4"/>
      <c r="GC42" s="4"/>
      <c r="GD42" s="4"/>
      <c r="GE42" s="4"/>
      <c r="GF42" s="4"/>
      <c r="GG42" s="4"/>
    </row>
    <row r="43" spans="1:189" outlineLevel="1">
      <c r="A43" s="116"/>
      <c r="B43" s="116"/>
      <c r="C43" s="116">
        <v>2</v>
      </c>
      <c r="D43" s="3" t="s">
        <v>1101</v>
      </c>
      <c r="E43" s="180"/>
      <c r="F43" s="180" t="s">
        <v>1040</v>
      </c>
      <c r="G43" s="180"/>
      <c r="H43" s="180"/>
      <c r="I43" s="180"/>
      <c r="J43" s="180"/>
      <c r="K43" s="180"/>
      <c r="L43" s="180"/>
      <c r="M43" s="181">
        <v>45092</v>
      </c>
      <c r="N43" s="181">
        <v>45092</v>
      </c>
      <c r="O43" s="182"/>
      <c r="P43" s="183">
        <v>1</v>
      </c>
      <c r="Q43" s="183">
        <v>1</v>
      </c>
      <c r="R43" s="184">
        <v>1</v>
      </c>
      <c r="S43" s="184">
        <v>1</v>
      </c>
      <c r="T43" s="181"/>
      <c r="U43" s="181"/>
      <c r="V43" s="185"/>
      <c r="W43" s="186">
        <v>0</v>
      </c>
      <c r="X43" s="187">
        <v>1</v>
      </c>
      <c r="Y43" s="182" t="s">
        <v>1118</v>
      </c>
      <c r="Z43" s="188"/>
      <c r="AA43" s="97">
        <v>1</v>
      </c>
      <c r="AB43" s="189">
        <v>0.3</v>
      </c>
      <c r="AC43" s="210"/>
      <c r="AD43" s="4"/>
      <c r="AE43" s="4" t="str">
        <f>"   " &amp; TEXT(AB43,"#0.00%") &amp; " " &amp; "Test in TB" &amp; "(Pheaktra, Jasurbek )" &amp; " " &amp; IF(M43="","",TEXT(M43,"M/D-")) &amp; IF(N43="","",TEXT(N43,"M/D")) &amp; " "</f>
        <v xml:space="preserve">   30.00% Test in TB(Pheaktra, Jasurbek ) 6/15-6/15 </v>
      </c>
      <c r="AF43" s="4"/>
      <c r="AG43" s="4"/>
      <c r="AH43" s="4"/>
      <c r="AI43" s="4"/>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c r="DC43" s="4"/>
      <c r="DD43" s="4"/>
      <c r="DE43" s="4"/>
      <c r="DF43" s="4"/>
      <c r="DG43" s="4"/>
      <c r="DH43" s="4"/>
      <c r="DI43" s="4"/>
      <c r="DJ43" s="4"/>
      <c r="DK43" s="4"/>
      <c r="DL43" s="4"/>
      <c r="DM43" s="4"/>
      <c r="DN43" s="4"/>
      <c r="DO43" s="4"/>
      <c r="DP43" s="4"/>
      <c r="DQ43" s="4"/>
      <c r="DR43" s="4"/>
      <c r="DS43" s="4"/>
      <c r="DT43" s="4"/>
      <c r="DU43" s="4"/>
      <c r="DV43" s="4"/>
      <c r="DW43" s="4"/>
      <c r="DX43" s="4"/>
      <c r="DY43" s="4"/>
      <c r="DZ43" s="4"/>
      <c r="EA43" s="4"/>
      <c r="EB43" s="4"/>
      <c r="EC43" s="4"/>
      <c r="ED43" s="4"/>
      <c r="EE43" s="4"/>
      <c r="EF43" s="4"/>
      <c r="EG43" s="4"/>
      <c r="EH43" s="4"/>
      <c r="EI43" s="4"/>
      <c r="EJ43" s="4"/>
      <c r="EK43" s="4"/>
      <c r="EL43" s="4"/>
      <c r="EM43" s="4"/>
      <c r="EN43" s="4"/>
      <c r="EO43" s="4"/>
      <c r="EP43" s="4"/>
      <c r="EQ43" s="4"/>
      <c r="ER43" s="4"/>
      <c r="ES43" s="4"/>
      <c r="ET43" s="4"/>
      <c r="EU43" s="4"/>
      <c r="EV43" s="4"/>
      <c r="EW43" s="4"/>
      <c r="EX43" s="4"/>
      <c r="EY43" s="4"/>
      <c r="EZ43" s="4"/>
      <c r="FA43" s="4"/>
      <c r="FB43" s="4"/>
      <c r="FC43" s="4"/>
      <c r="FD43" s="4"/>
      <c r="FE43" s="4"/>
      <c r="FF43" s="4"/>
      <c r="FG43" s="4"/>
      <c r="FH43" s="4"/>
      <c r="FI43" s="4"/>
      <c r="FJ43" s="4"/>
      <c r="FK43" s="4"/>
      <c r="FL43" s="4"/>
      <c r="FM43" s="4"/>
      <c r="FN43" s="4"/>
      <c r="FO43" s="4"/>
      <c r="FP43" s="4"/>
      <c r="FQ43" s="4"/>
      <c r="FR43" s="4"/>
      <c r="FS43" s="4"/>
      <c r="FT43" s="4"/>
      <c r="FU43" s="4"/>
      <c r="FV43" s="4"/>
      <c r="FW43" s="4"/>
      <c r="FX43" s="4"/>
      <c r="FY43" s="4"/>
      <c r="FZ43" s="4"/>
      <c r="GA43" s="4"/>
      <c r="GB43" s="4"/>
      <c r="GC43" s="4"/>
      <c r="GD43" s="4"/>
      <c r="GE43" s="4"/>
      <c r="GF43" s="4"/>
      <c r="GG43" s="4"/>
    </row>
    <row r="44" spans="1:189" outlineLevel="1">
      <c r="A44" s="116"/>
      <c r="B44" s="116"/>
      <c r="C44" s="116">
        <v>2</v>
      </c>
      <c r="D44" s="3" t="s">
        <v>1102</v>
      </c>
      <c r="E44" s="180"/>
      <c r="F44" s="180" t="s">
        <v>1039</v>
      </c>
      <c r="G44" s="180"/>
      <c r="H44" s="180"/>
      <c r="I44" s="180"/>
      <c r="J44" s="180"/>
      <c r="K44" s="180"/>
      <c r="L44" s="180"/>
      <c r="M44" s="181">
        <v>45096</v>
      </c>
      <c r="N44" s="181">
        <v>45096</v>
      </c>
      <c r="O44" s="182"/>
      <c r="P44" s="183">
        <v>1</v>
      </c>
      <c r="Q44" s="183">
        <v>1</v>
      </c>
      <c r="R44" s="184">
        <v>1</v>
      </c>
      <c r="S44" s="184">
        <v>1</v>
      </c>
      <c r="T44" s="181"/>
      <c r="U44" s="181"/>
      <c r="V44" s="185"/>
      <c r="W44" s="186">
        <v>0</v>
      </c>
      <c r="X44" s="187">
        <v>1</v>
      </c>
      <c r="Y44" s="182"/>
      <c r="Z44" s="188"/>
      <c r="AA44" s="97">
        <v>1</v>
      </c>
      <c r="AB44" s="189">
        <v>0</v>
      </c>
      <c r="AC44" s="210"/>
      <c r="AD44" s="4"/>
      <c r="AE44" s="4"/>
      <c r="AF44" s="4" t="str">
        <f>"" &amp; TEXT(AB44,"#0.00%") &amp; " " &amp; "Test in Live" &amp; " " &amp; IF(M44="","",TEXT(M44,"M/D-")) &amp; IF(N44="","",TEXT(N44,"M/D")) &amp; " "</f>
        <v xml:space="preserve">0.00% Test in Live 6/19-6/19 </v>
      </c>
      <c r="AG44" s="4"/>
      <c r="AH44" s="4"/>
      <c r="AI44" s="4"/>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c r="DC44" s="4"/>
      <c r="DD44" s="4"/>
      <c r="DE44" s="4"/>
      <c r="DF44" s="4"/>
      <c r="DG44" s="4"/>
      <c r="DH44" s="4"/>
      <c r="DI44" s="4"/>
      <c r="DJ44" s="4"/>
      <c r="DK44" s="4"/>
      <c r="DL44" s="4"/>
      <c r="DM44" s="4"/>
      <c r="DN44" s="4"/>
      <c r="DO44" s="4"/>
      <c r="DP44" s="4"/>
      <c r="DQ44" s="4"/>
      <c r="DR44" s="4"/>
      <c r="DS44" s="4"/>
      <c r="DT44" s="4"/>
      <c r="DU44" s="4"/>
      <c r="DV44" s="4"/>
      <c r="DW44" s="4"/>
      <c r="DX44" s="4"/>
      <c r="DY44" s="4"/>
      <c r="DZ44" s="4"/>
      <c r="EA44" s="4"/>
      <c r="EB44" s="4"/>
      <c r="EC44" s="4"/>
      <c r="ED44" s="4"/>
      <c r="EE44" s="4"/>
      <c r="EF44" s="4"/>
      <c r="EG44" s="4"/>
      <c r="EH44" s="4"/>
      <c r="EI44" s="4"/>
      <c r="EJ44" s="4"/>
      <c r="EK44" s="4"/>
      <c r="EL44" s="4"/>
      <c r="EM44" s="4"/>
      <c r="EN44" s="4"/>
      <c r="EO44" s="4"/>
      <c r="EP44" s="4"/>
      <c r="EQ44" s="4"/>
      <c r="ER44" s="4"/>
      <c r="ES44" s="4"/>
      <c r="ET44" s="4"/>
      <c r="EU44" s="4"/>
      <c r="EV44" s="4"/>
      <c r="EW44" s="4"/>
      <c r="EX44" s="4"/>
      <c r="EY44" s="4"/>
      <c r="EZ44" s="4"/>
      <c r="FA44" s="4"/>
      <c r="FB44" s="4"/>
      <c r="FC44" s="4"/>
      <c r="FD44" s="4"/>
      <c r="FE44" s="4"/>
      <c r="FF44" s="4"/>
      <c r="FG44" s="4"/>
      <c r="FH44" s="4"/>
      <c r="FI44" s="4"/>
      <c r="FJ44" s="4"/>
      <c r="FK44" s="4"/>
      <c r="FL44" s="4"/>
      <c r="FM44" s="4"/>
      <c r="FN44" s="4"/>
      <c r="FO44" s="4"/>
      <c r="FP44" s="4"/>
      <c r="FQ44" s="4"/>
      <c r="FR44" s="4"/>
      <c r="FS44" s="4"/>
      <c r="FT44" s="4"/>
      <c r="FU44" s="4"/>
      <c r="FV44" s="4"/>
      <c r="FW44" s="4"/>
      <c r="FX44" s="4"/>
      <c r="FY44" s="4"/>
      <c r="FZ44" s="4"/>
      <c r="GA44" s="4"/>
      <c r="GB44" s="4"/>
      <c r="GC44" s="4"/>
      <c r="GD44" s="4"/>
      <c r="GE44" s="4"/>
      <c r="GF44" s="4"/>
      <c r="GG44" s="4"/>
    </row>
    <row r="45" spans="1:189" outlineLevel="1">
      <c r="A45" s="116"/>
      <c r="B45" s="116"/>
      <c r="C45" s="116">
        <v>2</v>
      </c>
      <c r="D45" s="3" t="s">
        <v>1103</v>
      </c>
      <c r="E45" s="180"/>
      <c r="F45" s="180" t="s">
        <v>1041</v>
      </c>
      <c r="G45" s="180"/>
      <c r="H45" s="180"/>
      <c r="I45" s="180"/>
      <c r="J45" s="180"/>
      <c r="K45" s="180"/>
      <c r="L45" s="180"/>
      <c r="M45" s="181">
        <v>45097</v>
      </c>
      <c r="N45" s="181">
        <v>45097</v>
      </c>
      <c r="O45" s="182"/>
      <c r="P45" s="183">
        <v>1</v>
      </c>
      <c r="Q45" s="183">
        <v>0</v>
      </c>
      <c r="R45" s="184">
        <v>1</v>
      </c>
      <c r="S45" s="184">
        <v>0</v>
      </c>
      <c r="T45" s="181"/>
      <c r="U45" s="181"/>
      <c r="V45" s="185"/>
      <c r="W45" s="186">
        <v>0</v>
      </c>
      <c r="X45" s="187">
        <v>1</v>
      </c>
      <c r="Y45" s="182"/>
      <c r="Z45" s="188"/>
      <c r="AA45" s="97">
        <v>0</v>
      </c>
      <c r="AB45" s="189">
        <v>0</v>
      </c>
      <c r="AC45" s="210"/>
      <c r="AD45" s="4"/>
      <c r="AE45" s="4"/>
      <c r="AF45" s="4" t="str">
        <f>" " &amp; TEXT(AB45,"#0.00%") &amp; " " &amp; "Service Launch" &amp; " " &amp; IF(M45="","",TEXT(M45,"M/D-")) &amp; IF(N45="","",TEXT(N45,"M/D")) &amp; " "</f>
        <v xml:space="preserve"> 0.00% Service Launch 6/20-6/20 </v>
      </c>
      <c r="AG45" s="4"/>
      <c r="AH45" s="4"/>
      <c r="AI45" s="4"/>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c r="DC45" s="4"/>
      <c r="DD45" s="4"/>
      <c r="DE45" s="4"/>
      <c r="DF45" s="4"/>
      <c r="DG45" s="4"/>
      <c r="DH45" s="4"/>
      <c r="DI45" s="4"/>
      <c r="DJ45" s="4"/>
      <c r="DK45" s="4"/>
      <c r="DL45" s="4"/>
      <c r="DM45" s="4"/>
      <c r="DN45" s="4"/>
      <c r="DO45" s="4"/>
      <c r="DP45" s="4"/>
      <c r="DQ45" s="4"/>
      <c r="DR45" s="4"/>
      <c r="DS45" s="4"/>
      <c r="DT45" s="4"/>
      <c r="DU45" s="4"/>
      <c r="DV45" s="4"/>
      <c r="DW45" s="4"/>
      <c r="DX45" s="4"/>
      <c r="DY45" s="4"/>
      <c r="DZ45" s="4"/>
      <c r="EA45" s="4"/>
      <c r="EB45" s="4"/>
      <c r="EC45" s="4"/>
      <c r="ED45" s="4"/>
      <c r="EE45" s="4"/>
      <c r="EF45" s="4"/>
      <c r="EG45" s="4"/>
      <c r="EH45" s="4"/>
      <c r="EI45" s="4"/>
      <c r="EJ45" s="4"/>
      <c r="EK45" s="4"/>
      <c r="EL45" s="4"/>
      <c r="EM45" s="4"/>
      <c r="EN45" s="4"/>
      <c r="EO45" s="4"/>
      <c r="EP45" s="4"/>
      <c r="EQ45" s="4"/>
      <c r="ER45" s="4"/>
      <c r="ES45" s="4"/>
      <c r="ET45" s="4"/>
      <c r="EU45" s="4"/>
      <c r="EV45" s="4"/>
      <c r="EW45" s="4"/>
      <c r="EX45" s="4"/>
      <c r="EY45" s="4"/>
      <c r="EZ45" s="4"/>
      <c r="FA45" s="4"/>
      <c r="FB45" s="4"/>
      <c r="FC45" s="4"/>
      <c r="FD45" s="4"/>
      <c r="FE45" s="4"/>
      <c r="FF45" s="4"/>
      <c r="FG45" s="4"/>
      <c r="FH45" s="4"/>
      <c r="FI45" s="4"/>
      <c r="FJ45" s="4"/>
      <c r="FK45" s="4"/>
      <c r="FL45" s="4"/>
      <c r="FM45" s="4"/>
      <c r="FN45" s="4"/>
      <c r="FO45" s="4"/>
      <c r="FP45" s="4"/>
      <c r="FQ45" s="4"/>
      <c r="FR45" s="4"/>
      <c r="FS45" s="4"/>
      <c r="FT45" s="4"/>
      <c r="FU45" s="4"/>
      <c r="FV45" s="4"/>
      <c r="FW45" s="4"/>
      <c r="FX45" s="4"/>
      <c r="FY45" s="4"/>
      <c r="FZ45" s="4"/>
      <c r="GA45" s="4"/>
      <c r="GB45" s="4"/>
      <c r="GC45" s="4"/>
      <c r="GD45" s="4"/>
      <c r="GE45" s="4"/>
      <c r="GF45" s="4"/>
      <c r="GG45" s="4"/>
    </row>
    <row r="46" spans="1:189" outlineLevel="1">
      <c r="A46" s="116"/>
      <c r="B46" s="116"/>
      <c r="C46" s="116">
        <v>0</v>
      </c>
      <c r="D46" s="3"/>
      <c r="E46" s="180"/>
      <c r="F46" s="180"/>
      <c r="G46" s="180"/>
      <c r="H46" s="180"/>
      <c r="I46" s="180"/>
      <c r="J46" s="180"/>
      <c r="K46" s="180"/>
      <c r="L46" s="180"/>
      <c r="M46" s="181"/>
      <c r="N46" s="181"/>
      <c r="O46" s="182"/>
      <c r="P46" s="183"/>
      <c r="Q46" s="183"/>
      <c r="R46" s="184">
        <v>0</v>
      </c>
      <c r="S46" s="184">
        <v>0</v>
      </c>
      <c r="T46" s="181"/>
      <c r="U46" s="181"/>
      <c r="V46" s="185"/>
      <c r="W46" s="186">
        <v>0</v>
      </c>
      <c r="X46" s="187"/>
      <c r="Y46" s="182"/>
      <c r="Z46" s="188"/>
      <c r="AA46" s="97"/>
      <c r="AB46" s="189"/>
      <c r="AC46" s="210"/>
      <c r="AD46" s="4"/>
      <c r="AE46" s="4"/>
      <c r="AF46" s="4"/>
      <c r="AG46" s="4"/>
      <c r="AH46" s="4"/>
      <c r="AI46" s="4"/>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c r="DC46" s="4"/>
      <c r="DD46" s="4"/>
      <c r="DE46" s="4"/>
      <c r="DF46" s="4"/>
      <c r="DG46" s="4"/>
      <c r="DH46" s="4"/>
      <c r="DI46" s="4"/>
      <c r="DJ46" s="4"/>
      <c r="DK46" s="4"/>
      <c r="DL46" s="4"/>
      <c r="DM46" s="4"/>
      <c r="DN46" s="4"/>
      <c r="DO46" s="4"/>
      <c r="DP46" s="4"/>
      <c r="DQ46" s="4"/>
      <c r="DR46" s="4"/>
      <c r="DS46" s="4"/>
      <c r="DT46" s="4"/>
      <c r="DU46" s="4"/>
      <c r="DV46" s="4"/>
      <c r="DW46" s="4"/>
      <c r="DX46" s="4"/>
      <c r="DY46" s="4"/>
      <c r="DZ46" s="4"/>
      <c r="EA46" s="4"/>
      <c r="EB46" s="4"/>
      <c r="EC46" s="4"/>
      <c r="ED46" s="4"/>
      <c r="EE46" s="4"/>
      <c r="EF46" s="4"/>
      <c r="EG46" s="4"/>
      <c r="EH46" s="4"/>
      <c r="EI46" s="4"/>
      <c r="EJ46" s="4"/>
      <c r="EK46" s="4"/>
      <c r="EL46" s="4"/>
      <c r="EM46" s="4"/>
      <c r="EN46" s="4"/>
      <c r="EO46" s="4"/>
      <c r="EP46" s="4"/>
      <c r="EQ46" s="4"/>
      <c r="ER46" s="4"/>
      <c r="ES46" s="4"/>
      <c r="ET46" s="4"/>
      <c r="EU46" s="4"/>
      <c r="EV46" s="4"/>
      <c r="EW46" s="4"/>
      <c r="EX46" s="4"/>
      <c r="EY46" s="4"/>
      <c r="EZ46" s="4"/>
      <c r="FA46" s="4"/>
      <c r="FB46" s="4"/>
      <c r="FC46" s="4"/>
      <c r="FD46" s="4"/>
      <c r="FE46" s="4"/>
      <c r="FF46" s="4"/>
      <c r="FG46" s="4"/>
      <c r="FH46" s="4"/>
      <c r="FI46" s="4"/>
      <c r="FJ46" s="4"/>
      <c r="FK46" s="4"/>
      <c r="FL46" s="4"/>
      <c r="FM46" s="4"/>
      <c r="FN46" s="4"/>
      <c r="FO46" s="4"/>
      <c r="FP46" s="4"/>
      <c r="FQ46" s="4"/>
      <c r="FR46" s="4"/>
      <c r="FS46" s="4"/>
      <c r="FT46" s="4"/>
      <c r="FU46" s="4"/>
      <c r="FV46" s="4"/>
      <c r="FW46" s="4"/>
      <c r="FX46" s="4"/>
      <c r="FY46" s="4"/>
      <c r="FZ46" s="4"/>
      <c r="GA46" s="4"/>
      <c r="GB46" s="4"/>
      <c r="GC46" s="4"/>
      <c r="GD46" s="4"/>
      <c r="GE46" s="4"/>
      <c r="GF46" s="4"/>
      <c r="GG46" s="4"/>
    </row>
    <row r="47" spans="1:189">
      <c r="A47" s="116"/>
      <c r="B47" s="116" t="s">
        <v>983</v>
      </c>
      <c r="C47" s="116">
        <v>1</v>
      </c>
      <c r="D47" s="3" t="s">
        <v>1104</v>
      </c>
      <c r="E47" s="180" t="s">
        <v>1140</v>
      </c>
      <c r="F47" s="180"/>
      <c r="G47" s="180"/>
      <c r="H47" s="180"/>
      <c r="I47" s="180"/>
      <c r="J47" s="180"/>
      <c r="K47" s="180"/>
      <c r="L47" s="180"/>
      <c r="M47" s="181">
        <v>45089</v>
      </c>
      <c r="N47" s="181">
        <v>45104</v>
      </c>
      <c r="O47" s="182"/>
      <c r="P47" s="183">
        <v>16</v>
      </c>
      <c r="Q47" s="183">
        <v>8</v>
      </c>
      <c r="R47" s="184">
        <v>12</v>
      </c>
      <c r="S47" s="184">
        <v>6</v>
      </c>
      <c r="T47" s="181"/>
      <c r="U47" s="181"/>
      <c r="V47" s="185">
        <v>0</v>
      </c>
      <c r="W47" s="186">
        <v>0</v>
      </c>
      <c r="X47" s="187"/>
      <c r="Y47" s="182"/>
      <c r="Z47" s="188"/>
      <c r="AA47" s="97">
        <v>0.5</v>
      </c>
      <c r="AB47" s="189">
        <v>0</v>
      </c>
      <c r="AC47" s="210"/>
      <c r="AD47" s="4"/>
      <c r="AE47" s="4" t="str">
        <f>"" &amp; TEXT(AB47,"#0.00%") &amp; " " &amp; "[2306-10] New Voice Phishing Rule in KFTC" &amp; " " &amp; IF(M47="","",TEXT(M47,"M/D-")) &amp; IF(N47="","",TEXT(N47,"M/D")) &amp; " "</f>
        <v xml:space="preserve">0.00% [2306-10] New Voice Phishing Rule in KFTC 6/12-6/27 </v>
      </c>
      <c r="AF47" s="4"/>
      <c r="AG47" s="4"/>
      <c r="AH47" s="4"/>
      <c r="AI47" s="4"/>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c r="DC47" s="4"/>
      <c r="DD47" s="4"/>
      <c r="DE47" s="4"/>
      <c r="DF47" s="4"/>
      <c r="DG47" s="4"/>
      <c r="DH47" s="4"/>
      <c r="DI47" s="4"/>
      <c r="DJ47" s="4"/>
      <c r="DK47" s="4"/>
      <c r="DL47" s="4"/>
      <c r="DM47" s="4"/>
      <c r="DN47" s="4"/>
      <c r="DO47" s="4"/>
      <c r="DP47" s="4"/>
      <c r="DQ47" s="4"/>
      <c r="DR47" s="4"/>
      <c r="DS47" s="4"/>
      <c r="DT47" s="4"/>
      <c r="DU47" s="4"/>
      <c r="DV47" s="4"/>
      <c r="DW47" s="4"/>
      <c r="DX47" s="4"/>
      <c r="DY47" s="4"/>
      <c r="DZ47" s="4"/>
      <c r="EA47" s="4"/>
      <c r="EB47" s="4"/>
      <c r="EC47" s="4"/>
      <c r="ED47" s="4"/>
      <c r="EE47" s="4"/>
      <c r="EF47" s="4"/>
      <c r="EG47" s="4"/>
      <c r="EH47" s="4"/>
      <c r="EI47" s="4"/>
      <c r="EJ47" s="4"/>
      <c r="EK47" s="4"/>
      <c r="EL47" s="4"/>
      <c r="EM47" s="4"/>
      <c r="EN47" s="4"/>
      <c r="EO47" s="4"/>
      <c r="EP47" s="4"/>
      <c r="EQ47" s="4"/>
      <c r="ER47" s="4"/>
      <c r="ES47" s="4"/>
      <c r="ET47" s="4"/>
      <c r="EU47" s="4"/>
      <c r="EV47" s="4"/>
      <c r="EW47" s="4"/>
      <c r="EX47" s="4"/>
      <c r="EY47" s="4"/>
      <c r="EZ47" s="4"/>
      <c r="FA47" s="4"/>
      <c r="FB47" s="4"/>
      <c r="FC47" s="4"/>
      <c r="FD47" s="4"/>
      <c r="FE47" s="4"/>
      <c r="FF47" s="4"/>
      <c r="FG47" s="4"/>
      <c r="FH47" s="4"/>
      <c r="FI47" s="4"/>
      <c r="FJ47" s="4"/>
      <c r="FK47" s="4"/>
      <c r="FL47" s="4"/>
      <c r="FM47" s="4"/>
      <c r="FN47" s="4"/>
      <c r="FO47" s="4"/>
      <c r="FP47" s="4"/>
      <c r="FQ47" s="4"/>
      <c r="FR47" s="4"/>
      <c r="FS47" s="4"/>
      <c r="FT47" s="4"/>
      <c r="FU47" s="4"/>
      <c r="FV47" s="4"/>
      <c r="FW47" s="4"/>
      <c r="FX47" s="4"/>
      <c r="FY47" s="4"/>
      <c r="FZ47" s="4"/>
      <c r="GA47" s="4"/>
      <c r="GB47" s="4"/>
      <c r="GC47" s="4"/>
      <c r="GD47" s="4"/>
      <c r="GE47" s="4"/>
      <c r="GF47" s="4"/>
      <c r="GG47" s="4"/>
    </row>
    <row r="48" spans="1:189" outlineLevel="1">
      <c r="A48" s="116"/>
      <c r="B48" s="116"/>
      <c r="C48" s="116">
        <v>2</v>
      </c>
      <c r="D48" s="3" t="s">
        <v>1105</v>
      </c>
      <c r="E48" s="180"/>
      <c r="F48" s="180" t="s">
        <v>1071</v>
      </c>
      <c r="G48" s="180"/>
      <c r="H48" s="180"/>
      <c r="I48" s="180"/>
      <c r="J48" s="180"/>
      <c r="K48" s="180"/>
      <c r="L48" s="180"/>
      <c r="M48" s="181">
        <v>45089</v>
      </c>
      <c r="N48" s="181">
        <v>45091</v>
      </c>
      <c r="O48" s="182"/>
      <c r="P48" s="183">
        <v>3</v>
      </c>
      <c r="Q48" s="183">
        <v>3</v>
      </c>
      <c r="R48" s="184">
        <v>3</v>
      </c>
      <c r="S48" s="184">
        <v>3</v>
      </c>
      <c r="T48" s="181"/>
      <c r="U48" s="181"/>
      <c r="V48" s="185"/>
      <c r="W48" s="186">
        <v>0</v>
      </c>
      <c r="X48" s="187">
        <v>1</v>
      </c>
      <c r="Y48" s="182"/>
      <c r="Z48" s="188"/>
      <c r="AA48" s="97">
        <v>1</v>
      </c>
      <c r="AB48" s="189">
        <v>0</v>
      </c>
      <c r="AC48" s="210"/>
      <c r="AD48" s="4"/>
      <c r="AE48" s="4" t="str">
        <f>"" &amp; TEXT(AB48,"#0.00%") &amp; " " &amp; "Design" &amp; " " &amp; IF(M48="","",TEXT(M48,"M/D-")) &amp; IF(N48="","",TEXT(N48,"M/D")) &amp; " "</f>
        <v xml:space="preserve">0.00% Design 6/12-6/14 </v>
      </c>
      <c r="AF48" s="4"/>
      <c r="AG48" s="4"/>
      <c r="AH48" s="4"/>
      <c r="AI48" s="4"/>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c r="DC48" s="4"/>
      <c r="DD48" s="4"/>
      <c r="DE48" s="4"/>
      <c r="DF48" s="4"/>
      <c r="DG48" s="4"/>
      <c r="DH48" s="4"/>
      <c r="DI48" s="4"/>
      <c r="DJ48" s="4"/>
      <c r="DK48" s="4"/>
      <c r="DL48" s="4"/>
      <c r="DM48" s="4"/>
      <c r="DN48" s="4"/>
      <c r="DO48" s="4"/>
      <c r="DP48" s="4"/>
      <c r="DQ48" s="4"/>
      <c r="DR48" s="4"/>
      <c r="DS48" s="4"/>
      <c r="DT48" s="4"/>
      <c r="DU48" s="4"/>
      <c r="DV48" s="4"/>
      <c r="DW48" s="4"/>
      <c r="DX48" s="4"/>
      <c r="DY48" s="4"/>
      <c r="DZ48" s="4"/>
      <c r="EA48" s="4"/>
      <c r="EB48" s="4"/>
      <c r="EC48" s="4"/>
      <c r="ED48" s="4"/>
      <c r="EE48" s="4"/>
      <c r="EF48" s="4"/>
      <c r="EG48" s="4"/>
      <c r="EH48" s="4"/>
      <c r="EI48" s="4"/>
      <c r="EJ48" s="4"/>
      <c r="EK48" s="4"/>
      <c r="EL48" s="4"/>
      <c r="EM48" s="4"/>
      <c r="EN48" s="4"/>
      <c r="EO48" s="4"/>
      <c r="EP48" s="4"/>
      <c r="EQ48" s="4"/>
      <c r="ER48" s="4"/>
      <c r="ES48" s="4"/>
      <c r="ET48" s="4"/>
      <c r="EU48" s="4"/>
      <c r="EV48" s="4"/>
      <c r="EW48" s="4"/>
      <c r="EX48" s="4"/>
      <c r="EY48" s="4"/>
      <c r="EZ48" s="4"/>
      <c r="FA48" s="4"/>
      <c r="FB48" s="4"/>
      <c r="FC48" s="4"/>
      <c r="FD48" s="4"/>
      <c r="FE48" s="4"/>
      <c r="FF48" s="4"/>
      <c r="FG48" s="4"/>
      <c r="FH48" s="4"/>
      <c r="FI48" s="4"/>
      <c r="FJ48" s="4"/>
      <c r="FK48" s="4"/>
      <c r="FL48" s="4"/>
      <c r="FM48" s="4"/>
      <c r="FN48" s="4"/>
      <c r="FO48" s="4"/>
      <c r="FP48" s="4"/>
      <c r="FQ48" s="4"/>
      <c r="FR48" s="4"/>
      <c r="FS48" s="4"/>
      <c r="FT48" s="4"/>
      <c r="FU48" s="4"/>
      <c r="FV48" s="4"/>
      <c r="FW48" s="4"/>
      <c r="FX48" s="4"/>
      <c r="FY48" s="4"/>
      <c r="FZ48" s="4"/>
      <c r="GA48" s="4"/>
      <c r="GB48" s="4"/>
      <c r="GC48" s="4"/>
      <c r="GD48" s="4"/>
      <c r="GE48" s="4"/>
      <c r="GF48" s="4"/>
      <c r="GG48" s="4"/>
    </row>
    <row r="49" spans="1:189" outlineLevel="1">
      <c r="A49" s="116"/>
      <c r="B49" s="116"/>
      <c r="C49" s="116">
        <v>2</v>
      </c>
      <c r="D49" s="3" t="s">
        <v>1106</v>
      </c>
      <c r="E49" s="180"/>
      <c r="F49" s="180" t="s">
        <v>1074</v>
      </c>
      <c r="G49" s="180"/>
      <c r="H49" s="180"/>
      <c r="I49" s="180"/>
      <c r="J49" s="180"/>
      <c r="K49" s="180"/>
      <c r="L49" s="180"/>
      <c r="M49" s="181">
        <v>45092</v>
      </c>
      <c r="N49" s="181">
        <v>45096</v>
      </c>
      <c r="O49" s="182"/>
      <c r="P49" s="183">
        <v>3</v>
      </c>
      <c r="Q49" s="183">
        <v>3</v>
      </c>
      <c r="R49" s="184">
        <v>3</v>
      </c>
      <c r="S49" s="184">
        <v>3</v>
      </c>
      <c r="T49" s="181"/>
      <c r="U49" s="181"/>
      <c r="V49" s="185"/>
      <c r="W49" s="186">
        <v>0</v>
      </c>
      <c r="X49" s="187">
        <v>1</v>
      </c>
      <c r="Y49" s="182" t="s">
        <v>1181</v>
      </c>
      <c r="Z49" s="188"/>
      <c r="AA49" s="97">
        <v>1</v>
      </c>
      <c r="AB49" s="189">
        <v>0</v>
      </c>
      <c r="AC49" s="210"/>
      <c r="AD49" s="4"/>
      <c r="AE49" s="4" t="str">
        <f>"   " &amp; TEXT(AB49,"#0.00%") &amp; " " &amp; "Server" &amp; "(Bimal)" &amp; " " &amp; IF(M49="","",TEXT(M49,"M/D-")) &amp; IF(N49="","",TEXT(N49,"M/D")) &amp; " "</f>
        <v xml:space="preserve">   0.00% Server(Bimal) 6/15-6/19 </v>
      </c>
      <c r="AF49" s="4"/>
      <c r="AG49" s="4"/>
      <c r="AH49" s="4"/>
      <c r="AI49" s="4"/>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c r="DC49" s="4"/>
      <c r="DD49" s="4"/>
      <c r="DE49" s="4"/>
      <c r="DF49" s="4"/>
      <c r="DG49" s="4"/>
      <c r="DH49" s="4"/>
      <c r="DI49" s="4"/>
      <c r="DJ49" s="4"/>
      <c r="DK49" s="4"/>
      <c r="DL49" s="4"/>
      <c r="DM49" s="4"/>
      <c r="DN49" s="4"/>
      <c r="DO49" s="4"/>
      <c r="DP49" s="4"/>
      <c r="DQ49" s="4"/>
      <c r="DR49" s="4"/>
      <c r="DS49" s="4"/>
      <c r="DT49" s="4"/>
      <c r="DU49" s="4"/>
      <c r="DV49" s="4"/>
      <c r="DW49" s="4"/>
      <c r="DX49" s="4"/>
      <c r="DY49" s="4"/>
      <c r="DZ49" s="4"/>
      <c r="EA49" s="4"/>
      <c r="EB49" s="4"/>
      <c r="EC49" s="4"/>
      <c r="ED49" s="4"/>
      <c r="EE49" s="4"/>
      <c r="EF49" s="4"/>
      <c r="EG49" s="4"/>
      <c r="EH49" s="4"/>
      <c r="EI49" s="4"/>
      <c r="EJ49" s="4"/>
      <c r="EK49" s="4"/>
      <c r="EL49" s="4"/>
      <c r="EM49" s="4"/>
      <c r="EN49" s="4"/>
      <c r="EO49" s="4"/>
      <c r="EP49" s="4"/>
      <c r="EQ49" s="4"/>
      <c r="ER49" s="4"/>
      <c r="ES49" s="4"/>
      <c r="ET49" s="4"/>
      <c r="EU49" s="4"/>
      <c r="EV49" s="4"/>
      <c r="EW49" s="4"/>
      <c r="EX49" s="4"/>
      <c r="EY49" s="4"/>
      <c r="EZ49" s="4"/>
      <c r="FA49" s="4"/>
      <c r="FB49" s="4"/>
      <c r="FC49" s="4"/>
      <c r="FD49" s="4"/>
      <c r="FE49" s="4"/>
      <c r="FF49" s="4"/>
      <c r="FG49" s="4"/>
      <c r="FH49" s="4"/>
      <c r="FI49" s="4"/>
      <c r="FJ49" s="4"/>
      <c r="FK49" s="4"/>
      <c r="FL49" s="4"/>
      <c r="FM49" s="4"/>
      <c r="FN49" s="4"/>
      <c r="FO49" s="4"/>
      <c r="FP49" s="4"/>
      <c r="FQ49" s="4"/>
      <c r="FR49" s="4"/>
      <c r="FS49" s="4"/>
      <c r="FT49" s="4"/>
      <c r="FU49" s="4"/>
      <c r="FV49" s="4"/>
      <c r="FW49" s="4"/>
      <c r="FX49" s="4"/>
      <c r="FY49" s="4"/>
      <c r="FZ49" s="4"/>
      <c r="GA49" s="4"/>
      <c r="GB49" s="4"/>
      <c r="GC49" s="4"/>
      <c r="GD49" s="4"/>
      <c r="GE49" s="4"/>
      <c r="GF49" s="4"/>
      <c r="GG49" s="4"/>
    </row>
    <row r="50" spans="1:189" outlineLevel="1">
      <c r="A50" s="116"/>
      <c r="B50" s="116"/>
      <c r="C50" s="116">
        <v>2</v>
      </c>
      <c r="D50" s="3" t="s">
        <v>1107</v>
      </c>
      <c r="E50" s="180"/>
      <c r="F50" s="180" t="s">
        <v>1073</v>
      </c>
      <c r="G50" s="180"/>
      <c r="H50" s="180"/>
      <c r="I50" s="180"/>
      <c r="J50" s="180"/>
      <c r="K50" s="180"/>
      <c r="L50" s="180"/>
      <c r="M50" s="181">
        <v>45096</v>
      </c>
      <c r="N50" s="181">
        <v>45098</v>
      </c>
      <c r="O50" s="182"/>
      <c r="P50" s="183">
        <v>3</v>
      </c>
      <c r="Q50" s="183">
        <v>1</v>
      </c>
      <c r="R50" s="184">
        <v>3</v>
      </c>
      <c r="S50" s="184">
        <v>1</v>
      </c>
      <c r="T50" s="181"/>
      <c r="U50" s="181"/>
      <c r="V50" s="185"/>
      <c r="W50" s="186">
        <v>0</v>
      </c>
      <c r="X50" s="187">
        <v>1</v>
      </c>
      <c r="Y50" s="182" t="s">
        <v>1178</v>
      </c>
      <c r="Z50" s="188"/>
      <c r="AA50" s="97">
        <v>0.33333333333333331</v>
      </c>
      <c r="AB50" s="189">
        <v>0</v>
      </c>
      <c r="AC50" s="210"/>
      <c r="AD50" s="4"/>
      <c r="AE50" s="4"/>
      <c r="AF50" s="4" t="str">
        <f>"" &amp; TEXT(AB50,"#0.00%") &amp; " " &amp; "iOS" &amp; "(Dibya)" &amp; " " &amp; IF(M50="","",TEXT(M50,"M/D-")) &amp; IF(N50="","",TEXT(N50,"M/D")) &amp; " "</f>
        <v xml:space="preserve">0.00% iOS(Dibya) 6/19-6/21 </v>
      </c>
      <c r="AG50" s="4"/>
      <c r="AH50" s="4"/>
      <c r="AI50" s="4"/>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c r="DC50" s="4"/>
      <c r="DD50" s="4"/>
      <c r="DE50" s="4"/>
      <c r="DF50" s="4"/>
      <c r="DG50" s="4"/>
      <c r="DH50" s="4"/>
      <c r="DI50" s="4"/>
      <c r="DJ50" s="4"/>
      <c r="DK50" s="4"/>
      <c r="DL50" s="4"/>
      <c r="DM50" s="4"/>
      <c r="DN50" s="4"/>
      <c r="DO50" s="4"/>
      <c r="DP50" s="4"/>
      <c r="DQ50" s="4"/>
      <c r="DR50" s="4"/>
      <c r="DS50" s="4"/>
      <c r="DT50" s="4"/>
      <c r="DU50" s="4"/>
      <c r="DV50" s="4"/>
      <c r="DW50" s="4"/>
      <c r="DX50" s="4"/>
      <c r="DY50" s="4"/>
      <c r="DZ50" s="4"/>
      <c r="EA50" s="4"/>
      <c r="EB50" s="4"/>
      <c r="EC50" s="4"/>
      <c r="ED50" s="4"/>
      <c r="EE50" s="4"/>
      <c r="EF50" s="4"/>
      <c r="EG50" s="4"/>
      <c r="EH50" s="4"/>
      <c r="EI50" s="4"/>
      <c r="EJ50" s="4"/>
      <c r="EK50" s="4"/>
      <c r="EL50" s="4"/>
      <c r="EM50" s="4"/>
      <c r="EN50" s="4"/>
      <c r="EO50" s="4"/>
      <c r="EP50" s="4"/>
      <c r="EQ50" s="4"/>
      <c r="ER50" s="4"/>
      <c r="ES50" s="4"/>
      <c r="ET50" s="4"/>
      <c r="EU50" s="4"/>
      <c r="EV50" s="4"/>
      <c r="EW50" s="4"/>
      <c r="EX50" s="4"/>
      <c r="EY50" s="4"/>
      <c r="EZ50" s="4"/>
      <c r="FA50" s="4"/>
      <c r="FB50" s="4"/>
      <c r="FC50" s="4"/>
      <c r="FD50" s="4"/>
      <c r="FE50" s="4"/>
      <c r="FF50" s="4"/>
      <c r="FG50" s="4"/>
      <c r="FH50" s="4"/>
      <c r="FI50" s="4"/>
      <c r="FJ50" s="4"/>
      <c r="FK50" s="4"/>
      <c r="FL50" s="4"/>
      <c r="FM50" s="4"/>
      <c r="FN50" s="4"/>
      <c r="FO50" s="4"/>
      <c r="FP50" s="4"/>
      <c r="FQ50" s="4"/>
      <c r="FR50" s="4"/>
      <c r="FS50" s="4"/>
      <c r="FT50" s="4"/>
      <c r="FU50" s="4"/>
      <c r="FV50" s="4"/>
      <c r="FW50" s="4"/>
      <c r="FX50" s="4"/>
      <c r="FY50" s="4"/>
      <c r="FZ50" s="4"/>
      <c r="GA50" s="4"/>
      <c r="GB50" s="4"/>
      <c r="GC50" s="4"/>
      <c r="GD50" s="4"/>
      <c r="GE50" s="4"/>
      <c r="GF50" s="4"/>
      <c r="GG50" s="4"/>
    </row>
    <row r="51" spans="1:189" outlineLevel="1">
      <c r="A51" s="116"/>
      <c r="B51" s="116"/>
      <c r="C51" s="116">
        <v>2</v>
      </c>
      <c r="D51" s="3" t="s">
        <v>1108</v>
      </c>
      <c r="E51" s="180"/>
      <c r="F51" s="180" t="s">
        <v>1072</v>
      </c>
      <c r="G51" s="180"/>
      <c r="H51" s="180"/>
      <c r="I51" s="180"/>
      <c r="J51" s="180"/>
      <c r="K51" s="180"/>
      <c r="L51" s="180"/>
      <c r="M51" s="181">
        <v>45096</v>
      </c>
      <c r="N51" s="181">
        <v>45098</v>
      </c>
      <c r="O51" s="182"/>
      <c r="P51" s="183">
        <v>3</v>
      </c>
      <c r="Q51" s="183">
        <v>1</v>
      </c>
      <c r="R51" s="184">
        <v>3</v>
      </c>
      <c r="S51" s="184">
        <v>1</v>
      </c>
      <c r="T51" s="181"/>
      <c r="U51" s="181"/>
      <c r="V51" s="185"/>
      <c r="W51" s="186">
        <v>0</v>
      </c>
      <c r="X51" s="187">
        <v>1</v>
      </c>
      <c r="Y51" s="182" t="s">
        <v>1177</v>
      </c>
      <c r="Z51" s="188"/>
      <c r="AA51" s="97">
        <v>0.33333333333333331</v>
      </c>
      <c r="AB51" s="189">
        <v>0</v>
      </c>
      <c r="AC51" s="210"/>
      <c r="AD51" s="4"/>
      <c r="AE51" s="4"/>
      <c r="AF51" s="4" t="str">
        <f>"" &amp; TEXT(AB51,"#0.00%") &amp; " " &amp; "Android" &amp; "(Santosh)" &amp; " " &amp; IF(M51="","",TEXT(M51,"M/D-")) &amp; IF(N51="","",TEXT(N51,"M/D")) &amp; " "</f>
        <v xml:space="preserve">0.00% Android(Santosh) 6/19-6/21 </v>
      </c>
      <c r="AG51" s="4"/>
      <c r="AH51" s="4"/>
      <c r="AI51" s="4"/>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c r="DC51" s="4"/>
      <c r="DD51" s="4"/>
      <c r="DE51" s="4"/>
      <c r="DF51" s="4"/>
      <c r="DG51" s="4"/>
      <c r="DH51" s="4"/>
      <c r="DI51" s="4"/>
      <c r="DJ51" s="4"/>
      <c r="DK51" s="4"/>
      <c r="DL51" s="4"/>
      <c r="DM51" s="4"/>
      <c r="DN51" s="4"/>
      <c r="DO51" s="4"/>
      <c r="DP51" s="4"/>
      <c r="DQ51" s="4"/>
      <c r="DR51" s="4"/>
      <c r="DS51" s="4"/>
      <c r="DT51" s="4"/>
      <c r="DU51" s="4"/>
      <c r="DV51" s="4"/>
      <c r="DW51" s="4"/>
      <c r="DX51" s="4"/>
      <c r="DY51" s="4"/>
      <c r="DZ51" s="4"/>
      <c r="EA51" s="4"/>
      <c r="EB51" s="4"/>
      <c r="EC51" s="4"/>
      <c r="ED51" s="4"/>
      <c r="EE51" s="4"/>
      <c r="EF51" s="4"/>
      <c r="EG51" s="4"/>
      <c r="EH51" s="4"/>
      <c r="EI51" s="4"/>
      <c r="EJ51" s="4"/>
      <c r="EK51" s="4"/>
      <c r="EL51" s="4"/>
      <c r="EM51" s="4"/>
      <c r="EN51" s="4"/>
      <c r="EO51" s="4"/>
      <c r="EP51" s="4"/>
      <c r="EQ51" s="4"/>
      <c r="ER51" s="4"/>
      <c r="ES51" s="4"/>
      <c r="ET51" s="4"/>
      <c r="EU51" s="4"/>
      <c r="EV51" s="4"/>
      <c r="EW51" s="4"/>
      <c r="EX51" s="4"/>
      <c r="EY51" s="4"/>
      <c r="EZ51" s="4"/>
      <c r="FA51" s="4"/>
      <c r="FB51" s="4"/>
      <c r="FC51" s="4"/>
      <c r="FD51" s="4"/>
      <c r="FE51" s="4"/>
      <c r="FF51" s="4"/>
      <c r="FG51" s="4"/>
      <c r="FH51" s="4"/>
      <c r="FI51" s="4"/>
      <c r="FJ51" s="4"/>
      <c r="FK51" s="4"/>
      <c r="FL51" s="4"/>
      <c r="FM51" s="4"/>
      <c r="FN51" s="4"/>
      <c r="FO51" s="4"/>
      <c r="FP51" s="4"/>
      <c r="FQ51" s="4"/>
      <c r="FR51" s="4"/>
      <c r="FS51" s="4"/>
      <c r="FT51" s="4"/>
      <c r="FU51" s="4"/>
      <c r="FV51" s="4"/>
      <c r="FW51" s="4"/>
      <c r="FX51" s="4"/>
      <c r="FY51" s="4"/>
      <c r="FZ51" s="4"/>
      <c r="GA51" s="4"/>
      <c r="GB51" s="4"/>
      <c r="GC51" s="4"/>
      <c r="GD51" s="4"/>
      <c r="GE51" s="4"/>
      <c r="GF51" s="4"/>
      <c r="GG51" s="4"/>
    </row>
    <row r="52" spans="1:189" outlineLevel="1">
      <c r="A52" s="116"/>
      <c r="B52" s="116"/>
      <c r="C52" s="116">
        <v>2</v>
      </c>
      <c r="D52" s="3" t="s">
        <v>1204</v>
      </c>
      <c r="E52" s="180"/>
      <c r="F52" s="180" t="s">
        <v>1040</v>
      </c>
      <c r="G52" s="180"/>
      <c r="H52" s="180"/>
      <c r="I52" s="180"/>
      <c r="J52" s="180"/>
      <c r="K52" s="180"/>
      <c r="L52" s="180"/>
      <c r="M52" s="181">
        <v>45099</v>
      </c>
      <c r="N52" s="181">
        <v>45100</v>
      </c>
      <c r="O52" s="182"/>
      <c r="P52" s="183">
        <v>2</v>
      </c>
      <c r="Q52" s="183">
        <v>0</v>
      </c>
      <c r="R52" s="184">
        <v>2</v>
      </c>
      <c r="S52" s="184">
        <v>0</v>
      </c>
      <c r="T52" s="181"/>
      <c r="U52" s="181"/>
      <c r="V52" s="185"/>
      <c r="W52" s="186">
        <v>0</v>
      </c>
      <c r="X52" s="187">
        <v>1</v>
      </c>
      <c r="Y52" s="182" t="s">
        <v>1118</v>
      </c>
      <c r="Z52" s="188"/>
      <c r="AA52" s="97">
        <v>0</v>
      </c>
      <c r="AB52" s="189">
        <v>0</v>
      </c>
      <c r="AC52" s="210"/>
      <c r="AD52" s="4"/>
      <c r="AE52" s="4"/>
      <c r="AF52" s="4" t="str">
        <f>"   " &amp; TEXT(AB52,"#0.00%") &amp; " " &amp; "Test in TB" &amp; "(Pheaktra, Jasurbek )" &amp; " " &amp; IF(M52="","",TEXT(M52,"M/D-")) &amp; IF(N52="","",TEXT(N52,"M/D")) &amp; " "</f>
        <v xml:space="preserve">   0.00% Test in TB(Pheaktra, Jasurbek ) 6/22-6/23 </v>
      </c>
      <c r="AG52" s="4"/>
      <c r="AH52" s="4"/>
      <c r="AI52" s="4"/>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c r="DC52" s="4"/>
      <c r="DD52" s="4"/>
      <c r="DE52" s="4"/>
      <c r="DF52" s="4"/>
      <c r="DG52" s="4"/>
      <c r="DH52" s="4"/>
      <c r="DI52" s="4"/>
      <c r="DJ52" s="4"/>
      <c r="DK52" s="4"/>
      <c r="DL52" s="4"/>
      <c r="DM52" s="4"/>
      <c r="DN52" s="4"/>
      <c r="DO52" s="4"/>
      <c r="DP52" s="4"/>
      <c r="DQ52" s="4"/>
      <c r="DR52" s="4"/>
      <c r="DS52" s="4"/>
      <c r="DT52" s="4"/>
      <c r="DU52" s="4"/>
      <c r="DV52" s="4"/>
      <c r="DW52" s="4"/>
      <c r="DX52" s="4"/>
      <c r="DY52" s="4"/>
      <c r="DZ52" s="4"/>
      <c r="EA52" s="4"/>
      <c r="EB52" s="4"/>
      <c r="EC52" s="4"/>
      <c r="ED52" s="4"/>
      <c r="EE52" s="4"/>
      <c r="EF52" s="4"/>
      <c r="EG52" s="4"/>
      <c r="EH52" s="4"/>
      <c r="EI52" s="4"/>
      <c r="EJ52" s="4"/>
      <c r="EK52" s="4"/>
      <c r="EL52" s="4"/>
      <c r="EM52" s="4"/>
      <c r="EN52" s="4"/>
      <c r="EO52" s="4"/>
      <c r="EP52" s="4"/>
      <c r="EQ52" s="4"/>
      <c r="ER52" s="4"/>
      <c r="ES52" s="4"/>
      <c r="ET52" s="4"/>
      <c r="EU52" s="4"/>
      <c r="EV52" s="4"/>
      <c r="EW52" s="4"/>
      <c r="EX52" s="4"/>
      <c r="EY52" s="4"/>
      <c r="EZ52" s="4"/>
      <c r="FA52" s="4"/>
      <c r="FB52" s="4"/>
      <c r="FC52" s="4"/>
      <c r="FD52" s="4"/>
      <c r="FE52" s="4"/>
      <c r="FF52" s="4"/>
      <c r="FG52" s="4"/>
      <c r="FH52" s="4"/>
      <c r="FI52" s="4"/>
      <c r="FJ52" s="4"/>
      <c r="FK52" s="4"/>
      <c r="FL52" s="4"/>
      <c r="FM52" s="4"/>
      <c r="FN52" s="4"/>
      <c r="FO52" s="4"/>
      <c r="FP52" s="4"/>
      <c r="FQ52" s="4"/>
      <c r="FR52" s="4"/>
      <c r="FS52" s="4"/>
      <c r="FT52" s="4"/>
      <c r="FU52" s="4"/>
      <c r="FV52" s="4"/>
      <c r="FW52" s="4"/>
      <c r="FX52" s="4"/>
      <c r="FY52" s="4"/>
      <c r="FZ52" s="4"/>
      <c r="GA52" s="4"/>
      <c r="GB52" s="4"/>
      <c r="GC52" s="4"/>
      <c r="GD52" s="4"/>
      <c r="GE52" s="4"/>
      <c r="GF52" s="4"/>
      <c r="GG52" s="4"/>
    </row>
    <row r="53" spans="1:189" outlineLevel="1">
      <c r="A53" s="116"/>
      <c r="B53" s="116"/>
      <c r="C53" s="116">
        <v>2</v>
      </c>
      <c r="D53" s="3" t="s">
        <v>1205</v>
      </c>
      <c r="E53" s="180"/>
      <c r="F53" s="180" t="s">
        <v>1039</v>
      </c>
      <c r="G53" s="180"/>
      <c r="H53" s="180"/>
      <c r="I53" s="180"/>
      <c r="J53" s="180"/>
      <c r="K53" s="180"/>
      <c r="L53" s="180"/>
      <c r="M53" s="181">
        <v>45103</v>
      </c>
      <c r="N53" s="181">
        <v>45103</v>
      </c>
      <c r="O53" s="182"/>
      <c r="P53" s="183">
        <v>1</v>
      </c>
      <c r="Q53" s="183">
        <v>0</v>
      </c>
      <c r="R53" s="184">
        <v>1</v>
      </c>
      <c r="S53" s="184">
        <v>0</v>
      </c>
      <c r="T53" s="181"/>
      <c r="U53" s="181"/>
      <c r="V53" s="185"/>
      <c r="W53" s="186">
        <v>0</v>
      </c>
      <c r="X53" s="187">
        <v>1</v>
      </c>
      <c r="Y53" s="182"/>
      <c r="Z53" s="188"/>
      <c r="AA53" s="97">
        <v>0</v>
      </c>
      <c r="AB53" s="189">
        <v>0</v>
      </c>
      <c r="AC53" s="210"/>
      <c r="AD53" s="4"/>
      <c r="AE53" s="4"/>
      <c r="AF53" s="4"/>
      <c r="AG53" s="4" t="str">
        <f>"" &amp; TEXT(AB53,"#0.00%") &amp; " " &amp; "Test in Live" &amp; " " &amp; IF(M53="","",TEXT(M53,"M/D-")) &amp; IF(N53="","",TEXT(N53,"M/D")) &amp; " "</f>
        <v xml:space="preserve">0.00% Test in Live 6/26-6/26 </v>
      </c>
      <c r="AH53" s="4"/>
      <c r="AI53" s="4"/>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c r="DC53" s="4"/>
      <c r="DD53" s="4"/>
      <c r="DE53" s="4"/>
      <c r="DF53" s="4"/>
      <c r="DG53" s="4"/>
      <c r="DH53" s="4"/>
      <c r="DI53" s="4"/>
      <c r="DJ53" s="4"/>
      <c r="DK53" s="4"/>
      <c r="DL53" s="4"/>
      <c r="DM53" s="4"/>
      <c r="DN53" s="4"/>
      <c r="DO53" s="4"/>
      <c r="DP53" s="4"/>
      <c r="DQ53" s="4"/>
      <c r="DR53" s="4"/>
      <c r="DS53" s="4"/>
      <c r="DT53" s="4"/>
      <c r="DU53" s="4"/>
      <c r="DV53" s="4"/>
      <c r="DW53" s="4"/>
      <c r="DX53" s="4"/>
      <c r="DY53" s="4"/>
      <c r="DZ53" s="4"/>
      <c r="EA53" s="4"/>
      <c r="EB53" s="4"/>
      <c r="EC53" s="4"/>
      <c r="ED53" s="4"/>
      <c r="EE53" s="4"/>
      <c r="EF53" s="4"/>
      <c r="EG53" s="4"/>
      <c r="EH53" s="4"/>
      <c r="EI53" s="4"/>
      <c r="EJ53" s="4"/>
      <c r="EK53" s="4"/>
      <c r="EL53" s="4"/>
      <c r="EM53" s="4"/>
      <c r="EN53" s="4"/>
      <c r="EO53" s="4"/>
      <c r="EP53" s="4"/>
      <c r="EQ53" s="4"/>
      <c r="ER53" s="4"/>
      <c r="ES53" s="4"/>
      <c r="ET53" s="4"/>
      <c r="EU53" s="4"/>
      <c r="EV53" s="4"/>
      <c r="EW53" s="4"/>
      <c r="EX53" s="4"/>
      <c r="EY53" s="4"/>
      <c r="EZ53" s="4"/>
      <c r="FA53" s="4"/>
      <c r="FB53" s="4"/>
      <c r="FC53" s="4"/>
      <c r="FD53" s="4"/>
      <c r="FE53" s="4"/>
      <c r="FF53" s="4"/>
      <c r="FG53" s="4"/>
      <c r="FH53" s="4"/>
      <c r="FI53" s="4"/>
      <c r="FJ53" s="4"/>
      <c r="FK53" s="4"/>
      <c r="FL53" s="4"/>
      <c r="FM53" s="4"/>
      <c r="FN53" s="4"/>
      <c r="FO53" s="4"/>
      <c r="FP53" s="4"/>
      <c r="FQ53" s="4"/>
      <c r="FR53" s="4"/>
      <c r="FS53" s="4"/>
      <c r="FT53" s="4"/>
      <c r="FU53" s="4"/>
      <c r="FV53" s="4"/>
      <c r="FW53" s="4"/>
      <c r="FX53" s="4"/>
      <c r="FY53" s="4"/>
      <c r="FZ53" s="4"/>
      <c r="GA53" s="4"/>
      <c r="GB53" s="4"/>
      <c r="GC53" s="4"/>
      <c r="GD53" s="4"/>
      <c r="GE53" s="4"/>
      <c r="GF53" s="4"/>
      <c r="GG53" s="4"/>
    </row>
    <row r="54" spans="1:189" outlineLevel="1">
      <c r="A54" s="116"/>
      <c r="B54" s="116"/>
      <c r="C54" s="116">
        <v>2</v>
      </c>
      <c r="D54" s="3" t="s">
        <v>1206</v>
      </c>
      <c r="E54" s="180"/>
      <c r="F54" s="180" t="s">
        <v>1041</v>
      </c>
      <c r="G54" s="180"/>
      <c r="H54" s="180"/>
      <c r="I54" s="180"/>
      <c r="J54" s="180"/>
      <c r="K54" s="180"/>
      <c r="L54" s="180"/>
      <c r="M54" s="181">
        <v>45104</v>
      </c>
      <c r="N54" s="181">
        <v>45104</v>
      </c>
      <c r="O54" s="182"/>
      <c r="P54" s="183">
        <v>1</v>
      </c>
      <c r="Q54" s="183">
        <v>0</v>
      </c>
      <c r="R54" s="184">
        <v>1</v>
      </c>
      <c r="S54" s="184">
        <v>0</v>
      </c>
      <c r="T54" s="181"/>
      <c r="U54" s="181"/>
      <c r="V54" s="185"/>
      <c r="W54" s="186">
        <v>0</v>
      </c>
      <c r="X54" s="187">
        <v>1</v>
      </c>
      <c r="Y54" s="182"/>
      <c r="Z54" s="188"/>
      <c r="AA54" s="97">
        <v>0</v>
      </c>
      <c r="AB54" s="189">
        <v>0</v>
      </c>
      <c r="AC54" s="210"/>
      <c r="AD54" s="4"/>
      <c r="AE54" s="4"/>
      <c r="AF54" s="4"/>
      <c r="AG54" s="4" t="str">
        <f>" " &amp; TEXT(AB54,"#0.00%") &amp; " " &amp; "Service Launch" &amp; " " &amp; IF(M54="","",TEXT(M54,"M/D-")) &amp; IF(N54="","",TEXT(N54,"M/D")) &amp; " "</f>
        <v xml:space="preserve"> 0.00% Service Launch 6/27-6/27 </v>
      </c>
      <c r="AH54" s="4"/>
      <c r="AI54" s="4"/>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c r="DC54" s="4"/>
      <c r="DD54" s="4"/>
      <c r="DE54" s="4"/>
      <c r="DF54" s="4"/>
      <c r="DG54" s="4"/>
      <c r="DH54" s="4"/>
      <c r="DI54" s="4"/>
      <c r="DJ54" s="4"/>
      <c r="DK54" s="4"/>
      <c r="DL54" s="4"/>
      <c r="DM54" s="4"/>
      <c r="DN54" s="4"/>
      <c r="DO54" s="4"/>
      <c r="DP54" s="4"/>
      <c r="DQ54" s="4"/>
      <c r="DR54" s="4"/>
      <c r="DS54" s="4"/>
      <c r="DT54" s="4"/>
      <c r="DU54" s="4"/>
      <c r="DV54" s="4"/>
      <c r="DW54" s="4"/>
      <c r="DX54" s="4"/>
      <c r="DY54" s="4"/>
      <c r="DZ54" s="4"/>
      <c r="EA54" s="4"/>
      <c r="EB54" s="4"/>
      <c r="EC54" s="4"/>
      <c r="ED54" s="4"/>
      <c r="EE54" s="4"/>
      <c r="EF54" s="4"/>
      <c r="EG54" s="4"/>
      <c r="EH54" s="4"/>
      <c r="EI54" s="4"/>
      <c r="EJ54" s="4"/>
      <c r="EK54" s="4"/>
      <c r="EL54" s="4"/>
      <c r="EM54" s="4"/>
      <c r="EN54" s="4"/>
      <c r="EO54" s="4"/>
      <c r="EP54" s="4"/>
      <c r="EQ54" s="4"/>
      <c r="ER54" s="4"/>
      <c r="ES54" s="4"/>
      <c r="ET54" s="4"/>
      <c r="EU54" s="4"/>
      <c r="EV54" s="4"/>
      <c r="EW54" s="4"/>
      <c r="EX54" s="4"/>
      <c r="EY54" s="4"/>
      <c r="EZ54" s="4"/>
      <c r="FA54" s="4"/>
      <c r="FB54" s="4"/>
      <c r="FC54" s="4"/>
      <c r="FD54" s="4"/>
      <c r="FE54" s="4"/>
      <c r="FF54" s="4"/>
      <c r="FG54" s="4"/>
      <c r="FH54" s="4"/>
      <c r="FI54" s="4"/>
      <c r="FJ54" s="4"/>
      <c r="FK54" s="4"/>
      <c r="FL54" s="4"/>
      <c r="FM54" s="4"/>
      <c r="FN54" s="4"/>
      <c r="FO54" s="4"/>
      <c r="FP54" s="4"/>
      <c r="FQ54" s="4"/>
      <c r="FR54" s="4"/>
      <c r="FS54" s="4"/>
      <c r="FT54" s="4"/>
      <c r="FU54" s="4"/>
      <c r="FV54" s="4"/>
      <c r="FW54" s="4"/>
      <c r="FX54" s="4"/>
      <c r="FY54" s="4"/>
      <c r="FZ54" s="4"/>
      <c r="GA54" s="4"/>
      <c r="GB54" s="4"/>
      <c r="GC54" s="4"/>
      <c r="GD54" s="4"/>
      <c r="GE54" s="4"/>
      <c r="GF54" s="4"/>
      <c r="GG54" s="4"/>
    </row>
    <row r="55" spans="1:189" outlineLevel="1">
      <c r="A55" s="116"/>
      <c r="B55" s="116"/>
      <c r="C55" s="116">
        <v>0</v>
      </c>
      <c r="D55" s="3"/>
      <c r="E55" s="180"/>
      <c r="F55" s="180"/>
      <c r="G55" s="180"/>
      <c r="H55" s="180"/>
      <c r="I55" s="180"/>
      <c r="J55" s="180"/>
      <c r="K55" s="180"/>
      <c r="L55" s="180"/>
      <c r="M55" s="181"/>
      <c r="N55" s="181"/>
      <c r="O55" s="182"/>
      <c r="P55" s="183"/>
      <c r="Q55" s="183"/>
      <c r="R55" s="184">
        <v>0</v>
      </c>
      <c r="S55" s="184">
        <v>0</v>
      </c>
      <c r="T55" s="181"/>
      <c r="U55" s="181"/>
      <c r="V55" s="185"/>
      <c r="W55" s="186">
        <v>0</v>
      </c>
      <c r="X55" s="187"/>
      <c r="Y55" s="182"/>
      <c r="Z55" s="188"/>
      <c r="AA55" s="97"/>
      <c r="AB55" s="189"/>
      <c r="AC55" s="210"/>
      <c r="AD55" s="4"/>
      <c r="AE55" s="4"/>
      <c r="AF55" s="4"/>
      <c r="AG55" s="4"/>
      <c r="AH55" s="4"/>
      <c r="AI55" s="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c r="DC55" s="4"/>
      <c r="DD55" s="4"/>
      <c r="DE55" s="4"/>
      <c r="DF55" s="4"/>
      <c r="DG55" s="4"/>
      <c r="DH55" s="4"/>
      <c r="DI55" s="4"/>
      <c r="DJ55" s="4"/>
      <c r="DK55" s="4"/>
      <c r="DL55" s="4"/>
      <c r="DM55" s="4"/>
      <c r="DN55" s="4"/>
      <c r="DO55" s="4"/>
      <c r="DP55" s="4"/>
      <c r="DQ55" s="4"/>
      <c r="DR55" s="4"/>
      <c r="DS55" s="4"/>
      <c r="DT55" s="4"/>
      <c r="DU55" s="4"/>
      <c r="DV55" s="4"/>
      <c r="DW55" s="4"/>
      <c r="DX55" s="4"/>
      <c r="DY55" s="4"/>
      <c r="DZ55" s="4"/>
      <c r="EA55" s="4"/>
      <c r="EB55" s="4"/>
      <c r="EC55" s="4"/>
      <c r="ED55" s="4"/>
      <c r="EE55" s="4"/>
      <c r="EF55" s="4"/>
      <c r="EG55" s="4"/>
      <c r="EH55" s="4"/>
      <c r="EI55" s="4"/>
      <c r="EJ55" s="4"/>
      <c r="EK55" s="4"/>
      <c r="EL55" s="4"/>
      <c r="EM55" s="4"/>
      <c r="EN55" s="4"/>
      <c r="EO55" s="4"/>
      <c r="EP55" s="4"/>
      <c r="EQ55" s="4"/>
      <c r="ER55" s="4"/>
      <c r="ES55" s="4"/>
      <c r="ET55" s="4"/>
      <c r="EU55" s="4"/>
      <c r="EV55" s="4"/>
      <c r="EW55" s="4"/>
      <c r="EX55" s="4"/>
      <c r="EY55" s="4"/>
      <c r="EZ55" s="4"/>
      <c r="FA55" s="4"/>
      <c r="FB55" s="4"/>
      <c r="FC55" s="4"/>
      <c r="FD55" s="4"/>
      <c r="FE55" s="4"/>
      <c r="FF55" s="4"/>
      <c r="FG55" s="4"/>
      <c r="FH55" s="4"/>
      <c r="FI55" s="4"/>
      <c r="FJ55" s="4"/>
      <c r="FK55" s="4"/>
      <c r="FL55" s="4"/>
      <c r="FM55" s="4"/>
      <c r="FN55" s="4"/>
      <c r="FO55" s="4"/>
      <c r="FP55" s="4"/>
      <c r="FQ55" s="4"/>
      <c r="FR55" s="4"/>
      <c r="FS55" s="4"/>
      <c r="FT55" s="4"/>
      <c r="FU55" s="4"/>
      <c r="FV55" s="4"/>
      <c r="FW55" s="4"/>
      <c r="FX55" s="4"/>
      <c r="FY55" s="4"/>
      <c r="FZ55" s="4"/>
      <c r="GA55" s="4"/>
      <c r="GB55" s="4"/>
      <c r="GC55" s="4"/>
      <c r="GD55" s="4"/>
      <c r="GE55" s="4"/>
      <c r="GF55" s="4"/>
      <c r="GG55" s="4"/>
    </row>
    <row r="56" spans="1:189">
      <c r="A56" s="116"/>
      <c r="B56" s="116" t="s">
        <v>983</v>
      </c>
      <c r="C56" s="116">
        <v>1</v>
      </c>
      <c r="D56" s="3" t="s">
        <v>1109</v>
      </c>
      <c r="E56" s="180" t="s">
        <v>1076</v>
      </c>
      <c r="F56" s="180"/>
      <c r="G56" s="180"/>
      <c r="H56" s="180"/>
      <c r="I56" s="180"/>
      <c r="J56" s="180"/>
      <c r="K56" s="180"/>
      <c r="L56" s="180"/>
      <c r="M56" s="181">
        <v>45078</v>
      </c>
      <c r="N56" s="181">
        <v>45104</v>
      </c>
      <c r="O56" s="182"/>
      <c r="P56" s="183">
        <v>43</v>
      </c>
      <c r="Q56" s="183">
        <v>37</v>
      </c>
      <c r="R56" s="184">
        <v>19</v>
      </c>
      <c r="S56" s="184">
        <v>13</v>
      </c>
      <c r="T56" s="181"/>
      <c r="U56" s="181"/>
      <c r="V56" s="185">
        <v>0</v>
      </c>
      <c r="W56" s="186">
        <v>0</v>
      </c>
      <c r="X56" s="187"/>
      <c r="Y56" s="182"/>
      <c r="Z56" s="188"/>
      <c r="AA56" s="97">
        <v>0.86046511627906974</v>
      </c>
      <c r="AB56" s="189">
        <v>0.75348837209302322</v>
      </c>
      <c r="AC56" s="210"/>
      <c r="AD56" s="4"/>
      <c r="AE56" s="4"/>
      <c r="AF56" s="4" t="str">
        <f>"  " &amp; TEXT(AB56,"#0.00%") &amp; " " &amp; "[2204-02] Change Main Page in Mobile App" &amp; " " &amp; IF(M56="","",TEXT(M56,"M/D-")) &amp; IF(N56="","",TEXT(N56,"M/D")) &amp; " "</f>
        <v xml:space="preserve">  75.35% [2204-02] Change Main Page in Mobile App 6/1-6/27 </v>
      </c>
      <c r="AG56" s="4"/>
      <c r="AH56" s="4"/>
      <c r="AI56" s="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c r="DC56" s="4"/>
      <c r="DD56" s="4"/>
      <c r="DE56" s="4"/>
      <c r="DF56" s="4"/>
      <c r="DG56" s="4"/>
      <c r="DH56" s="4"/>
      <c r="DI56" s="4"/>
      <c r="DJ56" s="4"/>
      <c r="DK56" s="4"/>
      <c r="DL56" s="4"/>
      <c r="DM56" s="4"/>
      <c r="DN56" s="4"/>
      <c r="DO56" s="4"/>
      <c r="DP56" s="4"/>
      <c r="DQ56" s="4"/>
      <c r="DR56" s="4"/>
      <c r="DS56" s="4"/>
      <c r="DT56" s="4"/>
      <c r="DU56" s="4"/>
      <c r="DV56" s="4"/>
      <c r="DW56" s="4"/>
      <c r="DX56" s="4"/>
      <c r="DY56" s="4"/>
      <c r="DZ56" s="4"/>
      <c r="EA56" s="4"/>
      <c r="EB56" s="4"/>
      <c r="EC56" s="4"/>
      <c r="ED56" s="4"/>
      <c r="EE56" s="4"/>
      <c r="EF56" s="4"/>
      <c r="EG56" s="4"/>
      <c r="EH56" s="4"/>
      <c r="EI56" s="4"/>
      <c r="EJ56" s="4"/>
      <c r="EK56" s="4"/>
      <c r="EL56" s="4"/>
      <c r="EM56" s="4"/>
      <c r="EN56" s="4"/>
      <c r="EO56" s="4"/>
      <c r="EP56" s="4"/>
      <c r="EQ56" s="4"/>
      <c r="ER56" s="4"/>
      <c r="ES56" s="4"/>
      <c r="ET56" s="4"/>
      <c r="EU56" s="4"/>
      <c r="EV56" s="4"/>
      <c r="EW56" s="4"/>
      <c r="EX56" s="4"/>
      <c r="EY56" s="4"/>
      <c r="EZ56" s="4"/>
      <c r="FA56" s="4"/>
      <c r="FB56" s="4"/>
      <c r="FC56" s="4"/>
      <c r="FD56" s="4"/>
      <c r="FE56" s="4"/>
      <c r="FF56" s="4"/>
      <c r="FG56" s="4"/>
      <c r="FH56" s="4"/>
      <c r="FI56" s="4"/>
      <c r="FJ56" s="4"/>
      <c r="FK56" s="4"/>
      <c r="FL56" s="4"/>
      <c r="FM56" s="4"/>
      <c r="FN56" s="4"/>
      <c r="FO56" s="4"/>
      <c r="FP56" s="4"/>
      <c r="FQ56" s="4"/>
      <c r="FR56" s="4"/>
      <c r="FS56" s="4"/>
      <c r="FT56" s="4"/>
      <c r="FU56" s="4"/>
      <c r="FV56" s="4"/>
      <c r="FW56" s="4"/>
      <c r="FX56" s="4"/>
      <c r="FY56" s="4"/>
      <c r="FZ56" s="4"/>
      <c r="GA56" s="4"/>
      <c r="GB56" s="4"/>
      <c r="GC56" s="4"/>
      <c r="GD56" s="4"/>
      <c r="GE56" s="4"/>
      <c r="GF56" s="4"/>
      <c r="GG56" s="4"/>
    </row>
    <row r="57" spans="1:189" outlineLevel="1">
      <c r="A57" s="116"/>
      <c r="B57" s="116"/>
      <c r="C57" s="116">
        <v>2</v>
      </c>
      <c r="D57" s="3" t="s">
        <v>1110</v>
      </c>
      <c r="E57" s="180"/>
      <c r="F57" s="180" t="s">
        <v>1071</v>
      </c>
      <c r="G57" s="180"/>
      <c r="H57" s="180"/>
      <c r="I57" s="180"/>
      <c r="J57" s="180"/>
      <c r="K57" s="180"/>
      <c r="L57" s="180"/>
      <c r="M57" s="181"/>
      <c r="N57" s="181"/>
      <c r="O57" s="182"/>
      <c r="P57" s="183">
        <v>0</v>
      </c>
      <c r="Q57" s="183">
        <v>0</v>
      </c>
      <c r="R57" s="184">
        <v>0</v>
      </c>
      <c r="S57" s="184">
        <v>0</v>
      </c>
      <c r="T57" s="181"/>
      <c r="U57" s="181"/>
      <c r="V57" s="185">
        <v>0</v>
      </c>
      <c r="W57" s="186">
        <v>0</v>
      </c>
      <c r="X57" s="187"/>
      <c r="Y57" s="182"/>
      <c r="Z57" s="188"/>
      <c r="AA57" s="97">
        <v>0</v>
      </c>
      <c r="AB57" s="189">
        <v>0</v>
      </c>
      <c r="AC57" s="210"/>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c r="DC57" s="4"/>
      <c r="DD57" s="4"/>
      <c r="DE57" s="4"/>
      <c r="DF57" s="4"/>
      <c r="DG57" s="4"/>
      <c r="DH57" s="4"/>
      <c r="DI57" s="4"/>
      <c r="DJ57" s="4"/>
      <c r="DK57" s="4"/>
      <c r="DL57" s="4"/>
      <c r="DM57" s="4"/>
      <c r="DN57" s="4"/>
      <c r="DO57" s="4"/>
      <c r="DP57" s="4"/>
      <c r="DQ57" s="4"/>
      <c r="DR57" s="4"/>
      <c r="DS57" s="4"/>
      <c r="DT57" s="4"/>
      <c r="DU57" s="4"/>
      <c r="DV57" s="4"/>
      <c r="DW57" s="4"/>
      <c r="DX57" s="4"/>
      <c r="DY57" s="4"/>
      <c r="DZ57" s="4"/>
      <c r="EA57" s="4"/>
      <c r="EB57" s="4"/>
      <c r="EC57" s="4"/>
      <c r="ED57" s="4"/>
      <c r="EE57" s="4"/>
      <c r="EF57" s="4"/>
      <c r="EG57" s="4"/>
      <c r="EH57" s="4"/>
      <c r="EI57" s="4"/>
      <c r="EJ57" s="4"/>
      <c r="EK57" s="4"/>
      <c r="EL57" s="4"/>
      <c r="EM57" s="4"/>
      <c r="EN57" s="4"/>
      <c r="EO57" s="4"/>
      <c r="EP57" s="4"/>
      <c r="EQ57" s="4"/>
      <c r="ER57" s="4"/>
      <c r="ES57" s="4"/>
      <c r="ET57" s="4"/>
      <c r="EU57" s="4"/>
      <c r="EV57" s="4"/>
      <c r="EW57" s="4"/>
      <c r="EX57" s="4"/>
      <c r="EY57" s="4"/>
      <c r="EZ57" s="4"/>
      <c r="FA57" s="4"/>
      <c r="FB57" s="4"/>
      <c r="FC57" s="4"/>
      <c r="FD57" s="4"/>
      <c r="FE57" s="4"/>
      <c r="FF57" s="4"/>
      <c r="FG57" s="4"/>
      <c r="FH57" s="4"/>
      <c r="FI57" s="4"/>
      <c r="FJ57" s="4"/>
      <c r="FK57" s="4"/>
      <c r="FL57" s="4"/>
      <c r="FM57" s="4"/>
      <c r="FN57" s="4"/>
      <c r="FO57" s="4"/>
      <c r="FP57" s="4"/>
      <c r="FQ57" s="4"/>
      <c r="FR57" s="4"/>
      <c r="FS57" s="4"/>
      <c r="FT57" s="4"/>
      <c r="FU57" s="4"/>
      <c r="FV57" s="4"/>
      <c r="FW57" s="4"/>
      <c r="FX57" s="4"/>
      <c r="FY57" s="4"/>
      <c r="FZ57" s="4"/>
      <c r="GA57" s="4"/>
      <c r="GB57" s="4"/>
      <c r="GC57" s="4"/>
      <c r="GD57" s="4"/>
      <c r="GE57" s="4"/>
      <c r="GF57" s="4"/>
      <c r="GG57" s="4"/>
    </row>
    <row r="58" spans="1:189" outlineLevel="1">
      <c r="A58" s="116"/>
      <c r="B58" s="116"/>
      <c r="C58" s="116">
        <v>2</v>
      </c>
      <c r="D58" s="3" t="s">
        <v>1111</v>
      </c>
      <c r="E58" s="180"/>
      <c r="F58" s="180" t="s">
        <v>1072</v>
      </c>
      <c r="G58" s="180"/>
      <c r="H58" s="180"/>
      <c r="I58" s="180"/>
      <c r="J58" s="180"/>
      <c r="K58" s="180"/>
      <c r="L58" s="180"/>
      <c r="M58" s="181">
        <v>45078</v>
      </c>
      <c r="N58" s="181">
        <v>45093</v>
      </c>
      <c r="O58" s="182"/>
      <c r="P58" s="183">
        <v>12</v>
      </c>
      <c r="Q58" s="183">
        <v>12</v>
      </c>
      <c r="R58" s="184">
        <v>12</v>
      </c>
      <c r="S58" s="184">
        <v>12</v>
      </c>
      <c r="T58" s="181"/>
      <c r="U58" s="181"/>
      <c r="V58" s="185"/>
      <c r="W58" s="186">
        <v>0</v>
      </c>
      <c r="X58" s="187">
        <v>1</v>
      </c>
      <c r="Y58" s="182" t="s">
        <v>1177</v>
      </c>
      <c r="Z58" s="188"/>
      <c r="AA58" s="97">
        <v>1</v>
      </c>
      <c r="AB58" s="189">
        <v>0.9</v>
      </c>
      <c r="AC58" s="210"/>
      <c r="AD58" s="4"/>
      <c r="AE58" s="4" t="str">
        <f>"   " &amp; TEXT(AB58,"#0.00%") &amp; " " &amp; "Android" &amp; "(Santosh)" &amp; " " &amp; IF(M58="","",TEXT(M58,"M/D-")) &amp; IF(N58="","",TEXT(N58,"M/D")) &amp; " "</f>
        <v xml:space="preserve">   90.00% Android(Santosh) 6/1-6/16 </v>
      </c>
      <c r="AF58" s="4"/>
      <c r="AG58" s="4"/>
      <c r="AH58" s="4"/>
      <c r="AI58" s="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c r="DC58" s="4"/>
      <c r="DD58" s="4"/>
      <c r="DE58" s="4"/>
      <c r="DF58" s="4"/>
      <c r="DG58" s="4"/>
      <c r="DH58" s="4"/>
      <c r="DI58" s="4"/>
      <c r="DJ58" s="4"/>
      <c r="DK58" s="4"/>
      <c r="DL58" s="4"/>
      <c r="DM58" s="4"/>
      <c r="DN58" s="4"/>
      <c r="DO58" s="4"/>
      <c r="DP58" s="4"/>
      <c r="DQ58" s="4"/>
      <c r="DR58" s="4"/>
      <c r="DS58" s="4"/>
      <c r="DT58" s="4"/>
      <c r="DU58" s="4"/>
      <c r="DV58" s="4"/>
      <c r="DW58" s="4"/>
      <c r="DX58" s="4"/>
      <c r="DY58" s="4"/>
      <c r="DZ58" s="4"/>
      <c r="EA58" s="4"/>
      <c r="EB58" s="4"/>
      <c r="EC58" s="4"/>
      <c r="ED58" s="4"/>
      <c r="EE58" s="4"/>
      <c r="EF58" s="4"/>
      <c r="EG58" s="4"/>
      <c r="EH58" s="4"/>
      <c r="EI58" s="4"/>
      <c r="EJ58" s="4"/>
      <c r="EK58" s="4"/>
      <c r="EL58" s="4"/>
      <c r="EM58" s="4"/>
      <c r="EN58" s="4"/>
      <c r="EO58" s="4"/>
      <c r="EP58" s="4"/>
      <c r="EQ58" s="4"/>
      <c r="ER58" s="4"/>
      <c r="ES58" s="4"/>
      <c r="ET58" s="4"/>
      <c r="EU58" s="4"/>
      <c r="EV58" s="4"/>
      <c r="EW58" s="4"/>
      <c r="EX58" s="4"/>
      <c r="EY58" s="4"/>
      <c r="EZ58" s="4"/>
      <c r="FA58" s="4"/>
      <c r="FB58" s="4"/>
      <c r="FC58" s="4"/>
      <c r="FD58" s="4"/>
      <c r="FE58" s="4"/>
      <c r="FF58" s="4"/>
      <c r="FG58" s="4"/>
      <c r="FH58" s="4"/>
      <c r="FI58" s="4"/>
      <c r="FJ58" s="4"/>
      <c r="FK58" s="4"/>
      <c r="FL58" s="4"/>
      <c r="FM58" s="4"/>
      <c r="FN58" s="4"/>
      <c r="FO58" s="4"/>
      <c r="FP58" s="4"/>
      <c r="FQ58" s="4"/>
      <c r="FR58" s="4"/>
      <c r="FS58" s="4"/>
      <c r="FT58" s="4"/>
      <c r="FU58" s="4"/>
      <c r="FV58" s="4"/>
      <c r="FW58" s="4"/>
      <c r="FX58" s="4"/>
      <c r="FY58" s="4"/>
      <c r="FZ58" s="4"/>
      <c r="GA58" s="4"/>
      <c r="GB58" s="4"/>
      <c r="GC58" s="4"/>
      <c r="GD58" s="4"/>
      <c r="GE58" s="4"/>
      <c r="GF58" s="4"/>
      <c r="GG58" s="4"/>
    </row>
    <row r="59" spans="1:189" ht="13.2" outlineLevel="1">
      <c r="A59" s="116"/>
      <c r="B59" s="116"/>
      <c r="C59" s="116">
        <v>2</v>
      </c>
      <c r="D59" s="3" t="s">
        <v>1112</v>
      </c>
      <c r="E59" s="207"/>
      <c r="F59" s="180" t="s">
        <v>1073</v>
      </c>
      <c r="G59" s="180"/>
      <c r="H59" s="180"/>
      <c r="I59" s="180"/>
      <c r="J59" s="180"/>
      <c r="K59" s="180"/>
      <c r="L59" s="180"/>
      <c r="M59" s="181">
        <v>45078</v>
      </c>
      <c r="N59" s="181">
        <v>45093</v>
      </c>
      <c r="O59" s="182"/>
      <c r="P59" s="183">
        <v>12</v>
      </c>
      <c r="Q59" s="183">
        <v>12</v>
      </c>
      <c r="R59" s="184">
        <v>12</v>
      </c>
      <c r="S59" s="184">
        <v>12</v>
      </c>
      <c r="T59" s="181"/>
      <c r="U59" s="181"/>
      <c r="V59" s="185"/>
      <c r="W59" s="186">
        <v>0</v>
      </c>
      <c r="X59" s="187">
        <v>1</v>
      </c>
      <c r="Y59" s="182" t="s">
        <v>1178</v>
      </c>
      <c r="Z59" s="188"/>
      <c r="AA59" s="97">
        <v>1</v>
      </c>
      <c r="AB59" s="189">
        <v>0.9</v>
      </c>
      <c r="AC59" s="210"/>
      <c r="AD59" s="4"/>
      <c r="AE59" s="4" t="str">
        <f>"   " &amp; TEXT(AB59,"#0.00%") &amp; " " &amp; "iOS" &amp; "(Dibya)" &amp; " " &amp; IF(M59="","",TEXT(M59,"M/D-")) &amp; IF(N59="","",TEXT(N59,"M/D")) &amp; " "</f>
        <v xml:space="preserve">   90.00% iOS(Dibya) 6/1-6/16 </v>
      </c>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c r="DC59" s="4"/>
      <c r="DD59" s="4"/>
      <c r="DE59" s="4"/>
      <c r="DF59" s="4"/>
      <c r="DG59" s="4"/>
      <c r="DH59" s="4"/>
      <c r="DI59" s="4"/>
      <c r="DJ59" s="4"/>
      <c r="DK59" s="4"/>
      <c r="DL59" s="4"/>
      <c r="DM59" s="4"/>
      <c r="DN59" s="4"/>
      <c r="DO59" s="4"/>
      <c r="DP59" s="4"/>
      <c r="DQ59" s="4"/>
      <c r="DR59" s="4"/>
      <c r="DS59" s="4"/>
      <c r="DT59" s="4"/>
      <c r="DU59" s="4"/>
      <c r="DV59" s="4"/>
      <c r="DW59" s="4"/>
      <c r="DX59" s="4"/>
      <c r="DY59" s="4"/>
      <c r="DZ59" s="4"/>
      <c r="EA59" s="4"/>
      <c r="EB59" s="4"/>
      <c r="EC59" s="4"/>
      <c r="ED59" s="4"/>
      <c r="EE59" s="4"/>
      <c r="EF59" s="4"/>
      <c r="EG59" s="4"/>
      <c r="EH59" s="4"/>
      <c r="EI59" s="4"/>
      <c r="EJ59" s="4"/>
      <c r="EK59" s="4"/>
      <c r="EL59" s="4"/>
      <c r="EM59" s="4"/>
      <c r="EN59" s="4"/>
      <c r="EO59" s="4"/>
      <c r="EP59" s="4"/>
      <c r="EQ59" s="4"/>
      <c r="ER59" s="4"/>
      <c r="ES59" s="4"/>
      <c r="ET59" s="4"/>
      <c r="EU59" s="4"/>
      <c r="EV59" s="4"/>
      <c r="EW59" s="4"/>
      <c r="EX59" s="4"/>
      <c r="EY59" s="4"/>
      <c r="EZ59" s="4"/>
      <c r="FA59" s="4"/>
      <c r="FB59" s="4"/>
      <c r="FC59" s="4"/>
      <c r="FD59" s="4"/>
      <c r="FE59" s="4"/>
      <c r="FF59" s="4"/>
      <c r="FG59" s="4"/>
      <c r="FH59" s="4"/>
      <c r="FI59" s="4"/>
      <c r="FJ59" s="4"/>
      <c r="FK59" s="4"/>
      <c r="FL59" s="4"/>
      <c r="FM59" s="4"/>
      <c r="FN59" s="4"/>
      <c r="FO59" s="4"/>
      <c r="FP59" s="4"/>
      <c r="FQ59" s="4"/>
      <c r="FR59" s="4"/>
      <c r="FS59" s="4"/>
      <c r="FT59" s="4"/>
      <c r="FU59" s="4"/>
      <c r="FV59" s="4"/>
      <c r="FW59" s="4"/>
      <c r="FX59" s="4"/>
      <c r="FY59" s="4"/>
      <c r="FZ59" s="4"/>
      <c r="GA59" s="4"/>
      <c r="GB59" s="4"/>
      <c r="GC59" s="4"/>
      <c r="GD59" s="4"/>
      <c r="GE59" s="4"/>
      <c r="GF59" s="4"/>
      <c r="GG59" s="4"/>
    </row>
    <row r="60" spans="1:189" outlineLevel="1">
      <c r="A60" s="116"/>
      <c r="B60" s="116"/>
      <c r="C60" s="116">
        <v>2</v>
      </c>
      <c r="D60" s="3" t="s">
        <v>1113</v>
      </c>
      <c r="E60" s="180"/>
      <c r="F60" s="180" t="s">
        <v>1074</v>
      </c>
      <c r="G60" s="180"/>
      <c r="H60" s="180"/>
      <c r="I60" s="180"/>
      <c r="J60" s="180"/>
      <c r="K60" s="180"/>
      <c r="L60" s="180"/>
      <c r="M60" s="181">
        <v>45078</v>
      </c>
      <c r="N60" s="181">
        <v>45093</v>
      </c>
      <c r="O60" s="182"/>
      <c r="P60" s="183">
        <v>12</v>
      </c>
      <c r="Q60" s="183">
        <v>12</v>
      </c>
      <c r="R60" s="184">
        <v>12</v>
      </c>
      <c r="S60" s="184">
        <v>12</v>
      </c>
      <c r="T60" s="181"/>
      <c r="U60" s="181"/>
      <c r="V60" s="185"/>
      <c r="W60" s="186">
        <v>0</v>
      </c>
      <c r="X60" s="187">
        <v>1</v>
      </c>
      <c r="Y60" s="182" t="s">
        <v>1176</v>
      </c>
      <c r="Z60" s="188"/>
      <c r="AA60" s="97">
        <v>1</v>
      </c>
      <c r="AB60" s="189">
        <v>0.9</v>
      </c>
      <c r="AC60" s="210"/>
      <c r="AD60" s="4"/>
      <c r="AE60" s="4" t="str">
        <f>"   " &amp; TEXT(AB60,"#0.00%") &amp; " " &amp; "Server" &amp; "(Subash)" &amp; " " &amp; IF(M60="","",TEXT(M60,"M/D-")) &amp; IF(N60="","",TEXT(N60,"M/D")) &amp; " "</f>
        <v xml:space="preserve">   90.00% Server(Subash) 6/1-6/16 </v>
      </c>
      <c r="AF60" s="4"/>
      <c r="AG60" s="4"/>
      <c r="AH60" s="4"/>
      <c r="AI60" s="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c r="DC60" s="4"/>
      <c r="DD60" s="4"/>
      <c r="DE60" s="4"/>
      <c r="DF60" s="4"/>
      <c r="DG60" s="4"/>
      <c r="DH60" s="4"/>
      <c r="DI60" s="4"/>
      <c r="DJ60" s="4"/>
      <c r="DK60" s="4"/>
      <c r="DL60" s="4"/>
      <c r="DM60" s="4"/>
      <c r="DN60" s="4"/>
      <c r="DO60" s="4"/>
      <c r="DP60" s="4"/>
      <c r="DQ60" s="4"/>
      <c r="DR60" s="4"/>
      <c r="DS60" s="4"/>
      <c r="DT60" s="4"/>
      <c r="DU60" s="4"/>
      <c r="DV60" s="4"/>
      <c r="DW60" s="4"/>
      <c r="DX60" s="4"/>
      <c r="DY60" s="4"/>
      <c r="DZ60" s="4"/>
      <c r="EA60" s="4"/>
      <c r="EB60" s="4"/>
      <c r="EC60" s="4"/>
      <c r="ED60" s="4"/>
      <c r="EE60" s="4"/>
      <c r="EF60" s="4"/>
      <c r="EG60" s="4"/>
      <c r="EH60" s="4"/>
      <c r="EI60" s="4"/>
      <c r="EJ60" s="4"/>
      <c r="EK60" s="4"/>
      <c r="EL60" s="4"/>
      <c r="EM60" s="4"/>
      <c r="EN60" s="4"/>
      <c r="EO60" s="4"/>
      <c r="EP60" s="4"/>
      <c r="EQ60" s="4"/>
      <c r="ER60" s="4"/>
      <c r="ES60" s="4"/>
      <c r="ET60" s="4"/>
      <c r="EU60" s="4"/>
      <c r="EV60" s="4"/>
      <c r="EW60" s="4"/>
      <c r="EX60" s="4"/>
      <c r="EY60" s="4"/>
      <c r="EZ60" s="4"/>
      <c r="FA60" s="4"/>
      <c r="FB60" s="4"/>
      <c r="FC60" s="4"/>
      <c r="FD60" s="4"/>
      <c r="FE60" s="4"/>
      <c r="FF60" s="4"/>
      <c r="FG60" s="4"/>
      <c r="FH60" s="4"/>
      <c r="FI60" s="4"/>
      <c r="FJ60" s="4"/>
      <c r="FK60" s="4"/>
      <c r="FL60" s="4"/>
      <c r="FM60" s="4"/>
      <c r="FN60" s="4"/>
      <c r="FO60" s="4"/>
      <c r="FP60" s="4"/>
      <c r="FQ60" s="4"/>
      <c r="FR60" s="4"/>
      <c r="FS60" s="4"/>
      <c r="FT60" s="4"/>
      <c r="FU60" s="4"/>
      <c r="FV60" s="4"/>
      <c r="FW60" s="4"/>
      <c r="FX60" s="4"/>
      <c r="FY60" s="4"/>
      <c r="FZ60" s="4"/>
      <c r="GA60" s="4"/>
      <c r="GB60" s="4"/>
      <c r="GC60" s="4"/>
      <c r="GD60" s="4"/>
      <c r="GE60" s="4"/>
      <c r="GF60" s="4"/>
      <c r="GG60" s="4"/>
    </row>
    <row r="61" spans="1:189" outlineLevel="1">
      <c r="A61" s="116"/>
      <c r="B61" s="116"/>
      <c r="C61" s="116">
        <v>2</v>
      </c>
      <c r="D61" s="3" t="s">
        <v>1114</v>
      </c>
      <c r="E61" s="180"/>
      <c r="F61" s="180" t="s">
        <v>1040</v>
      </c>
      <c r="G61" s="180"/>
      <c r="H61" s="180"/>
      <c r="I61" s="180"/>
      <c r="J61" s="180"/>
      <c r="K61" s="180"/>
      <c r="L61" s="180"/>
      <c r="M61" s="181">
        <v>45096</v>
      </c>
      <c r="N61" s="181">
        <v>45100</v>
      </c>
      <c r="O61" s="182"/>
      <c r="P61" s="183">
        <v>5</v>
      </c>
      <c r="Q61" s="183">
        <v>1</v>
      </c>
      <c r="R61" s="184">
        <v>5</v>
      </c>
      <c r="S61" s="184">
        <v>1</v>
      </c>
      <c r="T61" s="181"/>
      <c r="U61" s="181"/>
      <c r="V61" s="185"/>
      <c r="W61" s="186">
        <v>0</v>
      </c>
      <c r="X61" s="187">
        <v>1</v>
      </c>
      <c r="Y61" s="182" t="s">
        <v>1118</v>
      </c>
      <c r="Z61" s="188"/>
      <c r="AA61" s="97">
        <v>0.2</v>
      </c>
      <c r="AB61" s="189">
        <v>0</v>
      </c>
      <c r="AC61" s="210"/>
      <c r="AD61" s="4"/>
      <c r="AE61" s="4"/>
      <c r="AF61" s="4" t="str">
        <f>"" &amp; TEXT(AB61,"#0.00%") &amp; " " &amp; "Test in TB" &amp; "(Pheaktra, Jasurbek )" &amp; " " &amp; IF(M61="","",TEXT(M61,"M/D-")) &amp; IF(N61="","",TEXT(N61,"M/D")) &amp; " "</f>
        <v xml:space="preserve">0.00% Test in TB(Pheaktra, Jasurbek ) 6/19-6/23 </v>
      </c>
      <c r="AG61" s="4"/>
      <c r="AH61" s="4"/>
      <c r="AI61" s="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c r="DC61" s="4"/>
      <c r="DD61" s="4"/>
      <c r="DE61" s="4"/>
      <c r="DF61" s="4"/>
      <c r="DG61" s="4"/>
      <c r="DH61" s="4"/>
      <c r="DI61" s="4"/>
      <c r="DJ61" s="4"/>
      <c r="DK61" s="4"/>
      <c r="DL61" s="4"/>
      <c r="DM61" s="4"/>
      <c r="DN61" s="4"/>
      <c r="DO61" s="4"/>
      <c r="DP61" s="4"/>
      <c r="DQ61" s="4"/>
      <c r="DR61" s="4"/>
      <c r="DS61" s="4"/>
      <c r="DT61" s="4"/>
      <c r="DU61" s="4"/>
      <c r="DV61" s="4"/>
      <c r="DW61" s="4"/>
      <c r="DX61" s="4"/>
      <c r="DY61" s="4"/>
      <c r="DZ61" s="4"/>
      <c r="EA61" s="4"/>
      <c r="EB61" s="4"/>
      <c r="EC61" s="4"/>
      <c r="ED61" s="4"/>
      <c r="EE61" s="4"/>
      <c r="EF61" s="4"/>
      <c r="EG61" s="4"/>
      <c r="EH61" s="4"/>
      <c r="EI61" s="4"/>
      <c r="EJ61" s="4"/>
      <c r="EK61" s="4"/>
      <c r="EL61" s="4"/>
      <c r="EM61" s="4"/>
      <c r="EN61" s="4"/>
      <c r="EO61" s="4"/>
      <c r="EP61" s="4"/>
      <c r="EQ61" s="4"/>
      <c r="ER61" s="4"/>
      <c r="ES61" s="4"/>
      <c r="ET61" s="4"/>
      <c r="EU61" s="4"/>
      <c r="EV61" s="4"/>
      <c r="EW61" s="4"/>
      <c r="EX61" s="4"/>
      <c r="EY61" s="4"/>
      <c r="EZ61" s="4"/>
      <c r="FA61" s="4"/>
      <c r="FB61" s="4"/>
      <c r="FC61" s="4"/>
      <c r="FD61" s="4"/>
      <c r="FE61" s="4"/>
      <c r="FF61" s="4"/>
      <c r="FG61" s="4"/>
      <c r="FH61" s="4"/>
      <c r="FI61" s="4"/>
      <c r="FJ61" s="4"/>
      <c r="FK61" s="4"/>
      <c r="FL61" s="4"/>
      <c r="FM61" s="4"/>
      <c r="FN61" s="4"/>
      <c r="FO61" s="4"/>
      <c r="FP61" s="4"/>
      <c r="FQ61" s="4"/>
      <c r="FR61" s="4"/>
      <c r="FS61" s="4"/>
      <c r="FT61" s="4"/>
      <c r="FU61" s="4"/>
      <c r="FV61" s="4"/>
      <c r="FW61" s="4"/>
      <c r="FX61" s="4"/>
      <c r="FY61" s="4"/>
      <c r="FZ61" s="4"/>
      <c r="GA61" s="4"/>
      <c r="GB61" s="4"/>
      <c r="GC61" s="4"/>
      <c r="GD61" s="4"/>
      <c r="GE61" s="4"/>
      <c r="GF61" s="4"/>
      <c r="GG61" s="4"/>
    </row>
    <row r="62" spans="1:189" ht="13.2" outlineLevel="1">
      <c r="A62" s="116"/>
      <c r="B62" s="116"/>
      <c r="C62" s="116">
        <v>2</v>
      </c>
      <c r="D62" s="3" t="s">
        <v>1216</v>
      </c>
      <c r="E62" s="207"/>
      <c r="F62" s="180" t="s">
        <v>1039</v>
      </c>
      <c r="G62" s="180"/>
      <c r="H62" s="180"/>
      <c r="I62" s="180"/>
      <c r="J62" s="180"/>
      <c r="K62" s="180"/>
      <c r="L62" s="180"/>
      <c r="M62" s="181">
        <v>45103</v>
      </c>
      <c r="N62" s="181">
        <v>45103</v>
      </c>
      <c r="O62" s="182"/>
      <c r="P62" s="183">
        <v>1</v>
      </c>
      <c r="Q62" s="183">
        <v>0</v>
      </c>
      <c r="R62" s="184">
        <v>1</v>
      </c>
      <c r="S62" s="184">
        <v>0</v>
      </c>
      <c r="T62" s="181"/>
      <c r="U62" s="181"/>
      <c r="V62" s="185"/>
      <c r="W62" s="186">
        <v>0</v>
      </c>
      <c r="X62" s="187">
        <v>1</v>
      </c>
      <c r="Y62" s="182"/>
      <c r="Z62" s="188"/>
      <c r="AA62" s="97">
        <v>0</v>
      </c>
      <c r="AB62" s="189">
        <v>0</v>
      </c>
      <c r="AC62" s="210"/>
      <c r="AD62" s="4"/>
      <c r="AE62" s="4"/>
      <c r="AF62" s="4"/>
      <c r="AG62" s="4" t="str">
        <f>"" &amp; TEXT(AB62,"#0.00%") &amp; " " &amp; "Test in Live" &amp; " " &amp; IF(M62="","",TEXT(M62,"M/D-")) &amp; IF(N62="","",TEXT(N62,"M/D")) &amp; " "</f>
        <v xml:space="preserve">0.00% Test in Live 6/26-6/26 </v>
      </c>
      <c r="AH62" s="4"/>
      <c r="AI62" s="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c r="DC62" s="4"/>
      <c r="DD62" s="4"/>
      <c r="DE62" s="4"/>
      <c r="DF62" s="4"/>
      <c r="DG62" s="4"/>
      <c r="DH62" s="4"/>
      <c r="DI62" s="4"/>
      <c r="DJ62" s="4"/>
      <c r="DK62" s="4"/>
      <c r="DL62" s="4"/>
      <c r="DM62" s="4"/>
      <c r="DN62" s="4"/>
      <c r="DO62" s="4"/>
      <c r="DP62" s="4"/>
      <c r="DQ62" s="4"/>
      <c r="DR62" s="4"/>
      <c r="DS62" s="4"/>
      <c r="DT62" s="4"/>
      <c r="DU62" s="4"/>
      <c r="DV62" s="4"/>
      <c r="DW62" s="4"/>
      <c r="DX62" s="4"/>
      <c r="DY62" s="4"/>
      <c r="DZ62" s="4"/>
      <c r="EA62" s="4"/>
      <c r="EB62" s="4"/>
      <c r="EC62" s="4"/>
      <c r="ED62" s="4"/>
      <c r="EE62" s="4"/>
      <c r="EF62" s="4"/>
      <c r="EG62" s="4"/>
      <c r="EH62" s="4"/>
      <c r="EI62" s="4"/>
      <c r="EJ62" s="4"/>
      <c r="EK62" s="4"/>
      <c r="EL62" s="4"/>
      <c r="EM62" s="4"/>
      <c r="EN62" s="4"/>
      <c r="EO62" s="4"/>
      <c r="EP62" s="4"/>
      <c r="EQ62" s="4"/>
      <c r="ER62" s="4"/>
      <c r="ES62" s="4"/>
      <c r="ET62" s="4"/>
      <c r="EU62" s="4"/>
      <c r="EV62" s="4"/>
      <c r="EW62" s="4"/>
      <c r="EX62" s="4"/>
      <c r="EY62" s="4"/>
      <c r="EZ62" s="4"/>
      <c r="FA62" s="4"/>
      <c r="FB62" s="4"/>
      <c r="FC62" s="4"/>
      <c r="FD62" s="4"/>
      <c r="FE62" s="4"/>
      <c r="FF62" s="4"/>
      <c r="FG62" s="4"/>
      <c r="FH62" s="4"/>
      <c r="FI62" s="4"/>
      <c r="FJ62" s="4"/>
      <c r="FK62" s="4"/>
      <c r="FL62" s="4"/>
      <c r="FM62" s="4"/>
      <c r="FN62" s="4"/>
      <c r="FO62" s="4"/>
      <c r="FP62" s="4"/>
      <c r="FQ62" s="4"/>
      <c r="FR62" s="4"/>
      <c r="FS62" s="4"/>
      <c r="FT62" s="4"/>
      <c r="FU62" s="4"/>
      <c r="FV62" s="4"/>
      <c r="FW62" s="4"/>
      <c r="FX62" s="4"/>
      <c r="FY62" s="4"/>
      <c r="FZ62" s="4"/>
      <c r="GA62" s="4"/>
      <c r="GB62" s="4"/>
      <c r="GC62" s="4"/>
      <c r="GD62" s="4"/>
      <c r="GE62" s="4"/>
      <c r="GF62" s="4"/>
      <c r="GG62" s="4"/>
    </row>
    <row r="63" spans="1:189" outlineLevel="1">
      <c r="A63" s="116"/>
      <c r="B63" s="116"/>
      <c r="C63" s="116">
        <v>2</v>
      </c>
      <c r="D63" s="3" t="s">
        <v>1217</v>
      </c>
      <c r="E63" s="180"/>
      <c r="F63" s="180" t="s">
        <v>1041</v>
      </c>
      <c r="G63" s="180"/>
      <c r="H63" s="180"/>
      <c r="I63" s="180"/>
      <c r="J63" s="180"/>
      <c r="K63" s="180"/>
      <c r="L63" s="180"/>
      <c r="M63" s="181">
        <v>45104</v>
      </c>
      <c r="N63" s="181">
        <v>45104</v>
      </c>
      <c r="O63" s="182"/>
      <c r="P63" s="183">
        <v>1</v>
      </c>
      <c r="Q63" s="183">
        <v>0</v>
      </c>
      <c r="R63" s="184">
        <v>1</v>
      </c>
      <c r="S63" s="184">
        <v>0</v>
      </c>
      <c r="T63" s="181"/>
      <c r="U63" s="181"/>
      <c r="V63" s="185"/>
      <c r="W63" s="186">
        <v>0</v>
      </c>
      <c r="X63" s="187">
        <v>1</v>
      </c>
      <c r="Y63" s="182"/>
      <c r="Z63" s="188"/>
      <c r="AA63" s="97">
        <v>0</v>
      </c>
      <c r="AB63" s="189">
        <v>0</v>
      </c>
      <c r="AC63" s="210"/>
      <c r="AD63" s="4"/>
      <c r="AE63" s="4"/>
      <c r="AF63" s="4"/>
      <c r="AG63" s="4" t="str">
        <f>" " &amp; TEXT(AB63,"#0.00%") &amp; " " &amp; "Service Launch" &amp; " " &amp; IF(M63="","",TEXT(M63,"M/D-")) &amp; IF(N63="","",TEXT(N63,"M/D")) &amp; " "</f>
        <v xml:space="preserve"> 0.00% Service Launch 6/27-6/27 </v>
      </c>
      <c r="AH63" s="4"/>
      <c r="AI63" s="4"/>
      <c r="AJ63" s="4"/>
      <c r="AK63" s="4"/>
      <c r="AL63" s="4"/>
      <c r="AM63" s="4"/>
      <c r="AN63" s="4"/>
      <c r="AO63" s="4"/>
      <c r="AP63" s="4"/>
      <c r="AQ63" s="4"/>
      <c r="AR63" s="4"/>
      <c r="AS63" s="4"/>
      <c r="AT63" s="4"/>
      <c r="AU63" s="4"/>
      <c r="AV63" s="4"/>
      <c r="AW63" s="4"/>
      <c r="AX63" s="4"/>
      <c r="AY63" s="4"/>
      <c r="AZ63" s="4"/>
      <c r="BA63" s="4"/>
      <c r="BB63" s="4"/>
      <c r="BC63" s="4"/>
      <c r="BD63" s="4"/>
      <c r="BE63" s="4"/>
      <c r="BF63" s="4"/>
      <c r="BG63" s="4"/>
      <c r="BH63" s="4"/>
      <c r="BI63" s="4"/>
      <c r="BJ63" s="4"/>
      <c r="BK63" s="4"/>
      <c r="BL63" s="4"/>
      <c r="BM63" s="4"/>
      <c r="BN63" s="4"/>
      <c r="BO63" s="4"/>
      <c r="BP63" s="4"/>
      <c r="BQ63" s="4"/>
      <c r="BR63" s="4"/>
      <c r="BS63" s="4"/>
      <c r="BT63" s="4"/>
      <c r="BU63" s="4"/>
      <c r="BV63" s="4"/>
      <c r="BW63" s="4"/>
      <c r="BX63" s="4"/>
      <c r="BY63" s="4"/>
      <c r="BZ63" s="4"/>
      <c r="CA63" s="4"/>
      <c r="CB63" s="4"/>
      <c r="CC63" s="4"/>
      <c r="CD63" s="4"/>
      <c r="CE63" s="4"/>
      <c r="CF63" s="4"/>
      <c r="CG63" s="4"/>
      <c r="CH63" s="4"/>
      <c r="CI63" s="4"/>
      <c r="CJ63" s="4"/>
      <c r="CK63" s="4"/>
      <c r="CL63" s="4"/>
      <c r="CM63" s="4"/>
      <c r="CN63" s="4"/>
      <c r="CO63" s="4"/>
      <c r="CP63" s="4"/>
      <c r="CQ63" s="4"/>
      <c r="CR63" s="4"/>
      <c r="CS63" s="4"/>
      <c r="CT63" s="4"/>
      <c r="CU63" s="4"/>
      <c r="CV63" s="4"/>
      <c r="CW63" s="4"/>
      <c r="CX63" s="4"/>
      <c r="CY63" s="4"/>
      <c r="CZ63" s="4"/>
      <c r="DA63" s="4"/>
      <c r="DB63" s="4"/>
      <c r="DC63" s="4"/>
      <c r="DD63" s="4"/>
      <c r="DE63" s="4"/>
      <c r="DF63" s="4"/>
      <c r="DG63" s="4"/>
      <c r="DH63" s="4"/>
      <c r="DI63" s="4"/>
      <c r="DJ63" s="4"/>
      <c r="DK63" s="4"/>
      <c r="DL63" s="4"/>
      <c r="DM63" s="4"/>
      <c r="DN63" s="4"/>
      <c r="DO63" s="4"/>
      <c r="DP63" s="4"/>
      <c r="DQ63" s="4"/>
      <c r="DR63" s="4"/>
      <c r="DS63" s="4"/>
      <c r="DT63" s="4"/>
      <c r="DU63" s="4"/>
      <c r="DV63" s="4"/>
      <c r="DW63" s="4"/>
      <c r="DX63" s="4"/>
      <c r="DY63" s="4"/>
      <c r="DZ63" s="4"/>
      <c r="EA63" s="4"/>
      <c r="EB63" s="4"/>
      <c r="EC63" s="4"/>
      <c r="ED63" s="4"/>
      <c r="EE63" s="4"/>
      <c r="EF63" s="4"/>
      <c r="EG63" s="4"/>
      <c r="EH63" s="4"/>
      <c r="EI63" s="4"/>
      <c r="EJ63" s="4"/>
      <c r="EK63" s="4"/>
      <c r="EL63" s="4"/>
      <c r="EM63" s="4"/>
      <c r="EN63" s="4"/>
      <c r="EO63" s="4"/>
      <c r="EP63" s="4"/>
      <c r="EQ63" s="4"/>
      <c r="ER63" s="4"/>
      <c r="ES63" s="4"/>
      <c r="ET63" s="4"/>
      <c r="EU63" s="4"/>
      <c r="EV63" s="4"/>
      <c r="EW63" s="4"/>
      <c r="EX63" s="4"/>
      <c r="EY63" s="4"/>
      <c r="EZ63" s="4"/>
      <c r="FA63" s="4"/>
      <c r="FB63" s="4"/>
      <c r="FC63" s="4"/>
      <c r="FD63" s="4"/>
      <c r="FE63" s="4"/>
      <c r="FF63" s="4"/>
      <c r="FG63" s="4"/>
      <c r="FH63" s="4"/>
      <c r="FI63" s="4"/>
      <c r="FJ63" s="4"/>
      <c r="FK63" s="4"/>
      <c r="FL63" s="4"/>
      <c r="FM63" s="4"/>
      <c r="FN63" s="4"/>
      <c r="FO63" s="4"/>
      <c r="FP63" s="4"/>
      <c r="FQ63" s="4"/>
      <c r="FR63" s="4"/>
      <c r="FS63" s="4"/>
      <c r="FT63" s="4"/>
      <c r="FU63" s="4"/>
      <c r="FV63" s="4"/>
      <c r="FW63" s="4"/>
      <c r="FX63" s="4"/>
      <c r="FY63" s="4"/>
      <c r="FZ63" s="4"/>
      <c r="GA63" s="4"/>
      <c r="GB63" s="4"/>
      <c r="GC63" s="4"/>
      <c r="GD63" s="4"/>
      <c r="GE63" s="4"/>
      <c r="GF63" s="4"/>
      <c r="GG63" s="4"/>
    </row>
    <row r="64" spans="1:189" outlineLevel="1">
      <c r="A64" s="116"/>
      <c r="B64" s="116"/>
      <c r="C64" s="116">
        <v>0</v>
      </c>
      <c r="D64" s="3"/>
      <c r="E64" s="180"/>
      <c r="F64" s="180"/>
      <c r="G64" s="180"/>
      <c r="H64" s="180"/>
      <c r="I64" s="180"/>
      <c r="J64" s="180"/>
      <c r="K64" s="180"/>
      <c r="L64" s="180"/>
      <c r="M64" s="181"/>
      <c r="N64" s="181"/>
      <c r="O64" s="182"/>
      <c r="P64" s="183"/>
      <c r="Q64" s="183"/>
      <c r="R64" s="184">
        <v>0</v>
      </c>
      <c r="S64" s="184">
        <v>0</v>
      </c>
      <c r="T64" s="181"/>
      <c r="U64" s="181"/>
      <c r="V64" s="185"/>
      <c r="W64" s="186">
        <v>0</v>
      </c>
      <c r="X64" s="187"/>
      <c r="Y64" s="182"/>
      <c r="Z64" s="188"/>
      <c r="AA64" s="97"/>
      <c r="AB64" s="189"/>
      <c r="AC64" s="210"/>
      <c r="AD64" s="4"/>
      <c r="AE64" s="4"/>
      <c r="AF64" s="4"/>
      <c r="AG64" s="4"/>
      <c r="AH64" s="4"/>
      <c r="AI64" s="4"/>
      <c r="AJ64" s="4"/>
      <c r="AK64" s="4"/>
      <c r="AL64" s="4"/>
      <c r="AM64" s="4"/>
      <c r="AN64" s="4"/>
      <c r="AO64" s="4"/>
      <c r="AP64" s="4"/>
      <c r="AQ64" s="4"/>
      <c r="AR64" s="4"/>
      <c r="AS64" s="4"/>
      <c r="AT64" s="4"/>
      <c r="AU64" s="4"/>
      <c r="AV64" s="4"/>
      <c r="AW64" s="4"/>
      <c r="AX64" s="4"/>
      <c r="AY64" s="4"/>
      <c r="AZ64" s="4"/>
      <c r="BA64" s="4"/>
      <c r="BB64" s="4"/>
      <c r="BC64" s="4"/>
      <c r="BD64" s="4"/>
      <c r="BE64" s="4"/>
      <c r="BF64" s="4"/>
      <c r="BG64" s="4"/>
      <c r="BH64" s="4"/>
      <c r="BI64" s="4"/>
      <c r="BJ64" s="4"/>
      <c r="BK64" s="4"/>
      <c r="BL64" s="4"/>
      <c r="BM64" s="4"/>
      <c r="BN64" s="4"/>
      <c r="BO64" s="4"/>
      <c r="BP64" s="4"/>
      <c r="BQ64" s="4"/>
      <c r="BR64" s="4"/>
      <c r="BS64" s="4"/>
      <c r="BT64" s="4"/>
      <c r="BU64" s="4"/>
      <c r="BV64" s="4"/>
      <c r="BW64" s="4"/>
      <c r="BX64" s="4"/>
      <c r="BY64" s="4"/>
      <c r="BZ64" s="4"/>
      <c r="CA64" s="4"/>
      <c r="CB64" s="4"/>
      <c r="CC64" s="4"/>
      <c r="CD64" s="4"/>
      <c r="CE64" s="4"/>
      <c r="CF64" s="4"/>
      <c r="CG64" s="4"/>
      <c r="CH64" s="4"/>
      <c r="CI64" s="4"/>
      <c r="CJ64" s="4"/>
      <c r="CK64" s="4"/>
      <c r="CL64" s="4"/>
      <c r="CM64" s="4"/>
      <c r="CN64" s="4"/>
      <c r="CO64" s="4"/>
      <c r="CP64" s="4"/>
      <c r="CQ64" s="4"/>
      <c r="CR64" s="4"/>
      <c r="CS64" s="4"/>
      <c r="CT64" s="4"/>
      <c r="CU64" s="4"/>
      <c r="CV64" s="4"/>
      <c r="CW64" s="4"/>
      <c r="CX64" s="4"/>
      <c r="CY64" s="4"/>
      <c r="CZ64" s="4"/>
      <c r="DA64" s="4"/>
      <c r="DB64" s="4"/>
      <c r="DC64" s="4"/>
      <c r="DD64" s="4"/>
      <c r="DE64" s="4"/>
      <c r="DF64" s="4"/>
      <c r="DG64" s="4"/>
      <c r="DH64" s="4"/>
      <c r="DI64" s="4"/>
      <c r="DJ64" s="4"/>
      <c r="DK64" s="4"/>
      <c r="DL64" s="4"/>
      <c r="DM64" s="4"/>
      <c r="DN64" s="4"/>
      <c r="DO64" s="4"/>
      <c r="DP64" s="4"/>
      <c r="DQ64" s="4"/>
      <c r="DR64" s="4"/>
      <c r="DS64" s="4"/>
      <c r="DT64" s="4"/>
      <c r="DU64" s="4"/>
      <c r="DV64" s="4"/>
      <c r="DW64" s="4"/>
      <c r="DX64" s="4"/>
      <c r="DY64" s="4"/>
      <c r="DZ64" s="4"/>
      <c r="EA64" s="4"/>
      <c r="EB64" s="4"/>
      <c r="EC64" s="4"/>
      <c r="ED64" s="4"/>
      <c r="EE64" s="4"/>
      <c r="EF64" s="4"/>
      <c r="EG64" s="4"/>
      <c r="EH64" s="4"/>
      <c r="EI64" s="4"/>
      <c r="EJ64" s="4"/>
      <c r="EK64" s="4"/>
      <c r="EL64" s="4"/>
      <c r="EM64" s="4"/>
      <c r="EN64" s="4"/>
      <c r="EO64" s="4"/>
      <c r="EP64" s="4"/>
      <c r="EQ64" s="4"/>
      <c r="ER64" s="4"/>
      <c r="ES64" s="4"/>
      <c r="ET64" s="4"/>
      <c r="EU64" s="4"/>
      <c r="EV64" s="4"/>
      <c r="EW64" s="4"/>
      <c r="EX64" s="4"/>
      <c r="EY64" s="4"/>
      <c r="EZ64" s="4"/>
      <c r="FA64" s="4"/>
      <c r="FB64" s="4"/>
      <c r="FC64" s="4"/>
      <c r="FD64" s="4"/>
      <c r="FE64" s="4"/>
      <c r="FF64" s="4"/>
      <c r="FG64" s="4"/>
      <c r="FH64" s="4"/>
      <c r="FI64" s="4"/>
      <c r="FJ64" s="4"/>
      <c r="FK64" s="4"/>
      <c r="FL64" s="4"/>
      <c r="FM64" s="4"/>
      <c r="FN64" s="4"/>
      <c r="FO64" s="4"/>
      <c r="FP64" s="4"/>
      <c r="FQ64" s="4"/>
      <c r="FR64" s="4"/>
      <c r="FS64" s="4"/>
      <c r="FT64" s="4"/>
      <c r="FU64" s="4"/>
      <c r="FV64" s="4"/>
      <c r="FW64" s="4"/>
      <c r="FX64" s="4"/>
      <c r="FY64" s="4"/>
      <c r="FZ64" s="4"/>
      <c r="GA64" s="4"/>
      <c r="GB64" s="4"/>
      <c r="GC64" s="4"/>
      <c r="GD64" s="4"/>
      <c r="GE64" s="4"/>
      <c r="GF64" s="4"/>
      <c r="GG64" s="4"/>
    </row>
    <row r="65" spans="1:189">
      <c r="A65" s="116"/>
      <c r="B65" s="116" t="s">
        <v>983</v>
      </c>
      <c r="C65" s="116">
        <v>1</v>
      </c>
      <c r="D65" s="3" t="s">
        <v>1115</v>
      </c>
      <c r="E65" s="180" t="s">
        <v>1075</v>
      </c>
      <c r="F65" s="180"/>
      <c r="G65" s="180"/>
      <c r="H65" s="180"/>
      <c r="I65" s="180"/>
      <c r="J65" s="180"/>
      <c r="K65" s="180"/>
      <c r="L65" s="180"/>
      <c r="M65" s="181">
        <v>45078</v>
      </c>
      <c r="N65" s="181">
        <v>45132</v>
      </c>
      <c r="O65" s="182"/>
      <c r="P65" s="183">
        <v>82</v>
      </c>
      <c r="Q65" s="183">
        <v>59</v>
      </c>
      <c r="R65" s="184">
        <v>39</v>
      </c>
      <c r="S65" s="184">
        <v>13</v>
      </c>
      <c r="T65" s="181"/>
      <c r="U65" s="181"/>
      <c r="V65" s="185">
        <v>0</v>
      </c>
      <c r="W65" s="186">
        <v>0</v>
      </c>
      <c r="X65" s="187"/>
      <c r="Y65" s="182"/>
      <c r="Z65" s="188"/>
      <c r="AA65" s="97">
        <v>0.71951219512195119</v>
      </c>
      <c r="AB65" s="189">
        <v>0.65487804878048772</v>
      </c>
      <c r="AC65" s="210"/>
      <c r="AD65" s="4"/>
      <c r="AE65" s="4"/>
      <c r="AF65" s="4"/>
      <c r="AG65" s="4"/>
      <c r="AH65" s="4" t="str">
        <f>"    " &amp; TEXT(AB65,"#0.00%") &amp; " " &amp; "[2301-08] New Type Inbound Service" &amp; " " &amp; IF(M65="","",TEXT(M65,"M/D-")) &amp; IF(N65="","",TEXT(N65,"M/D")) &amp; " "</f>
        <v xml:space="preserve">    65.49% [2301-08] New Type Inbound Service 6/1-7/25 </v>
      </c>
      <c r="AI65" s="4"/>
      <c r="AJ65" s="4"/>
      <c r="AK65" s="4"/>
      <c r="AL65" s="4"/>
      <c r="AM65" s="4"/>
      <c r="AN65" s="4"/>
      <c r="AO65" s="4"/>
      <c r="AP65" s="4"/>
      <c r="AQ65" s="4"/>
      <c r="AR65" s="4"/>
      <c r="AS65" s="4"/>
      <c r="AT65" s="4"/>
      <c r="AU65" s="4"/>
      <c r="AV65" s="4"/>
      <c r="AW65" s="4"/>
      <c r="AX65" s="4"/>
      <c r="AY65" s="4"/>
      <c r="AZ65" s="4"/>
      <c r="BA65" s="4"/>
      <c r="BB65" s="4"/>
      <c r="BC65" s="4"/>
      <c r="BD65" s="4"/>
      <c r="BE65" s="4"/>
      <c r="BF65" s="4"/>
      <c r="BG65" s="4"/>
      <c r="BH65" s="4"/>
      <c r="BI65" s="4"/>
      <c r="BJ65" s="4"/>
      <c r="BK65" s="4"/>
      <c r="BL65" s="4"/>
      <c r="BM65" s="4"/>
      <c r="BN65" s="4"/>
      <c r="BO65" s="4"/>
      <c r="BP65" s="4"/>
      <c r="BQ65" s="4"/>
      <c r="BR65" s="4"/>
      <c r="BS65" s="4"/>
      <c r="BT65" s="4"/>
      <c r="BU65" s="4"/>
      <c r="BV65" s="4"/>
      <c r="BW65" s="4"/>
      <c r="BX65" s="4"/>
      <c r="BY65" s="4"/>
      <c r="BZ65" s="4"/>
      <c r="CA65" s="4"/>
      <c r="CB65" s="4"/>
      <c r="CC65" s="4"/>
      <c r="CD65" s="4"/>
      <c r="CE65" s="4"/>
      <c r="CF65" s="4"/>
      <c r="CG65" s="4"/>
      <c r="CH65" s="4"/>
      <c r="CI65" s="4"/>
      <c r="CJ65" s="4"/>
      <c r="CK65" s="4"/>
      <c r="CL65" s="4"/>
      <c r="CM65" s="4"/>
      <c r="CN65" s="4"/>
      <c r="CO65" s="4"/>
      <c r="CP65" s="4"/>
      <c r="CQ65" s="4"/>
      <c r="CR65" s="4"/>
      <c r="CS65" s="4"/>
      <c r="CT65" s="4"/>
      <c r="CU65" s="4"/>
      <c r="CV65" s="4"/>
      <c r="CW65" s="4"/>
      <c r="CX65" s="4"/>
      <c r="CY65" s="4"/>
      <c r="CZ65" s="4"/>
      <c r="DA65" s="4"/>
      <c r="DB65" s="4"/>
      <c r="DC65" s="4"/>
      <c r="DD65" s="4"/>
      <c r="DE65" s="4"/>
      <c r="DF65" s="4"/>
      <c r="DG65" s="4"/>
      <c r="DH65" s="4"/>
      <c r="DI65" s="4"/>
      <c r="DJ65" s="4"/>
      <c r="DK65" s="4"/>
      <c r="DL65" s="4"/>
      <c r="DM65" s="4"/>
      <c r="DN65" s="4"/>
      <c r="DO65" s="4"/>
      <c r="DP65" s="4"/>
      <c r="DQ65" s="4"/>
      <c r="DR65" s="4"/>
      <c r="DS65" s="4"/>
      <c r="DT65" s="4"/>
      <c r="DU65" s="4"/>
      <c r="DV65" s="4"/>
      <c r="DW65" s="4"/>
      <c r="DX65" s="4"/>
      <c r="DY65" s="4"/>
      <c r="DZ65" s="4"/>
      <c r="EA65" s="4"/>
      <c r="EB65" s="4"/>
      <c r="EC65" s="4"/>
      <c r="ED65" s="4"/>
      <c r="EE65" s="4"/>
      <c r="EF65" s="4"/>
      <c r="EG65" s="4"/>
      <c r="EH65" s="4"/>
      <c r="EI65" s="4"/>
      <c r="EJ65" s="4"/>
      <c r="EK65" s="4"/>
      <c r="EL65" s="4"/>
      <c r="EM65" s="4"/>
      <c r="EN65" s="4"/>
      <c r="EO65" s="4"/>
      <c r="EP65" s="4"/>
      <c r="EQ65" s="4"/>
      <c r="ER65" s="4"/>
      <c r="ES65" s="4"/>
      <c r="ET65" s="4"/>
      <c r="EU65" s="4"/>
      <c r="EV65" s="4"/>
      <c r="EW65" s="4"/>
      <c r="EX65" s="4"/>
      <c r="EY65" s="4"/>
      <c r="EZ65" s="4"/>
      <c r="FA65" s="4"/>
      <c r="FB65" s="4"/>
      <c r="FC65" s="4"/>
      <c r="FD65" s="4"/>
      <c r="FE65" s="4"/>
      <c r="FF65" s="4"/>
      <c r="FG65" s="4"/>
      <c r="FH65" s="4"/>
      <c r="FI65" s="4"/>
      <c r="FJ65" s="4"/>
      <c r="FK65" s="4"/>
      <c r="FL65" s="4"/>
      <c r="FM65" s="4"/>
      <c r="FN65" s="4"/>
      <c r="FO65" s="4"/>
      <c r="FP65" s="4"/>
      <c r="FQ65" s="4"/>
      <c r="FR65" s="4"/>
      <c r="FS65" s="4"/>
      <c r="FT65" s="4"/>
      <c r="FU65" s="4"/>
      <c r="FV65" s="4"/>
      <c r="FW65" s="4"/>
      <c r="FX65" s="4"/>
      <c r="FY65" s="4"/>
      <c r="FZ65" s="4"/>
      <c r="GA65" s="4"/>
      <c r="GB65" s="4"/>
      <c r="GC65" s="4"/>
      <c r="GD65" s="4"/>
      <c r="GE65" s="4"/>
      <c r="GF65" s="4"/>
      <c r="GG65" s="4"/>
    </row>
    <row r="66" spans="1:189" outlineLevel="1">
      <c r="A66" s="116"/>
      <c r="B66" s="116"/>
      <c r="C66" s="116">
        <v>2</v>
      </c>
      <c r="D66" s="3" t="s">
        <v>1119</v>
      </c>
      <c r="E66" s="180"/>
      <c r="F66" s="180" t="s">
        <v>1072</v>
      </c>
      <c r="G66" s="180"/>
      <c r="H66" s="180"/>
      <c r="I66" s="180"/>
      <c r="J66" s="180"/>
      <c r="K66" s="180"/>
      <c r="L66" s="180"/>
      <c r="M66" s="181">
        <v>45078</v>
      </c>
      <c r="N66" s="181">
        <v>45100</v>
      </c>
      <c r="O66" s="182"/>
      <c r="P66" s="183">
        <v>17</v>
      </c>
      <c r="Q66" s="183">
        <v>13</v>
      </c>
      <c r="R66" s="184">
        <v>17</v>
      </c>
      <c r="S66" s="184">
        <v>13</v>
      </c>
      <c r="T66" s="181"/>
      <c r="U66" s="181"/>
      <c r="V66" s="185"/>
      <c r="W66" s="186">
        <v>0</v>
      </c>
      <c r="X66" s="187">
        <v>1</v>
      </c>
      <c r="Y66" s="182" t="s">
        <v>1185</v>
      </c>
      <c r="Z66" s="188"/>
      <c r="AA66" s="97">
        <v>0.76470588235294112</v>
      </c>
      <c r="AB66" s="189">
        <v>0.8</v>
      </c>
      <c r="AC66" s="210"/>
      <c r="AD66" s="4"/>
      <c r="AE66" s="4"/>
      <c r="AF66" s="4" t="str">
        <f>"" &amp; TEXT(AB66,"#0.00%") &amp; " " &amp; "Android" &amp; "(Anish)" &amp; " " &amp; IF(M66="","",TEXT(M66,"M/D-")) &amp; IF(N66="","",TEXT(N66,"M/D")) &amp; " "</f>
        <v xml:space="preserve">80.00% Android(Anish) 6/1-6/23 </v>
      </c>
      <c r="AG66" s="4"/>
      <c r="AH66" s="4"/>
      <c r="AI66" s="4"/>
      <c r="AJ66" s="4"/>
      <c r="AK66" s="4"/>
      <c r="AL66" s="4"/>
      <c r="AM66" s="4"/>
      <c r="AN66" s="4"/>
      <c r="AO66" s="4"/>
      <c r="AP66" s="4"/>
      <c r="AQ66" s="4"/>
      <c r="AR66" s="4"/>
      <c r="AS66" s="4"/>
      <c r="AT66" s="4"/>
      <c r="AU66" s="4"/>
      <c r="AV66" s="4"/>
      <c r="AW66" s="4"/>
      <c r="AX66" s="4"/>
      <c r="AY66" s="4"/>
      <c r="AZ66" s="4"/>
      <c r="BA66" s="4"/>
      <c r="BB66" s="4"/>
      <c r="BC66" s="4"/>
      <c r="BD66" s="4"/>
      <c r="BE66" s="4"/>
      <c r="BF66" s="4"/>
      <c r="BG66" s="4"/>
      <c r="BH66" s="4"/>
      <c r="BI66" s="4"/>
      <c r="BJ66" s="4"/>
      <c r="BK66" s="4"/>
      <c r="BL66" s="4"/>
      <c r="BM66" s="4"/>
      <c r="BN66" s="4"/>
      <c r="BO66" s="4"/>
      <c r="BP66" s="4"/>
      <c r="BQ66" s="4"/>
      <c r="BR66" s="4"/>
      <c r="BS66" s="4"/>
      <c r="BT66" s="4"/>
      <c r="BU66" s="4"/>
      <c r="BV66" s="4"/>
      <c r="BW66" s="4"/>
      <c r="BX66" s="4"/>
      <c r="BY66" s="4"/>
      <c r="BZ66" s="4"/>
      <c r="CA66" s="4"/>
      <c r="CB66" s="4"/>
      <c r="CC66" s="4"/>
      <c r="CD66" s="4"/>
      <c r="CE66" s="4"/>
      <c r="CF66" s="4"/>
      <c r="CG66" s="4"/>
      <c r="CH66" s="4"/>
      <c r="CI66" s="4"/>
      <c r="CJ66" s="4"/>
      <c r="CK66" s="4"/>
      <c r="CL66" s="4"/>
      <c r="CM66" s="4"/>
      <c r="CN66" s="4"/>
      <c r="CO66" s="4"/>
      <c r="CP66" s="4"/>
      <c r="CQ66" s="4"/>
      <c r="CR66" s="4"/>
      <c r="CS66" s="4"/>
      <c r="CT66" s="4"/>
      <c r="CU66" s="4"/>
      <c r="CV66" s="4"/>
      <c r="CW66" s="4"/>
      <c r="CX66" s="4"/>
      <c r="CY66" s="4"/>
      <c r="CZ66" s="4"/>
      <c r="DA66" s="4"/>
      <c r="DB66" s="4"/>
      <c r="DC66" s="4"/>
      <c r="DD66" s="4"/>
      <c r="DE66" s="4"/>
      <c r="DF66" s="4"/>
      <c r="DG66" s="4"/>
      <c r="DH66" s="4"/>
      <c r="DI66" s="4"/>
      <c r="DJ66" s="4"/>
      <c r="DK66" s="4"/>
      <c r="DL66" s="4"/>
      <c r="DM66" s="4"/>
      <c r="DN66" s="4"/>
      <c r="DO66" s="4"/>
      <c r="DP66" s="4"/>
      <c r="DQ66" s="4"/>
      <c r="DR66" s="4"/>
      <c r="DS66" s="4"/>
      <c r="DT66" s="4"/>
      <c r="DU66" s="4"/>
      <c r="DV66" s="4"/>
      <c r="DW66" s="4"/>
      <c r="DX66" s="4"/>
      <c r="DY66" s="4"/>
      <c r="DZ66" s="4"/>
      <c r="EA66" s="4"/>
      <c r="EB66" s="4"/>
      <c r="EC66" s="4"/>
      <c r="ED66" s="4"/>
      <c r="EE66" s="4"/>
      <c r="EF66" s="4"/>
      <c r="EG66" s="4"/>
      <c r="EH66" s="4"/>
      <c r="EI66" s="4"/>
      <c r="EJ66" s="4"/>
      <c r="EK66" s="4"/>
      <c r="EL66" s="4"/>
      <c r="EM66" s="4"/>
      <c r="EN66" s="4"/>
      <c r="EO66" s="4"/>
      <c r="EP66" s="4"/>
      <c r="EQ66" s="4"/>
      <c r="ER66" s="4"/>
      <c r="ES66" s="4"/>
      <c r="ET66" s="4"/>
      <c r="EU66" s="4"/>
      <c r="EV66" s="4"/>
      <c r="EW66" s="4"/>
      <c r="EX66" s="4"/>
      <c r="EY66" s="4"/>
      <c r="EZ66" s="4"/>
      <c r="FA66" s="4"/>
      <c r="FB66" s="4"/>
      <c r="FC66" s="4"/>
      <c r="FD66" s="4"/>
      <c r="FE66" s="4"/>
      <c r="FF66" s="4"/>
      <c r="FG66" s="4"/>
      <c r="FH66" s="4"/>
      <c r="FI66" s="4"/>
      <c r="FJ66" s="4"/>
      <c r="FK66" s="4"/>
      <c r="FL66" s="4"/>
      <c r="FM66" s="4"/>
      <c r="FN66" s="4"/>
      <c r="FO66" s="4"/>
      <c r="FP66" s="4"/>
      <c r="FQ66" s="4"/>
      <c r="FR66" s="4"/>
      <c r="FS66" s="4"/>
      <c r="FT66" s="4"/>
      <c r="FU66" s="4"/>
      <c r="FV66" s="4"/>
      <c r="FW66" s="4"/>
      <c r="FX66" s="4"/>
      <c r="FY66" s="4"/>
      <c r="FZ66" s="4"/>
      <c r="GA66" s="4"/>
      <c r="GB66" s="4"/>
      <c r="GC66" s="4"/>
      <c r="GD66" s="4"/>
      <c r="GE66" s="4"/>
      <c r="GF66" s="4"/>
      <c r="GG66" s="4"/>
    </row>
    <row r="67" spans="1:189" outlineLevel="1">
      <c r="A67" s="116"/>
      <c r="B67" s="116"/>
      <c r="C67" s="116">
        <v>2</v>
      </c>
      <c r="D67" s="3" t="s">
        <v>1120</v>
      </c>
      <c r="E67" s="180"/>
      <c r="F67" s="180" t="s">
        <v>1073</v>
      </c>
      <c r="G67" s="180"/>
      <c r="H67" s="180"/>
      <c r="I67" s="180"/>
      <c r="J67" s="180"/>
      <c r="K67" s="180"/>
      <c r="L67" s="180"/>
      <c r="M67" s="181">
        <v>45078</v>
      </c>
      <c r="N67" s="181">
        <v>45100</v>
      </c>
      <c r="O67" s="182"/>
      <c r="P67" s="183">
        <v>17</v>
      </c>
      <c r="Q67" s="183">
        <v>13</v>
      </c>
      <c r="R67" s="184">
        <v>17</v>
      </c>
      <c r="S67" s="184">
        <v>13</v>
      </c>
      <c r="T67" s="181"/>
      <c r="U67" s="181"/>
      <c r="V67" s="185"/>
      <c r="W67" s="186">
        <v>0</v>
      </c>
      <c r="X67" s="187">
        <v>1</v>
      </c>
      <c r="Y67" s="182" t="s">
        <v>1184</v>
      </c>
      <c r="Z67" s="188"/>
      <c r="AA67" s="97">
        <v>0.76470588235294112</v>
      </c>
      <c r="AB67" s="189">
        <v>0.7</v>
      </c>
      <c r="AC67" s="210"/>
      <c r="AD67" s="4"/>
      <c r="AE67" s="4" t="str">
        <f>"     " &amp; TEXT(AB67,"#0.00%") &amp; " " &amp; "iOS" &amp; "(Nabin)" &amp; " " &amp; IF(M67="","",TEXT(M67,"M/D-")) &amp; IF(N67="","",TEXT(N67,"M/D")) &amp; " "</f>
        <v xml:space="preserve">     70.00% iOS(Nabin) 6/1-6/23 </v>
      </c>
      <c r="AF67" s="4"/>
      <c r="AG67" s="4"/>
      <c r="AH67" s="4"/>
      <c r="AI67" s="4"/>
      <c r="AJ67" s="4"/>
      <c r="AK67" s="4"/>
      <c r="AL67" s="4"/>
      <c r="AM67" s="4"/>
      <c r="AN67" s="4"/>
      <c r="AO67" s="4"/>
      <c r="AP67" s="4"/>
      <c r="AQ67" s="4"/>
      <c r="AR67" s="4"/>
      <c r="AS67" s="4"/>
      <c r="AT67" s="4"/>
      <c r="AU67" s="4"/>
      <c r="AV67" s="4"/>
      <c r="AW67" s="4"/>
      <c r="AX67" s="4"/>
      <c r="AY67" s="4"/>
      <c r="AZ67" s="4"/>
      <c r="BA67" s="4"/>
      <c r="BB67" s="4"/>
      <c r="BC67" s="4"/>
      <c r="BD67" s="4"/>
      <c r="BE67" s="4"/>
      <c r="BF67" s="4"/>
      <c r="BG67" s="4"/>
      <c r="BH67" s="4"/>
      <c r="BI67" s="4"/>
      <c r="BJ67" s="4"/>
      <c r="BK67" s="4"/>
      <c r="BL67" s="4"/>
      <c r="BM67" s="4"/>
      <c r="BN67" s="4"/>
      <c r="BO67" s="4"/>
      <c r="BP67" s="4"/>
      <c r="BQ67" s="4"/>
      <c r="BR67" s="4"/>
      <c r="BS67" s="4"/>
      <c r="BT67" s="4"/>
      <c r="BU67" s="4"/>
      <c r="BV67" s="4"/>
      <c r="BW67" s="4"/>
      <c r="BX67" s="4"/>
      <c r="BY67" s="4"/>
      <c r="BZ67" s="4"/>
      <c r="CA67" s="4"/>
      <c r="CB67" s="4"/>
      <c r="CC67" s="4"/>
      <c r="CD67" s="4"/>
      <c r="CE67" s="4"/>
      <c r="CF67" s="4"/>
      <c r="CG67" s="4"/>
      <c r="CH67" s="4"/>
      <c r="CI67" s="4"/>
      <c r="CJ67" s="4"/>
      <c r="CK67" s="4"/>
      <c r="CL67" s="4"/>
      <c r="CM67" s="4"/>
      <c r="CN67" s="4"/>
      <c r="CO67" s="4"/>
      <c r="CP67" s="4"/>
      <c r="CQ67" s="4"/>
      <c r="CR67" s="4"/>
      <c r="CS67" s="4"/>
      <c r="CT67" s="4"/>
      <c r="CU67" s="4"/>
      <c r="CV67" s="4"/>
      <c r="CW67" s="4"/>
      <c r="CX67" s="4"/>
      <c r="CY67" s="4"/>
      <c r="CZ67" s="4"/>
      <c r="DA67" s="4"/>
      <c r="DB67" s="4"/>
      <c r="DC67" s="4"/>
      <c r="DD67" s="4"/>
      <c r="DE67" s="4"/>
      <c r="DF67" s="4"/>
      <c r="DG67" s="4"/>
      <c r="DH67" s="4"/>
      <c r="DI67" s="4"/>
      <c r="DJ67" s="4"/>
      <c r="DK67" s="4"/>
      <c r="DL67" s="4"/>
      <c r="DM67" s="4"/>
      <c r="DN67" s="4"/>
      <c r="DO67" s="4"/>
      <c r="DP67" s="4"/>
      <c r="DQ67" s="4"/>
      <c r="DR67" s="4"/>
      <c r="DS67" s="4"/>
      <c r="DT67" s="4"/>
      <c r="DU67" s="4"/>
      <c r="DV67" s="4"/>
      <c r="DW67" s="4"/>
      <c r="DX67" s="4"/>
      <c r="DY67" s="4"/>
      <c r="DZ67" s="4"/>
      <c r="EA67" s="4"/>
      <c r="EB67" s="4"/>
      <c r="EC67" s="4"/>
      <c r="ED67" s="4"/>
      <c r="EE67" s="4"/>
      <c r="EF67" s="4"/>
      <c r="EG67" s="4"/>
      <c r="EH67" s="4"/>
      <c r="EI67" s="4"/>
      <c r="EJ67" s="4"/>
      <c r="EK67" s="4"/>
      <c r="EL67" s="4"/>
      <c r="EM67" s="4"/>
      <c r="EN67" s="4"/>
      <c r="EO67" s="4"/>
      <c r="EP67" s="4"/>
      <c r="EQ67" s="4"/>
      <c r="ER67" s="4"/>
      <c r="ES67" s="4"/>
      <c r="ET67" s="4"/>
      <c r="EU67" s="4"/>
      <c r="EV67" s="4"/>
      <c r="EW67" s="4"/>
      <c r="EX67" s="4"/>
      <c r="EY67" s="4"/>
      <c r="EZ67" s="4"/>
      <c r="FA67" s="4"/>
      <c r="FB67" s="4"/>
      <c r="FC67" s="4"/>
      <c r="FD67" s="4"/>
      <c r="FE67" s="4"/>
      <c r="FF67" s="4"/>
      <c r="FG67" s="4"/>
      <c r="FH67" s="4"/>
      <c r="FI67" s="4"/>
      <c r="FJ67" s="4"/>
      <c r="FK67" s="4"/>
      <c r="FL67" s="4"/>
      <c r="FM67" s="4"/>
      <c r="FN67" s="4"/>
      <c r="FO67" s="4"/>
      <c r="FP67" s="4"/>
      <c r="FQ67" s="4"/>
      <c r="FR67" s="4"/>
      <c r="FS67" s="4"/>
      <c r="FT67" s="4"/>
      <c r="FU67" s="4"/>
      <c r="FV67" s="4"/>
      <c r="FW67" s="4"/>
      <c r="FX67" s="4"/>
      <c r="FY67" s="4"/>
      <c r="FZ67" s="4"/>
      <c r="GA67" s="4"/>
      <c r="GB67" s="4"/>
      <c r="GC67" s="4"/>
      <c r="GD67" s="4"/>
      <c r="GE67" s="4"/>
      <c r="GF67" s="4"/>
      <c r="GG67" s="4"/>
    </row>
    <row r="68" spans="1:189" outlineLevel="1">
      <c r="A68" s="116"/>
      <c r="B68" s="116"/>
      <c r="C68" s="116">
        <v>2</v>
      </c>
      <c r="D68" s="3" t="s">
        <v>1121</v>
      </c>
      <c r="E68" s="180"/>
      <c r="F68" s="180" t="s">
        <v>1179</v>
      </c>
      <c r="G68" s="180"/>
      <c r="H68" s="180"/>
      <c r="I68" s="180"/>
      <c r="J68" s="180"/>
      <c r="K68" s="180"/>
      <c r="L68" s="180"/>
      <c r="M68" s="181">
        <v>45078</v>
      </c>
      <c r="N68" s="181">
        <v>45086</v>
      </c>
      <c r="O68" s="182"/>
      <c r="P68" s="183">
        <v>7</v>
      </c>
      <c r="Q68" s="183">
        <v>7</v>
      </c>
      <c r="R68" s="184">
        <v>7</v>
      </c>
      <c r="S68" s="184">
        <v>7</v>
      </c>
      <c r="T68" s="181"/>
      <c r="U68" s="181"/>
      <c r="V68" s="185"/>
      <c r="W68" s="186">
        <v>0</v>
      </c>
      <c r="X68" s="187">
        <v>1</v>
      </c>
      <c r="Y68" s="182" t="s">
        <v>1163</v>
      </c>
      <c r="Z68" s="188"/>
      <c r="AA68" s="97">
        <v>1</v>
      </c>
      <c r="AB68" s="189">
        <v>0.95</v>
      </c>
      <c r="AC68" s="210"/>
      <c r="AD68" s="4" t="str">
        <f>"     " &amp; TEXT(AB68,"#0.00%") &amp; " " &amp; "Partner API" &amp; "(Pujan)" &amp; " " &amp; IF(M68="","",TEXT(M68,"M/D-")) &amp; IF(N68="","",TEXT(N68,"M/D")) &amp; " "</f>
        <v xml:space="preserve">     95.00% Partner API(Pujan) 6/1-6/9 </v>
      </c>
      <c r="AE68" s="4"/>
      <c r="AF68" s="4"/>
      <c r="AG68" s="4"/>
      <c r="AH68" s="4"/>
      <c r="AI68" s="4"/>
      <c r="AJ68" s="4"/>
      <c r="AK68" s="4"/>
      <c r="AL68" s="4"/>
      <c r="AM68" s="4"/>
      <c r="AN68" s="4"/>
      <c r="AO68" s="4"/>
      <c r="AP68" s="4"/>
      <c r="AQ68" s="4"/>
      <c r="AR68" s="4"/>
      <c r="AS68" s="4"/>
      <c r="AT68" s="4"/>
      <c r="AU68" s="4"/>
      <c r="AV68" s="4"/>
      <c r="AW68" s="4"/>
      <c r="AX68" s="4"/>
      <c r="AY68" s="4"/>
      <c r="AZ68" s="4"/>
      <c r="BA68" s="4"/>
      <c r="BB68" s="4"/>
      <c r="BC68" s="4"/>
      <c r="BD68" s="4"/>
      <c r="BE68" s="4"/>
      <c r="BF68" s="4"/>
      <c r="BG68" s="4"/>
      <c r="BH68" s="4"/>
      <c r="BI68" s="4"/>
      <c r="BJ68" s="4"/>
      <c r="BK68" s="4"/>
      <c r="BL68" s="4"/>
      <c r="BM68" s="4"/>
      <c r="BN68" s="4"/>
      <c r="BO68" s="4"/>
      <c r="BP68" s="4"/>
      <c r="BQ68" s="4"/>
      <c r="BR68" s="4"/>
      <c r="BS68" s="4"/>
      <c r="BT68" s="4"/>
      <c r="BU68" s="4"/>
      <c r="BV68" s="4"/>
      <c r="BW68" s="4"/>
      <c r="BX68" s="4"/>
      <c r="BY68" s="4"/>
      <c r="BZ68" s="4"/>
      <c r="CA68" s="4"/>
      <c r="CB68" s="4"/>
      <c r="CC68" s="4"/>
      <c r="CD68" s="4"/>
      <c r="CE68" s="4"/>
      <c r="CF68" s="4"/>
      <c r="CG68" s="4"/>
      <c r="CH68" s="4"/>
      <c r="CI68" s="4"/>
      <c r="CJ68" s="4"/>
      <c r="CK68" s="4"/>
      <c r="CL68" s="4"/>
      <c r="CM68" s="4"/>
      <c r="CN68" s="4"/>
      <c r="CO68" s="4"/>
      <c r="CP68" s="4"/>
      <c r="CQ68" s="4"/>
      <c r="CR68" s="4"/>
      <c r="CS68" s="4"/>
      <c r="CT68" s="4"/>
      <c r="CU68" s="4"/>
      <c r="CV68" s="4"/>
      <c r="CW68" s="4"/>
      <c r="CX68" s="4"/>
      <c r="CY68" s="4"/>
      <c r="CZ68" s="4"/>
      <c r="DA68" s="4"/>
      <c r="DB68" s="4"/>
      <c r="DC68" s="4"/>
      <c r="DD68" s="4"/>
      <c r="DE68" s="4"/>
      <c r="DF68" s="4"/>
      <c r="DG68" s="4"/>
      <c r="DH68" s="4"/>
      <c r="DI68" s="4"/>
      <c r="DJ68" s="4"/>
      <c r="DK68" s="4"/>
      <c r="DL68" s="4"/>
      <c r="DM68" s="4"/>
      <c r="DN68" s="4"/>
      <c r="DO68" s="4"/>
      <c r="DP68" s="4"/>
      <c r="DQ68" s="4"/>
      <c r="DR68" s="4"/>
      <c r="DS68" s="4"/>
      <c r="DT68" s="4"/>
      <c r="DU68" s="4"/>
      <c r="DV68" s="4"/>
      <c r="DW68" s="4"/>
      <c r="DX68" s="4"/>
      <c r="DY68" s="4"/>
      <c r="DZ68" s="4"/>
      <c r="EA68" s="4"/>
      <c r="EB68" s="4"/>
      <c r="EC68" s="4"/>
      <c r="ED68" s="4"/>
      <c r="EE68" s="4"/>
      <c r="EF68" s="4"/>
      <c r="EG68" s="4"/>
      <c r="EH68" s="4"/>
      <c r="EI68" s="4"/>
      <c r="EJ68" s="4"/>
      <c r="EK68" s="4"/>
      <c r="EL68" s="4"/>
      <c r="EM68" s="4"/>
      <c r="EN68" s="4"/>
      <c r="EO68" s="4"/>
      <c r="EP68" s="4"/>
      <c r="EQ68" s="4"/>
      <c r="ER68" s="4"/>
      <c r="ES68" s="4"/>
      <c r="ET68" s="4"/>
      <c r="EU68" s="4"/>
      <c r="EV68" s="4"/>
      <c r="EW68" s="4"/>
      <c r="EX68" s="4"/>
      <c r="EY68" s="4"/>
      <c r="EZ68" s="4"/>
      <c r="FA68" s="4"/>
      <c r="FB68" s="4"/>
      <c r="FC68" s="4"/>
      <c r="FD68" s="4"/>
      <c r="FE68" s="4"/>
      <c r="FF68" s="4"/>
      <c r="FG68" s="4"/>
      <c r="FH68" s="4"/>
      <c r="FI68" s="4"/>
      <c r="FJ68" s="4"/>
      <c r="FK68" s="4"/>
      <c r="FL68" s="4"/>
      <c r="FM68" s="4"/>
      <c r="FN68" s="4"/>
      <c r="FO68" s="4"/>
      <c r="FP68" s="4"/>
      <c r="FQ68" s="4"/>
      <c r="FR68" s="4"/>
      <c r="FS68" s="4"/>
      <c r="FT68" s="4"/>
      <c r="FU68" s="4"/>
      <c r="FV68" s="4"/>
      <c r="FW68" s="4"/>
      <c r="FX68" s="4"/>
      <c r="FY68" s="4"/>
      <c r="FZ68" s="4"/>
      <c r="GA68" s="4"/>
      <c r="GB68" s="4"/>
      <c r="GC68" s="4"/>
      <c r="GD68" s="4"/>
      <c r="GE68" s="4"/>
      <c r="GF68" s="4"/>
      <c r="GG68" s="4"/>
    </row>
    <row r="69" spans="1:189" outlineLevel="1">
      <c r="A69" s="116"/>
      <c r="B69" s="116"/>
      <c r="C69" s="116">
        <v>2</v>
      </c>
      <c r="D69" s="3" t="s">
        <v>1122</v>
      </c>
      <c r="E69" s="180"/>
      <c r="F69" s="180" t="s">
        <v>1180</v>
      </c>
      <c r="G69" s="180"/>
      <c r="H69" s="180"/>
      <c r="I69" s="180"/>
      <c r="J69" s="180"/>
      <c r="K69" s="180"/>
      <c r="L69" s="180"/>
      <c r="M69" s="181">
        <v>45078</v>
      </c>
      <c r="N69" s="181">
        <v>45086</v>
      </c>
      <c r="O69" s="182"/>
      <c r="P69" s="183">
        <v>7</v>
      </c>
      <c r="Q69" s="183">
        <v>7</v>
      </c>
      <c r="R69" s="184">
        <v>7</v>
      </c>
      <c r="S69" s="184">
        <v>7</v>
      </c>
      <c r="T69" s="181"/>
      <c r="U69" s="181"/>
      <c r="V69" s="185"/>
      <c r="W69" s="186">
        <v>0</v>
      </c>
      <c r="X69" s="187">
        <v>1</v>
      </c>
      <c r="Y69" s="182" t="s">
        <v>1176</v>
      </c>
      <c r="Z69" s="188"/>
      <c r="AA69" s="97">
        <v>1</v>
      </c>
      <c r="AB69" s="189">
        <v>0.95</v>
      </c>
      <c r="AC69" s="210"/>
      <c r="AD69" s="4" t="str">
        <f>"     " &amp; TEXT(AB69,"#0.00%") &amp; " " &amp; "Core" &amp; "(Subash)" &amp; " " &amp; IF(M69="","",TEXT(M69,"M/D-")) &amp; IF(N69="","",TEXT(N69,"M/D")) &amp; " "</f>
        <v xml:space="preserve">     95.00% Core(Subash) 6/1-6/9 </v>
      </c>
      <c r="AE69" s="4"/>
      <c r="AF69" s="4"/>
      <c r="AG69" s="4"/>
      <c r="AH69" s="4"/>
      <c r="AI69" s="4"/>
      <c r="AJ69" s="4"/>
      <c r="AK69" s="4"/>
      <c r="AL69" s="4"/>
      <c r="AM69" s="4"/>
      <c r="AN69" s="4"/>
      <c r="AO69" s="4"/>
      <c r="AP69" s="4"/>
      <c r="AQ69" s="4"/>
      <c r="AR69" s="4"/>
      <c r="AS69" s="4"/>
      <c r="AT69" s="4"/>
      <c r="AU69" s="4"/>
      <c r="AV69" s="4"/>
      <c r="AW69" s="4"/>
      <c r="AX69" s="4"/>
      <c r="AY69" s="4"/>
      <c r="AZ69" s="4"/>
      <c r="BA69" s="4"/>
      <c r="BB69" s="4"/>
      <c r="BC69" s="4"/>
      <c r="BD69" s="4"/>
      <c r="BE69" s="4"/>
      <c r="BF69" s="4"/>
      <c r="BG69" s="4"/>
      <c r="BH69" s="4"/>
      <c r="BI69" s="4"/>
      <c r="BJ69" s="4"/>
      <c r="BK69" s="4"/>
      <c r="BL69" s="4"/>
      <c r="BM69" s="4"/>
      <c r="BN69" s="4"/>
      <c r="BO69" s="4"/>
      <c r="BP69" s="4"/>
      <c r="BQ69" s="4"/>
      <c r="BR69" s="4"/>
      <c r="BS69" s="4"/>
      <c r="BT69" s="4"/>
      <c r="BU69" s="4"/>
      <c r="BV69" s="4"/>
      <c r="BW69" s="4"/>
      <c r="BX69" s="4"/>
      <c r="BY69" s="4"/>
      <c r="BZ69" s="4"/>
      <c r="CA69" s="4"/>
      <c r="CB69" s="4"/>
      <c r="CC69" s="4"/>
      <c r="CD69" s="4"/>
      <c r="CE69" s="4"/>
      <c r="CF69" s="4"/>
      <c r="CG69" s="4"/>
      <c r="CH69" s="4"/>
      <c r="CI69" s="4"/>
      <c r="CJ69" s="4"/>
      <c r="CK69" s="4"/>
      <c r="CL69" s="4"/>
      <c r="CM69" s="4"/>
      <c r="CN69" s="4"/>
      <c r="CO69" s="4"/>
      <c r="CP69" s="4"/>
      <c r="CQ69" s="4"/>
      <c r="CR69" s="4"/>
      <c r="CS69" s="4"/>
      <c r="CT69" s="4"/>
      <c r="CU69" s="4"/>
      <c r="CV69" s="4"/>
      <c r="CW69" s="4"/>
      <c r="CX69" s="4"/>
      <c r="CY69" s="4"/>
      <c r="CZ69" s="4"/>
      <c r="DA69" s="4"/>
      <c r="DB69" s="4"/>
      <c r="DC69" s="4"/>
      <c r="DD69" s="4"/>
      <c r="DE69" s="4"/>
      <c r="DF69" s="4"/>
      <c r="DG69" s="4"/>
      <c r="DH69" s="4"/>
      <c r="DI69" s="4"/>
      <c r="DJ69" s="4"/>
      <c r="DK69" s="4"/>
      <c r="DL69" s="4"/>
      <c r="DM69" s="4"/>
      <c r="DN69" s="4"/>
      <c r="DO69" s="4"/>
      <c r="DP69" s="4"/>
      <c r="DQ69" s="4"/>
      <c r="DR69" s="4"/>
      <c r="DS69" s="4"/>
      <c r="DT69" s="4"/>
      <c r="DU69" s="4"/>
      <c r="DV69" s="4"/>
      <c r="DW69" s="4"/>
      <c r="DX69" s="4"/>
      <c r="DY69" s="4"/>
      <c r="DZ69" s="4"/>
      <c r="EA69" s="4"/>
      <c r="EB69" s="4"/>
      <c r="EC69" s="4"/>
      <c r="ED69" s="4"/>
      <c r="EE69" s="4"/>
      <c r="EF69" s="4"/>
      <c r="EG69" s="4"/>
      <c r="EH69" s="4"/>
      <c r="EI69" s="4"/>
      <c r="EJ69" s="4"/>
      <c r="EK69" s="4"/>
      <c r="EL69" s="4"/>
      <c r="EM69" s="4"/>
      <c r="EN69" s="4"/>
      <c r="EO69" s="4"/>
      <c r="EP69" s="4"/>
      <c r="EQ69" s="4"/>
      <c r="ER69" s="4"/>
      <c r="ES69" s="4"/>
      <c r="ET69" s="4"/>
      <c r="EU69" s="4"/>
      <c r="EV69" s="4"/>
      <c r="EW69" s="4"/>
      <c r="EX69" s="4"/>
      <c r="EY69" s="4"/>
      <c r="EZ69" s="4"/>
      <c r="FA69" s="4"/>
      <c r="FB69" s="4"/>
      <c r="FC69" s="4"/>
      <c r="FD69" s="4"/>
      <c r="FE69" s="4"/>
      <c r="FF69" s="4"/>
      <c r="FG69" s="4"/>
      <c r="FH69" s="4"/>
      <c r="FI69" s="4"/>
      <c r="FJ69" s="4"/>
      <c r="FK69" s="4"/>
      <c r="FL69" s="4"/>
      <c r="FM69" s="4"/>
      <c r="FN69" s="4"/>
      <c r="FO69" s="4"/>
      <c r="FP69" s="4"/>
      <c r="FQ69" s="4"/>
      <c r="FR69" s="4"/>
      <c r="FS69" s="4"/>
      <c r="FT69" s="4"/>
      <c r="FU69" s="4"/>
      <c r="FV69" s="4"/>
      <c r="FW69" s="4"/>
      <c r="FX69" s="4"/>
      <c r="FY69" s="4"/>
      <c r="FZ69" s="4"/>
      <c r="GA69" s="4"/>
      <c r="GB69" s="4"/>
      <c r="GC69" s="4"/>
      <c r="GD69" s="4"/>
      <c r="GE69" s="4"/>
      <c r="GF69" s="4"/>
      <c r="GG69" s="4"/>
    </row>
    <row r="70" spans="1:189" outlineLevel="1">
      <c r="A70" s="116"/>
      <c r="B70" s="116"/>
      <c r="C70" s="116">
        <v>2</v>
      </c>
      <c r="D70" s="3" t="s">
        <v>1123</v>
      </c>
      <c r="E70" s="180"/>
      <c r="F70" s="180" t="s">
        <v>1074</v>
      </c>
      <c r="G70" s="180"/>
      <c r="H70" s="180"/>
      <c r="I70" s="180"/>
      <c r="J70" s="180"/>
      <c r="K70" s="180"/>
      <c r="L70" s="180"/>
      <c r="M70" s="181">
        <v>45078</v>
      </c>
      <c r="N70" s="181">
        <v>45100</v>
      </c>
      <c r="O70" s="182"/>
      <c r="P70" s="183">
        <v>17</v>
      </c>
      <c r="Q70" s="183">
        <v>13</v>
      </c>
      <c r="R70" s="184">
        <v>17</v>
      </c>
      <c r="S70" s="184">
        <v>13</v>
      </c>
      <c r="T70" s="181"/>
      <c r="U70" s="181"/>
      <c r="V70" s="185"/>
      <c r="W70" s="186">
        <v>0</v>
      </c>
      <c r="X70" s="187">
        <v>1</v>
      </c>
      <c r="Y70" s="182" t="s">
        <v>1149</v>
      </c>
      <c r="Z70" s="188"/>
      <c r="AA70" s="97">
        <v>0.76470588235294112</v>
      </c>
      <c r="AB70" s="189">
        <v>0.7</v>
      </c>
      <c r="AC70" s="210"/>
      <c r="AD70" s="4"/>
      <c r="AE70" s="4" t="str">
        <f>"     " &amp; TEXT(AB70,"#0.00%") &amp; " " &amp; "Server" &amp; "(Anil)" &amp; " " &amp; IF(M70="","",TEXT(M70,"M/D-")) &amp; IF(N70="","",TEXT(N70,"M/D")) &amp; " "</f>
        <v xml:space="preserve">     70.00% Server(Anil) 6/1-6/23 </v>
      </c>
      <c r="AF70" s="4"/>
      <c r="AG70" s="4"/>
      <c r="AH70" s="4"/>
      <c r="AI70" s="4"/>
      <c r="AJ70" s="4"/>
      <c r="AK70" s="4"/>
      <c r="AL70" s="4"/>
      <c r="AM70" s="4"/>
      <c r="AN70" s="4"/>
      <c r="AO70" s="4"/>
      <c r="AP70" s="4"/>
      <c r="AQ70" s="4"/>
      <c r="AR70" s="4"/>
      <c r="AS70" s="4"/>
      <c r="AT70" s="4"/>
      <c r="AU70" s="4"/>
      <c r="AV70" s="4"/>
      <c r="AW70" s="4"/>
      <c r="AX70" s="4"/>
      <c r="AY70" s="4"/>
      <c r="AZ70" s="4"/>
      <c r="BA70" s="4"/>
      <c r="BB70" s="4"/>
      <c r="BC70" s="4"/>
      <c r="BD70" s="4"/>
      <c r="BE70" s="4"/>
      <c r="BF70" s="4"/>
      <c r="BG70" s="4"/>
      <c r="BH70" s="4"/>
      <c r="BI70" s="4"/>
      <c r="BJ70" s="4"/>
      <c r="BK70" s="4"/>
      <c r="BL70" s="4"/>
      <c r="BM70" s="4"/>
      <c r="BN70" s="4"/>
      <c r="BO70" s="4"/>
      <c r="BP70" s="4"/>
      <c r="BQ70" s="4"/>
      <c r="BR70" s="4"/>
      <c r="BS70" s="4"/>
      <c r="BT70" s="4"/>
      <c r="BU70" s="4"/>
      <c r="BV70" s="4"/>
      <c r="BW70" s="4"/>
      <c r="BX70" s="4"/>
      <c r="BY70" s="4"/>
      <c r="BZ70" s="4"/>
      <c r="CA70" s="4"/>
      <c r="CB70" s="4"/>
      <c r="CC70" s="4"/>
      <c r="CD70" s="4"/>
      <c r="CE70" s="4"/>
      <c r="CF70" s="4"/>
      <c r="CG70" s="4"/>
      <c r="CH70" s="4"/>
      <c r="CI70" s="4"/>
      <c r="CJ70" s="4"/>
      <c r="CK70" s="4"/>
      <c r="CL70" s="4"/>
      <c r="CM70" s="4"/>
      <c r="CN70" s="4"/>
      <c r="CO70" s="4"/>
      <c r="CP70" s="4"/>
      <c r="CQ70" s="4"/>
      <c r="CR70" s="4"/>
      <c r="CS70" s="4"/>
      <c r="CT70" s="4"/>
      <c r="CU70" s="4"/>
      <c r="CV70" s="4"/>
      <c r="CW70" s="4"/>
      <c r="CX70" s="4"/>
      <c r="CY70" s="4"/>
      <c r="CZ70" s="4"/>
      <c r="DA70" s="4"/>
      <c r="DB70" s="4"/>
      <c r="DC70" s="4"/>
      <c r="DD70" s="4"/>
      <c r="DE70" s="4"/>
      <c r="DF70" s="4"/>
      <c r="DG70" s="4"/>
      <c r="DH70" s="4"/>
      <c r="DI70" s="4"/>
      <c r="DJ70" s="4"/>
      <c r="DK70" s="4"/>
      <c r="DL70" s="4"/>
      <c r="DM70" s="4"/>
      <c r="DN70" s="4"/>
      <c r="DO70" s="4"/>
      <c r="DP70" s="4"/>
      <c r="DQ70" s="4"/>
      <c r="DR70" s="4"/>
      <c r="DS70" s="4"/>
      <c r="DT70" s="4"/>
      <c r="DU70" s="4"/>
      <c r="DV70" s="4"/>
      <c r="DW70" s="4"/>
      <c r="DX70" s="4"/>
      <c r="DY70" s="4"/>
      <c r="DZ70" s="4"/>
      <c r="EA70" s="4"/>
      <c r="EB70" s="4"/>
      <c r="EC70" s="4"/>
      <c r="ED70" s="4"/>
      <c r="EE70" s="4"/>
      <c r="EF70" s="4"/>
      <c r="EG70" s="4"/>
      <c r="EH70" s="4"/>
      <c r="EI70" s="4"/>
      <c r="EJ70" s="4"/>
      <c r="EK70" s="4"/>
      <c r="EL70" s="4"/>
      <c r="EM70" s="4"/>
      <c r="EN70" s="4"/>
      <c r="EO70" s="4"/>
      <c r="EP70" s="4"/>
      <c r="EQ70" s="4"/>
      <c r="ER70" s="4"/>
      <c r="ES70" s="4"/>
      <c r="ET70" s="4"/>
      <c r="EU70" s="4"/>
      <c r="EV70" s="4"/>
      <c r="EW70" s="4"/>
      <c r="EX70" s="4"/>
      <c r="EY70" s="4"/>
      <c r="EZ70" s="4"/>
      <c r="FA70" s="4"/>
      <c r="FB70" s="4"/>
      <c r="FC70" s="4"/>
      <c r="FD70" s="4"/>
      <c r="FE70" s="4"/>
      <c r="FF70" s="4"/>
      <c r="FG70" s="4"/>
      <c r="FH70" s="4"/>
      <c r="FI70" s="4"/>
      <c r="FJ70" s="4"/>
      <c r="FK70" s="4"/>
      <c r="FL70" s="4"/>
      <c r="FM70" s="4"/>
      <c r="FN70" s="4"/>
      <c r="FO70" s="4"/>
      <c r="FP70" s="4"/>
      <c r="FQ70" s="4"/>
      <c r="FR70" s="4"/>
      <c r="FS70" s="4"/>
      <c r="FT70" s="4"/>
      <c r="FU70" s="4"/>
      <c r="FV70" s="4"/>
      <c r="FW70" s="4"/>
      <c r="FX70" s="4"/>
      <c r="FY70" s="4"/>
      <c r="FZ70" s="4"/>
      <c r="GA70" s="4"/>
      <c r="GB70" s="4"/>
      <c r="GC70" s="4"/>
      <c r="GD70" s="4"/>
      <c r="GE70" s="4"/>
      <c r="GF70" s="4"/>
      <c r="GG70" s="4"/>
    </row>
    <row r="71" spans="1:189" ht="13.2" outlineLevel="1">
      <c r="A71" s="116"/>
      <c r="B71" s="116"/>
      <c r="C71" s="116">
        <v>2</v>
      </c>
      <c r="D71" s="3" t="s">
        <v>1124</v>
      </c>
      <c r="E71" s="207"/>
      <c r="F71" s="180" t="s">
        <v>1040</v>
      </c>
      <c r="G71" s="180"/>
      <c r="H71" s="180"/>
      <c r="I71" s="180"/>
      <c r="J71" s="180"/>
      <c r="K71" s="180"/>
      <c r="L71" s="180"/>
      <c r="M71" s="181">
        <v>45089</v>
      </c>
      <c r="N71" s="181">
        <v>45107</v>
      </c>
      <c r="O71" s="182"/>
      <c r="P71" s="183">
        <v>15</v>
      </c>
      <c r="Q71" s="183">
        <v>6</v>
      </c>
      <c r="R71" s="184">
        <v>15</v>
      </c>
      <c r="S71" s="184">
        <v>6</v>
      </c>
      <c r="T71" s="181"/>
      <c r="U71" s="181"/>
      <c r="V71" s="185"/>
      <c r="W71" s="186">
        <v>0</v>
      </c>
      <c r="X71" s="187">
        <v>1</v>
      </c>
      <c r="Y71" s="182" t="s">
        <v>1186</v>
      </c>
      <c r="Z71" s="188"/>
      <c r="AA71" s="97">
        <v>0.4</v>
      </c>
      <c r="AB71" s="189">
        <v>0.2</v>
      </c>
      <c r="AC71" s="210"/>
      <c r="AD71" s="4"/>
      <c r="AE71" s="4" t="str">
        <f>"    " &amp; TEXT(AB71,"#0.00%") &amp; " " &amp; "Test in TB" &amp; "(Chetan,Pheaktra,Jasurbek)" &amp; " " &amp; IF(M71="","",TEXT(M71,"M/D-")) &amp; IF(N71="","",TEXT(N71,"M/D")) &amp; " "</f>
        <v xml:space="preserve">    20.00% Test in TB(Chetan,Pheaktra,Jasurbek) 6/12-6/30 </v>
      </c>
      <c r="AF71" s="4"/>
      <c r="AG71" s="4"/>
      <c r="AH71" s="4"/>
      <c r="AI71" s="4"/>
      <c r="AJ71" s="4"/>
      <c r="AK71" s="4"/>
      <c r="AL71" s="4"/>
      <c r="AM71" s="4"/>
      <c r="AN71" s="4"/>
      <c r="AO71" s="4"/>
      <c r="AP71" s="4"/>
      <c r="AQ71" s="4"/>
      <c r="AR71" s="4"/>
      <c r="AS71" s="4"/>
      <c r="AT71" s="4"/>
      <c r="AU71" s="4"/>
      <c r="AV71" s="4"/>
      <c r="AW71" s="4"/>
      <c r="AX71" s="4"/>
      <c r="AY71" s="4"/>
      <c r="AZ71" s="4"/>
      <c r="BA71" s="4"/>
      <c r="BB71" s="4"/>
      <c r="BC71" s="4"/>
      <c r="BD71" s="4"/>
      <c r="BE71" s="4"/>
      <c r="BF71" s="4"/>
      <c r="BG71" s="4"/>
      <c r="BH71" s="4"/>
      <c r="BI71" s="4"/>
      <c r="BJ71" s="4"/>
      <c r="BK71" s="4"/>
      <c r="BL71" s="4"/>
      <c r="BM71" s="4"/>
      <c r="BN71" s="4"/>
      <c r="BO71" s="4"/>
      <c r="BP71" s="4"/>
      <c r="BQ71" s="4"/>
      <c r="BR71" s="4"/>
      <c r="BS71" s="4"/>
      <c r="BT71" s="4"/>
      <c r="BU71" s="4"/>
      <c r="BV71" s="4"/>
      <c r="BW71" s="4"/>
      <c r="BX71" s="4"/>
      <c r="BY71" s="4"/>
      <c r="BZ71" s="4"/>
      <c r="CA71" s="4"/>
      <c r="CB71" s="4"/>
      <c r="CC71" s="4"/>
      <c r="CD71" s="4"/>
      <c r="CE71" s="4"/>
      <c r="CF71" s="4"/>
      <c r="CG71" s="4"/>
      <c r="CH71" s="4"/>
      <c r="CI71" s="4"/>
      <c r="CJ71" s="4"/>
      <c r="CK71" s="4"/>
      <c r="CL71" s="4"/>
      <c r="CM71" s="4"/>
      <c r="CN71" s="4"/>
      <c r="CO71" s="4"/>
      <c r="CP71" s="4"/>
      <c r="CQ71" s="4"/>
      <c r="CR71" s="4"/>
      <c r="CS71" s="4"/>
      <c r="CT71" s="4"/>
      <c r="CU71" s="4"/>
      <c r="CV71" s="4"/>
      <c r="CW71" s="4"/>
      <c r="CX71" s="4"/>
      <c r="CY71" s="4"/>
      <c r="CZ71" s="4"/>
      <c r="DA71" s="4"/>
      <c r="DB71" s="4"/>
      <c r="DC71" s="4"/>
      <c r="DD71" s="4"/>
      <c r="DE71" s="4"/>
      <c r="DF71" s="4"/>
      <c r="DG71" s="4"/>
      <c r="DH71" s="4"/>
      <c r="DI71" s="4"/>
      <c r="DJ71" s="4"/>
      <c r="DK71" s="4"/>
      <c r="DL71" s="4"/>
      <c r="DM71" s="4"/>
      <c r="DN71" s="4"/>
      <c r="DO71" s="4"/>
      <c r="DP71" s="4"/>
      <c r="DQ71" s="4"/>
      <c r="DR71" s="4"/>
      <c r="DS71" s="4"/>
      <c r="DT71" s="4"/>
      <c r="DU71" s="4"/>
      <c r="DV71" s="4"/>
      <c r="DW71" s="4"/>
      <c r="DX71" s="4"/>
      <c r="DY71" s="4"/>
      <c r="DZ71" s="4"/>
      <c r="EA71" s="4"/>
      <c r="EB71" s="4"/>
      <c r="EC71" s="4"/>
      <c r="ED71" s="4"/>
      <c r="EE71" s="4"/>
      <c r="EF71" s="4"/>
      <c r="EG71" s="4"/>
      <c r="EH71" s="4"/>
      <c r="EI71" s="4"/>
      <c r="EJ71" s="4"/>
      <c r="EK71" s="4"/>
      <c r="EL71" s="4"/>
      <c r="EM71" s="4"/>
      <c r="EN71" s="4"/>
      <c r="EO71" s="4"/>
      <c r="EP71" s="4"/>
      <c r="EQ71" s="4"/>
      <c r="ER71" s="4"/>
      <c r="ES71" s="4"/>
      <c r="ET71" s="4"/>
      <c r="EU71" s="4"/>
      <c r="EV71" s="4"/>
      <c r="EW71" s="4"/>
      <c r="EX71" s="4"/>
      <c r="EY71" s="4"/>
      <c r="EZ71" s="4"/>
      <c r="FA71" s="4"/>
      <c r="FB71" s="4"/>
      <c r="FC71" s="4"/>
      <c r="FD71" s="4"/>
      <c r="FE71" s="4"/>
      <c r="FF71" s="4"/>
      <c r="FG71" s="4"/>
      <c r="FH71" s="4"/>
      <c r="FI71" s="4"/>
      <c r="FJ71" s="4"/>
      <c r="FK71" s="4"/>
      <c r="FL71" s="4"/>
      <c r="FM71" s="4"/>
      <c r="FN71" s="4"/>
      <c r="FO71" s="4"/>
      <c r="FP71" s="4"/>
      <c r="FQ71" s="4"/>
      <c r="FR71" s="4"/>
      <c r="FS71" s="4"/>
      <c r="FT71" s="4"/>
      <c r="FU71" s="4"/>
      <c r="FV71" s="4"/>
      <c r="FW71" s="4"/>
      <c r="FX71" s="4"/>
      <c r="FY71" s="4"/>
      <c r="FZ71" s="4"/>
      <c r="GA71" s="4"/>
      <c r="GB71" s="4"/>
      <c r="GC71" s="4"/>
      <c r="GD71" s="4"/>
      <c r="GE71" s="4"/>
      <c r="GF71" s="4"/>
      <c r="GG71" s="4"/>
    </row>
    <row r="72" spans="1:189" outlineLevel="1">
      <c r="A72" s="116"/>
      <c r="B72" s="116"/>
      <c r="C72" s="116">
        <v>2</v>
      </c>
      <c r="D72" s="3" t="s">
        <v>1125</v>
      </c>
      <c r="E72" s="180"/>
      <c r="F72" s="180" t="s">
        <v>1039</v>
      </c>
      <c r="G72" s="180"/>
      <c r="H72" s="180"/>
      <c r="I72" s="180"/>
      <c r="J72" s="180"/>
      <c r="K72" s="180"/>
      <c r="L72" s="180"/>
      <c r="M72" s="181">
        <v>45131</v>
      </c>
      <c r="N72" s="181">
        <v>45131</v>
      </c>
      <c r="O72" s="182"/>
      <c r="P72" s="183">
        <v>1</v>
      </c>
      <c r="Q72" s="183">
        <v>0</v>
      </c>
      <c r="R72" s="184">
        <v>1</v>
      </c>
      <c r="S72" s="184">
        <v>0</v>
      </c>
      <c r="T72" s="181"/>
      <c r="U72" s="181"/>
      <c r="V72" s="185"/>
      <c r="W72" s="186">
        <v>0</v>
      </c>
      <c r="X72" s="187">
        <v>1</v>
      </c>
      <c r="Y72" s="182"/>
      <c r="Z72" s="188"/>
      <c r="AA72" s="97">
        <v>0</v>
      </c>
      <c r="AB72" s="189">
        <v>0</v>
      </c>
      <c r="AC72" s="210"/>
      <c r="AD72" s="4"/>
      <c r="AE72" s="4"/>
      <c r="AF72" s="4"/>
      <c r="AG72" s="4"/>
      <c r="AH72" s="4"/>
      <c r="AI72" s="4"/>
      <c r="AJ72" s="4"/>
      <c r="AK72" s="4" t="str">
        <f>"" &amp; TEXT(AB72,"#0.00%") &amp; " " &amp; "Test in Live" &amp; " " &amp; IF(M72="","",TEXT(M72,"M/D-")) &amp; IF(N72="","",TEXT(N72,"M/D")) &amp; " "</f>
        <v xml:space="preserve">0.00% Test in Live 7/24-7/24 </v>
      </c>
      <c r="AL72" s="4"/>
      <c r="AM72" s="4"/>
      <c r="AN72" s="4"/>
      <c r="AO72" s="4"/>
      <c r="AP72" s="4"/>
      <c r="AQ72" s="4"/>
      <c r="AR72" s="4"/>
      <c r="AS72" s="4"/>
      <c r="AT72" s="4"/>
      <c r="AU72" s="4"/>
      <c r="AV72" s="4"/>
      <c r="AW72" s="4"/>
      <c r="AX72" s="4"/>
      <c r="AY72" s="4"/>
      <c r="AZ72" s="4"/>
      <c r="BA72" s="4"/>
      <c r="BB72" s="4"/>
      <c r="BC72" s="4"/>
      <c r="BD72" s="4"/>
      <c r="BE72" s="4"/>
      <c r="BF72" s="4"/>
      <c r="BG72" s="4"/>
      <c r="BH72" s="4"/>
      <c r="BI72" s="4"/>
      <c r="BJ72" s="4"/>
      <c r="BK72" s="4"/>
      <c r="BL72" s="4"/>
      <c r="BM72" s="4"/>
      <c r="BN72" s="4"/>
      <c r="BO72" s="4"/>
      <c r="BP72" s="4"/>
      <c r="BQ72" s="4"/>
      <c r="BR72" s="4"/>
      <c r="BS72" s="4"/>
      <c r="BT72" s="4"/>
      <c r="BU72" s="4"/>
      <c r="BV72" s="4"/>
      <c r="BW72" s="4"/>
      <c r="BX72" s="4"/>
      <c r="BY72" s="4"/>
      <c r="BZ72" s="4"/>
      <c r="CA72" s="4"/>
      <c r="CB72" s="4"/>
      <c r="CC72" s="4"/>
      <c r="CD72" s="4"/>
      <c r="CE72" s="4"/>
      <c r="CF72" s="4"/>
      <c r="CG72" s="4"/>
      <c r="CH72" s="4"/>
      <c r="CI72" s="4"/>
      <c r="CJ72" s="4"/>
      <c r="CK72" s="4"/>
      <c r="CL72" s="4"/>
      <c r="CM72" s="4"/>
      <c r="CN72" s="4"/>
      <c r="CO72" s="4"/>
      <c r="CP72" s="4"/>
      <c r="CQ72" s="4"/>
      <c r="CR72" s="4"/>
      <c r="CS72" s="4"/>
      <c r="CT72" s="4"/>
      <c r="CU72" s="4"/>
      <c r="CV72" s="4"/>
      <c r="CW72" s="4"/>
      <c r="CX72" s="4"/>
      <c r="CY72" s="4"/>
      <c r="CZ72" s="4"/>
      <c r="DA72" s="4"/>
      <c r="DB72" s="4"/>
      <c r="DC72" s="4"/>
      <c r="DD72" s="4"/>
      <c r="DE72" s="4"/>
      <c r="DF72" s="4"/>
      <c r="DG72" s="4"/>
      <c r="DH72" s="4"/>
      <c r="DI72" s="4"/>
      <c r="DJ72" s="4"/>
      <c r="DK72" s="4"/>
      <c r="DL72" s="4"/>
      <c r="DM72" s="4"/>
      <c r="DN72" s="4"/>
      <c r="DO72" s="4"/>
      <c r="DP72" s="4"/>
      <c r="DQ72" s="4"/>
      <c r="DR72" s="4"/>
      <c r="DS72" s="4"/>
      <c r="DT72" s="4"/>
      <c r="DU72" s="4"/>
      <c r="DV72" s="4"/>
      <c r="DW72" s="4"/>
      <c r="DX72" s="4"/>
      <c r="DY72" s="4"/>
      <c r="DZ72" s="4"/>
      <c r="EA72" s="4"/>
      <c r="EB72" s="4"/>
      <c r="EC72" s="4"/>
      <c r="ED72" s="4"/>
      <c r="EE72" s="4"/>
      <c r="EF72" s="4"/>
      <c r="EG72" s="4"/>
      <c r="EH72" s="4"/>
      <c r="EI72" s="4"/>
      <c r="EJ72" s="4"/>
      <c r="EK72" s="4"/>
      <c r="EL72" s="4"/>
      <c r="EM72" s="4"/>
      <c r="EN72" s="4"/>
      <c r="EO72" s="4"/>
      <c r="EP72" s="4"/>
      <c r="EQ72" s="4"/>
      <c r="ER72" s="4"/>
      <c r="ES72" s="4"/>
      <c r="ET72" s="4"/>
      <c r="EU72" s="4"/>
      <c r="EV72" s="4"/>
      <c r="EW72" s="4"/>
      <c r="EX72" s="4"/>
      <c r="EY72" s="4"/>
      <c r="EZ72" s="4"/>
      <c r="FA72" s="4"/>
      <c r="FB72" s="4"/>
      <c r="FC72" s="4"/>
      <c r="FD72" s="4"/>
      <c r="FE72" s="4"/>
      <c r="FF72" s="4"/>
      <c r="FG72" s="4"/>
      <c r="FH72" s="4"/>
      <c r="FI72" s="4"/>
      <c r="FJ72" s="4"/>
      <c r="FK72" s="4"/>
      <c r="FL72" s="4"/>
      <c r="FM72" s="4"/>
      <c r="FN72" s="4"/>
      <c r="FO72" s="4"/>
      <c r="FP72" s="4"/>
      <c r="FQ72" s="4"/>
      <c r="FR72" s="4"/>
      <c r="FS72" s="4"/>
      <c r="FT72" s="4"/>
      <c r="FU72" s="4"/>
      <c r="FV72" s="4"/>
      <c r="FW72" s="4"/>
      <c r="FX72" s="4"/>
      <c r="FY72" s="4"/>
      <c r="FZ72" s="4"/>
      <c r="GA72" s="4"/>
      <c r="GB72" s="4"/>
      <c r="GC72" s="4"/>
      <c r="GD72" s="4"/>
      <c r="GE72" s="4"/>
      <c r="GF72" s="4"/>
      <c r="GG72" s="4"/>
    </row>
    <row r="73" spans="1:189" outlineLevel="1">
      <c r="A73" s="116"/>
      <c r="B73" s="116"/>
      <c r="C73" s="116">
        <v>2</v>
      </c>
      <c r="D73" s="3" t="s">
        <v>1220</v>
      </c>
      <c r="E73" s="180"/>
      <c r="F73" s="180" t="s">
        <v>1041</v>
      </c>
      <c r="G73" s="180"/>
      <c r="H73" s="180"/>
      <c r="I73" s="180"/>
      <c r="J73" s="180"/>
      <c r="K73" s="180"/>
      <c r="L73" s="180"/>
      <c r="M73" s="181">
        <v>45132</v>
      </c>
      <c r="N73" s="181">
        <v>45132</v>
      </c>
      <c r="O73" s="182"/>
      <c r="P73" s="183">
        <v>1</v>
      </c>
      <c r="Q73" s="183">
        <v>0</v>
      </c>
      <c r="R73" s="184">
        <v>1</v>
      </c>
      <c r="S73" s="184">
        <v>0</v>
      </c>
      <c r="T73" s="181"/>
      <c r="U73" s="181"/>
      <c r="V73" s="185"/>
      <c r="W73" s="186">
        <v>0</v>
      </c>
      <c r="X73" s="187">
        <v>1</v>
      </c>
      <c r="Y73" s="182"/>
      <c r="Z73" s="188"/>
      <c r="AA73" s="97">
        <v>0</v>
      </c>
      <c r="AB73" s="189">
        <v>0</v>
      </c>
      <c r="AC73" s="210"/>
      <c r="AD73" s="4"/>
      <c r="AE73" s="4"/>
      <c r="AF73" s="4"/>
      <c r="AG73" s="4"/>
      <c r="AH73" s="4"/>
      <c r="AI73" s="4"/>
      <c r="AJ73" s="4"/>
      <c r="AK73" s="4" t="str">
        <f>" " &amp; TEXT(AB73,"#0.00%") &amp; " " &amp; "Service Launch" &amp; " " &amp; IF(M73="","",TEXT(M73,"M/D-")) &amp; IF(N73="","",TEXT(N73,"M/D")) &amp; " "</f>
        <v xml:space="preserve"> 0.00% Service Launch 7/25-7/25 </v>
      </c>
      <c r="AL73" s="4"/>
      <c r="AM73" s="4"/>
      <c r="AN73" s="4"/>
      <c r="AO73" s="4"/>
      <c r="AP73" s="4"/>
      <c r="AQ73" s="4"/>
      <c r="AR73" s="4"/>
      <c r="AS73" s="4"/>
      <c r="AT73" s="4"/>
      <c r="AU73" s="4"/>
      <c r="AV73" s="4"/>
      <c r="AW73" s="4"/>
      <c r="AX73" s="4"/>
      <c r="AY73" s="4"/>
      <c r="AZ73" s="4"/>
      <c r="BA73" s="4"/>
      <c r="BB73" s="4"/>
      <c r="BC73" s="4"/>
      <c r="BD73" s="4"/>
      <c r="BE73" s="4"/>
      <c r="BF73" s="4"/>
      <c r="BG73" s="4"/>
      <c r="BH73" s="4"/>
      <c r="BI73" s="4"/>
      <c r="BJ73" s="4"/>
      <c r="BK73" s="4"/>
      <c r="BL73" s="4"/>
      <c r="BM73" s="4"/>
      <c r="BN73" s="4"/>
      <c r="BO73" s="4"/>
      <c r="BP73" s="4"/>
      <c r="BQ73" s="4"/>
      <c r="BR73" s="4"/>
      <c r="BS73" s="4"/>
      <c r="BT73" s="4"/>
      <c r="BU73" s="4"/>
      <c r="BV73" s="4"/>
      <c r="BW73" s="4"/>
      <c r="BX73" s="4"/>
      <c r="BY73" s="4"/>
      <c r="BZ73" s="4"/>
      <c r="CA73" s="4"/>
      <c r="CB73" s="4"/>
      <c r="CC73" s="4"/>
      <c r="CD73" s="4"/>
      <c r="CE73" s="4"/>
      <c r="CF73" s="4"/>
      <c r="CG73" s="4"/>
      <c r="CH73" s="4"/>
      <c r="CI73" s="4"/>
      <c r="CJ73" s="4"/>
      <c r="CK73" s="4"/>
      <c r="CL73" s="4"/>
      <c r="CM73" s="4"/>
      <c r="CN73" s="4"/>
      <c r="CO73" s="4"/>
      <c r="CP73" s="4"/>
      <c r="CQ73" s="4"/>
      <c r="CR73" s="4"/>
      <c r="CS73" s="4"/>
      <c r="CT73" s="4"/>
      <c r="CU73" s="4"/>
      <c r="CV73" s="4"/>
      <c r="CW73" s="4"/>
      <c r="CX73" s="4"/>
      <c r="CY73" s="4"/>
      <c r="CZ73" s="4"/>
      <c r="DA73" s="4"/>
      <c r="DB73" s="4"/>
      <c r="DC73" s="4"/>
      <c r="DD73" s="4"/>
      <c r="DE73" s="4"/>
      <c r="DF73" s="4"/>
      <c r="DG73" s="4"/>
      <c r="DH73" s="4"/>
      <c r="DI73" s="4"/>
      <c r="DJ73" s="4"/>
      <c r="DK73" s="4"/>
      <c r="DL73" s="4"/>
      <c r="DM73" s="4"/>
      <c r="DN73" s="4"/>
      <c r="DO73" s="4"/>
      <c r="DP73" s="4"/>
      <c r="DQ73" s="4"/>
      <c r="DR73" s="4"/>
      <c r="DS73" s="4"/>
      <c r="DT73" s="4"/>
      <c r="DU73" s="4"/>
      <c r="DV73" s="4"/>
      <c r="DW73" s="4"/>
      <c r="DX73" s="4"/>
      <c r="DY73" s="4"/>
      <c r="DZ73" s="4"/>
      <c r="EA73" s="4"/>
      <c r="EB73" s="4"/>
      <c r="EC73" s="4"/>
      <c r="ED73" s="4"/>
      <c r="EE73" s="4"/>
      <c r="EF73" s="4"/>
      <c r="EG73" s="4"/>
      <c r="EH73" s="4"/>
      <c r="EI73" s="4"/>
      <c r="EJ73" s="4"/>
      <c r="EK73" s="4"/>
      <c r="EL73" s="4"/>
      <c r="EM73" s="4"/>
      <c r="EN73" s="4"/>
      <c r="EO73" s="4"/>
      <c r="EP73" s="4"/>
      <c r="EQ73" s="4"/>
      <c r="ER73" s="4"/>
      <c r="ES73" s="4"/>
      <c r="ET73" s="4"/>
      <c r="EU73" s="4"/>
      <c r="EV73" s="4"/>
      <c r="EW73" s="4"/>
      <c r="EX73" s="4"/>
      <c r="EY73" s="4"/>
      <c r="EZ73" s="4"/>
      <c r="FA73" s="4"/>
      <c r="FB73" s="4"/>
      <c r="FC73" s="4"/>
      <c r="FD73" s="4"/>
      <c r="FE73" s="4"/>
      <c r="FF73" s="4"/>
      <c r="FG73" s="4"/>
      <c r="FH73" s="4"/>
      <c r="FI73" s="4"/>
      <c r="FJ73" s="4"/>
      <c r="FK73" s="4"/>
      <c r="FL73" s="4"/>
      <c r="FM73" s="4"/>
      <c r="FN73" s="4"/>
      <c r="FO73" s="4"/>
      <c r="FP73" s="4"/>
      <c r="FQ73" s="4"/>
      <c r="FR73" s="4"/>
      <c r="FS73" s="4"/>
      <c r="FT73" s="4"/>
      <c r="FU73" s="4"/>
      <c r="FV73" s="4"/>
      <c r="FW73" s="4"/>
      <c r="FX73" s="4"/>
      <c r="FY73" s="4"/>
      <c r="FZ73" s="4"/>
      <c r="GA73" s="4"/>
      <c r="GB73" s="4"/>
      <c r="GC73" s="4"/>
      <c r="GD73" s="4"/>
      <c r="GE73" s="4"/>
      <c r="GF73" s="4"/>
      <c r="GG73" s="4"/>
    </row>
    <row r="74" spans="1:189" outlineLevel="1">
      <c r="A74" s="116"/>
      <c r="B74" s="116"/>
      <c r="C74" s="116">
        <v>0</v>
      </c>
      <c r="D74" s="3"/>
      <c r="E74" s="180"/>
      <c r="F74" s="180"/>
      <c r="G74" s="180"/>
      <c r="H74" s="180"/>
      <c r="I74" s="180"/>
      <c r="J74" s="180"/>
      <c r="K74" s="180"/>
      <c r="L74" s="180"/>
      <c r="M74" s="181"/>
      <c r="N74" s="181"/>
      <c r="O74" s="182"/>
      <c r="P74" s="183"/>
      <c r="Q74" s="183"/>
      <c r="R74" s="184">
        <v>0</v>
      </c>
      <c r="S74" s="184">
        <v>0</v>
      </c>
      <c r="T74" s="181"/>
      <c r="U74" s="181"/>
      <c r="V74" s="185"/>
      <c r="W74" s="186">
        <v>0</v>
      </c>
      <c r="X74" s="187"/>
      <c r="Y74" s="182"/>
      <c r="Z74" s="188"/>
      <c r="AA74" s="97"/>
      <c r="AB74" s="189"/>
      <c r="AC74" s="210"/>
      <c r="AD74" s="4"/>
      <c r="AE74" s="4"/>
      <c r="AF74" s="4"/>
      <c r="AG74" s="4"/>
      <c r="AH74" s="4"/>
      <c r="AI74" s="4"/>
      <c r="AJ74" s="4"/>
      <c r="AK74" s="4"/>
      <c r="AL74" s="4"/>
      <c r="AM74" s="4"/>
      <c r="AN74" s="4"/>
      <c r="AO74" s="4"/>
      <c r="AP74" s="4"/>
      <c r="AQ74" s="4"/>
      <c r="AR74" s="4"/>
      <c r="AS74" s="4"/>
      <c r="AT74" s="4"/>
      <c r="AU74" s="4"/>
      <c r="AV74" s="4"/>
      <c r="AW74" s="4"/>
      <c r="AX74" s="4"/>
      <c r="AY74" s="4"/>
      <c r="AZ74" s="4"/>
      <c r="BA74" s="4"/>
      <c r="BB74" s="4"/>
      <c r="BC74" s="4"/>
      <c r="BD74" s="4"/>
      <c r="BE74" s="4"/>
      <c r="BF74" s="4"/>
      <c r="BG74" s="4"/>
      <c r="BH74" s="4"/>
      <c r="BI74" s="4"/>
      <c r="BJ74" s="4"/>
      <c r="BK74" s="4"/>
      <c r="BL74" s="4"/>
      <c r="BM74" s="4"/>
      <c r="BN74" s="4"/>
      <c r="BO74" s="4"/>
      <c r="BP74" s="4"/>
      <c r="BQ74" s="4"/>
      <c r="BR74" s="4"/>
      <c r="BS74" s="4"/>
      <c r="BT74" s="4"/>
      <c r="BU74" s="4"/>
      <c r="BV74" s="4"/>
      <c r="BW74" s="4"/>
      <c r="BX74" s="4"/>
      <c r="BY74" s="4"/>
      <c r="BZ74" s="4"/>
      <c r="CA74" s="4"/>
      <c r="CB74" s="4"/>
      <c r="CC74" s="4"/>
      <c r="CD74" s="4"/>
      <c r="CE74" s="4"/>
      <c r="CF74" s="4"/>
      <c r="CG74" s="4"/>
      <c r="CH74" s="4"/>
      <c r="CI74" s="4"/>
      <c r="CJ74" s="4"/>
      <c r="CK74" s="4"/>
      <c r="CL74" s="4"/>
      <c r="CM74" s="4"/>
      <c r="CN74" s="4"/>
      <c r="CO74" s="4"/>
      <c r="CP74" s="4"/>
      <c r="CQ74" s="4"/>
      <c r="CR74" s="4"/>
      <c r="CS74" s="4"/>
      <c r="CT74" s="4"/>
      <c r="CU74" s="4"/>
      <c r="CV74" s="4"/>
      <c r="CW74" s="4"/>
      <c r="CX74" s="4"/>
      <c r="CY74" s="4"/>
      <c r="CZ74" s="4"/>
      <c r="DA74" s="4"/>
      <c r="DB74" s="4"/>
      <c r="DC74" s="4"/>
      <c r="DD74" s="4"/>
      <c r="DE74" s="4"/>
      <c r="DF74" s="4"/>
      <c r="DG74" s="4"/>
      <c r="DH74" s="4"/>
      <c r="DI74" s="4"/>
      <c r="DJ74" s="4"/>
      <c r="DK74" s="4"/>
      <c r="DL74" s="4"/>
      <c r="DM74" s="4"/>
      <c r="DN74" s="4"/>
      <c r="DO74" s="4"/>
      <c r="DP74" s="4"/>
      <c r="DQ74" s="4"/>
      <c r="DR74" s="4"/>
      <c r="DS74" s="4"/>
      <c r="DT74" s="4"/>
      <c r="DU74" s="4"/>
      <c r="DV74" s="4"/>
      <c r="DW74" s="4"/>
      <c r="DX74" s="4"/>
      <c r="DY74" s="4"/>
      <c r="DZ74" s="4"/>
      <c r="EA74" s="4"/>
      <c r="EB74" s="4"/>
      <c r="EC74" s="4"/>
      <c r="ED74" s="4"/>
      <c r="EE74" s="4"/>
      <c r="EF74" s="4"/>
      <c r="EG74" s="4"/>
      <c r="EH74" s="4"/>
      <c r="EI74" s="4"/>
      <c r="EJ74" s="4"/>
      <c r="EK74" s="4"/>
      <c r="EL74" s="4"/>
      <c r="EM74" s="4"/>
      <c r="EN74" s="4"/>
      <c r="EO74" s="4"/>
      <c r="EP74" s="4"/>
      <c r="EQ74" s="4"/>
      <c r="ER74" s="4"/>
      <c r="ES74" s="4"/>
      <c r="ET74" s="4"/>
      <c r="EU74" s="4"/>
      <c r="EV74" s="4"/>
      <c r="EW74" s="4"/>
      <c r="EX74" s="4"/>
      <c r="EY74" s="4"/>
      <c r="EZ74" s="4"/>
      <c r="FA74" s="4"/>
      <c r="FB74" s="4"/>
      <c r="FC74" s="4"/>
      <c r="FD74" s="4"/>
      <c r="FE74" s="4"/>
      <c r="FF74" s="4"/>
      <c r="FG74" s="4"/>
      <c r="FH74" s="4"/>
      <c r="FI74" s="4"/>
      <c r="FJ74" s="4"/>
      <c r="FK74" s="4"/>
      <c r="FL74" s="4"/>
      <c r="FM74" s="4"/>
      <c r="FN74" s="4"/>
      <c r="FO74" s="4"/>
      <c r="FP74" s="4"/>
      <c r="FQ74" s="4"/>
      <c r="FR74" s="4"/>
      <c r="FS74" s="4"/>
      <c r="FT74" s="4"/>
      <c r="FU74" s="4"/>
      <c r="FV74" s="4"/>
      <c r="FW74" s="4"/>
      <c r="FX74" s="4"/>
      <c r="FY74" s="4"/>
      <c r="FZ74" s="4"/>
      <c r="GA74" s="4"/>
      <c r="GB74" s="4"/>
      <c r="GC74" s="4"/>
      <c r="GD74" s="4"/>
      <c r="GE74" s="4"/>
      <c r="GF74" s="4"/>
      <c r="GG74" s="4"/>
    </row>
    <row r="75" spans="1:189">
      <c r="A75" s="116"/>
      <c r="B75" s="116" t="s">
        <v>983</v>
      </c>
      <c r="C75" s="116">
        <v>1</v>
      </c>
      <c r="D75" s="3" t="s">
        <v>1116</v>
      </c>
      <c r="E75" s="180" t="s">
        <v>1068</v>
      </c>
      <c r="F75" s="180"/>
      <c r="G75" s="180"/>
      <c r="H75" s="180"/>
      <c r="I75" s="180"/>
      <c r="J75" s="180"/>
      <c r="K75" s="180"/>
      <c r="L75" s="180"/>
      <c r="M75" s="181">
        <v>45089</v>
      </c>
      <c r="N75" s="181">
        <v>45128</v>
      </c>
      <c r="O75" s="182"/>
      <c r="P75" s="183">
        <v>30</v>
      </c>
      <c r="Q75" s="183">
        <v>6</v>
      </c>
      <c r="R75" s="184">
        <v>30</v>
      </c>
      <c r="S75" s="184">
        <v>6</v>
      </c>
      <c r="T75" s="181"/>
      <c r="U75" s="181"/>
      <c r="V75" s="185">
        <v>0</v>
      </c>
      <c r="W75" s="186">
        <v>0</v>
      </c>
      <c r="X75" s="187"/>
      <c r="Y75" s="182"/>
      <c r="Z75" s="188"/>
      <c r="AA75" s="97">
        <v>0.2</v>
      </c>
      <c r="AB75" s="189">
        <v>0.05</v>
      </c>
      <c r="AC75" s="210"/>
      <c r="AD75" s="4"/>
      <c r="AE75" s="4" t="str">
        <f>"  " &amp; TEXT(AB75,"#0.00%") &amp; " "</f>
        <v xml:space="preserve">  5.00% </v>
      </c>
      <c r="AF75" s="4"/>
      <c r="AG75" s="4"/>
      <c r="AH75" s="4"/>
      <c r="AI75" s="4"/>
      <c r="AJ75" s="4" t="str">
        <f>"     " &amp; "[2110-18] Zeropay in Mobile App" &amp; " " &amp; IF(M75="","",TEXT(M75,"M/D-")) &amp; IF(N75="","",TEXT(N75,"M/D")) &amp; " "</f>
        <v xml:space="preserve">     [2110-18] Zeropay in Mobile App 6/12-7/21 </v>
      </c>
      <c r="AK75" s="4"/>
      <c r="AL75" s="4"/>
      <c r="AM75" s="4"/>
      <c r="AN75" s="4"/>
      <c r="AO75" s="4"/>
      <c r="AP75" s="4"/>
      <c r="AQ75" s="4"/>
      <c r="AR75" s="4"/>
      <c r="AS75" s="4"/>
      <c r="AT75" s="4"/>
      <c r="AU75" s="4"/>
      <c r="AV75" s="4"/>
      <c r="AW75" s="4"/>
      <c r="AX75" s="4"/>
      <c r="AY75" s="4"/>
      <c r="AZ75" s="4"/>
      <c r="BA75" s="4"/>
      <c r="BB75" s="4"/>
      <c r="BC75" s="4"/>
      <c r="BD75" s="4"/>
      <c r="BE75" s="4"/>
      <c r="BF75" s="4"/>
      <c r="BG75" s="4"/>
      <c r="BH75" s="4"/>
      <c r="BI75" s="4"/>
      <c r="BJ75" s="4"/>
      <c r="BK75" s="4"/>
      <c r="BL75" s="4"/>
      <c r="BM75" s="4"/>
      <c r="BN75" s="4"/>
      <c r="BO75" s="4"/>
      <c r="BP75" s="4"/>
      <c r="BQ75" s="4"/>
      <c r="BR75" s="4"/>
      <c r="BS75" s="4"/>
      <c r="BT75" s="4"/>
      <c r="BU75" s="4"/>
      <c r="BV75" s="4"/>
      <c r="BW75" s="4"/>
      <c r="BX75" s="4"/>
      <c r="BY75" s="4"/>
      <c r="BZ75" s="4"/>
      <c r="CA75" s="4"/>
      <c r="CB75" s="4"/>
      <c r="CC75" s="4"/>
      <c r="CD75" s="4"/>
      <c r="CE75" s="4"/>
      <c r="CF75" s="4"/>
      <c r="CG75" s="4"/>
      <c r="CH75" s="4"/>
      <c r="CI75" s="4"/>
      <c r="CJ75" s="4"/>
      <c r="CK75" s="4"/>
      <c r="CL75" s="4"/>
      <c r="CM75" s="4"/>
      <c r="CN75" s="4"/>
      <c r="CO75" s="4"/>
      <c r="CP75" s="4"/>
      <c r="CQ75" s="4"/>
      <c r="CR75" s="4"/>
      <c r="CS75" s="4"/>
      <c r="CT75" s="4"/>
      <c r="CU75" s="4"/>
      <c r="CV75" s="4"/>
      <c r="CW75" s="4"/>
      <c r="CX75" s="4"/>
      <c r="CY75" s="4"/>
      <c r="CZ75" s="4"/>
      <c r="DA75" s="4"/>
      <c r="DB75" s="4"/>
      <c r="DC75" s="4"/>
      <c r="DD75" s="4"/>
      <c r="DE75" s="4"/>
      <c r="DF75" s="4"/>
      <c r="DG75" s="4"/>
      <c r="DH75" s="4"/>
      <c r="DI75" s="4"/>
      <c r="DJ75" s="4"/>
      <c r="DK75" s="4"/>
      <c r="DL75" s="4"/>
      <c r="DM75" s="4"/>
      <c r="DN75" s="4"/>
      <c r="DO75" s="4"/>
      <c r="DP75" s="4"/>
      <c r="DQ75" s="4"/>
      <c r="DR75" s="4"/>
      <c r="DS75" s="4"/>
      <c r="DT75" s="4"/>
      <c r="DU75" s="4"/>
      <c r="DV75" s="4"/>
      <c r="DW75" s="4"/>
      <c r="DX75" s="4"/>
      <c r="DY75" s="4"/>
      <c r="DZ75" s="4"/>
      <c r="EA75" s="4"/>
      <c r="EB75" s="4"/>
      <c r="EC75" s="4"/>
      <c r="ED75" s="4"/>
      <c r="EE75" s="4"/>
      <c r="EF75" s="4"/>
      <c r="EG75" s="4"/>
      <c r="EH75" s="4"/>
      <c r="EI75" s="4"/>
      <c r="EJ75" s="4"/>
      <c r="EK75" s="4"/>
      <c r="EL75" s="4"/>
      <c r="EM75" s="4"/>
      <c r="EN75" s="4"/>
      <c r="EO75" s="4"/>
      <c r="EP75" s="4"/>
      <c r="EQ75" s="4"/>
      <c r="ER75" s="4"/>
      <c r="ES75" s="4"/>
      <c r="ET75" s="4"/>
      <c r="EU75" s="4"/>
      <c r="EV75" s="4"/>
      <c r="EW75" s="4"/>
      <c r="EX75" s="4"/>
      <c r="EY75" s="4"/>
      <c r="EZ75" s="4"/>
      <c r="FA75" s="4"/>
      <c r="FB75" s="4"/>
      <c r="FC75" s="4"/>
      <c r="FD75" s="4"/>
      <c r="FE75" s="4"/>
      <c r="FF75" s="4"/>
      <c r="FG75" s="4"/>
      <c r="FH75" s="4"/>
      <c r="FI75" s="4"/>
      <c r="FJ75" s="4"/>
      <c r="FK75" s="4"/>
      <c r="FL75" s="4"/>
      <c r="FM75" s="4"/>
      <c r="FN75" s="4"/>
      <c r="FO75" s="4"/>
      <c r="FP75" s="4"/>
      <c r="FQ75" s="4"/>
      <c r="FR75" s="4"/>
      <c r="FS75" s="4"/>
      <c r="FT75" s="4"/>
      <c r="FU75" s="4"/>
      <c r="FV75" s="4"/>
      <c r="FW75" s="4"/>
      <c r="FX75" s="4"/>
      <c r="FY75" s="4"/>
      <c r="FZ75" s="4"/>
      <c r="GA75" s="4"/>
      <c r="GB75" s="4"/>
      <c r="GC75" s="4"/>
      <c r="GD75" s="4"/>
      <c r="GE75" s="4"/>
      <c r="GF75" s="4"/>
      <c r="GG75" s="4"/>
    </row>
    <row r="76" spans="1:189" outlineLevel="1">
      <c r="A76" s="116"/>
      <c r="B76" s="116"/>
      <c r="C76" s="116">
        <v>2</v>
      </c>
      <c r="D76" s="3" t="s">
        <v>1128</v>
      </c>
      <c r="E76" s="180"/>
      <c r="F76" s="180" t="s">
        <v>1038</v>
      </c>
      <c r="G76" s="180"/>
      <c r="H76" s="180"/>
      <c r="I76" s="180"/>
      <c r="J76" s="180"/>
      <c r="K76" s="180"/>
      <c r="L76" s="180"/>
      <c r="M76" s="181"/>
      <c r="N76" s="181"/>
      <c r="O76" s="182"/>
      <c r="P76" s="183">
        <v>0</v>
      </c>
      <c r="Q76" s="183">
        <v>0</v>
      </c>
      <c r="R76" s="184">
        <v>0</v>
      </c>
      <c r="S76" s="184">
        <v>0</v>
      </c>
      <c r="T76" s="181"/>
      <c r="U76" s="181"/>
      <c r="V76" s="185">
        <v>0</v>
      </c>
      <c r="W76" s="186">
        <v>0</v>
      </c>
      <c r="X76" s="187"/>
      <c r="Y76" s="182"/>
      <c r="Z76" s="188"/>
      <c r="AA76" s="97">
        <v>0</v>
      </c>
      <c r="AB76" s="189">
        <v>0</v>
      </c>
      <c r="AC76" s="210"/>
      <c r="AD76" s="4"/>
      <c r="AE76" s="4"/>
      <c r="AF76" s="4"/>
      <c r="AG76" s="4"/>
      <c r="AH76" s="4"/>
      <c r="AI76" s="4"/>
      <c r="AJ76" s="4"/>
      <c r="AK76" s="4"/>
      <c r="AL76" s="4"/>
      <c r="AM76" s="4"/>
      <c r="AN76" s="4"/>
      <c r="AO76" s="4"/>
      <c r="AP76" s="4"/>
      <c r="AQ76" s="4"/>
      <c r="AR76" s="4"/>
      <c r="AS76" s="4"/>
      <c r="AT76" s="4"/>
      <c r="AU76" s="4"/>
      <c r="AV76" s="4"/>
      <c r="AW76" s="4"/>
      <c r="AX76" s="4"/>
      <c r="AY76" s="4"/>
      <c r="AZ76" s="4"/>
      <c r="BA76" s="4"/>
      <c r="BB76" s="4"/>
      <c r="BC76" s="4"/>
      <c r="BD76" s="4"/>
      <c r="BE76" s="4"/>
      <c r="BF76" s="4"/>
      <c r="BG76" s="4"/>
      <c r="BH76" s="4"/>
      <c r="BI76" s="4"/>
      <c r="BJ76" s="4"/>
      <c r="BK76" s="4"/>
      <c r="BL76" s="4"/>
      <c r="BM76" s="4"/>
      <c r="BN76" s="4"/>
      <c r="BO76" s="4"/>
      <c r="BP76" s="4"/>
      <c r="BQ76" s="4"/>
      <c r="BR76" s="4"/>
      <c r="BS76" s="4"/>
      <c r="BT76" s="4"/>
      <c r="BU76" s="4"/>
      <c r="BV76" s="4"/>
      <c r="BW76" s="4"/>
      <c r="BX76" s="4"/>
      <c r="BY76" s="4"/>
      <c r="BZ76" s="4"/>
      <c r="CA76" s="4"/>
      <c r="CB76" s="4"/>
      <c r="CC76" s="4"/>
      <c r="CD76" s="4"/>
      <c r="CE76" s="4"/>
      <c r="CF76" s="4"/>
      <c r="CG76" s="4"/>
      <c r="CH76" s="4"/>
      <c r="CI76" s="4"/>
      <c r="CJ76" s="4"/>
      <c r="CK76" s="4"/>
      <c r="CL76" s="4"/>
      <c r="CM76" s="4"/>
      <c r="CN76" s="4"/>
      <c r="CO76" s="4"/>
      <c r="CP76" s="4"/>
      <c r="CQ76" s="4"/>
      <c r="CR76" s="4"/>
      <c r="CS76" s="4"/>
      <c r="CT76" s="4"/>
      <c r="CU76" s="4"/>
      <c r="CV76" s="4"/>
      <c r="CW76" s="4"/>
      <c r="CX76" s="4"/>
      <c r="CY76" s="4"/>
      <c r="CZ76" s="4"/>
      <c r="DA76" s="4"/>
      <c r="DB76" s="4"/>
      <c r="DC76" s="4"/>
      <c r="DD76" s="4"/>
      <c r="DE76" s="4"/>
      <c r="DF76" s="4"/>
      <c r="DG76" s="4"/>
      <c r="DH76" s="4"/>
      <c r="DI76" s="4"/>
      <c r="DJ76" s="4"/>
      <c r="DK76" s="4"/>
      <c r="DL76" s="4"/>
      <c r="DM76" s="4"/>
      <c r="DN76" s="4"/>
      <c r="DO76" s="4"/>
      <c r="DP76" s="4"/>
      <c r="DQ76" s="4"/>
      <c r="DR76" s="4"/>
      <c r="DS76" s="4"/>
      <c r="DT76" s="4"/>
      <c r="DU76" s="4"/>
      <c r="DV76" s="4"/>
      <c r="DW76" s="4"/>
      <c r="DX76" s="4"/>
      <c r="DY76" s="4"/>
      <c r="DZ76" s="4"/>
      <c r="EA76" s="4"/>
      <c r="EB76" s="4"/>
      <c r="EC76" s="4"/>
      <c r="ED76" s="4"/>
      <c r="EE76" s="4"/>
      <c r="EF76" s="4"/>
      <c r="EG76" s="4"/>
      <c r="EH76" s="4"/>
      <c r="EI76" s="4"/>
      <c r="EJ76" s="4"/>
      <c r="EK76" s="4"/>
      <c r="EL76" s="4"/>
      <c r="EM76" s="4"/>
      <c r="EN76" s="4"/>
      <c r="EO76" s="4"/>
      <c r="EP76" s="4"/>
      <c r="EQ76" s="4"/>
      <c r="ER76" s="4"/>
      <c r="ES76" s="4"/>
      <c r="ET76" s="4"/>
      <c r="EU76" s="4"/>
      <c r="EV76" s="4"/>
      <c r="EW76" s="4"/>
      <c r="EX76" s="4"/>
      <c r="EY76" s="4"/>
      <c r="EZ76" s="4"/>
      <c r="FA76" s="4"/>
      <c r="FB76" s="4"/>
      <c r="FC76" s="4"/>
      <c r="FD76" s="4"/>
      <c r="FE76" s="4"/>
      <c r="FF76" s="4"/>
      <c r="FG76" s="4"/>
      <c r="FH76" s="4"/>
      <c r="FI76" s="4"/>
      <c r="FJ76" s="4"/>
      <c r="FK76" s="4"/>
      <c r="FL76" s="4"/>
      <c r="FM76" s="4"/>
      <c r="FN76" s="4"/>
      <c r="FO76" s="4"/>
      <c r="FP76" s="4"/>
      <c r="FQ76" s="4"/>
      <c r="FR76" s="4"/>
      <c r="FS76" s="4"/>
      <c r="FT76" s="4"/>
      <c r="FU76" s="4"/>
      <c r="FV76" s="4"/>
      <c r="FW76" s="4"/>
      <c r="FX76" s="4"/>
      <c r="FY76" s="4"/>
      <c r="FZ76" s="4"/>
      <c r="GA76" s="4"/>
      <c r="GB76" s="4"/>
      <c r="GC76" s="4"/>
      <c r="GD76" s="4"/>
      <c r="GE76" s="4"/>
      <c r="GF76" s="4"/>
      <c r="GG76" s="4"/>
    </row>
    <row r="77" spans="1:189" ht="13.2" outlineLevel="1">
      <c r="A77" s="116"/>
      <c r="B77" s="116"/>
      <c r="C77" s="116">
        <v>2</v>
      </c>
      <c r="D77" s="3" t="s">
        <v>1129</v>
      </c>
      <c r="E77" s="207"/>
      <c r="F77" s="180" t="s">
        <v>1040</v>
      </c>
      <c r="G77" s="180"/>
      <c r="H77" s="180"/>
      <c r="I77" s="180"/>
      <c r="J77" s="180"/>
      <c r="K77" s="180"/>
      <c r="L77" s="180"/>
      <c r="M77" s="181">
        <v>45089</v>
      </c>
      <c r="N77" s="181">
        <v>45107</v>
      </c>
      <c r="O77" s="182"/>
      <c r="P77" s="183">
        <v>15</v>
      </c>
      <c r="Q77" s="183">
        <v>6</v>
      </c>
      <c r="R77" s="184">
        <v>15</v>
      </c>
      <c r="S77" s="184">
        <v>6</v>
      </c>
      <c r="T77" s="181"/>
      <c r="U77" s="181"/>
      <c r="V77" s="185"/>
      <c r="W77" s="186">
        <v>0</v>
      </c>
      <c r="X77" s="187">
        <v>1</v>
      </c>
      <c r="Y77" s="182" t="s">
        <v>1182</v>
      </c>
      <c r="Z77" s="188"/>
      <c r="AA77" s="97">
        <v>0.4</v>
      </c>
      <c r="AB77" s="189">
        <v>0.1</v>
      </c>
      <c r="AC77" s="210"/>
      <c r="AD77" s="4"/>
      <c r="AE77" s="4" t="str">
        <f>"  " &amp; TEXT(AB77,"#0.00%") &amp; " " &amp; "Test in TB" &amp; "(Sapumal,Thav)" &amp; " " &amp; IF(M77="","",TEXT(M77,"M/D-")) &amp; IF(N77="","",TEXT(N77,"M/D")) &amp; " "</f>
        <v xml:space="preserve">  10.00% Test in TB(Sapumal,Thav) 6/12-6/30 </v>
      </c>
      <c r="AF77" s="4"/>
      <c r="AG77" s="4"/>
      <c r="AH77" s="4"/>
      <c r="AI77" s="4"/>
      <c r="AJ77" s="4"/>
      <c r="AK77" s="4"/>
      <c r="AL77" s="4"/>
      <c r="AM77" s="4"/>
      <c r="AN77" s="4"/>
      <c r="AO77" s="4"/>
      <c r="AP77" s="4"/>
      <c r="AQ77" s="4"/>
      <c r="AR77" s="4"/>
      <c r="AS77" s="4"/>
      <c r="AT77" s="4"/>
      <c r="AU77" s="4"/>
      <c r="AV77" s="4"/>
      <c r="AW77" s="4"/>
      <c r="AX77" s="4"/>
      <c r="AY77" s="4"/>
      <c r="AZ77" s="4"/>
      <c r="BA77" s="4"/>
      <c r="BB77" s="4"/>
      <c r="BC77" s="4"/>
      <c r="BD77" s="4"/>
      <c r="BE77" s="4"/>
      <c r="BF77" s="4"/>
      <c r="BG77" s="4"/>
      <c r="BH77" s="4"/>
      <c r="BI77" s="4"/>
      <c r="BJ77" s="4"/>
      <c r="BK77" s="4"/>
      <c r="BL77" s="4"/>
      <c r="BM77" s="4"/>
      <c r="BN77" s="4"/>
      <c r="BO77" s="4"/>
      <c r="BP77" s="4"/>
      <c r="BQ77" s="4"/>
      <c r="BR77" s="4"/>
      <c r="BS77" s="4"/>
      <c r="BT77" s="4"/>
      <c r="BU77" s="4"/>
      <c r="BV77" s="4"/>
      <c r="BW77" s="4"/>
      <c r="BX77" s="4"/>
      <c r="BY77" s="4"/>
      <c r="BZ77" s="4"/>
      <c r="CA77" s="4"/>
      <c r="CB77" s="4"/>
      <c r="CC77" s="4"/>
      <c r="CD77" s="4"/>
      <c r="CE77" s="4"/>
      <c r="CF77" s="4"/>
      <c r="CG77" s="4"/>
      <c r="CH77" s="4"/>
      <c r="CI77" s="4"/>
      <c r="CJ77" s="4"/>
      <c r="CK77" s="4"/>
      <c r="CL77" s="4"/>
      <c r="CM77" s="4"/>
      <c r="CN77" s="4"/>
      <c r="CO77" s="4"/>
      <c r="CP77" s="4"/>
      <c r="CQ77" s="4"/>
      <c r="CR77" s="4"/>
      <c r="CS77" s="4"/>
      <c r="CT77" s="4"/>
      <c r="CU77" s="4"/>
      <c r="CV77" s="4"/>
      <c r="CW77" s="4"/>
      <c r="CX77" s="4"/>
      <c r="CY77" s="4"/>
      <c r="CZ77" s="4"/>
      <c r="DA77" s="4"/>
      <c r="DB77" s="4"/>
      <c r="DC77" s="4"/>
      <c r="DD77" s="4"/>
      <c r="DE77" s="4"/>
      <c r="DF77" s="4"/>
      <c r="DG77" s="4"/>
      <c r="DH77" s="4"/>
      <c r="DI77" s="4"/>
      <c r="DJ77" s="4"/>
      <c r="DK77" s="4"/>
      <c r="DL77" s="4"/>
      <c r="DM77" s="4"/>
      <c r="DN77" s="4"/>
      <c r="DO77" s="4"/>
      <c r="DP77" s="4"/>
      <c r="DQ77" s="4"/>
      <c r="DR77" s="4"/>
      <c r="DS77" s="4"/>
      <c r="DT77" s="4"/>
      <c r="DU77" s="4"/>
      <c r="DV77" s="4"/>
      <c r="DW77" s="4"/>
      <c r="DX77" s="4"/>
      <c r="DY77" s="4"/>
      <c r="DZ77" s="4"/>
      <c r="EA77" s="4"/>
      <c r="EB77" s="4"/>
      <c r="EC77" s="4"/>
      <c r="ED77" s="4"/>
      <c r="EE77" s="4"/>
      <c r="EF77" s="4"/>
      <c r="EG77" s="4"/>
      <c r="EH77" s="4"/>
      <c r="EI77" s="4"/>
      <c r="EJ77" s="4"/>
      <c r="EK77" s="4"/>
      <c r="EL77" s="4"/>
      <c r="EM77" s="4"/>
      <c r="EN77" s="4"/>
      <c r="EO77" s="4"/>
      <c r="EP77" s="4"/>
      <c r="EQ77" s="4"/>
      <c r="ER77" s="4"/>
      <c r="ES77" s="4"/>
      <c r="ET77" s="4"/>
      <c r="EU77" s="4"/>
      <c r="EV77" s="4"/>
      <c r="EW77" s="4"/>
      <c r="EX77" s="4"/>
      <c r="EY77" s="4"/>
      <c r="EZ77" s="4"/>
      <c r="FA77" s="4"/>
      <c r="FB77" s="4"/>
      <c r="FC77" s="4"/>
      <c r="FD77" s="4"/>
      <c r="FE77" s="4"/>
      <c r="FF77" s="4"/>
      <c r="FG77" s="4"/>
      <c r="FH77" s="4"/>
      <c r="FI77" s="4"/>
      <c r="FJ77" s="4"/>
      <c r="FK77" s="4"/>
      <c r="FL77" s="4"/>
      <c r="FM77" s="4"/>
      <c r="FN77" s="4"/>
      <c r="FO77" s="4"/>
      <c r="FP77" s="4"/>
      <c r="FQ77" s="4"/>
      <c r="FR77" s="4"/>
      <c r="FS77" s="4"/>
      <c r="FT77" s="4"/>
      <c r="FU77" s="4"/>
      <c r="FV77" s="4"/>
      <c r="FW77" s="4"/>
      <c r="FX77" s="4"/>
      <c r="FY77" s="4"/>
      <c r="FZ77" s="4"/>
      <c r="GA77" s="4"/>
      <c r="GB77" s="4"/>
      <c r="GC77" s="4"/>
      <c r="GD77" s="4"/>
      <c r="GE77" s="4"/>
      <c r="GF77" s="4"/>
      <c r="GG77" s="4"/>
    </row>
    <row r="78" spans="1:189" outlineLevel="1">
      <c r="A78" s="116"/>
      <c r="B78" s="116"/>
      <c r="C78" s="116">
        <v>2</v>
      </c>
      <c r="D78" s="3" t="s">
        <v>1130</v>
      </c>
      <c r="E78" s="180"/>
      <c r="F78" s="180" t="s">
        <v>1039</v>
      </c>
      <c r="G78" s="180"/>
      <c r="H78" s="180"/>
      <c r="I78" s="180"/>
      <c r="J78" s="180"/>
      <c r="K78" s="180"/>
      <c r="L78" s="180"/>
      <c r="M78" s="181">
        <v>45110</v>
      </c>
      <c r="N78" s="181">
        <v>45121</v>
      </c>
      <c r="O78" s="182"/>
      <c r="P78" s="183">
        <v>10</v>
      </c>
      <c r="Q78" s="183">
        <v>0</v>
      </c>
      <c r="R78" s="184">
        <v>10</v>
      </c>
      <c r="S78" s="184">
        <v>0</v>
      </c>
      <c r="T78" s="181"/>
      <c r="U78" s="181"/>
      <c r="V78" s="185"/>
      <c r="W78" s="186">
        <v>0</v>
      </c>
      <c r="X78" s="187">
        <v>1</v>
      </c>
      <c r="Y78" s="182"/>
      <c r="Z78" s="188"/>
      <c r="AA78" s="97">
        <v>0</v>
      </c>
      <c r="AB78" s="189">
        <v>0</v>
      </c>
      <c r="AC78" s="210"/>
      <c r="AD78" s="4"/>
      <c r="AE78" s="4"/>
      <c r="AF78" s="4"/>
      <c r="AG78" s="4"/>
      <c r="AH78" s="4" t="str">
        <f>"" &amp; TEXT(AB78,"#0.00%") &amp; " " &amp; "Test in Live" &amp; " " &amp; IF(M78="","",TEXT(M78,"M/D-")) &amp; IF(N78="","",TEXT(N78,"M/D")) &amp; " "</f>
        <v xml:space="preserve">0.00% Test in Live 7/3-7/14 </v>
      </c>
      <c r="AI78" s="4"/>
      <c r="AJ78" s="4"/>
      <c r="AK78" s="4"/>
      <c r="AL78" s="4"/>
      <c r="AM78" s="4"/>
      <c r="AN78" s="4"/>
      <c r="AO78" s="4"/>
      <c r="AP78" s="4"/>
      <c r="AQ78" s="4"/>
      <c r="AR78" s="4"/>
      <c r="AS78" s="4"/>
      <c r="AT78" s="4"/>
      <c r="AU78" s="4"/>
      <c r="AV78" s="4"/>
      <c r="AW78" s="4"/>
      <c r="AX78" s="4"/>
      <c r="AY78" s="4"/>
      <c r="AZ78" s="4"/>
      <c r="BA78" s="4"/>
      <c r="BB78" s="4"/>
      <c r="BC78" s="4"/>
      <c r="BD78" s="4"/>
      <c r="BE78" s="4"/>
      <c r="BF78" s="4"/>
      <c r="BG78" s="4"/>
      <c r="BH78" s="4"/>
      <c r="BI78" s="4"/>
      <c r="BJ78" s="4"/>
      <c r="BK78" s="4"/>
      <c r="BL78" s="4"/>
      <c r="BM78" s="4"/>
      <c r="BN78" s="4"/>
      <c r="BO78" s="4"/>
      <c r="BP78" s="4"/>
      <c r="BQ78" s="4"/>
      <c r="BR78" s="4"/>
      <c r="BS78" s="4"/>
      <c r="BT78" s="4"/>
      <c r="BU78" s="4"/>
      <c r="BV78" s="4"/>
      <c r="BW78" s="4"/>
      <c r="BX78" s="4"/>
      <c r="BY78" s="4"/>
      <c r="BZ78" s="4"/>
      <c r="CA78" s="4"/>
      <c r="CB78" s="4"/>
      <c r="CC78" s="4"/>
      <c r="CD78" s="4"/>
      <c r="CE78" s="4"/>
      <c r="CF78" s="4"/>
      <c r="CG78" s="4"/>
      <c r="CH78" s="4"/>
      <c r="CI78" s="4"/>
      <c r="CJ78" s="4"/>
      <c r="CK78" s="4"/>
      <c r="CL78" s="4"/>
      <c r="CM78" s="4"/>
      <c r="CN78" s="4"/>
      <c r="CO78" s="4"/>
      <c r="CP78" s="4"/>
      <c r="CQ78" s="4"/>
      <c r="CR78" s="4"/>
      <c r="CS78" s="4"/>
      <c r="CT78" s="4"/>
      <c r="CU78" s="4"/>
      <c r="CV78" s="4"/>
      <c r="CW78" s="4"/>
      <c r="CX78" s="4"/>
      <c r="CY78" s="4"/>
      <c r="CZ78" s="4"/>
      <c r="DA78" s="4"/>
      <c r="DB78" s="4"/>
      <c r="DC78" s="4"/>
      <c r="DD78" s="4"/>
      <c r="DE78" s="4"/>
      <c r="DF78" s="4"/>
      <c r="DG78" s="4"/>
      <c r="DH78" s="4"/>
      <c r="DI78" s="4"/>
      <c r="DJ78" s="4"/>
      <c r="DK78" s="4"/>
      <c r="DL78" s="4"/>
      <c r="DM78" s="4"/>
      <c r="DN78" s="4"/>
      <c r="DO78" s="4"/>
      <c r="DP78" s="4"/>
      <c r="DQ78" s="4"/>
      <c r="DR78" s="4"/>
      <c r="DS78" s="4"/>
      <c r="DT78" s="4"/>
      <c r="DU78" s="4"/>
      <c r="DV78" s="4"/>
      <c r="DW78" s="4"/>
      <c r="DX78" s="4"/>
      <c r="DY78" s="4"/>
      <c r="DZ78" s="4"/>
      <c r="EA78" s="4"/>
      <c r="EB78" s="4"/>
      <c r="EC78" s="4"/>
      <c r="ED78" s="4"/>
      <c r="EE78" s="4"/>
      <c r="EF78" s="4"/>
      <c r="EG78" s="4"/>
      <c r="EH78" s="4"/>
      <c r="EI78" s="4"/>
      <c r="EJ78" s="4"/>
      <c r="EK78" s="4"/>
      <c r="EL78" s="4"/>
      <c r="EM78" s="4"/>
      <c r="EN78" s="4"/>
      <c r="EO78" s="4"/>
      <c r="EP78" s="4"/>
      <c r="EQ78" s="4"/>
      <c r="ER78" s="4"/>
      <c r="ES78" s="4"/>
      <c r="ET78" s="4"/>
      <c r="EU78" s="4"/>
      <c r="EV78" s="4"/>
      <c r="EW78" s="4"/>
      <c r="EX78" s="4"/>
      <c r="EY78" s="4"/>
      <c r="EZ78" s="4"/>
      <c r="FA78" s="4"/>
      <c r="FB78" s="4"/>
      <c r="FC78" s="4"/>
      <c r="FD78" s="4"/>
      <c r="FE78" s="4"/>
      <c r="FF78" s="4"/>
      <c r="FG78" s="4"/>
      <c r="FH78" s="4"/>
      <c r="FI78" s="4"/>
      <c r="FJ78" s="4"/>
      <c r="FK78" s="4"/>
      <c r="FL78" s="4"/>
      <c r="FM78" s="4"/>
      <c r="FN78" s="4"/>
      <c r="FO78" s="4"/>
      <c r="FP78" s="4"/>
      <c r="FQ78" s="4"/>
      <c r="FR78" s="4"/>
      <c r="FS78" s="4"/>
      <c r="FT78" s="4"/>
      <c r="FU78" s="4"/>
      <c r="FV78" s="4"/>
      <c r="FW78" s="4"/>
      <c r="FX78" s="4"/>
      <c r="FY78" s="4"/>
      <c r="FZ78" s="4"/>
      <c r="GA78" s="4"/>
      <c r="GB78" s="4"/>
      <c r="GC78" s="4"/>
      <c r="GD78" s="4"/>
      <c r="GE78" s="4"/>
      <c r="GF78" s="4"/>
      <c r="GG78" s="4"/>
    </row>
    <row r="79" spans="1:189" outlineLevel="1">
      <c r="A79" s="116"/>
      <c r="B79" s="116"/>
      <c r="C79" s="116">
        <v>2</v>
      </c>
      <c r="D79" s="3" t="s">
        <v>1131</v>
      </c>
      <c r="E79" s="180"/>
      <c r="F79" s="180" t="s">
        <v>1041</v>
      </c>
      <c r="G79" s="180"/>
      <c r="H79" s="180"/>
      <c r="I79" s="180"/>
      <c r="J79" s="180"/>
      <c r="K79" s="180"/>
      <c r="L79" s="180"/>
      <c r="M79" s="181">
        <v>45124</v>
      </c>
      <c r="N79" s="181">
        <v>45128</v>
      </c>
      <c r="O79" s="182"/>
      <c r="P79" s="183">
        <v>5</v>
      </c>
      <c r="Q79" s="183">
        <v>0</v>
      </c>
      <c r="R79" s="184">
        <v>5</v>
      </c>
      <c r="S79" s="184">
        <v>0</v>
      </c>
      <c r="T79" s="181"/>
      <c r="U79" s="181"/>
      <c r="V79" s="185"/>
      <c r="W79" s="186">
        <v>0</v>
      </c>
      <c r="X79" s="187">
        <v>1</v>
      </c>
      <c r="Y79" s="182"/>
      <c r="Z79" s="188"/>
      <c r="AA79" s="97">
        <v>0</v>
      </c>
      <c r="AB79" s="189">
        <v>0</v>
      </c>
      <c r="AC79" s="210"/>
      <c r="AD79" s="4"/>
      <c r="AE79" s="4"/>
      <c r="AF79" s="4"/>
      <c r="AG79" s="4"/>
      <c r="AH79" s="4"/>
      <c r="AI79" s="4"/>
      <c r="AJ79" s="4" t="str">
        <f>"" &amp; TEXT(AB79,"#0.00%") &amp; " " &amp; "Service Launch" &amp; " " &amp; IF(M79="","",TEXT(M79,"M/D-")) &amp; IF(N79="","",TEXT(N79,"M/D")) &amp; " "</f>
        <v xml:space="preserve">0.00% Service Launch 7/17-7/21 </v>
      </c>
      <c r="AK79" s="4"/>
      <c r="AL79" s="4"/>
      <c r="AM79" s="4"/>
      <c r="AN79" s="4"/>
      <c r="AO79" s="4"/>
      <c r="AP79" s="4"/>
      <c r="AQ79" s="4"/>
      <c r="AR79" s="4"/>
      <c r="AS79" s="4"/>
      <c r="AT79" s="4"/>
      <c r="AU79" s="4"/>
      <c r="AV79" s="4"/>
      <c r="AW79" s="4"/>
      <c r="AX79" s="4"/>
      <c r="AY79" s="4"/>
      <c r="AZ79" s="4"/>
      <c r="BA79" s="4"/>
      <c r="BB79" s="4"/>
      <c r="BC79" s="4"/>
      <c r="BD79" s="4"/>
      <c r="BE79" s="4"/>
      <c r="BF79" s="4"/>
      <c r="BG79" s="4"/>
      <c r="BH79" s="4"/>
      <c r="BI79" s="4"/>
      <c r="BJ79" s="4"/>
      <c r="BK79" s="4"/>
      <c r="BL79" s="4"/>
      <c r="BM79" s="4"/>
      <c r="BN79" s="4"/>
      <c r="BO79" s="4"/>
      <c r="BP79" s="4"/>
      <c r="BQ79" s="4"/>
      <c r="BR79" s="4"/>
      <c r="BS79" s="4"/>
      <c r="BT79" s="4"/>
      <c r="BU79" s="4"/>
      <c r="BV79" s="4"/>
      <c r="BW79" s="4"/>
      <c r="BX79" s="4"/>
      <c r="BY79" s="4"/>
      <c r="BZ79" s="4"/>
      <c r="CA79" s="4"/>
      <c r="CB79" s="4"/>
      <c r="CC79" s="4"/>
      <c r="CD79" s="4"/>
      <c r="CE79" s="4"/>
      <c r="CF79" s="4"/>
      <c r="CG79" s="4"/>
      <c r="CH79" s="4"/>
      <c r="CI79" s="4"/>
      <c r="CJ79" s="4"/>
      <c r="CK79" s="4"/>
      <c r="CL79" s="4"/>
      <c r="CM79" s="4"/>
      <c r="CN79" s="4"/>
      <c r="CO79" s="4"/>
      <c r="CP79" s="4"/>
      <c r="CQ79" s="4"/>
      <c r="CR79" s="4"/>
      <c r="CS79" s="4"/>
      <c r="CT79" s="4"/>
      <c r="CU79" s="4"/>
      <c r="CV79" s="4"/>
      <c r="CW79" s="4"/>
      <c r="CX79" s="4"/>
      <c r="CY79" s="4"/>
      <c r="CZ79" s="4"/>
      <c r="DA79" s="4"/>
      <c r="DB79" s="4"/>
      <c r="DC79" s="4"/>
      <c r="DD79" s="4"/>
      <c r="DE79" s="4"/>
      <c r="DF79" s="4"/>
      <c r="DG79" s="4"/>
      <c r="DH79" s="4"/>
      <c r="DI79" s="4"/>
      <c r="DJ79" s="4"/>
      <c r="DK79" s="4"/>
      <c r="DL79" s="4"/>
      <c r="DM79" s="4"/>
      <c r="DN79" s="4"/>
      <c r="DO79" s="4"/>
      <c r="DP79" s="4"/>
      <c r="DQ79" s="4"/>
      <c r="DR79" s="4"/>
      <c r="DS79" s="4"/>
      <c r="DT79" s="4"/>
      <c r="DU79" s="4"/>
      <c r="DV79" s="4"/>
      <c r="DW79" s="4"/>
      <c r="DX79" s="4"/>
      <c r="DY79" s="4"/>
      <c r="DZ79" s="4"/>
      <c r="EA79" s="4"/>
      <c r="EB79" s="4"/>
      <c r="EC79" s="4"/>
      <c r="ED79" s="4"/>
      <c r="EE79" s="4"/>
      <c r="EF79" s="4"/>
      <c r="EG79" s="4"/>
      <c r="EH79" s="4"/>
      <c r="EI79" s="4"/>
      <c r="EJ79" s="4"/>
      <c r="EK79" s="4"/>
      <c r="EL79" s="4"/>
      <c r="EM79" s="4"/>
      <c r="EN79" s="4"/>
      <c r="EO79" s="4"/>
      <c r="EP79" s="4"/>
      <c r="EQ79" s="4"/>
      <c r="ER79" s="4"/>
      <c r="ES79" s="4"/>
      <c r="ET79" s="4"/>
      <c r="EU79" s="4"/>
      <c r="EV79" s="4"/>
      <c r="EW79" s="4"/>
      <c r="EX79" s="4"/>
      <c r="EY79" s="4"/>
      <c r="EZ79" s="4"/>
      <c r="FA79" s="4"/>
      <c r="FB79" s="4"/>
      <c r="FC79" s="4"/>
      <c r="FD79" s="4"/>
      <c r="FE79" s="4"/>
      <c r="FF79" s="4"/>
      <c r="FG79" s="4"/>
      <c r="FH79" s="4"/>
      <c r="FI79" s="4"/>
      <c r="FJ79" s="4"/>
      <c r="FK79" s="4"/>
      <c r="FL79" s="4"/>
      <c r="FM79" s="4"/>
      <c r="FN79" s="4"/>
      <c r="FO79" s="4"/>
      <c r="FP79" s="4"/>
      <c r="FQ79" s="4"/>
      <c r="FR79" s="4"/>
      <c r="FS79" s="4"/>
      <c r="FT79" s="4"/>
      <c r="FU79" s="4"/>
      <c r="FV79" s="4"/>
      <c r="FW79" s="4"/>
      <c r="FX79" s="4"/>
      <c r="FY79" s="4"/>
      <c r="FZ79" s="4"/>
      <c r="GA79" s="4"/>
      <c r="GB79" s="4"/>
      <c r="GC79" s="4"/>
      <c r="GD79" s="4"/>
      <c r="GE79" s="4"/>
      <c r="GF79" s="4"/>
      <c r="GG79" s="4"/>
    </row>
    <row r="80" spans="1:189" outlineLevel="1">
      <c r="A80" s="116"/>
      <c r="B80" s="116"/>
      <c r="C80" s="116">
        <v>0</v>
      </c>
      <c r="D80" s="3"/>
      <c r="E80" s="180"/>
      <c r="F80" s="180"/>
      <c r="G80" s="180"/>
      <c r="H80" s="180"/>
      <c r="I80" s="180"/>
      <c r="J80" s="180"/>
      <c r="K80" s="180"/>
      <c r="L80" s="180"/>
      <c r="M80" s="181"/>
      <c r="N80" s="181"/>
      <c r="O80" s="182"/>
      <c r="P80" s="183"/>
      <c r="Q80" s="183"/>
      <c r="R80" s="184">
        <v>0</v>
      </c>
      <c r="S80" s="184">
        <v>0</v>
      </c>
      <c r="T80" s="181"/>
      <c r="U80" s="181"/>
      <c r="V80" s="185"/>
      <c r="W80" s="186">
        <v>0</v>
      </c>
      <c r="X80" s="187"/>
      <c r="Y80" s="182"/>
      <c r="Z80" s="188"/>
      <c r="AA80" s="97"/>
      <c r="AB80" s="189"/>
      <c r="AC80" s="210"/>
      <c r="AD80" s="4"/>
      <c r="AE80" s="4"/>
      <c r="AF80" s="4"/>
      <c r="AG80" s="4"/>
      <c r="AH80" s="4"/>
      <c r="AI80" s="4"/>
      <c r="AJ80" s="4"/>
      <c r="AK80" s="4"/>
      <c r="AL80" s="4"/>
      <c r="AM80" s="4"/>
      <c r="AN80" s="4"/>
      <c r="AO80" s="4"/>
      <c r="AP80" s="4"/>
      <c r="AQ80" s="4"/>
      <c r="AR80" s="4"/>
      <c r="AS80" s="4"/>
      <c r="AT80" s="4"/>
      <c r="AU80" s="4"/>
      <c r="AV80" s="4"/>
      <c r="AW80" s="4"/>
      <c r="AX80" s="4"/>
      <c r="AY80" s="4"/>
      <c r="AZ80" s="4"/>
      <c r="BA80" s="4"/>
      <c r="BB80" s="4"/>
      <c r="BC80" s="4"/>
      <c r="BD80" s="4"/>
      <c r="BE80" s="4"/>
      <c r="BF80" s="4"/>
      <c r="BG80" s="4"/>
      <c r="BH80" s="4"/>
      <c r="BI80" s="4"/>
      <c r="BJ80" s="4"/>
      <c r="BK80" s="4"/>
      <c r="BL80" s="4"/>
      <c r="BM80" s="4"/>
      <c r="BN80" s="4"/>
      <c r="BO80" s="4"/>
      <c r="BP80" s="4"/>
      <c r="BQ80" s="4"/>
      <c r="BR80" s="4"/>
      <c r="BS80" s="4"/>
      <c r="BT80" s="4"/>
      <c r="BU80" s="4"/>
      <c r="BV80" s="4"/>
      <c r="BW80" s="4"/>
      <c r="BX80" s="4"/>
      <c r="BY80" s="4"/>
      <c r="BZ80" s="4"/>
      <c r="CA80" s="4"/>
      <c r="CB80" s="4"/>
      <c r="CC80" s="4"/>
      <c r="CD80" s="4"/>
      <c r="CE80" s="4"/>
      <c r="CF80" s="4"/>
      <c r="CG80" s="4"/>
      <c r="CH80" s="4"/>
      <c r="CI80" s="4"/>
      <c r="CJ80" s="4"/>
      <c r="CK80" s="4"/>
      <c r="CL80" s="4"/>
      <c r="CM80" s="4"/>
      <c r="CN80" s="4"/>
      <c r="CO80" s="4"/>
      <c r="CP80" s="4"/>
      <c r="CQ80" s="4"/>
      <c r="CR80" s="4"/>
      <c r="CS80" s="4"/>
      <c r="CT80" s="4"/>
      <c r="CU80" s="4"/>
      <c r="CV80" s="4"/>
      <c r="CW80" s="4"/>
      <c r="CX80" s="4"/>
      <c r="CY80" s="4"/>
      <c r="CZ80" s="4"/>
      <c r="DA80" s="4"/>
      <c r="DB80" s="4"/>
      <c r="DC80" s="4"/>
      <c r="DD80" s="4"/>
      <c r="DE80" s="4"/>
      <c r="DF80" s="4"/>
      <c r="DG80" s="4"/>
      <c r="DH80" s="4"/>
      <c r="DI80" s="4"/>
      <c r="DJ80" s="4"/>
      <c r="DK80" s="4"/>
      <c r="DL80" s="4"/>
      <c r="DM80" s="4"/>
      <c r="DN80" s="4"/>
      <c r="DO80" s="4"/>
      <c r="DP80" s="4"/>
      <c r="DQ80" s="4"/>
      <c r="DR80" s="4"/>
      <c r="DS80" s="4"/>
      <c r="DT80" s="4"/>
      <c r="DU80" s="4"/>
      <c r="DV80" s="4"/>
      <c r="DW80" s="4"/>
      <c r="DX80" s="4"/>
      <c r="DY80" s="4"/>
      <c r="DZ80" s="4"/>
      <c r="EA80" s="4"/>
      <c r="EB80" s="4"/>
      <c r="EC80" s="4"/>
      <c r="ED80" s="4"/>
      <c r="EE80" s="4"/>
      <c r="EF80" s="4"/>
      <c r="EG80" s="4"/>
      <c r="EH80" s="4"/>
      <c r="EI80" s="4"/>
      <c r="EJ80" s="4"/>
      <c r="EK80" s="4"/>
      <c r="EL80" s="4"/>
      <c r="EM80" s="4"/>
      <c r="EN80" s="4"/>
      <c r="EO80" s="4"/>
      <c r="EP80" s="4"/>
      <c r="EQ80" s="4"/>
      <c r="ER80" s="4"/>
      <c r="ES80" s="4"/>
      <c r="ET80" s="4"/>
      <c r="EU80" s="4"/>
      <c r="EV80" s="4"/>
      <c r="EW80" s="4"/>
      <c r="EX80" s="4"/>
      <c r="EY80" s="4"/>
      <c r="EZ80" s="4"/>
      <c r="FA80" s="4"/>
      <c r="FB80" s="4"/>
      <c r="FC80" s="4"/>
      <c r="FD80" s="4"/>
      <c r="FE80" s="4"/>
      <c r="FF80" s="4"/>
      <c r="FG80" s="4"/>
      <c r="FH80" s="4"/>
      <c r="FI80" s="4"/>
      <c r="FJ80" s="4"/>
      <c r="FK80" s="4"/>
      <c r="FL80" s="4"/>
      <c r="FM80" s="4"/>
      <c r="FN80" s="4"/>
      <c r="FO80" s="4"/>
      <c r="FP80" s="4"/>
      <c r="FQ80" s="4"/>
      <c r="FR80" s="4"/>
      <c r="FS80" s="4"/>
      <c r="FT80" s="4"/>
      <c r="FU80" s="4"/>
      <c r="FV80" s="4"/>
      <c r="FW80" s="4"/>
      <c r="FX80" s="4"/>
      <c r="FY80" s="4"/>
      <c r="FZ80" s="4"/>
      <c r="GA80" s="4"/>
      <c r="GB80" s="4"/>
      <c r="GC80" s="4"/>
      <c r="GD80" s="4"/>
      <c r="GE80" s="4"/>
      <c r="GF80" s="4"/>
      <c r="GG80" s="4"/>
    </row>
    <row r="81" spans="1:189">
      <c r="A81" s="116"/>
      <c r="B81" s="116" t="s">
        <v>983</v>
      </c>
      <c r="C81" s="116">
        <v>1</v>
      </c>
      <c r="D81" s="3" t="s">
        <v>1132</v>
      </c>
      <c r="E81" s="180" t="s">
        <v>1077</v>
      </c>
      <c r="F81" s="180"/>
      <c r="G81" s="180"/>
      <c r="H81" s="180"/>
      <c r="I81" s="180"/>
      <c r="J81" s="180"/>
      <c r="K81" s="180"/>
      <c r="L81" s="180"/>
      <c r="M81" s="181">
        <v>45089</v>
      </c>
      <c r="N81" s="181">
        <v>45128</v>
      </c>
      <c r="O81" s="182"/>
      <c r="P81" s="183">
        <v>32</v>
      </c>
      <c r="Q81" s="183">
        <v>6</v>
      </c>
      <c r="R81" s="184">
        <v>30</v>
      </c>
      <c r="S81" s="184">
        <v>6</v>
      </c>
      <c r="T81" s="181"/>
      <c r="U81" s="181"/>
      <c r="V81" s="185">
        <v>0</v>
      </c>
      <c r="W81" s="186">
        <v>0</v>
      </c>
      <c r="X81" s="187"/>
      <c r="Y81" s="182"/>
      <c r="Z81" s="188"/>
      <c r="AA81" s="97">
        <v>0.1875</v>
      </c>
      <c r="AB81" s="189">
        <v>9.375E-2</v>
      </c>
      <c r="AC81" s="210"/>
      <c r="AD81" s="4"/>
      <c r="AE81" s="4" t="str">
        <f>"    " &amp; TEXT(AB81,"#0.00%") &amp; " "</f>
        <v xml:space="preserve">    9.38% </v>
      </c>
      <c r="AF81" s="4"/>
      <c r="AG81" s="4"/>
      <c r="AH81" s="4"/>
      <c r="AI81" s="4"/>
      <c r="AJ81" s="4" t="str">
        <f>"     " &amp; "[2212-16] Double Payments Risk Management" &amp; " " &amp; IF(M81="","",TEXT(M81,"M/D-")) &amp; IF(N81="","",TEXT(N81,"M/D")) &amp; " "</f>
        <v xml:space="preserve">     [2212-16] Double Payments Risk Management 6/12-7/21 </v>
      </c>
      <c r="AK81" s="4"/>
      <c r="AL81" s="4"/>
      <c r="AM81" s="4"/>
      <c r="AN81" s="4"/>
      <c r="AO81" s="4"/>
      <c r="AP81" s="4"/>
      <c r="AQ81" s="4"/>
      <c r="AR81" s="4"/>
      <c r="AS81" s="4"/>
      <c r="AT81" s="4"/>
      <c r="AU81" s="4"/>
      <c r="AV81" s="4"/>
      <c r="AW81" s="4"/>
      <c r="AX81" s="4"/>
      <c r="AY81" s="4"/>
      <c r="AZ81" s="4"/>
      <c r="BA81" s="4"/>
      <c r="BB81" s="4"/>
      <c r="BC81" s="4"/>
      <c r="BD81" s="4"/>
      <c r="BE81" s="4"/>
      <c r="BF81" s="4"/>
      <c r="BG81" s="4"/>
      <c r="BH81" s="4"/>
      <c r="BI81" s="4"/>
      <c r="BJ81" s="4"/>
      <c r="BK81" s="4"/>
      <c r="BL81" s="4"/>
      <c r="BM81" s="4"/>
      <c r="BN81" s="4"/>
      <c r="BO81" s="4"/>
      <c r="BP81" s="4"/>
      <c r="BQ81" s="4"/>
      <c r="BR81" s="4"/>
      <c r="BS81" s="4"/>
      <c r="BT81" s="4"/>
      <c r="BU81" s="4"/>
      <c r="BV81" s="4"/>
      <c r="BW81" s="4"/>
      <c r="BX81" s="4"/>
      <c r="BY81" s="4"/>
      <c r="BZ81" s="4"/>
      <c r="CA81" s="4"/>
      <c r="CB81" s="4"/>
      <c r="CC81" s="4"/>
      <c r="CD81" s="4"/>
      <c r="CE81" s="4"/>
      <c r="CF81" s="4"/>
      <c r="CG81" s="4"/>
      <c r="CH81" s="4"/>
      <c r="CI81" s="4"/>
      <c r="CJ81" s="4"/>
      <c r="CK81" s="4"/>
      <c r="CL81" s="4"/>
      <c r="CM81" s="4"/>
      <c r="CN81" s="4"/>
      <c r="CO81" s="4"/>
      <c r="CP81" s="4"/>
      <c r="CQ81" s="4"/>
      <c r="CR81" s="4"/>
      <c r="CS81" s="4"/>
      <c r="CT81" s="4"/>
      <c r="CU81" s="4"/>
      <c r="CV81" s="4"/>
      <c r="CW81" s="4"/>
      <c r="CX81" s="4"/>
      <c r="CY81" s="4"/>
      <c r="CZ81" s="4"/>
      <c r="DA81" s="4"/>
      <c r="DB81" s="4"/>
      <c r="DC81" s="4"/>
      <c r="DD81" s="4"/>
      <c r="DE81" s="4"/>
      <c r="DF81" s="4"/>
      <c r="DG81" s="4"/>
      <c r="DH81" s="4"/>
      <c r="DI81" s="4"/>
      <c r="DJ81" s="4"/>
      <c r="DK81" s="4"/>
      <c r="DL81" s="4"/>
      <c r="DM81" s="4"/>
      <c r="DN81" s="4"/>
      <c r="DO81" s="4"/>
      <c r="DP81" s="4"/>
      <c r="DQ81" s="4"/>
      <c r="DR81" s="4"/>
      <c r="DS81" s="4"/>
      <c r="DT81" s="4"/>
      <c r="DU81" s="4"/>
      <c r="DV81" s="4"/>
      <c r="DW81" s="4"/>
      <c r="DX81" s="4"/>
      <c r="DY81" s="4"/>
      <c r="DZ81" s="4"/>
      <c r="EA81" s="4"/>
      <c r="EB81" s="4"/>
      <c r="EC81" s="4"/>
      <c r="ED81" s="4"/>
      <c r="EE81" s="4"/>
      <c r="EF81" s="4"/>
      <c r="EG81" s="4"/>
      <c r="EH81" s="4"/>
      <c r="EI81" s="4"/>
      <c r="EJ81" s="4"/>
      <c r="EK81" s="4"/>
      <c r="EL81" s="4"/>
      <c r="EM81" s="4"/>
      <c r="EN81" s="4"/>
      <c r="EO81" s="4"/>
      <c r="EP81" s="4"/>
      <c r="EQ81" s="4"/>
      <c r="ER81" s="4"/>
      <c r="ES81" s="4"/>
      <c r="ET81" s="4"/>
      <c r="EU81" s="4"/>
      <c r="EV81" s="4"/>
      <c r="EW81" s="4"/>
      <c r="EX81" s="4"/>
      <c r="EY81" s="4"/>
      <c r="EZ81" s="4"/>
      <c r="FA81" s="4"/>
      <c r="FB81" s="4"/>
      <c r="FC81" s="4"/>
      <c r="FD81" s="4"/>
      <c r="FE81" s="4"/>
      <c r="FF81" s="4"/>
      <c r="FG81" s="4"/>
      <c r="FH81" s="4"/>
      <c r="FI81" s="4"/>
      <c r="FJ81" s="4"/>
      <c r="FK81" s="4"/>
      <c r="FL81" s="4"/>
      <c r="FM81" s="4"/>
      <c r="FN81" s="4"/>
      <c r="FO81" s="4"/>
      <c r="FP81" s="4"/>
      <c r="FQ81" s="4"/>
      <c r="FR81" s="4"/>
      <c r="FS81" s="4"/>
      <c r="FT81" s="4"/>
      <c r="FU81" s="4"/>
      <c r="FV81" s="4"/>
      <c r="FW81" s="4"/>
      <c r="FX81" s="4"/>
      <c r="FY81" s="4"/>
      <c r="FZ81" s="4"/>
      <c r="GA81" s="4"/>
      <c r="GB81" s="4"/>
      <c r="GC81" s="4"/>
      <c r="GD81" s="4"/>
      <c r="GE81" s="4"/>
      <c r="GF81" s="4"/>
      <c r="GG81" s="4"/>
    </row>
    <row r="82" spans="1:189" ht="13.2" outlineLevel="1">
      <c r="A82" s="116"/>
      <c r="B82" s="116"/>
      <c r="C82" s="116">
        <v>2</v>
      </c>
      <c r="D82" s="3" t="s">
        <v>1134</v>
      </c>
      <c r="E82" s="207"/>
      <c r="F82" s="180" t="s">
        <v>1071</v>
      </c>
      <c r="G82" s="180"/>
      <c r="H82" s="180"/>
      <c r="I82" s="180"/>
      <c r="J82" s="180"/>
      <c r="K82" s="180"/>
      <c r="L82" s="180"/>
      <c r="M82" s="181">
        <v>45089</v>
      </c>
      <c r="N82" s="181">
        <v>45100</v>
      </c>
      <c r="O82" s="182"/>
      <c r="P82" s="183">
        <v>10</v>
      </c>
      <c r="Q82" s="183">
        <v>6</v>
      </c>
      <c r="R82" s="184">
        <v>10</v>
      </c>
      <c r="S82" s="184">
        <v>6</v>
      </c>
      <c r="T82" s="181"/>
      <c r="U82" s="181"/>
      <c r="V82" s="185"/>
      <c r="W82" s="186">
        <v>0</v>
      </c>
      <c r="X82" s="187">
        <v>1</v>
      </c>
      <c r="Y82" s="182"/>
      <c r="Z82" s="188"/>
      <c r="AA82" s="97">
        <v>0.6</v>
      </c>
      <c r="AB82" s="189">
        <v>0.3</v>
      </c>
      <c r="AC82" s="210"/>
      <c r="AD82" s="4"/>
      <c r="AE82" s="4" t="str">
        <f>"    " &amp; TEXT(AB82,"#0.00%") &amp; " " &amp; "Design" &amp; " " &amp; IF(M82="","",TEXT(M82,"M/D-")) &amp; IF(N82="","",TEXT(N82,"M/D")) &amp; " "</f>
        <v xml:space="preserve">    30.00% Design 6/12-6/23 </v>
      </c>
      <c r="AF82" s="4"/>
      <c r="AG82" s="4"/>
      <c r="AH82" s="4"/>
      <c r="AI82" s="4"/>
      <c r="AJ82" s="4"/>
      <c r="AK82" s="4"/>
      <c r="AL82" s="4"/>
      <c r="AM82" s="4"/>
      <c r="AN82" s="4"/>
      <c r="AO82" s="4"/>
      <c r="AP82" s="4"/>
      <c r="AQ82" s="4"/>
      <c r="AR82" s="4"/>
      <c r="AS82" s="4"/>
      <c r="AT82" s="4"/>
      <c r="AU82" s="4"/>
      <c r="AV82" s="4"/>
      <c r="AW82" s="4"/>
      <c r="AX82" s="4"/>
      <c r="AY82" s="4"/>
      <c r="AZ82" s="4"/>
      <c r="BA82" s="4"/>
      <c r="BB82" s="4"/>
      <c r="BC82" s="4"/>
      <c r="BD82" s="4"/>
      <c r="BE82" s="4"/>
      <c r="BF82" s="4"/>
      <c r="BG82" s="4"/>
      <c r="BH82" s="4"/>
      <c r="BI82" s="4"/>
      <c r="BJ82" s="4"/>
      <c r="BK82" s="4"/>
      <c r="BL82" s="4"/>
      <c r="BM82" s="4"/>
      <c r="BN82" s="4"/>
      <c r="BO82" s="4"/>
      <c r="BP82" s="4"/>
      <c r="BQ82" s="4"/>
      <c r="BR82" s="4"/>
      <c r="BS82" s="4"/>
      <c r="BT82" s="4"/>
      <c r="BU82" s="4"/>
      <c r="BV82" s="4"/>
      <c r="BW82" s="4"/>
      <c r="BX82" s="4"/>
      <c r="BY82" s="4"/>
      <c r="BZ82" s="4"/>
      <c r="CA82" s="4"/>
      <c r="CB82" s="4"/>
      <c r="CC82" s="4"/>
      <c r="CD82" s="4"/>
      <c r="CE82" s="4"/>
      <c r="CF82" s="4"/>
      <c r="CG82" s="4"/>
      <c r="CH82" s="4"/>
      <c r="CI82" s="4"/>
      <c r="CJ82" s="4"/>
      <c r="CK82" s="4"/>
      <c r="CL82" s="4"/>
      <c r="CM82" s="4"/>
      <c r="CN82" s="4"/>
      <c r="CO82" s="4"/>
      <c r="CP82" s="4"/>
      <c r="CQ82" s="4"/>
      <c r="CR82" s="4"/>
      <c r="CS82" s="4"/>
      <c r="CT82" s="4"/>
      <c r="CU82" s="4"/>
      <c r="CV82" s="4"/>
      <c r="CW82" s="4"/>
      <c r="CX82" s="4"/>
      <c r="CY82" s="4"/>
      <c r="CZ82" s="4"/>
      <c r="DA82" s="4"/>
      <c r="DB82" s="4"/>
      <c r="DC82" s="4"/>
      <c r="DD82" s="4"/>
      <c r="DE82" s="4"/>
      <c r="DF82" s="4"/>
      <c r="DG82" s="4"/>
      <c r="DH82" s="4"/>
      <c r="DI82" s="4"/>
      <c r="DJ82" s="4"/>
      <c r="DK82" s="4"/>
      <c r="DL82" s="4"/>
      <c r="DM82" s="4"/>
      <c r="DN82" s="4"/>
      <c r="DO82" s="4"/>
      <c r="DP82" s="4"/>
      <c r="DQ82" s="4"/>
      <c r="DR82" s="4"/>
      <c r="DS82" s="4"/>
      <c r="DT82" s="4"/>
      <c r="DU82" s="4"/>
      <c r="DV82" s="4"/>
      <c r="DW82" s="4"/>
      <c r="DX82" s="4"/>
      <c r="DY82" s="4"/>
      <c r="DZ82" s="4"/>
      <c r="EA82" s="4"/>
      <c r="EB82" s="4"/>
      <c r="EC82" s="4"/>
      <c r="ED82" s="4"/>
      <c r="EE82" s="4"/>
      <c r="EF82" s="4"/>
      <c r="EG82" s="4"/>
      <c r="EH82" s="4"/>
      <c r="EI82" s="4"/>
      <c r="EJ82" s="4"/>
      <c r="EK82" s="4"/>
      <c r="EL82" s="4"/>
      <c r="EM82" s="4"/>
      <c r="EN82" s="4"/>
      <c r="EO82" s="4"/>
      <c r="EP82" s="4"/>
      <c r="EQ82" s="4"/>
      <c r="ER82" s="4"/>
      <c r="ES82" s="4"/>
      <c r="ET82" s="4"/>
      <c r="EU82" s="4"/>
      <c r="EV82" s="4"/>
      <c r="EW82" s="4"/>
      <c r="EX82" s="4"/>
      <c r="EY82" s="4"/>
      <c r="EZ82" s="4"/>
      <c r="FA82" s="4"/>
      <c r="FB82" s="4"/>
      <c r="FC82" s="4"/>
      <c r="FD82" s="4"/>
      <c r="FE82" s="4"/>
      <c r="FF82" s="4"/>
      <c r="FG82" s="4"/>
      <c r="FH82" s="4"/>
      <c r="FI82" s="4"/>
      <c r="FJ82" s="4"/>
      <c r="FK82" s="4"/>
      <c r="FL82" s="4"/>
      <c r="FM82" s="4"/>
      <c r="FN82" s="4"/>
      <c r="FO82" s="4"/>
      <c r="FP82" s="4"/>
      <c r="FQ82" s="4"/>
      <c r="FR82" s="4"/>
      <c r="FS82" s="4"/>
      <c r="FT82" s="4"/>
      <c r="FU82" s="4"/>
      <c r="FV82" s="4"/>
      <c r="FW82" s="4"/>
      <c r="FX82" s="4"/>
      <c r="FY82" s="4"/>
      <c r="FZ82" s="4"/>
      <c r="GA82" s="4"/>
      <c r="GB82" s="4"/>
      <c r="GC82" s="4"/>
      <c r="GD82" s="4"/>
      <c r="GE82" s="4"/>
      <c r="GF82" s="4"/>
      <c r="GG82" s="4"/>
    </row>
    <row r="83" spans="1:189" outlineLevel="1">
      <c r="A83" s="116"/>
      <c r="B83" s="116"/>
      <c r="C83" s="116">
        <v>2</v>
      </c>
      <c r="D83" s="3" t="s">
        <v>1135</v>
      </c>
      <c r="E83" s="180"/>
      <c r="F83" s="180" t="s">
        <v>1074</v>
      </c>
      <c r="G83" s="180"/>
      <c r="H83" s="180"/>
      <c r="I83" s="180"/>
      <c r="J83" s="180"/>
      <c r="K83" s="180"/>
      <c r="L83" s="180"/>
      <c r="M83" s="181">
        <v>45103</v>
      </c>
      <c r="N83" s="181">
        <v>45107</v>
      </c>
      <c r="O83" s="182"/>
      <c r="P83" s="183">
        <v>5</v>
      </c>
      <c r="Q83" s="183">
        <v>0</v>
      </c>
      <c r="R83" s="184">
        <v>5</v>
      </c>
      <c r="S83" s="184">
        <v>0</v>
      </c>
      <c r="T83" s="181"/>
      <c r="U83" s="181"/>
      <c r="V83" s="185"/>
      <c r="W83" s="186">
        <v>0</v>
      </c>
      <c r="X83" s="187">
        <v>1</v>
      </c>
      <c r="Y83" s="182" t="s">
        <v>1117</v>
      </c>
      <c r="Z83" s="188"/>
      <c r="AA83" s="97">
        <v>0</v>
      </c>
      <c r="AB83" s="189">
        <v>0</v>
      </c>
      <c r="AC83" s="210"/>
      <c r="AD83" s="4"/>
      <c r="AE83" s="4"/>
      <c r="AF83" s="4"/>
      <c r="AG83" s="4" t="str">
        <f>"" &amp; TEXT(AB83,"#0.00%") &amp; " " &amp; "Server" &amp; "(Manoj, Saroj, JY)" &amp; " " &amp; IF(M83="","",TEXT(M83,"M/D-")) &amp; IF(N83="","",TEXT(N83,"M/D")) &amp; " "</f>
        <v xml:space="preserve">0.00% Server(Manoj, Saroj, JY) 6/26-6/30 </v>
      </c>
      <c r="AH83" s="4"/>
      <c r="AI83" s="4"/>
      <c r="AJ83" s="4"/>
      <c r="AK83" s="4"/>
      <c r="AL83" s="4"/>
      <c r="AM83" s="4"/>
      <c r="AN83" s="4"/>
      <c r="AO83" s="4"/>
      <c r="AP83" s="4"/>
      <c r="AQ83" s="4"/>
      <c r="AR83" s="4"/>
      <c r="AS83" s="4"/>
      <c r="AT83" s="4"/>
      <c r="AU83" s="4"/>
      <c r="AV83" s="4"/>
      <c r="AW83" s="4"/>
      <c r="AX83" s="4"/>
      <c r="AY83" s="4"/>
      <c r="AZ83" s="4"/>
      <c r="BA83" s="4"/>
      <c r="BB83" s="4"/>
      <c r="BC83" s="4"/>
      <c r="BD83" s="4"/>
      <c r="BE83" s="4"/>
      <c r="BF83" s="4"/>
      <c r="BG83" s="4"/>
      <c r="BH83" s="4"/>
      <c r="BI83" s="4"/>
      <c r="BJ83" s="4"/>
      <c r="BK83" s="4"/>
      <c r="BL83" s="4"/>
      <c r="BM83" s="4"/>
      <c r="BN83" s="4"/>
      <c r="BO83" s="4"/>
      <c r="BP83" s="4"/>
      <c r="BQ83" s="4"/>
      <c r="BR83" s="4"/>
      <c r="BS83" s="4"/>
      <c r="BT83" s="4"/>
      <c r="BU83" s="4"/>
      <c r="BV83" s="4"/>
      <c r="BW83" s="4"/>
      <c r="BX83" s="4"/>
      <c r="BY83" s="4"/>
      <c r="BZ83" s="4"/>
      <c r="CA83" s="4"/>
      <c r="CB83" s="4"/>
      <c r="CC83" s="4"/>
      <c r="CD83" s="4"/>
      <c r="CE83" s="4"/>
      <c r="CF83" s="4"/>
      <c r="CG83" s="4"/>
      <c r="CH83" s="4"/>
      <c r="CI83" s="4"/>
      <c r="CJ83" s="4"/>
      <c r="CK83" s="4"/>
      <c r="CL83" s="4"/>
      <c r="CM83" s="4"/>
      <c r="CN83" s="4"/>
      <c r="CO83" s="4"/>
      <c r="CP83" s="4"/>
      <c r="CQ83" s="4"/>
      <c r="CR83" s="4"/>
      <c r="CS83" s="4"/>
      <c r="CT83" s="4"/>
      <c r="CU83" s="4"/>
      <c r="CV83" s="4"/>
      <c r="CW83" s="4"/>
      <c r="CX83" s="4"/>
      <c r="CY83" s="4"/>
      <c r="CZ83" s="4"/>
      <c r="DA83" s="4"/>
      <c r="DB83" s="4"/>
      <c r="DC83" s="4"/>
      <c r="DD83" s="4"/>
      <c r="DE83" s="4"/>
      <c r="DF83" s="4"/>
      <c r="DG83" s="4"/>
      <c r="DH83" s="4"/>
      <c r="DI83" s="4"/>
      <c r="DJ83" s="4"/>
      <c r="DK83" s="4"/>
      <c r="DL83" s="4"/>
      <c r="DM83" s="4"/>
      <c r="DN83" s="4"/>
      <c r="DO83" s="4"/>
      <c r="DP83" s="4"/>
      <c r="DQ83" s="4"/>
      <c r="DR83" s="4"/>
      <c r="DS83" s="4"/>
      <c r="DT83" s="4"/>
      <c r="DU83" s="4"/>
      <c r="DV83" s="4"/>
      <c r="DW83" s="4"/>
      <c r="DX83" s="4"/>
      <c r="DY83" s="4"/>
      <c r="DZ83" s="4"/>
      <c r="EA83" s="4"/>
      <c r="EB83" s="4"/>
      <c r="EC83" s="4"/>
      <c r="ED83" s="4"/>
      <c r="EE83" s="4"/>
      <c r="EF83" s="4"/>
      <c r="EG83" s="4"/>
      <c r="EH83" s="4"/>
      <c r="EI83" s="4"/>
      <c r="EJ83" s="4"/>
      <c r="EK83" s="4"/>
      <c r="EL83" s="4"/>
      <c r="EM83" s="4"/>
      <c r="EN83" s="4"/>
      <c r="EO83" s="4"/>
      <c r="EP83" s="4"/>
      <c r="EQ83" s="4"/>
      <c r="ER83" s="4"/>
      <c r="ES83" s="4"/>
      <c r="ET83" s="4"/>
      <c r="EU83" s="4"/>
      <c r="EV83" s="4"/>
      <c r="EW83" s="4"/>
      <c r="EX83" s="4"/>
      <c r="EY83" s="4"/>
      <c r="EZ83" s="4"/>
      <c r="FA83" s="4"/>
      <c r="FB83" s="4"/>
      <c r="FC83" s="4"/>
      <c r="FD83" s="4"/>
      <c r="FE83" s="4"/>
      <c r="FF83" s="4"/>
      <c r="FG83" s="4"/>
      <c r="FH83" s="4"/>
      <c r="FI83" s="4"/>
      <c r="FJ83" s="4"/>
      <c r="FK83" s="4"/>
      <c r="FL83" s="4"/>
      <c r="FM83" s="4"/>
      <c r="FN83" s="4"/>
      <c r="FO83" s="4"/>
      <c r="FP83" s="4"/>
      <c r="FQ83" s="4"/>
      <c r="FR83" s="4"/>
      <c r="FS83" s="4"/>
      <c r="FT83" s="4"/>
      <c r="FU83" s="4"/>
      <c r="FV83" s="4"/>
      <c r="FW83" s="4"/>
      <c r="FX83" s="4"/>
      <c r="FY83" s="4"/>
      <c r="FZ83" s="4"/>
      <c r="GA83" s="4"/>
      <c r="GB83" s="4"/>
      <c r="GC83" s="4"/>
      <c r="GD83" s="4"/>
      <c r="GE83" s="4"/>
      <c r="GF83" s="4"/>
      <c r="GG83" s="4"/>
    </row>
    <row r="84" spans="1:189" outlineLevel="1">
      <c r="A84" s="116"/>
      <c r="B84" s="116"/>
      <c r="C84" s="116">
        <v>2</v>
      </c>
      <c r="D84" s="3" t="s">
        <v>1136</v>
      </c>
      <c r="E84" s="180"/>
      <c r="F84" s="180" t="s">
        <v>1040</v>
      </c>
      <c r="G84" s="180"/>
      <c r="H84" s="180"/>
      <c r="I84" s="180"/>
      <c r="J84" s="180"/>
      <c r="K84" s="180"/>
      <c r="L84" s="180"/>
      <c r="M84" s="181">
        <v>45110</v>
      </c>
      <c r="N84" s="181">
        <v>45121</v>
      </c>
      <c r="O84" s="182"/>
      <c r="P84" s="183">
        <v>10</v>
      </c>
      <c r="Q84" s="183">
        <v>0</v>
      </c>
      <c r="R84" s="184">
        <v>10</v>
      </c>
      <c r="S84" s="184">
        <v>0</v>
      </c>
      <c r="T84" s="181"/>
      <c r="U84" s="181"/>
      <c r="V84" s="185"/>
      <c r="W84" s="186">
        <v>0</v>
      </c>
      <c r="X84" s="187">
        <v>1</v>
      </c>
      <c r="Y84" s="182" t="s">
        <v>1118</v>
      </c>
      <c r="Z84" s="188"/>
      <c r="AA84" s="97">
        <v>0</v>
      </c>
      <c r="AB84" s="189">
        <v>0</v>
      </c>
      <c r="AC84" s="210"/>
      <c r="AD84" s="4"/>
      <c r="AE84" s="4"/>
      <c r="AF84" s="4"/>
      <c r="AG84" s="4"/>
      <c r="AH84" s="4" t="str">
        <f>"" &amp; TEXT(AB84,"#0.00%") &amp; " " &amp; "Test in TB" &amp; "(Pheaktra, Jasurbek )" &amp; " " &amp; IF(M84="","",TEXT(M84,"M/D-")) &amp; IF(N84="","",TEXT(N84,"M/D")) &amp; " "</f>
        <v xml:space="preserve">0.00% Test in TB(Pheaktra, Jasurbek ) 7/3-7/14 </v>
      </c>
      <c r="AI84" s="4"/>
      <c r="AJ84" s="4"/>
      <c r="AK84" s="4"/>
      <c r="AL84" s="4"/>
      <c r="AM84" s="4"/>
      <c r="AN84" s="4"/>
      <c r="AO84" s="4"/>
      <c r="AP84" s="4"/>
      <c r="AQ84" s="4"/>
      <c r="AR84" s="4"/>
      <c r="AS84" s="4"/>
      <c r="AT84" s="4"/>
      <c r="AU84" s="4"/>
      <c r="AV84" s="4"/>
      <c r="AW84" s="4"/>
      <c r="AX84" s="4"/>
      <c r="AY84" s="4"/>
      <c r="AZ84" s="4"/>
      <c r="BA84" s="4"/>
      <c r="BB84" s="4"/>
      <c r="BC84" s="4"/>
      <c r="BD84" s="4"/>
      <c r="BE84" s="4"/>
      <c r="BF84" s="4"/>
      <c r="BG84" s="4"/>
      <c r="BH84" s="4"/>
      <c r="BI84" s="4"/>
      <c r="BJ84" s="4"/>
      <c r="BK84" s="4"/>
      <c r="BL84" s="4"/>
      <c r="BM84" s="4"/>
      <c r="BN84" s="4"/>
      <c r="BO84" s="4"/>
      <c r="BP84" s="4"/>
      <c r="BQ84" s="4"/>
      <c r="BR84" s="4"/>
      <c r="BS84" s="4"/>
      <c r="BT84" s="4"/>
      <c r="BU84" s="4"/>
      <c r="BV84" s="4"/>
      <c r="BW84" s="4"/>
      <c r="BX84" s="4"/>
      <c r="BY84" s="4"/>
      <c r="BZ84" s="4"/>
      <c r="CA84" s="4"/>
      <c r="CB84" s="4"/>
      <c r="CC84" s="4"/>
      <c r="CD84" s="4"/>
      <c r="CE84" s="4"/>
      <c r="CF84" s="4"/>
      <c r="CG84" s="4"/>
      <c r="CH84" s="4"/>
      <c r="CI84" s="4"/>
      <c r="CJ84" s="4"/>
      <c r="CK84" s="4"/>
      <c r="CL84" s="4"/>
      <c r="CM84" s="4"/>
      <c r="CN84" s="4"/>
      <c r="CO84" s="4"/>
      <c r="CP84" s="4"/>
      <c r="CQ84" s="4"/>
      <c r="CR84" s="4"/>
      <c r="CS84" s="4"/>
      <c r="CT84" s="4"/>
      <c r="CU84" s="4"/>
      <c r="CV84" s="4"/>
      <c r="CW84" s="4"/>
      <c r="CX84" s="4"/>
      <c r="CY84" s="4"/>
      <c r="CZ84" s="4"/>
      <c r="DA84" s="4"/>
      <c r="DB84" s="4"/>
      <c r="DC84" s="4"/>
      <c r="DD84" s="4"/>
      <c r="DE84" s="4"/>
      <c r="DF84" s="4"/>
      <c r="DG84" s="4"/>
      <c r="DH84" s="4"/>
      <c r="DI84" s="4"/>
      <c r="DJ84" s="4"/>
      <c r="DK84" s="4"/>
      <c r="DL84" s="4"/>
      <c r="DM84" s="4"/>
      <c r="DN84" s="4"/>
      <c r="DO84" s="4"/>
      <c r="DP84" s="4"/>
      <c r="DQ84" s="4"/>
      <c r="DR84" s="4"/>
      <c r="DS84" s="4"/>
      <c r="DT84" s="4"/>
      <c r="DU84" s="4"/>
      <c r="DV84" s="4"/>
      <c r="DW84" s="4"/>
      <c r="DX84" s="4"/>
      <c r="DY84" s="4"/>
      <c r="DZ84" s="4"/>
      <c r="EA84" s="4"/>
      <c r="EB84" s="4"/>
      <c r="EC84" s="4"/>
      <c r="ED84" s="4"/>
      <c r="EE84" s="4"/>
      <c r="EF84" s="4"/>
      <c r="EG84" s="4"/>
      <c r="EH84" s="4"/>
      <c r="EI84" s="4"/>
      <c r="EJ84" s="4"/>
      <c r="EK84" s="4"/>
      <c r="EL84" s="4"/>
      <c r="EM84" s="4"/>
      <c r="EN84" s="4"/>
      <c r="EO84" s="4"/>
      <c r="EP84" s="4"/>
      <c r="EQ84" s="4"/>
      <c r="ER84" s="4"/>
      <c r="ES84" s="4"/>
      <c r="ET84" s="4"/>
      <c r="EU84" s="4"/>
      <c r="EV84" s="4"/>
      <c r="EW84" s="4"/>
      <c r="EX84" s="4"/>
      <c r="EY84" s="4"/>
      <c r="EZ84" s="4"/>
      <c r="FA84" s="4"/>
      <c r="FB84" s="4"/>
      <c r="FC84" s="4"/>
      <c r="FD84" s="4"/>
      <c r="FE84" s="4"/>
      <c r="FF84" s="4"/>
      <c r="FG84" s="4"/>
      <c r="FH84" s="4"/>
      <c r="FI84" s="4"/>
      <c r="FJ84" s="4"/>
      <c r="FK84" s="4"/>
      <c r="FL84" s="4"/>
      <c r="FM84" s="4"/>
      <c r="FN84" s="4"/>
      <c r="FO84" s="4"/>
      <c r="FP84" s="4"/>
      <c r="FQ84" s="4"/>
      <c r="FR84" s="4"/>
      <c r="FS84" s="4"/>
      <c r="FT84" s="4"/>
      <c r="FU84" s="4"/>
      <c r="FV84" s="4"/>
      <c r="FW84" s="4"/>
      <c r="FX84" s="4"/>
      <c r="FY84" s="4"/>
      <c r="FZ84" s="4"/>
      <c r="GA84" s="4"/>
      <c r="GB84" s="4"/>
      <c r="GC84" s="4"/>
      <c r="GD84" s="4"/>
      <c r="GE84" s="4"/>
      <c r="GF84" s="4"/>
      <c r="GG84" s="4"/>
    </row>
    <row r="85" spans="1:189" outlineLevel="1">
      <c r="A85" s="116"/>
      <c r="B85" s="116"/>
      <c r="C85" s="116">
        <v>2</v>
      </c>
      <c r="D85" s="3" t="s">
        <v>1137</v>
      </c>
      <c r="E85" s="180"/>
      <c r="F85" s="180" t="s">
        <v>1039</v>
      </c>
      <c r="G85" s="180"/>
      <c r="H85" s="180"/>
      <c r="I85" s="180"/>
      <c r="J85" s="180"/>
      <c r="K85" s="180"/>
      <c r="L85" s="180"/>
      <c r="M85" s="181">
        <v>45124</v>
      </c>
      <c r="N85" s="181">
        <v>45128</v>
      </c>
      <c r="O85" s="182"/>
      <c r="P85" s="183">
        <v>5</v>
      </c>
      <c r="Q85" s="183">
        <v>0</v>
      </c>
      <c r="R85" s="184">
        <v>5</v>
      </c>
      <c r="S85" s="184">
        <v>0</v>
      </c>
      <c r="T85" s="181"/>
      <c r="U85" s="181"/>
      <c r="V85" s="185"/>
      <c r="W85" s="186">
        <v>0</v>
      </c>
      <c r="X85" s="187">
        <v>1</v>
      </c>
      <c r="Y85" s="182"/>
      <c r="Z85" s="188"/>
      <c r="AA85" s="97">
        <v>0</v>
      </c>
      <c r="AB85" s="189">
        <v>0</v>
      </c>
      <c r="AC85" s="210"/>
      <c r="AD85" s="4"/>
      <c r="AE85" s="4"/>
      <c r="AF85" s="4"/>
      <c r="AG85" s="4"/>
      <c r="AH85" s="4"/>
      <c r="AI85" s="4"/>
      <c r="AJ85" s="4" t="str">
        <f>"" &amp; TEXT(AB85,"#0.00%") &amp; " " &amp; "Test in Live" &amp; " " &amp; IF(M85="","",TEXT(M85,"M/D-")) &amp; IF(N85="","",TEXT(N85,"M/D")) &amp; " "</f>
        <v xml:space="preserve">0.00% Test in Live 7/17-7/21 </v>
      </c>
      <c r="AK85" s="4"/>
      <c r="AL85" s="4"/>
      <c r="AM85" s="4"/>
      <c r="AN85" s="4"/>
      <c r="AO85" s="4"/>
      <c r="AP85" s="4"/>
      <c r="AQ85" s="4"/>
      <c r="AR85" s="4"/>
      <c r="AS85" s="4"/>
      <c r="AT85" s="4"/>
      <c r="AU85" s="4"/>
      <c r="AV85" s="4"/>
      <c r="AW85" s="4"/>
      <c r="AX85" s="4"/>
      <c r="AY85" s="4"/>
      <c r="AZ85" s="4"/>
      <c r="BA85" s="4"/>
      <c r="BB85" s="4"/>
      <c r="BC85" s="4"/>
      <c r="BD85" s="4"/>
      <c r="BE85" s="4"/>
      <c r="BF85" s="4"/>
      <c r="BG85" s="4"/>
      <c r="BH85" s="4"/>
      <c r="BI85" s="4"/>
      <c r="BJ85" s="4"/>
      <c r="BK85" s="4"/>
      <c r="BL85" s="4"/>
      <c r="BM85" s="4"/>
      <c r="BN85" s="4"/>
      <c r="BO85" s="4"/>
      <c r="BP85" s="4"/>
      <c r="BQ85" s="4"/>
      <c r="BR85" s="4"/>
      <c r="BS85" s="4"/>
      <c r="BT85" s="4"/>
      <c r="BU85" s="4"/>
      <c r="BV85" s="4"/>
      <c r="BW85" s="4"/>
      <c r="BX85" s="4"/>
      <c r="BY85" s="4"/>
      <c r="BZ85" s="4"/>
      <c r="CA85" s="4"/>
      <c r="CB85" s="4"/>
      <c r="CC85" s="4"/>
      <c r="CD85" s="4"/>
      <c r="CE85" s="4"/>
      <c r="CF85" s="4"/>
      <c r="CG85" s="4"/>
      <c r="CH85" s="4"/>
      <c r="CI85" s="4"/>
      <c r="CJ85" s="4"/>
      <c r="CK85" s="4"/>
      <c r="CL85" s="4"/>
      <c r="CM85" s="4"/>
      <c r="CN85" s="4"/>
      <c r="CO85" s="4"/>
      <c r="CP85" s="4"/>
      <c r="CQ85" s="4"/>
      <c r="CR85" s="4"/>
      <c r="CS85" s="4"/>
      <c r="CT85" s="4"/>
      <c r="CU85" s="4"/>
      <c r="CV85" s="4"/>
      <c r="CW85" s="4"/>
      <c r="CX85" s="4"/>
      <c r="CY85" s="4"/>
      <c r="CZ85" s="4"/>
      <c r="DA85" s="4"/>
      <c r="DB85" s="4"/>
      <c r="DC85" s="4"/>
      <c r="DD85" s="4"/>
      <c r="DE85" s="4"/>
      <c r="DF85" s="4"/>
      <c r="DG85" s="4"/>
      <c r="DH85" s="4"/>
      <c r="DI85" s="4"/>
      <c r="DJ85" s="4"/>
      <c r="DK85" s="4"/>
      <c r="DL85" s="4"/>
      <c r="DM85" s="4"/>
      <c r="DN85" s="4"/>
      <c r="DO85" s="4"/>
      <c r="DP85" s="4"/>
      <c r="DQ85" s="4"/>
      <c r="DR85" s="4"/>
      <c r="DS85" s="4"/>
      <c r="DT85" s="4"/>
      <c r="DU85" s="4"/>
      <c r="DV85" s="4"/>
      <c r="DW85" s="4"/>
      <c r="DX85" s="4"/>
      <c r="DY85" s="4"/>
      <c r="DZ85" s="4"/>
      <c r="EA85" s="4"/>
      <c r="EB85" s="4"/>
      <c r="EC85" s="4"/>
      <c r="ED85" s="4"/>
      <c r="EE85" s="4"/>
      <c r="EF85" s="4"/>
      <c r="EG85" s="4"/>
      <c r="EH85" s="4"/>
      <c r="EI85" s="4"/>
      <c r="EJ85" s="4"/>
      <c r="EK85" s="4"/>
      <c r="EL85" s="4"/>
      <c r="EM85" s="4"/>
      <c r="EN85" s="4"/>
      <c r="EO85" s="4"/>
      <c r="EP85" s="4"/>
      <c r="EQ85" s="4"/>
      <c r="ER85" s="4"/>
      <c r="ES85" s="4"/>
      <c r="ET85" s="4"/>
      <c r="EU85" s="4"/>
      <c r="EV85" s="4"/>
      <c r="EW85" s="4"/>
      <c r="EX85" s="4"/>
      <c r="EY85" s="4"/>
      <c r="EZ85" s="4"/>
      <c r="FA85" s="4"/>
      <c r="FB85" s="4"/>
      <c r="FC85" s="4"/>
      <c r="FD85" s="4"/>
      <c r="FE85" s="4"/>
      <c r="FF85" s="4"/>
      <c r="FG85" s="4"/>
      <c r="FH85" s="4"/>
      <c r="FI85" s="4"/>
      <c r="FJ85" s="4"/>
      <c r="FK85" s="4"/>
      <c r="FL85" s="4"/>
      <c r="FM85" s="4"/>
      <c r="FN85" s="4"/>
      <c r="FO85" s="4"/>
      <c r="FP85" s="4"/>
      <c r="FQ85" s="4"/>
      <c r="FR85" s="4"/>
      <c r="FS85" s="4"/>
      <c r="FT85" s="4"/>
      <c r="FU85" s="4"/>
      <c r="FV85" s="4"/>
      <c r="FW85" s="4"/>
      <c r="FX85" s="4"/>
      <c r="FY85" s="4"/>
      <c r="FZ85" s="4"/>
      <c r="GA85" s="4"/>
      <c r="GB85" s="4"/>
      <c r="GC85" s="4"/>
      <c r="GD85" s="4"/>
      <c r="GE85" s="4"/>
      <c r="GF85" s="4"/>
      <c r="GG85" s="4"/>
    </row>
    <row r="86" spans="1:189" ht="13.2" outlineLevel="1">
      <c r="A86" s="116"/>
      <c r="B86" s="116"/>
      <c r="C86" s="116">
        <v>2</v>
      </c>
      <c r="D86" s="3" t="s">
        <v>1138</v>
      </c>
      <c r="E86" s="207"/>
      <c r="F86" s="180" t="s">
        <v>1041</v>
      </c>
      <c r="G86" s="180"/>
      <c r="H86" s="180"/>
      <c r="I86" s="180"/>
      <c r="J86" s="180"/>
      <c r="K86" s="180"/>
      <c r="L86" s="180"/>
      <c r="M86" s="181">
        <v>45124</v>
      </c>
      <c r="N86" s="181">
        <v>45125</v>
      </c>
      <c r="O86" s="182"/>
      <c r="P86" s="183">
        <v>2</v>
      </c>
      <c r="Q86" s="183">
        <v>0</v>
      </c>
      <c r="R86" s="184">
        <v>2</v>
      </c>
      <c r="S86" s="184">
        <v>0</v>
      </c>
      <c r="T86" s="181"/>
      <c r="U86" s="181"/>
      <c r="V86" s="185"/>
      <c r="W86" s="186">
        <v>0</v>
      </c>
      <c r="X86" s="187">
        <v>1</v>
      </c>
      <c r="Y86" s="182"/>
      <c r="Z86" s="188"/>
      <c r="AA86" s="97">
        <v>0</v>
      </c>
      <c r="AB86" s="189">
        <v>0</v>
      </c>
      <c r="AC86" s="210"/>
      <c r="AD86" s="4"/>
      <c r="AE86" s="4"/>
      <c r="AF86" s="4"/>
      <c r="AG86" s="4"/>
      <c r="AH86" s="4"/>
      <c r="AI86" s="4"/>
      <c r="AJ86" s="4" t="str">
        <f>"" &amp; TEXT(AB86,"#0.00%") &amp; " " &amp; "Service Launch" &amp; " " &amp; IF(M86="","",TEXT(M86,"M/D-")) &amp; IF(N86="","",TEXT(N86,"M/D")) &amp; " "</f>
        <v xml:space="preserve">0.00% Service Launch 7/17-7/18 </v>
      </c>
      <c r="AK86" s="4"/>
      <c r="AL86" s="4"/>
      <c r="AM86" s="4"/>
      <c r="AN86" s="4"/>
      <c r="AO86" s="4"/>
      <c r="AP86" s="4"/>
      <c r="AQ86" s="4"/>
      <c r="AR86" s="4"/>
      <c r="AS86" s="4"/>
      <c r="AT86" s="4"/>
      <c r="AU86" s="4"/>
      <c r="AV86" s="4"/>
      <c r="AW86" s="4"/>
      <c r="AX86" s="4"/>
      <c r="AY86" s="4"/>
      <c r="AZ86" s="4"/>
      <c r="BA86" s="4"/>
      <c r="BB86" s="4"/>
      <c r="BC86" s="4"/>
      <c r="BD86" s="4"/>
      <c r="BE86" s="4"/>
      <c r="BF86" s="4"/>
      <c r="BG86" s="4"/>
      <c r="BH86" s="4"/>
      <c r="BI86" s="4"/>
      <c r="BJ86" s="4"/>
      <c r="BK86" s="4"/>
      <c r="BL86" s="4"/>
      <c r="BM86" s="4"/>
      <c r="BN86" s="4"/>
      <c r="BO86" s="4"/>
      <c r="BP86" s="4"/>
      <c r="BQ86" s="4"/>
      <c r="BR86" s="4"/>
      <c r="BS86" s="4"/>
      <c r="BT86" s="4"/>
      <c r="BU86" s="4"/>
      <c r="BV86" s="4"/>
      <c r="BW86" s="4"/>
      <c r="BX86" s="4"/>
      <c r="BY86" s="4"/>
      <c r="BZ86" s="4"/>
      <c r="CA86" s="4"/>
      <c r="CB86" s="4"/>
      <c r="CC86" s="4"/>
      <c r="CD86" s="4"/>
      <c r="CE86" s="4"/>
      <c r="CF86" s="4"/>
      <c r="CG86" s="4"/>
      <c r="CH86" s="4"/>
      <c r="CI86" s="4"/>
      <c r="CJ86" s="4"/>
      <c r="CK86" s="4"/>
      <c r="CL86" s="4"/>
      <c r="CM86" s="4"/>
      <c r="CN86" s="4"/>
      <c r="CO86" s="4"/>
      <c r="CP86" s="4"/>
      <c r="CQ86" s="4"/>
      <c r="CR86" s="4"/>
      <c r="CS86" s="4"/>
      <c r="CT86" s="4"/>
      <c r="CU86" s="4"/>
      <c r="CV86" s="4"/>
      <c r="CW86" s="4"/>
      <c r="CX86" s="4"/>
      <c r="CY86" s="4"/>
      <c r="CZ86" s="4"/>
      <c r="DA86" s="4"/>
      <c r="DB86" s="4"/>
      <c r="DC86" s="4"/>
      <c r="DD86" s="4"/>
      <c r="DE86" s="4"/>
      <c r="DF86" s="4"/>
      <c r="DG86" s="4"/>
      <c r="DH86" s="4"/>
      <c r="DI86" s="4"/>
      <c r="DJ86" s="4"/>
      <c r="DK86" s="4"/>
      <c r="DL86" s="4"/>
      <c r="DM86" s="4"/>
      <c r="DN86" s="4"/>
      <c r="DO86" s="4"/>
      <c r="DP86" s="4"/>
      <c r="DQ86" s="4"/>
      <c r="DR86" s="4"/>
      <c r="DS86" s="4"/>
      <c r="DT86" s="4"/>
      <c r="DU86" s="4"/>
      <c r="DV86" s="4"/>
      <c r="DW86" s="4"/>
      <c r="DX86" s="4"/>
      <c r="DY86" s="4"/>
      <c r="DZ86" s="4"/>
      <c r="EA86" s="4"/>
      <c r="EB86" s="4"/>
      <c r="EC86" s="4"/>
      <c r="ED86" s="4"/>
      <c r="EE86" s="4"/>
      <c r="EF86" s="4"/>
      <c r="EG86" s="4"/>
      <c r="EH86" s="4"/>
      <c r="EI86" s="4"/>
      <c r="EJ86" s="4"/>
      <c r="EK86" s="4"/>
      <c r="EL86" s="4"/>
      <c r="EM86" s="4"/>
      <c r="EN86" s="4"/>
      <c r="EO86" s="4"/>
      <c r="EP86" s="4"/>
      <c r="EQ86" s="4"/>
      <c r="ER86" s="4"/>
      <c r="ES86" s="4"/>
      <c r="ET86" s="4"/>
      <c r="EU86" s="4"/>
      <c r="EV86" s="4"/>
      <c r="EW86" s="4"/>
      <c r="EX86" s="4"/>
      <c r="EY86" s="4"/>
      <c r="EZ86" s="4"/>
      <c r="FA86" s="4"/>
      <c r="FB86" s="4"/>
      <c r="FC86" s="4"/>
      <c r="FD86" s="4"/>
      <c r="FE86" s="4"/>
      <c r="FF86" s="4"/>
      <c r="FG86" s="4"/>
      <c r="FH86" s="4"/>
      <c r="FI86" s="4"/>
      <c r="FJ86" s="4"/>
      <c r="FK86" s="4"/>
      <c r="FL86" s="4"/>
      <c r="FM86" s="4"/>
      <c r="FN86" s="4"/>
      <c r="FO86" s="4"/>
      <c r="FP86" s="4"/>
      <c r="FQ86" s="4"/>
      <c r="FR86" s="4"/>
      <c r="FS86" s="4"/>
      <c r="FT86" s="4"/>
      <c r="FU86" s="4"/>
      <c r="FV86" s="4"/>
      <c r="FW86" s="4"/>
      <c r="FX86" s="4"/>
      <c r="FY86" s="4"/>
      <c r="FZ86" s="4"/>
      <c r="GA86" s="4"/>
      <c r="GB86" s="4"/>
      <c r="GC86" s="4"/>
      <c r="GD86" s="4"/>
      <c r="GE86" s="4"/>
      <c r="GF86" s="4"/>
      <c r="GG86" s="4"/>
    </row>
    <row r="87" spans="1:189" outlineLevel="1">
      <c r="A87" s="116"/>
      <c r="B87" s="116"/>
      <c r="C87" s="116">
        <v>0</v>
      </c>
      <c r="D87" s="3"/>
      <c r="E87" s="180"/>
      <c r="F87" s="180"/>
      <c r="G87" s="180"/>
      <c r="H87" s="180"/>
      <c r="I87" s="180"/>
      <c r="J87" s="180"/>
      <c r="K87" s="180"/>
      <c r="L87" s="180"/>
      <c r="M87" s="181"/>
      <c r="N87" s="181"/>
      <c r="O87" s="182"/>
      <c r="P87" s="183"/>
      <c r="Q87" s="183"/>
      <c r="R87" s="184">
        <v>0</v>
      </c>
      <c r="S87" s="184">
        <v>0</v>
      </c>
      <c r="T87" s="181"/>
      <c r="U87" s="181"/>
      <c r="V87" s="185"/>
      <c r="W87" s="186">
        <v>0</v>
      </c>
      <c r="X87" s="187"/>
      <c r="Y87" s="182"/>
      <c r="Z87" s="188"/>
      <c r="AA87" s="97"/>
      <c r="AB87" s="189"/>
      <c r="AC87" s="210"/>
      <c r="AD87" s="4"/>
      <c r="AE87" s="4"/>
      <c r="AF87" s="4"/>
      <c r="AG87" s="4"/>
      <c r="AH87" s="4"/>
      <c r="AI87" s="4"/>
      <c r="AJ87" s="4"/>
      <c r="AK87" s="4"/>
      <c r="AL87" s="4"/>
      <c r="AM87" s="4"/>
      <c r="AN87" s="4"/>
      <c r="AO87" s="4"/>
      <c r="AP87" s="4"/>
      <c r="AQ87" s="4"/>
      <c r="AR87" s="4"/>
      <c r="AS87" s="4"/>
      <c r="AT87" s="4"/>
      <c r="AU87" s="4"/>
      <c r="AV87" s="4"/>
      <c r="AW87" s="4"/>
      <c r="AX87" s="4"/>
      <c r="AY87" s="4"/>
      <c r="AZ87" s="4"/>
      <c r="BA87" s="4"/>
      <c r="BB87" s="4"/>
      <c r="BC87" s="4"/>
      <c r="BD87" s="4"/>
      <c r="BE87" s="4"/>
      <c r="BF87" s="4"/>
      <c r="BG87" s="4"/>
      <c r="BH87" s="4"/>
      <c r="BI87" s="4"/>
      <c r="BJ87" s="4"/>
      <c r="BK87" s="4"/>
      <c r="BL87" s="4"/>
      <c r="BM87" s="4"/>
      <c r="BN87" s="4"/>
      <c r="BO87" s="4"/>
      <c r="BP87" s="4"/>
      <c r="BQ87" s="4"/>
      <c r="BR87" s="4"/>
      <c r="BS87" s="4"/>
      <c r="BT87" s="4"/>
      <c r="BU87" s="4"/>
      <c r="BV87" s="4"/>
      <c r="BW87" s="4"/>
      <c r="BX87" s="4"/>
      <c r="BY87" s="4"/>
      <c r="BZ87" s="4"/>
      <c r="CA87" s="4"/>
      <c r="CB87" s="4"/>
      <c r="CC87" s="4"/>
      <c r="CD87" s="4"/>
      <c r="CE87" s="4"/>
      <c r="CF87" s="4"/>
      <c r="CG87" s="4"/>
      <c r="CH87" s="4"/>
      <c r="CI87" s="4"/>
      <c r="CJ87" s="4"/>
      <c r="CK87" s="4"/>
      <c r="CL87" s="4"/>
      <c r="CM87" s="4"/>
      <c r="CN87" s="4"/>
      <c r="CO87" s="4"/>
      <c r="CP87" s="4"/>
      <c r="CQ87" s="4"/>
      <c r="CR87" s="4"/>
      <c r="CS87" s="4"/>
      <c r="CT87" s="4"/>
      <c r="CU87" s="4"/>
      <c r="CV87" s="4"/>
      <c r="CW87" s="4"/>
      <c r="CX87" s="4"/>
      <c r="CY87" s="4"/>
      <c r="CZ87" s="4"/>
      <c r="DA87" s="4"/>
      <c r="DB87" s="4"/>
      <c r="DC87" s="4"/>
      <c r="DD87" s="4"/>
      <c r="DE87" s="4"/>
      <c r="DF87" s="4"/>
      <c r="DG87" s="4"/>
      <c r="DH87" s="4"/>
      <c r="DI87" s="4"/>
      <c r="DJ87" s="4"/>
      <c r="DK87" s="4"/>
      <c r="DL87" s="4"/>
      <c r="DM87" s="4"/>
      <c r="DN87" s="4"/>
      <c r="DO87" s="4"/>
      <c r="DP87" s="4"/>
      <c r="DQ87" s="4"/>
      <c r="DR87" s="4"/>
      <c r="DS87" s="4"/>
      <c r="DT87" s="4"/>
      <c r="DU87" s="4"/>
      <c r="DV87" s="4"/>
      <c r="DW87" s="4"/>
      <c r="DX87" s="4"/>
      <c r="DY87" s="4"/>
      <c r="DZ87" s="4"/>
      <c r="EA87" s="4"/>
      <c r="EB87" s="4"/>
      <c r="EC87" s="4"/>
      <c r="ED87" s="4"/>
      <c r="EE87" s="4"/>
      <c r="EF87" s="4"/>
      <c r="EG87" s="4"/>
      <c r="EH87" s="4"/>
      <c r="EI87" s="4"/>
      <c r="EJ87" s="4"/>
      <c r="EK87" s="4"/>
      <c r="EL87" s="4"/>
      <c r="EM87" s="4"/>
      <c r="EN87" s="4"/>
      <c r="EO87" s="4"/>
      <c r="EP87" s="4"/>
      <c r="EQ87" s="4"/>
      <c r="ER87" s="4"/>
      <c r="ES87" s="4"/>
      <c r="ET87" s="4"/>
      <c r="EU87" s="4"/>
      <c r="EV87" s="4"/>
      <c r="EW87" s="4"/>
      <c r="EX87" s="4"/>
      <c r="EY87" s="4"/>
      <c r="EZ87" s="4"/>
      <c r="FA87" s="4"/>
      <c r="FB87" s="4"/>
      <c r="FC87" s="4"/>
      <c r="FD87" s="4"/>
      <c r="FE87" s="4"/>
      <c r="FF87" s="4"/>
      <c r="FG87" s="4"/>
      <c r="FH87" s="4"/>
      <c r="FI87" s="4"/>
      <c r="FJ87" s="4"/>
      <c r="FK87" s="4"/>
      <c r="FL87" s="4"/>
      <c r="FM87" s="4"/>
      <c r="FN87" s="4"/>
      <c r="FO87" s="4"/>
      <c r="FP87" s="4"/>
      <c r="FQ87" s="4"/>
      <c r="FR87" s="4"/>
      <c r="FS87" s="4"/>
      <c r="FT87" s="4"/>
      <c r="FU87" s="4"/>
      <c r="FV87" s="4"/>
      <c r="FW87" s="4"/>
      <c r="FX87" s="4"/>
      <c r="FY87" s="4"/>
      <c r="FZ87" s="4"/>
      <c r="GA87" s="4"/>
      <c r="GB87" s="4"/>
      <c r="GC87" s="4"/>
      <c r="GD87" s="4"/>
      <c r="GE87" s="4"/>
      <c r="GF87" s="4"/>
      <c r="GG87" s="4"/>
    </row>
    <row r="88" spans="1:189">
      <c r="A88" s="116"/>
      <c r="B88" s="116" t="s">
        <v>983</v>
      </c>
      <c r="C88" s="116">
        <v>1</v>
      </c>
      <c r="D88" s="3" t="s">
        <v>1139</v>
      </c>
      <c r="E88" s="180" t="s">
        <v>1127</v>
      </c>
      <c r="F88" s="180"/>
      <c r="G88" s="180"/>
      <c r="H88" s="180"/>
      <c r="I88" s="180"/>
      <c r="J88" s="180"/>
      <c r="K88" s="180"/>
      <c r="L88" s="180"/>
      <c r="M88" s="181">
        <v>45089</v>
      </c>
      <c r="N88" s="181">
        <v>45132</v>
      </c>
      <c r="O88" s="182"/>
      <c r="P88" s="183">
        <v>29</v>
      </c>
      <c r="Q88" s="183">
        <v>7</v>
      </c>
      <c r="R88" s="184">
        <v>32</v>
      </c>
      <c r="S88" s="184">
        <v>6</v>
      </c>
      <c r="T88" s="181"/>
      <c r="U88" s="181"/>
      <c r="V88" s="185">
        <v>0</v>
      </c>
      <c r="W88" s="186">
        <v>0</v>
      </c>
      <c r="X88" s="187"/>
      <c r="Y88" s="182"/>
      <c r="Z88" s="188"/>
      <c r="AA88" s="97">
        <v>0.2413793103448276</v>
      </c>
      <c r="AB88" s="189">
        <v>6.8965517241379309E-2</v>
      </c>
      <c r="AC88" s="210"/>
      <c r="AD88" s="4"/>
      <c r="AE88" s="4" t="str">
        <f>"   " &amp; TEXT(AB88,"#0.00%") &amp; " "</f>
        <v xml:space="preserve">   6.90% </v>
      </c>
      <c r="AF88" s="4"/>
      <c r="AG88" s="4"/>
      <c r="AH88" s="4"/>
      <c r="AI88" s="4"/>
      <c r="AJ88" s="4"/>
      <c r="AK88" s="4" t="str">
        <f>"  " &amp; "[2306-08] User Device Registration" &amp; " " &amp; IF(M88="","",TEXT(M88,"M/D-")) &amp; IF(N88="","",TEXT(N88,"M/D")) &amp; " "</f>
        <v xml:space="preserve">  [2306-08] User Device Registration 6/12-7/25 </v>
      </c>
      <c r="AL88" s="4"/>
      <c r="AM88" s="4"/>
      <c r="AN88" s="4"/>
      <c r="AO88" s="4"/>
      <c r="AP88" s="4"/>
      <c r="AQ88" s="4"/>
      <c r="AR88" s="4"/>
      <c r="AS88" s="4"/>
      <c r="AT88" s="4"/>
      <c r="AU88" s="4"/>
      <c r="AV88" s="4"/>
      <c r="AW88" s="4"/>
      <c r="AX88" s="4"/>
      <c r="AY88" s="4"/>
      <c r="AZ88" s="4"/>
      <c r="BA88" s="4"/>
      <c r="BB88" s="4"/>
      <c r="BC88" s="4"/>
      <c r="BD88" s="4"/>
      <c r="BE88" s="4"/>
      <c r="BF88" s="4"/>
      <c r="BG88" s="4"/>
      <c r="BH88" s="4"/>
      <c r="BI88" s="4"/>
      <c r="BJ88" s="4"/>
      <c r="BK88" s="4"/>
      <c r="BL88" s="4"/>
      <c r="BM88" s="4"/>
      <c r="BN88" s="4"/>
      <c r="BO88" s="4"/>
      <c r="BP88" s="4"/>
      <c r="BQ88" s="4"/>
      <c r="BR88" s="4"/>
      <c r="BS88" s="4"/>
      <c r="BT88" s="4"/>
      <c r="BU88" s="4"/>
      <c r="BV88" s="4"/>
      <c r="BW88" s="4"/>
      <c r="BX88" s="4"/>
      <c r="BY88" s="4"/>
      <c r="BZ88" s="4"/>
      <c r="CA88" s="4"/>
      <c r="CB88" s="4"/>
      <c r="CC88" s="4"/>
      <c r="CD88" s="4"/>
      <c r="CE88" s="4"/>
      <c r="CF88" s="4"/>
      <c r="CG88" s="4"/>
      <c r="CH88" s="4"/>
      <c r="CI88" s="4"/>
      <c r="CJ88" s="4"/>
      <c r="CK88" s="4"/>
      <c r="CL88" s="4"/>
      <c r="CM88" s="4"/>
      <c r="CN88" s="4"/>
      <c r="CO88" s="4"/>
      <c r="CP88" s="4"/>
      <c r="CQ88" s="4"/>
      <c r="CR88" s="4"/>
      <c r="CS88" s="4"/>
      <c r="CT88" s="4"/>
      <c r="CU88" s="4"/>
      <c r="CV88" s="4"/>
      <c r="CW88" s="4"/>
      <c r="CX88" s="4"/>
      <c r="CY88" s="4"/>
      <c r="CZ88" s="4"/>
      <c r="DA88" s="4"/>
      <c r="DB88" s="4"/>
      <c r="DC88" s="4"/>
      <c r="DD88" s="4"/>
      <c r="DE88" s="4"/>
      <c r="DF88" s="4"/>
      <c r="DG88" s="4"/>
      <c r="DH88" s="4"/>
      <c r="DI88" s="4"/>
      <c r="DJ88" s="4"/>
      <c r="DK88" s="4"/>
      <c r="DL88" s="4"/>
      <c r="DM88" s="4"/>
      <c r="DN88" s="4"/>
      <c r="DO88" s="4"/>
      <c r="DP88" s="4"/>
      <c r="DQ88" s="4"/>
      <c r="DR88" s="4"/>
      <c r="DS88" s="4"/>
      <c r="DT88" s="4"/>
      <c r="DU88" s="4"/>
      <c r="DV88" s="4"/>
      <c r="DW88" s="4"/>
      <c r="DX88" s="4"/>
      <c r="DY88" s="4"/>
      <c r="DZ88" s="4"/>
      <c r="EA88" s="4"/>
      <c r="EB88" s="4"/>
      <c r="EC88" s="4"/>
      <c r="ED88" s="4"/>
      <c r="EE88" s="4"/>
      <c r="EF88" s="4"/>
      <c r="EG88" s="4"/>
      <c r="EH88" s="4"/>
      <c r="EI88" s="4"/>
      <c r="EJ88" s="4"/>
      <c r="EK88" s="4"/>
      <c r="EL88" s="4"/>
      <c r="EM88" s="4"/>
      <c r="EN88" s="4"/>
      <c r="EO88" s="4"/>
      <c r="EP88" s="4"/>
      <c r="EQ88" s="4"/>
      <c r="ER88" s="4"/>
      <c r="ES88" s="4"/>
      <c r="ET88" s="4"/>
      <c r="EU88" s="4"/>
      <c r="EV88" s="4"/>
      <c r="EW88" s="4"/>
      <c r="EX88" s="4"/>
      <c r="EY88" s="4"/>
      <c r="EZ88" s="4"/>
      <c r="FA88" s="4"/>
      <c r="FB88" s="4"/>
      <c r="FC88" s="4"/>
      <c r="FD88" s="4"/>
      <c r="FE88" s="4"/>
      <c r="FF88" s="4"/>
      <c r="FG88" s="4"/>
      <c r="FH88" s="4"/>
      <c r="FI88" s="4"/>
      <c r="FJ88" s="4"/>
      <c r="FK88" s="4"/>
      <c r="FL88" s="4"/>
      <c r="FM88" s="4"/>
      <c r="FN88" s="4"/>
      <c r="FO88" s="4"/>
      <c r="FP88" s="4"/>
      <c r="FQ88" s="4"/>
      <c r="FR88" s="4"/>
      <c r="FS88" s="4"/>
      <c r="FT88" s="4"/>
      <c r="FU88" s="4"/>
      <c r="FV88" s="4"/>
      <c r="FW88" s="4"/>
      <c r="FX88" s="4"/>
      <c r="FY88" s="4"/>
      <c r="FZ88" s="4"/>
      <c r="GA88" s="4"/>
      <c r="GB88" s="4"/>
      <c r="GC88" s="4"/>
      <c r="GD88" s="4"/>
      <c r="GE88" s="4"/>
      <c r="GF88" s="4"/>
      <c r="GG88" s="4"/>
    </row>
    <row r="89" spans="1:189" outlineLevel="1">
      <c r="A89" s="116"/>
      <c r="B89" s="116"/>
      <c r="C89" s="116">
        <v>2</v>
      </c>
      <c r="D89" s="3" t="s">
        <v>1141</v>
      </c>
      <c r="E89" s="180"/>
      <c r="F89" s="180" t="s">
        <v>1071</v>
      </c>
      <c r="G89" s="180"/>
      <c r="H89" s="180"/>
      <c r="I89" s="180"/>
      <c r="J89" s="180"/>
      <c r="K89" s="180"/>
      <c r="L89" s="180"/>
      <c r="M89" s="181">
        <v>45089</v>
      </c>
      <c r="N89" s="181">
        <v>45100</v>
      </c>
      <c r="O89" s="182"/>
      <c r="P89" s="183">
        <v>10</v>
      </c>
      <c r="Q89" s="183">
        <v>6</v>
      </c>
      <c r="R89" s="184">
        <v>10</v>
      </c>
      <c r="S89" s="184">
        <v>6</v>
      </c>
      <c r="T89" s="181"/>
      <c r="U89" s="181"/>
      <c r="V89" s="185"/>
      <c r="W89" s="186">
        <v>0</v>
      </c>
      <c r="X89" s="187">
        <v>1</v>
      </c>
      <c r="Y89" s="182" t="s">
        <v>1183</v>
      </c>
      <c r="Z89" s="188"/>
      <c r="AA89" s="97">
        <v>0.6</v>
      </c>
      <c r="AB89" s="189">
        <v>0.2</v>
      </c>
      <c r="AC89" s="210"/>
      <c r="AD89" s="4"/>
      <c r="AE89" s="4" t="str">
        <f>"  " &amp; TEXT(AB89,"#0.00%") &amp; " " &amp; "Design" &amp; "(Yeshwant)" &amp; " " &amp; IF(M89="","",TEXT(M89,"M/D-")) &amp; IF(N89="","",TEXT(N89,"M/D")) &amp; " "</f>
        <v xml:space="preserve">  20.00% Design(Yeshwant) 6/12-6/23 </v>
      </c>
      <c r="AF89" s="4"/>
      <c r="AG89" s="4"/>
      <c r="AH89" s="4"/>
      <c r="AI89" s="4"/>
      <c r="AJ89" s="4"/>
      <c r="AK89" s="4"/>
      <c r="AL89" s="4"/>
      <c r="AM89" s="4"/>
      <c r="AN89" s="4"/>
      <c r="AO89" s="4"/>
      <c r="AP89" s="4"/>
      <c r="AQ89" s="4"/>
      <c r="AR89" s="4"/>
      <c r="AS89" s="4"/>
      <c r="AT89" s="4"/>
      <c r="AU89" s="4"/>
      <c r="AV89" s="4"/>
      <c r="AW89" s="4"/>
      <c r="AX89" s="4"/>
      <c r="AY89" s="4"/>
      <c r="AZ89" s="4"/>
      <c r="BA89" s="4"/>
      <c r="BB89" s="4"/>
      <c r="BC89" s="4"/>
      <c r="BD89" s="4"/>
      <c r="BE89" s="4"/>
      <c r="BF89" s="4"/>
      <c r="BG89" s="4"/>
      <c r="BH89" s="4"/>
      <c r="BI89" s="4"/>
      <c r="BJ89" s="4"/>
      <c r="BK89" s="4"/>
      <c r="BL89" s="4"/>
      <c r="BM89" s="4"/>
      <c r="BN89" s="4"/>
      <c r="BO89" s="4"/>
      <c r="BP89" s="4"/>
      <c r="BQ89" s="4"/>
      <c r="BR89" s="4"/>
      <c r="BS89" s="4"/>
      <c r="BT89" s="4"/>
      <c r="BU89" s="4"/>
      <c r="BV89" s="4"/>
      <c r="BW89" s="4"/>
      <c r="BX89" s="4"/>
      <c r="BY89" s="4"/>
      <c r="BZ89" s="4"/>
      <c r="CA89" s="4"/>
      <c r="CB89" s="4"/>
      <c r="CC89" s="4"/>
      <c r="CD89" s="4"/>
      <c r="CE89" s="4"/>
      <c r="CF89" s="4"/>
      <c r="CG89" s="4"/>
      <c r="CH89" s="4"/>
      <c r="CI89" s="4"/>
      <c r="CJ89" s="4"/>
      <c r="CK89" s="4"/>
      <c r="CL89" s="4"/>
      <c r="CM89" s="4"/>
      <c r="CN89" s="4"/>
      <c r="CO89" s="4"/>
      <c r="CP89" s="4"/>
      <c r="CQ89" s="4"/>
      <c r="CR89" s="4"/>
      <c r="CS89" s="4"/>
      <c r="CT89" s="4"/>
      <c r="CU89" s="4"/>
      <c r="CV89" s="4"/>
      <c r="CW89" s="4"/>
      <c r="CX89" s="4"/>
      <c r="CY89" s="4"/>
      <c r="CZ89" s="4"/>
      <c r="DA89" s="4"/>
      <c r="DB89" s="4"/>
      <c r="DC89" s="4"/>
      <c r="DD89" s="4"/>
      <c r="DE89" s="4"/>
      <c r="DF89" s="4"/>
      <c r="DG89" s="4"/>
      <c r="DH89" s="4"/>
      <c r="DI89" s="4"/>
      <c r="DJ89" s="4"/>
      <c r="DK89" s="4"/>
      <c r="DL89" s="4"/>
      <c r="DM89" s="4"/>
      <c r="DN89" s="4"/>
      <c r="DO89" s="4"/>
      <c r="DP89" s="4"/>
      <c r="DQ89" s="4"/>
      <c r="DR89" s="4"/>
      <c r="DS89" s="4"/>
      <c r="DT89" s="4"/>
      <c r="DU89" s="4"/>
      <c r="DV89" s="4"/>
      <c r="DW89" s="4"/>
      <c r="DX89" s="4"/>
      <c r="DY89" s="4"/>
      <c r="DZ89" s="4"/>
      <c r="EA89" s="4"/>
      <c r="EB89" s="4"/>
      <c r="EC89" s="4"/>
      <c r="ED89" s="4"/>
      <c r="EE89" s="4"/>
      <c r="EF89" s="4"/>
      <c r="EG89" s="4"/>
      <c r="EH89" s="4"/>
      <c r="EI89" s="4"/>
      <c r="EJ89" s="4"/>
      <c r="EK89" s="4"/>
      <c r="EL89" s="4"/>
      <c r="EM89" s="4"/>
      <c r="EN89" s="4"/>
      <c r="EO89" s="4"/>
      <c r="EP89" s="4"/>
      <c r="EQ89" s="4"/>
      <c r="ER89" s="4"/>
      <c r="ES89" s="4"/>
      <c r="ET89" s="4"/>
      <c r="EU89" s="4"/>
      <c r="EV89" s="4"/>
      <c r="EW89" s="4"/>
      <c r="EX89" s="4"/>
      <c r="EY89" s="4"/>
      <c r="EZ89" s="4"/>
      <c r="FA89" s="4"/>
      <c r="FB89" s="4"/>
      <c r="FC89" s="4"/>
      <c r="FD89" s="4"/>
      <c r="FE89" s="4"/>
      <c r="FF89" s="4"/>
      <c r="FG89" s="4"/>
      <c r="FH89" s="4"/>
      <c r="FI89" s="4"/>
      <c r="FJ89" s="4"/>
      <c r="FK89" s="4"/>
      <c r="FL89" s="4"/>
      <c r="FM89" s="4"/>
      <c r="FN89" s="4"/>
      <c r="FO89" s="4"/>
      <c r="FP89" s="4"/>
      <c r="FQ89" s="4"/>
      <c r="FR89" s="4"/>
      <c r="FS89" s="4"/>
      <c r="FT89" s="4"/>
      <c r="FU89" s="4"/>
      <c r="FV89" s="4"/>
      <c r="FW89" s="4"/>
      <c r="FX89" s="4"/>
      <c r="FY89" s="4"/>
      <c r="FZ89" s="4"/>
      <c r="GA89" s="4"/>
      <c r="GB89" s="4"/>
      <c r="GC89" s="4"/>
      <c r="GD89" s="4"/>
      <c r="GE89" s="4"/>
      <c r="GF89" s="4"/>
      <c r="GG89" s="4"/>
    </row>
    <row r="90" spans="1:189" outlineLevel="1">
      <c r="A90" s="116"/>
      <c r="B90" s="116"/>
      <c r="C90" s="116">
        <v>2</v>
      </c>
      <c r="D90" s="3" t="s">
        <v>1142</v>
      </c>
      <c r="E90" s="180"/>
      <c r="F90" s="180" t="s">
        <v>1074</v>
      </c>
      <c r="G90" s="180"/>
      <c r="H90" s="180"/>
      <c r="I90" s="180"/>
      <c r="J90" s="180"/>
      <c r="K90" s="180"/>
      <c r="L90" s="180"/>
      <c r="M90" s="181">
        <v>45096</v>
      </c>
      <c r="N90" s="181">
        <v>45100</v>
      </c>
      <c r="O90" s="182"/>
      <c r="P90" s="183">
        <v>5</v>
      </c>
      <c r="Q90" s="183">
        <v>1</v>
      </c>
      <c r="R90" s="184">
        <v>5</v>
      </c>
      <c r="S90" s="184">
        <v>1</v>
      </c>
      <c r="T90" s="181"/>
      <c r="U90" s="181"/>
      <c r="V90" s="185"/>
      <c r="W90" s="186">
        <v>0</v>
      </c>
      <c r="X90" s="187">
        <v>1</v>
      </c>
      <c r="Y90" s="182"/>
      <c r="Z90" s="188"/>
      <c r="AA90" s="97">
        <v>0.2</v>
      </c>
      <c r="AB90" s="189">
        <v>0</v>
      </c>
      <c r="AC90" s="210"/>
      <c r="AD90" s="4"/>
      <c r="AE90" s="4"/>
      <c r="AF90" s="4" t="str">
        <f>"" &amp; TEXT(AB90,"#0.00%") &amp; " " &amp; "Server" &amp; " " &amp; IF(M90="","",TEXT(M90,"M/D-")) &amp; IF(N90="","",TEXT(N90,"M/D")) &amp; " "</f>
        <v xml:space="preserve">0.00% Server 6/19-6/23 </v>
      </c>
      <c r="AG90" s="4"/>
      <c r="AH90" s="4"/>
      <c r="AI90" s="4"/>
      <c r="AJ90" s="4"/>
      <c r="AK90" s="4"/>
      <c r="AL90" s="4"/>
      <c r="AM90" s="4"/>
      <c r="AN90" s="4"/>
      <c r="AO90" s="4"/>
      <c r="AP90" s="4"/>
      <c r="AQ90" s="4"/>
      <c r="AR90" s="4"/>
      <c r="AS90" s="4"/>
      <c r="AT90" s="4"/>
      <c r="AU90" s="4"/>
      <c r="AV90" s="4"/>
      <c r="AW90" s="4"/>
      <c r="AX90" s="4"/>
      <c r="AY90" s="4"/>
      <c r="AZ90" s="4"/>
      <c r="BA90" s="4"/>
      <c r="BB90" s="4"/>
      <c r="BC90" s="4"/>
      <c r="BD90" s="4"/>
      <c r="BE90" s="4"/>
      <c r="BF90" s="4"/>
      <c r="BG90" s="4"/>
      <c r="BH90" s="4"/>
      <c r="BI90" s="4"/>
      <c r="BJ90" s="4"/>
      <c r="BK90" s="4"/>
      <c r="BL90" s="4"/>
      <c r="BM90" s="4"/>
      <c r="BN90" s="4"/>
      <c r="BO90" s="4"/>
      <c r="BP90" s="4"/>
      <c r="BQ90" s="4"/>
      <c r="BR90" s="4"/>
      <c r="BS90" s="4"/>
      <c r="BT90" s="4"/>
      <c r="BU90" s="4"/>
      <c r="BV90" s="4"/>
      <c r="BW90" s="4"/>
      <c r="BX90" s="4"/>
      <c r="BY90" s="4"/>
      <c r="BZ90" s="4"/>
      <c r="CA90" s="4"/>
      <c r="CB90" s="4"/>
      <c r="CC90" s="4"/>
      <c r="CD90" s="4"/>
      <c r="CE90" s="4"/>
      <c r="CF90" s="4"/>
      <c r="CG90" s="4"/>
      <c r="CH90" s="4"/>
      <c r="CI90" s="4"/>
      <c r="CJ90" s="4"/>
      <c r="CK90" s="4"/>
      <c r="CL90" s="4"/>
      <c r="CM90" s="4"/>
      <c r="CN90" s="4"/>
      <c r="CO90" s="4"/>
      <c r="CP90" s="4"/>
      <c r="CQ90" s="4"/>
      <c r="CR90" s="4"/>
      <c r="CS90" s="4"/>
      <c r="CT90" s="4"/>
      <c r="CU90" s="4"/>
      <c r="CV90" s="4"/>
      <c r="CW90" s="4"/>
      <c r="CX90" s="4"/>
      <c r="CY90" s="4"/>
      <c r="CZ90" s="4"/>
      <c r="DA90" s="4"/>
      <c r="DB90" s="4"/>
      <c r="DC90" s="4"/>
      <c r="DD90" s="4"/>
      <c r="DE90" s="4"/>
      <c r="DF90" s="4"/>
      <c r="DG90" s="4"/>
      <c r="DH90" s="4"/>
      <c r="DI90" s="4"/>
      <c r="DJ90" s="4"/>
      <c r="DK90" s="4"/>
      <c r="DL90" s="4"/>
      <c r="DM90" s="4"/>
      <c r="DN90" s="4"/>
      <c r="DO90" s="4"/>
      <c r="DP90" s="4"/>
      <c r="DQ90" s="4"/>
      <c r="DR90" s="4"/>
      <c r="DS90" s="4"/>
      <c r="DT90" s="4"/>
      <c r="DU90" s="4"/>
      <c r="DV90" s="4"/>
      <c r="DW90" s="4"/>
      <c r="DX90" s="4"/>
      <c r="DY90" s="4"/>
      <c r="DZ90" s="4"/>
      <c r="EA90" s="4"/>
      <c r="EB90" s="4"/>
      <c r="EC90" s="4"/>
      <c r="ED90" s="4"/>
      <c r="EE90" s="4"/>
      <c r="EF90" s="4"/>
      <c r="EG90" s="4"/>
      <c r="EH90" s="4"/>
      <c r="EI90" s="4"/>
      <c r="EJ90" s="4"/>
      <c r="EK90" s="4"/>
      <c r="EL90" s="4"/>
      <c r="EM90" s="4"/>
      <c r="EN90" s="4"/>
      <c r="EO90" s="4"/>
      <c r="EP90" s="4"/>
      <c r="EQ90" s="4"/>
      <c r="ER90" s="4"/>
      <c r="ES90" s="4"/>
      <c r="ET90" s="4"/>
      <c r="EU90" s="4"/>
      <c r="EV90" s="4"/>
      <c r="EW90" s="4"/>
      <c r="EX90" s="4"/>
      <c r="EY90" s="4"/>
      <c r="EZ90" s="4"/>
      <c r="FA90" s="4"/>
      <c r="FB90" s="4"/>
      <c r="FC90" s="4"/>
      <c r="FD90" s="4"/>
      <c r="FE90" s="4"/>
      <c r="FF90" s="4"/>
      <c r="FG90" s="4"/>
      <c r="FH90" s="4"/>
      <c r="FI90" s="4"/>
      <c r="FJ90" s="4"/>
      <c r="FK90" s="4"/>
      <c r="FL90" s="4"/>
      <c r="FM90" s="4"/>
      <c r="FN90" s="4"/>
      <c r="FO90" s="4"/>
      <c r="FP90" s="4"/>
      <c r="FQ90" s="4"/>
      <c r="FR90" s="4"/>
      <c r="FS90" s="4"/>
      <c r="FT90" s="4"/>
      <c r="FU90" s="4"/>
      <c r="FV90" s="4"/>
      <c r="FW90" s="4"/>
      <c r="FX90" s="4"/>
      <c r="FY90" s="4"/>
      <c r="FZ90" s="4"/>
      <c r="GA90" s="4"/>
      <c r="GB90" s="4"/>
      <c r="GC90" s="4"/>
      <c r="GD90" s="4"/>
      <c r="GE90" s="4"/>
      <c r="GF90" s="4"/>
      <c r="GG90" s="4"/>
    </row>
    <row r="91" spans="1:189" outlineLevel="1">
      <c r="A91" s="116"/>
      <c r="B91" s="116"/>
      <c r="C91" s="116">
        <v>2</v>
      </c>
      <c r="D91" s="3" t="s">
        <v>1143</v>
      </c>
      <c r="E91" s="180"/>
      <c r="F91" s="180" t="s">
        <v>1073</v>
      </c>
      <c r="G91" s="180"/>
      <c r="H91" s="180"/>
      <c r="I91" s="180"/>
      <c r="J91" s="180"/>
      <c r="K91" s="180"/>
      <c r="L91" s="180"/>
      <c r="M91" s="181">
        <v>45103</v>
      </c>
      <c r="N91" s="181">
        <v>45107</v>
      </c>
      <c r="O91" s="182"/>
      <c r="P91" s="183">
        <v>5</v>
      </c>
      <c r="Q91" s="183">
        <v>0</v>
      </c>
      <c r="R91" s="184">
        <v>5</v>
      </c>
      <c r="S91" s="184">
        <v>0</v>
      </c>
      <c r="T91" s="181"/>
      <c r="U91" s="181"/>
      <c r="V91" s="185"/>
      <c r="W91" s="186">
        <v>0</v>
      </c>
      <c r="X91" s="187">
        <v>1</v>
      </c>
      <c r="Y91" s="182" t="s">
        <v>1184</v>
      </c>
      <c r="Z91" s="188"/>
      <c r="AA91" s="97">
        <v>0</v>
      </c>
      <c r="AB91" s="189">
        <v>0</v>
      </c>
      <c r="AC91" s="210"/>
      <c r="AD91" s="4"/>
      <c r="AE91" s="4"/>
      <c r="AF91" s="4"/>
      <c r="AG91" s="4" t="str">
        <f>"" &amp; TEXT(AB91,"#0.00%") &amp; " " &amp; "iOS" &amp; "(Nabin)" &amp; " " &amp; IF(M91="","",TEXT(M91,"M/D-")) &amp; IF(N91="","",TEXT(N91,"M/D")) &amp; " "</f>
        <v xml:space="preserve">0.00% iOS(Nabin) 6/26-6/30 </v>
      </c>
      <c r="AH91" s="4"/>
      <c r="AI91" s="4"/>
      <c r="AJ91" s="4"/>
      <c r="AK91" s="4"/>
      <c r="AL91" s="4"/>
      <c r="AM91" s="4"/>
      <c r="AN91" s="4"/>
      <c r="AO91" s="4"/>
      <c r="AP91" s="4"/>
      <c r="AQ91" s="4"/>
      <c r="AR91" s="4"/>
      <c r="AS91" s="4"/>
      <c r="AT91" s="4"/>
      <c r="AU91" s="4"/>
      <c r="AV91" s="4"/>
      <c r="AW91" s="4"/>
      <c r="AX91" s="4"/>
      <c r="AY91" s="4"/>
      <c r="AZ91" s="4"/>
      <c r="BA91" s="4"/>
      <c r="BB91" s="4"/>
      <c r="BC91" s="4"/>
      <c r="BD91" s="4"/>
      <c r="BE91" s="4"/>
      <c r="BF91" s="4"/>
      <c r="BG91" s="4"/>
      <c r="BH91" s="4"/>
      <c r="BI91" s="4"/>
      <c r="BJ91" s="4"/>
      <c r="BK91" s="4"/>
      <c r="BL91" s="4"/>
      <c r="BM91" s="4"/>
      <c r="BN91" s="4"/>
      <c r="BO91" s="4"/>
      <c r="BP91" s="4"/>
      <c r="BQ91" s="4"/>
      <c r="BR91" s="4"/>
      <c r="BS91" s="4"/>
      <c r="BT91" s="4"/>
      <c r="BU91" s="4"/>
      <c r="BV91" s="4"/>
      <c r="BW91" s="4"/>
      <c r="BX91" s="4"/>
      <c r="BY91" s="4"/>
      <c r="BZ91" s="4"/>
      <c r="CA91" s="4"/>
      <c r="CB91" s="4"/>
      <c r="CC91" s="4"/>
      <c r="CD91" s="4"/>
      <c r="CE91" s="4"/>
      <c r="CF91" s="4"/>
      <c r="CG91" s="4"/>
      <c r="CH91" s="4"/>
      <c r="CI91" s="4"/>
      <c r="CJ91" s="4"/>
      <c r="CK91" s="4"/>
      <c r="CL91" s="4"/>
      <c r="CM91" s="4"/>
      <c r="CN91" s="4"/>
      <c r="CO91" s="4"/>
      <c r="CP91" s="4"/>
      <c r="CQ91" s="4"/>
      <c r="CR91" s="4"/>
      <c r="CS91" s="4"/>
      <c r="CT91" s="4"/>
      <c r="CU91" s="4"/>
      <c r="CV91" s="4"/>
      <c r="CW91" s="4"/>
      <c r="CX91" s="4"/>
      <c r="CY91" s="4"/>
      <c r="CZ91" s="4"/>
      <c r="DA91" s="4"/>
      <c r="DB91" s="4"/>
      <c r="DC91" s="4"/>
      <c r="DD91" s="4"/>
      <c r="DE91" s="4"/>
      <c r="DF91" s="4"/>
      <c r="DG91" s="4"/>
      <c r="DH91" s="4"/>
      <c r="DI91" s="4"/>
      <c r="DJ91" s="4"/>
      <c r="DK91" s="4"/>
      <c r="DL91" s="4"/>
      <c r="DM91" s="4"/>
      <c r="DN91" s="4"/>
      <c r="DO91" s="4"/>
      <c r="DP91" s="4"/>
      <c r="DQ91" s="4"/>
      <c r="DR91" s="4"/>
      <c r="DS91" s="4"/>
      <c r="DT91" s="4"/>
      <c r="DU91" s="4"/>
      <c r="DV91" s="4"/>
      <c r="DW91" s="4"/>
      <c r="DX91" s="4"/>
      <c r="DY91" s="4"/>
      <c r="DZ91" s="4"/>
      <c r="EA91" s="4"/>
      <c r="EB91" s="4"/>
      <c r="EC91" s="4"/>
      <c r="ED91" s="4"/>
      <c r="EE91" s="4"/>
      <c r="EF91" s="4"/>
      <c r="EG91" s="4"/>
      <c r="EH91" s="4"/>
      <c r="EI91" s="4"/>
      <c r="EJ91" s="4"/>
      <c r="EK91" s="4"/>
      <c r="EL91" s="4"/>
      <c r="EM91" s="4"/>
      <c r="EN91" s="4"/>
      <c r="EO91" s="4"/>
      <c r="EP91" s="4"/>
      <c r="EQ91" s="4"/>
      <c r="ER91" s="4"/>
      <c r="ES91" s="4"/>
      <c r="ET91" s="4"/>
      <c r="EU91" s="4"/>
      <c r="EV91" s="4"/>
      <c r="EW91" s="4"/>
      <c r="EX91" s="4"/>
      <c r="EY91" s="4"/>
      <c r="EZ91" s="4"/>
      <c r="FA91" s="4"/>
      <c r="FB91" s="4"/>
      <c r="FC91" s="4"/>
      <c r="FD91" s="4"/>
      <c r="FE91" s="4"/>
      <c r="FF91" s="4"/>
      <c r="FG91" s="4"/>
      <c r="FH91" s="4"/>
      <c r="FI91" s="4"/>
      <c r="FJ91" s="4"/>
      <c r="FK91" s="4"/>
      <c r="FL91" s="4"/>
      <c r="FM91" s="4"/>
      <c r="FN91" s="4"/>
      <c r="FO91" s="4"/>
      <c r="FP91" s="4"/>
      <c r="FQ91" s="4"/>
      <c r="FR91" s="4"/>
      <c r="FS91" s="4"/>
      <c r="FT91" s="4"/>
      <c r="FU91" s="4"/>
      <c r="FV91" s="4"/>
      <c r="FW91" s="4"/>
      <c r="FX91" s="4"/>
      <c r="FY91" s="4"/>
      <c r="FZ91" s="4"/>
      <c r="GA91" s="4"/>
      <c r="GB91" s="4"/>
      <c r="GC91" s="4"/>
      <c r="GD91" s="4"/>
      <c r="GE91" s="4"/>
      <c r="GF91" s="4"/>
      <c r="GG91" s="4"/>
    </row>
    <row r="92" spans="1:189" outlineLevel="1">
      <c r="A92" s="116"/>
      <c r="B92" s="116"/>
      <c r="C92" s="116">
        <v>2</v>
      </c>
      <c r="D92" s="3" t="s">
        <v>1144</v>
      </c>
      <c r="E92" s="180"/>
      <c r="F92" s="180" t="s">
        <v>1072</v>
      </c>
      <c r="G92" s="180"/>
      <c r="H92" s="180"/>
      <c r="I92" s="180"/>
      <c r="J92" s="180"/>
      <c r="K92" s="180"/>
      <c r="L92" s="180"/>
      <c r="M92" s="181">
        <v>45103</v>
      </c>
      <c r="N92" s="181">
        <v>45107</v>
      </c>
      <c r="O92" s="182"/>
      <c r="P92" s="183">
        <v>5</v>
      </c>
      <c r="Q92" s="183">
        <v>0</v>
      </c>
      <c r="R92" s="184">
        <v>5</v>
      </c>
      <c r="S92" s="184">
        <v>0</v>
      </c>
      <c r="T92" s="181"/>
      <c r="U92" s="181"/>
      <c r="V92" s="185"/>
      <c r="W92" s="186">
        <v>0</v>
      </c>
      <c r="X92" s="187">
        <v>1</v>
      </c>
      <c r="Y92" s="182" t="s">
        <v>1152</v>
      </c>
      <c r="Z92" s="188"/>
      <c r="AA92" s="97">
        <v>0</v>
      </c>
      <c r="AB92" s="189">
        <v>0</v>
      </c>
      <c r="AC92" s="210"/>
      <c r="AD92" s="4"/>
      <c r="AE92" s="4"/>
      <c r="AF92" s="4"/>
      <c r="AG92" s="4" t="str">
        <f>"" &amp; TEXT(AB92,"#0.00%") &amp; " " &amp; "Android" &amp; "(Sujan)" &amp; " " &amp; IF(M92="","",TEXT(M92,"M/D-")) &amp; IF(N92="","",TEXT(N92,"M/D")) &amp; " "</f>
        <v xml:space="preserve">0.00% Android(Sujan) 6/26-6/30 </v>
      </c>
      <c r="AH92" s="4"/>
      <c r="AI92" s="4"/>
      <c r="AJ92" s="4"/>
      <c r="AK92" s="4"/>
      <c r="AL92" s="4"/>
      <c r="AM92" s="4"/>
      <c r="AN92" s="4"/>
      <c r="AO92" s="4"/>
      <c r="AP92" s="4"/>
      <c r="AQ92" s="4"/>
      <c r="AR92" s="4"/>
      <c r="AS92" s="4"/>
      <c r="AT92" s="4"/>
      <c r="AU92" s="4"/>
      <c r="AV92" s="4"/>
      <c r="AW92" s="4"/>
      <c r="AX92" s="4"/>
      <c r="AY92" s="4"/>
      <c r="AZ92" s="4"/>
      <c r="BA92" s="4"/>
      <c r="BB92" s="4"/>
      <c r="BC92" s="4"/>
      <c r="BD92" s="4"/>
      <c r="BE92" s="4"/>
      <c r="BF92" s="4"/>
      <c r="BG92" s="4"/>
      <c r="BH92" s="4"/>
      <c r="BI92" s="4"/>
      <c r="BJ92" s="4"/>
      <c r="BK92" s="4"/>
      <c r="BL92" s="4"/>
      <c r="BM92" s="4"/>
      <c r="BN92" s="4"/>
      <c r="BO92" s="4"/>
      <c r="BP92" s="4"/>
      <c r="BQ92" s="4"/>
      <c r="BR92" s="4"/>
      <c r="BS92" s="4"/>
      <c r="BT92" s="4"/>
      <c r="BU92" s="4"/>
      <c r="BV92" s="4"/>
      <c r="BW92" s="4"/>
      <c r="BX92" s="4"/>
      <c r="BY92" s="4"/>
      <c r="BZ92" s="4"/>
      <c r="CA92" s="4"/>
      <c r="CB92" s="4"/>
      <c r="CC92" s="4"/>
      <c r="CD92" s="4"/>
      <c r="CE92" s="4"/>
      <c r="CF92" s="4"/>
      <c r="CG92" s="4"/>
      <c r="CH92" s="4"/>
      <c r="CI92" s="4"/>
      <c r="CJ92" s="4"/>
      <c r="CK92" s="4"/>
      <c r="CL92" s="4"/>
      <c r="CM92" s="4"/>
      <c r="CN92" s="4"/>
      <c r="CO92" s="4"/>
      <c r="CP92" s="4"/>
      <c r="CQ92" s="4"/>
      <c r="CR92" s="4"/>
      <c r="CS92" s="4"/>
      <c r="CT92" s="4"/>
      <c r="CU92" s="4"/>
      <c r="CV92" s="4"/>
      <c r="CW92" s="4"/>
      <c r="CX92" s="4"/>
      <c r="CY92" s="4"/>
      <c r="CZ92" s="4"/>
      <c r="DA92" s="4"/>
      <c r="DB92" s="4"/>
      <c r="DC92" s="4"/>
      <c r="DD92" s="4"/>
      <c r="DE92" s="4"/>
      <c r="DF92" s="4"/>
      <c r="DG92" s="4"/>
      <c r="DH92" s="4"/>
      <c r="DI92" s="4"/>
      <c r="DJ92" s="4"/>
      <c r="DK92" s="4"/>
      <c r="DL92" s="4"/>
      <c r="DM92" s="4"/>
      <c r="DN92" s="4"/>
      <c r="DO92" s="4"/>
      <c r="DP92" s="4"/>
      <c r="DQ92" s="4"/>
      <c r="DR92" s="4"/>
      <c r="DS92" s="4"/>
      <c r="DT92" s="4"/>
      <c r="DU92" s="4"/>
      <c r="DV92" s="4"/>
      <c r="DW92" s="4"/>
      <c r="DX92" s="4"/>
      <c r="DY92" s="4"/>
      <c r="DZ92" s="4"/>
      <c r="EA92" s="4"/>
      <c r="EB92" s="4"/>
      <c r="EC92" s="4"/>
      <c r="ED92" s="4"/>
      <c r="EE92" s="4"/>
      <c r="EF92" s="4"/>
      <c r="EG92" s="4"/>
      <c r="EH92" s="4"/>
      <c r="EI92" s="4"/>
      <c r="EJ92" s="4"/>
      <c r="EK92" s="4"/>
      <c r="EL92" s="4"/>
      <c r="EM92" s="4"/>
      <c r="EN92" s="4"/>
      <c r="EO92" s="4"/>
      <c r="EP92" s="4"/>
      <c r="EQ92" s="4"/>
      <c r="ER92" s="4"/>
      <c r="ES92" s="4"/>
      <c r="ET92" s="4"/>
      <c r="EU92" s="4"/>
      <c r="EV92" s="4"/>
      <c r="EW92" s="4"/>
      <c r="EX92" s="4"/>
      <c r="EY92" s="4"/>
      <c r="EZ92" s="4"/>
      <c r="FA92" s="4"/>
      <c r="FB92" s="4"/>
      <c r="FC92" s="4"/>
      <c r="FD92" s="4"/>
      <c r="FE92" s="4"/>
      <c r="FF92" s="4"/>
      <c r="FG92" s="4"/>
      <c r="FH92" s="4"/>
      <c r="FI92" s="4"/>
      <c r="FJ92" s="4"/>
      <c r="FK92" s="4"/>
      <c r="FL92" s="4"/>
      <c r="FM92" s="4"/>
      <c r="FN92" s="4"/>
      <c r="FO92" s="4"/>
      <c r="FP92" s="4"/>
      <c r="FQ92" s="4"/>
      <c r="FR92" s="4"/>
      <c r="FS92" s="4"/>
      <c r="FT92" s="4"/>
      <c r="FU92" s="4"/>
      <c r="FV92" s="4"/>
      <c r="FW92" s="4"/>
      <c r="FX92" s="4"/>
      <c r="FY92" s="4"/>
      <c r="FZ92" s="4"/>
      <c r="GA92" s="4"/>
      <c r="GB92" s="4"/>
      <c r="GC92" s="4"/>
      <c r="GD92" s="4"/>
      <c r="GE92" s="4"/>
      <c r="GF92" s="4"/>
      <c r="GG92" s="4"/>
    </row>
    <row r="93" spans="1:189" outlineLevel="1">
      <c r="A93" s="116"/>
      <c r="B93" s="116"/>
      <c r="C93" s="116">
        <v>2</v>
      </c>
      <c r="D93" s="3" t="s">
        <v>1145</v>
      </c>
      <c r="E93" s="180"/>
      <c r="F93" s="180" t="s">
        <v>1040</v>
      </c>
      <c r="G93" s="180"/>
      <c r="H93" s="180"/>
      <c r="I93" s="180"/>
      <c r="J93" s="180"/>
      <c r="K93" s="180"/>
      <c r="L93" s="180"/>
      <c r="M93" s="181">
        <v>45110</v>
      </c>
      <c r="N93" s="181">
        <v>45112</v>
      </c>
      <c r="O93" s="182"/>
      <c r="P93" s="183">
        <v>3</v>
      </c>
      <c r="Q93" s="183">
        <v>0</v>
      </c>
      <c r="R93" s="184">
        <v>3</v>
      </c>
      <c r="S93" s="184">
        <v>0</v>
      </c>
      <c r="T93" s="181"/>
      <c r="U93" s="181"/>
      <c r="V93" s="185"/>
      <c r="W93" s="186">
        <v>0</v>
      </c>
      <c r="X93" s="187">
        <v>1</v>
      </c>
      <c r="Y93" s="182" t="s">
        <v>1118</v>
      </c>
      <c r="Z93" s="188"/>
      <c r="AA93" s="97">
        <v>0</v>
      </c>
      <c r="AB93" s="189">
        <v>0</v>
      </c>
      <c r="AC93" s="210"/>
      <c r="AD93" s="4"/>
      <c r="AE93" s="4"/>
      <c r="AF93" s="4"/>
      <c r="AG93" s="4"/>
      <c r="AH93" s="4" t="str">
        <f>"" &amp; TEXT(AB93,"#0.00%") &amp; " " &amp; "Test in TB" &amp; "(Pheaktra, Jasurbek )" &amp; " " &amp; IF(M93="","",TEXT(M93,"M/D-")) &amp; IF(N93="","",TEXT(N93,"M/D")) &amp; " "</f>
        <v xml:space="preserve">0.00% Test in TB(Pheaktra, Jasurbek ) 7/3-7/5 </v>
      </c>
      <c r="AI93" s="4"/>
      <c r="AJ93" s="4"/>
      <c r="AK93" s="4"/>
      <c r="AL93" s="4"/>
      <c r="AM93" s="4"/>
      <c r="AN93" s="4"/>
      <c r="AO93" s="4"/>
      <c r="AP93" s="4"/>
      <c r="AQ93" s="4"/>
      <c r="AR93" s="4"/>
      <c r="AS93" s="4"/>
      <c r="AT93" s="4"/>
      <c r="AU93" s="4"/>
      <c r="AV93" s="4"/>
      <c r="AW93" s="4"/>
      <c r="AX93" s="4"/>
      <c r="AY93" s="4"/>
      <c r="AZ93" s="4"/>
      <c r="BA93" s="4"/>
      <c r="BB93" s="4"/>
      <c r="BC93" s="4"/>
      <c r="BD93" s="4"/>
      <c r="BE93" s="4"/>
      <c r="BF93" s="4"/>
      <c r="BG93" s="4"/>
      <c r="BH93" s="4"/>
      <c r="BI93" s="4"/>
      <c r="BJ93" s="4"/>
      <c r="BK93" s="4"/>
      <c r="BL93" s="4"/>
      <c r="BM93" s="4"/>
      <c r="BN93" s="4"/>
      <c r="BO93" s="4"/>
      <c r="BP93" s="4"/>
      <c r="BQ93" s="4"/>
      <c r="BR93" s="4"/>
      <c r="BS93" s="4"/>
      <c r="BT93" s="4"/>
      <c r="BU93" s="4"/>
      <c r="BV93" s="4"/>
      <c r="BW93" s="4"/>
      <c r="BX93" s="4"/>
      <c r="BY93" s="4"/>
      <c r="BZ93" s="4"/>
      <c r="CA93" s="4"/>
      <c r="CB93" s="4"/>
      <c r="CC93" s="4"/>
      <c r="CD93" s="4"/>
      <c r="CE93" s="4"/>
      <c r="CF93" s="4"/>
      <c r="CG93" s="4"/>
      <c r="CH93" s="4"/>
      <c r="CI93" s="4"/>
      <c r="CJ93" s="4"/>
      <c r="CK93" s="4"/>
      <c r="CL93" s="4"/>
      <c r="CM93" s="4"/>
      <c r="CN93" s="4"/>
      <c r="CO93" s="4"/>
      <c r="CP93" s="4"/>
      <c r="CQ93" s="4"/>
      <c r="CR93" s="4"/>
      <c r="CS93" s="4"/>
      <c r="CT93" s="4"/>
      <c r="CU93" s="4"/>
      <c r="CV93" s="4"/>
      <c r="CW93" s="4"/>
      <c r="CX93" s="4"/>
      <c r="CY93" s="4"/>
      <c r="CZ93" s="4"/>
      <c r="DA93" s="4"/>
      <c r="DB93" s="4"/>
      <c r="DC93" s="4"/>
      <c r="DD93" s="4"/>
      <c r="DE93" s="4"/>
      <c r="DF93" s="4"/>
      <c r="DG93" s="4"/>
      <c r="DH93" s="4"/>
      <c r="DI93" s="4"/>
      <c r="DJ93" s="4"/>
      <c r="DK93" s="4"/>
      <c r="DL93" s="4"/>
      <c r="DM93" s="4"/>
      <c r="DN93" s="4"/>
      <c r="DO93" s="4"/>
      <c r="DP93" s="4"/>
      <c r="DQ93" s="4"/>
      <c r="DR93" s="4"/>
      <c r="DS93" s="4"/>
      <c r="DT93" s="4"/>
      <c r="DU93" s="4"/>
      <c r="DV93" s="4"/>
      <c r="DW93" s="4"/>
      <c r="DX93" s="4"/>
      <c r="DY93" s="4"/>
      <c r="DZ93" s="4"/>
      <c r="EA93" s="4"/>
      <c r="EB93" s="4"/>
      <c r="EC93" s="4"/>
      <c r="ED93" s="4"/>
      <c r="EE93" s="4"/>
      <c r="EF93" s="4"/>
      <c r="EG93" s="4"/>
      <c r="EH93" s="4"/>
      <c r="EI93" s="4"/>
      <c r="EJ93" s="4"/>
      <c r="EK93" s="4"/>
      <c r="EL93" s="4"/>
      <c r="EM93" s="4"/>
      <c r="EN93" s="4"/>
      <c r="EO93" s="4"/>
      <c r="EP93" s="4"/>
      <c r="EQ93" s="4"/>
      <c r="ER93" s="4"/>
      <c r="ES93" s="4"/>
      <c r="ET93" s="4"/>
      <c r="EU93" s="4"/>
      <c r="EV93" s="4"/>
      <c r="EW93" s="4"/>
      <c r="EX93" s="4"/>
      <c r="EY93" s="4"/>
      <c r="EZ93" s="4"/>
      <c r="FA93" s="4"/>
      <c r="FB93" s="4"/>
      <c r="FC93" s="4"/>
      <c r="FD93" s="4"/>
      <c r="FE93" s="4"/>
      <c r="FF93" s="4"/>
      <c r="FG93" s="4"/>
      <c r="FH93" s="4"/>
      <c r="FI93" s="4"/>
      <c r="FJ93" s="4"/>
      <c r="FK93" s="4"/>
      <c r="FL93" s="4"/>
      <c r="FM93" s="4"/>
      <c r="FN93" s="4"/>
      <c r="FO93" s="4"/>
      <c r="FP93" s="4"/>
      <c r="FQ93" s="4"/>
      <c r="FR93" s="4"/>
      <c r="FS93" s="4"/>
      <c r="FT93" s="4"/>
      <c r="FU93" s="4"/>
      <c r="FV93" s="4"/>
      <c r="FW93" s="4"/>
      <c r="FX93" s="4"/>
      <c r="FY93" s="4"/>
      <c r="FZ93" s="4"/>
      <c r="GA93" s="4"/>
      <c r="GB93" s="4"/>
      <c r="GC93" s="4"/>
      <c r="GD93" s="4"/>
      <c r="GE93" s="4"/>
      <c r="GF93" s="4"/>
      <c r="GG93" s="4"/>
    </row>
    <row r="94" spans="1:189" outlineLevel="1">
      <c r="A94" s="116"/>
      <c r="B94" s="116"/>
      <c r="C94" s="116">
        <v>2</v>
      </c>
      <c r="D94" s="3" t="s">
        <v>1146</v>
      </c>
      <c r="E94" s="180"/>
      <c r="F94" s="180" t="s">
        <v>1039</v>
      </c>
      <c r="G94" s="180"/>
      <c r="H94" s="180"/>
      <c r="I94" s="180"/>
      <c r="J94" s="180"/>
      <c r="K94" s="180"/>
      <c r="L94" s="180"/>
      <c r="M94" s="181"/>
      <c r="N94" s="181"/>
      <c r="O94" s="182"/>
      <c r="P94" s="183">
        <v>0</v>
      </c>
      <c r="Q94" s="183">
        <v>0</v>
      </c>
      <c r="R94" s="184">
        <v>0</v>
      </c>
      <c r="S94" s="184">
        <v>0</v>
      </c>
      <c r="T94" s="181"/>
      <c r="U94" s="181"/>
      <c r="V94" s="185">
        <v>0</v>
      </c>
      <c r="W94" s="186">
        <v>0</v>
      </c>
      <c r="X94" s="187">
        <v>1</v>
      </c>
      <c r="Y94" s="182"/>
      <c r="Z94" s="188"/>
      <c r="AA94" s="97">
        <v>0</v>
      </c>
      <c r="AB94" s="189">
        <v>0</v>
      </c>
      <c r="AC94" s="210"/>
      <c r="AD94" s="4"/>
      <c r="AE94" s="4"/>
      <c r="AF94" s="4"/>
      <c r="AG94" s="4"/>
      <c r="AH94" s="4"/>
      <c r="AI94" s="4"/>
      <c r="AJ94" s="4"/>
      <c r="AK94" s="4"/>
      <c r="AL94" s="4"/>
      <c r="AM94" s="4"/>
      <c r="AN94" s="4"/>
      <c r="AO94" s="4"/>
      <c r="AP94" s="4"/>
      <c r="AQ94" s="4"/>
      <c r="AR94" s="4"/>
      <c r="AS94" s="4"/>
      <c r="AT94" s="4"/>
      <c r="AU94" s="4"/>
      <c r="AV94" s="4"/>
      <c r="AW94" s="4"/>
      <c r="AX94" s="4"/>
      <c r="AY94" s="4"/>
      <c r="AZ94" s="4"/>
      <c r="BA94" s="4"/>
      <c r="BB94" s="4"/>
      <c r="BC94" s="4"/>
      <c r="BD94" s="4"/>
      <c r="BE94" s="4"/>
      <c r="BF94" s="4"/>
      <c r="BG94" s="4"/>
      <c r="BH94" s="4"/>
      <c r="BI94" s="4"/>
      <c r="BJ94" s="4"/>
      <c r="BK94" s="4"/>
      <c r="BL94" s="4"/>
      <c r="BM94" s="4"/>
      <c r="BN94" s="4"/>
      <c r="BO94" s="4"/>
      <c r="BP94" s="4"/>
      <c r="BQ94" s="4"/>
      <c r="BR94" s="4"/>
      <c r="BS94" s="4"/>
      <c r="BT94" s="4"/>
      <c r="BU94" s="4"/>
      <c r="BV94" s="4"/>
      <c r="BW94" s="4"/>
      <c r="BX94" s="4"/>
      <c r="BY94" s="4"/>
      <c r="BZ94" s="4"/>
      <c r="CA94" s="4"/>
      <c r="CB94" s="4"/>
      <c r="CC94" s="4"/>
      <c r="CD94" s="4"/>
      <c r="CE94" s="4"/>
      <c r="CF94" s="4"/>
      <c r="CG94" s="4"/>
      <c r="CH94" s="4"/>
      <c r="CI94" s="4"/>
      <c r="CJ94" s="4"/>
      <c r="CK94" s="4"/>
      <c r="CL94" s="4"/>
      <c r="CM94" s="4"/>
      <c r="CN94" s="4"/>
      <c r="CO94" s="4"/>
      <c r="CP94" s="4"/>
      <c r="CQ94" s="4"/>
      <c r="CR94" s="4"/>
      <c r="CS94" s="4"/>
      <c r="CT94" s="4"/>
      <c r="CU94" s="4"/>
      <c r="CV94" s="4"/>
      <c r="CW94" s="4"/>
      <c r="CX94" s="4"/>
      <c r="CY94" s="4"/>
      <c r="CZ94" s="4"/>
      <c r="DA94" s="4"/>
      <c r="DB94" s="4"/>
      <c r="DC94" s="4"/>
      <c r="DD94" s="4"/>
      <c r="DE94" s="4"/>
      <c r="DF94" s="4"/>
      <c r="DG94" s="4"/>
      <c r="DH94" s="4"/>
      <c r="DI94" s="4"/>
      <c r="DJ94" s="4"/>
      <c r="DK94" s="4"/>
      <c r="DL94" s="4"/>
      <c r="DM94" s="4"/>
      <c r="DN94" s="4"/>
      <c r="DO94" s="4"/>
      <c r="DP94" s="4"/>
      <c r="DQ94" s="4"/>
      <c r="DR94" s="4"/>
      <c r="DS94" s="4"/>
      <c r="DT94" s="4"/>
      <c r="DU94" s="4"/>
      <c r="DV94" s="4"/>
      <c r="DW94" s="4"/>
      <c r="DX94" s="4"/>
      <c r="DY94" s="4"/>
      <c r="DZ94" s="4"/>
      <c r="EA94" s="4"/>
      <c r="EB94" s="4"/>
      <c r="EC94" s="4"/>
      <c r="ED94" s="4"/>
      <c r="EE94" s="4"/>
      <c r="EF94" s="4"/>
      <c r="EG94" s="4"/>
      <c r="EH94" s="4"/>
      <c r="EI94" s="4"/>
      <c r="EJ94" s="4"/>
      <c r="EK94" s="4"/>
      <c r="EL94" s="4"/>
      <c r="EM94" s="4"/>
      <c r="EN94" s="4"/>
      <c r="EO94" s="4"/>
      <c r="EP94" s="4"/>
      <c r="EQ94" s="4"/>
      <c r="ER94" s="4"/>
      <c r="ES94" s="4"/>
      <c r="ET94" s="4"/>
      <c r="EU94" s="4"/>
      <c r="EV94" s="4"/>
      <c r="EW94" s="4"/>
      <c r="EX94" s="4"/>
      <c r="EY94" s="4"/>
      <c r="EZ94" s="4"/>
      <c r="FA94" s="4"/>
      <c r="FB94" s="4"/>
      <c r="FC94" s="4"/>
      <c r="FD94" s="4"/>
      <c r="FE94" s="4"/>
      <c r="FF94" s="4"/>
      <c r="FG94" s="4"/>
      <c r="FH94" s="4"/>
      <c r="FI94" s="4"/>
      <c r="FJ94" s="4"/>
      <c r="FK94" s="4"/>
      <c r="FL94" s="4"/>
      <c r="FM94" s="4"/>
      <c r="FN94" s="4"/>
      <c r="FO94" s="4"/>
      <c r="FP94" s="4"/>
      <c r="FQ94" s="4"/>
      <c r="FR94" s="4"/>
      <c r="FS94" s="4"/>
      <c r="FT94" s="4"/>
      <c r="FU94" s="4"/>
      <c r="FV94" s="4"/>
      <c r="FW94" s="4"/>
      <c r="FX94" s="4"/>
      <c r="FY94" s="4"/>
      <c r="FZ94" s="4"/>
      <c r="GA94" s="4"/>
      <c r="GB94" s="4"/>
      <c r="GC94" s="4"/>
      <c r="GD94" s="4"/>
      <c r="GE94" s="4"/>
      <c r="GF94" s="4"/>
      <c r="GG94" s="4"/>
    </row>
    <row r="95" spans="1:189" outlineLevel="1">
      <c r="A95" s="116"/>
      <c r="B95" s="116"/>
      <c r="C95" s="116">
        <v>2</v>
      </c>
      <c r="D95" s="3" t="s">
        <v>1147</v>
      </c>
      <c r="E95" s="180"/>
      <c r="F95" s="180" t="s">
        <v>1041</v>
      </c>
      <c r="G95" s="180"/>
      <c r="H95" s="180"/>
      <c r="I95" s="180"/>
      <c r="J95" s="180"/>
      <c r="K95" s="180"/>
      <c r="L95" s="180"/>
      <c r="M95" s="181">
        <v>45132</v>
      </c>
      <c r="N95" s="181">
        <v>45132</v>
      </c>
      <c r="O95" s="182"/>
      <c r="P95" s="183">
        <v>1</v>
      </c>
      <c r="Q95" s="183">
        <v>0</v>
      </c>
      <c r="R95" s="184">
        <v>1</v>
      </c>
      <c r="S95" s="184">
        <v>0</v>
      </c>
      <c r="T95" s="181"/>
      <c r="U95" s="181"/>
      <c r="V95" s="185"/>
      <c r="W95" s="186">
        <v>0</v>
      </c>
      <c r="X95" s="187">
        <v>1</v>
      </c>
      <c r="Y95" s="182"/>
      <c r="Z95" s="188"/>
      <c r="AA95" s="97">
        <v>0</v>
      </c>
      <c r="AB95" s="189">
        <v>0</v>
      </c>
      <c r="AC95" s="210"/>
      <c r="AD95" s="4"/>
      <c r="AE95" s="4"/>
      <c r="AF95" s="4"/>
      <c r="AG95" s="4"/>
      <c r="AH95" s="4"/>
      <c r="AI95" s="4"/>
      <c r="AJ95" s="4"/>
      <c r="AK95" s="4" t="str">
        <f>" " &amp; TEXT(AB95,"#0.00%") &amp; " " &amp; "Service Launch" &amp; " " &amp; IF(M95="","",TEXT(M95,"M/D-")) &amp; IF(N95="","",TEXT(N95,"M/D")) &amp; " "</f>
        <v xml:space="preserve"> 0.00% Service Launch 7/25-7/25 </v>
      </c>
      <c r="AL95" s="4"/>
      <c r="AM95" s="4"/>
      <c r="AN95" s="4"/>
      <c r="AO95" s="4"/>
      <c r="AP95" s="4"/>
      <c r="AQ95" s="4"/>
      <c r="AR95" s="4"/>
      <c r="AS95" s="4"/>
      <c r="AT95" s="4"/>
      <c r="AU95" s="4"/>
      <c r="AV95" s="4"/>
      <c r="AW95" s="4"/>
      <c r="AX95" s="4"/>
      <c r="AY95" s="4"/>
      <c r="AZ95" s="4"/>
      <c r="BA95" s="4"/>
      <c r="BB95" s="4"/>
      <c r="BC95" s="4"/>
      <c r="BD95" s="4"/>
      <c r="BE95" s="4"/>
      <c r="BF95" s="4"/>
      <c r="BG95" s="4"/>
      <c r="BH95" s="4"/>
      <c r="BI95" s="4"/>
      <c r="BJ95" s="4"/>
      <c r="BK95" s="4"/>
      <c r="BL95" s="4"/>
      <c r="BM95" s="4"/>
      <c r="BN95" s="4"/>
      <c r="BO95" s="4"/>
      <c r="BP95" s="4"/>
      <c r="BQ95" s="4"/>
      <c r="BR95" s="4"/>
      <c r="BS95" s="4"/>
      <c r="BT95" s="4"/>
      <c r="BU95" s="4"/>
      <c r="BV95" s="4"/>
      <c r="BW95" s="4"/>
      <c r="BX95" s="4"/>
      <c r="BY95" s="4"/>
      <c r="BZ95" s="4"/>
      <c r="CA95" s="4"/>
      <c r="CB95" s="4"/>
      <c r="CC95" s="4"/>
      <c r="CD95" s="4"/>
      <c r="CE95" s="4"/>
      <c r="CF95" s="4"/>
      <c r="CG95" s="4"/>
      <c r="CH95" s="4"/>
      <c r="CI95" s="4"/>
      <c r="CJ95" s="4"/>
      <c r="CK95" s="4"/>
      <c r="CL95" s="4"/>
      <c r="CM95" s="4"/>
      <c r="CN95" s="4"/>
      <c r="CO95" s="4"/>
      <c r="CP95" s="4"/>
      <c r="CQ95" s="4"/>
      <c r="CR95" s="4"/>
      <c r="CS95" s="4"/>
      <c r="CT95" s="4"/>
      <c r="CU95" s="4"/>
      <c r="CV95" s="4"/>
      <c r="CW95" s="4"/>
      <c r="CX95" s="4"/>
      <c r="CY95" s="4"/>
      <c r="CZ95" s="4"/>
      <c r="DA95" s="4"/>
      <c r="DB95" s="4"/>
      <c r="DC95" s="4"/>
      <c r="DD95" s="4"/>
      <c r="DE95" s="4"/>
      <c r="DF95" s="4"/>
      <c r="DG95" s="4"/>
      <c r="DH95" s="4"/>
      <c r="DI95" s="4"/>
      <c r="DJ95" s="4"/>
      <c r="DK95" s="4"/>
      <c r="DL95" s="4"/>
      <c r="DM95" s="4"/>
      <c r="DN95" s="4"/>
      <c r="DO95" s="4"/>
      <c r="DP95" s="4"/>
      <c r="DQ95" s="4"/>
      <c r="DR95" s="4"/>
      <c r="DS95" s="4"/>
      <c r="DT95" s="4"/>
      <c r="DU95" s="4"/>
      <c r="DV95" s="4"/>
      <c r="DW95" s="4"/>
      <c r="DX95" s="4"/>
      <c r="DY95" s="4"/>
      <c r="DZ95" s="4"/>
      <c r="EA95" s="4"/>
      <c r="EB95" s="4"/>
      <c r="EC95" s="4"/>
      <c r="ED95" s="4"/>
      <c r="EE95" s="4"/>
      <c r="EF95" s="4"/>
      <c r="EG95" s="4"/>
      <c r="EH95" s="4"/>
      <c r="EI95" s="4"/>
      <c r="EJ95" s="4"/>
      <c r="EK95" s="4"/>
      <c r="EL95" s="4"/>
      <c r="EM95" s="4"/>
      <c r="EN95" s="4"/>
      <c r="EO95" s="4"/>
      <c r="EP95" s="4"/>
      <c r="EQ95" s="4"/>
      <c r="ER95" s="4"/>
      <c r="ES95" s="4"/>
      <c r="ET95" s="4"/>
      <c r="EU95" s="4"/>
      <c r="EV95" s="4"/>
      <c r="EW95" s="4"/>
      <c r="EX95" s="4"/>
      <c r="EY95" s="4"/>
      <c r="EZ95" s="4"/>
      <c r="FA95" s="4"/>
      <c r="FB95" s="4"/>
      <c r="FC95" s="4"/>
      <c r="FD95" s="4"/>
      <c r="FE95" s="4"/>
      <c r="FF95" s="4"/>
      <c r="FG95" s="4"/>
      <c r="FH95" s="4"/>
      <c r="FI95" s="4"/>
      <c r="FJ95" s="4"/>
      <c r="FK95" s="4"/>
      <c r="FL95" s="4"/>
      <c r="FM95" s="4"/>
      <c r="FN95" s="4"/>
      <c r="FO95" s="4"/>
      <c r="FP95" s="4"/>
      <c r="FQ95" s="4"/>
      <c r="FR95" s="4"/>
      <c r="FS95" s="4"/>
      <c r="FT95" s="4"/>
      <c r="FU95" s="4"/>
      <c r="FV95" s="4"/>
      <c r="FW95" s="4"/>
      <c r="FX95" s="4"/>
      <c r="FY95" s="4"/>
      <c r="FZ95" s="4"/>
      <c r="GA95" s="4"/>
      <c r="GB95" s="4"/>
      <c r="GC95" s="4"/>
      <c r="GD95" s="4"/>
      <c r="GE95" s="4"/>
      <c r="GF95" s="4"/>
      <c r="GG95" s="4"/>
    </row>
    <row r="96" spans="1:189" outlineLevel="1">
      <c r="A96" s="116"/>
      <c r="B96" s="116"/>
      <c r="C96" s="116">
        <v>0</v>
      </c>
      <c r="D96" s="3"/>
      <c r="E96" s="180"/>
      <c r="F96" s="180"/>
      <c r="G96" s="180"/>
      <c r="H96" s="180"/>
      <c r="I96" s="180"/>
      <c r="J96" s="180"/>
      <c r="K96" s="180"/>
      <c r="L96" s="180"/>
      <c r="M96" s="181"/>
      <c r="N96" s="181"/>
      <c r="O96" s="182"/>
      <c r="P96" s="183"/>
      <c r="Q96" s="183"/>
      <c r="R96" s="184">
        <v>0</v>
      </c>
      <c r="S96" s="184">
        <v>0</v>
      </c>
      <c r="T96" s="181"/>
      <c r="U96" s="181"/>
      <c r="V96" s="185"/>
      <c r="W96" s="186">
        <v>0</v>
      </c>
      <c r="X96" s="187"/>
      <c r="Y96" s="182"/>
      <c r="Z96" s="188"/>
      <c r="AA96" s="97"/>
      <c r="AB96" s="189"/>
      <c r="AC96" s="210"/>
      <c r="AD96" s="4"/>
      <c r="AE96" s="4"/>
      <c r="AF96" s="4"/>
      <c r="AG96" s="4"/>
      <c r="AH96" s="4"/>
      <c r="AI96" s="4"/>
      <c r="AJ96" s="4"/>
      <c r="AK96" s="4"/>
      <c r="AL96" s="4"/>
      <c r="AM96" s="4"/>
      <c r="AN96" s="4"/>
      <c r="AO96" s="4"/>
      <c r="AP96" s="4"/>
      <c r="AQ96" s="4"/>
      <c r="AR96" s="4"/>
      <c r="AS96" s="4"/>
      <c r="AT96" s="4"/>
      <c r="AU96" s="4"/>
      <c r="AV96" s="4"/>
      <c r="AW96" s="4"/>
      <c r="AX96" s="4"/>
      <c r="AY96" s="4"/>
      <c r="AZ96" s="4"/>
      <c r="BA96" s="4"/>
      <c r="BB96" s="4"/>
      <c r="BC96" s="4"/>
      <c r="BD96" s="4"/>
      <c r="BE96" s="4"/>
      <c r="BF96" s="4"/>
      <c r="BG96" s="4"/>
      <c r="BH96" s="4"/>
      <c r="BI96" s="4"/>
      <c r="BJ96" s="4"/>
      <c r="BK96" s="4"/>
      <c r="BL96" s="4"/>
      <c r="BM96" s="4"/>
      <c r="BN96" s="4"/>
      <c r="BO96" s="4"/>
      <c r="BP96" s="4"/>
      <c r="BQ96" s="4"/>
      <c r="BR96" s="4"/>
      <c r="BS96" s="4"/>
      <c r="BT96" s="4"/>
      <c r="BU96" s="4"/>
      <c r="BV96" s="4"/>
      <c r="BW96" s="4"/>
      <c r="BX96" s="4"/>
      <c r="BY96" s="4"/>
      <c r="BZ96" s="4"/>
      <c r="CA96" s="4"/>
      <c r="CB96" s="4"/>
      <c r="CC96" s="4"/>
      <c r="CD96" s="4"/>
      <c r="CE96" s="4"/>
      <c r="CF96" s="4"/>
      <c r="CG96" s="4"/>
      <c r="CH96" s="4"/>
      <c r="CI96" s="4"/>
      <c r="CJ96" s="4"/>
      <c r="CK96" s="4"/>
      <c r="CL96" s="4"/>
      <c r="CM96" s="4"/>
      <c r="CN96" s="4"/>
      <c r="CO96" s="4"/>
      <c r="CP96" s="4"/>
      <c r="CQ96" s="4"/>
      <c r="CR96" s="4"/>
      <c r="CS96" s="4"/>
      <c r="CT96" s="4"/>
      <c r="CU96" s="4"/>
      <c r="CV96" s="4"/>
      <c r="CW96" s="4"/>
      <c r="CX96" s="4"/>
      <c r="CY96" s="4"/>
      <c r="CZ96" s="4"/>
      <c r="DA96" s="4"/>
      <c r="DB96" s="4"/>
      <c r="DC96" s="4"/>
      <c r="DD96" s="4"/>
      <c r="DE96" s="4"/>
      <c r="DF96" s="4"/>
      <c r="DG96" s="4"/>
      <c r="DH96" s="4"/>
      <c r="DI96" s="4"/>
      <c r="DJ96" s="4"/>
      <c r="DK96" s="4"/>
      <c r="DL96" s="4"/>
      <c r="DM96" s="4"/>
      <c r="DN96" s="4"/>
      <c r="DO96" s="4"/>
      <c r="DP96" s="4"/>
      <c r="DQ96" s="4"/>
      <c r="DR96" s="4"/>
      <c r="DS96" s="4"/>
      <c r="DT96" s="4"/>
      <c r="DU96" s="4"/>
      <c r="DV96" s="4"/>
      <c r="DW96" s="4"/>
      <c r="DX96" s="4"/>
      <c r="DY96" s="4"/>
      <c r="DZ96" s="4"/>
      <c r="EA96" s="4"/>
      <c r="EB96" s="4"/>
      <c r="EC96" s="4"/>
      <c r="ED96" s="4"/>
      <c r="EE96" s="4"/>
      <c r="EF96" s="4"/>
      <c r="EG96" s="4"/>
      <c r="EH96" s="4"/>
      <c r="EI96" s="4"/>
      <c r="EJ96" s="4"/>
      <c r="EK96" s="4"/>
      <c r="EL96" s="4"/>
      <c r="EM96" s="4"/>
      <c r="EN96" s="4"/>
      <c r="EO96" s="4"/>
      <c r="EP96" s="4"/>
      <c r="EQ96" s="4"/>
      <c r="ER96" s="4"/>
      <c r="ES96" s="4"/>
      <c r="ET96" s="4"/>
      <c r="EU96" s="4"/>
      <c r="EV96" s="4"/>
      <c r="EW96" s="4"/>
      <c r="EX96" s="4"/>
      <c r="EY96" s="4"/>
      <c r="EZ96" s="4"/>
      <c r="FA96" s="4"/>
      <c r="FB96" s="4"/>
      <c r="FC96" s="4"/>
      <c r="FD96" s="4"/>
      <c r="FE96" s="4"/>
      <c r="FF96" s="4"/>
      <c r="FG96" s="4"/>
      <c r="FH96" s="4"/>
      <c r="FI96" s="4"/>
      <c r="FJ96" s="4"/>
      <c r="FK96" s="4"/>
      <c r="FL96" s="4"/>
      <c r="FM96" s="4"/>
      <c r="FN96" s="4"/>
      <c r="FO96" s="4"/>
      <c r="FP96" s="4"/>
      <c r="FQ96" s="4"/>
      <c r="FR96" s="4"/>
      <c r="FS96" s="4"/>
      <c r="FT96" s="4"/>
      <c r="FU96" s="4"/>
      <c r="FV96" s="4"/>
      <c r="FW96" s="4"/>
      <c r="FX96" s="4"/>
      <c r="FY96" s="4"/>
      <c r="FZ96" s="4"/>
      <c r="GA96" s="4"/>
      <c r="GB96" s="4"/>
      <c r="GC96" s="4"/>
      <c r="GD96" s="4"/>
      <c r="GE96" s="4"/>
      <c r="GF96" s="4"/>
      <c r="GG96" s="4"/>
    </row>
    <row r="97" spans="1:189">
      <c r="A97" s="116"/>
      <c r="B97" s="116" t="s">
        <v>983</v>
      </c>
      <c r="C97" s="116">
        <v>1</v>
      </c>
      <c r="D97" s="3" t="s">
        <v>1148</v>
      </c>
      <c r="E97" s="180" t="s">
        <v>1070</v>
      </c>
      <c r="F97" s="180"/>
      <c r="G97" s="180"/>
      <c r="H97" s="180"/>
      <c r="I97" s="180"/>
      <c r="J97" s="180"/>
      <c r="K97" s="180"/>
      <c r="L97" s="180"/>
      <c r="M97" s="181">
        <v>45110</v>
      </c>
      <c r="N97" s="181">
        <v>45167</v>
      </c>
      <c r="O97" s="182"/>
      <c r="P97" s="183">
        <v>32</v>
      </c>
      <c r="Q97" s="183">
        <v>0</v>
      </c>
      <c r="R97" s="184">
        <v>42</v>
      </c>
      <c r="S97" s="184">
        <v>0</v>
      </c>
      <c r="T97" s="181"/>
      <c r="U97" s="181"/>
      <c r="V97" s="185">
        <v>0</v>
      </c>
      <c r="W97" s="186">
        <v>0</v>
      </c>
      <c r="X97" s="187"/>
      <c r="Y97" s="182"/>
      <c r="Z97" s="188"/>
      <c r="AA97" s="97">
        <v>0</v>
      </c>
      <c r="AB97" s="189">
        <v>0</v>
      </c>
      <c r="AC97" s="210"/>
      <c r="AD97" s="4"/>
      <c r="AE97" s="4"/>
      <c r="AF97" s="4"/>
      <c r="AG97" s="4"/>
      <c r="AH97" s="4" t="str">
        <f>"" &amp; TEXT(AB97,"#0.00%") &amp; " "</f>
        <v xml:space="preserve">0.00% </v>
      </c>
      <c r="AI97" s="4"/>
      <c r="AJ97" s="4"/>
      <c r="AK97" s="4"/>
      <c r="AL97" s="4"/>
      <c r="AM97" s="4"/>
      <c r="AN97" s="4"/>
      <c r="AO97" s="4"/>
      <c r="AP97" s="4" t="str">
        <f>"  " &amp; "[2304-13] KFTC Self Certification v2.0" &amp; " " &amp; IF(M97="","",TEXT(M97,"M/D-")) &amp; IF(N97="","",TEXT(N97,"M/D")) &amp; " "</f>
        <v xml:space="preserve">  [2304-13] KFTC Self Certification v2.0 7/3-8/29 </v>
      </c>
      <c r="AQ97" s="4"/>
      <c r="AR97" s="4"/>
      <c r="AS97" s="4"/>
      <c r="AT97" s="4"/>
      <c r="AU97" s="4"/>
      <c r="AV97" s="4"/>
      <c r="AW97" s="4"/>
      <c r="AX97" s="4"/>
      <c r="AY97" s="4"/>
      <c r="AZ97" s="4"/>
      <c r="BA97" s="4"/>
      <c r="BB97" s="4"/>
      <c r="BC97" s="4"/>
      <c r="BD97" s="4"/>
      <c r="BE97" s="4"/>
      <c r="BF97" s="4"/>
      <c r="BG97" s="4"/>
      <c r="BH97" s="4"/>
      <c r="BI97" s="4"/>
      <c r="BJ97" s="4"/>
      <c r="BK97" s="4"/>
      <c r="BL97" s="4"/>
      <c r="BM97" s="4"/>
      <c r="BN97" s="4"/>
      <c r="BO97" s="4"/>
      <c r="BP97" s="4"/>
      <c r="BQ97" s="4"/>
      <c r="BR97" s="4"/>
      <c r="BS97" s="4"/>
      <c r="BT97" s="4"/>
      <c r="BU97" s="4"/>
      <c r="BV97" s="4"/>
      <c r="BW97" s="4"/>
      <c r="BX97" s="4"/>
      <c r="BY97" s="4"/>
      <c r="BZ97" s="4"/>
      <c r="CA97" s="4"/>
      <c r="CB97" s="4"/>
      <c r="CC97" s="4"/>
      <c r="CD97" s="4"/>
      <c r="CE97" s="4"/>
      <c r="CF97" s="4"/>
      <c r="CG97" s="4"/>
      <c r="CH97" s="4"/>
      <c r="CI97" s="4"/>
      <c r="CJ97" s="4"/>
      <c r="CK97" s="4"/>
      <c r="CL97" s="4"/>
      <c r="CM97" s="4"/>
      <c r="CN97" s="4"/>
      <c r="CO97" s="4"/>
      <c r="CP97" s="4"/>
      <c r="CQ97" s="4"/>
      <c r="CR97" s="4"/>
      <c r="CS97" s="4"/>
      <c r="CT97" s="4"/>
      <c r="CU97" s="4"/>
      <c r="CV97" s="4"/>
      <c r="CW97" s="4"/>
      <c r="CX97" s="4"/>
      <c r="CY97" s="4"/>
      <c r="CZ97" s="4"/>
      <c r="DA97" s="4"/>
      <c r="DB97" s="4"/>
      <c r="DC97" s="4"/>
      <c r="DD97" s="4"/>
      <c r="DE97" s="4"/>
      <c r="DF97" s="4"/>
      <c r="DG97" s="4"/>
      <c r="DH97" s="4"/>
      <c r="DI97" s="4"/>
      <c r="DJ97" s="4"/>
      <c r="DK97" s="4"/>
      <c r="DL97" s="4"/>
      <c r="DM97" s="4"/>
      <c r="DN97" s="4"/>
      <c r="DO97" s="4"/>
      <c r="DP97" s="4"/>
      <c r="DQ97" s="4"/>
      <c r="DR97" s="4"/>
      <c r="DS97" s="4"/>
      <c r="DT97" s="4"/>
      <c r="DU97" s="4"/>
      <c r="DV97" s="4"/>
      <c r="DW97" s="4"/>
      <c r="DX97" s="4"/>
      <c r="DY97" s="4"/>
      <c r="DZ97" s="4"/>
      <c r="EA97" s="4"/>
      <c r="EB97" s="4"/>
      <c r="EC97" s="4"/>
      <c r="ED97" s="4"/>
      <c r="EE97" s="4"/>
      <c r="EF97" s="4"/>
      <c r="EG97" s="4"/>
      <c r="EH97" s="4"/>
      <c r="EI97" s="4"/>
      <c r="EJ97" s="4"/>
      <c r="EK97" s="4"/>
      <c r="EL97" s="4"/>
      <c r="EM97" s="4"/>
      <c r="EN97" s="4"/>
      <c r="EO97" s="4"/>
      <c r="EP97" s="4"/>
      <c r="EQ97" s="4"/>
      <c r="ER97" s="4"/>
      <c r="ES97" s="4"/>
      <c r="ET97" s="4"/>
      <c r="EU97" s="4"/>
      <c r="EV97" s="4"/>
      <c r="EW97" s="4"/>
      <c r="EX97" s="4"/>
      <c r="EY97" s="4"/>
      <c r="EZ97" s="4"/>
      <c r="FA97" s="4"/>
      <c r="FB97" s="4"/>
      <c r="FC97" s="4"/>
      <c r="FD97" s="4"/>
      <c r="FE97" s="4"/>
      <c r="FF97" s="4"/>
      <c r="FG97" s="4"/>
      <c r="FH97" s="4"/>
      <c r="FI97" s="4"/>
      <c r="FJ97" s="4"/>
      <c r="FK97" s="4"/>
      <c r="FL97" s="4"/>
      <c r="FM97" s="4"/>
      <c r="FN97" s="4"/>
      <c r="FO97" s="4"/>
      <c r="FP97" s="4"/>
      <c r="FQ97" s="4"/>
      <c r="FR97" s="4"/>
      <c r="FS97" s="4"/>
      <c r="FT97" s="4"/>
      <c r="FU97" s="4"/>
      <c r="FV97" s="4"/>
      <c r="FW97" s="4"/>
      <c r="FX97" s="4"/>
      <c r="FY97" s="4"/>
      <c r="FZ97" s="4"/>
      <c r="GA97" s="4"/>
      <c r="GB97" s="4"/>
      <c r="GC97" s="4"/>
      <c r="GD97" s="4"/>
      <c r="GE97" s="4"/>
      <c r="GF97" s="4"/>
      <c r="GG97" s="4"/>
    </row>
    <row r="98" spans="1:189" outlineLevel="1">
      <c r="A98" s="116"/>
      <c r="B98" s="116"/>
      <c r="C98" s="116">
        <v>2</v>
      </c>
      <c r="D98" s="3" t="s">
        <v>1168</v>
      </c>
      <c r="E98" s="180"/>
      <c r="F98" s="180" t="s">
        <v>1071</v>
      </c>
      <c r="G98" s="180"/>
      <c r="H98" s="180"/>
      <c r="I98" s="180"/>
      <c r="J98" s="180"/>
      <c r="K98" s="180"/>
      <c r="L98" s="180"/>
      <c r="M98" s="181">
        <v>45110</v>
      </c>
      <c r="N98" s="181">
        <v>45114</v>
      </c>
      <c r="O98" s="182"/>
      <c r="P98" s="183">
        <v>5</v>
      </c>
      <c r="Q98" s="183">
        <v>0</v>
      </c>
      <c r="R98" s="184">
        <v>5</v>
      </c>
      <c r="S98" s="184">
        <v>0</v>
      </c>
      <c r="T98" s="181"/>
      <c r="U98" s="181"/>
      <c r="V98" s="185"/>
      <c r="W98" s="186">
        <v>0</v>
      </c>
      <c r="X98" s="187">
        <v>1</v>
      </c>
      <c r="Y98" s="182" t="s">
        <v>1183</v>
      </c>
      <c r="Z98" s="188"/>
      <c r="AA98" s="97">
        <v>0</v>
      </c>
      <c r="AB98" s="189">
        <v>0</v>
      </c>
      <c r="AC98" s="210"/>
      <c r="AD98" s="4"/>
      <c r="AE98" s="4"/>
      <c r="AF98" s="4"/>
      <c r="AG98" s="4"/>
      <c r="AH98" s="4" t="str">
        <f>"" &amp; TEXT(AB98,"#0.00%") &amp; " " &amp; "Design" &amp; "(Yeshwant)" &amp; " " &amp; IF(M98="","",TEXT(M98,"M/D-")) &amp; IF(N98="","",TEXT(N98,"M/D")) &amp; " "</f>
        <v xml:space="preserve">0.00% Design(Yeshwant) 7/3-7/7 </v>
      </c>
      <c r="AI98" s="4"/>
      <c r="AJ98" s="4"/>
      <c r="AK98" s="4"/>
      <c r="AL98" s="4"/>
      <c r="AM98" s="4"/>
      <c r="AN98" s="4"/>
      <c r="AO98" s="4"/>
      <c r="AP98" s="4"/>
      <c r="AQ98" s="4"/>
      <c r="AR98" s="4"/>
      <c r="AS98" s="4"/>
      <c r="AT98" s="4"/>
      <c r="AU98" s="4"/>
      <c r="AV98" s="4"/>
      <c r="AW98" s="4"/>
      <c r="AX98" s="4"/>
      <c r="AY98" s="4"/>
      <c r="AZ98" s="4"/>
      <c r="BA98" s="4"/>
      <c r="BB98" s="4"/>
      <c r="BC98" s="4"/>
      <c r="BD98" s="4"/>
      <c r="BE98" s="4"/>
      <c r="BF98" s="4"/>
      <c r="BG98" s="4"/>
      <c r="BH98" s="4"/>
      <c r="BI98" s="4"/>
      <c r="BJ98" s="4"/>
      <c r="BK98" s="4"/>
      <c r="BL98" s="4"/>
      <c r="BM98" s="4"/>
      <c r="BN98" s="4"/>
      <c r="BO98" s="4"/>
      <c r="BP98" s="4"/>
      <c r="BQ98" s="4"/>
      <c r="BR98" s="4"/>
      <c r="BS98" s="4"/>
      <c r="BT98" s="4"/>
      <c r="BU98" s="4"/>
      <c r="BV98" s="4"/>
      <c r="BW98" s="4"/>
      <c r="BX98" s="4"/>
      <c r="BY98" s="4"/>
      <c r="BZ98" s="4"/>
      <c r="CA98" s="4"/>
      <c r="CB98" s="4"/>
      <c r="CC98" s="4"/>
      <c r="CD98" s="4"/>
      <c r="CE98" s="4"/>
      <c r="CF98" s="4"/>
      <c r="CG98" s="4"/>
      <c r="CH98" s="4"/>
      <c r="CI98" s="4"/>
      <c r="CJ98" s="4"/>
      <c r="CK98" s="4"/>
      <c r="CL98" s="4"/>
      <c r="CM98" s="4"/>
      <c r="CN98" s="4"/>
      <c r="CO98" s="4"/>
      <c r="CP98" s="4"/>
      <c r="CQ98" s="4"/>
      <c r="CR98" s="4"/>
      <c r="CS98" s="4"/>
      <c r="CT98" s="4"/>
      <c r="CU98" s="4"/>
      <c r="CV98" s="4"/>
      <c r="CW98" s="4"/>
      <c r="CX98" s="4"/>
      <c r="CY98" s="4"/>
      <c r="CZ98" s="4"/>
      <c r="DA98" s="4"/>
      <c r="DB98" s="4"/>
      <c r="DC98" s="4"/>
      <c r="DD98" s="4"/>
      <c r="DE98" s="4"/>
      <c r="DF98" s="4"/>
      <c r="DG98" s="4"/>
      <c r="DH98" s="4"/>
      <c r="DI98" s="4"/>
      <c r="DJ98" s="4"/>
      <c r="DK98" s="4"/>
      <c r="DL98" s="4"/>
      <c r="DM98" s="4"/>
      <c r="DN98" s="4"/>
      <c r="DO98" s="4"/>
      <c r="DP98" s="4"/>
      <c r="DQ98" s="4"/>
      <c r="DR98" s="4"/>
      <c r="DS98" s="4"/>
      <c r="DT98" s="4"/>
      <c r="DU98" s="4"/>
      <c r="DV98" s="4"/>
      <c r="DW98" s="4"/>
      <c r="DX98" s="4"/>
      <c r="DY98" s="4"/>
      <c r="DZ98" s="4"/>
      <c r="EA98" s="4"/>
      <c r="EB98" s="4"/>
      <c r="EC98" s="4"/>
      <c r="ED98" s="4"/>
      <c r="EE98" s="4"/>
      <c r="EF98" s="4"/>
      <c r="EG98" s="4"/>
      <c r="EH98" s="4"/>
      <c r="EI98" s="4"/>
      <c r="EJ98" s="4"/>
      <c r="EK98" s="4"/>
      <c r="EL98" s="4"/>
      <c r="EM98" s="4"/>
      <c r="EN98" s="4"/>
      <c r="EO98" s="4"/>
      <c r="EP98" s="4"/>
      <c r="EQ98" s="4"/>
      <c r="ER98" s="4"/>
      <c r="ES98" s="4"/>
      <c r="ET98" s="4"/>
      <c r="EU98" s="4"/>
      <c r="EV98" s="4"/>
      <c r="EW98" s="4"/>
      <c r="EX98" s="4"/>
      <c r="EY98" s="4"/>
      <c r="EZ98" s="4"/>
      <c r="FA98" s="4"/>
      <c r="FB98" s="4"/>
      <c r="FC98" s="4"/>
      <c r="FD98" s="4"/>
      <c r="FE98" s="4"/>
      <c r="FF98" s="4"/>
      <c r="FG98" s="4"/>
      <c r="FH98" s="4"/>
      <c r="FI98" s="4"/>
      <c r="FJ98" s="4"/>
      <c r="FK98" s="4"/>
      <c r="FL98" s="4"/>
      <c r="FM98" s="4"/>
      <c r="FN98" s="4"/>
      <c r="FO98" s="4"/>
      <c r="FP98" s="4"/>
      <c r="FQ98" s="4"/>
      <c r="FR98" s="4"/>
      <c r="FS98" s="4"/>
      <c r="FT98" s="4"/>
      <c r="FU98" s="4"/>
      <c r="FV98" s="4"/>
      <c r="FW98" s="4"/>
      <c r="FX98" s="4"/>
      <c r="FY98" s="4"/>
      <c r="FZ98" s="4"/>
      <c r="GA98" s="4"/>
      <c r="GB98" s="4"/>
      <c r="GC98" s="4"/>
      <c r="GD98" s="4"/>
      <c r="GE98" s="4"/>
      <c r="GF98" s="4"/>
      <c r="GG98" s="4"/>
    </row>
    <row r="99" spans="1:189" outlineLevel="1">
      <c r="A99" s="116"/>
      <c r="B99" s="116"/>
      <c r="C99" s="116">
        <v>2</v>
      </c>
      <c r="D99" s="3" t="s">
        <v>1169</v>
      </c>
      <c r="E99" s="180"/>
      <c r="F99" s="180" t="s">
        <v>1072</v>
      </c>
      <c r="G99" s="180"/>
      <c r="H99" s="180"/>
      <c r="I99" s="180"/>
      <c r="J99" s="180"/>
      <c r="K99" s="180"/>
      <c r="L99" s="180"/>
      <c r="M99" s="181">
        <v>45117</v>
      </c>
      <c r="N99" s="181">
        <v>45121</v>
      </c>
      <c r="O99" s="182"/>
      <c r="P99" s="183">
        <v>5</v>
      </c>
      <c r="Q99" s="183">
        <v>0</v>
      </c>
      <c r="R99" s="184">
        <v>5</v>
      </c>
      <c r="S99" s="184">
        <v>0</v>
      </c>
      <c r="T99" s="181"/>
      <c r="U99" s="181"/>
      <c r="V99" s="185"/>
      <c r="W99" s="186">
        <v>0</v>
      </c>
      <c r="X99" s="187">
        <v>1</v>
      </c>
      <c r="Y99" s="182"/>
      <c r="Z99" s="188"/>
      <c r="AA99" s="97">
        <v>0</v>
      </c>
      <c r="AB99" s="189">
        <v>0</v>
      </c>
      <c r="AC99" s="210"/>
      <c r="AD99" s="4"/>
      <c r="AE99" s="4"/>
      <c r="AF99" s="4"/>
      <c r="AG99" s="4"/>
      <c r="AH99" s="4"/>
      <c r="AI99" s="4" t="str">
        <f>"" &amp; TEXT(AB99,"#0.00%") &amp; " " &amp; "Android" &amp; " " &amp; IF(M99="","",TEXT(M99,"M/D-")) &amp; IF(N99="","",TEXT(N99,"M/D")) &amp; " "</f>
        <v xml:space="preserve">0.00% Android 7/10-7/14 </v>
      </c>
      <c r="AJ99" s="4"/>
      <c r="AK99" s="4"/>
      <c r="AL99" s="4"/>
      <c r="AM99" s="4"/>
      <c r="AN99" s="4"/>
      <c r="AO99" s="4"/>
      <c r="AP99" s="4"/>
      <c r="AQ99" s="4"/>
      <c r="AR99" s="4"/>
      <c r="AS99" s="4"/>
      <c r="AT99" s="4"/>
      <c r="AU99" s="4"/>
      <c r="AV99" s="4"/>
      <c r="AW99" s="4"/>
      <c r="AX99" s="4"/>
      <c r="AY99" s="4"/>
      <c r="AZ99" s="4"/>
      <c r="BA99" s="4"/>
      <c r="BB99" s="4"/>
      <c r="BC99" s="4"/>
      <c r="BD99" s="4"/>
      <c r="BE99" s="4"/>
      <c r="BF99" s="4"/>
      <c r="BG99" s="4"/>
      <c r="BH99" s="4"/>
      <c r="BI99" s="4"/>
      <c r="BJ99" s="4"/>
      <c r="BK99" s="4"/>
      <c r="BL99" s="4"/>
      <c r="BM99" s="4"/>
      <c r="BN99" s="4"/>
      <c r="BO99" s="4"/>
      <c r="BP99" s="4"/>
      <c r="BQ99" s="4"/>
      <c r="BR99" s="4"/>
      <c r="BS99" s="4"/>
      <c r="BT99" s="4"/>
      <c r="BU99" s="4"/>
      <c r="BV99" s="4"/>
      <c r="BW99" s="4"/>
      <c r="BX99" s="4"/>
      <c r="BY99" s="4"/>
      <c r="BZ99" s="4"/>
      <c r="CA99" s="4"/>
      <c r="CB99" s="4"/>
      <c r="CC99" s="4"/>
      <c r="CD99" s="4"/>
      <c r="CE99" s="4"/>
      <c r="CF99" s="4"/>
      <c r="CG99" s="4"/>
      <c r="CH99" s="4"/>
      <c r="CI99" s="4"/>
      <c r="CJ99" s="4"/>
      <c r="CK99" s="4"/>
      <c r="CL99" s="4"/>
      <c r="CM99" s="4"/>
      <c r="CN99" s="4"/>
      <c r="CO99" s="4"/>
      <c r="CP99" s="4"/>
      <c r="CQ99" s="4"/>
      <c r="CR99" s="4"/>
      <c r="CS99" s="4"/>
      <c r="CT99" s="4"/>
      <c r="CU99" s="4"/>
      <c r="CV99" s="4"/>
      <c r="CW99" s="4"/>
      <c r="CX99" s="4"/>
      <c r="CY99" s="4"/>
      <c r="CZ99" s="4"/>
      <c r="DA99" s="4"/>
      <c r="DB99" s="4"/>
      <c r="DC99" s="4"/>
      <c r="DD99" s="4"/>
      <c r="DE99" s="4"/>
      <c r="DF99" s="4"/>
      <c r="DG99" s="4"/>
      <c r="DH99" s="4"/>
      <c r="DI99" s="4"/>
      <c r="DJ99" s="4"/>
      <c r="DK99" s="4"/>
      <c r="DL99" s="4"/>
      <c r="DM99" s="4"/>
      <c r="DN99" s="4"/>
      <c r="DO99" s="4"/>
      <c r="DP99" s="4"/>
      <c r="DQ99" s="4"/>
      <c r="DR99" s="4"/>
      <c r="DS99" s="4"/>
      <c r="DT99" s="4"/>
      <c r="DU99" s="4"/>
      <c r="DV99" s="4"/>
      <c r="DW99" s="4"/>
      <c r="DX99" s="4"/>
      <c r="DY99" s="4"/>
      <c r="DZ99" s="4"/>
      <c r="EA99" s="4"/>
      <c r="EB99" s="4"/>
      <c r="EC99" s="4"/>
      <c r="ED99" s="4"/>
      <c r="EE99" s="4"/>
      <c r="EF99" s="4"/>
      <c r="EG99" s="4"/>
      <c r="EH99" s="4"/>
      <c r="EI99" s="4"/>
      <c r="EJ99" s="4"/>
      <c r="EK99" s="4"/>
      <c r="EL99" s="4"/>
      <c r="EM99" s="4"/>
      <c r="EN99" s="4"/>
      <c r="EO99" s="4"/>
      <c r="EP99" s="4"/>
      <c r="EQ99" s="4"/>
      <c r="ER99" s="4"/>
      <c r="ES99" s="4"/>
      <c r="ET99" s="4"/>
      <c r="EU99" s="4"/>
      <c r="EV99" s="4"/>
      <c r="EW99" s="4"/>
      <c r="EX99" s="4"/>
      <c r="EY99" s="4"/>
      <c r="EZ99" s="4"/>
      <c r="FA99" s="4"/>
      <c r="FB99" s="4"/>
      <c r="FC99" s="4"/>
      <c r="FD99" s="4"/>
      <c r="FE99" s="4"/>
      <c r="FF99" s="4"/>
      <c r="FG99" s="4"/>
      <c r="FH99" s="4"/>
      <c r="FI99" s="4"/>
      <c r="FJ99" s="4"/>
      <c r="FK99" s="4"/>
      <c r="FL99" s="4"/>
      <c r="FM99" s="4"/>
      <c r="FN99" s="4"/>
      <c r="FO99" s="4"/>
      <c r="FP99" s="4"/>
      <c r="FQ99" s="4"/>
      <c r="FR99" s="4"/>
      <c r="FS99" s="4"/>
      <c r="FT99" s="4"/>
      <c r="FU99" s="4"/>
      <c r="FV99" s="4"/>
      <c r="FW99" s="4"/>
      <c r="FX99" s="4"/>
      <c r="FY99" s="4"/>
      <c r="FZ99" s="4"/>
      <c r="GA99" s="4"/>
      <c r="GB99" s="4"/>
      <c r="GC99" s="4"/>
      <c r="GD99" s="4"/>
      <c r="GE99" s="4"/>
      <c r="GF99" s="4"/>
      <c r="GG99" s="4"/>
    </row>
    <row r="100" spans="1:189" outlineLevel="1">
      <c r="A100" s="116"/>
      <c r="B100" s="116"/>
      <c r="C100" s="116">
        <v>2</v>
      </c>
      <c r="D100" s="3" t="s">
        <v>1170</v>
      </c>
      <c r="E100" s="180"/>
      <c r="F100" s="180" t="s">
        <v>1073</v>
      </c>
      <c r="G100" s="180"/>
      <c r="H100" s="180"/>
      <c r="I100" s="180"/>
      <c r="J100" s="180"/>
      <c r="K100" s="180"/>
      <c r="L100" s="180"/>
      <c r="M100" s="181">
        <v>45117</v>
      </c>
      <c r="N100" s="181">
        <v>45121</v>
      </c>
      <c r="O100" s="182"/>
      <c r="P100" s="183">
        <v>5</v>
      </c>
      <c r="Q100" s="183">
        <v>0</v>
      </c>
      <c r="R100" s="184">
        <v>5</v>
      </c>
      <c r="S100" s="184">
        <v>0</v>
      </c>
      <c r="T100" s="181"/>
      <c r="U100" s="181"/>
      <c r="V100" s="185"/>
      <c r="W100" s="186">
        <v>0</v>
      </c>
      <c r="X100" s="187">
        <v>1</v>
      </c>
      <c r="Y100" s="182"/>
      <c r="Z100" s="188"/>
      <c r="AA100" s="97">
        <v>0</v>
      </c>
      <c r="AB100" s="189">
        <v>0</v>
      </c>
      <c r="AC100" s="210"/>
      <c r="AD100" s="4"/>
      <c r="AE100" s="4"/>
      <c r="AF100" s="4"/>
      <c r="AG100" s="4"/>
      <c r="AH100" s="4"/>
      <c r="AI100" s="4" t="str">
        <f>"" &amp; TEXT(AB100,"#0.00%") &amp; " " &amp; "iOS" &amp; " " &amp; IF(M100="","",TEXT(M100,"M/D-")) &amp; IF(N100="","",TEXT(N100,"M/D")) &amp; " "</f>
        <v xml:space="preserve">0.00% iOS 7/10-7/14 </v>
      </c>
      <c r="AJ100" s="4"/>
      <c r="AK100" s="4"/>
      <c r="AL100" s="4"/>
      <c r="AM100" s="4"/>
      <c r="AN100" s="4"/>
      <c r="AO100" s="4"/>
      <c r="AP100" s="4"/>
      <c r="AQ100" s="4"/>
      <c r="AR100" s="4"/>
      <c r="AS100" s="4"/>
      <c r="AT100" s="4"/>
      <c r="AU100" s="4"/>
      <c r="AV100" s="4"/>
      <c r="AW100" s="4"/>
      <c r="AX100" s="4"/>
      <c r="AY100" s="4"/>
      <c r="AZ100" s="4"/>
      <c r="BA100" s="4"/>
      <c r="BB100" s="4"/>
      <c r="BC100" s="4"/>
      <c r="BD100" s="4"/>
      <c r="BE100" s="4"/>
      <c r="BF100" s="4"/>
      <c r="BG100" s="4"/>
      <c r="BH100" s="4"/>
      <c r="BI100" s="4"/>
      <c r="BJ100" s="4"/>
      <c r="BK100" s="4"/>
      <c r="BL100" s="4"/>
      <c r="BM100" s="4"/>
      <c r="BN100" s="4"/>
      <c r="BO100" s="4"/>
      <c r="BP100" s="4"/>
      <c r="BQ100" s="4"/>
      <c r="BR100" s="4"/>
      <c r="BS100" s="4"/>
      <c r="BT100" s="4"/>
      <c r="BU100" s="4"/>
      <c r="BV100" s="4"/>
      <c r="BW100" s="4"/>
      <c r="BX100" s="4"/>
      <c r="BY100" s="4"/>
      <c r="BZ100" s="4"/>
      <c r="CA100" s="4"/>
      <c r="CB100" s="4"/>
      <c r="CC100" s="4"/>
      <c r="CD100" s="4"/>
      <c r="CE100" s="4"/>
      <c r="CF100" s="4"/>
      <c r="CG100" s="4"/>
      <c r="CH100" s="4"/>
      <c r="CI100" s="4"/>
      <c r="CJ100" s="4"/>
      <c r="CK100" s="4"/>
      <c r="CL100" s="4"/>
      <c r="CM100" s="4"/>
      <c r="CN100" s="4"/>
      <c r="CO100" s="4"/>
      <c r="CP100" s="4"/>
      <c r="CQ100" s="4"/>
      <c r="CR100" s="4"/>
      <c r="CS100" s="4"/>
      <c r="CT100" s="4"/>
      <c r="CU100" s="4"/>
      <c r="CV100" s="4"/>
      <c r="CW100" s="4"/>
      <c r="CX100" s="4"/>
      <c r="CY100" s="4"/>
      <c r="CZ100" s="4"/>
      <c r="DA100" s="4"/>
      <c r="DB100" s="4"/>
      <c r="DC100" s="4"/>
      <c r="DD100" s="4"/>
      <c r="DE100" s="4"/>
      <c r="DF100" s="4"/>
      <c r="DG100" s="4"/>
      <c r="DH100" s="4"/>
      <c r="DI100" s="4"/>
      <c r="DJ100" s="4"/>
      <c r="DK100" s="4"/>
      <c r="DL100" s="4"/>
      <c r="DM100" s="4"/>
      <c r="DN100" s="4"/>
      <c r="DO100" s="4"/>
      <c r="DP100" s="4"/>
      <c r="DQ100" s="4"/>
      <c r="DR100" s="4"/>
      <c r="DS100" s="4"/>
      <c r="DT100" s="4"/>
      <c r="DU100" s="4"/>
      <c r="DV100" s="4"/>
      <c r="DW100" s="4"/>
      <c r="DX100" s="4"/>
      <c r="DY100" s="4"/>
      <c r="DZ100" s="4"/>
      <c r="EA100" s="4"/>
      <c r="EB100" s="4"/>
      <c r="EC100" s="4"/>
      <c r="ED100" s="4"/>
      <c r="EE100" s="4"/>
      <c r="EF100" s="4"/>
      <c r="EG100" s="4"/>
      <c r="EH100" s="4"/>
      <c r="EI100" s="4"/>
      <c r="EJ100" s="4"/>
      <c r="EK100" s="4"/>
      <c r="EL100" s="4"/>
      <c r="EM100" s="4"/>
      <c r="EN100" s="4"/>
      <c r="EO100" s="4"/>
      <c r="EP100" s="4"/>
      <c r="EQ100" s="4"/>
      <c r="ER100" s="4"/>
      <c r="ES100" s="4"/>
      <c r="ET100" s="4"/>
      <c r="EU100" s="4"/>
      <c r="EV100" s="4"/>
      <c r="EW100" s="4"/>
      <c r="EX100" s="4"/>
      <c r="EY100" s="4"/>
      <c r="EZ100" s="4"/>
      <c r="FA100" s="4"/>
      <c r="FB100" s="4"/>
      <c r="FC100" s="4"/>
      <c r="FD100" s="4"/>
      <c r="FE100" s="4"/>
      <c r="FF100" s="4"/>
      <c r="FG100" s="4"/>
      <c r="FH100" s="4"/>
      <c r="FI100" s="4"/>
      <c r="FJ100" s="4"/>
      <c r="FK100" s="4"/>
      <c r="FL100" s="4"/>
      <c r="FM100" s="4"/>
      <c r="FN100" s="4"/>
      <c r="FO100" s="4"/>
      <c r="FP100" s="4"/>
      <c r="FQ100" s="4"/>
      <c r="FR100" s="4"/>
      <c r="FS100" s="4"/>
      <c r="FT100" s="4"/>
      <c r="FU100" s="4"/>
      <c r="FV100" s="4"/>
      <c r="FW100" s="4"/>
      <c r="FX100" s="4"/>
      <c r="FY100" s="4"/>
      <c r="FZ100" s="4"/>
      <c r="GA100" s="4"/>
      <c r="GB100" s="4"/>
      <c r="GC100" s="4"/>
      <c r="GD100" s="4"/>
      <c r="GE100" s="4"/>
      <c r="GF100" s="4"/>
      <c r="GG100" s="4"/>
    </row>
    <row r="101" spans="1:189" outlineLevel="1">
      <c r="A101" s="116"/>
      <c r="B101" s="116"/>
      <c r="C101" s="116">
        <v>2</v>
      </c>
      <c r="D101" s="3" t="s">
        <v>1171</v>
      </c>
      <c r="E101" s="180"/>
      <c r="F101" s="180" t="s">
        <v>1074</v>
      </c>
      <c r="G101" s="180"/>
      <c r="H101" s="180"/>
      <c r="I101" s="180"/>
      <c r="J101" s="180"/>
      <c r="K101" s="180"/>
      <c r="L101" s="180"/>
      <c r="M101" s="181">
        <v>45117</v>
      </c>
      <c r="N101" s="181">
        <v>45121</v>
      </c>
      <c r="O101" s="182"/>
      <c r="P101" s="183">
        <v>5</v>
      </c>
      <c r="Q101" s="183">
        <v>0</v>
      </c>
      <c r="R101" s="184">
        <v>5</v>
      </c>
      <c r="S101" s="184">
        <v>0</v>
      </c>
      <c r="T101" s="181"/>
      <c r="U101" s="181"/>
      <c r="V101" s="185"/>
      <c r="W101" s="186">
        <v>0</v>
      </c>
      <c r="X101" s="187">
        <v>1</v>
      </c>
      <c r="Y101" s="182"/>
      <c r="Z101" s="188"/>
      <c r="AA101" s="97">
        <v>0</v>
      </c>
      <c r="AB101" s="189">
        <v>0</v>
      </c>
      <c r="AC101" s="210"/>
      <c r="AD101" s="4"/>
      <c r="AE101" s="4"/>
      <c r="AF101" s="4"/>
      <c r="AG101" s="4"/>
      <c r="AH101" s="4"/>
      <c r="AI101" s="4" t="str">
        <f>"" &amp; TEXT(AB101,"#0.00%") &amp; " " &amp; "Server" &amp; " " &amp; IF(M101="","",TEXT(M101,"M/D-")) &amp; IF(N101="","",TEXT(N101,"M/D")) &amp; " "</f>
        <v xml:space="preserve">0.00% Server 7/10-7/14 </v>
      </c>
      <c r="AJ101" s="4"/>
      <c r="AK101" s="4"/>
      <c r="AL101" s="4"/>
      <c r="AM101" s="4"/>
      <c r="AN101" s="4"/>
      <c r="AO101" s="4"/>
      <c r="AP101" s="4"/>
      <c r="AQ101" s="4"/>
      <c r="AR101" s="4"/>
      <c r="AS101" s="4"/>
      <c r="AT101" s="4"/>
      <c r="AU101" s="4"/>
      <c r="AV101" s="4"/>
      <c r="AW101" s="4"/>
      <c r="AX101" s="4"/>
      <c r="AY101" s="4"/>
      <c r="AZ101" s="4"/>
      <c r="BA101" s="4"/>
      <c r="BB101" s="4"/>
      <c r="BC101" s="4"/>
      <c r="BD101" s="4"/>
      <c r="BE101" s="4"/>
      <c r="BF101" s="4"/>
      <c r="BG101" s="4"/>
      <c r="BH101" s="4"/>
      <c r="BI101" s="4"/>
      <c r="BJ101" s="4"/>
      <c r="BK101" s="4"/>
      <c r="BL101" s="4"/>
      <c r="BM101" s="4"/>
      <c r="BN101" s="4"/>
      <c r="BO101" s="4"/>
      <c r="BP101" s="4"/>
      <c r="BQ101" s="4"/>
      <c r="BR101" s="4"/>
      <c r="BS101" s="4"/>
      <c r="BT101" s="4"/>
      <c r="BU101" s="4"/>
      <c r="BV101" s="4"/>
      <c r="BW101" s="4"/>
      <c r="BX101" s="4"/>
      <c r="BY101" s="4"/>
      <c r="BZ101" s="4"/>
      <c r="CA101" s="4"/>
      <c r="CB101" s="4"/>
      <c r="CC101" s="4"/>
      <c r="CD101" s="4"/>
      <c r="CE101" s="4"/>
      <c r="CF101" s="4"/>
      <c r="CG101" s="4"/>
      <c r="CH101" s="4"/>
      <c r="CI101" s="4"/>
      <c r="CJ101" s="4"/>
      <c r="CK101" s="4"/>
      <c r="CL101" s="4"/>
      <c r="CM101" s="4"/>
      <c r="CN101" s="4"/>
      <c r="CO101" s="4"/>
      <c r="CP101" s="4"/>
      <c r="CQ101" s="4"/>
      <c r="CR101" s="4"/>
      <c r="CS101" s="4"/>
      <c r="CT101" s="4"/>
      <c r="CU101" s="4"/>
      <c r="CV101" s="4"/>
      <c r="CW101" s="4"/>
      <c r="CX101" s="4"/>
      <c r="CY101" s="4"/>
      <c r="CZ101" s="4"/>
      <c r="DA101" s="4"/>
      <c r="DB101" s="4"/>
      <c r="DC101" s="4"/>
      <c r="DD101" s="4"/>
      <c r="DE101" s="4"/>
      <c r="DF101" s="4"/>
      <c r="DG101" s="4"/>
      <c r="DH101" s="4"/>
      <c r="DI101" s="4"/>
      <c r="DJ101" s="4"/>
      <c r="DK101" s="4"/>
      <c r="DL101" s="4"/>
      <c r="DM101" s="4"/>
      <c r="DN101" s="4"/>
      <c r="DO101" s="4"/>
      <c r="DP101" s="4"/>
      <c r="DQ101" s="4"/>
      <c r="DR101" s="4"/>
      <c r="DS101" s="4"/>
      <c r="DT101" s="4"/>
      <c r="DU101" s="4"/>
      <c r="DV101" s="4"/>
      <c r="DW101" s="4"/>
      <c r="DX101" s="4"/>
      <c r="DY101" s="4"/>
      <c r="DZ101" s="4"/>
      <c r="EA101" s="4"/>
      <c r="EB101" s="4"/>
      <c r="EC101" s="4"/>
      <c r="ED101" s="4"/>
      <c r="EE101" s="4"/>
      <c r="EF101" s="4"/>
      <c r="EG101" s="4"/>
      <c r="EH101" s="4"/>
      <c r="EI101" s="4"/>
      <c r="EJ101" s="4"/>
      <c r="EK101" s="4"/>
      <c r="EL101" s="4"/>
      <c r="EM101" s="4"/>
      <c r="EN101" s="4"/>
      <c r="EO101" s="4"/>
      <c r="EP101" s="4"/>
      <c r="EQ101" s="4"/>
      <c r="ER101" s="4"/>
      <c r="ES101" s="4"/>
      <c r="ET101" s="4"/>
      <c r="EU101" s="4"/>
      <c r="EV101" s="4"/>
      <c r="EW101" s="4"/>
      <c r="EX101" s="4"/>
      <c r="EY101" s="4"/>
      <c r="EZ101" s="4"/>
      <c r="FA101" s="4"/>
      <c r="FB101" s="4"/>
      <c r="FC101" s="4"/>
      <c r="FD101" s="4"/>
      <c r="FE101" s="4"/>
      <c r="FF101" s="4"/>
      <c r="FG101" s="4"/>
      <c r="FH101" s="4"/>
      <c r="FI101" s="4"/>
      <c r="FJ101" s="4"/>
      <c r="FK101" s="4"/>
      <c r="FL101" s="4"/>
      <c r="FM101" s="4"/>
      <c r="FN101" s="4"/>
      <c r="FO101" s="4"/>
      <c r="FP101" s="4"/>
      <c r="FQ101" s="4"/>
      <c r="FR101" s="4"/>
      <c r="FS101" s="4"/>
      <c r="FT101" s="4"/>
      <c r="FU101" s="4"/>
      <c r="FV101" s="4"/>
      <c r="FW101" s="4"/>
      <c r="FX101" s="4"/>
      <c r="FY101" s="4"/>
      <c r="FZ101" s="4"/>
      <c r="GA101" s="4"/>
      <c r="GB101" s="4"/>
      <c r="GC101" s="4"/>
      <c r="GD101" s="4"/>
      <c r="GE101" s="4"/>
      <c r="GF101" s="4"/>
      <c r="GG101" s="4"/>
    </row>
    <row r="102" spans="1:189" ht="13.2" outlineLevel="1">
      <c r="A102" s="116"/>
      <c r="B102" s="116"/>
      <c r="C102" s="116">
        <v>2</v>
      </c>
      <c r="D102" s="3" t="s">
        <v>1172</v>
      </c>
      <c r="E102" s="207"/>
      <c r="F102" s="180" t="s">
        <v>1040</v>
      </c>
      <c r="G102" s="180"/>
      <c r="H102" s="180"/>
      <c r="I102" s="180"/>
      <c r="J102" s="180"/>
      <c r="K102" s="180"/>
      <c r="L102" s="180"/>
      <c r="M102" s="181">
        <v>45124</v>
      </c>
      <c r="N102" s="181">
        <v>45135</v>
      </c>
      <c r="O102" s="182"/>
      <c r="P102" s="183">
        <v>10</v>
      </c>
      <c r="Q102" s="183">
        <v>0</v>
      </c>
      <c r="R102" s="184">
        <v>10</v>
      </c>
      <c r="S102" s="184">
        <v>0</v>
      </c>
      <c r="T102" s="181"/>
      <c r="U102" s="181"/>
      <c r="V102" s="185"/>
      <c r="W102" s="186">
        <v>0</v>
      </c>
      <c r="X102" s="187">
        <v>1</v>
      </c>
      <c r="Y102" s="182"/>
      <c r="Z102" s="188"/>
      <c r="AA102" s="97">
        <v>0</v>
      </c>
      <c r="AB102" s="189">
        <v>0</v>
      </c>
      <c r="AC102" s="210"/>
      <c r="AD102" s="4"/>
      <c r="AE102" s="4"/>
      <c r="AF102" s="4"/>
      <c r="AG102" s="4"/>
      <c r="AH102" s="4"/>
      <c r="AI102" s="4"/>
      <c r="AJ102" s="4" t="str">
        <f>"" &amp; TEXT(AB102,"#0.00%") &amp; " " &amp; "Test in TB" &amp; " " &amp; IF(M102="","",TEXT(M102,"M/D-")) &amp; IF(N102="","",TEXT(N102,"M/D")) &amp; " "</f>
        <v xml:space="preserve">0.00% Test in TB 7/17-7/28 </v>
      </c>
      <c r="AK102" s="4"/>
      <c r="AL102" s="4"/>
      <c r="AM102" s="4"/>
      <c r="AN102" s="4"/>
      <c r="AO102" s="4"/>
      <c r="AP102" s="4"/>
      <c r="AQ102" s="4"/>
      <c r="AR102" s="4"/>
      <c r="AS102" s="4"/>
      <c r="AT102" s="4"/>
      <c r="AU102" s="4"/>
      <c r="AV102" s="4"/>
      <c r="AW102" s="4"/>
      <c r="AX102" s="4"/>
      <c r="AY102" s="4"/>
      <c r="AZ102" s="4"/>
      <c r="BA102" s="4"/>
      <c r="BB102" s="4"/>
      <c r="BC102" s="4"/>
      <c r="BD102" s="4"/>
      <c r="BE102" s="4"/>
      <c r="BF102" s="4"/>
      <c r="BG102" s="4"/>
      <c r="BH102" s="4"/>
      <c r="BI102" s="4"/>
      <c r="BJ102" s="4"/>
      <c r="BK102" s="4"/>
      <c r="BL102" s="4"/>
      <c r="BM102" s="4"/>
      <c r="BN102" s="4"/>
      <c r="BO102" s="4"/>
      <c r="BP102" s="4"/>
      <c r="BQ102" s="4"/>
      <c r="BR102" s="4"/>
      <c r="BS102" s="4"/>
      <c r="BT102" s="4"/>
      <c r="BU102" s="4"/>
      <c r="BV102" s="4"/>
      <c r="BW102" s="4"/>
      <c r="BX102" s="4"/>
      <c r="BY102" s="4"/>
      <c r="BZ102" s="4"/>
      <c r="CA102" s="4"/>
      <c r="CB102" s="4"/>
      <c r="CC102" s="4"/>
      <c r="CD102" s="4"/>
      <c r="CE102" s="4"/>
      <c r="CF102" s="4"/>
      <c r="CG102" s="4"/>
      <c r="CH102" s="4"/>
      <c r="CI102" s="4"/>
      <c r="CJ102" s="4"/>
      <c r="CK102" s="4"/>
      <c r="CL102" s="4"/>
      <c r="CM102" s="4"/>
      <c r="CN102" s="4"/>
      <c r="CO102" s="4"/>
      <c r="CP102" s="4"/>
      <c r="CQ102" s="4"/>
      <c r="CR102" s="4"/>
      <c r="CS102" s="4"/>
      <c r="CT102" s="4"/>
      <c r="CU102" s="4"/>
      <c r="CV102" s="4"/>
      <c r="CW102" s="4"/>
      <c r="CX102" s="4"/>
      <c r="CY102" s="4"/>
      <c r="CZ102" s="4"/>
      <c r="DA102" s="4"/>
      <c r="DB102" s="4"/>
      <c r="DC102" s="4"/>
      <c r="DD102" s="4"/>
      <c r="DE102" s="4"/>
      <c r="DF102" s="4"/>
      <c r="DG102" s="4"/>
      <c r="DH102" s="4"/>
      <c r="DI102" s="4"/>
      <c r="DJ102" s="4"/>
      <c r="DK102" s="4"/>
      <c r="DL102" s="4"/>
      <c r="DM102" s="4"/>
      <c r="DN102" s="4"/>
      <c r="DO102" s="4"/>
      <c r="DP102" s="4"/>
      <c r="DQ102" s="4"/>
      <c r="DR102" s="4"/>
      <c r="DS102" s="4"/>
      <c r="DT102" s="4"/>
      <c r="DU102" s="4"/>
      <c r="DV102" s="4"/>
      <c r="DW102" s="4"/>
      <c r="DX102" s="4"/>
      <c r="DY102" s="4"/>
      <c r="DZ102" s="4"/>
      <c r="EA102" s="4"/>
      <c r="EB102" s="4"/>
      <c r="EC102" s="4"/>
      <c r="ED102" s="4"/>
      <c r="EE102" s="4"/>
      <c r="EF102" s="4"/>
      <c r="EG102" s="4"/>
      <c r="EH102" s="4"/>
      <c r="EI102" s="4"/>
      <c r="EJ102" s="4"/>
      <c r="EK102" s="4"/>
      <c r="EL102" s="4"/>
      <c r="EM102" s="4"/>
      <c r="EN102" s="4"/>
      <c r="EO102" s="4"/>
      <c r="EP102" s="4"/>
      <c r="EQ102" s="4"/>
      <c r="ER102" s="4"/>
      <c r="ES102" s="4"/>
      <c r="ET102" s="4"/>
      <c r="EU102" s="4"/>
      <c r="EV102" s="4"/>
      <c r="EW102" s="4"/>
      <c r="EX102" s="4"/>
      <c r="EY102" s="4"/>
      <c r="EZ102" s="4"/>
      <c r="FA102" s="4"/>
      <c r="FB102" s="4"/>
      <c r="FC102" s="4"/>
      <c r="FD102" s="4"/>
      <c r="FE102" s="4"/>
      <c r="FF102" s="4"/>
      <c r="FG102" s="4"/>
      <c r="FH102" s="4"/>
      <c r="FI102" s="4"/>
      <c r="FJ102" s="4"/>
      <c r="FK102" s="4"/>
      <c r="FL102" s="4"/>
      <c r="FM102" s="4"/>
      <c r="FN102" s="4"/>
      <c r="FO102" s="4"/>
      <c r="FP102" s="4"/>
      <c r="FQ102" s="4"/>
      <c r="FR102" s="4"/>
      <c r="FS102" s="4"/>
      <c r="FT102" s="4"/>
      <c r="FU102" s="4"/>
      <c r="FV102" s="4"/>
      <c r="FW102" s="4"/>
      <c r="FX102" s="4"/>
      <c r="FY102" s="4"/>
      <c r="FZ102" s="4"/>
      <c r="GA102" s="4"/>
      <c r="GB102" s="4"/>
      <c r="GC102" s="4"/>
      <c r="GD102" s="4"/>
      <c r="GE102" s="4"/>
      <c r="GF102" s="4"/>
      <c r="GG102" s="4"/>
    </row>
    <row r="103" spans="1:189" outlineLevel="1">
      <c r="A103" s="116"/>
      <c r="B103" s="116"/>
      <c r="C103" s="116">
        <v>2</v>
      </c>
      <c r="D103" s="3" t="s">
        <v>1173</v>
      </c>
      <c r="E103" s="180"/>
      <c r="F103" s="180" t="s">
        <v>1039</v>
      </c>
      <c r="G103" s="180"/>
      <c r="H103" s="180"/>
      <c r="I103" s="180"/>
      <c r="J103" s="180"/>
      <c r="K103" s="180"/>
      <c r="L103" s="180"/>
      <c r="M103" s="181">
        <v>45166</v>
      </c>
      <c r="N103" s="181">
        <v>45166</v>
      </c>
      <c r="O103" s="182"/>
      <c r="P103" s="183">
        <v>1</v>
      </c>
      <c r="Q103" s="183">
        <v>0</v>
      </c>
      <c r="R103" s="184">
        <v>1</v>
      </c>
      <c r="S103" s="184">
        <v>0</v>
      </c>
      <c r="T103" s="181"/>
      <c r="U103" s="181"/>
      <c r="V103" s="185"/>
      <c r="W103" s="186">
        <v>0</v>
      </c>
      <c r="X103" s="187">
        <v>1</v>
      </c>
      <c r="Y103" s="182"/>
      <c r="Z103" s="188"/>
      <c r="AA103" s="97">
        <v>0</v>
      </c>
      <c r="AB103" s="189">
        <v>0</v>
      </c>
      <c r="AC103" s="210"/>
      <c r="AD103" s="4"/>
      <c r="AE103" s="4"/>
      <c r="AF103" s="4"/>
      <c r="AG103" s="4"/>
      <c r="AH103" s="4"/>
      <c r="AI103" s="4"/>
      <c r="AJ103" s="4"/>
      <c r="AK103" s="4"/>
      <c r="AL103" s="4"/>
      <c r="AM103" s="4"/>
      <c r="AN103" s="4"/>
      <c r="AO103" s="4"/>
      <c r="AP103" s="4" t="str">
        <f>"" &amp; TEXT(AB103,"#0.00%") &amp; " " &amp; "Test in Live" &amp; " " &amp; IF(M103="","",TEXT(M103,"M/D-")) &amp; IF(N103="","",TEXT(N103,"M/D")) &amp; " "</f>
        <v xml:space="preserve">0.00% Test in Live 8/28-8/28 </v>
      </c>
      <c r="AQ103" s="4"/>
      <c r="AR103" s="4"/>
      <c r="AS103" s="4"/>
      <c r="AT103" s="4"/>
      <c r="AU103" s="4"/>
      <c r="AV103" s="4"/>
      <c r="AW103" s="4"/>
      <c r="AX103" s="4"/>
      <c r="AY103" s="4"/>
      <c r="AZ103" s="4"/>
      <c r="BA103" s="4"/>
      <c r="BB103" s="4"/>
      <c r="BC103" s="4"/>
      <c r="BD103" s="4"/>
      <c r="BE103" s="4"/>
      <c r="BF103" s="4"/>
      <c r="BG103" s="4"/>
      <c r="BH103" s="4"/>
      <c r="BI103" s="4"/>
      <c r="BJ103" s="4"/>
      <c r="BK103" s="4"/>
      <c r="BL103" s="4"/>
      <c r="BM103" s="4"/>
      <c r="BN103" s="4"/>
      <c r="BO103" s="4"/>
      <c r="BP103" s="4"/>
      <c r="BQ103" s="4"/>
      <c r="BR103" s="4"/>
      <c r="BS103" s="4"/>
      <c r="BT103" s="4"/>
      <c r="BU103" s="4"/>
      <c r="BV103" s="4"/>
      <c r="BW103" s="4"/>
      <c r="BX103" s="4"/>
      <c r="BY103" s="4"/>
      <c r="BZ103" s="4"/>
      <c r="CA103" s="4"/>
      <c r="CB103" s="4"/>
      <c r="CC103" s="4"/>
      <c r="CD103" s="4"/>
      <c r="CE103" s="4"/>
      <c r="CF103" s="4"/>
      <c r="CG103" s="4"/>
      <c r="CH103" s="4"/>
      <c r="CI103" s="4"/>
      <c r="CJ103" s="4"/>
      <c r="CK103" s="4"/>
      <c r="CL103" s="4"/>
      <c r="CM103" s="4"/>
      <c r="CN103" s="4"/>
      <c r="CO103" s="4"/>
      <c r="CP103" s="4"/>
      <c r="CQ103" s="4"/>
      <c r="CR103" s="4"/>
      <c r="CS103" s="4"/>
      <c r="CT103" s="4"/>
      <c r="CU103" s="4"/>
      <c r="CV103" s="4"/>
      <c r="CW103" s="4"/>
      <c r="CX103" s="4"/>
      <c r="CY103" s="4"/>
      <c r="CZ103" s="4"/>
      <c r="DA103" s="4"/>
      <c r="DB103" s="4"/>
      <c r="DC103" s="4"/>
      <c r="DD103" s="4"/>
      <c r="DE103" s="4"/>
      <c r="DF103" s="4"/>
      <c r="DG103" s="4"/>
      <c r="DH103" s="4"/>
      <c r="DI103" s="4"/>
      <c r="DJ103" s="4"/>
      <c r="DK103" s="4"/>
      <c r="DL103" s="4"/>
      <c r="DM103" s="4"/>
      <c r="DN103" s="4"/>
      <c r="DO103" s="4"/>
      <c r="DP103" s="4"/>
      <c r="DQ103" s="4"/>
      <c r="DR103" s="4"/>
      <c r="DS103" s="4"/>
      <c r="DT103" s="4"/>
      <c r="DU103" s="4"/>
      <c r="DV103" s="4"/>
      <c r="DW103" s="4"/>
      <c r="DX103" s="4"/>
      <c r="DY103" s="4"/>
      <c r="DZ103" s="4"/>
      <c r="EA103" s="4"/>
      <c r="EB103" s="4"/>
      <c r="EC103" s="4"/>
      <c r="ED103" s="4"/>
      <c r="EE103" s="4"/>
      <c r="EF103" s="4"/>
      <c r="EG103" s="4"/>
      <c r="EH103" s="4"/>
      <c r="EI103" s="4"/>
      <c r="EJ103" s="4"/>
      <c r="EK103" s="4"/>
      <c r="EL103" s="4"/>
      <c r="EM103" s="4"/>
      <c r="EN103" s="4"/>
      <c r="EO103" s="4"/>
      <c r="EP103" s="4"/>
      <c r="EQ103" s="4"/>
      <c r="ER103" s="4"/>
      <c r="ES103" s="4"/>
      <c r="ET103" s="4"/>
      <c r="EU103" s="4"/>
      <c r="EV103" s="4"/>
      <c r="EW103" s="4"/>
      <c r="EX103" s="4"/>
      <c r="EY103" s="4"/>
      <c r="EZ103" s="4"/>
      <c r="FA103" s="4"/>
      <c r="FB103" s="4"/>
      <c r="FC103" s="4"/>
      <c r="FD103" s="4"/>
      <c r="FE103" s="4"/>
      <c r="FF103" s="4"/>
      <c r="FG103" s="4"/>
      <c r="FH103" s="4"/>
      <c r="FI103" s="4"/>
      <c r="FJ103" s="4"/>
      <c r="FK103" s="4"/>
      <c r="FL103" s="4"/>
      <c r="FM103" s="4"/>
      <c r="FN103" s="4"/>
      <c r="FO103" s="4"/>
      <c r="FP103" s="4"/>
      <c r="FQ103" s="4"/>
      <c r="FR103" s="4"/>
      <c r="FS103" s="4"/>
      <c r="FT103" s="4"/>
      <c r="FU103" s="4"/>
      <c r="FV103" s="4"/>
      <c r="FW103" s="4"/>
      <c r="FX103" s="4"/>
      <c r="FY103" s="4"/>
      <c r="FZ103" s="4"/>
      <c r="GA103" s="4"/>
      <c r="GB103" s="4"/>
      <c r="GC103" s="4"/>
      <c r="GD103" s="4"/>
      <c r="GE103" s="4"/>
      <c r="GF103" s="4"/>
      <c r="GG103" s="4"/>
    </row>
    <row r="104" spans="1:189" outlineLevel="1">
      <c r="A104" s="116"/>
      <c r="B104" s="116"/>
      <c r="C104" s="116">
        <v>2</v>
      </c>
      <c r="D104" s="3" t="s">
        <v>1174</v>
      </c>
      <c r="E104" s="180"/>
      <c r="F104" s="180" t="s">
        <v>1041</v>
      </c>
      <c r="G104" s="180"/>
      <c r="H104" s="180"/>
      <c r="I104" s="180"/>
      <c r="J104" s="180"/>
      <c r="K104" s="180"/>
      <c r="L104" s="180"/>
      <c r="M104" s="181">
        <v>45167</v>
      </c>
      <c r="N104" s="181">
        <v>45167</v>
      </c>
      <c r="O104" s="182"/>
      <c r="P104" s="183">
        <v>1</v>
      </c>
      <c r="Q104" s="183">
        <v>0</v>
      </c>
      <c r="R104" s="184">
        <v>1</v>
      </c>
      <c r="S104" s="184">
        <v>0</v>
      </c>
      <c r="T104" s="181"/>
      <c r="U104" s="181"/>
      <c r="V104" s="185"/>
      <c r="W104" s="186">
        <v>0</v>
      </c>
      <c r="X104" s="187">
        <v>1</v>
      </c>
      <c r="Y104" s="182"/>
      <c r="Z104" s="188"/>
      <c r="AA104" s="97">
        <v>0</v>
      </c>
      <c r="AB104" s="189">
        <v>0</v>
      </c>
      <c r="AC104" s="210"/>
      <c r="AD104" s="4"/>
      <c r="AE104" s="4"/>
      <c r="AF104" s="4"/>
      <c r="AG104" s="4"/>
      <c r="AH104" s="4"/>
      <c r="AI104" s="4"/>
      <c r="AJ104" s="4"/>
      <c r="AK104" s="4"/>
      <c r="AL104" s="4"/>
      <c r="AM104" s="4"/>
      <c r="AN104" s="4"/>
      <c r="AO104" s="4"/>
      <c r="AP104" s="4" t="str">
        <f>" " &amp; TEXT(AB104,"#0.00%") &amp; " " &amp; "Service Launch" &amp; " " &amp; IF(M104="","",TEXT(M104,"M/D-")) &amp; IF(N104="","",TEXT(N104,"M/D")) &amp; " "</f>
        <v xml:space="preserve"> 0.00% Service Launch 8/29-8/29 </v>
      </c>
      <c r="AQ104" s="4"/>
      <c r="AR104" s="4"/>
      <c r="AS104" s="4"/>
      <c r="AT104" s="4"/>
      <c r="AU104" s="4"/>
      <c r="AV104" s="4"/>
      <c r="AW104" s="4"/>
      <c r="AX104" s="4"/>
      <c r="AY104" s="4"/>
      <c r="AZ104" s="4"/>
      <c r="BA104" s="4"/>
      <c r="BB104" s="4"/>
      <c r="BC104" s="4"/>
      <c r="BD104" s="4"/>
      <c r="BE104" s="4"/>
      <c r="BF104" s="4"/>
      <c r="BG104" s="4"/>
      <c r="BH104" s="4"/>
      <c r="BI104" s="4"/>
      <c r="BJ104" s="4"/>
      <c r="BK104" s="4"/>
      <c r="BL104" s="4"/>
      <c r="BM104" s="4"/>
      <c r="BN104" s="4"/>
      <c r="BO104" s="4"/>
      <c r="BP104" s="4"/>
      <c r="BQ104" s="4"/>
      <c r="BR104" s="4"/>
      <c r="BS104" s="4"/>
      <c r="BT104" s="4"/>
      <c r="BU104" s="4"/>
      <c r="BV104" s="4"/>
      <c r="BW104" s="4"/>
      <c r="BX104" s="4"/>
      <c r="BY104" s="4"/>
      <c r="BZ104" s="4"/>
      <c r="CA104" s="4"/>
      <c r="CB104" s="4"/>
      <c r="CC104" s="4"/>
      <c r="CD104" s="4"/>
      <c r="CE104" s="4"/>
      <c r="CF104" s="4"/>
      <c r="CG104" s="4"/>
      <c r="CH104" s="4"/>
      <c r="CI104" s="4"/>
      <c r="CJ104" s="4"/>
      <c r="CK104" s="4"/>
      <c r="CL104" s="4"/>
      <c r="CM104" s="4"/>
      <c r="CN104" s="4"/>
      <c r="CO104" s="4"/>
      <c r="CP104" s="4"/>
      <c r="CQ104" s="4"/>
      <c r="CR104" s="4"/>
      <c r="CS104" s="4"/>
      <c r="CT104" s="4"/>
      <c r="CU104" s="4"/>
      <c r="CV104" s="4"/>
      <c r="CW104" s="4"/>
      <c r="CX104" s="4"/>
      <c r="CY104" s="4"/>
      <c r="CZ104" s="4"/>
      <c r="DA104" s="4"/>
      <c r="DB104" s="4"/>
      <c r="DC104" s="4"/>
      <c r="DD104" s="4"/>
      <c r="DE104" s="4"/>
      <c r="DF104" s="4"/>
      <c r="DG104" s="4"/>
      <c r="DH104" s="4"/>
      <c r="DI104" s="4"/>
      <c r="DJ104" s="4"/>
      <c r="DK104" s="4"/>
      <c r="DL104" s="4"/>
      <c r="DM104" s="4"/>
      <c r="DN104" s="4"/>
      <c r="DO104" s="4"/>
      <c r="DP104" s="4"/>
      <c r="DQ104" s="4"/>
      <c r="DR104" s="4"/>
      <c r="DS104" s="4"/>
      <c r="DT104" s="4"/>
      <c r="DU104" s="4"/>
      <c r="DV104" s="4"/>
      <c r="DW104" s="4"/>
      <c r="DX104" s="4"/>
      <c r="DY104" s="4"/>
      <c r="DZ104" s="4"/>
      <c r="EA104" s="4"/>
      <c r="EB104" s="4"/>
      <c r="EC104" s="4"/>
      <c r="ED104" s="4"/>
      <c r="EE104" s="4"/>
      <c r="EF104" s="4"/>
      <c r="EG104" s="4"/>
      <c r="EH104" s="4"/>
      <c r="EI104" s="4"/>
      <c r="EJ104" s="4"/>
      <c r="EK104" s="4"/>
      <c r="EL104" s="4"/>
      <c r="EM104" s="4"/>
      <c r="EN104" s="4"/>
      <c r="EO104" s="4"/>
      <c r="EP104" s="4"/>
      <c r="EQ104" s="4"/>
      <c r="ER104" s="4"/>
      <c r="ES104" s="4"/>
      <c r="ET104" s="4"/>
      <c r="EU104" s="4"/>
      <c r="EV104" s="4"/>
      <c r="EW104" s="4"/>
      <c r="EX104" s="4"/>
      <c r="EY104" s="4"/>
      <c r="EZ104" s="4"/>
      <c r="FA104" s="4"/>
      <c r="FB104" s="4"/>
      <c r="FC104" s="4"/>
      <c r="FD104" s="4"/>
      <c r="FE104" s="4"/>
      <c r="FF104" s="4"/>
      <c r="FG104" s="4"/>
      <c r="FH104" s="4"/>
      <c r="FI104" s="4"/>
      <c r="FJ104" s="4"/>
      <c r="FK104" s="4"/>
      <c r="FL104" s="4"/>
      <c r="FM104" s="4"/>
      <c r="FN104" s="4"/>
      <c r="FO104" s="4"/>
      <c r="FP104" s="4"/>
      <c r="FQ104" s="4"/>
      <c r="FR104" s="4"/>
      <c r="FS104" s="4"/>
      <c r="FT104" s="4"/>
      <c r="FU104" s="4"/>
      <c r="FV104" s="4"/>
      <c r="FW104" s="4"/>
      <c r="FX104" s="4"/>
      <c r="FY104" s="4"/>
      <c r="FZ104" s="4"/>
      <c r="GA104" s="4"/>
      <c r="GB104" s="4"/>
      <c r="GC104" s="4"/>
      <c r="GD104" s="4"/>
      <c r="GE104" s="4"/>
      <c r="GF104" s="4"/>
      <c r="GG104" s="4"/>
    </row>
    <row r="105" spans="1:189" outlineLevel="1">
      <c r="A105" s="116"/>
      <c r="B105" s="116"/>
      <c r="C105" s="116">
        <v>0</v>
      </c>
      <c r="D105" s="3"/>
      <c r="E105" s="180"/>
      <c r="F105" s="180"/>
      <c r="G105" s="180"/>
      <c r="H105" s="180"/>
      <c r="I105" s="180"/>
      <c r="J105" s="180"/>
      <c r="K105" s="180"/>
      <c r="L105" s="180"/>
      <c r="M105" s="181"/>
      <c r="N105" s="181"/>
      <c r="O105" s="182"/>
      <c r="P105" s="183"/>
      <c r="Q105" s="183"/>
      <c r="R105" s="184">
        <v>0</v>
      </c>
      <c r="S105" s="184">
        <v>0</v>
      </c>
      <c r="T105" s="181"/>
      <c r="U105" s="181"/>
      <c r="V105" s="185"/>
      <c r="W105" s="186">
        <v>0</v>
      </c>
      <c r="X105" s="187"/>
      <c r="Y105" s="182"/>
      <c r="Z105" s="188"/>
      <c r="AA105" s="97"/>
      <c r="AB105" s="189"/>
      <c r="AC105" s="210"/>
      <c r="AD105" s="4"/>
      <c r="AE105" s="4"/>
      <c r="AF105" s="4"/>
      <c r="AG105" s="4"/>
      <c r="AH105" s="4"/>
      <c r="AI105" s="4"/>
      <c r="AJ105" s="4"/>
      <c r="AK105" s="4"/>
      <c r="AL105" s="4"/>
      <c r="AM105" s="4"/>
      <c r="AN105" s="4"/>
      <c r="AO105" s="4"/>
      <c r="AP105" s="4"/>
      <c r="AQ105" s="4"/>
      <c r="AR105" s="4"/>
      <c r="AS105" s="4"/>
      <c r="AT105" s="4"/>
      <c r="AU105" s="4"/>
      <c r="AV105" s="4"/>
      <c r="AW105" s="4"/>
      <c r="AX105" s="4"/>
      <c r="AY105" s="4"/>
      <c r="AZ105" s="4"/>
      <c r="BA105" s="4"/>
      <c r="BB105" s="4"/>
      <c r="BC105" s="4"/>
      <c r="BD105" s="4"/>
      <c r="BE105" s="4"/>
      <c r="BF105" s="4"/>
      <c r="BG105" s="4"/>
      <c r="BH105" s="4"/>
      <c r="BI105" s="4"/>
      <c r="BJ105" s="4"/>
      <c r="BK105" s="4"/>
      <c r="BL105" s="4"/>
      <c r="BM105" s="4"/>
      <c r="BN105" s="4"/>
      <c r="BO105" s="4"/>
      <c r="BP105" s="4"/>
      <c r="BQ105" s="4"/>
      <c r="BR105" s="4"/>
      <c r="BS105" s="4"/>
      <c r="BT105" s="4"/>
      <c r="BU105" s="4"/>
      <c r="BV105" s="4"/>
      <c r="BW105" s="4"/>
      <c r="BX105" s="4"/>
      <c r="BY105" s="4"/>
      <c r="BZ105" s="4"/>
      <c r="CA105" s="4"/>
      <c r="CB105" s="4"/>
      <c r="CC105" s="4"/>
      <c r="CD105" s="4"/>
      <c r="CE105" s="4"/>
      <c r="CF105" s="4"/>
      <c r="CG105" s="4"/>
      <c r="CH105" s="4"/>
      <c r="CI105" s="4"/>
      <c r="CJ105" s="4"/>
      <c r="CK105" s="4"/>
      <c r="CL105" s="4"/>
      <c r="CM105" s="4"/>
      <c r="CN105" s="4"/>
      <c r="CO105" s="4"/>
      <c r="CP105" s="4"/>
      <c r="CQ105" s="4"/>
      <c r="CR105" s="4"/>
      <c r="CS105" s="4"/>
      <c r="CT105" s="4"/>
      <c r="CU105" s="4"/>
      <c r="CV105" s="4"/>
      <c r="CW105" s="4"/>
      <c r="CX105" s="4"/>
      <c r="CY105" s="4"/>
      <c r="CZ105" s="4"/>
      <c r="DA105" s="4"/>
      <c r="DB105" s="4"/>
      <c r="DC105" s="4"/>
      <c r="DD105" s="4"/>
      <c r="DE105" s="4"/>
      <c r="DF105" s="4"/>
      <c r="DG105" s="4"/>
      <c r="DH105" s="4"/>
      <c r="DI105" s="4"/>
      <c r="DJ105" s="4"/>
      <c r="DK105" s="4"/>
      <c r="DL105" s="4"/>
      <c r="DM105" s="4"/>
      <c r="DN105" s="4"/>
      <c r="DO105" s="4"/>
      <c r="DP105" s="4"/>
      <c r="DQ105" s="4"/>
      <c r="DR105" s="4"/>
      <c r="DS105" s="4"/>
      <c r="DT105" s="4"/>
      <c r="DU105" s="4"/>
      <c r="DV105" s="4"/>
      <c r="DW105" s="4"/>
      <c r="DX105" s="4"/>
      <c r="DY105" s="4"/>
      <c r="DZ105" s="4"/>
      <c r="EA105" s="4"/>
      <c r="EB105" s="4"/>
      <c r="EC105" s="4"/>
      <c r="ED105" s="4"/>
      <c r="EE105" s="4"/>
      <c r="EF105" s="4"/>
      <c r="EG105" s="4"/>
      <c r="EH105" s="4"/>
      <c r="EI105" s="4"/>
      <c r="EJ105" s="4"/>
      <c r="EK105" s="4"/>
      <c r="EL105" s="4"/>
      <c r="EM105" s="4"/>
      <c r="EN105" s="4"/>
      <c r="EO105" s="4"/>
      <c r="EP105" s="4"/>
      <c r="EQ105" s="4"/>
      <c r="ER105" s="4"/>
      <c r="ES105" s="4"/>
      <c r="ET105" s="4"/>
      <c r="EU105" s="4"/>
      <c r="EV105" s="4"/>
      <c r="EW105" s="4"/>
      <c r="EX105" s="4"/>
      <c r="EY105" s="4"/>
      <c r="EZ105" s="4"/>
      <c r="FA105" s="4"/>
      <c r="FB105" s="4"/>
      <c r="FC105" s="4"/>
      <c r="FD105" s="4"/>
      <c r="FE105" s="4"/>
      <c r="FF105" s="4"/>
      <c r="FG105" s="4"/>
      <c r="FH105" s="4"/>
      <c r="FI105" s="4"/>
      <c r="FJ105" s="4"/>
      <c r="FK105" s="4"/>
      <c r="FL105" s="4"/>
      <c r="FM105" s="4"/>
      <c r="FN105" s="4"/>
      <c r="FO105" s="4"/>
      <c r="FP105" s="4"/>
      <c r="FQ105" s="4"/>
      <c r="FR105" s="4"/>
      <c r="FS105" s="4"/>
      <c r="FT105" s="4"/>
      <c r="FU105" s="4"/>
      <c r="FV105" s="4"/>
      <c r="FW105" s="4"/>
      <c r="FX105" s="4"/>
      <c r="FY105" s="4"/>
      <c r="FZ105" s="4"/>
      <c r="GA105" s="4"/>
      <c r="GB105" s="4"/>
      <c r="GC105" s="4"/>
      <c r="GD105" s="4"/>
      <c r="GE105" s="4"/>
      <c r="GF105" s="4"/>
      <c r="GG105" s="4"/>
    </row>
    <row r="106" spans="1:189">
      <c r="A106" s="116"/>
      <c r="B106" s="116" t="s">
        <v>983</v>
      </c>
      <c r="C106" s="116">
        <v>1</v>
      </c>
      <c r="D106" s="3" t="s">
        <v>1175</v>
      </c>
      <c r="E106" s="180" t="s">
        <v>1126</v>
      </c>
      <c r="F106" s="180"/>
      <c r="G106" s="180"/>
      <c r="H106" s="180"/>
      <c r="I106" s="180"/>
      <c r="J106" s="180"/>
      <c r="K106" s="180"/>
      <c r="L106" s="180"/>
      <c r="M106" s="181">
        <v>45096</v>
      </c>
      <c r="N106" s="181">
        <v>45230</v>
      </c>
      <c r="O106" s="182"/>
      <c r="P106" s="183">
        <v>225</v>
      </c>
      <c r="Q106" s="183">
        <v>1</v>
      </c>
      <c r="R106" s="184">
        <v>97</v>
      </c>
      <c r="S106" s="184">
        <v>1</v>
      </c>
      <c r="T106" s="181"/>
      <c r="U106" s="181"/>
      <c r="V106" s="185">
        <v>0</v>
      </c>
      <c r="W106" s="186">
        <v>0</v>
      </c>
      <c r="X106" s="187"/>
      <c r="Y106" s="182"/>
      <c r="Z106" s="188"/>
      <c r="AA106" s="97">
        <v>4.4444444444444444E-3</v>
      </c>
      <c r="AB106" s="189">
        <v>0</v>
      </c>
      <c r="AC106" s="210"/>
      <c r="AD106" s="4"/>
      <c r="AE106" s="4"/>
      <c r="AF106" s="4" t="str">
        <f>"" &amp; TEXT(AB106,"#0.00%") &amp; " "</f>
        <v xml:space="preserve">0.00% </v>
      </c>
      <c r="AG106" s="4"/>
      <c r="AH106" s="4"/>
      <c r="AI106" s="4"/>
      <c r="AJ106" s="4"/>
      <c r="AK106" s="4"/>
      <c r="AL106" s="4"/>
      <c r="AM106" s="4"/>
      <c r="AN106" s="4"/>
      <c r="AO106" s="4"/>
      <c r="AP106" s="4"/>
      <c r="AQ106" s="4"/>
      <c r="AR106" s="4"/>
      <c r="AS106" s="4"/>
      <c r="AT106" s="4"/>
      <c r="AU106" s="4"/>
      <c r="AV106" s="4"/>
      <c r="AW106" s="4"/>
      <c r="AX106" s="4"/>
      <c r="AY106" s="4" t="str">
        <f>"  " &amp; "[2306-09] GME Card Payment" &amp; " " &amp; IF(M106="","",TEXT(M106,"M/D-")) &amp; IF(N106="","",TEXT(N106,"M/D")) &amp; " "</f>
        <v xml:space="preserve">  [2306-09] GME Card Payment 6/19-10/31 </v>
      </c>
      <c r="AZ106" s="4"/>
      <c r="BA106" s="4"/>
      <c r="BB106" s="4"/>
      <c r="BC106" s="4"/>
      <c r="BD106" s="4"/>
      <c r="BE106" s="4"/>
      <c r="BF106" s="4"/>
      <c r="BG106" s="4"/>
      <c r="BH106" s="4"/>
      <c r="BI106" s="4"/>
      <c r="BJ106" s="4"/>
      <c r="BK106" s="4"/>
      <c r="BL106" s="4"/>
      <c r="BM106" s="4"/>
      <c r="BN106" s="4"/>
      <c r="BO106" s="4"/>
      <c r="BP106" s="4"/>
      <c r="BQ106" s="4"/>
      <c r="BR106" s="4"/>
      <c r="BS106" s="4"/>
      <c r="BT106" s="4"/>
      <c r="BU106" s="4"/>
      <c r="BV106" s="4"/>
      <c r="BW106" s="4"/>
      <c r="BX106" s="4"/>
      <c r="BY106" s="4"/>
      <c r="BZ106" s="4"/>
      <c r="CA106" s="4"/>
      <c r="CB106" s="4"/>
      <c r="CC106" s="4"/>
      <c r="CD106" s="4"/>
      <c r="CE106" s="4"/>
      <c r="CF106" s="4"/>
      <c r="CG106" s="4"/>
      <c r="CH106" s="4"/>
      <c r="CI106" s="4"/>
      <c r="CJ106" s="4"/>
      <c r="CK106" s="4"/>
      <c r="CL106" s="4"/>
      <c r="CM106" s="4"/>
      <c r="CN106" s="4"/>
      <c r="CO106" s="4"/>
      <c r="CP106" s="4"/>
      <c r="CQ106" s="4"/>
      <c r="CR106" s="4"/>
      <c r="CS106" s="4"/>
      <c r="CT106" s="4"/>
      <c r="CU106" s="4"/>
      <c r="CV106" s="4"/>
      <c r="CW106" s="4"/>
      <c r="CX106" s="4"/>
      <c r="CY106" s="4"/>
      <c r="CZ106" s="4"/>
      <c r="DA106" s="4"/>
      <c r="DB106" s="4"/>
      <c r="DC106" s="4"/>
      <c r="DD106" s="4"/>
      <c r="DE106" s="4"/>
      <c r="DF106" s="4"/>
      <c r="DG106" s="4"/>
      <c r="DH106" s="4"/>
      <c r="DI106" s="4"/>
      <c r="DJ106" s="4"/>
      <c r="DK106" s="4"/>
      <c r="DL106" s="4"/>
      <c r="DM106" s="4"/>
      <c r="DN106" s="4"/>
      <c r="DO106" s="4"/>
      <c r="DP106" s="4"/>
      <c r="DQ106" s="4"/>
      <c r="DR106" s="4"/>
      <c r="DS106" s="4"/>
      <c r="DT106" s="4"/>
      <c r="DU106" s="4"/>
      <c r="DV106" s="4"/>
      <c r="DW106" s="4"/>
      <c r="DX106" s="4"/>
      <c r="DY106" s="4"/>
      <c r="DZ106" s="4"/>
      <c r="EA106" s="4"/>
      <c r="EB106" s="4"/>
      <c r="EC106" s="4"/>
      <c r="ED106" s="4"/>
      <c r="EE106" s="4"/>
      <c r="EF106" s="4"/>
      <c r="EG106" s="4"/>
      <c r="EH106" s="4"/>
      <c r="EI106" s="4"/>
      <c r="EJ106" s="4"/>
      <c r="EK106" s="4"/>
      <c r="EL106" s="4"/>
      <c r="EM106" s="4"/>
      <c r="EN106" s="4"/>
      <c r="EO106" s="4"/>
      <c r="EP106" s="4"/>
      <c r="EQ106" s="4"/>
      <c r="ER106" s="4"/>
      <c r="ES106" s="4"/>
      <c r="ET106" s="4"/>
      <c r="EU106" s="4"/>
      <c r="EV106" s="4"/>
      <c r="EW106" s="4"/>
      <c r="EX106" s="4"/>
      <c r="EY106" s="4"/>
      <c r="EZ106" s="4"/>
      <c r="FA106" s="4"/>
      <c r="FB106" s="4"/>
      <c r="FC106" s="4"/>
      <c r="FD106" s="4"/>
      <c r="FE106" s="4"/>
      <c r="FF106" s="4"/>
      <c r="FG106" s="4"/>
      <c r="FH106" s="4"/>
      <c r="FI106" s="4"/>
      <c r="FJ106" s="4"/>
      <c r="FK106" s="4"/>
      <c r="FL106" s="4"/>
      <c r="FM106" s="4"/>
      <c r="FN106" s="4"/>
      <c r="FO106" s="4"/>
      <c r="FP106" s="4"/>
      <c r="FQ106" s="4"/>
      <c r="FR106" s="4"/>
      <c r="FS106" s="4"/>
      <c r="FT106" s="4"/>
      <c r="FU106" s="4"/>
      <c r="FV106" s="4"/>
      <c r="FW106" s="4"/>
      <c r="FX106" s="4"/>
      <c r="FY106" s="4"/>
      <c r="FZ106" s="4"/>
      <c r="GA106" s="4"/>
      <c r="GB106" s="4"/>
      <c r="GC106" s="4"/>
      <c r="GD106" s="4"/>
      <c r="GE106" s="4"/>
      <c r="GF106" s="4"/>
      <c r="GG106" s="4"/>
    </row>
    <row r="107" spans="1:189" outlineLevel="1">
      <c r="A107" s="116"/>
      <c r="B107" s="116"/>
      <c r="C107" s="116">
        <v>2</v>
      </c>
      <c r="D107" s="3" t="s">
        <v>1193</v>
      </c>
      <c r="E107" s="180"/>
      <c r="F107" s="180" t="s">
        <v>1071</v>
      </c>
      <c r="G107" s="180"/>
      <c r="H107" s="180"/>
      <c r="I107" s="180"/>
      <c r="J107" s="180"/>
      <c r="K107" s="180"/>
      <c r="L107" s="180"/>
      <c r="M107" s="181">
        <v>45096</v>
      </c>
      <c r="N107" s="181">
        <v>45107</v>
      </c>
      <c r="O107" s="182"/>
      <c r="P107" s="183">
        <v>10</v>
      </c>
      <c r="Q107" s="183">
        <v>1</v>
      </c>
      <c r="R107" s="184">
        <v>10</v>
      </c>
      <c r="S107" s="184">
        <v>1</v>
      </c>
      <c r="T107" s="181"/>
      <c r="U107" s="181"/>
      <c r="V107" s="185"/>
      <c r="W107" s="186">
        <v>0</v>
      </c>
      <c r="X107" s="187">
        <v>1</v>
      </c>
      <c r="Y107" s="182"/>
      <c r="Z107" s="188"/>
      <c r="AA107" s="97">
        <v>0.1</v>
      </c>
      <c r="AB107" s="189">
        <v>0</v>
      </c>
      <c r="AC107" s="210"/>
      <c r="AD107" s="4"/>
      <c r="AE107" s="4"/>
      <c r="AF107" s="4" t="str">
        <f>"" &amp; TEXT(AB107,"#0.00%") &amp; " " &amp; "Design" &amp; " " &amp; IF(M107="","",TEXT(M107,"M/D-")) &amp; IF(N107="","",TEXT(N107,"M/D")) &amp; " "</f>
        <v xml:space="preserve">0.00% Design 6/19-6/30 </v>
      </c>
      <c r="AG107" s="4"/>
      <c r="AH107" s="4"/>
      <c r="AI107" s="4"/>
      <c r="AJ107" s="4"/>
      <c r="AK107" s="4"/>
      <c r="AL107" s="4"/>
      <c r="AM107" s="4"/>
      <c r="AN107" s="4"/>
      <c r="AO107" s="4"/>
      <c r="AP107" s="4"/>
      <c r="AQ107" s="4"/>
      <c r="AR107" s="4"/>
      <c r="AS107" s="4"/>
      <c r="AT107" s="4"/>
      <c r="AU107" s="4"/>
      <c r="AV107" s="4"/>
      <c r="AW107" s="4"/>
      <c r="AX107" s="4"/>
      <c r="AY107" s="4"/>
      <c r="AZ107" s="4"/>
      <c r="BA107" s="4"/>
      <c r="BB107" s="4"/>
      <c r="BC107" s="4"/>
      <c r="BD107" s="4"/>
      <c r="BE107" s="4"/>
      <c r="BF107" s="4"/>
      <c r="BG107" s="4"/>
      <c r="BH107" s="4"/>
      <c r="BI107" s="4"/>
      <c r="BJ107" s="4"/>
      <c r="BK107" s="4"/>
      <c r="BL107" s="4"/>
      <c r="BM107" s="4"/>
      <c r="BN107" s="4"/>
      <c r="BO107" s="4"/>
      <c r="BP107" s="4"/>
      <c r="BQ107" s="4"/>
      <c r="BR107" s="4"/>
      <c r="BS107" s="4"/>
      <c r="BT107" s="4"/>
      <c r="BU107" s="4"/>
      <c r="BV107" s="4"/>
      <c r="BW107" s="4"/>
      <c r="BX107" s="4"/>
      <c r="BY107" s="4"/>
      <c r="BZ107" s="4"/>
      <c r="CA107" s="4"/>
      <c r="CB107" s="4"/>
      <c r="CC107" s="4"/>
      <c r="CD107" s="4"/>
      <c r="CE107" s="4"/>
      <c r="CF107" s="4"/>
      <c r="CG107" s="4"/>
      <c r="CH107" s="4"/>
      <c r="CI107" s="4"/>
      <c r="CJ107" s="4"/>
      <c r="CK107" s="4"/>
      <c r="CL107" s="4"/>
      <c r="CM107" s="4"/>
      <c r="CN107" s="4"/>
      <c r="CO107" s="4"/>
      <c r="CP107" s="4"/>
      <c r="CQ107" s="4"/>
      <c r="CR107" s="4"/>
      <c r="CS107" s="4"/>
      <c r="CT107" s="4"/>
      <c r="CU107" s="4"/>
      <c r="CV107" s="4"/>
      <c r="CW107" s="4"/>
      <c r="CX107" s="4"/>
      <c r="CY107" s="4"/>
      <c r="CZ107" s="4"/>
      <c r="DA107" s="4"/>
      <c r="DB107" s="4"/>
      <c r="DC107" s="4"/>
      <c r="DD107" s="4"/>
      <c r="DE107" s="4"/>
      <c r="DF107" s="4"/>
      <c r="DG107" s="4"/>
      <c r="DH107" s="4"/>
      <c r="DI107" s="4"/>
      <c r="DJ107" s="4"/>
      <c r="DK107" s="4"/>
      <c r="DL107" s="4"/>
      <c r="DM107" s="4"/>
      <c r="DN107" s="4"/>
      <c r="DO107" s="4"/>
      <c r="DP107" s="4"/>
      <c r="DQ107" s="4"/>
      <c r="DR107" s="4"/>
      <c r="DS107" s="4"/>
      <c r="DT107" s="4"/>
      <c r="DU107" s="4"/>
      <c r="DV107" s="4"/>
      <c r="DW107" s="4"/>
      <c r="DX107" s="4"/>
      <c r="DY107" s="4"/>
      <c r="DZ107" s="4"/>
      <c r="EA107" s="4"/>
      <c r="EB107" s="4"/>
      <c r="EC107" s="4"/>
      <c r="ED107" s="4"/>
      <c r="EE107" s="4"/>
      <c r="EF107" s="4"/>
      <c r="EG107" s="4"/>
      <c r="EH107" s="4"/>
      <c r="EI107" s="4"/>
      <c r="EJ107" s="4"/>
      <c r="EK107" s="4"/>
      <c r="EL107" s="4"/>
      <c r="EM107" s="4"/>
      <c r="EN107" s="4"/>
      <c r="EO107" s="4"/>
      <c r="EP107" s="4"/>
      <c r="EQ107" s="4"/>
      <c r="ER107" s="4"/>
      <c r="ES107" s="4"/>
      <c r="ET107" s="4"/>
      <c r="EU107" s="4"/>
      <c r="EV107" s="4"/>
      <c r="EW107" s="4"/>
      <c r="EX107" s="4"/>
      <c r="EY107" s="4"/>
      <c r="EZ107" s="4"/>
      <c r="FA107" s="4"/>
      <c r="FB107" s="4"/>
      <c r="FC107" s="4"/>
      <c r="FD107" s="4"/>
      <c r="FE107" s="4"/>
      <c r="FF107" s="4"/>
      <c r="FG107" s="4"/>
      <c r="FH107" s="4"/>
      <c r="FI107" s="4"/>
      <c r="FJ107" s="4"/>
      <c r="FK107" s="4"/>
      <c r="FL107" s="4"/>
      <c r="FM107" s="4"/>
      <c r="FN107" s="4"/>
      <c r="FO107" s="4"/>
      <c r="FP107" s="4"/>
      <c r="FQ107" s="4"/>
      <c r="FR107" s="4"/>
      <c r="FS107" s="4"/>
      <c r="FT107" s="4"/>
      <c r="FU107" s="4"/>
      <c r="FV107" s="4"/>
      <c r="FW107" s="4"/>
      <c r="FX107" s="4"/>
      <c r="FY107" s="4"/>
      <c r="FZ107" s="4"/>
      <c r="GA107" s="4"/>
      <c r="GB107" s="4"/>
      <c r="GC107" s="4"/>
      <c r="GD107" s="4"/>
      <c r="GE107" s="4"/>
      <c r="GF107" s="4"/>
      <c r="GG107" s="4"/>
    </row>
    <row r="108" spans="1:189" outlineLevel="1">
      <c r="A108" s="116"/>
      <c r="B108" s="116"/>
      <c r="C108" s="116">
        <v>2</v>
      </c>
      <c r="D108" s="3" t="s">
        <v>1194</v>
      </c>
      <c r="E108" s="180"/>
      <c r="F108" s="180" t="s">
        <v>1072</v>
      </c>
      <c r="G108" s="180"/>
      <c r="H108" s="180"/>
      <c r="I108" s="180"/>
      <c r="J108" s="180"/>
      <c r="K108" s="180"/>
      <c r="L108" s="180"/>
      <c r="M108" s="181">
        <v>45110</v>
      </c>
      <c r="N108" s="181">
        <v>45169</v>
      </c>
      <c r="O108" s="182"/>
      <c r="P108" s="183">
        <v>44</v>
      </c>
      <c r="Q108" s="183">
        <v>0</v>
      </c>
      <c r="R108" s="184">
        <v>44</v>
      </c>
      <c r="S108" s="184">
        <v>0</v>
      </c>
      <c r="T108" s="181"/>
      <c r="U108" s="181"/>
      <c r="V108" s="185"/>
      <c r="W108" s="186">
        <v>0</v>
      </c>
      <c r="X108" s="187">
        <v>1</v>
      </c>
      <c r="Y108" s="182"/>
      <c r="Z108" s="188"/>
      <c r="AA108" s="97">
        <v>0</v>
      </c>
      <c r="AB108" s="189">
        <v>0</v>
      </c>
      <c r="AC108" s="210"/>
      <c r="AD108" s="4"/>
      <c r="AE108" s="4"/>
      <c r="AF108" s="4"/>
      <c r="AG108" s="4"/>
      <c r="AH108" s="4" t="str">
        <f>"" &amp; TEXT(AB108,"#0.00%") &amp; " "</f>
        <v xml:space="preserve">0.00% </v>
      </c>
      <c r="AI108" s="4"/>
      <c r="AJ108" s="4"/>
      <c r="AK108" s="4"/>
      <c r="AL108" s="4"/>
      <c r="AM108" s="4"/>
      <c r="AN108" s="4"/>
      <c r="AO108" s="4"/>
      <c r="AP108" s="4" t="str">
        <f>"    " &amp; "Android" &amp; " " &amp; IF(M108="","",TEXT(M108,"M/D-")) &amp; IF(N108="","",TEXT(N108,"M/D")) &amp; " "</f>
        <v xml:space="preserve">    Android 7/3-8/31 </v>
      </c>
      <c r="AQ108" s="4"/>
      <c r="AR108" s="4"/>
      <c r="AS108" s="4"/>
      <c r="AT108" s="4"/>
      <c r="AU108" s="4"/>
      <c r="AV108" s="4"/>
      <c r="AW108" s="4"/>
      <c r="AX108" s="4"/>
      <c r="AY108" s="4"/>
      <c r="AZ108" s="4"/>
      <c r="BA108" s="4"/>
      <c r="BB108" s="4"/>
      <c r="BC108" s="4"/>
      <c r="BD108" s="4"/>
      <c r="BE108" s="4"/>
      <c r="BF108" s="4"/>
      <c r="BG108" s="4"/>
      <c r="BH108" s="4"/>
      <c r="BI108" s="4"/>
      <c r="BJ108" s="4"/>
      <c r="BK108" s="4"/>
      <c r="BL108" s="4"/>
      <c r="BM108" s="4"/>
      <c r="BN108" s="4"/>
      <c r="BO108" s="4"/>
      <c r="BP108" s="4"/>
      <c r="BQ108" s="4"/>
      <c r="BR108" s="4"/>
      <c r="BS108" s="4"/>
      <c r="BT108" s="4"/>
      <c r="BU108" s="4"/>
      <c r="BV108" s="4"/>
      <c r="BW108" s="4"/>
      <c r="BX108" s="4"/>
      <c r="BY108" s="4"/>
      <c r="BZ108" s="4"/>
      <c r="CA108" s="4"/>
      <c r="CB108" s="4"/>
      <c r="CC108" s="4"/>
      <c r="CD108" s="4"/>
      <c r="CE108" s="4"/>
      <c r="CF108" s="4"/>
      <c r="CG108" s="4"/>
      <c r="CH108" s="4"/>
      <c r="CI108" s="4"/>
      <c r="CJ108" s="4"/>
      <c r="CK108" s="4"/>
      <c r="CL108" s="4"/>
      <c r="CM108" s="4"/>
      <c r="CN108" s="4"/>
      <c r="CO108" s="4"/>
      <c r="CP108" s="4"/>
      <c r="CQ108" s="4"/>
      <c r="CR108" s="4"/>
      <c r="CS108" s="4"/>
      <c r="CT108" s="4"/>
      <c r="CU108" s="4"/>
      <c r="CV108" s="4"/>
      <c r="CW108" s="4"/>
      <c r="CX108" s="4"/>
      <c r="CY108" s="4"/>
      <c r="CZ108" s="4"/>
      <c r="DA108" s="4"/>
      <c r="DB108" s="4"/>
      <c r="DC108" s="4"/>
      <c r="DD108" s="4"/>
      <c r="DE108" s="4"/>
      <c r="DF108" s="4"/>
      <c r="DG108" s="4"/>
      <c r="DH108" s="4"/>
      <c r="DI108" s="4"/>
      <c r="DJ108" s="4"/>
      <c r="DK108" s="4"/>
      <c r="DL108" s="4"/>
      <c r="DM108" s="4"/>
      <c r="DN108" s="4"/>
      <c r="DO108" s="4"/>
      <c r="DP108" s="4"/>
      <c r="DQ108" s="4"/>
      <c r="DR108" s="4"/>
      <c r="DS108" s="4"/>
      <c r="DT108" s="4"/>
      <c r="DU108" s="4"/>
      <c r="DV108" s="4"/>
      <c r="DW108" s="4"/>
      <c r="DX108" s="4"/>
      <c r="DY108" s="4"/>
      <c r="DZ108" s="4"/>
      <c r="EA108" s="4"/>
      <c r="EB108" s="4"/>
      <c r="EC108" s="4"/>
      <c r="ED108" s="4"/>
      <c r="EE108" s="4"/>
      <c r="EF108" s="4"/>
      <c r="EG108" s="4"/>
      <c r="EH108" s="4"/>
      <c r="EI108" s="4"/>
      <c r="EJ108" s="4"/>
      <c r="EK108" s="4"/>
      <c r="EL108" s="4"/>
      <c r="EM108" s="4"/>
      <c r="EN108" s="4"/>
      <c r="EO108" s="4"/>
      <c r="EP108" s="4"/>
      <c r="EQ108" s="4"/>
      <c r="ER108" s="4"/>
      <c r="ES108" s="4"/>
      <c r="ET108" s="4"/>
      <c r="EU108" s="4"/>
      <c r="EV108" s="4"/>
      <c r="EW108" s="4"/>
      <c r="EX108" s="4"/>
      <c r="EY108" s="4"/>
      <c r="EZ108" s="4"/>
      <c r="FA108" s="4"/>
      <c r="FB108" s="4"/>
      <c r="FC108" s="4"/>
      <c r="FD108" s="4"/>
      <c r="FE108" s="4"/>
      <c r="FF108" s="4"/>
      <c r="FG108" s="4"/>
      <c r="FH108" s="4"/>
      <c r="FI108" s="4"/>
      <c r="FJ108" s="4"/>
      <c r="FK108" s="4"/>
      <c r="FL108" s="4"/>
      <c r="FM108" s="4"/>
      <c r="FN108" s="4"/>
      <c r="FO108" s="4"/>
      <c r="FP108" s="4"/>
      <c r="FQ108" s="4"/>
      <c r="FR108" s="4"/>
      <c r="FS108" s="4"/>
      <c r="FT108" s="4"/>
      <c r="FU108" s="4"/>
      <c r="FV108" s="4"/>
      <c r="FW108" s="4"/>
      <c r="FX108" s="4"/>
      <c r="FY108" s="4"/>
      <c r="FZ108" s="4"/>
      <c r="GA108" s="4"/>
      <c r="GB108" s="4"/>
      <c r="GC108" s="4"/>
      <c r="GD108" s="4"/>
      <c r="GE108" s="4"/>
      <c r="GF108" s="4"/>
      <c r="GG108" s="4"/>
    </row>
    <row r="109" spans="1:189" outlineLevel="1">
      <c r="A109" s="116"/>
      <c r="B109" s="116"/>
      <c r="C109" s="116">
        <v>2</v>
      </c>
      <c r="D109" s="3" t="s">
        <v>1195</v>
      </c>
      <c r="E109" s="180"/>
      <c r="F109" s="180" t="s">
        <v>1073</v>
      </c>
      <c r="G109" s="180"/>
      <c r="H109" s="180"/>
      <c r="I109" s="180"/>
      <c r="J109" s="180"/>
      <c r="K109" s="180"/>
      <c r="L109" s="180"/>
      <c r="M109" s="181">
        <v>45110</v>
      </c>
      <c r="N109" s="181">
        <v>45169</v>
      </c>
      <c r="O109" s="182"/>
      <c r="P109" s="183">
        <v>44</v>
      </c>
      <c r="Q109" s="183">
        <v>0</v>
      </c>
      <c r="R109" s="184">
        <v>44</v>
      </c>
      <c r="S109" s="184">
        <v>0</v>
      </c>
      <c r="T109" s="181"/>
      <c r="U109" s="181"/>
      <c r="V109" s="185"/>
      <c r="W109" s="186">
        <v>0</v>
      </c>
      <c r="X109" s="187">
        <v>1</v>
      </c>
      <c r="Y109" s="182"/>
      <c r="Z109" s="188"/>
      <c r="AA109" s="97">
        <v>0</v>
      </c>
      <c r="AB109" s="189">
        <v>0</v>
      </c>
      <c r="AC109" s="210"/>
      <c r="AD109" s="4"/>
      <c r="AE109" s="4"/>
      <c r="AF109" s="4"/>
      <c r="AG109" s="4"/>
      <c r="AH109" s="4" t="str">
        <f>"" &amp; TEXT(AB109,"#0.00%") &amp; " "</f>
        <v xml:space="preserve">0.00% </v>
      </c>
      <c r="AI109" s="4"/>
      <c r="AJ109" s="4"/>
      <c r="AK109" s="4"/>
      <c r="AL109" s="4"/>
      <c r="AM109" s="4"/>
      <c r="AN109" s="4"/>
      <c r="AO109" s="4"/>
      <c r="AP109" s="4" t="str">
        <f>"    " &amp; "iOS" &amp; " " &amp; IF(M109="","",TEXT(M109,"M/D-")) &amp; IF(N109="","",TEXT(N109,"M/D")) &amp; " "</f>
        <v xml:space="preserve">    iOS 7/3-8/31 </v>
      </c>
      <c r="AQ109" s="4"/>
      <c r="AR109" s="4"/>
      <c r="AS109" s="4"/>
      <c r="AT109" s="4"/>
      <c r="AU109" s="4"/>
      <c r="AV109" s="4"/>
      <c r="AW109" s="4"/>
      <c r="AX109" s="4"/>
      <c r="AY109" s="4"/>
      <c r="AZ109" s="4"/>
      <c r="BA109" s="4"/>
      <c r="BB109" s="4"/>
      <c r="BC109" s="4"/>
      <c r="BD109" s="4"/>
      <c r="BE109" s="4"/>
      <c r="BF109" s="4"/>
      <c r="BG109" s="4"/>
      <c r="BH109" s="4"/>
      <c r="BI109" s="4"/>
      <c r="BJ109" s="4"/>
      <c r="BK109" s="4"/>
      <c r="BL109" s="4"/>
      <c r="BM109" s="4"/>
      <c r="BN109" s="4"/>
      <c r="BO109" s="4"/>
      <c r="BP109" s="4"/>
      <c r="BQ109" s="4"/>
      <c r="BR109" s="4"/>
      <c r="BS109" s="4"/>
      <c r="BT109" s="4"/>
      <c r="BU109" s="4"/>
      <c r="BV109" s="4"/>
      <c r="BW109" s="4"/>
      <c r="BX109" s="4"/>
      <c r="BY109" s="4"/>
      <c r="BZ109" s="4"/>
      <c r="CA109" s="4"/>
      <c r="CB109" s="4"/>
      <c r="CC109" s="4"/>
      <c r="CD109" s="4"/>
      <c r="CE109" s="4"/>
      <c r="CF109" s="4"/>
      <c r="CG109" s="4"/>
      <c r="CH109" s="4"/>
      <c r="CI109" s="4"/>
      <c r="CJ109" s="4"/>
      <c r="CK109" s="4"/>
      <c r="CL109" s="4"/>
      <c r="CM109" s="4"/>
      <c r="CN109" s="4"/>
      <c r="CO109" s="4"/>
      <c r="CP109" s="4"/>
      <c r="CQ109" s="4"/>
      <c r="CR109" s="4"/>
      <c r="CS109" s="4"/>
      <c r="CT109" s="4"/>
      <c r="CU109" s="4"/>
      <c r="CV109" s="4"/>
      <c r="CW109" s="4"/>
      <c r="CX109" s="4"/>
      <c r="CY109" s="4"/>
      <c r="CZ109" s="4"/>
      <c r="DA109" s="4"/>
      <c r="DB109" s="4"/>
      <c r="DC109" s="4"/>
      <c r="DD109" s="4"/>
      <c r="DE109" s="4"/>
      <c r="DF109" s="4"/>
      <c r="DG109" s="4"/>
      <c r="DH109" s="4"/>
      <c r="DI109" s="4"/>
      <c r="DJ109" s="4"/>
      <c r="DK109" s="4"/>
      <c r="DL109" s="4"/>
      <c r="DM109" s="4"/>
      <c r="DN109" s="4"/>
      <c r="DO109" s="4"/>
      <c r="DP109" s="4"/>
      <c r="DQ109" s="4"/>
      <c r="DR109" s="4"/>
      <c r="DS109" s="4"/>
      <c r="DT109" s="4"/>
      <c r="DU109" s="4"/>
      <c r="DV109" s="4"/>
      <c r="DW109" s="4"/>
      <c r="DX109" s="4"/>
      <c r="DY109" s="4"/>
      <c r="DZ109" s="4"/>
      <c r="EA109" s="4"/>
      <c r="EB109" s="4"/>
      <c r="EC109" s="4"/>
      <c r="ED109" s="4"/>
      <c r="EE109" s="4"/>
      <c r="EF109" s="4"/>
      <c r="EG109" s="4"/>
      <c r="EH109" s="4"/>
      <c r="EI109" s="4"/>
      <c r="EJ109" s="4"/>
      <c r="EK109" s="4"/>
      <c r="EL109" s="4"/>
      <c r="EM109" s="4"/>
      <c r="EN109" s="4"/>
      <c r="EO109" s="4"/>
      <c r="EP109" s="4"/>
      <c r="EQ109" s="4"/>
      <c r="ER109" s="4"/>
      <c r="ES109" s="4"/>
      <c r="ET109" s="4"/>
      <c r="EU109" s="4"/>
      <c r="EV109" s="4"/>
      <c r="EW109" s="4"/>
      <c r="EX109" s="4"/>
      <c r="EY109" s="4"/>
      <c r="EZ109" s="4"/>
      <c r="FA109" s="4"/>
      <c r="FB109" s="4"/>
      <c r="FC109" s="4"/>
      <c r="FD109" s="4"/>
      <c r="FE109" s="4"/>
      <c r="FF109" s="4"/>
      <c r="FG109" s="4"/>
      <c r="FH109" s="4"/>
      <c r="FI109" s="4"/>
      <c r="FJ109" s="4"/>
      <c r="FK109" s="4"/>
      <c r="FL109" s="4"/>
      <c r="FM109" s="4"/>
      <c r="FN109" s="4"/>
      <c r="FO109" s="4"/>
      <c r="FP109" s="4"/>
      <c r="FQ109" s="4"/>
      <c r="FR109" s="4"/>
      <c r="FS109" s="4"/>
      <c r="FT109" s="4"/>
      <c r="FU109" s="4"/>
      <c r="FV109" s="4"/>
      <c r="FW109" s="4"/>
      <c r="FX109" s="4"/>
      <c r="FY109" s="4"/>
      <c r="FZ109" s="4"/>
      <c r="GA109" s="4"/>
      <c r="GB109" s="4"/>
      <c r="GC109" s="4"/>
      <c r="GD109" s="4"/>
      <c r="GE109" s="4"/>
      <c r="GF109" s="4"/>
      <c r="GG109" s="4"/>
    </row>
    <row r="110" spans="1:189" ht="13.2" outlineLevel="1">
      <c r="A110" s="116"/>
      <c r="B110" s="116"/>
      <c r="C110" s="116">
        <v>2</v>
      </c>
      <c r="D110" s="3" t="s">
        <v>1207</v>
      </c>
      <c r="E110" s="207"/>
      <c r="F110" s="180" t="s">
        <v>1074</v>
      </c>
      <c r="G110" s="180"/>
      <c r="H110" s="180"/>
      <c r="I110" s="180"/>
      <c r="J110" s="180"/>
      <c r="K110" s="180"/>
      <c r="L110" s="180"/>
      <c r="M110" s="181">
        <v>45110</v>
      </c>
      <c r="N110" s="181">
        <v>45169</v>
      </c>
      <c r="O110" s="182"/>
      <c r="P110" s="183">
        <v>44</v>
      </c>
      <c r="Q110" s="183">
        <v>0</v>
      </c>
      <c r="R110" s="184">
        <v>44</v>
      </c>
      <c r="S110" s="184">
        <v>0</v>
      </c>
      <c r="T110" s="181"/>
      <c r="U110" s="181"/>
      <c r="V110" s="185"/>
      <c r="W110" s="186">
        <v>0</v>
      </c>
      <c r="X110" s="187">
        <v>1</v>
      </c>
      <c r="Y110" s="182"/>
      <c r="Z110" s="188"/>
      <c r="AA110" s="97">
        <v>0</v>
      </c>
      <c r="AB110" s="189">
        <v>0</v>
      </c>
      <c r="AC110" s="210"/>
      <c r="AD110" s="4"/>
      <c r="AE110" s="4"/>
      <c r="AF110" s="4"/>
      <c r="AG110" s="4"/>
      <c r="AH110" s="4" t="str">
        <f>"" &amp; TEXT(AB110,"#0.00%") &amp; " "</f>
        <v xml:space="preserve">0.00% </v>
      </c>
      <c r="AI110" s="4"/>
      <c r="AJ110" s="4"/>
      <c r="AK110" s="4"/>
      <c r="AL110" s="4"/>
      <c r="AM110" s="4"/>
      <c r="AN110" s="4"/>
      <c r="AO110" s="4"/>
      <c r="AP110" s="4" t="str">
        <f>"    " &amp; "Server" &amp; " " &amp; IF(M110="","",TEXT(M110,"M/D-")) &amp; IF(N110="","",TEXT(N110,"M/D")) &amp; " "</f>
        <v xml:space="preserve">    Server 7/3-8/31 </v>
      </c>
      <c r="AQ110" s="4"/>
      <c r="AR110" s="4"/>
      <c r="AS110" s="4"/>
      <c r="AT110" s="4"/>
      <c r="AU110" s="4"/>
      <c r="AV110" s="4"/>
      <c r="AW110" s="4"/>
      <c r="AX110" s="4"/>
      <c r="AY110" s="4"/>
      <c r="AZ110" s="4"/>
      <c r="BA110" s="4"/>
      <c r="BB110" s="4"/>
      <c r="BC110" s="4"/>
      <c r="BD110" s="4"/>
      <c r="BE110" s="4"/>
      <c r="BF110" s="4"/>
      <c r="BG110" s="4"/>
      <c r="BH110" s="4"/>
      <c r="BI110" s="4"/>
      <c r="BJ110" s="4"/>
      <c r="BK110" s="4"/>
      <c r="BL110" s="4"/>
      <c r="BM110" s="4"/>
      <c r="BN110" s="4"/>
      <c r="BO110" s="4"/>
      <c r="BP110" s="4"/>
      <c r="BQ110" s="4"/>
      <c r="BR110" s="4"/>
      <c r="BS110" s="4"/>
      <c r="BT110" s="4"/>
      <c r="BU110" s="4"/>
      <c r="BV110" s="4"/>
      <c r="BW110" s="4"/>
      <c r="BX110" s="4"/>
      <c r="BY110" s="4"/>
      <c r="BZ110" s="4"/>
      <c r="CA110" s="4"/>
      <c r="CB110" s="4"/>
      <c r="CC110" s="4"/>
      <c r="CD110" s="4"/>
      <c r="CE110" s="4"/>
      <c r="CF110" s="4"/>
      <c r="CG110" s="4"/>
      <c r="CH110" s="4"/>
      <c r="CI110" s="4"/>
      <c r="CJ110" s="4"/>
      <c r="CK110" s="4"/>
      <c r="CL110" s="4"/>
      <c r="CM110" s="4"/>
      <c r="CN110" s="4"/>
      <c r="CO110" s="4"/>
      <c r="CP110" s="4"/>
      <c r="CQ110" s="4"/>
      <c r="CR110" s="4"/>
      <c r="CS110" s="4"/>
      <c r="CT110" s="4"/>
      <c r="CU110" s="4"/>
      <c r="CV110" s="4"/>
      <c r="CW110" s="4"/>
      <c r="CX110" s="4"/>
      <c r="CY110" s="4"/>
      <c r="CZ110" s="4"/>
      <c r="DA110" s="4"/>
      <c r="DB110" s="4"/>
      <c r="DC110" s="4"/>
      <c r="DD110" s="4"/>
      <c r="DE110" s="4"/>
      <c r="DF110" s="4"/>
      <c r="DG110" s="4"/>
      <c r="DH110" s="4"/>
      <c r="DI110" s="4"/>
      <c r="DJ110" s="4"/>
      <c r="DK110" s="4"/>
      <c r="DL110" s="4"/>
      <c r="DM110" s="4"/>
      <c r="DN110" s="4"/>
      <c r="DO110" s="4"/>
      <c r="DP110" s="4"/>
      <c r="DQ110" s="4"/>
      <c r="DR110" s="4"/>
      <c r="DS110" s="4"/>
      <c r="DT110" s="4"/>
      <c r="DU110" s="4"/>
      <c r="DV110" s="4"/>
      <c r="DW110" s="4"/>
      <c r="DX110" s="4"/>
      <c r="DY110" s="4"/>
      <c r="DZ110" s="4"/>
      <c r="EA110" s="4"/>
      <c r="EB110" s="4"/>
      <c r="EC110" s="4"/>
      <c r="ED110" s="4"/>
      <c r="EE110" s="4"/>
      <c r="EF110" s="4"/>
      <c r="EG110" s="4"/>
      <c r="EH110" s="4"/>
      <c r="EI110" s="4"/>
      <c r="EJ110" s="4"/>
      <c r="EK110" s="4"/>
      <c r="EL110" s="4"/>
      <c r="EM110" s="4"/>
      <c r="EN110" s="4"/>
      <c r="EO110" s="4"/>
      <c r="EP110" s="4"/>
      <c r="EQ110" s="4"/>
      <c r="ER110" s="4"/>
      <c r="ES110" s="4"/>
      <c r="ET110" s="4"/>
      <c r="EU110" s="4"/>
      <c r="EV110" s="4"/>
      <c r="EW110" s="4"/>
      <c r="EX110" s="4"/>
      <c r="EY110" s="4"/>
      <c r="EZ110" s="4"/>
      <c r="FA110" s="4"/>
      <c r="FB110" s="4"/>
      <c r="FC110" s="4"/>
      <c r="FD110" s="4"/>
      <c r="FE110" s="4"/>
      <c r="FF110" s="4"/>
      <c r="FG110" s="4"/>
      <c r="FH110" s="4"/>
      <c r="FI110" s="4"/>
      <c r="FJ110" s="4"/>
      <c r="FK110" s="4"/>
      <c r="FL110" s="4"/>
      <c r="FM110" s="4"/>
      <c r="FN110" s="4"/>
      <c r="FO110" s="4"/>
      <c r="FP110" s="4"/>
      <c r="FQ110" s="4"/>
      <c r="FR110" s="4"/>
      <c r="FS110" s="4"/>
      <c r="FT110" s="4"/>
      <c r="FU110" s="4"/>
      <c r="FV110" s="4"/>
      <c r="FW110" s="4"/>
      <c r="FX110" s="4"/>
      <c r="FY110" s="4"/>
      <c r="FZ110" s="4"/>
      <c r="GA110" s="4"/>
      <c r="GB110" s="4"/>
      <c r="GC110" s="4"/>
      <c r="GD110" s="4"/>
      <c r="GE110" s="4"/>
      <c r="GF110" s="4"/>
      <c r="GG110" s="4"/>
    </row>
    <row r="111" spans="1:189" ht="13.2" outlineLevel="1">
      <c r="A111" s="116"/>
      <c r="B111" s="116"/>
      <c r="C111" s="116">
        <v>2</v>
      </c>
      <c r="D111" s="3" t="s">
        <v>1208</v>
      </c>
      <c r="E111" s="207"/>
      <c r="F111" s="180" t="s">
        <v>1179</v>
      </c>
      <c r="G111" s="180"/>
      <c r="H111" s="180"/>
      <c r="I111" s="180"/>
      <c r="J111" s="180"/>
      <c r="K111" s="180"/>
      <c r="L111" s="180"/>
      <c r="M111" s="181">
        <v>45110</v>
      </c>
      <c r="N111" s="181">
        <v>45169</v>
      </c>
      <c r="O111" s="182"/>
      <c r="P111" s="183">
        <v>44</v>
      </c>
      <c r="Q111" s="183">
        <v>0</v>
      </c>
      <c r="R111" s="184">
        <v>44</v>
      </c>
      <c r="S111" s="184">
        <v>0</v>
      </c>
      <c r="T111" s="181"/>
      <c r="U111" s="181"/>
      <c r="V111" s="185"/>
      <c r="W111" s="186">
        <v>0</v>
      </c>
      <c r="X111" s="187">
        <v>1</v>
      </c>
      <c r="Y111" s="182"/>
      <c r="Z111" s="188"/>
      <c r="AA111" s="97">
        <v>0</v>
      </c>
      <c r="AB111" s="189">
        <v>0</v>
      </c>
      <c r="AC111" s="210"/>
      <c r="AD111" s="4"/>
      <c r="AE111" s="4"/>
      <c r="AF111" s="4"/>
      <c r="AG111" s="4"/>
      <c r="AH111" s="4" t="str">
        <f>"" &amp; TEXT(AB111,"#0.00%") &amp; " "</f>
        <v xml:space="preserve">0.00% </v>
      </c>
      <c r="AI111" s="4"/>
      <c r="AJ111" s="4"/>
      <c r="AK111" s="4"/>
      <c r="AL111" s="4"/>
      <c r="AM111" s="4"/>
      <c r="AN111" s="4"/>
      <c r="AO111" s="4"/>
      <c r="AP111" s="4" t="str">
        <f>"    " &amp; "Partner API" &amp; " " &amp; IF(M111="","",TEXT(M111,"M/D-")) &amp; IF(N111="","",TEXT(N111,"M/D")) &amp; " "</f>
        <v xml:space="preserve">    Partner API 7/3-8/31 </v>
      </c>
      <c r="AQ111" s="4"/>
      <c r="AR111" s="4"/>
      <c r="AS111" s="4"/>
      <c r="AT111" s="4"/>
      <c r="AU111" s="4"/>
      <c r="AV111" s="4"/>
      <c r="AW111" s="4"/>
      <c r="AX111" s="4"/>
      <c r="AY111" s="4"/>
      <c r="AZ111" s="4"/>
      <c r="BA111" s="4"/>
      <c r="BB111" s="4"/>
      <c r="BC111" s="4"/>
      <c r="BD111" s="4"/>
      <c r="BE111" s="4"/>
      <c r="BF111" s="4"/>
      <c r="BG111" s="4"/>
      <c r="BH111" s="4"/>
      <c r="BI111" s="4"/>
      <c r="BJ111" s="4"/>
      <c r="BK111" s="4"/>
      <c r="BL111" s="4"/>
      <c r="BM111" s="4"/>
      <c r="BN111" s="4"/>
      <c r="BO111" s="4"/>
      <c r="BP111" s="4"/>
      <c r="BQ111" s="4"/>
      <c r="BR111" s="4"/>
      <c r="BS111" s="4"/>
      <c r="BT111" s="4"/>
      <c r="BU111" s="4"/>
      <c r="BV111" s="4"/>
      <c r="BW111" s="4"/>
      <c r="BX111" s="4"/>
      <c r="BY111" s="4"/>
      <c r="BZ111" s="4"/>
      <c r="CA111" s="4"/>
      <c r="CB111" s="4"/>
      <c r="CC111" s="4"/>
      <c r="CD111" s="4"/>
      <c r="CE111" s="4"/>
      <c r="CF111" s="4"/>
      <c r="CG111" s="4"/>
      <c r="CH111" s="4"/>
      <c r="CI111" s="4"/>
      <c r="CJ111" s="4"/>
      <c r="CK111" s="4"/>
      <c r="CL111" s="4"/>
      <c r="CM111" s="4"/>
      <c r="CN111" s="4"/>
      <c r="CO111" s="4"/>
      <c r="CP111" s="4"/>
      <c r="CQ111" s="4"/>
      <c r="CR111" s="4"/>
      <c r="CS111" s="4"/>
      <c r="CT111" s="4"/>
      <c r="CU111" s="4"/>
      <c r="CV111" s="4"/>
      <c r="CW111" s="4"/>
      <c r="CX111" s="4"/>
      <c r="CY111" s="4"/>
      <c r="CZ111" s="4"/>
      <c r="DA111" s="4"/>
      <c r="DB111" s="4"/>
      <c r="DC111" s="4"/>
      <c r="DD111" s="4"/>
      <c r="DE111" s="4"/>
      <c r="DF111" s="4"/>
      <c r="DG111" s="4"/>
      <c r="DH111" s="4"/>
      <c r="DI111" s="4"/>
      <c r="DJ111" s="4"/>
      <c r="DK111" s="4"/>
      <c r="DL111" s="4"/>
      <c r="DM111" s="4"/>
      <c r="DN111" s="4"/>
      <c r="DO111" s="4"/>
      <c r="DP111" s="4"/>
      <c r="DQ111" s="4"/>
      <c r="DR111" s="4"/>
      <c r="DS111" s="4"/>
      <c r="DT111" s="4"/>
      <c r="DU111" s="4"/>
      <c r="DV111" s="4"/>
      <c r="DW111" s="4"/>
      <c r="DX111" s="4"/>
      <c r="DY111" s="4"/>
      <c r="DZ111" s="4"/>
      <c r="EA111" s="4"/>
      <c r="EB111" s="4"/>
      <c r="EC111" s="4"/>
      <c r="ED111" s="4"/>
      <c r="EE111" s="4"/>
      <c r="EF111" s="4"/>
      <c r="EG111" s="4"/>
      <c r="EH111" s="4"/>
      <c r="EI111" s="4"/>
      <c r="EJ111" s="4"/>
      <c r="EK111" s="4"/>
      <c r="EL111" s="4"/>
      <c r="EM111" s="4"/>
      <c r="EN111" s="4"/>
      <c r="EO111" s="4"/>
      <c r="EP111" s="4"/>
      <c r="EQ111" s="4"/>
      <c r="ER111" s="4"/>
      <c r="ES111" s="4"/>
      <c r="ET111" s="4"/>
      <c r="EU111" s="4"/>
      <c r="EV111" s="4"/>
      <c r="EW111" s="4"/>
      <c r="EX111" s="4"/>
      <c r="EY111" s="4"/>
      <c r="EZ111" s="4"/>
      <c r="FA111" s="4"/>
      <c r="FB111" s="4"/>
      <c r="FC111" s="4"/>
      <c r="FD111" s="4"/>
      <c r="FE111" s="4"/>
      <c r="FF111" s="4"/>
      <c r="FG111" s="4"/>
      <c r="FH111" s="4"/>
      <c r="FI111" s="4"/>
      <c r="FJ111" s="4"/>
      <c r="FK111" s="4"/>
      <c r="FL111" s="4"/>
      <c r="FM111" s="4"/>
      <c r="FN111" s="4"/>
      <c r="FO111" s="4"/>
      <c r="FP111" s="4"/>
      <c r="FQ111" s="4"/>
      <c r="FR111" s="4"/>
      <c r="FS111" s="4"/>
      <c r="FT111" s="4"/>
      <c r="FU111" s="4"/>
      <c r="FV111" s="4"/>
      <c r="FW111" s="4"/>
      <c r="FX111" s="4"/>
      <c r="FY111" s="4"/>
      <c r="FZ111" s="4"/>
      <c r="GA111" s="4"/>
      <c r="GB111" s="4"/>
      <c r="GC111" s="4"/>
      <c r="GD111" s="4"/>
      <c r="GE111" s="4"/>
      <c r="GF111" s="4"/>
      <c r="GG111" s="4"/>
    </row>
    <row r="112" spans="1:189" outlineLevel="1">
      <c r="A112" s="116"/>
      <c r="B112" s="116"/>
      <c r="C112" s="116">
        <v>2</v>
      </c>
      <c r="D112" s="3" t="s">
        <v>1209</v>
      </c>
      <c r="E112" s="180"/>
      <c r="F112" s="180" t="s">
        <v>1040</v>
      </c>
      <c r="G112" s="180"/>
      <c r="H112" s="180"/>
      <c r="I112" s="180"/>
      <c r="J112" s="180"/>
      <c r="K112" s="180"/>
      <c r="L112" s="180"/>
      <c r="M112" s="181">
        <v>45170</v>
      </c>
      <c r="N112" s="181">
        <v>45196</v>
      </c>
      <c r="O112" s="182"/>
      <c r="P112" s="183">
        <v>19</v>
      </c>
      <c r="Q112" s="183">
        <v>0</v>
      </c>
      <c r="R112" s="184">
        <v>19</v>
      </c>
      <c r="S112" s="184">
        <v>0</v>
      </c>
      <c r="T112" s="181"/>
      <c r="U112" s="181"/>
      <c r="V112" s="185"/>
      <c r="W112" s="186">
        <v>0</v>
      </c>
      <c r="X112" s="187">
        <v>1</v>
      </c>
      <c r="Y112" s="182"/>
      <c r="Z112" s="188"/>
      <c r="AA112" s="97">
        <v>0</v>
      </c>
      <c r="AB112" s="189">
        <v>0</v>
      </c>
      <c r="AC112" s="210"/>
      <c r="AD112" s="4"/>
      <c r="AE112" s="4"/>
      <c r="AF112" s="4"/>
      <c r="AG112" s="4"/>
      <c r="AH112" s="4"/>
      <c r="AI112" s="4"/>
      <c r="AJ112" s="4"/>
      <c r="AK112" s="4"/>
      <c r="AL112" s="4"/>
      <c r="AM112" s="4"/>
      <c r="AN112" s="4"/>
      <c r="AO112" s="4"/>
      <c r="AP112" s="4" t="str">
        <f>"    " &amp; TEXT(AB112,"#0.00%") &amp; " "</f>
        <v xml:space="preserve">    0.00% </v>
      </c>
      <c r="AQ112" s="4"/>
      <c r="AR112" s="4"/>
      <c r="AS112" s="4"/>
      <c r="AT112" s="4" t="str">
        <f>"   " &amp; "Test in TB" &amp; " " &amp; IF(M112="","",TEXT(M112,"M/D-")) &amp; IF(N112="","",TEXT(N112,"M/D")) &amp; " "</f>
        <v xml:space="preserve">   Test in TB 9/1-9/27 </v>
      </c>
      <c r="AU112" s="4"/>
      <c r="AV112" s="4"/>
      <c r="AW112" s="4"/>
      <c r="AX112" s="4"/>
      <c r="AY112" s="4"/>
      <c r="AZ112" s="4"/>
      <c r="BA112" s="4"/>
      <c r="BB112" s="4"/>
      <c r="BC112" s="4"/>
      <c r="BD112" s="4"/>
      <c r="BE112" s="4"/>
      <c r="BF112" s="4"/>
      <c r="BG112" s="4"/>
      <c r="BH112" s="4"/>
      <c r="BI112" s="4"/>
      <c r="BJ112" s="4"/>
      <c r="BK112" s="4"/>
      <c r="BL112" s="4"/>
      <c r="BM112" s="4"/>
      <c r="BN112" s="4"/>
      <c r="BO112" s="4"/>
      <c r="BP112" s="4"/>
      <c r="BQ112" s="4"/>
      <c r="BR112" s="4"/>
      <c r="BS112" s="4"/>
      <c r="BT112" s="4"/>
      <c r="BU112" s="4"/>
      <c r="BV112" s="4"/>
      <c r="BW112" s="4"/>
      <c r="BX112" s="4"/>
      <c r="BY112" s="4"/>
      <c r="BZ112" s="4"/>
      <c r="CA112" s="4"/>
      <c r="CB112" s="4"/>
      <c r="CC112" s="4"/>
      <c r="CD112" s="4"/>
      <c r="CE112" s="4"/>
      <c r="CF112" s="4"/>
      <c r="CG112" s="4"/>
      <c r="CH112" s="4"/>
      <c r="CI112" s="4"/>
      <c r="CJ112" s="4"/>
      <c r="CK112" s="4"/>
      <c r="CL112" s="4"/>
      <c r="CM112" s="4"/>
      <c r="CN112" s="4"/>
      <c r="CO112" s="4"/>
      <c r="CP112" s="4"/>
      <c r="CQ112" s="4"/>
      <c r="CR112" s="4"/>
      <c r="CS112" s="4"/>
      <c r="CT112" s="4"/>
      <c r="CU112" s="4"/>
      <c r="CV112" s="4"/>
      <c r="CW112" s="4"/>
      <c r="CX112" s="4"/>
      <c r="CY112" s="4"/>
      <c r="CZ112" s="4"/>
      <c r="DA112" s="4"/>
      <c r="DB112" s="4"/>
      <c r="DC112" s="4"/>
      <c r="DD112" s="4"/>
      <c r="DE112" s="4"/>
      <c r="DF112" s="4"/>
      <c r="DG112" s="4"/>
      <c r="DH112" s="4"/>
      <c r="DI112" s="4"/>
      <c r="DJ112" s="4"/>
      <c r="DK112" s="4"/>
      <c r="DL112" s="4"/>
      <c r="DM112" s="4"/>
      <c r="DN112" s="4"/>
      <c r="DO112" s="4"/>
      <c r="DP112" s="4"/>
      <c r="DQ112" s="4"/>
      <c r="DR112" s="4"/>
      <c r="DS112" s="4"/>
      <c r="DT112" s="4"/>
      <c r="DU112" s="4"/>
      <c r="DV112" s="4"/>
      <c r="DW112" s="4"/>
      <c r="DX112" s="4"/>
      <c r="DY112" s="4"/>
      <c r="DZ112" s="4"/>
      <c r="EA112" s="4"/>
      <c r="EB112" s="4"/>
      <c r="EC112" s="4"/>
      <c r="ED112" s="4"/>
      <c r="EE112" s="4"/>
      <c r="EF112" s="4"/>
      <c r="EG112" s="4"/>
      <c r="EH112" s="4"/>
      <c r="EI112" s="4"/>
      <c r="EJ112" s="4"/>
      <c r="EK112" s="4"/>
      <c r="EL112" s="4"/>
      <c r="EM112" s="4"/>
      <c r="EN112" s="4"/>
      <c r="EO112" s="4"/>
      <c r="EP112" s="4"/>
      <c r="EQ112" s="4"/>
      <c r="ER112" s="4"/>
      <c r="ES112" s="4"/>
      <c r="ET112" s="4"/>
      <c r="EU112" s="4"/>
      <c r="EV112" s="4"/>
      <c r="EW112" s="4"/>
      <c r="EX112" s="4"/>
      <c r="EY112" s="4"/>
      <c r="EZ112" s="4"/>
      <c r="FA112" s="4"/>
      <c r="FB112" s="4"/>
      <c r="FC112" s="4"/>
      <c r="FD112" s="4"/>
      <c r="FE112" s="4"/>
      <c r="FF112" s="4"/>
      <c r="FG112" s="4"/>
      <c r="FH112" s="4"/>
      <c r="FI112" s="4"/>
      <c r="FJ112" s="4"/>
      <c r="FK112" s="4"/>
      <c r="FL112" s="4"/>
      <c r="FM112" s="4"/>
      <c r="FN112" s="4"/>
      <c r="FO112" s="4"/>
      <c r="FP112" s="4"/>
      <c r="FQ112" s="4"/>
      <c r="FR112" s="4"/>
      <c r="FS112" s="4"/>
      <c r="FT112" s="4"/>
      <c r="FU112" s="4"/>
      <c r="FV112" s="4"/>
      <c r="FW112" s="4"/>
      <c r="FX112" s="4"/>
      <c r="FY112" s="4"/>
      <c r="FZ112" s="4"/>
      <c r="GA112" s="4"/>
      <c r="GB112" s="4"/>
      <c r="GC112" s="4"/>
      <c r="GD112" s="4"/>
      <c r="GE112" s="4"/>
      <c r="GF112" s="4"/>
      <c r="GG112" s="4"/>
    </row>
    <row r="113" spans="1:189" outlineLevel="1">
      <c r="A113" s="116"/>
      <c r="B113" s="116"/>
      <c r="C113" s="116">
        <v>2</v>
      </c>
      <c r="D113" s="3" t="s">
        <v>1210</v>
      </c>
      <c r="E113" s="180"/>
      <c r="F113" s="180" t="s">
        <v>1039</v>
      </c>
      <c r="G113" s="180"/>
      <c r="H113" s="180"/>
      <c r="I113" s="180"/>
      <c r="J113" s="180"/>
      <c r="K113" s="180"/>
      <c r="L113" s="180"/>
      <c r="M113" s="181">
        <v>45203</v>
      </c>
      <c r="N113" s="181">
        <v>45219</v>
      </c>
      <c r="O113" s="182"/>
      <c r="P113" s="183">
        <v>13</v>
      </c>
      <c r="Q113" s="183">
        <v>0</v>
      </c>
      <c r="R113" s="184">
        <v>13</v>
      </c>
      <c r="S113" s="184">
        <v>0</v>
      </c>
      <c r="T113" s="181"/>
      <c r="U113" s="181"/>
      <c r="V113" s="185"/>
      <c r="W113" s="186">
        <v>0</v>
      </c>
      <c r="X113" s="187">
        <v>1</v>
      </c>
      <c r="Y113" s="182"/>
      <c r="Z113" s="188"/>
      <c r="AA113" s="97">
        <v>0</v>
      </c>
      <c r="AB113" s="189">
        <v>0</v>
      </c>
      <c r="AC113" s="210"/>
      <c r="AD113" s="4"/>
      <c r="AE113" s="4"/>
      <c r="AF113" s="4"/>
      <c r="AG113" s="4"/>
      <c r="AH113" s="4"/>
      <c r="AI113" s="4"/>
      <c r="AJ113" s="4"/>
      <c r="AK113" s="4"/>
      <c r="AL113" s="4"/>
      <c r="AM113" s="4"/>
      <c r="AN113" s="4"/>
      <c r="AO113" s="4"/>
      <c r="AP113" s="4"/>
      <c r="AQ113" s="4"/>
      <c r="AR113" s="4"/>
      <c r="AS113" s="4"/>
      <c r="AT113" s="4"/>
      <c r="AU113" s="4" t="str">
        <f>"  " &amp; TEXT(AB113,"#0.00%") &amp; " " &amp; "Test in Live" &amp; " " &amp; IF(M113="","",TEXT(M113,"M/D-")) &amp; IF(N113="","",TEXT(N113,"M/D")) &amp; " "</f>
        <v xml:space="preserve">  0.00% Test in Live 10/4-10/20 </v>
      </c>
      <c r="AV113" s="4"/>
      <c r="AW113" s="4"/>
      <c r="AX113" s="4"/>
      <c r="AY113" s="4"/>
      <c r="AZ113" s="4"/>
      <c r="BA113" s="4"/>
      <c r="BB113" s="4"/>
      <c r="BC113" s="4"/>
      <c r="BD113" s="4"/>
      <c r="BE113" s="4"/>
      <c r="BF113" s="4"/>
      <c r="BG113" s="4"/>
      <c r="BH113" s="4"/>
      <c r="BI113" s="4"/>
      <c r="BJ113" s="4"/>
      <c r="BK113" s="4"/>
      <c r="BL113" s="4"/>
      <c r="BM113" s="4"/>
      <c r="BN113" s="4"/>
      <c r="BO113" s="4"/>
      <c r="BP113" s="4"/>
      <c r="BQ113" s="4"/>
      <c r="BR113" s="4"/>
      <c r="BS113" s="4"/>
      <c r="BT113" s="4"/>
      <c r="BU113" s="4"/>
      <c r="BV113" s="4"/>
      <c r="BW113" s="4"/>
      <c r="BX113" s="4"/>
      <c r="BY113" s="4"/>
      <c r="BZ113" s="4"/>
      <c r="CA113" s="4"/>
      <c r="CB113" s="4"/>
      <c r="CC113" s="4"/>
      <c r="CD113" s="4"/>
      <c r="CE113" s="4"/>
      <c r="CF113" s="4"/>
      <c r="CG113" s="4"/>
      <c r="CH113" s="4"/>
      <c r="CI113" s="4"/>
      <c r="CJ113" s="4"/>
      <c r="CK113" s="4"/>
      <c r="CL113" s="4"/>
      <c r="CM113" s="4"/>
      <c r="CN113" s="4"/>
      <c r="CO113" s="4"/>
      <c r="CP113" s="4"/>
      <c r="CQ113" s="4"/>
      <c r="CR113" s="4"/>
      <c r="CS113" s="4"/>
      <c r="CT113" s="4"/>
      <c r="CU113" s="4"/>
      <c r="CV113" s="4"/>
      <c r="CW113" s="4"/>
      <c r="CX113" s="4"/>
      <c r="CY113" s="4"/>
      <c r="CZ113" s="4"/>
      <c r="DA113" s="4"/>
      <c r="DB113" s="4"/>
      <c r="DC113" s="4"/>
      <c r="DD113" s="4"/>
      <c r="DE113" s="4"/>
      <c r="DF113" s="4"/>
      <c r="DG113" s="4"/>
      <c r="DH113" s="4"/>
      <c r="DI113" s="4"/>
      <c r="DJ113" s="4"/>
      <c r="DK113" s="4"/>
      <c r="DL113" s="4"/>
      <c r="DM113" s="4"/>
      <c r="DN113" s="4"/>
      <c r="DO113" s="4"/>
      <c r="DP113" s="4"/>
      <c r="DQ113" s="4"/>
      <c r="DR113" s="4"/>
      <c r="DS113" s="4"/>
      <c r="DT113" s="4"/>
      <c r="DU113" s="4"/>
      <c r="DV113" s="4"/>
      <c r="DW113" s="4"/>
      <c r="DX113" s="4"/>
      <c r="DY113" s="4"/>
      <c r="DZ113" s="4"/>
      <c r="EA113" s="4"/>
      <c r="EB113" s="4"/>
      <c r="EC113" s="4"/>
      <c r="ED113" s="4"/>
      <c r="EE113" s="4"/>
      <c r="EF113" s="4"/>
      <c r="EG113" s="4"/>
      <c r="EH113" s="4"/>
      <c r="EI113" s="4"/>
      <c r="EJ113" s="4"/>
      <c r="EK113" s="4"/>
      <c r="EL113" s="4"/>
      <c r="EM113" s="4"/>
      <c r="EN113" s="4"/>
      <c r="EO113" s="4"/>
      <c r="EP113" s="4"/>
      <c r="EQ113" s="4"/>
      <c r="ER113" s="4"/>
      <c r="ES113" s="4"/>
      <c r="ET113" s="4"/>
      <c r="EU113" s="4"/>
      <c r="EV113" s="4"/>
      <c r="EW113" s="4"/>
      <c r="EX113" s="4"/>
      <c r="EY113" s="4"/>
      <c r="EZ113" s="4"/>
      <c r="FA113" s="4"/>
      <c r="FB113" s="4"/>
      <c r="FC113" s="4"/>
      <c r="FD113" s="4"/>
      <c r="FE113" s="4"/>
      <c r="FF113" s="4"/>
      <c r="FG113" s="4"/>
      <c r="FH113" s="4"/>
      <c r="FI113" s="4"/>
      <c r="FJ113" s="4"/>
      <c r="FK113" s="4"/>
      <c r="FL113" s="4"/>
      <c r="FM113" s="4"/>
      <c r="FN113" s="4"/>
      <c r="FO113" s="4"/>
      <c r="FP113" s="4"/>
      <c r="FQ113" s="4"/>
      <c r="FR113" s="4"/>
      <c r="FS113" s="4"/>
      <c r="FT113" s="4"/>
      <c r="FU113" s="4"/>
      <c r="FV113" s="4"/>
      <c r="FW113" s="4"/>
      <c r="FX113" s="4"/>
      <c r="FY113" s="4"/>
      <c r="FZ113" s="4"/>
      <c r="GA113" s="4"/>
      <c r="GB113" s="4"/>
      <c r="GC113" s="4"/>
      <c r="GD113" s="4"/>
      <c r="GE113" s="4"/>
      <c r="GF113" s="4"/>
      <c r="GG113" s="4"/>
    </row>
    <row r="114" spans="1:189" outlineLevel="1">
      <c r="A114" s="116"/>
      <c r="B114" s="116"/>
      <c r="C114" s="116">
        <v>2</v>
      </c>
      <c r="D114" s="3" t="s">
        <v>1211</v>
      </c>
      <c r="E114" s="180"/>
      <c r="F114" s="180" t="s">
        <v>1041</v>
      </c>
      <c r="G114" s="180"/>
      <c r="H114" s="180"/>
      <c r="I114" s="180"/>
      <c r="J114" s="180"/>
      <c r="K114" s="180"/>
      <c r="L114" s="180"/>
      <c r="M114" s="181">
        <v>45222</v>
      </c>
      <c r="N114" s="181">
        <v>45230</v>
      </c>
      <c r="O114" s="182"/>
      <c r="P114" s="183">
        <v>7</v>
      </c>
      <c r="Q114" s="183">
        <v>0</v>
      </c>
      <c r="R114" s="184">
        <v>7</v>
      </c>
      <c r="S114" s="184">
        <v>0</v>
      </c>
      <c r="T114" s="181"/>
      <c r="U114" s="181"/>
      <c r="V114" s="185"/>
      <c r="W114" s="186">
        <v>0</v>
      </c>
      <c r="X114" s="187">
        <v>1</v>
      </c>
      <c r="Y114" s="182"/>
      <c r="Z114" s="188"/>
      <c r="AA114" s="97">
        <v>0</v>
      </c>
      <c r="AB114" s="189">
        <v>0</v>
      </c>
      <c r="AC114" s="210"/>
      <c r="AD114" s="4"/>
      <c r="AE114" s="4"/>
      <c r="AF114" s="4"/>
      <c r="AG114" s="4"/>
      <c r="AH114" s="4"/>
      <c r="AI114" s="4"/>
      <c r="AJ114" s="4"/>
      <c r="AK114" s="4"/>
      <c r="AL114" s="4"/>
      <c r="AM114" s="4"/>
      <c r="AN114" s="4"/>
      <c r="AO114" s="4"/>
      <c r="AP114" s="4"/>
      <c r="AQ114" s="4"/>
      <c r="AR114" s="4"/>
      <c r="AS114" s="4"/>
      <c r="AT114" s="4"/>
      <c r="AU114" s="4"/>
      <c r="AV114" s="4"/>
      <c r="AW114" s="4"/>
      <c r="AX114" s="4" t="str">
        <f>"" &amp; TEXT(AB114,"#0.00%") &amp; " " &amp; "Service Launch" &amp; " " &amp; IF(M114="","",TEXT(M114,"M/D-")) &amp; IF(N114="","",TEXT(N114,"M/D")) &amp; " "</f>
        <v xml:space="preserve">0.00% Service Launch 10/23-10/31 </v>
      </c>
      <c r="AY114" s="4"/>
      <c r="AZ114" s="4"/>
      <c r="BA114" s="4"/>
      <c r="BB114" s="4"/>
      <c r="BC114" s="4"/>
      <c r="BD114" s="4"/>
      <c r="BE114" s="4"/>
      <c r="BF114" s="4"/>
      <c r="BG114" s="4"/>
      <c r="BH114" s="4"/>
      <c r="BI114" s="4"/>
      <c r="BJ114" s="4"/>
      <c r="BK114" s="4"/>
      <c r="BL114" s="4"/>
      <c r="BM114" s="4"/>
      <c r="BN114" s="4"/>
      <c r="BO114" s="4"/>
      <c r="BP114" s="4"/>
      <c r="BQ114" s="4"/>
      <c r="BR114" s="4"/>
      <c r="BS114" s="4"/>
      <c r="BT114" s="4"/>
      <c r="BU114" s="4"/>
      <c r="BV114" s="4"/>
      <c r="BW114" s="4"/>
      <c r="BX114" s="4"/>
      <c r="BY114" s="4"/>
      <c r="BZ114" s="4"/>
      <c r="CA114" s="4"/>
      <c r="CB114" s="4"/>
      <c r="CC114" s="4"/>
      <c r="CD114" s="4"/>
      <c r="CE114" s="4"/>
      <c r="CF114" s="4"/>
      <c r="CG114" s="4"/>
      <c r="CH114" s="4"/>
      <c r="CI114" s="4"/>
      <c r="CJ114" s="4"/>
      <c r="CK114" s="4"/>
      <c r="CL114" s="4"/>
      <c r="CM114" s="4"/>
      <c r="CN114" s="4"/>
      <c r="CO114" s="4"/>
      <c r="CP114" s="4"/>
      <c r="CQ114" s="4"/>
      <c r="CR114" s="4"/>
      <c r="CS114" s="4"/>
      <c r="CT114" s="4"/>
      <c r="CU114" s="4"/>
      <c r="CV114" s="4"/>
      <c r="CW114" s="4"/>
      <c r="CX114" s="4"/>
      <c r="CY114" s="4"/>
      <c r="CZ114" s="4"/>
      <c r="DA114" s="4"/>
      <c r="DB114" s="4"/>
      <c r="DC114" s="4"/>
      <c r="DD114" s="4"/>
      <c r="DE114" s="4"/>
      <c r="DF114" s="4"/>
      <c r="DG114" s="4"/>
      <c r="DH114" s="4"/>
      <c r="DI114" s="4"/>
      <c r="DJ114" s="4"/>
      <c r="DK114" s="4"/>
      <c r="DL114" s="4"/>
      <c r="DM114" s="4"/>
      <c r="DN114" s="4"/>
      <c r="DO114" s="4"/>
      <c r="DP114" s="4"/>
      <c r="DQ114" s="4"/>
      <c r="DR114" s="4"/>
      <c r="DS114" s="4"/>
      <c r="DT114" s="4"/>
      <c r="DU114" s="4"/>
      <c r="DV114" s="4"/>
      <c r="DW114" s="4"/>
      <c r="DX114" s="4"/>
      <c r="DY114" s="4"/>
      <c r="DZ114" s="4"/>
      <c r="EA114" s="4"/>
      <c r="EB114" s="4"/>
      <c r="EC114" s="4"/>
      <c r="ED114" s="4"/>
      <c r="EE114" s="4"/>
      <c r="EF114" s="4"/>
      <c r="EG114" s="4"/>
      <c r="EH114" s="4"/>
      <c r="EI114" s="4"/>
      <c r="EJ114" s="4"/>
      <c r="EK114" s="4"/>
      <c r="EL114" s="4"/>
      <c r="EM114" s="4"/>
      <c r="EN114" s="4"/>
      <c r="EO114" s="4"/>
      <c r="EP114" s="4"/>
      <c r="EQ114" s="4"/>
      <c r="ER114" s="4"/>
      <c r="ES114" s="4"/>
      <c r="ET114" s="4"/>
      <c r="EU114" s="4"/>
      <c r="EV114" s="4"/>
      <c r="EW114" s="4"/>
      <c r="EX114" s="4"/>
      <c r="EY114" s="4"/>
      <c r="EZ114" s="4"/>
      <c r="FA114" s="4"/>
      <c r="FB114" s="4"/>
      <c r="FC114" s="4"/>
      <c r="FD114" s="4"/>
      <c r="FE114" s="4"/>
      <c r="FF114" s="4"/>
      <c r="FG114" s="4"/>
      <c r="FH114" s="4"/>
      <c r="FI114" s="4"/>
      <c r="FJ114" s="4"/>
      <c r="FK114" s="4"/>
      <c r="FL114" s="4"/>
      <c r="FM114" s="4"/>
      <c r="FN114" s="4"/>
      <c r="FO114" s="4"/>
      <c r="FP114" s="4"/>
      <c r="FQ114" s="4"/>
      <c r="FR114" s="4"/>
      <c r="FS114" s="4"/>
      <c r="FT114" s="4"/>
      <c r="FU114" s="4"/>
      <c r="FV114" s="4"/>
      <c r="FW114" s="4"/>
      <c r="FX114" s="4"/>
      <c r="FY114" s="4"/>
      <c r="FZ114" s="4"/>
      <c r="GA114" s="4"/>
      <c r="GB114" s="4"/>
      <c r="GC114" s="4"/>
      <c r="GD114" s="4"/>
      <c r="GE114" s="4"/>
      <c r="GF114" s="4"/>
      <c r="GG114" s="4"/>
    </row>
    <row r="115" spans="1:189" ht="13.2" outlineLevel="1">
      <c r="A115" s="116"/>
      <c r="B115" s="116"/>
      <c r="C115" s="116">
        <v>0</v>
      </c>
      <c r="D115" s="3"/>
      <c r="E115" s="207"/>
      <c r="F115" s="180"/>
      <c r="G115" s="180"/>
      <c r="H115" s="180"/>
      <c r="I115" s="180"/>
      <c r="J115" s="180"/>
      <c r="K115" s="180"/>
      <c r="L115" s="180"/>
      <c r="M115" s="181"/>
      <c r="N115" s="181"/>
      <c r="O115" s="182"/>
      <c r="P115" s="183"/>
      <c r="Q115" s="183"/>
      <c r="R115" s="184">
        <v>0</v>
      </c>
      <c r="S115" s="184">
        <v>0</v>
      </c>
      <c r="T115" s="181"/>
      <c r="U115" s="181"/>
      <c r="V115" s="185"/>
      <c r="W115" s="186">
        <v>0</v>
      </c>
      <c r="X115" s="187"/>
      <c r="Y115" s="182"/>
      <c r="Z115" s="188"/>
      <c r="AA115" s="97"/>
      <c r="AB115" s="189"/>
      <c r="AC115" s="210"/>
      <c r="AD115" s="4"/>
      <c r="AE115" s="4"/>
      <c r="AF115" s="4"/>
      <c r="AG115" s="4"/>
      <c r="AH115" s="4"/>
      <c r="AI115" s="4"/>
      <c r="AJ115" s="4"/>
      <c r="AK115" s="4"/>
      <c r="AL115" s="4"/>
      <c r="AM115" s="4"/>
      <c r="AN115" s="4"/>
      <c r="AO115" s="4"/>
      <c r="AP115" s="4"/>
      <c r="AQ115" s="4"/>
      <c r="AR115" s="4"/>
      <c r="AS115" s="4"/>
      <c r="AT115" s="4"/>
      <c r="AU115" s="4"/>
      <c r="AV115" s="4"/>
      <c r="AW115" s="4"/>
      <c r="AX115" s="4"/>
      <c r="AY115" s="4"/>
      <c r="AZ115" s="4"/>
      <c r="BA115" s="4"/>
      <c r="BB115" s="4"/>
      <c r="BC115" s="4"/>
      <c r="BD115" s="4"/>
      <c r="BE115" s="4"/>
      <c r="BF115" s="4"/>
      <c r="BG115" s="4"/>
      <c r="BH115" s="4"/>
      <c r="BI115" s="4"/>
      <c r="BJ115" s="4"/>
      <c r="BK115" s="4"/>
      <c r="BL115" s="4"/>
      <c r="BM115" s="4"/>
      <c r="BN115" s="4"/>
      <c r="BO115" s="4"/>
      <c r="BP115" s="4"/>
      <c r="BQ115" s="4"/>
      <c r="BR115" s="4"/>
      <c r="BS115" s="4"/>
      <c r="BT115" s="4"/>
      <c r="BU115" s="4"/>
      <c r="BV115" s="4"/>
      <c r="BW115" s="4"/>
      <c r="BX115" s="4"/>
      <c r="BY115" s="4"/>
      <c r="BZ115" s="4"/>
      <c r="CA115" s="4"/>
      <c r="CB115" s="4"/>
      <c r="CC115" s="4"/>
      <c r="CD115" s="4"/>
      <c r="CE115" s="4"/>
      <c r="CF115" s="4"/>
      <c r="CG115" s="4"/>
      <c r="CH115" s="4"/>
      <c r="CI115" s="4"/>
      <c r="CJ115" s="4"/>
      <c r="CK115" s="4"/>
      <c r="CL115" s="4"/>
      <c r="CM115" s="4"/>
      <c r="CN115" s="4"/>
      <c r="CO115" s="4"/>
      <c r="CP115" s="4"/>
      <c r="CQ115" s="4"/>
      <c r="CR115" s="4"/>
      <c r="CS115" s="4"/>
      <c r="CT115" s="4"/>
      <c r="CU115" s="4"/>
      <c r="CV115" s="4"/>
      <c r="CW115" s="4"/>
      <c r="CX115" s="4"/>
      <c r="CY115" s="4"/>
      <c r="CZ115" s="4"/>
      <c r="DA115" s="4"/>
      <c r="DB115" s="4"/>
      <c r="DC115" s="4"/>
      <c r="DD115" s="4"/>
      <c r="DE115" s="4"/>
      <c r="DF115" s="4"/>
      <c r="DG115" s="4"/>
      <c r="DH115" s="4"/>
      <c r="DI115" s="4"/>
      <c r="DJ115" s="4"/>
      <c r="DK115" s="4"/>
      <c r="DL115" s="4"/>
      <c r="DM115" s="4"/>
      <c r="DN115" s="4"/>
      <c r="DO115" s="4"/>
      <c r="DP115" s="4"/>
      <c r="DQ115" s="4"/>
      <c r="DR115" s="4"/>
      <c r="DS115" s="4"/>
      <c r="DT115" s="4"/>
      <c r="DU115" s="4"/>
      <c r="DV115" s="4"/>
      <c r="DW115" s="4"/>
      <c r="DX115" s="4"/>
      <c r="DY115" s="4"/>
      <c r="DZ115" s="4"/>
      <c r="EA115" s="4"/>
      <c r="EB115" s="4"/>
      <c r="EC115" s="4"/>
      <c r="ED115" s="4"/>
      <c r="EE115" s="4"/>
      <c r="EF115" s="4"/>
      <c r="EG115" s="4"/>
      <c r="EH115" s="4"/>
      <c r="EI115" s="4"/>
      <c r="EJ115" s="4"/>
      <c r="EK115" s="4"/>
      <c r="EL115" s="4"/>
      <c r="EM115" s="4"/>
      <c r="EN115" s="4"/>
      <c r="EO115" s="4"/>
      <c r="EP115" s="4"/>
      <c r="EQ115" s="4"/>
      <c r="ER115" s="4"/>
      <c r="ES115" s="4"/>
      <c r="ET115" s="4"/>
      <c r="EU115" s="4"/>
      <c r="EV115" s="4"/>
      <c r="EW115" s="4"/>
      <c r="EX115" s="4"/>
      <c r="EY115" s="4"/>
      <c r="EZ115" s="4"/>
      <c r="FA115" s="4"/>
      <c r="FB115" s="4"/>
      <c r="FC115" s="4"/>
      <c r="FD115" s="4"/>
      <c r="FE115" s="4"/>
      <c r="FF115" s="4"/>
      <c r="FG115" s="4"/>
      <c r="FH115" s="4"/>
      <c r="FI115" s="4"/>
      <c r="FJ115" s="4"/>
      <c r="FK115" s="4"/>
      <c r="FL115" s="4"/>
      <c r="FM115" s="4"/>
      <c r="FN115" s="4"/>
      <c r="FO115" s="4"/>
      <c r="FP115" s="4"/>
      <c r="FQ115" s="4"/>
      <c r="FR115" s="4"/>
      <c r="FS115" s="4"/>
      <c r="FT115" s="4"/>
      <c r="FU115" s="4"/>
      <c r="FV115" s="4"/>
      <c r="FW115" s="4"/>
      <c r="FX115" s="4"/>
      <c r="FY115" s="4"/>
      <c r="FZ115" s="4"/>
      <c r="GA115" s="4"/>
      <c r="GB115" s="4"/>
      <c r="GC115" s="4"/>
      <c r="GD115" s="4"/>
      <c r="GE115" s="4"/>
      <c r="GF115" s="4"/>
      <c r="GG115" s="4"/>
    </row>
    <row r="116" spans="1:189">
      <c r="A116" s="116"/>
      <c r="B116" s="116" t="s">
        <v>983</v>
      </c>
      <c r="C116" s="116">
        <v>1</v>
      </c>
      <c r="D116" s="3" t="s">
        <v>1189</v>
      </c>
      <c r="E116" s="180" t="s">
        <v>1187</v>
      </c>
      <c r="F116" s="180"/>
      <c r="G116" s="180"/>
      <c r="H116" s="180"/>
      <c r="I116" s="180"/>
      <c r="J116" s="180"/>
      <c r="K116" s="180"/>
      <c r="L116" s="180"/>
      <c r="M116" s="181">
        <v>45078</v>
      </c>
      <c r="N116" s="181">
        <v>45121</v>
      </c>
      <c r="O116" s="182"/>
      <c r="P116" s="183">
        <v>33</v>
      </c>
      <c r="Q116" s="183">
        <v>13</v>
      </c>
      <c r="R116" s="184">
        <v>32</v>
      </c>
      <c r="S116" s="184">
        <v>13</v>
      </c>
      <c r="T116" s="181"/>
      <c r="U116" s="181"/>
      <c r="V116" s="185">
        <v>0</v>
      </c>
      <c r="W116" s="186">
        <v>0</v>
      </c>
      <c r="X116" s="187"/>
      <c r="Y116" s="182"/>
      <c r="Z116" s="188"/>
      <c r="AA116" s="97">
        <v>0.39393939393939392</v>
      </c>
      <c r="AB116" s="189">
        <v>0.46666666666666662</v>
      </c>
      <c r="AC116" s="210"/>
      <c r="AD116" s="4"/>
      <c r="AE116" s="4"/>
      <c r="AF116" s="4" t="str">
        <f>"   " &amp; TEXT(AB116,"#0.00%") &amp; " "</f>
        <v xml:space="preserve">   46.67% </v>
      </c>
      <c r="AG116" s="4"/>
      <c r="AH116" s="4"/>
      <c r="AI116" s="4" t="str">
        <f>"     " &amp; "[2305-05] (B2B) Alipay API Integration" &amp; " " &amp; IF(M116="","",TEXT(M116,"M/D-")) &amp; IF(N116="","",TEXT(N116,"M/D")) &amp; " "</f>
        <v xml:space="preserve">     [2305-05] (B2B) Alipay API Integration 6/1-7/14 </v>
      </c>
      <c r="AJ116" s="4"/>
      <c r="AK116" s="4"/>
      <c r="AL116" s="4"/>
      <c r="AM116" s="4"/>
      <c r="AN116" s="4"/>
      <c r="AO116" s="4"/>
      <c r="AP116" s="4"/>
      <c r="AQ116" s="4"/>
      <c r="AR116" s="4"/>
      <c r="AS116" s="4"/>
      <c r="AT116" s="4"/>
      <c r="AU116" s="4"/>
      <c r="AV116" s="4"/>
      <c r="AW116" s="4"/>
      <c r="AX116" s="4"/>
      <c r="AY116" s="4"/>
      <c r="AZ116" s="4"/>
      <c r="BA116" s="4"/>
      <c r="BB116" s="4"/>
      <c r="BC116" s="4"/>
      <c r="BD116" s="4"/>
      <c r="BE116" s="4"/>
      <c r="BF116" s="4"/>
      <c r="BG116" s="4"/>
      <c r="BH116" s="4"/>
      <c r="BI116" s="4"/>
      <c r="BJ116" s="4"/>
      <c r="BK116" s="4"/>
      <c r="BL116" s="4"/>
      <c r="BM116" s="4"/>
      <c r="BN116" s="4"/>
      <c r="BO116" s="4"/>
      <c r="BP116" s="4"/>
      <c r="BQ116" s="4"/>
      <c r="BR116" s="4"/>
      <c r="BS116" s="4"/>
      <c r="BT116" s="4"/>
      <c r="BU116" s="4"/>
      <c r="BV116" s="4"/>
      <c r="BW116" s="4"/>
      <c r="BX116" s="4"/>
      <c r="BY116" s="4"/>
      <c r="BZ116" s="4"/>
      <c r="CA116" s="4"/>
      <c r="CB116" s="4"/>
      <c r="CC116" s="4"/>
      <c r="CD116" s="4"/>
      <c r="CE116" s="4"/>
      <c r="CF116" s="4"/>
      <c r="CG116" s="4"/>
      <c r="CH116" s="4"/>
      <c r="CI116" s="4"/>
      <c r="CJ116" s="4"/>
      <c r="CK116" s="4"/>
      <c r="CL116" s="4"/>
      <c r="CM116" s="4"/>
      <c r="CN116" s="4"/>
      <c r="CO116" s="4"/>
      <c r="CP116" s="4"/>
      <c r="CQ116" s="4"/>
      <c r="CR116" s="4"/>
      <c r="CS116" s="4"/>
      <c r="CT116" s="4"/>
      <c r="CU116" s="4"/>
      <c r="CV116" s="4"/>
      <c r="CW116" s="4"/>
      <c r="CX116" s="4"/>
      <c r="CY116" s="4"/>
      <c r="CZ116" s="4"/>
      <c r="DA116" s="4"/>
      <c r="DB116" s="4"/>
      <c r="DC116" s="4"/>
      <c r="DD116" s="4"/>
      <c r="DE116" s="4"/>
      <c r="DF116" s="4"/>
      <c r="DG116" s="4"/>
      <c r="DH116" s="4"/>
      <c r="DI116" s="4"/>
      <c r="DJ116" s="4"/>
      <c r="DK116" s="4"/>
      <c r="DL116" s="4"/>
      <c r="DM116" s="4"/>
      <c r="DN116" s="4"/>
      <c r="DO116" s="4"/>
      <c r="DP116" s="4"/>
      <c r="DQ116" s="4"/>
      <c r="DR116" s="4"/>
      <c r="DS116" s="4"/>
      <c r="DT116" s="4"/>
      <c r="DU116" s="4"/>
      <c r="DV116" s="4"/>
      <c r="DW116" s="4"/>
      <c r="DX116" s="4"/>
      <c r="DY116" s="4"/>
      <c r="DZ116" s="4"/>
      <c r="EA116" s="4"/>
      <c r="EB116" s="4"/>
      <c r="EC116" s="4"/>
      <c r="ED116" s="4"/>
      <c r="EE116" s="4"/>
      <c r="EF116" s="4"/>
      <c r="EG116" s="4"/>
      <c r="EH116" s="4"/>
      <c r="EI116" s="4"/>
      <c r="EJ116" s="4"/>
      <c r="EK116" s="4"/>
      <c r="EL116" s="4"/>
      <c r="EM116" s="4"/>
      <c r="EN116" s="4"/>
      <c r="EO116" s="4"/>
      <c r="EP116" s="4"/>
      <c r="EQ116" s="4"/>
      <c r="ER116" s="4"/>
      <c r="ES116" s="4"/>
      <c r="ET116" s="4"/>
      <c r="EU116" s="4"/>
      <c r="EV116" s="4"/>
      <c r="EW116" s="4"/>
      <c r="EX116" s="4"/>
      <c r="EY116" s="4"/>
      <c r="EZ116" s="4"/>
      <c r="FA116" s="4"/>
      <c r="FB116" s="4"/>
      <c r="FC116" s="4"/>
      <c r="FD116" s="4"/>
      <c r="FE116" s="4"/>
      <c r="FF116" s="4"/>
      <c r="FG116" s="4"/>
      <c r="FH116" s="4"/>
      <c r="FI116" s="4"/>
      <c r="FJ116" s="4"/>
      <c r="FK116" s="4"/>
      <c r="FL116" s="4"/>
      <c r="FM116" s="4"/>
      <c r="FN116" s="4"/>
      <c r="FO116" s="4"/>
      <c r="FP116" s="4"/>
      <c r="FQ116" s="4"/>
      <c r="FR116" s="4"/>
      <c r="FS116" s="4"/>
      <c r="FT116" s="4"/>
      <c r="FU116" s="4"/>
      <c r="FV116" s="4"/>
      <c r="FW116" s="4"/>
      <c r="FX116" s="4"/>
      <c r="FY116" s="4"/>
      <c r="FZ116" s="4"/>
      <c r="GA116" s="4"/>
      <c r="GB116" s="4"/>
      <c r="GC116" s="4"/>
      <c r="GD116" s="4"/>
      <c r="GE116" s="4"/>
      <c r="GF116" s="4"/>
      <c r="GG116" s="4"/>
    </row>
    <row r="117" spans="1:189" outlineLevel="1">
      <c r="A117" s="116"/>
      <c r="B117" s="116"/>
      <c r="C117" s="116">
        <v>2</v>
      </c>
      <c r="D117" s="3" t="s">
        <v>1190</v>
      </c>
      <c r="E117" s="180"/>
      <c r="F117" s="180" t="s">
        <v>1074</v>
      </c>
      <c r="G117" s="180"/>
      <c r="H117" s="180"/>
      <c r="I117" s="180"/>
      <c r="J117" s="180"/>
      <c r="K117" s="180"/>
      <c r="L117" s="180"/>
      <c r="M117" s="181">
        <v>45078</v>
      </c>
      <c r="N117" s="181">
        <v>45107</v>
      </c>
      <c r="O117" s="182"/>
      <c r="P117" s="183">
        <v>22</v>
      </c>
      <c r="Q117" s="183">
        <v>13</v>
      </c>
      <c r="R117" s="184">
        <v>22</v>
      </c>
      <c r="S117" s="184">
        <v>13</v>
      </c>
      <c r="T117" s="181"/>
      <c r="U117" s="181"/>
      <c r="V117" s="185"/>
      <c r="W117" s="186">
        <v>0</v>
      </c>
      <c r="X117" s="187">
        <v>1</v>
      </c>
      <c r="Y117" s="182" t="s">
        <v>1196</v>
      </c>
      <c r="Z117" s="188"/>
      <c r="AA117" s="97">
        <v>0.59090909090909094</v>
      </c>
      <c r="AB117" s="189">
        <v>0.7</v>
      </c>
      <c r="AC117" s="210"/>
      <c r="AD117" s="4"/>
      <c r="AE117" s="4"/>
      <c r="AF117" s="4" t="str">
        <f>"   " &amp; TEXT(AB117,"#0.00%") &amp; " " &amp; "Server" &amp; "(Sanjaya)" &amp; " " &amp; IF(M117="","",TEXT(M117,"M/D-")) &amp; IF(N117="","",TEXT(N117,"M/D")) &amp; " "</f>
        <v xml:space="preserve">   70.00% Server(Sanjaya) 6/1-6/30 </v>
      </c>
      <c r="AG117" s="4"/>
      <c r="AH117" s="4"/>
      <c r="AI117" s="4"/>
      <c r="AJ117" s="4"/>
      <c r="AK117" s="4"/>
      <c r="AL117" s="4"/>
      <c r="AM117" s="4"/>
      <c r="AN117" s="4"/>
      <c r="AO117" s="4"/>
      <c r="AP117" s="4"/>
      <c r="AQ117" s="4"/>
      <c r="AR117" s="4"/>
      <c r="AS117" s="4"/>
      <c r="AT117" s="4"/>
      <c r="AU117" s="4"/>
      <c r="AV117" s="4"/>
      <c r="AW117" s="4"/>
      <c r="AX117" s="4"/>
      <c r="AY117" s="4"/>
      <c r="AZ117" s="4"/>
      <c r="BA117" s="4"/>
      <c r="BB117" s="4"/>
      <c r="BC117" s="4"/>
      <c r="BD117" s="4"/>
      <c r="BE117" s="4"/>
      <c r="BF117" s="4"/>
      <c r="BG117" s="4"/>
      <c r="BH117" s="4"/>
      <c r="BI117" s="4"/>
      <c r="BJ117" s="4"/>
      <c r="BK117" s="4"/>
      <c r="BL117" s="4"/>
      <c r="BM117" s="4"/>
      <c r="BN117" s="4"/>
      <c r="BO117" s="4"/>
      <c r="BP117" s="4"/>
      <c r="BQ117" s="4"/>
      <c r="BR117" s="4"/>
      <c r="BS117" s="4"/>
      <c r="BT117" s="4"/>
      <c r="BU117" s="4"/>
      <c r="BV117" s="4"/>
      <c r="BW117" s="4"/>
      <c r="BX117" s="4"/>
      <c r="BY117" s="4"/>
      <c r="BZ117" s="4"/>
      <c r="CA117" s="4"/>
      <c r="CB117" s="4"/>
      <c r="CC117" s="4"/>
      <c r="CD117" s="4"/>
      <c r="CE117" s="4"/>
      <c r="CF117" s="4"/>
      <c r="CG117" s="4"/>
      <c r="CH117" s="4"/>
      <c r="CI117" s="4"/>
      <c r="CJ117" s="4"/>
      <c r="CK117" s="4"/>
      <c r="CL117" s="4"/>
      <c r="CM117" s="4"/>
      <c r="CN117" s="4"/>
      <c r="CO117" s="4"/>
      <c r="CP117" s="4"/>
      <c r="CQ117" s="4"/>
      <c r="CR117" s="4"/>
      <c r="CS117" s="4"/>
      <c r="CT117" s="4"/>
      <c r="CU117" s="4"/>
      <c r="CV117" s="4"/>
      <c r="CW117" s="4"/>
      <c r="CX117" s="4"/>
      <c r="CY117" s="4"/>
      <c r="CZ117" s="4"/>
      <c r="DA117" s="4"/>
      <c r="DB117" s="4"/>
      <c r="DC117" s="4"/>
      <c r="DD117" s="4"/>
      <c r="DE117" s="4"/>
      <c r="DF117" s="4"/>
      <c r="DG117" s="4"/>
      <c r="DH117" s="4"/>
      <c r="DI117" s="4"/>
      <c r="DJ117" s="4"/>
      <c r="DK117" s="4"/>
      <c r="DL117" s="4"/>
      <c r="DM117" s="4"/>
      <c r="DN117" s="4"/>
      <c r="DO117" s="4"/>
      <c r="DP117" s="4"/>
      <c r="DQ117" s="4"/>
      <c r="DR117" s="4"/>
      <c r="DS117" s="4"/>
      <c r="DT117" s="4"/>
      <c r="DU117" s="4"/>
      <c r="DV117" s="4"/>
      <c r="DW117" s="4"/>
      <c r="DX117" s="4"/>
      <c r="DY117" s="4"/>
      <c r="DZ117" s="4"/>
      <c r="EA117" s="4"/>
      <c r="EB117" s="4"/>
      <c r="EC117" s="4"/>
      <c r="ED117" s="4"/>
      <c r="EE117" s="4"/>
      <c r="EF117" s="4"/>
      <c r="EG117" s="4"/>
      <c r="EH117" s="4"/>
      <c r="EI117" s="4"/>
      <c r="EJ117" s="4"/>
      <c r="EK117" s="4"/>
      <c r="EL117" s="4"/>
      <c r="EM117" s="4"/>
      <c r="EN117" s="4"/>
      <c r="EO117" s="4"/>
      <c r="EP117" s="4"/>
      <c r="EQ117" s="4"/>
      <c r="ER117" s="4"/>
      <c r="ES117" s="4"/>
      <c r="ET117" s="4"/>
      <c r="EU117" s="4"/>
      <c r="EV117" s="4"/>
      <c r="EW117" s="4"/>
      <c r="EX117" s="4"/>
      <c r="EY117" s="4"/>
      <c r="EZ117" s="4"/>
      <c r="FA117" s="4"/>
      <c r="FB117" s="4"/>
      <c r="FC117" s="4"/>
      <c r="FD117" s="4"/>
      <c r="FE117" s="4"/>
      <c r="FF117" s="4"/>
      <c r="FG117" s="4"/>
      <c r="FH117" s="4"/>
      <c r="FI117" s="4"/>
      <c r="FJ117" s="4"/>
      <c r="FK117" s="4"/>
      <c r="FL117" s="4"/>
      <c r="FM117" s="4"/>
      <c r="FN117" s="4"/>
      <c r="FO117" s="4"/>
      <c r="FP117" s="4"/>
      <c r="FQ117" s="4"/>
      <c r="FR117" s="4"/>
      <c r="FS117" s="4"/>
      <c r="FT117" s="4"/>
      <c r="FU117" s="4"/>
      <c r="FV117" s="4"/>
      <c r="FW117" s="4"/>
      <c r="FX117" s="4"/>
      <c r="FY117" s="4"/>
      <c r="FZ117" s="4"/>
      <c r="GA117" s="4"/>
      <c r="GB117" s="4"/>
      <c r="GC117" s="4"/>
      <c r="GD117" s="4"/>
      <c r="GE117" s="4"/>
      <c r="GF117" s="4"/>
      <c r="GG117" s="4"/>
    </row>
    <row r="118" spans="1:189" outlineLevel="1">
      <c r="A118" s="116"/>
      <c r="B118" s="116"/>
      <c r="C118" s="116">
        <v>2</v>
      </c>
      <c r="D118" s="3" t="s">
        <v>1191</v>
      </c>
      <c r="E118" s="180"/>
      <c r="F118" s="180" t="s">
        <v>1040</v>
      </c>
      <c r="G118" s="180"/>
      <c r="H118" s="180"/>
      <c r="I118" s="180"/>
      <c r="J118" s="180"/>
      <c r="K118" s="180"/>
      <c r="L118" s="180"/>
      <c r="M118" s="181">
        <v>45110</v>
      </c>
      <c r="N118" s="181">
        <v>45121</v>
      </c>
      <c r="O118" s="182"/>
      <c r="P118" s="183">
        <v>10</v>
      </c>
      <c r="Q118" s="183">
        <v>0</v>
      </c>
      <c r="R118" s="184">
        <v>10</v>
      </c>
      <c r="S118" s="184">
        <v>0</v>
      </c>
      <c r="T118" s="181"/>
      <c r="U118" s="181"/>
      <c r="V118" s="185"/>
      <c r="W118" s="186">
        <v>0</v>
      </c>
      <c r="X118" s="187">
        <v>1</v>
      </c>
      <c r="Y118" s="182" t="s">
        <v>1196</v>
      </c>
      <c r="Z118" s="188"/>
      <c r="AA118" s="97">
        <v>0</v>
      </c>
      <c r="AB118" s="189">
        <v>0</v>
      </c>
      <c r="AC118" s="210"/>
      <c r="AD118" s="4"/>
      <c r="AE118" s="4"/>
      <c r="AF118" s="4"/>
      <c r="AG118" s="4"/>
      <c r="AH118" s="4" t="str">
        <f>"" &amp; TEXT(AB118,"#0.00%") &amp; " " &amp; "Test in TB" &amp; "(Sanjaya)" &amp; " " &amp; IF(M118="","",TEXT(M118,"M/D-")) &amp; IF(N118="","",TEXT(N118,"M/D")) &amp; " "</f>
        <v xml:space="preserve">0.00% Test in TB(Sanjaya) 7/3-7/14 </v>
      </c>
      <c r="AI118" s="4"/>
      <c r="AJ118" s="4"/>
      <c r="AK118" s="4"/>
      <c r="AL118" s="4"/>
      <c r="AM118" s="4"/>
      <c r="AN118" s="4"/>
      <c r="AO118" s="4"/>
      <c r="AP118" s="4"/>
      <c r="AQ118" s="4"/>
      <c r="AR118" s="4"/>
      <c r="AS118" s="4"/>
      <c r="AT118" s="4"/>
      <c r="AU118" s="4"/>
      <c r="AV118" s="4"/>
      <c r="AW118" s="4"/>
      <c r="AX118" s="4"/>
      <c r="AY118" s="4"/>
      <c r="AZ118" s="4"/>
      <c r="BA118" s="4"/>
      <c r="BB118" s="4"/>
      <c r="BC118" s="4"/>
      <c r="BD118" s="4"/>
      <c r="BE118" s="4"/>
      <c r="BF118" s="4"/>
      <c r="BG118" s="4"/>
      <c r="BH118" s="4"/>
      <c r="BI118" s="4"/>
      <c r="BJ118" s="4"/>
      <c r="BK118" s="4"/>
      <c r="BL118" s="4"/>
      <c r="BM118" s="4"/>
      <c r="BN118" s="4"/>
      <c r="BO118" s="4"/>
      <c r="BP118" s="4"/>
      <c r="BQ118" s="4"/>
      <c r="BR118" s="4"/>
      <c r="BS118" s="4"/>
      <c r="BT118" s="4"/>
      <c r="BU118" s="4"/>
      <c r="BV118" s="4"/>
      <c r="BW118" s="4"/>
      <c r="BX118" s="4"/>
      <c r="BY118" s="4"/>
      <c r="BZ118" s="4"/>
      <c r="CA118" s="4"/>
      <c r="CB118" s="4"/>
      <c r="CC118" s="4"/>
      <c r="CD118" s="4"/>
      <c r="CE118" s="4"/>
      <c r="CF118" s="4"/>
      <c r="CG118" s="4"/>
      <c r="CH118" s="4"/>
      <c r="CI118" s="4"/>
      <c r="CJ118" s="4"/>
      <c r="CK118" s="4"/>
      <c r="CL118" s="4"/>
      <c r="CM118" s="4"/>
      <c r="CN118" s="4"/>
      <c r="CO118" s="4"/>
      <c r="CP118" s="4"/>
      <c r="CQ118" s="4"/>
      <c r="CR118" s="4"/>
      <c r="CS118" s="4"/>
      <c r="CT118" s="4"/>
      <c r="CU118" s="4"/>
      <c r="CV118" s="4"/>
      <c r="CW118" s="4"/>
      <c r="CX118" s="4"/>
      <c r="CY118" s="4"/>
      <c r="CZ118" s="4"/>
      <c r="DA118" s="4"/>
      <c r="DB118" s="4"/>
      <c r="DC118" s="4"/>
      <c r="DD118" s="4"/>
      <c r="DE118" s="4"/>
      <c r="DF118" s="4"/>
      <c r="DG118" s="4"/>
      <c r="DH118" s="4"/>
      <c r="DI118" s="4"/>
      <c r="DJ118" s="4"/>
      <c r="DK118" s="4"/>
      <c r="DL118" s="4"/>
      <c r="DM118" s="4"/>
      <c r="DN118" s="4"/>
      <c r="DO118" s="4"/>
      <c r="DP118" s="4"/>
      <c r="DQ118" s="4"/>
      <c r="DR118" s="4"/>
      <c r="DS118" s="4"/>
      <c r="DT118" s="4"/>
      <c r="DU118" s="4"/>
      <c r="DV118" s="4"/>
      <c r="DW118" s="4"/>
      <c r="DX118" s="4"/>
      <c r="DY118" s="4"/>
      <c r="DZ118" s="4"/>
      <c r="EA118" s="4"/>
      <c r="EB118" s="4"/>
      <c r="EC118" s="4"/>
      <c r="ED118" s="4"/>
      <c r="EE118" s="4"/>
      <c r="EF118" s="4"/>
      <c r="EG118" s="4"/>
      <c r="EH118" s="4"/>
      <c r="EI118" s="4"/>
      <c r="EJ118" s="4"/>
      <c r="EK118" s="4"/>
      <c r="EL118" s="4"/>
      <c r="EM118" s="4"/>
      <c r="EN118" s="4"/>
      <c r="EO118" s="4"/>
      <c r="EP118" s="4"/>
      <c r="EQ118" s="4"/>
      <c r="ER118" s="4"/>
      <c r="ES118" s="4"/>
      <c r="ET118" s="4"/>
      <c r="EU118" s="4"/>
      <c r="EV118" s="4"/>
      <c r="EW118" s="4"/>
      <c r="EX118" s="4"/>
      <c r="EY118" s="4"/>
      <c r="EZ118" s="4"/>
      <c r="FA118" s="4"/>
      <c r="FB118" s="4"/>
      <c r="FC118" s="4"/>
      <c r="FD118" s="4"/>
      <c r="FE118" s="4"/>
      <c r="FF118" s="4"/>
      <c r="FG118" s="4"/>
      <c r="FH118" s="4"/>
      <c r="FI118" s="4"/>
      <c r="FJ118" s="4"/>
      <c r="FK118" s="4"/>
      <c r="FL118" s="4"/>
      <c r="FM118" s="4"/>
      <c r="FN118" s="4"/>
      <c r="FO118" s="4"/>
      <c r="FP118" s="4"/>
      <c r="FQ118" s="4"/>
      <c r="FR118" s="4"/>
      <c r="FS118" s="4"/>
      <c r="FT118" s="4"/>
      <c r="FU118" s="4"/>
      <c r="FV118" s="4"/>
      <c r="FW118" s="4"/>
      <c r="FX118" s="4"/>
      <c r="FY118" s="4"/>
      <c r="FZ118" s="4"/>
      <c r="GA118" s="4"/>
      <c r="GB118" s="4"/>
      <c r="GC118" s="4"/>
      <c r="GD118" s="4"/>
      <c r="GE118" s="4"/>
      <c r="GF118" s="4"/>
      <c r="GG118" s="4"/>
    </row>
    <row r="119" spans="1:189" outlineLevel="1">
      <c r="A119" s="116"/>
      <c r="B119" s="116"/>
      <c r="C119" s="116">
        <v>2</v>
      </c>
      <c r="D119" s="3" t="s">
        <v>1192</v>
      </c>
      <c r="E119" s="180"/>
      <c r="F119" s="180" t="s">
        <v>1041</v>
      </c>
      <c r="G119" s="180"/>
      <c r="H119" s="180"/>
      <c r="I119" s="180"/>
      <c r="J119" s="180"/>
      <c r="K119" s="180"/>
      <c r="L119" s="180"/>
      <c r="M119" s="181">
        <v>45121</v>
      </c>
      <c r="N119" s="181">
        <v>45121</v>
      </c>
      <c r="O119" s="182"/>
      <c r="P119" s="183">
        <v>1</v>
      </c>
      <c r="Q119" s="183">
        <v>0</v>
      </c>
      <c r="R119" s="184">
        <v>1</v>
      </c>
      <c r="S119" s="184">
        <v>0</v>
      </c>
      <c r="T119" s="181"/>
      <c r="U119" s="181"/>
      <c r="V119" s="185"/>
      <c r="W119" s="186">
        <v>0</v>
      </c>
      <c r="X119" s="187">
        <v>1</v>
      </c>
      <c r="Y119" s="182"/>
      <c r="Z119" s="188"/>
      <c r="AA119" s="97">
        <v>0</v>
      </c>
      <c r="AB119" s="189">
        <v>0</v>
      </c>
      <c r="AC119" s="210"/>
      <c r="AD119" s="4"/>
      <c r="AE119" s="4"/>
      <c r="AF119" s="4"/>
      <c r="AG119" s="4"/>
      <c r="AH119" s="4"/>
      <c r="AI119" s="4" t="str">
        <f>"    " &amp; TEXT(AB119,"#0.00%") &amp; " " &amp; "Service Launch" &amp; " " &amp; IF(M119="","",TEXT(M119,"M/D-")) &amp; IF(N119="","",TEXT(N119,"M/D")) &amp; " "</f>
        <v xml:space="preserve">    0.00% Service Launch 7/14-7/14 </v>
      </c>
      <c r="AJ119" s="4"/>
      <c r="AK119" s="4"/>
      <c r="AL119" s="4"/>
      <c r="AM119" s="4"/>
      <c r="AN119" s="4"/>
      <c r="AO119" s="4"/>
      <c r="AP119" s="4"/>
      <c r="AQ119" s="4"/>
      <c r="AR119" s="4"/>
      <c r="AS119" s="4"/>
      <c r="AT119" s="4"/>
      <c r="AU119" s="4"/>
      <c r="AV119" s="4"/>
      <c r="AW119" s="4"/>
      <c r="AX119" s="4"/>
      <c r="AY119" s="4"/>
      <c r="AZ119" s="4"/>
      <c r="BA119" s="4"/>
      <c r="BB119" s="4"/>
      <c r="BC119" s="4"/>
      <c r="BD119" s="4"/>
      <c r="BE119" s="4"/>
      <c r="BF119" s="4"/>
      <c r="BG119" s="4"/>
      <c r="BH119" s="4"/>
      <c r="BI119" s="4"/>
      <c r="BJ119" s="4"/>
      <c r="BK119" s="4"/>
      <c r="BL119" s="4"/>
      <c r="BM119" s="4"/>
      <c r="BN119" s="4"/>
      <c r="BO119" s="4"/>
      <c r="BP119" s="4"/>
      <c r="BQ119" s="4"/>
      <c r="BR119" s="4"/>
      <c r="BS119" s="4"/>
      <c r="BT119" s="4"/>
      <c r="BU119" s="4"/>
      <c r="BV119" s="4"/>
      <c r="BW119" s="4"/>
      <c r="BX119" s="4"/>
      <c r="BY119" s="4"/>
      <c r="BZ119" s="4"/>
      <c r="CA119" s="4"/>
      <c r="CB119" s="4"/>
      <c r="CC119" s="4"/>
      <c r="CD119" s="4"/>
      <c r="CE119" s="4"/>
      <c r="CF119" s="4"/>
      <c r="CG119" s="4"/>
      <c r="CH119" s="4"/>
      <c r="CI119" s="4"/>
      <c r="CJ119" s="4"/>
      <c r="CK119" s="4"/>
      <c r="CL119" s="4"/>
      <c r="CM119" s="4"/>
      <c r="CN119" s="4"/>
      <c r="CO119" s="4"/>
      <c r="CP119" s="4"/>
      <c r="CQ119" s="4"/>
      <c r="CR119" s="4"/>
      <c r="CS119" s="4"/>
      <c r="CT119" s="4"/>
      <c r="CU119" s="4"/>
      <c r="CV119" s="4"/>
      <c r="CW119" s="4"/>
      <c r="CX119" s="4"/>
      <c r="CY119" s="4"/>
      <c r="CZ119" s="4"/>
      <c r="DA119" s="4"/>
      <c r="DB119" s="4"/>
      <c r="DC119" s="4"/>
      <c r="DD119" s="4"/>
      <c r="DE119" s="4"/>
      <c r="DF119" s="4"/>
      <c r="DG119" s="4"/>
      <c r="DH119" s="4"/>
      <c r="DI119" s="4"/>
      <c r="DJ119" s="4"/>
      <c r="DK119" s="4"/>
      <c r="DL119" s="4"/>
      <c r="DM119" s="4"/>
      <c r="DN119" s="4"/>
      <c r="DO119" s="4"/>
      <c r="DP119" s="4"/>
      <c r="DQ119" s="4"/>
      <c r="DR119" s="4"/>
      <c r="DS119" s="4"/>
      <c r="DT119" s="4"/>
      <c r="DU119" s="4"/>
      <c r="DV119" s="4"/>
      <c r="DW119" s="4"/>
      <c r="DX119" s="4"/>
      <c r="DY119" s="4"/>
      <c r="DZ119" s="4"/>
      <c r="EA119" s="4"/>
      <c r="EB119" s="4"/>
      <c r="EC119" s="4"/>
      <c r="ED119" s="4"/>
      <c r="EE119" s="4"/>
      <c r="EF119" s="4"/>
      <c r="EG119" s="4"/>
      <c r="EH119" s="4"/>
      <c r="EI119" s="4"/>
      <c r="EJ119" s="4"/>
      <c r="EK119" s="4"/>
      <c r="EL119" s="4"/>
      <c r="EM119" s="4"/>
      <c r="EN119" s="4"/>
      <c r="EO119" s="4"/>
      <c r="EP119" s="4"/>
      <c r="EQ119" s="4"/>
      <c r="ER119" s="4"/>
      <c r="ES119" s="4"/>
      <c r="ET119" s="4"/>
      <c r="EU119" s="4"/>
      <c r="EV119" s="4"/>
      <c r="EW119" s="4"/>
      <c r="EX119" s="4"/>
      <c r="EY119" s="4"/>
      <c r="EZ119" s="4"/>
      <c r="FA119" s="4"/>
      <c r="FB119" s="4"/>
      <c r="FC119" s="4"/>
      <c r="FD119" s="4"/>
      <c r="FE119" s="4"/>
      <c r="FF119" s="4"/>
      <c r="FG119" s="4"/>
      <c r="FH119" s="4"/>
      <c r="FI119" s="4"/>
      <c r="FJ119" s="4"/>
      <c r="FK119" s="4"/>
      <c r="FL119" s="4"/>
      <c r="FM119" s="4"/>
      <c r="FN119" s="4"/>
      <c r="FO119" s="4"/>
      <c r="FP119" s="4"/>
      <c r="FQ119" s="4"/>
      <c r="FR119" s="4"/>
      <c r="FS119" s="4"/>
      <c r="FT119" s="4"/>
      <c r="FU119" s="4"/>
      <c r="FV119" s="4"/>
      <c r="FW119" s="4"/>
      <c r="FX119" s="4"/>
      <c r="FY119" s="4"/>
      <c r="FZ119" s="4"/>
      <c r="GA119" s="4"/>
      <c r="GB119" s="4"/>
      <c r="GC119" s="4"/>
      <c r="GD119" s="4"/>
      <c r="GE119" s="4"/>
      <c r="GF119" s="4"/>
      <c r="GG119" s="4"/>
    </row>
    <row r="120" spans="1:189" ht="13.2" outlineLevel="1">
      <c r="A120" s="116"/>
      <c r="B120" s="116"/>
      <c r="C120" s="116">
        <v>0</v>
      </c>
      <c r="D120" s="3"/>
      <c r="E120" s="207"/>
      <c r="F120" s="180"/>
      <c r="G120" s="180"/>
      <c r="H120" s="180"/>
      <c r="I120" s="180"/>
      <c r="J120" s="180"/>
      <c r="K120" s="180"/>
      <c r="L120" s="180"/>
      <c r="M120" s="181"/>
      <c r="N120" s="181"/>
      <c r="O120" s="182"/>
      <c r="P120" s="183"/>
      <c r="Q120" s="183"/>
      <c r="R120" s="184">
        <v>0</v>
      </c>
      <c r="S120" s="184">
        <v>0</v>
      </c>
      <c r="T120" s="181"/>
      <c r="U120" s="181"/>
      <c r="V120" s="185"/>
      <c r="W120" s="186">
        <v>0</v>
      </c>
      <c r="X120" s="187"/>
      <c r="Y120" s="182"/>
      <c r="Z120" s="188"/>
      <c r="AA120" s="97"/>
      <c r="AB120" s="189"/>
      <c r="AC120" s="210"/>
      <c r="AD120" s="4"/>
      <c r="AE120" s="4"/>
      <c r="AF120" s="4"/>
      <c r="AG120" s="4"/>
      <c r="AH120" s="4"/>
      <c r="AI120" s="4"/>
      <c r="AJ120" s="4"/>
      <c r="AK120" s="4"/>
      <c r="AL120" s="4"/>
      <c r="AM120" s="4"/>
      <c r="AN120" s="4"/>
      <c r="AO120" s="4"/>
      <c r="AP120" s="4"/>
      <c r="AQ120" s="4"/>
      <c r="AR120" s="4"/>
      <c r="AS120" s="4"/>
      <c r="AT120" s="4"/>
      <c r="AU120" s="4"/>
      <c r="AV120" s="4"/>
      <c r="AW120" s="4"/>
      <c r="AX120" s="4"/>
      <c r="AY120" s="4"/>
      <c r="AZ120" s="4"/>
      <c r="BA120" s="4"/>
      <c r="BB120" s="4"/>
      <c r="BC120" s="4"/>
      <c r="BD120" s="4"/>
      <c r="BE120" s="4"/>
      <c r="BF120" s="4"/>
      <c r="BG120" s="4"/>
      <c r="BH120" s="4"/>
      <c r="BI120" s="4"/>
      <c r="BJ120" s="4"/>
      <c r="BK120" s="4"/>
      <c r="BL120" s="4"/>
      <c r="BM120" s="4"/>
      <c r="BN120" s="4"/>
      <c r="BO120" s="4"/>
      <c r="BP120" s="4"/>
      <c r="BQ120" s="4"/>
      <c r="BR120" s="4"/>
      <c r="BS120" s="4"/>
      <c r="BT120" s="4"/>
      <c r="BU120" s="4"/>
      <c r="BV120" s="4"/>
      <c r="BW120" s="4"/>
      <c r="BX120" s="4"/>
      <c r="BY120" s="4"/>
      <c r="BZ120" s="4"/>
      <c r="CA120" s="4"/>
      <c r="CB120" s="4"/>
      <c r="CC120" s="4"/>
      <c r="CD120" s="4"/>
      <c r="CE120" s="4"/>
      <c r="CF120" s="4"/>
      <c r="CG120" s="4"/>
      <c r="CH120" s="4"/>
      <c r="CI120" s="4"/>
      <c r="CJ120" s="4"/>
      <c r="CK120" s="4"/>
      <c r="CL120" s="4"/>
      <c r="CM120" s="4"/>
      <c r="CN120" s="4"/>
      <c r="CO120" s="4"/>
      <c r="CP120" s="4"/>
      <c r="CQ120" s="4"/>
      <c r="CR120" s="4"/>
      <c r="CS120" s="4"/>
      <c r="CT120" s="4"/>
      <c r="CU120" s="4"/>
      <c r="CV120" s="4"/>
      <c r="CW120" s="4"/>
      <c r="CX120" s="4"/>
      <c r="CY120" s="4"/>
      <c r="CZ120" s="4"/>
      <c r="DA120" s="4"/>
      <c r="DB120" s="4"/>
      <c r="DC120" s="4"/>
      <c r="DD120" s="4"/>
      <c r="DE120" s="4"/>
      <c r="DF120" s="4"/>
      <c r="DG120" s="4"/>
      <c r="DH120" s="4"/>
      <c r="DI120" s="4"/>
      <c r="DJ120" s="4"/>
      <c r="DK120" s="4"/>
      <c r="DL120" s="4"/>
      <c r="DM120" s="4"/>
      <c r="DN120" s="4"/>
      <c r="DO120" s="4"/>
      <c r="DP120" s="4"/>
      <c r="DQ120" s="4"/>
      <c r="DR120" s="4"/>
      <c r="DS120" s="4"/>
      <c r="DT120" s="4"/>
      <c r="DU120" s="4"/>
      <c r="DV120" s="4"/>
      <c r="DW120" s="4"/>
      <c r="DX120" s="4"/>
      <c r="DY120" s="4"/>
      <c r="DZ120" s="4"/>
      <c r="EA120" s="4"/>
      <c r="EB120" s="4"/>
      <c r="EC120" s="4"/>
      <c r="ED120" s="4"/>
      <c r="EE120" s="4"/>
      <c r="EF120" s="4"/>
      <c r="EG120" s="4"/>
      <c r="EH120" s="4"/>
      <c r="EI120" s="4"/>
      <c r="EJ120" s="4"/>
      <c r="EK120" s="4"/>
      <c r="EL120" s="4"/>
      <c r="EM120" s="4"/>
      <c r="EN120" s="4"/>
      <c r="EO120" s="4"/>
      <c r="EP120" s="4"/>
      <c r="EQ120" s="4"/>
      <c r="ER120" s="4"/>
      <c r="ES120" s="4"/>
      <c r="ET120" s="4"/>
      <c r="EU120" s="4"/>
      <c r="EV120" s="4"/>
      <c r="EW120" s="4"/>
      <c r="EX120" s="4"/>
      <c r="EY120" s="4"/>
      <c r="EZ120" s="4"/>
      <c r="FA120" s="4"/>
      <c r="FB120" s="4"/>
      <c r="FC120" s="4"/>
      <c r="FD120" s="4"/>
      <c r="FE120" s="4"/>
      <c r="FF120" s="4"/>
      <c r="FG120" s="4"/>
      <c r="FH120" s="4"/>
      <c r="FI120" s="4"/>
      <c r="FJ120" s="4"/>
      <c r="FK120" s="4"/>
      <c r="FL120" s="4"/>
      <c r="FM120" s="4"/>
      <c r="FN120" s="4"/>
      <c r="FO120" s="4"/>
      <c r="FP120" s="4"/>
      <c r="FQ120" s="4"/>
      <c r="FR120" s="4"/>
      <c r="FS120" s="4"/>
      <c r="FT120" s="4"/>
      <c r="FU120" s="4"/>
      <c r="FV120" s="4"/>
      <c r="FW120" s="4"/>
      <c r="FX120" s="4"/>
      <c r="FY120" s="4"/>
      <c r="FZ120" s="4"/>
      <c r="GA120" s="4"/>
      <c r="GB120" s="4"/>
      <c r="GC120" s="4"/>
      <c r="GD120" s="4"/>
      <c r="GE120" s="4"/>
      <c r="GF120" s="4"/>
      <c r="GG120" s="4"/>
    </row>
    <row r="121" spans="1:189">
      <c r="A121" s="116"/>
      <c r="B121" s="116" t="s">
        <v>983</v>
      </c>
      <c r="C121" s="116">
        <v>1</v>
      </c>
      <c r="D121" s="3" t="s">
        <v>1212</v>
      </c>
      <c r="E121" s="180" t="s">
        <v>1188</v>
      </c>
      <c r="F121" s="180"/>
      <c r="G121" s="180"/>
      <c r="H121" s="180"/>
      <c r="I121" s="180"/>
      <c r="J121" s="180"/>
      <c r="K121" s="180"/>
      <c r="L121" s="180"/>
      <c r="M121" s="181">
        <v>45082</v>
      </c>
      <c r="N121" s="181">
        <v>45090</v>
      </c>
      <c r="O121" s="182"/>
      <c r="P121" s="183">
        <v>7</v>
      </c>
      <c r="Q121" s="183">
        <v>7</v>
      </c>
      <c r="R121" s="184">
        <v>7</v>
      </c>
      <c r="S121" s="184">
        <v>7</v>
      </c>
      <c r="T121" s="181"/>
      <c r="U121" s="181"/>
      <c r="V121" s="185">
        <v>0</v>
      </c>
      <c r="W121" s="186">
        <v>0</v>
      </c>
      <c r="X121" s="187"/>
      <c r="Y121" s="182"/>
      <c r="Z121" s="188"/>
      <c r="AA121" s="97">
        <v>1</v>
      </c>
      <c r="AB121" s="189">
        <v>0.8571428571428571</v>
      </c>
      <c r="AC121" s="210"/>
      <c r="AD121" s="4"/>
      <c r="AE121" s="4" t="str">
        <f>" " &amp; TEXT(AB121,"#0.00%") &amp; " " &amp; "[2303-09] Manual Approval for Trx over 100m KRW" &amp; " " &amp; IF(M121="","",TEXT(M121,"M/D-")) &amp; IF(N121="","",TEXT(N121,"M/D")) &amp; " "</f>
        <v xml:space="preserve"> 85.71% [2303-09] Manual Approval for Trx over 100m KRW 6/5-6/13 </v>
      </c>
      <c r="AF121" s="4"/>
      <c r="AG121" s="4"/>
      <c r="AH121" s="4"/>
      <c r="AI121" s="4"/>
      <c r="AJ121" s="4"/>
      <c r="AK121" s="4"/>
      <c r="AL121" s="4"/>
      <c r="AM121" s="4"/>
      <c r="AN121" s="4"/>
      <c r="AO121" s="4"/>
      <c r="AP121" s="4"/>
      <c r="AQ121" s="4"/>
      <c r="AR121" s="4"/>
      <c r="AS121" s="4"/>
      <c r="AT121" s="4"/>
      <c r="AU121" s="4"/>
      <c r="AV121" s="4"/>
      <c r="AW121" s="4"/>
      <c r="AX121" s="4"/>
      <c r="AY121" s="4"/>
      <c r="AZ121" s="4"/>
      <c r="BA121" s="4"/>
      <c r="BB121" s="4"/>
      <c r="BC121" s="4"/>
      <c r="BD121" s="4"/>
      <c r="BE121" s="4"/>
      <c r="BF121" s="4"/>
      <c r="BG121" s="4"/>
      <c r="BH121" s="4"/>
      <c r="BI121" s="4"/>
      <c r="BJ121" s="4"/>
      <c r="BK121" s="4"/>
      <c r="BL121" s="4"/>
      <c r="BM121" s="4"/>
      <c r="BN121" s="4"/>
      <c r="BO121" s="4"/>
      <c r="BP121" s="4"/>
      <c r="BQ121" s="4"/>
      <c r="BR121" s="4"/>
      <c r="BS121" s="4"/>
      <c r="BT121" s="4"/>
      <c r="BU121" s="4"/>
      <c r="BV121" s="4"/>
      <c r="BW121" s="4"/>
      <c r="BX121" s="4"/>
      <c r="BY121" s="4"/>
      <c r="BZ121" s="4"/>
      <c r="CA121" s="4"/>
      <c r="CB121" s="4"/>
      <c r="CC121" s="4"/>
      <c r="CD121" s="4"/>
      <c r="CE121" s="4"/>
      <c r="CF121" s="4"/>
      <c r="CG121" s="4"/>
      <c r="CH121" s="4"/>
      <c r="CI121" s="4"/>
      <c r="CJ121" s="4"/>
      <c r="CK121" s="4"/>
      <c r="CL121" s="4"/>
      <c r="CM121" s="4"/>
      <c r="CN121" s="4"/>
      <c r="CO121" s="4"/>
      <c r="CP121" s="4"/>
      <c r="CQ121" s="4"/>
      <c r="CR121" s="4"/>
      <c r="CS121" s="4"/>
      <c r="CT121" s="4"/>
      <c r="CU121" s="4"/>
      <c r="CV121" s="4"/>
      <c r="CW121" s="4"/>
      <c r="CX121" s="4"/>
      <c r="CY121" s="4"/>
      <c r="CZ121" s="4"/>
      <c r="DA121" s="4"/>
      <c r="DB121" s="4"/>
      <c r="DC121" s="4"/>
      <c r="DD121" s="4"/>
      <c r="DE121" s="4"/>
      <c r="DF121" s="4"/>
      <c r="DG121" s="4"/>
      <c r="DH121" s="4"/>
      <c r="DI121" s="4"/>
      <c r="DJ121" s="4"/>
      <c r="DK121" s="4"/>
      <c r="DL121" s="4"/>
      <c r="DM121" s="4"/>
      <c r="DN121" s="4"/>
      <c r="DO121" s="4"/>
      <c r="DP121" s="4"/>
      <c r="DQ121" s="4"/>
      <c r="DR121" s="4"/>
      <c r="DS121" s="4"/>
      <c r="DT121" s="4"/>
      <c r="DU121" s="4"/>
      <c r="DV121" s="4"/>
      <c r="DW121" s="4"/>
      <c r="DX121" s="4"/>
      <c r="DY121" s="4"/>
      <c r="DZ121" s="4"/>
      <c r="EA121" s="4"/>
      <c r="EB121" s="4"/>
      <c r="EC121" s="4"/>
      <c r="ED121" s="4"/>
      <c r="EE121" s="4"/>
      <c r="EF121" s="4"/>
      <c r="EG121" s="4"/>
      <c r="EH121" s="4"/>
      <c r="EI121" s="4"/>
      <c r="EJ121" s="4"/>
      <c r="EK121" s="4"/>
      <c r="EL121" s="4"/>
      <c r="EM121" s="4"/>
      <c r="EN121" s="4"/>
      <c r="EO121" s="4"/>
      <c r="EP121" s="4"/>
      <c r="EQ121" s="4"/>
      <c r="ER121" s="4"/>
      <c r="ES121" s="4"/>
      <c r="ET121" s="4"/>
      <c r="EU121" s="4"/>
      <c r="EV121" s="4"/>
      <c r="EW121" s="4"/>
      <c r="EX121" s="4"/>
      <c r="EY121" s="4"/>
      <c r="EZ121" s="4"/>
      <c r="FA121" s="4"/>
      <c r="FB121" s="4"/>
      <c r="FC121" s="4"/>
      <c r="FD121" s="4"/>
      <c r="FE121" s="4"/>
      <c r="FF121" s="4"/>
      <c r="FG121" s="4"/>
      <c r="FH121" s="4"/>
      <c r="FI121" s="4"/>
      <c r="FJ121" s="4"/>
      <c r="FK121" s="4"/>
      <c r="FL121" s="4"/>
      <c r="FM121" s="4"/>
      <c r="FN121" s="4"/>
      <c r="FO121" s="4"/>
      <c r="FP121" s="4"/>
      <c r="FQ121" s="4"/>
      <c r="FR121" s="4"/>
      <c r="FS121" s="4"/>
      <c r="FT121" s="4"/>
      <c r="FU121" s="4"/>
      <c r="FV121" s="4"/>
      <c r="FW121" s="4"/>
      <c r="FX121" s="4"/>
      <c r="FY121" s="4"/>
      <c r="FZ121" s="4"/>
      <c r="GA121" s="4"/>
      <c r="GB121" s="4"/>
      <c r="GC121" s="4"/>
      <c r="GD121" s="4"/>
      <c r="GE121" s="4"/>
      <c r="GF121" s="4"/>
      <c r="GG121" s="4"/>
    </row>
    <row r="122" spans="1:189" outlineLevel="1">
      <c r="A122" s="116"/>
      <c r="B122" s="116"/>
      <c r="C122" s="116">
        <v>2</v>
      </c>
      <c r="D122" s="3" t="s">
        <v>1213</v>
      </c>
      <c r="E122" s="180"/>
      <c r="F122" s="180" t="s">
        <v>1074</v>
      </c>
      <c r="G122" s="180"/>
      <c r="H122" s="180"/>
      <c r="I122" s="180"/>
      <c r="J122" s="180"/>
      <c r="K122" s="180"/>
      <c r="L122" s="180"/>
      <c r="M122" s="181">
        <v>45082</v>
      </c>
      <c r="N122" s="181">
        <v>45086</v>
      </c>
      <c r="O122" s="182"/>
      <c r="P122" s="183">
        <v>5</v>
      </c>
      <c r="Q122" s="183">
        <v>5</v>
      </c>
      <c r="R122" s="184">
        <v>5</v>
      </c>
      <c r="S122" s="184">
        <v>5</v>
      </c>
      <c r="T122" s="181"/>
      <c r="U122" s="181"/>
      <c r="V122" s="185"/>
      <c r="W122" s="186">
        <v>0</v>
      </c>
      <c r="X122" s="187">
        <v>1</v>
      </c>
      <c r="Y122" s="182" t="s">
        <v>1196</v>
      </c>
      <c r="Z122" s="188"/>
      <c r="AA122" s="97">
        <v>1</v>
      </c>
      <c r="AB122" s="189">
        <v>1</v>
      </c>
      <c r="AC122" s="210"/>
      <c r="AD122" s="4" t="str">
        <f>"     " &amp; TEXT(AB122,"#0.00%") &amp; " " &amp; "Server" &amp; "(Sanjaya)" &amp; " " &amp; IF(M122="","",TEXT(M122,"M/D-")) &amp; IF(N122="","",TEXT(N122,"M/D")) &amp; " "</f>
        <v xml:space="preserve">     100.00% Server(Sanjaya) 6/5-6/9 </v>
      </c>
      <c r="AE122" s="4"/>
      <c r="AF122" s="4"/>
      <c r="AG122" s="4"/>
      <c r="AH122" s="4"/>
      <c r="AI122" s="4"/>
      <c r="AJ122" s="4"/>
      <c r="AK122" s="4"/>
      <c r="AL122" s="4"/>
      <c r="AM122" s="4"/>
      <c r="AN122" s="4"/>
      <c r="AO122" s="4"/>
      <c r="AP122" s="4"/>
      <c r="AQ122" s="4"/>
      <c r="AR122" s="4"/>
      <c r="AS122" s="4"/>
      <c r="AT122" s="4"/>
      <c r="AU122" s="4"/>
      <c r="AV122" s="4"/>
      <c r="AW122" s="4"/>
      <c r="AX122" s="4"/>
      <c r="AY122" s="4"/>
      <c r="AZ122" s="4"/>
      <c r="BA122" s="4"/>
      <c r="BB122" s="4"/>
      <c r="BC122" s="4"/>
      <c r="BD122" s="4"/>
      <c r="BE122" s="4"/>
      <c r="BF122" s="4"/>
      <c r="BG122" s="4"/>
      <c r="BH122" s="4"/>
      <c r="BI122" s="4"/>
      <c r="BJ122" s="4"/>
      <c r="BK122" s="4"/>
      <c r="BL122" s="4"/>
      <c r="BM122" s="4"/>
      <c r="BN122" s="4"/>
      <c r="BO122" s="4"/>
      <c r="BP122" s="4"/>
      <c r="BQ122" s="4"/>
      <c r="BR122" s="4"/>
      <c r="BS122" s="4"/>
      <c r="BT122" s="4"/>
      <c r="BU122" s="4"/>
      <c r="BV122" s="4"/>
      <c r="BW122" s="4"/>
      <c r="BX122" s="4"/>
      <c r="BY122" s="4"/>
      <c r="BZ122" s="4"/>
      <c r="CA122" s="4"/>
      <c r="CB122" s="4"/>
      <c r="CC122" s="4"/>
      <c r="CD122" s="4"/>
      <c r="CE122" s="4"/>
      <c r="CF122" s="4"/>
      <c r="CG122" s="4"/>
      <c r="CH122" s="4"/>
      <c r="CI122" s="4"/>
      <c r="CJ122" s="4"/>
      <c r="CK122" s="4"/>
      <c r="CL122" s="4"/>
      <c r="CM122" s="4"/>
      <c r="CN122" s="4"/>
      <c r="CO122" s="4"/>
      <c r="CP122" s="4"/>
      <c r="CQ122" s="4"/>
      <c r="CR122" s="4"/>
      <c r="CS122" s="4"/>
      <c r="CT122" s="4"/>
      <c r="CU122" s="4"/>
      <c r="CV122" s="4"/>
      <c r="CW122" s="4"/>
      <c r="CX122" s="4"/>
      <c r="CY122" s="4"/>
      <c r="CZ122" s="4"/>
      <c r="DA122" s="4"/>
      <c r="DB122" s="4"/>
      <c r="DC122" s="4"/>
      <c r="DD122" s="4"/>
      <c r="DE122" s="4"/>
      <c r="DF122" s="4"/>
      <c r="DG122" s="4"/>
      <c r="DH122" s="4"/>
      <c r="DI122" s="4"/>
      <c r="DJ122" s="4"/>
      <c r="DK122" s="4"/>
      <c r="DL122" s="4"/>
      <c r="DM122" s="4"/>
      <c r="DN122" s="4"/>
      <c r="DO122" s="4"/>
      <c r="DP122" s="4"/>
      <c r="DQ122" s="4"/>
      <c r="DR122" s="4"/>
      <c r="DS122" s="4"/>
      <c r="DT122" s="4"/>
      <c r="DU122" s="4"/>
      <c r="DV122" s="4"/>
      <c r="DW122" s="4"/>
      <c r="DX122" s="4"/>
      <c r="DY122" s="4"/>
      <c r="DZ122" s="4"/>
      <c r="EA122" s="4"/>
      <c r="EB122" s="4"/>
      <c r="EC122" s="4"/>
      <c r="ED122" s="4"/>
      <c r="EE122" s="4"/>
      <c r="EF122" s="4"/>
      <c r="EG122" s="4"/>
      <c r="EH122" s="4"/>
      <c r="EI122" s="4"/>
      <c r="EJ122" s="4"/>
      <c r="EK122" s="4"/>
      <c r="EL122" s="4"/>
      <c r="EM122" s="4"/>
      <c r="EN122" s="4"/>
      <c r="EO122" s="4"/>
      <c r="EP122" s="4"/>
      <c r="EQ122" s="4"/>
      <c r="ER122" s="4"/>
      <c r="ES122" s="4"/>
      <c r="ET122" s="4"/>
      <c r="EU122" s="4"/>
      <c r="EV122" s="4"/>
      <c r="EW122" s="4"/>
      <c r="EX122" s="4"/>
      <c r="EY122" s="4"/>
      <c r="EZ122" s="4"/>
      <c r="FA122" s="4"/>
      <c r="FB122" s="4"/>
      <c r="FC122" s="4"/>
      <c r="FD122" s="4"/>
      <c r="FE122" s="4"/>
      <c r="FF122" s="4"/>
      <c r="FG122" s="4"/>
      <c r="FH122" s="4"/>
      <c r="FI122" s="4"/>
      <c r="FJ122" s="4"/>
      <c r="FK122" s="4"/>
      <c r="FL122" s="4"/>
      <c r="FM122" s="4"/>
      <c r="FN122" s="4"/>
      <c r="FO122" s="4"/>
      <c r="FP122" s="4"/>
      <c r="FQ122" s="4"/>
      <c r="FR122" s="4"/>
      <c r="FS122" s="4"/>
      <c r="FT122" s="4"/>
      <c r="FU122" s="4"/>
      <c r="FV122" s="4"/>
      <c r="FW122" s="4"/>
      <c r="FX122" s="4"/>
      <c r="FY122" s="4"/>
      <c r="FZ122" s="4"/>
      <c r="GA122" s="4"/>
      <c r="GB122" s="4"/>
      <c r="GC122" s="4"/>
      <c r="GD122" s="4"/>
      <c r="GE122" s="4"/>
      <c r="GF122" s="4"/>
      <c r="GG122" s="4"/>
    </row>
    <row r="123" spans="1:189" outlineLevel="1">
      <c r="A123" s="116"/>
      <c r="B123" s="116"/>
      <c r="C123" s="116">
        <v>2</v>
      </c>
      <c r="D123" s="3" t="s">
        <v>1214</v>
      </c>
      <c r="E123" s="180"/>
      <c r="F123" s="180" t="s">
        <v>1040</v>
      </c>
      <c r="G123" s="180"/>
      <c r="H123" s="180"/>
      <c r="I123" s="180"/>
      <c r="J123" s="180"/>
      <c r="K123" s="180"/>
      <c r="L123" s="180"/>
      <c r="M123" s="181">
        <v>45089</v>
      </c>
      <c r="N123" s="181">
        <v>45089</v>
      </c>
      <c r="O123" s="182"/>
      <c r="P123" s="183">
        <v>1</v>
      </c>
      <c r="Q123" s="183">
        <v>1</v>
      </c>
      <c r="R123" s="184">
        <v>1</v>
      </c>
      <c r="S123" s="184">
        <v>1</v>
      </c>
      <c r="T123" s="181"/>
      <c r="U123" s="181"/>
      <c r="V123" s="185"/>
      <c r="W123" s="186">
        <v>0</v>
      </c>
      <c r="X123" s="187">
        <v>1</v>
      </c>
      <c r="Y123" s="182" t="s">
        <v>1196</v>
      </c>
      <c r="Z123" s="188"/>
      <c r="AA123" s="97">
        <v>1</v>
      </c>
      <c r="AB123" s="189">
        <v>1</v>
      </c>
      <c r="AC123" s="210"/>
      <c r="AD123" s="4"/>
      <c r="AE123" s="4" t="str">
        <f>" " &amp; TEXT(AB123,"#0.00%") &amp; " " &amp; "Test in TB" &amp; "(Sanjaya)" &amp; " " &amp; IF(M123="","",TEXT(M123,"M/D-")) &amp; IF(N123="","",TEXT(N123,"M/D")) &amp; " "</f>
        <v xml:space="preserve"> 100.00% Test in TB(Sanjaya) 6/12-6/12 </v>
      </c>
      <c r="AF123" s="4"/>
      <c r="AG123" s="4"/>
      <c r="AH123" s="4"/>
      <c r="AI123" s="4"/>
      <c r="AJ123" s="4"/>
      <c r="AK123" s="4"/>
      <c r="AL123" s="4"/>
      <c r="AM123" s="4"/>
      <c r="AN123" s="4"/>
      <c r="AO123" s="4"/>
      <c r="AP123" s="4"/>
      <c r="AQ123" s="4"/>
      <c r="AR123" s="4"/>
      <c r="AS123" s="4"/>
      <c r="AT123" s="4"/>
      <c r="AU123" s="4"/>
      <c r="AV123" s="4"/>
      <c r="AW123" s="4"/>
      <c r="AX123" s="4"/>
      <c r="AY123" s="4"/>
      <c r="AZ123" s="4"/>
      <c r="BA123" s="4"/>
      <c r="BB123" s="4"/>
      <c r="BC123" s="4"/>
      <c r="BD123" s="4"/>
      <c r="BE123" s="4"/>
      <c r="BF123" s="4"/>
      <c r="BG123" s="4"/>
      <c r="BH123" s="4"/>
      <c r="BI123" s="4"/>
      <c r="BJ123" s="4"/>
      <c r="BK123" s="4"/>
      <c r="BL123" s="4"/>
      <c r="BM123" s="4"/>
      <c r="BN123" s="4"/>
      <c r="BO123" s="4"/>
      <c r="BP123" s="4"/>
      <c r="BQ123" s="4"/>
      <c r="BR123" s="4"/>
      <c r="BS123" s="4"/>
      <c r="BT123" s="4"/>
      <c r="BU123" s="4"/>
      <c r="BV123" s="4"/>
      <c r="BW123" s="4"/>
      <c r="BX123" s="4"/>
      <c r="BY123" s="4"/>
      <c r="BZ123" s="4"/>
      <c r="CA123" s="4"/>
      <c r="CB123" s="4"/>
      <c r="CC123" s="4"/>
      <c r="CD123" s="4"/>
      <c r="CE123" s="4"/>
      <c r="CF123" s="4"/>
      <c r="CG123" s="4"/>
      <c r="CH123" s="4"/>
      <c r="CI123" s="4"/>
      <c r="CJ123" s="4"/>
      <c r="CK123" s="4"/>
      <c r="CL123" s="4"/>
      <c r="CM123" s="4"/>
      <c r="CN123" s="4"/>
      <c r="CO123" s="4"/>
      <c r="CP123" s="4"/>
      <c r="CQ123" s="4"/>
      <c r="CR123" s="4"/>
      <c r="CS123" s="4"/>
      <c r="CT123" s="4"/>
      <c r="CU123" s="4"/>
      <c r="CV123" s="4"/>
      <c r="CW123" s="4"/>
      <c r="CX123" s="4"/>
      <c r="CY123" s="4"/>
      <c r="CZ123" s="4"/>
      <c r="DA123" s="4"/>
      <c r="DB123" s="4"/>
      <c r="DC123" s="4"/>
      <c r="DD123" s="4"/>
      <c r="DE123" s="4"/>
      <c r="DF123" s="4"/>
      <c r="DG123" s="4"/>
      <c r="DH123" s="4"/>
      <c r="DI123" s="4"/>
      <c r="DJ123" s="4"/>
      <c r="DK123" s="4"/>
      <c r="DL123" s="4"/>
      <c r="DM123" s="4"/>
      <c r="DN123" s="4"/>
      <c r="DO123" s="4"/>
      <c r="DP123" s="4"/>
      <c r="DQ123" s="4"/>
      <c r="DR123" s="4"/>
      <c r="DS123" s="4"/>
      <c r="DT123" s="4"/>
      <c r="DU123" s="4"/>
      <c r="DV123" s="4"/>
      <c r="DW123" s="4"/>
      <c r="DX123" s="4"/>
      <c r="DY123" s="4"/>
      <c r="DZ123" s="4"/>
      <c r="EA123" s="4"/>
      <c r="EB123" s="4"/>
      <c r="EC123" s="4"/>
      <c r="ED123" s="4"/>
      <c r="EE123" s="4"/>
      <c r="EF123" s="4"/>
      <c r="EG123" s="4"/>
      <c r="EH123" s="4"/>
      <c r="EI123" s="4"/>
      <c r="EJ123" s="4"/>
      <c r="EK123" s="4"/>
      <c r="EL123" s="4"/>
      <c r="EM123" s="4"/>
      <c r="EN123" s="4"/>
      <c r="EO123" s="4"/>
      <c r="EP123" s="4"/>
      <c r="EQ123" s="4"/>
      <c r="ER123" s="4"/>
      <c r="ES123" s="4"/>
      <c r="ET123" s="4"/>
      <c r="EU123" s="4"/>
      <c r="EV123" s="4"/>
      <c r="EW123" s="4"/>
      <c r="EX123" s="4"/>
      <c r="EY123" s="4"/>
      <c r="EZ123" s="4"/>
      <c r="FA123" s="4"/>
      <c r="FB123" s="4"/>
      <c r="FC123" s="4"/>
      <c r="FD123" s="4"/>
      <c r="FE123" s="4"/>
      <c r="FF123" s="4"/>
      <c r="FG123" s="4"/>
      <c r="FH123" s="4"/>
      <c r="FI123" s="4"/>
      <c r="FJ123" s="4"/>
      <c r="FK123" s="4"/>
      <c r="FL123" s="4"/>
      <c r="FM123" s="4"/>
      <c r="FN123" s="4"/>
      <c r="FO123" s="4"/>
      <c r="FP123" s="4"/>
      <c r="FQ123" s="4"/>
      <c r="FR123" s="4"/>
      <c r="FS123" s="4"/>
      <c r="FT123" s="4"/>
      <c r="FU123" s="4"/>
      <c r="FV123" s="4"/>
      <c r="FW123" s="4"/>
      <c r="FX123" s="4"/>
      <c r="FY123" s="4"/>
      <c r="FZ123" s="4"/>
      <c r="GA123" s="4"/>
      <c r="GB123" s="4"/>
      <c r="GC123" s="4"/>
      <c r="GD123" s="4"/>
      <c r="GE123" s="4"/>
      <c r="GF123" s="4"/>
      <c r="GG123" s="4"/>
    </row>
    <row r="124" spans="1:189" ht="13.2" outlineLevel="1">
      <c r="A124" s="116"/>
      <c r="B124" s="116"/>
      <c r="C124" s="116">
        <v>2</v>
      </c>
      <c r="D124" s="3" t="s">
        <v>1215</v>
      </c>
      <c r="E124" s="207"/>
      <c r="F124" s="180" t="s">
        <v>1041</v>
      </c>
      <c r="G124" s="180"/>
      <c r="H124" s="180"/>
      <c r="I124" s="180"/>
      <c r="J124" s="180"/>
      <c r="K124" s="180"/>
      <c r="L124" s="180"/>
      <c r="M124" s="181">
        <v>45090</v>
      </c>
      <c r="N124" s="181">
        <v>45090</v>
      </c>
      <c r="O124" s="182"/>
      <c r="P124" s="183">
        <v>1</v>
      </c>
      <c r="Q124" s="183">
        <v>1</v>
      </c>
      <c r="R124" s="184">
        <v>1</v>
      </c>
      <c r="S124" s="184">
        <v>1</v>
      </c>
      <c r="T124" s="181"/>
      <c r="U124" s="181"/>
      <c r="V124" s="185"/>
      <c r="W124" s="186">
        <v>0</v>
      </c>
      <c r="X124" s="187">
        <v>1</v>
      </c>
      <c r="Y124" s="182"/>
      <c r="Z124" s="188"/>
      <c r="AA124" s="97">
        <v>1</v>
      </c>
      <c r="AB124" s="189">
        <v>0</v>
      </c>
      <c r="AC124" s="210"/>
      <c r="AD124" s="4"/>
      <c r="AE124" s="4" t="str">
        <f>" " &amp; TEXT(AB124,"#0.00%") &amp; " " &amp; "Service Launch" &amp; " " &amp; IF(M124="","",TEXT(M124,"M/D-")) &amp; IF(N124="","",TEXT(N124,"M/D")) &amp; " "</f>
        <v xml:space="preserve"> 0.00% Service Launch 6/13-6/13 </v>
      </c>
      <c r="AF124" s="4"/>
      <c r="AG124" s="4"/>
      <c r="AH124" s="4"/>
      <c r="AI124" s="4"/>
      <c r="AJ124" s="4"/>
      <c r="AK124" s="4"/>
      <c r="AL124" s="4"/>
      <c r="AM124" s="4"/>
      <c r="AN124" s="4"/>
      <c r="AO124" s="4"/>
      <c r="AP124" s="4"/>
      <c r="AQ124" s="4"/>
      <c r="AR124" s="4"/>
      <c r="AS124" s="4"/>
      <c r="AT124" s="4"/>
      <c r="AU124" s="4"/>
      <c r="AV124" s="4"/>
      <c r="AW124" s="4"/>
      <c r="AX124" s="4"/>
      <c r="AY124" s="4"/>
      <c r="AZ124" s="4"/>
      <c r="BA124" s="4"/>
      <c r="BB124" s="4"/>
      <c r="BC124" s="4"/>
      <c r="BD124" s="4"/>
      <c r="BE124" s="4"/>
      <c r="BF124" s="4"/>
      <c r="BG124" s="4"/>
      <c r="BH124" s="4"/>
      <c r="BI124" s="4"/>
      <c r="BJ124" s="4"/>
      <c r="BK124" s="4"/>
      <c r="BL124" s="4"/>
      <c r="BM124" s="4"/>
      <c r="BN124" s="4"/>
      <c r="BO124" s="4"/>
      <c r="BP124" s="4"/>
      <c r="BQ124" s="4"/>
      <c r="BR124" s="4"/>
      <c r="BS124" s="4"/>
      <c r="BT124" s="4"/>
      <c r="BU124" s="4"/>
      <c r="BV124" s="4"/>
      <c r="BW124" s="4"/>
      <c r="BX124" s="4"/>
      <c r="BY124" s="4"/>
      <c r="BZ124" s="4"/>
      <c r="CA124" s="4"/>
      <c r="CB124" s="4"/>
      <c r="CC124" s="4"/>
      <c r="CD124" s="4"/>
      <c r="CE124" s="4"/>
      <c r="CF124" s="4"/>
      <c r="CG124" s="4"/>
      <c r="CH124" s="4"/>
      <c r="CI124" s="4"/>
      <c r="CJ124" s="4"/>
      <c r="CK124" s="4"/>
      <c r="CL124" s="4"/>
      <c r="CM124" s="4"/>
      <c r="CN124" s="4"/>
      <c r="CO124" s="4"/>
      <c r="CP124" s="4"/>
      <c r="CQ124" s="4"/>
      <c r="CR124" s="4"/>
      <c r="CS124" s="4"/>
      <c r="CT124" s="4"/>
      <c r="CU124" s="4"/>
      <c r="CV124" s="4"/>
      <c r="CW124" s="4"/>
      <c r="CX124" s="4"/>
      <c r="CY124" s="4"/>
      <c r="CZ124" s="4"/>
      <c r="DA124" s="4"/>
      <c r="DB124" s="4"/>
      <c r="DC124" s="4"/>
      <c r="DD124" s="4"/>
      <c r="DE124" s="4"/>
      <c r="DF124" s="4"/>
      <c r="DG124" s="4"/>
      <c r="DH124" s="4"/>
      <c r="DI124" s="4"/>
      <c r="DJ124" s="4"/>
      <c r="DK124" s="4"/>
      <c r="DL124" s="4"/>
      <c r="DM124" s="4"/>
      <c r="DN124" s="4"/>
      <c r="DO124" s="4"/>
      <c r="DP124" s="4"/>
      <c r="DQ124" s="4"/>
      <c r="DR124" s="4"/>
      <c r="DS124" s="4"/>
      <c r="DT124" s="4"/>
      <c r="DU124" s="4"/>
      <c r="DV124" s="4"/>
      <c r="DW124" s="4"/>
      <c r="DX124" s="4"/>
      <c r="DY124" s="4"/>
      <c r="DZ124" s="4"/>
      <c r="EA124" s="4"/>
      <c r="EB124" s="4"/>
      <c r="EC124" s="4"/>
      <c r="ED124" s="4"/>
      <c r="EE124" s="4"/>
      <c r="EF124" s="4"/>
      <c r="EG124" s="4"/>
      <c r="EH124" s="4"/>
      <c r="EI124" s="4"/>
      <c r="EJ124" s="4"/>
      <c r="EK124" s="4"/>
      <c r="EL124" s="4"/>
      <c r="EM124" s="4"/>
      <c r="EN124" s="4"/>
      <c r="EO124" s="4"/>
      <c r="EP124" s="4"/>
      <c r="EQ124" s="4"/>
      <c r="ER124" s="4"/>
      <c r="ES124" s="4"/>
      <c r="ET124" s="4"/>
      <c r="EU124" s="4"/>
      <c r="EV124" s="4"/>
      <c r="EW124" s="4"/>
      <c r="EX124" s="4"/>
      <c r="EY124" s="4"/>
      <c r="EZ124" s="4"/>
      <c r="FA124" s="4"/>
      <c r="FB124" s="4"/>
      <c r="FC124" s="4"/>
      <c r="FD124" s="4"/>
      <c r="FE124" s="4"/>
      <c r="FF124" s="4"/>
      <c r="FG124" s="4"/>
      <c r="FH124" s="4"/>
      <c r="FI124" s="4"/>
      <c r="FJ124" s="4"/>
      <c r="FK124" s="4"/>
      <c r="FL124" s="4"/>
      <c r="FM124" s="4"/>
      <c r="FN124" s="4"/>
      <c r="FO124" s="4"/>
      <c r="FP124" s="4"/>
      <c r="FQ124" s="4"/>
      <c r="FR124" s="4"/>
      <c r="FS124" s="4"/>
      <c r="FT124" s="4"/>
      <c r="FU124" s="4"/>
      <c r="FV124" s="4"/>
      <c r="FW124" s="4"/>
      <c r="FX124" s="4"/>
      <c r="FY124" s="4"/>
      <c r="FZ124" s="4"/>
      <c r="GA124" s="4"/>
      <c r="GB124" s="4"/>
      <c r="GC124" s="4"/>
      <c r="GD124" s="4"/>
      <c r="GE124" s="4"/>
      <c r="GF124" s="4"/>
      <c r="GG124" s="4"/>
    </row>
    <row r="125" spans="1:189" outlineLevel="1">
      <c r="A125" s="116"/>
      <c r="B125" s="116"/>
      <c r="C125" s="116">
        <v>0</v>
      </c>
      <c r="D125" s="3"/>
      <c r="E125" s="180"/>
      <c r="F125" s="180"/>
      <c r="G125" s="180"/>
      <c r="H125" s="180"/>
      <c r="I125" s="180"/>
      <c r="J125" s="180"/>
      <c r="K125" s="180"/>
      <c r="L125" s="180"/>
      <c r="M125" s="181"/>
      <c r="N125" s="181"/>
      <c r="O125" s="182"/>
      <c r="P125" s="183"/>
      <c r="Q125" s="183"/>
      <c r="R125" s="184">
        <v>0</v>
      </c>
      <c r="S125" s="184">
        <v>0</v>
      </c>
      <c r="T125" s="181"/>
      <c r="U125" s="181"/>
      <c r="V125" s="185"/>
      <c r="W125" s="186">
        <v>0</v>
      </c>
      <c r="X125" s="187"/>
      <c r="Y125" s="182"/>
      <c r="Z125" s="188"/>
      <c r="AA125" s="97"/>
      <c r="AB125" s="189"/>
      <c r="AC125" s="219"/>
      <c r="AD125" s="219"/>
      <c r="AE125" s="219"/>
      <c r="AF125" s="219"/>
      <c r="AG125" s="219"/>
      <c r="AH125" s="219"/>
      <c r="AI125" s="219"/>
      <c r="AJ125" s="219"/>
      <c r="AK125" s="219"/>
      <c r="AL125" s="219"/>
      <c r="AM125" s="219"/>
      <c r="AN125" s="219"/>
      <c r="AO125" s="219"/>
      <c r="AP125" s="219"/>
      <c r="AQ125" s="219"/>
      <c r="AR125" s="219"/>
      <c r="AS125" s="219"/>
      <c r="AT125" s="219"/>
      <c r="AU125" s="219"/>
      <c r="AV125" s="219"/>
      <c r="AW125" s="219"/>
      <c r="AX125" s="219"/>
      <c r="AY125" s="219"/>
      <c r="AZ125" s="219"/>
      <c r="BA125" s="219"/>
      <c r="BB125" s="219"/>
      <c r="BC125" s="219"/>
      <c r="BD125" s="219"/>
      <c r="BE125" s="219"/>
      <c r="BF125" s="219"/>
      <c r="BG125" s="219"/>
      <c r="BH125" s="219"/>
      <c r="BI125" s="219"/>
      <c r="BJ125" s="219"/>
      <c r="BK125" s="219"/>
      <c r="BL125" s="219"/>
      <c r="BM125" s="219"/>
      <c r="BN125" s="219"/>
      <c r="BO125" s="219"/>
      <c r="BP125" s="219"/>
      <c r="BQ125" s="219"/>
      <c r="BR125" s="219"/>
      <c r="BS125" s="219"/>
      <c r="BT125" s="219"/>
      <c r="BU125" s="219"/>
      <c r="BV125" s="219"/>
      <c r="BW125" s="219"/>
      <c r="BX125" s="219"/>
      <c r="BY125" s="219"/>
      <c r="BZ125" s="219"/>
      <c r="CA125" s="219"/>
      <c r="CB125" s="219"/>
      <c r="CC125" s="219"/>
      <c r="CD125" s="219"/>
      <c r="CE125" s="219"/>
      <c r="CF125" s="219"/>
      <c r="CG125" s="219"/>
      <c r="CH125" s="219"/>
      <c r="CI125" s="219"/>
      <c r="CJ125" s="219"/>
      <c r="CK125" s="219"/>
      <c r="CL125" s="219"/>
      <c r="CM125" s="219"/>
      <c r="CN125" s="219"/>
      <c r="CO125" s="219"/>
      <c r="CP125" s="219"/>
      <c r="CQ125" s="219"/>
      <c r="CR125" s="219"/>
      <c r="CS125" s="219"/>
      <c r="CT125" s="219"/>
      <c r="CU125" s="219"/>
      <c r="CV125" s="219"/>
      <c r="CW125" s="219"/>
      <c r="CX125" s="219"/>
      <c r="CY125" s="219"/>
      <c r="CZ125" s="219"/>
      <c r="DA125" s="219"/>
      <c r="DB125" s="219"/>
      <c r="DC125" s="219"/>
      <c r="DD125" s="219"/>
      <c r="DE125" s="219"/>
      <c r="DF125" s="219"/>
      <c r="DG125" s="219"/>
      <c r="DH125" s="219"/>
      <c r="DI125" s="219"/>
      <c r="DJ125" s="219"/>
      <c r="DK125" s="219"/>
      <c r="DL125" s="219"/>
      <c r="DM125" s="219"/>
      <c r="DN125" s="219"/>
      <c r="DO125" s="219"/>
      <c r="DP125" s="219"/>
      <c r="DQ125" s="219"/>
      <c r="DR125" s="219"/>
      <c r="DS125" s="219"/>
      <c r="DT125" s="219"/>
      <c r="DU125" s="219"/>
      <c r="DV125" s="219"/>
      <c r="DW125" s="219"/>
      <c r="DX125" s="219"/>
      <c r="DY125" s="219"/>
      <c r="DZ125" s="219"/>
      <c r="EA125" s="219"/>
      <c r="EB125" s="219"/>
      <c r="EC125" s="219"/>
      <c r="ED125" s="219"/>
      <c r="EE125" s="219"/>
      <c r="EF125" s="219"/>
      <c r="EG125" s="219"/>
      <c r="EH125" s="219"/>
      <c r="EI125" s="219"/>
      <c r="EJ125" s="219"/>
      <c r="EK125" s="219"/>
      <c r="EL125" s="219"/>
      <c r="EM125" s="219"/>
      <c r="EN125" s="219"/>
      <c r="EO125" s="219"/>
      <c r="EP125" s="219"/>
      <c r="EQ125" s="219"/>
      <c r="ER125" s="219"/>
      <c r="ES125" s="219"/>
      <c r="ET125" s="219"/>
      <c r="EU125" s="219"/>
      <c r="EV125" s="219"/>
      <c r="EW125" s="219"/>
      <c r="EX125" s="219"/>
      <c r="EY125" s="219"/>
      <c r="EZ125" s="219"/>
      <c r="FA125" s="219"/>
      <c r="FB125" s="219"/>
      <c r="FC125" s="219"/>
      <c r="FD125" s="219"/>
      <c r="FE125" s="219"/>
      <c r="FF125" s="219"/>
      <c r="FG125" s="219"/>
      <c r="FH125" s="219"/>
      <c r="FI125" s="219"/>
      <c r="FJ125" s="219"/>
      <c r="FK125" s="219"/>
      <c r="FL125" s="219"/>
      <c r="FM125" s="219"/>
      <c r="FN125" s="219"/>
      <c r="FO125" s="219"/>
      <c r="FP125" s="219"/>
      <c r="FQ125" s="219"/>
      <c r="FR125" s="219"/>
      <c r="FS125" s="219"/>
      <c r="FT125" s="219"/>
      <c r="FU125" s="219"/>
      <c r="FV125" s="219"/>
      <c r="FW125" s="219"/>
      <c r="FX125" s="219"/>
      <c r="FY125" s="219"/>
      <c r="FZ125" s="219"/>
      <c r="GA125" s="219"/>
      <c r="GB125" s="219"/>
      <c r="GC125" s="219"/>
      <c r="GD125" s="219"/>
      <c r="GE125" s="219"/>
      <c r="GF125" s="219"/>
      <c r="GG125" s="219"/>
    </row>
    <row r="126" spans="1:189">
      <c r="A126" s="116"/>
      <c r="B126" s="116" t="s">
        <v>983</v>
      </c>
      <c r="C126" s="116">
        <v>1</v>
      </c>
      <c r="D126" s="3" t="s">
        <v>1221</v>
      </c>
      <c r="E126" s="180" t="s">
        <v>1218</v>
      </c>
      <c r="F126" s="180"/>
      <c r="G126" s="180"/>
      <c r="H126" s="180"/>
      <c r="I126" s="180"/>
      <c r="J126" s="180"/>
      <c r="K126" s="180"/>
      <c r="L126" s="180"/>
      <c r="M126" s="181">
        <v>45096</v>
      </c>
      <c r="N126" s="181">
        <v>45131</v>
      </c>
      <c r="O126" s="182"/>
      <c r="P126" s="183">
        <v>26</v>
      </c>
      <c r="Q126" s="183">
        <v>1</v>
      </c>
      <c r="R126" s="184">
        <v>26</v>
      </c>
      <c r="S126" s="184">
        <v>1</v>
      </c>
      <c r="T126" s="181"/>
      <c r="U126" s="181"/>
      <c r="V126" s="185">
        <v>0</v>
      </c>
      <c r="W126" s="186">
        <v>0</v>
      </c>
      <c r="X126" s="187"/>
      <c r="Y126" s="182"/>
      <c r="Z126" s="188"/>
      <c r="AA126" s="97">
        <v>3.8461538461538464E-2</v>
      </c>
      <c r="AB126" s="189">
        <v>0</v>
      </c>
      <c r="AF126" s="114" t="str">
        <f>"" &amp; TEXT(AB126,"#0.00%") &amp; " "</f>
        <v xml:space="preserve">0.00% </v>
      </c>
      <c r="AK126" s="114" t="str">
        <f>" " &amp; "[2306-12] Automatic Reconciliation" &amp; " " &amp; IF(M126="","",TEXT(M126,"M/D-")) &amp; IF(N126="","",TEXT(N126,"M/D")) &amp; " "</f>
        <v xml:space="preserve"> [2306-12] Automatic Reconciliation 6/19-7/24 </v>
      </c>
    </row>
    <row r="127" spans="1:189" outlineLevel="1">
      <c r="A127" s="116"/>
      <c r="B127" s="116"/>
      <c r="C127" s="116">
        <v>2</v>
      </c>
      <c r="D127" s="3" t="s">
        <v>1222</v>
      </c>
      <c r="E127" s="180"/>
      <c r="F127" s="180" t="s">
        <v>1219</v>
      </c>
      <c r="G127" s="180"/>
      <c r="H127" s="180"/>
      <c r="I127" s="180"/>
      <c r="J127" s="180"/>
      <c r="K127" s="180"/>
      <c r="L127" s="180"/>
      <c r="M127" s="181"/>
      <c r="N127" s="181"/>
      <c r="O127" s="182"/>
      <c r="P127" s="183">
        <v>0</v>
      </c>
      <c r="Q127" s="183">
        <v>0</v>
      </c>
      <c r="R127" s="184">
        <v>0</v>
      </c>
      <c r="S127" s="184">
        <v>0</v>
      </c>
      <c r="T127" s="181"/>
      <c r="U127" s="181"/>
      <c r="V127" s="185">
        <v>0</v>
      </c>
      <c r="W127" s="186">
        <v>0</v>
      </c>
      <c r="X127" s="187"/>
      <c r="Y127" s="182"/>
      <c r="Z127" s="188"/>
      <c r="AA127" s="97">
        <v>0</v>
      </c>
      <c r="AB127" s="189">
        <v>0</v>
      </c>
    </row>
    <row r="128" spans="1:189" ht="13.2" outlineLevel="1">
      <c r="A128" s="116"/>
      <c r="B128" s="116"/>
      <c r="C128" s="116">
        <v>2</v>
      </c>
      <c r="D128" s="3" t="s">
        <v>1223</v>
      </c>
      <c r="E128" s="207"/>
      <c r="F128" s="180" t="s">
        <v>1071</v>
      </c>
      <c r="G128" s="180"/>
      <c r="H128" s="180"/>
      <c r="I128" s="180"/>
      <c r="J128" s="180"/>
      <c r="K128" s="180"/>
      <c r="L128" s="180"/>
      <c r="M128" s="181">
        <v>45096</v>
      </c>
      <c r="N128" s="181">
        <v>45100</v>
      </c>
      <c r="O128" s="182"/>
      <c r="P128" s="183">
        <v>5</v>
      </c>
      <c r="Q128" s="183">
        <v>1</v>
      </c>
      <c r="R128" s="184">
        <v>5</v>
      </c>
      <c r="S128" s="184">
        <v>1</v>
      </c>
      <c r="T128" s="181"/>
      <c r="U128" s="181"/>
      <c r="V128" s="185"/>
      <c r="W128" s="186">
        <v>0</v>
      </c>
      <c r="X128" s="187">
        <v>1</v>
      </c>
      <c r="Y128" s="182"/>
      <c r="Z128" s="188"/>
      <c r="AA128" s="97">
        <v>0.2</v>
      </c>
      <c r="AB128" s="189">
        <v>0</v>
      </c>
      <c r="AF128" s="114" t="str">
        <f>"" &amp; TEXT(AB128,"#0.00%") &amp; " " &amp; "Design" &amp; " " &amp; IF(M128="","",TEXT(M128,"M/D-")) &amp; IF(N128="","",TEXT(N128,"M/D")) &amp; " "</f>
        <v xml:space="preserve">0.00% Design 6/19-6/23 </v>
      </c>
    </row>
    <row r="129" spans="1:37" outlineLevel="1">
      <c r="A129" s="116"/>
      <c r="B129" s="116"/>
      <c r="C129" s="116">
        <v>2</v>
      </c>
      <c r="D129" s="3" t="s">
        <v>1224</v>
      </c>
      <c r="E129" s="180"/>
      <c r="F129" s="180" t="s">
        <v>1038</v>
      </c>
      <c r="G129" s="180"/>
      <c r="H129" s="180"/>
      <c r="I129" s="180"/>
      <c r="J129" s="180"/>
      <c r="K129" s="180"/>
      <c r="L129" s="180"/>
      <c r="M129" s="181">
        <v>45103</v>
      </c>
      <c r="N129" s="181">
        <v>45114</v>
      </c>
      <c r="O129" s="182"/>
      <c r="P129" s="183">
        <v>10</v>
      </c>
      <c r="Q129" s="183">
        <v>0</v>
      </c>
      <c r="R129" s="184">
        <v>10</v>
      </c>
      <c r="S129" s="184">
        <v>0</v>
      </c>
      <c r="T129" s="181"/>
      <c r="U129" s="181"/>
      <c r="V129" s="185"/>
      <c r="W129" s="186">
        <v>0</v>
      </c>
      <c r="X129" s="187">
        <v>1</v>
      </c>
      <c r="Y129" s="182"/>
      <c r="Z129" s="188"/>
      <c r="AA129" s="97">
        <v>0</v>
      </c>
      <c r="AB129" s="189">
        <v>0</v>
      </c>
      <c r="AG129" s="114" t="str">
        <f>"" &amp; TEXT(AB129,"#0.00%") &amp; " " &amp; "Development" &amp; " " &amp; IF(M129="","",TEXT(M129,"M/D-")) &amp; IF(N129="","",TEXT(N129,"M/D")) &amp; " "</f>
        <v xml:space="preserve">0.00% Development 6/26-7/7 </v>
      </c>
    </row>
    <row r="130" spans="1:37" outlineLevel="1">
      <c r="A130" s="116"/>
      <c r="B130" s="116"/>
      <c r="C130" s="116">
        <v>2</v>
      </c>
      <c r="D130" s="3" t="s">
        <v>1225</v>
      </c>
      <c r="E130" s="180"/>
      <c r="F130" s="180" t="s">
        <v>1228</v>
      </c>
      <c r="G130" s="180"/>
      <c r="H130" s="180"/>
      <c r="I130" s="180"/>
      <c r="J130" s="180"/>
      <c r="K130" s="180"/>
      <c r="L130" s="180"/>
      <c r="M130" s="181">
        <v>45117</v>
      </c>
      <c r="N130" s="181">
        <v>45128</v>
      </c>
      <c r="O130" s="182"/>
      <c r="P130" s="183">
        <v>10</v>
      </c>
      <c r="Q130" s="183">
        <v>0</v>
      </c>
      <c r="R130" s="184">
        <v>10</v>
      </c>
      <c r="S130" s="184">
        <v>0</v>
      </c>
      <c r="T130" s="181"/>
      <c r="U130" s="181"/>
      <c r="V130" s="185"/>
      <c r="W130" s="186">
        <v>0</v>
      </c>
      <c r="X130" s="187">
        <v>1</v>
      </c>
      <c r="Y130" s="182"/>
      <c r="Z130" s="188"/>
      <c r="AA130" s="97">
        <v>0</v>
      </c>
      <c r="AB130" s="189">
        <v>0</v>
      </c>
      <c r="AI130" s="114" t="str">
        <f>"" &amp; TEXT(AB130,"#0.00%") &amp; " " &amp; "Verification" &amp; " " &amp; IF(M130="","",TEXT(M130,"M/D-")) &amp; IF(N130="","",TEXT(N130,"M/D")) &amp; " "</f>
        <v xml:space="preserve">0.00% Verification 7/10-7/21 </v>
      </c>
    </row>
    <row r="131" spans="1:37" outlineLevel="1">
      <c r="A131" s="116"/>
      <c r="B131" s="116"/>
      <c r="C131" s="116">
        <v>2</v>
      </c>
      <c r="D131" s="3" t="s">
        <v>1226</v>
      </c>
      <c r="E131" s="180"/>
      <c r="F131" s="180" t="s">
        <v>1041</v>
      </c>
      <c r="G131" s="180"/>
      <c r="H131" s="180"/>
      <c r="I131" s="180"/>
      <c r="J131" s="180"/>
      <c r="K131" s="180"/>
      <c r="L131" s="180"/>
      <c r="M131" s="181">
        <v>45131</v>
      </c>
      <c r="N131" s="181">
        <v>45131</v>
      </c>
      <c r="O131" s="182"/>
      <c r="P131" s="183">
        <v>1</v>
      </c>
      <c r="Q131" s="183">
        <v>0</v>
      </c>
      <c r="R131" s="184">
        <v>1</v>
      </c>
      <c r="S131" s="184">
        <v>0</v>
      </c>
      <c r="T131" s="181"/>
      <c r="U131" s="181"/>
      <c r="V131" s="185"/>
      <c r="W131" s="186">
        <v>0</v>
      </c>
      <c r="X131" s="187">
        <v>1</v>
      </c>
      <c r="Y131" s="182"/>
      <c r="Z131" s="188"/>
      <c r="AA131" s="97">
        <v>0</v>
      </c>
      <c r="AB131" s="189">
        <v>0</v>
      </c>
      <c r="AK131" s="114" t="str">
        <f>"" &amp; TEXT(AB131,"#0.00%") &amp; " " &amp; "Service Launch" &amp; " " &amp; IF(M131="","",TEXT(M131,"M/D-")) &amp; IF(N131="","",TEXT(N131,"M/D")) &amp; " "</f>
        <v xml:space="preserve">0.00% Service Launch 7/24-7/24 </v>
      </c>
    </row>
    <row r="132" spans="1:37" ht="13.2" outlineLevel="1">
      <c r="A132" s="116"/>
      <c r="B132" s="116"/>
      <c r="C132" s="116">
        <v>0</v>
      </c>
      <c r="D132" s="3"/>
      <c r="E132" s="207"/>
      <c r="F132" s="180"/>
      <c r="G132" s="180"/>
      <c r="H132" s="180"/>
      <c r="I132" s="180"/>
      <c r="J132" s="180"/>
      <c r="K132" s="180"/>
      <c r="L132" s="180"/>
      <c r="M132" s="181"/>
      <c r="N132" s="181"/>
      <c r="O132" s="182"/>
      <c r="P132" s="183"/>
      <c r="Q132" s="183"/>
      <c r="R132" s="184">
        <v>0</v>
      </c>
      <c r="S132" s="184">
        <v>0</v>
      </c>
      <c r="T132" s="181"/>
      <c r="U132" s="181"/>
      <c r="V132" s="185"/>
      <c r="W132" s="186">
        <v>0</v>
      </c>
      <c r="X132" s="187"/>
      <c r="Y132" s="182"/>
      <c r="Z132" s="188"/>
      <c r="AA132" s="97"/>
      <c r="AB132" s="189"/>
    </row>
    <row r="133" spans="1:37">
      <c r="A133" s="116"/>
      <c r="B133" s="116" t="s">
        <v>983</v>
      </c>
      <c r="C133" s="116">
        <v>1</v>
      </c>
      <c r="D133" s="3" t="s">
        <v>1229</v>
      </c>
      <c r="E133" s="180" t="s">
        <v>1227</v>
      </c>
      <c r="F133" s="180"/>
      <c r="G133" s="180"/>
      <c r="H133" s="180"/>
      <c r="I133" s="180"/>
      <c r="J133" s="180"/>
      <c r="K133" s="180"/>
      <c r="L133" s="180"/>
      <c r="M133" s="181"/>
      <c r="N133" s="181"/>
      <c r="O133" s="182"/>
      <c r="P133" s="183">
        <v>0</v>
      </c>
      <c r="Q133" s="183">
        <v>0</v>
      </c>
      <c r="R133" s="184">
        <v>0</v>
      </c>
      <c r="S133" s="184">
        <v>0</v>
      </c>
      <c r="T133" s="181"/>
      <c r="U133" s="181"/>
      <c r="V133" s="185">
        <v>0</v>
      </c>
      <c r="W133" s="186">
        <v>0</v>
      </c>
      <c r="X133" s="187"/>
      <c r="Y133" s="182"/>
      <c r="Z133" s="188"/>
      <c r="AA133" s="97">
        <v>0</v>
      </c>
      <c r="AB133" s="189">
        <v>0</v>
      </c>
    </row>
    <row r="134" spans="1:37" outlineLevel="1">
      <c r="A134" s="116"/>
      <c r="B134" s="116"/>
      <c r="C134" s="116">
        <v>2</v>
      </c>
      <c r="D134" s="3" t="s">
        <v>1230</v>
      </c>
      <c r="E134" s="180"/>
      <c r="F134" s="180" t="s">
        <v>1071</v>
      </c>
      <c r="G134" s="180"/>
      <c r="H134" s="180"/>
      <c r="I134" s="180"/>
      <c r="J134" s="180"/>
      <c r="K134" s="180"/>
      <c r="L134" s="180"/>
      <c r="M134" s="181"/>
      <c r="N134" s="181"/>
      <c r="O134" s="182"/>
      <c r="P134" s="183">
        <v>0</v>
      </c>
      <c r="Q134" s="183">
        <v>0</v>
      </c>
      <c r="R134" s="184">
        <v>0</v>
      </c>
      <c r="S134" s="184">
        <v>0</v>
      </c>
      <c r="T134" s="181"/>
      <c r="U134" s="181"/>
      <c r="V134" s="185">
        <v>0</v>
      </c>
      <c r="W134" s="186">
        <v>0</v>
      </c>
      <c r="X134" s="187"/>
      <c r="Y134" s="182"/>
      <c r="Z134" s="188"/>
      <c r="AA134" s="97">
        <v>0</v>
      </c>
      <c r="AB134" s="189">
        <v>0</v>
      </c>
    </row>
    <row r="135" spans="1:37" outlineLevel="1">
      <c r="A135" s="116"/>
      <c r="B135" s="116"/>
      <c r="C135" s="116">
        <v>2</v>
      </c>
      <c r="D135" s="3" t="s">
        <v>1231</v>
      </c>
      <c r="E135" s="180"/>
      <c r="F135" s="180" t="s">
        <v>1038</v>
      </c>
      <c r="G135" s="180"/>
      <c r="H135" s="180"/>
      <c r="I135" s="180"/>
      <c r="J135" s="180"/>
      <c r="K135" s="180"/>
      <c r="L135" s="180"/>
      <c r="M135" s="181"/>
      <c r="N135" s="181"/>
      <c r="O135" s="182"/>
      <c r="P135" s="183">
        <v>0</v>
      </c>
      <c r="Q135" s="183">
        <v>0</v>
      </c>
      <c r="R135" s="184">
        <v>0</v>
      </c>
      <c r="S135" s="184">
        <v>0</v>
      </c>
      <c r="T135" s="181"/>
      <c r="U135" s="181"/>
      <c r="V135" s="185">
        <v>0</v>
      </c>
      <c r="W135" s="186">
        <v>0</v>
      </c>
      <c r="X135" s="187"/>
      <c r="Y135" s="182"/>
      <c r="Z135" s="188"/>
      <c r="AA135" s="97">
        <v>0</v>
      </c>
      <c r="AB135" s="189">
        <v>0</v>
      </c>
    </row>
    <row r="136" spans="1:37" ht="13.2" outlineLevel="1">
      <c r="A136" s="116"/>
      <c r="B136" s="116"/>
      <c r="C136" s="116">
        <v>2</v>
      </c>
      <c r="D136" s="3" t="s">
        <v>1232</v>
      </c>
      <c r="E136" s="207"/>
      <c r="F136" s="180" t="s">
        <v>1228</v>
      </c>
      <c r="G136" s="180"/>
      <c r="H136" s="180"/>
      <c r="I136" s="180"/>
      <c r="J136" s="180"/>
      <c r="K136" s="180"/>
      <c r="L136" s="180"/>
      <c r="M136" s="181"/>
      <c r="N136" s="181"/>
      <c r="O136" s="182"/>
      <c r="P136" s="183">
        <v>0</v>
      </c>
      <c r="Q136" s="183">
        <v>0</v>
      </c>
      <c r="R136" s="184">
        <v>0</v>
      </c>
      <c r="S136" s="184">
        <v>0</v>
      </c>
      <c r="T136" s="181"/>
      <c r="U136" s="181"/>
      <c r="V136" s="185">
        <v>0</v>
      </c>
      <c r="W136" s="186">
        <v>0</v>
      </c>
      <c r="X136" s="187"/>
      <c r="Y136" s="182"/>
      <c r="Z136" s="188"/>
      <c r="AA136" s="97">
        <v>0</v>
      </c>
      <c r="AB136" s="189">
        <v>0</v>
      </c>
    </row>
    <row r="137" spans="1:37" outlineLevel="1">
      <c r="A137" s="116"/>
      <c r="B137" s="116"/>
      <c r="C137" s="116">
        <v>2</v>
      </c>
      <c r="D137" s="3" t="s">
        <v>1233</v>
      </c>
      <c r="E137" s="180"/>
      <c r="F137" s="180" t="s">
        <v>1041</v>
      </c>
      <c r="G137" s="180"/>
      <c r="H137" s="180"/>
      <c r="I137" s="180"/>
      <c r="J137" s="180"/>
      <c r="K137" s="180"/>
      <c r="L137" s="180"/>
      <c r="M137" s="181"/>
      <c r="N137" s="181"/>
      <c r="O137" s="182"/>
      <c r="P137" s="183">
        <v>0</v>
      </c>
      <c r="Q137" s="183">
        <v>0</v>
      </c>
      <c r="R137" s="184">
        <v>0</v>
      </c>
      <c r="S137" s="184">
        <v>0</v>
      </c>
      <c r="T137" s="181"/>
      <c r="U137" s="181"/>
      <c r="V137" s="185">
        <v>0</v>
      </c>
      <c r="W137" s="186">
        <v>0</v>
      </c>
      <c r="X137" s="187"/>
      <c r="Y137" s="182"/>
      <c r="Z137" s="188"/>
      <c r="AA137" s="97">
        <v>0</v>
      </c>
      <c r="AB137" s="189">
        <v>0</v>
      </c>
    </row>
    <row r="138" spans="1:37" outlineLevel="1">
      <c r="A138" s="116"/>
      <c r="B138" s="116"/>
      <c r="C138" s="116">
        <v>0</v>
      </c>
      <c r="D138" s="3"/>
      <c r="E138" s="180"/>
      <c r="F138" s="180"/>
      <c r="G138" s="180"/>
      <c r="H138" s="180"/>
      <c r="I138" s="180"/>
      <c r="J138" s="180"/>
      <c r="K138" s="180"/>
      <c r="L138" s="180"/>
      <c r="M138" s="181"/>
      <c r="N138" s="181"/>
      <c r="O138" s="182"/>
      <c r="P138" s="183"/>
      <c r="Q138" s="183"/>
      <c r="R138" s="184">
        <v>0</v>
      </c>
      <c r="S138" s="184">
        <v>0</v>
      </c>
      <c r="T138" s="181"/>
      <c r="U138" s="181"/>
      <c r="V138" s="185"/>
      <c r="W138" s="186">
        <v>0</v>
      </c>
      <c r="X138" s="187"/>
      <c r="Y138" s="182"/>
      <c r="Z138" s="188"/>
      <c r="AA138" s="97"/>
      <c r="AB138" s="189"/>
    </row>
    <row r="139" spans="1:37">
      <c r="A139" s="116"/>
      <c r="B139" s="116" t="s">
        <v>983</v>
      </c>
      <c r="C139" s="116">
        <v>1</v>
      </c>
      <c r="D139" s="3" t="s">
        <v>1235</v>
      </c>
      <c r="E139" s="180" t="s">
        <v>1234</v>
      </c>
      <c r="F139" s="180"/>
      <c r="G139" s="180"/>
      <c r="H139" s="180"/>
      <c r="I139" s="180"/>
      <c r="J139" s="180"/>
      <c r="K139" s="180"/>
      <c r="L139" s="180"/>
      <c r="M139" s="181">
        <v>45090</v>
      </c>
      <c r="N139" s="181">
        <v>45104</v>
      </c>
      <c r="O139" s="182"/>
      <c r="P139" s="183">
        <v>11</v>
      </c>
      <c r="Q139" s="183">
        <v>5</v>
      </c>
      <c r="R139" s="184">
        <v>11</v>
      </c>
      <c r="S139" s="184">
        <v>5</v>
      </c>
      <c r="T139" s="181"/>
      <c r="U139" s="181"/>
      <c r="V139" s="185">
        <v>0</v>
      </c>
      <c r="W139" s="186">
        <v>0</v>
      </c>
      <c r="X139" s="187"/>
      <c r="Y139" s="182"/>
      <c r="Z139" s="188"/>
      <c r="AA139" s="97">
        <v>0.45454545454545453</v>
      </c>
      <c r="AB139" s="189">
        <v>0</v>
      </c>
      <c r="AE139" s="114" t="str">
        <f>" " &amp; TEXT(AB139,"#0.00%") &amp; " " &amp; "[2306-05] Setup dynamic settlement currency from core" &amp; " " &amp; IF(M139="","",TEXT(M139,"M/D-")) &amp; IF(N139="","",TEXT(N139,"M/D")) &amp; " "</f>
        <v xml:space="preserve"> 0.00% [2306-05] Setup dynamic settlement currency from core 6/13-6/27 </v>
      </c>
    </row>
    <row r="140" spans="1:37" ht="13.2" outlineLevel="1">
      <c r="A140" s="116"/>
      <c r="B140" s="116"/>
      <c r="C140" s="116">
        <v>2</v>
      </c>
      <c r="D140" s="3" t="s">
        <v>1236</v>
      </c>
      <c r="E140" s="207"/>
      <c r="F140" s="180" t="s">
        <v>1038</v>
      </c>
      <c r="G140" s="180"/>
      <c r="H140" s="180"/>
      <c r="I140" s="180"/>
      <c r="J140" s="180"/>
      <c r="K140" s="180"/>
      <c r="L140" s="180"/>
      <c r="M140" s="181">
        <v>45090</v>
      </c>
      <c r="N140" s="181">
        <v>45104</v>
      </c>
      <c r="O140" s="182"/>
      <c r="P140" s="183">
        <v>11</v>
      </c>
      <c r="Q140" s="183">
        <v>5</v>
      </c>
      <c r="R140" s="184">
        <v>11</v>
      </c>
      <c r="S140" s="184">
        <v>5</v>
      </c>
      <c r="T140" s="181"/>
      <c r="U140" s="181"/>
      <c r="V140" s="185"/>
      <c r="W140" s="186">
        <v>0</v>
      </c>
      <c r="X140" s="187">
        <v>1</v>
      </c>
      <c r="Y140" s="182" t="s">
        <v>1240</v>
      </c>
      <c r="Z140" s="188"/>
      <c r="AA140" s="97">
        <v>0.45454545454545453</v>
      </c>
      <c r="AB140" s="189">
        <v>0</v>
      </c>
      <c r="AE140" s="114" t="str">
        <f>" " &amp; TEXT(AB140,"#0.00%") &amp; " " &amp; "Development" &amp; "(Subash,Saroj)" &amp; " " &amp; IF(M140="","",TEXT(M140,"M/D-")) &amp; IF(N140="","",TEXT(N140,"M/D")) &amp; " "</f>
        <v xml:space="preserve"> 0.00% Development(Subash,Saroj) 6/13-6/27 </v>
      </c>
    </row>
    <row r="141" spans="1:37" outlineLevel="1">
      <c r="A141" s="116"/>
      <c r="B141" s="116"/>
      <c r="C141" s="116">
        <v>2</v>
      </c>
      <c r="D141" s="3" t="s">
        <v>1237</v>
      </c>
      <c r="E141" s="180"/>
      <c r="F141" s="180" t="s">
        <v>1040</v>
      </c>
      <c r="G141" s="180"/>
      <c r="H141" s="180"/>
      <c r="I141" s="180"/>
      <c r="J141" s="180"/>
      <c r="K141" s="180"/>
      <c r="L141" s="180"/>
      <c r="M141" s="181"/>
      <c r="N141" s="181"/>
      <c r="O141" s="182"/>
      <c r="P141" s="183">
        <v>0</v>
      </c>
      <c r="Q141" s="183">
        <v>0</v>
      </c>
      <c r="R141" s="184">
        <v>0</v>
      </c>
      <c r="S141" s="184">
        <v>0</v>
      </c>
      <c r="T141" s="181"/>
      <c r="U141" s="181"/>
      <c r="V141" s="185">
        <v>0</v>
      </c>
      <c r="W141" s="186">
        <v>0</v>
      </c>
      <c r="X141" s="187"/>
      <c r="Y141" s="182"/>
      <c r="Z141" s="188"/>
      <c r="AA141" s="97">
        <v>0</v>
      </c>
      <c r="AB141" s="189">
        <v>0</v>
      </c>
    </row>
    <row r="142" spans="1:37" outlineLevel="1">
      <c r="A142" s="116"/>
      <c r="B142" s="116"/>
      <c r="C142" s="116">
        <v>2</v>
      </c>
      <c r="D142" s="3" t="s">
        <v>1238</v>
      </c>
      <c r="E142" s="180"/>
      <c r="F142" s="180" t="s">
        <v>1039</v>
      </c>
      <c r="G142" s="180"/>
      <c r="H142" s="180"/>
      <c r="I142" s="180"/>
      <c r="J142" s="180"/>
      <c r="K142" s="180"/>
      <c r="L142" s="180"/>
      <c r="M142" s="181"/>
      <c r="N142" s="181"/>
      <c r="O142" s="182"/>
      <c r="P142" s="183">
        <v>0</v>
      </c>
      <c r="Q142" s="183">
        <v>0</v>
      </c>
      <c r="R142" s="184">
        <v>0</v>
      </c>
      <c r="S142" s="184">
        <v>0</v>
      </c>
      <c r="T142" s="181"/>
      <c r="U142" s="181"/>
      <c r="V142" s="185">
        <v>0</v>
      </c>
      <c r="W142" s="186">
        <v>0</v>
      </c>
      <c r="X142" s="187"/>
      <c r="Y142" s="182"/>
      <c r="Z142" s="188"/>
      <c r="AA142" s="97">
        <v>0</v>
      </c>
      <c r="AB142" s="189">
        <v>0</v>
      </c>
    </row>
    <row r="143" spans="1:37" outlineLevel="1">
      <c r="A143" s="116"/>
      <c r="B143" s="116"/>
      <c r="C143" s="116">
        <v>2</v>
      </c>
      <c r="D143" s="3" t="s">
        <v>1239</v>
      </c>
      <c r="E143" s="180"/>
      <c r="F143" s="180" t="s">
        <v>1041</v>
      </c>
      <c r="G143" s="180"/>
      <c r="H143" s="180"/>
      <c r="I143" s="180"/>
      <c r="J143" s="180"/>
      <c r="K143" s="180"/>
      <c r="L143" s="180"/>
      <c r="M143" s="181"/>
      <c r="N143" s="181"/>
      <c r="O143" s="182"/>
      <c r="P143" s="183">
        <v>0</v>
      </c>
      <c r="Q143" s="183">
        <v>0</v>
      </c>
      <c r="R143" s="184">
        <v>0</v>
      </c>
      <c r="S143" s="184">
        <v>0</v>
      </c>
      <c r="T143" s="181"/>
      <c r="U143" s="181"/>
      <c r="V143" s="185">
        <v>0</v>
      </c>
      <c r="W143" s="186">
        <v>0</v>
      </c>
      <c r="X143" s="187"/>
      <c r="Y143" s="182"/>
      <c r="Z143" s="188"/>
      <c r="AA143" s="97">
        <v>0</v>
      </c>
      <c r="AB143" s="189">
        <v>0</v>
      </c>
    </row>
    <row r="144" spans="1:37" ht="13.2" outlineLevel="1">
      <c r="A144" s="116"/>
      <c r="B144" s="116"/>
      <c r="C144" s="116">
        <v>0</v>
      </c>
      <c r="D144" s="3"/>
      <c r="E144" s="207"/>
      <c r="F144" s="180"/>
      <c r="G144" s="180"/>
      <c r="H144" s="180"/>
      <c r="I144" s="180"/>
      <c r="J144" s="180"/>
      <c r="K144" s="180"/>
      <c r="L144" s="180"/>
      <c r="M144" s="181"/>
      <c r="N144" s="181"/>
      <c r="O144" s="182"/>
      <c r="P144" s="183"/>
      <c r="Q144" s="183"/>
      <c r="R144" s="184">
        <v>0</v>
      </c>
      <c r="S144" s="184">
        <v>0</v>
      </c>
      <c r="T144" s="181"/>
      <c r="U144" s="181"/>
      <c r="V144" s="185"/>
      <c r="W144" s="186">
        <v>0</v>
      </c>
      <c r="X144" s="187"/>
      <c r="Y144" s="182"/>
      <c r="Z144" s="188"/>
      <c r="AA144" s="97"/>
      <c r="AB144" s="189"/>
    </row>
    <row r="145" spans="1:37">
      <c r="A145" s="116"/>
      <c r="B145" s="116" t="s">
        <v>983</v>
      </c>
      <c r="C145" s="116">
        <v>1</v>
      </c>
      <c r="D145" s="3" t="s">
        <v>1242</v>
      </c>
      <c r="E145" s="180" t="s">
        <v>1241</v>
      </c>
      <c r="F145" s="180"/>
      <c r="G145" s="180"/>
      <c r="H145" s="180"/>
      <c r="I145" s="180"/>
      <c r="J145" s="180"/>
      <c r="K145" s="180"/>
      <c r="L145" s="180"/>
      <c r="M145" s="181">
        <v>45096</v>
      </c>
      <c r="N145" s="181">
        <v>45132</v>
      </c>
      <c r="O145" s="182"/>
      <c r="P145" s="183">
        <v>19</v>
      </c>
      <c r="Q145" s="183">
        <v>1</v>
      </c>
      <c r="R145" s="184">
        <v>27</v>
      </c>
      <c r="S145" s="184">
        <v>1</v>
      </c>
      <c r="T145" s="181"/>
      <c r="U145" s="181"/>
      <c r="V145" s="185">
        <v>0</v>
      </c>
      <c r="W145" s="186">
        <v>0</v>
      </c>
      <c r="X145" s="187"/>
      <c r="Y145" s="182"/>
      <c r="Z145" s="188"/>
      <c r="AA145" s="97">
        <v>5.2631578947368418E-2</v>
      </c>
      <c r="AB145" s="189">
        <v>0</v>
      </c>
      <c r="AF145" s="114" t="str">
        <f>"" &amp; TEXT(AB145,"#0.00%") &amp; " "</f>
        <v xml:space="preserve">0.00% </v>
      </c>
      <c r="AK145" s="114" t="str">
        <f>"  " &amp; "[2304-14] Hyperlink Inside App" &amp; " " &amp; IF(M145="","",TEXT(M145,"M/D-")) &amp; IF(N145="","",TEXT(N145,"M/D")) &amp; " "</f>
        <v xml:space="preserve">  [2304-14] Hyperlink Inside App 6/19-7/25 </v>
      </c>
    </row>
    <row r="146" spans="1:37" outlineLevel="1">
      <c r="A146" s="116"/>
      <c r="B146" s="116"/>
      <c r="C146" s="116">
        <v>2</v>
      </c>
      <c r="D146" s="3" t="s">
        <v>1243</v>
      </c>
      <c r="E146" s="180"/>
      <c r="F146" s="180" t="s">
        <v>1071</v>
      </c>
      <c r="G146" s="180"/>
      <c r="H146" s="180"/>
      <c r="I146" s="180"/>
      <c r="J146" s="180"/>
      <c r="K146" s="180"/>
      <c r="L146" s="180"/>
      <c r="M146" s="181">
        <v>45096</v>
      </c>
      <c r="N146" s="181">
        <v>45100</v>
      </c>
      <c r="O146" s="182"/>
      <c r="P146" s="183">
        <v>5</v>
      </c>
      <c r="Q146" s="183">
        <v>1</v>
      </c>
      <c r="R146" s="184">
        <v>5</v>
      </c>
      <c r="S146" s="184">
        <v>1</v>
      </c>
      <c r="T146" s="181"/>
      <c r="U146" s="181"/>
      <c r="V146" s="185"/>
      <c r="W146" s="186">
        <v>0</v>
      </c>
      <c r="X146" s="187">
        <v>1</v>
      </c>
      <c r="Y146" s="182"/>
      <c r="Z146" s="188"/>
      <c r="AA146" s="97">
        <v>0.2</v>
      </c>
      <c r="AB146" s="189">
        <v>0</v>
      </c>
      <c r="AF146" s="114" t="str">
        <f>"" &amp; TEXT(AB146,"#0.00%") &amp; " " &amp; "Design" &amp; " " &amp; IF(M146="","",TEXT(M146,"M/D-")) &amp; IF(N146="","",TEXT(N146,"M/D")) &amp; " "</f>
        <v xml:space="preserve">0.00% Design 6/19-6/23 </v>
      </c>
    </row>
    <row r="147" spans="1:37" outlineLevel="1">
      <c r="A147" s="116"/>
      <c r="B147" s="116"/>
      <c r="C147" s="116">
        <v>2</v>
      </c>
      <c r="D147" s="3" t="s">
        <v>1244</v>
      </c>
      <c r="E147" s="180"/>
      <c r="F147" s="180" t="s">
        <v>1074</v>
      </c>
      <c r="G147" s="180"/>
      <c r="H147" s="180"/>
      <c r="I147" s="180"/>
      <c r="J147" s="180"/>
      <c r="K147" s="180"/>
      <c r="L147" s="180"/>
      <c r="M147" s="181"/>
      <c r="N147" s="181"/>
      <c r="O147" s="182"/>
      <c r="P147" s="183">
        <v>0</v>
      </c>
      <c r="Q147" s="183">
        <v>0</v>
      </c>
      <c r="R147" s="184">
        <v>0</v>
      </c>
      <c r="S147" s="184">
        <v>0</v>
      </c>
      <c r="T147" s="181"/>
      <c r="U147" s="181"/>
      <c r="V147" s="185">
        <v>0</v>
      </c>
      <c r="W147" s="186">
        <v>0</v>
      </c>
      <c r="X147" s="187"/>
      <c r="Y147" s="182"/>
      <c r="Z147" s="188"/>
      <c r="AA147" s="97">
        <v>0</v>
      </c>
      <c r="AB147" s="189">
        <v>0</v>
      </c>
    </row>
    <row r="148" spans="1:37" outlineLevel="1">
      <c r="A148" s="116"/>
      <c r="B148" s="116"/>
      <c r="C148" s="116">
        <v>2</v>
      </c>
      <c r="D148" s="3" t="s">
        <v>1245</v>
      </c>
      <c r="E148" s="180"/>
      <c r="F148" s="180" t="s">
        <v>1073</v>
      </c>
      <c r="G148" s="180"/>
      <c r="H148" s="180"/>
      <c r="I148" s="180"/>
      <c r="J148" s="180"/>
      <c r="K148" s="180"/>
      <c r="L148" s="180"/>
      <c r="M148" s="181">
        <v>45103</v>
      </c>
      <c r="N148" s="181">
        <v>45107</v>
      </c>
      <c r="O148" s="182"/>
      <c r="P148" s="183">
        <v>5</v>
      </c>
      <c r="Q148" s="183">
        <v>0</v>
      </c>
      <c r="R148" s="184">
        <v>5</v>
      </c>
      <c r="S148" s="184">
        <v>0</v>
      </c>
      <c r="T148" s="181"/>
      <c r="U148" s="181"/>
      <c r="V148" s="185"/>
      <c r="W148" s="186">
        <v>0</v>
      </c>
      <c r="X148" s="187">
        <v>1</v>
      </c>
      <c r="Y148" s="182"/>
      <c r="Z148" s="188"/>
      <c r="AA148" s="97">
        <v>0</v>
      </c>
      <c r="AB148" s="189">
        <v>0</v>
      </c>
      <c r="AG148" s="114" t="str">
        <f>"" &amp; TEXT(AB148,"#0.00%") &amp; " " &amp; "iOS" &amp; " " &amp; IF(M148="","",TEXT(M148,"M/D-")) &amp; IF(N148="","",TEXT(N148,"M/D")) &amp; " "</f>
        <v xml:space="preserve">0.00% iOS 6/26-6/30 </v>
      </c>
    </row>
    <row r="149" spans="1:37" ht="13.2" outlineLevel="1">
      <c r="A149" s="116"/>
      <c r="B149" s="116"/>
      <c r="C149" s="116">
        <v>2</v>
      </c>
      <c r="D149" s="3" t="s">
        <v>1246</v>
      </c>
      <c r="E149" s="207"/>
      <c r="F149" s="180" t="s">
        <v>1072</v>
      </c>
      <c r="G149" s="180"/>
      <c r="H149" s="180"/>
      <c r="I149" s="180"/>
      <c r="J149" s="180"/>
      <c r="K149" s="180"/>
      <c r="L149" s="180"/>
      <c r="M149" s="181">
        <v>45103</v>
      </c>
      <c r="N149" s="181">
        <v>45107</v>
      </c>
      <c r="O149" s="182"/>
      <c r="P149" s="183">
        <v>5</v>
      </c>
      <c r="Q149" s="183">
        <v>0</v>
      </c>
      <c r="R149" s="184">
        <v>5</v>
      </c>
      <c r="S149" s="184">
        <v>0</v>
      </c>
      <c r="T149" s="181"/>
      <c r="U149" s="181"/>
      <c r="V149" s="185"/>
      <c r="W149" s="186">
        <v>0</v>
      </c>
      <c r="X149" s="187">
        <v>1</v>
      </c>
      <c r="Y149" s="182"/>
      <c r="Z149" s="188"/>
      <c r="AA149" s="97">
        <v>0</v>
      </c>
      <c r="AB149" s="189">
        <v>0</v>
      </c>
      <c r="AG149" s="114" t="str">
        <f>"" &amp; TEXT(AB149,"#0.00%") &amp; " " &amp; "Android" &amp; " " &amp; IF(M149="","",TEXT(M149,"M/D-")) &amp; IF(N149="","",TEXT(N149,"M/D")) &amp; " "</f>
        <v xml:space="preserve">0.00% Android 6/26-6/30 </v>
      </c>
    </row>
    <row r="150" spans="1:37" outlineLevel="1">
      <c r="A150" s="116"/>
      <c r="B150" s="116"/>
      <c r="C150" s="116">
        <v>2</v>
      </c>
      <c r="D150" s="3" t="s">
        <v>1247</v>
      </c>
      <c r="E150" s="180"/>
      <c r="F150" s="180" t="s">
        <v>1040</v>
      </c>
      <c r="G150" s="180"/>
      <c r="H150" s="180"/>
      <c r="I150" s="180"/>
      <c r="J150" s="180"/>
      <c r="K150" s="180"/>
      <c r="L150" s="180"/>
      <c r="M150" s="181">
        <v>45110</v>
      </c>
      <c r="N150" s="181">
        <v>45112</v>
      </c>
      <c r="O150" s="182"/>
      <c r="P150" s="183">
        <v>3</v>
      </c>
      <c r="Q150" s="183">
        <v>0</v>
      </c>
      <c r="R150" s="184">
        <v>3</v>
      </c>
      <c r="S150" s="184">
        <v>0</v>
      </c>
      <c r="T150" s="181"/>
      <c r="U150" s="181"/>
      <c r="V150" s="185"/>
      <c r="W150" s="186">
        <v>0</v>
      </c>
      <c r="X150" s="187">
        <v>1</v>
      </c>
      <c r="Y150" s="182"/>
      <c r="Z150" s="188"/>
      <c r="AA150" s="97">
        <v>0</v>
      </c>
      <c r="AB150" s="189">
        <v>0</v>
      </c>
      <c r="AH150" s="114" t="str">
        <f>"" &amp; TEXT(AB150,"#0.00%") &amp; " " &amp; "Test in TB" &amp; " " &amp; IF(M150="","",TEXT(M150,"M/D-")) &amp; IF(N150="","",TEXT(N150,"M/D")) &amp; " "</f>
        <v xml:space="preserve">0.00% Test in TB 7/3-7/5 </v>
      </c>
    </row>
    <row r="151" spans="1:37" outlineLevel="1">
      <c r="A151" s="116"/>
      <c r="B151" s="116"/>
      <c r="C151" s="116">
        <v>2</v>
      </c>
      <c r="D151" s="3" t="s">
        <v>1248</v>
      </c>
      <c r="E151" s="180"/>
      <c r="F151" s="180" t="s">
        <v>1039</v>
      </c>
      <c r="G151" s="180"/>
      <c r="H151" s="180"/>
      <c r="I151" s="180"/>
      <c r="J151" s="180"/>
      <c r="K151" s="180"/>
      <c r="L151" s="180"/>
      <c r="M151" s="181"/>
      <c r="N151" s="181"/>
      <c r="O151" s="182"/>
      <c r="P151" s="183">
        <v>0</v>
      </c>
      <c r="Q151" s="183">
        <v>0</v>
      </c>
      <c r="R151" s="184">
        <v>0</v>
      </c>
      <c r="S151" s="184">
        <v>0</v>
      </c>
      <c r="T151" s="181"/>
      <c r="U151" s="181"/>
      <c r="V151" s="185">
        <v>0</v>
      </c>
      <c r="W151" s="186">
        <v>0</v>
      </c>
      <c r="X151" s="187"/>
      <c r="Y151" s="182"/>
      <c r="Z151" s="188"/>
      <c r="AA151" s="97">
        <v>0</v>
      </c>
      <c r="AB151" s="189">
        <v>0</v>
      </c>
    </row>
    <row r="152" spans="1:37" outlineLevel="1">
      <c r="A152" s="116"/>
      <c r="B152" s="116"/>
      <c r="C152" s="116">
        <v>2</v>
      </c>
      <c r="D152" s="3" t="s">
        <v>1249</v>
      </c>
      <c r="E152" s="180"/>
      <c r="F152" s="180" t="s">
        <v>1041</v>
      </c>
      <c r="G152" s="180"/>
      <c r="H152" s="180"/>
      <c r="I152" s="180"/>
      <c r="J152" s="180"/>
      <c r="K152" s="180"/>
      <c r="L152" s="180"/>
      <c r="M152" s="181">
        <v>45132</v>
      </c>
      <c r="N152" s="181">
        <v>45132</v>
      </c>
      <c r="O152" s="182"/>
      <c r="P152" s="183">
        <v>1</v>
      </c>
      <c r="Q152" s="183">
        <v>0</v>
      </c>
      <c r="R152" s="184">
        <v>1</v>
      </c>
      <c r="S152" s="184">
        <v>0</v>
      </c>
      <c r="T152" s="181"/>
      <c r="U152" s="181"/>
      <c r="V152" s="185"/>
      <c r="W152" s="186">
        <v>0</v>
      </c>
      <c r="X152" s="187">
        <v>1</v>
      </c>
      <c r="Y152" s="182"/>
      <c r="Z152" s="188"/>
      <c r="AA152" s="97">
        <v>0</v>
      </c>
      <c r="AB152" s="189">
        <v>0</v>
      </c>
      <c r="AK152" s="114" t="str">
        <f>" " &amp; TEXT(AB152,"#0.00%") &amp; " " &amp; "Service Launch" &amp; " " &amp; IF(M152="","",TEXT(M152,"M/D-")) &amp; IF(N152="","",TEXT(N152,"M/D")) &amp; " "</f>
        <v xml:space="preserve"> 0.00% Service Launch 7/25-7/25 </v>
      </c>
    </row>
    <row r="153" spans="1:37" ht="13.2" outlineLevel="1">
      <c r="A153" s="116"/>
      <c r="B153" s="116"/>
      <c r="C153" s="116">
        <v>0</v>
      </c>
      <c r="D153" s="3"/>
      <c r="E153" s="207"/>
      <c r="F153" s="180"/>
      <c r="G153" s="180"/>
      <c r="H153" s="180"/>
      <c r="I153" s="180"/>
      <c r="J153" s="180"/>
      <c r="K153" s="180"/>
      <c r="L153" s="180"/>
      <c r="M153" s="181"/>
      <c r="N153" s="181"/>
      <c r="O153" s="182"/>
      <c r="P153" s="183"/>
      <c r="Q153" s="183"/>
      <c r="R153" s="184">
        <v>0</v>
      </c>
      <c r="S153" s="184">
        <v>0</v>
      </c>
      <c r="T153" s="181"/>
      <c r="U153" s="181"/>
      <c r="V153" s="185"/>
      <c r="W153" s="186">
        <v>0</v>
      </c>
      <c r="X153" s="187"/>
      <c r="Y153" s="182"/>
      <c r="Z153" s="188"/>
      <c r="AA153" s="97"/>
      <c r="AB153" s="189"/>
    </row>
    <row r="154" spans="1:37">
      <c r="A154" s="116"/>
      <c r="B154" s="116" t="s">
        <v>983</v>
      </c>
      <c r="C154" s="116">
        <v>1</v>
      </c>
      <c r="D154" s="3" t="s">
        <v>1251</v>
      </c>
      <c r="E154" s="180" t="s">
        <v>1250</v>
      </c>
      <c r="F154" s="180"/>
      <c r="G154" s="180"/>
      <c r="H154" s="180"/>
      <c r="I154" s="180"/>
      <c r="J154" s="180"/>
      <c r="K154" s="180"/>
      <c r="L154" s="180"/>
      <c r="M154" s="181">
        <v>45097</v>
      </c>
      <c r="N154" s="181">
        <v>45099</v>
      </c>
      <c r="O154" s="182"/>
      <c r="P154" s="183">
        <v>3</v>
      </c>
      <c r="Q154" s="183">
        <v>0</v>
      </c>
      <c r="R154" s="184">
        <v>3</v>
      </c>
      <c r="S154" s="184">
        <v>0</v>
      </c>
      <c r="T154" s="181"/>
      <c r="U154" s="181"/>
      <c r="V154" s="185">
        <v>0</v>
      </c>
      <c r="W154" s="186">
        <v>0</v>
      </c>
      <c r="X154" s="187"/>
      <c r="Y154" s="182"/>
      <c r="Z154" s="188"/>
      <c r="AA154" s="97">
        <v>0</v>
      </c>
      <c r="AB154" s="189">
        <v>0</v>
      </c>
      <c r="AF154" s="114" t="str">
        <f>" " &amp; TEXT(AB154,"#0.00%") &amp; " " &amp; "[2306-15] Change OTP to Simple PW" &amp; " " &amp; IF(M154="","",TEXT(M154,"M/D-")) &amp; IF(N154="","",TEXT(N154,"M/D")) &amp; " "</f>
        <v xml:space="preserve"> 0.00% [2306-15] Change OTP to Simple PW 6/20-6/22 </v>
      </c>
    </row>
    <row r="155" spans="1:37" outlineLevel="1">
      <c r="A155" s="116"/>
      <c r="B155" s="116"/>
      <c r="C155" s="116">
        <v>2</v>
      </c>
      <c r="D155" s="3" t="s">
        <v>1252</v>
      </c>
      <c r="E155" s="180"/>
      <c r="F155" s="180" t="s">
        <v>1219</v>
      </c>
      <c r="G155" s="180"/>
      <c r="H155" s="180"/>
      <c r="I155" s="180"/>
      <c r="J155" s="180"/>
      <c r="K155" s="180"/>
      <c r="L155" s="180"/>
      <c r="M155" s="181">
        <v>45097</v>
      </c>
      <c r="N155" s="181">
        <v>45099</v>
      </c>
      <c r="O155" s="182"/>
      <c r="P155" s="183">
        <v>3</v>
      </c>
      <c r="Q155" s="183">
        <v>0</v>
      </c>
      <c r="R155" s="184">
        <v>3</v>
      </c>
      <c r="S155" s="184">
        <v>0</v>
      </c>
      <c r="T155" s="181"/>
      <c r="U155" s="181"/>
      <c r="V155" s="185"/>
      <c r="W155" s="186">
        <v>0</v>
      </c>
      <c r="X155" s="187">
        <v>1</v>
      </c>
      <c r="Y155" s="182" t="s">
        <v>1155</v>
      </c>
      <c r="Z155" s="188"/>
      <c r="AA155" s="97">
        <v>0</v>
      </c>
      <c r="AB155" s="189">
        <v>0</v>
      </c>
      <c r="AF155" s="114" t="str">
        <f>" " &amp; TEXT(AB155,"#0.00%") &amp; " " &amp; "Plan" &amp; "(Sapumal)" &amp; " " &amp; IF(M155="","",TEXT(M155,"M/D-")) &amp; IF(N155="","",TEXT(N155,"M/D")) &amp; " "</f>
        <v xml:space="preserve"> 0.00% Plan(Sapumal) 6/20-6/22 </v>
      </c>
    </row>
    <row r="156" spans="1:37" outlineLevel="1">
      <c r="A156" s="116"/>
      <c r="B156" s="116"/>
      <c r="C156" s="116">
        <v>2</v>
      </c>
      <c r="D156" s="3" t="s">
        <v>1253</v>
      </c>
      <c r="E156" s="180"/>
      <c r="F156" s="180" t="s">
        <v>1074</v>
      </c>
      <c r="G156" s="180"/>
      <c r="H156" s="180"/>
      <c r="I156" s="180"/>
      <c r="J156" s="180"/>
      <c r="K156" s="180"/>
      <c r="L156" s="180"/>
      <c r="M156" s="181"/>
      <c r="N156" s="181"/>
      <c r="O156" s="182"/>
      <c r="P156" s="183">
        <v>0</v>
      </c>
      <c r="Q156" s="183">
        <v>0</v>
      </c>
      <c r="R156" s="184"/>
      <c r="S156" s="184"/>
      <c r="T156" s="181"/>
      <c r="U156" s="181"/>
      <c r="V156" s="185">
        <v>0</v>
      </c>
      <c r="W156" s="186"/>
      <c r="X156" s="187"/>
      <c r="Y156" s="182"/>
      <c r="Z156" s="188"/>
      <c r="AA156" s="97">
        <v>0</v>
      </c>
      <c r="AB156" s="189">
        <v>0</v>
      </c>
    </row>
    <row r="157" spans="1:37" ht="13.2" outlineLevel="1">
      <c r="A157" s="116"/>
      <c r="B157" s="116"/>
      <c r="C157" s="116">
        <v>2</v>
      </c>
      <c r="D157" s="3" t="s">
        <v>1254</v>
      </c>
      <c r="E157" s="207"/>
      <c r="F157" s="180" t="s">
        <v>1073</v>
      </c>
      <c r="G157" s="180"/>
      <c r="H157" s="180"/>
      <c r="I157" s="180"/>
      <c r="J157" s="180"/>
      <c r="K157" s="180"/>
      <c r="L157" s="180"/>
      <c r="M157" s="181"/>
      <c r="N157" s="181"/>
      <c r="O157" s="182"/>
      <c r="P157" s="183">
        <v>0</v>
      </c>
      <c r="Q157" s="183">
        <v>0</v>
      </c>
      <c r="R157" s="184"/>
      <c r="S157" s="184"/>
      <c r="T157" s="181"/>
      <c r="U157" s="181"/>
      <c r="V157" s="185">
        <v>0</v>
      </c>
      <c r="W157" s="186"/>
      <c r="X157" s="187"/>
      <c r="Y157" s="182"/>
      <c r="Z157" s="188"/>
      <c r="AA157" s="97">
        <v>0</v>
      </c>
      <c r="AB157" s="189">
        <v>0</v>
      </c>
    </row>
    <row r="158" spans="1:37" outlineLevel="1">
      <c r="A158" s="116"/>
      <c r="B158" s="116"/>
      <c r="C158" s="116">
        <v>2</v>
      </c>
      <c r="D158" s="3" t="s">
        <v>1255</v>
      </c>
      <c r="E158" s="180"/>
      <c r="F158" s="180" t="s">
        <v>1072</v>
      </c>
      <c r="G158" s="180"/>
      <c r="H158" s="180"/>
      <c r="I158" s="180"/>
      <c r="J158" s="180"/>
      <c r="K158" s="180"/>
      <c r="L158" s="180"/>
      <c r="M158" s="181"/>
      <c r="N158" s="181"/>
      <c r="O158" s="182"/>
      <c r="P158" s="183">
        <v>0</v>
      </c>
      <c r="Q158" s="183">
        <v>0</v>
      </c>
      <c r="R158" s="184"/>
      <c r="S158" s="184"/>
      <c r="T158" s="181"/>
      <c r="U158" s="181"/>
      <c r="V158" s="185">
        <v>0</v>
      </c>
      <c r="W158" s="186"/>
      <c r="X158" s="187"/>
      <c r="Y158" s="182"/>
      <c r="Z158" s="188"/>
      <c r="AA158" s="97">
        <v>0</v>
      </c>
      <c r="AB158" s="189">
        <v>0</v>
      </c>
    </row>
    <row r="159" spans="1:37" outlineLevel="1">
      <c r="A159" s="116"/>
      <c r="B159" s="116"/>
      <c r="C159" s="116">
        <v>0</v>
      </c>
      <c r="D159" s="3"/>
      <c r="E159" s="180"/>
      <c r="F159" s="180"/>
      <c r="G159" s="180"/>
      <c r="H159" s="180"/>
      <c r="I159" s="180"/>
      <c r="J159" s="180"/>
      <c r="K159" s="180"/>
      <c r="L159" s="180"/>
      <c r="M159" s="181"/>
      <c r="N159" s="181"/>
      <c r="O159" s="182"/>
      <c r="P159" s="183"/>
      <c r="Q159" s="183"/>
      <c r="R159" s="184"/>
      <c r="S159" s="184"/>
      <c r="T159" s="181"/>
      <c r="U159" s="181"/>
      <c r="V159" s="185"/>
      <c r="W159" s="186"/>
      <c r="X159" s="187"/>
      <c r="Y159" s="182"/>
      <c r="Z159" s="188"/>
      <c r="AA159" s="97"/>
      <c r="AB159" s="189"/>
    </row>
    <row r="160" spans="1:37">
      <c r="A160" s="116"/>
      <c r="B160" s="116" t="s">
        <v>983</v>
      </c>
      <c r="C160" s="116">
        <v>1</v>
      </c>
      <c r="D160" s="3" t="s">
        <v>1274</v>
      </c>
      <c r="E160" s="180" t="s">
        <v>1292</v>
      </c>
      <c r="F160" s="180"/>
      <c r="G160" s="180"/>
      <c r="H160" s="180"/>
      <c r="I160" s="180"/>
      <c r="J160" s="180"/>
      <c r="K160" s="180"/>
      <c r="L160" s="180"/>
      <c r="M160" s="181"/>
      <c r="N160" s="181"/>
      <c r="O160" s="182"/>
      <c r="P160" s="183">
        <v>0</v>
      </c>
      <c r="Q160" s="183">
        <v>0</v>
      </c>
      <c r="R160" s="184"/>
      <c r="S160" s="184"/>
      <c r="T160" s="181"/>
      <c r="U160" s="181"/>
      <c r="V160" s="185">
        <v>0</v>
      </c>
      <c r="W160" s="186"/>
      <c r="X160" s="187"/>
      <c r="Y160" s="182"/>
      <c r="Z160" s="188"/>
      <c r="AA160" s="97">
        <v>0</v>
      </c>
      <c r="AB160" s="189">
        <v>0</v>
      </c>
    </row>
    <row r="161" spans="1:28" outlineLevel="1">
      <c r="A161" s="116"/>
      <c r="B161" s="116"/>
      <c r="C161" s="116">
        <v>2</v>
      </c>
      <c r="D161" s="3" t="s">
        <v>1293</v>
      </c>
      <c r="E161" s="180"/>
      <c r="F161" s="180" t="s">
        <v>1074</v>
      </c>
      <c r="G161" s="180"/>
      <c r="H161" s="180"/>
      <c r="I161" s="180"/>
      <c r="J161" s="180"/>
      <c r="K161" s="180"/>
      <c r="L161" s="180"/>
      <c r="M161" s="181"/>
      <c r="N161" s="181"/>
      <c r="O161" s="182"/>
      <c r="P161" s="183">
        <v>0</v>
      </c>
      <c r="Q161" s="183">
        <v>0</v>
      </c>
      <c r="R161" s="184"/>
      <c r="S161" s="184"/>
      <c r="T161" s="181"/>
      <c r="U161" s="181"/>
      <c r="V161" s="185">
        <v>0</v>
      </c>
      <c r="W161" s="186"/>
      <c r="X161" s="187"/>
      <c r="Y161" s="182"/>
      <c r="Z161" s="188"/>
      <c r="AA161" s="97">
        <v>0</v>
      </c>
      <c r="AB161" s="189">
        <v>0</v>
      </c>
    </row>
    <row r="162" spans="1:28" outlineLevel="1">
      <c r="A162" s="116"/>
      <c r="B162" s="116"/>
      <c r="C162" s="116">
        <v>2</v>
      </c>
      <c r="D162" s="3" t="s">
        <v>1294</v>
      </c>
      <c r="E162" s="180"/>
      <c r="F162" s="180" t="s">
        <v>1040</v>
      </c>
      <c r="G162" s="180"/>
      <c r="H162" s="180"/>
      <c r="I162" s="180"/>
      <c r="J162" s="180"/>
      <c r="K162" s="180"/>
      <c r="L162" s="180"/>
      <c r="M162" s="181"/>
      <c r="N162" s="181"/>
      <c r="O162" s="182"/>
      <c r="P162" s="183">
        <v>0</v>
      </c>
      <c r="Q162" s="183">
        <v>0</v>
      </c>
      <c r="R162" s="184"/>
      <c r="S162" s="184"/>
      <c r="T162" s="181"/>
      <c r="U162" s="181"/>
      <c r="V162" s="185">
        <v>0</v>
      </c>
      <c r="W162" s="186"/>
      <c r="X162" s="187"/>
      <c r="Y162" s="182"/>
      <c r="Z162" s="188"/>
      <c r="AA162" s="97">
        <v>0</v>
      </c>
      <c r="AB162" s="189">
        <v>0</v>
      </c>
    </row>
    <row r="163" spans="1:28" outlineLevel="1">
      <c r="A163" s="116"/>
      <c r="B163" s="116"/>
      <c r="C163" s="116">
        <v>2</v>
      </c>
      <c r="D163" s="3" t="s">
        <v>1295</v>
      </c>
      <c r="E163" s="180"/>
      <c r="F163" s="180" t="s">
        <v>1039</v>
      </c>
      <c r="G163" s="180"/>
      <c r="H163" s="180"/>
      <c r="I163" s="180"/>
      <c r="J163" s="180"/>
      <c r="K163" s="180"/>
      <c r="L163" s="180"/>
      <c r="M163" s="181"/>
      <c r="N163" s="181"/>
      <c r="O163" s="182"/>
      <c r="P163" s="183">
        <v>0</v>
      </c>
      <c r="Q163" s="183">
        <v>0</v>
      </c>
      <c r="R163" s="184"/>
      <c r="S163" s="184"/>
      <c r="T163" s="181"/>
      <c r="U163" s="181"/>
      <c r="V163" s="185">
        <v>0</v>
      </c>
      <c r="W163" s="186"/>
      <c r="X163" s="187"/>
      <c r="Y163" s="182"/>
      <c r="Z163" s="188"/>
      <c r="AA163" s="97">
        <v>0</v>
      </c>
      <c r="AB163" s="189">
        <v>0</v>
      </c>
    </row>
    <row r="164" spans="1:28" outlineLevel="1">
      <c r="A164" s="116"/>
      <c r="B164" s="116"/>
      <c r="C164" s="116">
        <v>2</v>
      </c>
      <c r="D164" s="3" t="s">
        <v>1297</v>
      </c>
      <c r="E164" s="180"/>
      <c r="F164" s="180" t="s">
        <v>1041</v>
      </c>
      <c r="G164" s="180"/>
      <c r="H164" s="180"/>
      <c r="I164" s="180"/>
      <c r="J164" s="180"/>
      <c r="K164" s="180"/>
      <c r="L164" s="180"/>
      <c r="M164" s="181"/>
      <c r="N164" s="181"/>
      <c r="O164" s="182"/>
      <c r="P164" s="183">
        <v>0</v>
      </c>
      <c r="Q164" s="183">
        <v>0</v>
      </c>
      <c r="R164" s="184"/>
      <c r="S164" s="184"/>
      <c r="T164" s="181"/>
      <c r="U164" s="181"/>
      <c r="V164" s="185">
        <v>0</v>
      </c>
      <c r="W164" s="186"/>
      <c r="X164" s="187"/>
      <c r="Y164" s="182"/>
      <c r="Z164" s="188"/>
      <c r="AA164" s="97">
        <v>0</v>
      </c>
      <c r="AB164" s="189">
        <v>0</v>
      </c>
    </row>
    <row r="165" spans="1:28" outlineLevel="1">
      <c r="A165" s="116"/>
      <c r="B165" s="116"/>
      <c r="C165" s="116">
        <v>0</v>
      </c>
      <c r="D165" s="3"/>
      <c r="E165" s="180"/>
      <c r="F165" s="180"/>
      <c r="G165" s="180"/>
      <c r="H165" s="180"/>
      <c r="I165" s="180"/>
      <c r="J165" s="180"/>
      <c r="K165" s="180"/>
      <c r="L165" s="180"/>
      <c r="M165" s="181"/>
      <c r="N165" s="181"/>
      <c r="O165" s="182"/>
      <c r="P165" s="183"/>
      <c r="Q165" s="183"/>
      <c r="R165" s="184"/>
      <c r="S165" s="184"/>
      <c r="T165" s="181"/>
      <c r="U165" s="181"/>
      <c r="V165" s="185"/>
      <c r="W165" s="186"/>
      <c r="X165" s="187"/>
      <c r="Y165" s="182"/>
      <c r="Z165" s="188"/>
      <c r="AA165" s="97"/>
      <c r="AB165" s="189"/>
    </row>
    <row r="166" spans="1:28">
      <c r="A166" s="116"/>
      <c r="B166" s="116" t="s">
        <v>983</v>
      </c>
      <c r="C166" s="116">
        <v>1</v>
      </c>
      <c r="D166" s="3" t="s">
        <v>1275</v>
      </c>
      <c r="E166" s="180" t="s">
        <v>1300</v>
      </c>
      <c r="F166" s="180"/>
      <c r="G166" s="180"/>
      <c r="H166" s="180"/>
      <c r="I166" s="180"/>
      <c r="J166" s="180"/>
      <c r="K166" s="180"/>
      <c r="L166" s="180"/>
      <c r="M166" s="181"/>
      <c r="N166" s="181"/>
      <c r="O166" s="182"/>
      <c r="P166" s="183">
        <v>0</v>
      </c>
      <c r="Q166" s="183">
        <v>0</v>
      </c>
      <c r="R166" s="184"/>
      <c r="S166" s="184"/>
      <c r="T166" s="181"/>
      <c r="U166" s="181"/>
      <c r="V166" s="185">
        <v>0</v>
      </c>
      <c r="W166" s="186"/>
      <c r="X166" s="187"/>
      <c r="Y166" s="182"/>
      <c r="Z166" s="188"/>
      <c r="AA166" s="97">
        <v>0</v>
      </c>
      <c r="AB166" s="189">
        <v>0</v>
      </c>
    </row>
    <row r="167" spans="1:28" outlineLevel="1">
      <c r="A167" s="116"/>
      <c r="B167" s="116"/>
      <c r="C167" s="116">
        <v>2</v>
      </c>
      <c r="D167" s="3" t="s">
        <v>1301</v>
      </c>
      <c r="E167" s="180"/>
      <c r="F167" s="180" t="s">
        <v>1074</v>
      </c>
      <c r="G167" s="180"/>
      <c r="H167" s="180"/>
      <c r="I167" s="180"/>
      <c r="J167" s="180"/>
      <c r="K167" s="180"/>
      <c r="L167" s="180"/>
      <c r="M167" s="181"/>
      <c r="N167" s="181"/>
      <c r="O167" s="182"/>
      <c r="P167" s="183">
        <v>0</v>
      </c>
      <c r="Q167" s="183">
        <v>0</v>
      </c>
      <c r="R167" s="184"/>
      <c r="S167" s="184"/>
      <c r="T167" s="181"/>
      <c r="U167" s="181"/>
      <c r="V167" s="185">
        <v>0</v>
      </c>
      <c r="W167" s="186"/>
      <c r="X167" s="187"/>
      <c r="Y167" s="182"/>
      <c r="Z167" s="188"/>
      <c r="AA167" s="97">
        <v>0</v>
      </c>
      <c r="AB167" s="189">
        <v>0</v>
      </c>
    </row>
    <row r="168" spans="1:28" outlineLevel="1">
      <c r="A168" s="116"/>
      <c r="B168" s="116"/>
      <c r="C168" s="116">
        <v>2</v>
      </c>
      <c r="D168" s="3" t="s">
        <v>1302</v>
      </c>
      <c r="E168" s="180"/>
      <c r="F168" s="180" t="s">
        <v>1040</v>
      </c>
      <c r="G168" s="180"/>
      <c r="H168" s="180"/>
      <c r="I168" s="180"/>
      <c r="J168" s="180"/>
      <c r="K168" s="180"/>
      <c r="L168" s="180"/>
      <c r="M168" s="181"/>
      <c r="N168" s="181"/>
      <c r="O168" s="182"/>
      <c r="P168" s="183">
        <v>0</v>
      </c>
      <c r="Q168" s="183">
        <v>0</v>
      </c>
      <c r="R168" s="184"/>
      <c r="S168" s="184"/>
      <c r="T168" s="181"/>
      <c r="U168" s="181"/>
      <c r="V168" s="185">
        <v>0</v>
      </c>
      <c r="W168" s="186"/>
      <c r="X168" s="187"/>
      <c r="Y168" s="182"/>
      <c r="Z168" s="188"/>
      <c r="AA168" s="97">
        <v>0</v>
      </c>
      <c r="AB168" s="189">
        <v>0</v>
      </c>
    </row>
    <row r="169" spans="1:28" outlineLevel="1">
      <c r="A169" s="116"/>
      <c r="B169" s="116"/>
      <c r="C169" s="116">
        <v>2</v>
      </c>
      <c r="D169" s="3" t="s">
        <v>1303</v>
      </c>
      <c r="E169" s="180"/>
      <c r="F169" s="180" t="s">
        <v>1039</v>
      </c>
      <c r="G169" s="180"/>
      <c r="H169" s="180"/>
      <c r="I169" s="180"/>
      <c r="J169" s="180"/>
      <c r="K169" s="180"/>
      <c r="L169" s="180"/>
      <c r="M169" s="181"/>
      <c r="N169" s="181"/>
      <c r="O169" s="182"/>
      <c r="P169" s="183">
        <v>0</v>
      </c>
      <c r="Q169" s="183">
        <v>0</v>
      </c>
      <c r="R169" s="184"/>
      <c r="S169" s="184"/>
      <c r="T169" s="181"/>
      <c r="U169" s="181"/>
      <c r="V169" s="185">
        <v>0</v>
      </c>
      <c r="W169" s="186"/>
      <c r="X169" s="187"/>
      <c r="Y169" s="182"/>
      <c r="Z169" s="188"/>
      <c r="AA169" s="97">
        <v>0</v>
      </c>
      <c r="AB169" s="189">
        <v>0</v>
      </c>
    </row>
    <row r="170" spans="1:28" outlineLevel="1">
      <c r="A170" s="116"/>
      <c r="B170" s="116"/>
      <c r="C170" s="116">
        <v>2</v>
      </c>
      <c r="D170" s="3" t="s">
        <v>1304</v>
      </c>
      <c r="E170" s="180"/>
      <c r="F170" s="180" t="s">
        <v>1041</v>
      </c>
      <c r="G170" s="180"/>
      <c r="H170" s="180"/>
      <c r="I170" s="180"/>
      <c r="J170" s="180"/>
      <c r="K170" s="180"/>
      <c r="L170" s="180"/>
      <c r="M170" s="181"/>
      <c r="N170" s="181"/>
      <c r="O170" s="182"/>
      <c r="P170" s="183">
        <v>0</v>
      </c>
      <c r="Q170" s="183">
        <v>0</v>
      </c>
      <c r="R170" s="184"/>
      <c r="S170" s="184"/>
      <c r="T170" s="181"/>
      <c r="U170" s="181"/>
      <c r="V170" s="185">
        <v>0</v>
      </c>
      <c r="W170" s="186"/>
      <c r="X170" s="187"/>
      <c r="Y170" s="182"/>
      <c r="Z170" s="188"/>
      <c r="AA170" s="97">
        <v>0</v>
      </c>
      <c r="AB170" s="189">
        <v>0</v>
      </c>
    </row>
    <row r="171" spans="1:28" outlineLevel="1">
      <c r="A171" s="116"/>
      <c r="B171" s="116"/>
      <c r="C171" s="116">
        <v>0</v>
      </c>
      <c r="D171" s="3"/>
      <c r="E171" s="180"/>
      <c r="F171" s="180"/>
      <c r="G171" s="180"/>
      <c r="H171" s="180"/>
      <c r="I171" s="180"/>
      <c r="J171" s="180"/>
      <c r="K171" s="180"/>
      <c r="L171" s="180"/>
      <c r="M171" s="181"/>
      <c r="N171" s="181"/>
      <c r="O171" s="182"/>
      <c r="P171" s="183"/>
      <c r="Q171" s="183"/>
      <c r="R171" s="184"/>
      <c r="S171" s="184"/>
      <c r="T171" s="181"/>
      <c r="U171" s="181"/>
      <c r="V171" s="185"/>
      <c r="W171" s="186"/>
      <c r="X171" s="187"/>
      <c r="Y171" s="182"/>
      <c r="Z171" s="188"/>
      <c r="AA171" s="97"/>
      <c r="AB171" s="189"/>
    </row>
    <row r="172" spans="1:28" ht="13.2">
      <c r="A172" s="116"/>
      <c r="B172" s="116"/>
      <c r="C172" s="116">
        <v>1</v>
      </c>
      <c r="D172" s="3" t="s">
        <v>1276</v>
      </c>
      <c r="E172" s="207" t="s">
        <v>1256</v>
      </c>
      <c r="F172" s="180"/>
      <c r="G172" s="180"/>
      <c r="H172" s="180"/>
      <c r="I172" s="180"/>
      <c r="J172" s="180"/>
      <c r="K172" s="180"/>
      <c r="L172" s="180"/>
      <c r="M172" s="181"/>
      <c r="N172" s="181"/>
      <c r="O172" s="182"/>
      <c r="P172" s="183">
        <v>0</v>
      </c>
      <c r="Q172" s="183">
        <v>0</v>
      </c>
      <c r="R172" s="184"/>
      <c r="S172" s="184"/>
      <c r="T172" s="181"/>
      <c r="U172" s="181"/>
      <c r="V172" s="185">
        <v>0</v>
      </c>
      <c r="W172" s="186"/>
      <c r="X172" s="187"/>
      <c r="Y172" s="182"/>
      <c r="Z172" s="188"/>
      <c r="AA172" s="97">
        <v>0</v>
      </c>
      <c r="AB172" s="189">
        <v>0</v>
      </c>
    </row>
    <row r="173" spans="1:28">
      <c r="A173" s="116"/>
      <c r="B173" s="116"/>
      <c r="C173" s="116">
        <v>0</v>
      </c>
      <c r="D173" s="3"/>
      <c r="E173" s="180"/>
      <c r="F173" s="180"/>
      <c r="G173" s="180"/>
      <c r="H173" s="180"/>
      <c r="I173" s="180"/>
      <c r="J173" s="180"/>
      <c r="K173" s="180"/>
      <c r="L173" s="180"/>
      <c r="M173" s="181"/>
      <c r="N173" s="181"/>
      <c r="O173" s="182"/>
      <c r="P173" s="183"/>
      <c r="Q173" s="183"/>
      <c r="R173" s="184"/>
      <c r="S173" s="184"/>
      <c r="T173" s="181"/>
      <c r="U173" s="181"/>
      <c r="V173" s="185"/>
      <c r="W173" s="186"/>
      <c r="X173" s="187"/>
      <c r="Y173" s="182"/>
      <c r="Z173" s="188"/>
      <c r="AA173" s="97"/>
      <c r="AB173" s="189"/>
    </row>
    <row r="174" spans="1:28">
      <c r="A174" s="116"/>
      <c r="B174" s="116"/>
      <c r="C174" s="116">
        <v>1</v>
      </c>
      <c r="D174" s="3" t="s">
        <v>1277</v>
      </c>
      <c r="E174" s="180" t="s">
        <v>1257</v>
      </c>
      <c r="F174" s="180"/>
      <c r="G174" s="180"/>
      <c r="H174" s="180"/>
      <c r="I174" s="180"/>
      <c r="J174" s="180"/>
      <c r="K174" s="180"/>
      <c r="L174" s="180"/>
      <c r="M174" s="181"/>
      <c r="N174" s="181"/>
      <c r="O174" s="182"/>
      <c r="P174" s="183">
        <v>0</v>
      </c>
      <c r="Q174" s="183">
        <v>0</v>
      </c>
      <c r="R174" s="184"/>
      <c r="S174" s="184"/>
      <c r="T174" s="181"/>
      <c r="U174" s="181"/>
      <c r="V174" s="185">
        <v>0</v>
      </c>
      <c r="W174" s="186"/>
      <c r="X174" s="187"/>
      <c r="Y174" s="182"/>
      <c r="Z174" s="188"/>
      <c r="AA174" s="97">
        <v>0</v>
      </c>
      <c r="AB174" s="189">
        <v>0</v>
      </c>
    </row>
    <row r="175" spans="1:28" ht="13.2">
      <c r="A175" s="116"/>
      <c r="B175" s="116"/>
      <c r="C175" s="116">
        <v>0</v>
      </c>
      <c r="D175" s="3"/>
      <c r="E175" s="207"/>
      <c r="F175" s="180"/>
      <c r="G175" s="180"/>
      <c r="H175" s="180"/>
      <c r="I175" s="180"/>
      <c r="J175" s="180"/>
      <c r="K175" s="180"/>
      <c r="L175" s="180"/>
      <c r="M175" s="181"/>
      <c r="N175" s="181"/>
      <c r="O175" s="182"/>
      <c r="P175" s="183"/>
      <c r="Q175" s="183"/>
      <c r="R175" s="184"/>
      <c r="S175" s="184"/>
      <c r="T175" s="181"/>
      <c r="U175" s="181"/>
      <c r="V175" s="185"/>
      <c r="W175" s="186"/>
      <c r="X175" s="187"/>
      <c r="Y175" s="182"/>
      <c r="Z175" s="188"/>
      <c r="AA175" s="97"/>
      <c r="AB175" s="189"/>
    </row>
    <row r="176" spans="1:28">
      <c r="A176" s="116"/>
      <c r="B176" s="116"/>
      <c r="C176" s="116">
        <v>1</v>
      </c>
      <c r="D176" s="3" t="s">
        <v>1278</v>
      </c>
      <c r="E176" s="180" t="s">
        <v>1258</v>
      </c>
      <c r="F176" s="180"/>
      <c r="G176" s="180"/>
      <c r="H176" s="180"/>
      <c r="I176" s="180"/>
      <c r="J176" s="180"/>
      <c r="K176" s="180"/>
      <c r="L176" s="180"/>
      <c r="M176" s="181"/>
      <c r="N176" s="181"/>
      <c r="O176" s="182"/>
      <c r="P176" s="183">
        <v>0</v>
      </c>
      <c r="Q176" s="183">
        <v>0</v>
      </c>
      <c r="R176" s="184"/>
      <c r="S176" s="184"/>
      <c r="T176" s="181"/>
      <c r="U176" s="181"/>
      <c r="V176" s="185">
        <v>0</v>
      </c>
      <c r="W176" s="186"/>
      <c r="X176" s="187"/>
      <c r="Y176" s="182"/>
      <c r="Z176" s="188"/>
      <c r="AA176" s="97">
        <v>0</v>
      </c>
      <c r="AB176" s="189">
        <v>0</v>
      </c>
    </row>
    <row r="177" spans="1:28">
      <c r="A177" s="116"/>
      <c r="B177" s="116"/>
      <c r="C177" s="116">
        <v>0</v>
      </c>
      <c r="D177" s="3"/>
      <c r="E177" s="180"/>
      <c r="F177" s="180"/>
      <c r="G177" s="180"/>
      <c r="H177" s="180"/>
      <c r="I177" s="180"/>
      <c r="J177" s="180"/>
      <c r="K177" s="180"/>
      <c r="L177" s="180"/>
      <c r="M177" s="181"/>
      <c r="N177" s="181"/>
      <c r="O177" s="182"/>
      <c r="P177" s="183"/>
      <c r="Q177" s="183"/>
      <c r="R177" s="184"/>
      <c r="S177" s="184"/>
      <c r="T177" s="181"/>
      <c r="U177" s="181"/>
      <c r="V177" s="185"/>
      <c r="W177" s="186"/>
      <c r="X177" s="187"/>
      <c r="Y177" s="182"/>
      <c r="Z177" s="188"/>
      <c r="AA177" s="97"/>
      <c r="AB177" s="189"/>
    </row>
    <row r="178" spans="1:28">
      <c r="A178" s="116"/>
      <c r="B178" s="116"/>
      <c r="C178" s="116">
        <v>1</v>
      </c>
      <c r="D178" s="3" t="s">
        <v>1279</v>
      </c>
      <c r="E178" s="180" t="s">
        <v>1259</v>
      </c>
      <c r="F178" s="180"/>
      <c r="G178" s="180"/>
      <c r="H178" s="180"/>
      <c r="I178" s="180"/>
      <c r="J178" s="180"/>
      <c r="K178" s="180"/>
      <c r="L178" s="180"/>
      <c r="M178" s="181"/>
      <c r="N178" s="181"/>
      <c r="O178" s="182"/>
      <c r="P178" s="183">
        <v>0</v>
      </c>
      <c r="Q178" s="183">
        <v>0</v>
      </c>
      <c r="R178" s="184"/>
      <c r="S178" s="184"/>
      <c r="T178" s="181"/>
      <c r="U178" s="181"/>
      <c r="V178" s="185">
        <v>0</v>
      </c>
      <c r="W178" s="186"/>
      <c r="X178" s="187"/>
      <c r="Y178" s="182"/>
      <c r="Z178" s="188"/>
      <c r="AA178" s="97">
        <v>0</v>
      </c>
      <c r="AB178" s="189">
        <v>0</v>
      </c>
    </row>
    <row r="179" spans="1:28" ht="13.2">
      <c r="A179" s="116"/>
      <c r="B179" s="116"/>
      <c r="C179" s="116">
        <v>0</v>
      </c>
      <c r="D179" s="3"/>
      <c r="E179" s="207"/>
      <c r="F179" s="180"/>
      <c r="G179" s="180"/>
      <c r="H179" s="180"/>
      <c r="I179" s="180"/>
      <c r="J179" s="180"/>
      <c r="K179" s="180"/>
      <c r="L179" s="180"/>
      <c r="M179" s="181"/>
      <c r="N179" s="181"/>
      <c r="O179" s="182"/>
      <c r="P179" s="183"/>
      <c r="Q179" s="183"/>
      <c r="R179" s="184"/>
      <c r="S179" s="184"/>
      <c r="T179" s="181"/>
      <c r="U179" s="181"/>
      <c r="V179" s="185"/>
      <c r="W179" s="186"/>
      <c r="X179" s="187"/>
      <c r="Y179" s="182"/>
      <c r="Z179" s="188"/>
      <c r="AA179" s="97"/>
      <c r="AB179" s="189"/>
    </row>
    <row r="180" spans="1:28">
      <c r="A180" s="116"/>
      <c r="B180" s="116"/>
      <c r="C180" s="116">
        <v>1</v>
      </c>
      <c r="D180" s="3" t="s">
        <v>1280</v>
      </c>
      <c r="E180" s="180" t="s">
        <v>1260</v>
      </c>
      <c r="F180" s="180"/>
      <c r="G180" s="180"/>
      <c r="H180" s="180"/>
      <c r="I180" s="180"/>
      <c r="J180" s="180"/>
      <c r="K180" s="180"/>
      <c r="L180" s="180"/>
      <c r="M180" s="181"/>
      <c r="N180" s="181"/>
      <c r="O180" s="182"/>
      <c r="P180" s="183">
        <v>0</v>
      </c>
      <c r="Q180" s="183">
        <v>0</v>
      </c>
      <c r="R180" s="184"/>
      <c r="S180" s="184"/>
      <c r="T180" s="181"/>
      <c r="U180" s="181"/>
      <c r="V180" s="185">
        <v>0</v>
      </c>
      <c r="W180" s="186"/>
      <c r="X180" s="187"/>
      <c r="Y180" s="182"/>
      <c r="Z180" s="188"/>
      <c r="AA180" s="97">
        <v>0</v>
      </c>
      <c r="AB180" s="189">
        <v>0</v>
      </c>
    </row>
    <row r="181" spans="1:28">
      <c r="A181" s="116"/>
      <c r="B181" s="116"/>
      <c r="C181" s="116">
        <v>0</v>
      </c>
      <c r="D181" s="3"/>
      <c r="E181" s="180"/>
      <c r="F181" s="180"/>
      <c r="G181" s="180"/>
      <c r="H181" s="180"/>
      <c r="I181" s="180"/>
      <c r="J181" s="180"/>
      <c r="K181" s="180"/>
      <c r="L181" s="180"/>
      <c r="M181" s="181"/>
      <c r="N181" s="181"/>
      <c r="O181" s="182"/>
      <c r="P181" s="183"/>
      <c r="Q181" s="183"/>
      <c r="R181" s="184"/>
      <c r="S181" s="184"/>
      <c r="T181" s="181"/>
      <c r="U181" s="181"/>
      <c r="V181" s="185"/>
      <c r="W181" s="186"/>
      <c r="X181" s="187"/>
      <c r="Y181" s="182"/>
      <c r="Z181" s="188"/>
      <c r="AA181" s="97"/>
      <c r="AB181" s="189"/>
    </row>
    <row r="182" spans="1:28">
      <c r="A182" s="116"/>
      <c r="B182" s="116"/>
      <c r="C182" s="116">
        <v>1</v>
      </c>
      <c r="D182" s="3" t="s">
        <v>1281</v>
      </c>
      <c r="E182" s="180" t="s">
        <v>1261</v>
      </c>
      <c r="F182" s="180"/>
      <c r="G182" s="180"/>
      <c r="H182" s="180"/>
      <c r="I182" s="180"/>
      <c r="J182" s="180"/>
      <c r="K182" s="180"/>
      <c r="L182" s="180"/>
      <c r="M182" s="181"/>
      <c r="N182" s="181"/>
      <c r="O182" s="182"/>
      <c r="P182" s="183">
        <v>0</v>
      </c>
      <c r="Q182" s="183">
        <v>0</v>
      </c>
      <c r="R182" s="184"/>
      <c r="S182" s="184"/>
      <c r="T182" s="181"/>
      <c r="U182" s="181"/>
      <c r="V182" s="185">
        <v>0</v>
      </c>
      <c r="W182" s="186"/>
      <c r="X182" s="187"/>
      <c r="Y182" s="182"/>
      <c r="Z182" s="188"/>
      <c r="AA182" s="97">
        <v>0</v>
      </c>
      <c r="AB182" s="189">
        <v>0</v>
      </c>
    </row>
    <row r="183" spans="1:28" ht="13.2">
      <c r="A183" s="116"/>
      <c r="B183" s="116"/>
      <c r="C183" s="116">
        <v>0</v>
      </c>
      <c r="D183" s="3"/>
      <c r="E183" s="207"/>
      <c r="F183" s="180"/>
      <c r="G183" s="180"/>
      <c r="H183" s="180"/>
      <c r="I183" s="180"/>
      <c r="J183" s="180"/>
      <c r="K183" s="180"/>
      <c r="L183" s="180"/>
      <c r="M183" s="181"/>
      <c r="N183" s="181"/>
      <c r="O183" s="182"/>
      <c r="P183" s="183"/>
      <c r="Q183" s="183"/>
      <c r="R183" s="184"/>
      <c r="S183" s="184"/>
      <c r="T183" s="181"/>
      <c r="U183" s="181"/>
      <c r="V183" s="185"/>
      <c r="W183" s="186"/>
      <c r="X183" s="187"/>
      <c r="Y183" s="182"/>
      <c r="Z183" s="188"/>
      <c r="AA183" s="97"/>
      <c r="AB183" s="189"/>
    </row>
    <row r="184" spans="1:28">
      <c r="A184" s="116"/>
      <c r="B184" s="116"/>
      <c r="C184" s="116">
        <v>1</v>
      </c>
      <c r="D184" s="3" t="s">
        <v>1282</v>
      </c>
      <c r="E184" s="180" t="s">
        <v>1262</v>
      </c>
      <c r="F184" s="180"/>
      <c r="G184" s="180"/>
      <c r="H184" s="180"/>
      <c r="I184" s="180"/>
      <c r="J184" s="180"/>
      <c r="K184" s="180"/>
      <c r="L184" s="180"/>
      <c r="M184" s="181"/>
      <c r="N184" s="181"/>
      <c r="O184" s="182"/>
      <c r="P184" s="183">
        <v>0</v>
      </c>
      <c r="Q184" s="183">
        <v>0</v>
      </c>
      <c r="R184" s="184"/>
      <c r="S184" s="184"/>
      <c r="T184" s="181"/>
      <c r="U184" s="181"/>
      <c r="V184" s="185">
        <v>0</v>
      </c>
      <c r="W184" s="186"/>
      <c r="X184" s="187"/>
      <c r="Y184" s="182"/>
      <c r="Z184" s="188"/>
      <c r="AA184" s="97">
        <v>0</v>
      </c>
      <c r="AB184" s="189">
        <v>0</v>
      </c>
    </row>
    <row r="185" spans="1:28">
      <c r="A185" s="116"/>
      <c r="B185" s="116"/>
      <c r="C185" s="116">
        <v>0</v>
      </c>
      <c r="D185" s="3"/>
      <c r="E185" s="180"/>
      <c r="F185" s="180"/>
      <c r="G185" s="180"/>
      <c r="H185" s="180"/>
      <c r="I185" s="180"/>
      <c r="J185" s="180"/>
      <c r="K185" s="180"/>
      <c r="L185" s="180"/>
      <c r="M185" s="181"/>
      <c r="N185" s="181"/>
      <c r="O185" s="182"/>
      <c r="P185" s="183"/>
      <c r="Q185" s="183"/>
      <c r="R185" s="184"/>
      <c r="S185" s="184"/>
      <c r="T185" s="181"/>
      <c r="U185" s="181"/>
      <c r="V185" s="185"/>
      <c r="W185" s="186"/>
      <c r="X185" s="187"/>
      <c r="Y185" s="182"/>
      <c r="Z185" s="188"/>
      <c r="AA185" s="97"/>
      <c r="AB185" s="189"/>
    </row>
    <row r="186" spans="1:28">
      <c r="A186" s="116"/>
      <c r="B186" s="116"/>
      <c r="C186" s="116">
        <v>1</v>
      </c>
      <c r="D186" s="3" t="s">
        <v>1283</v>
      </c>
      <c r="E186" s="180" t="s">
        <v>1263</v>
      </c>
      <c r="F186" s="180"/>
      <c r="G186" s="180"/>
      <c r="H186" s="180"/>
      <c r="I186" s="180"/>
      <c r="J186" s="180"/>
      <c r="K186" s="180"/>
      <c r="L186" s="180"/>
      <c r="M186" s="181"/>
      <c r="N186" s="181"/>
      <c r="O186" s="182"/>
      <c r="P186" s="183">
        <v>0</v>
      </c>
      <c r="Q186" s="183">
        <v>0</v>
      </c>
      <c r="R186" s="184"/>
      <c r="S186" s="184"/>
      <c r="T186" s="181"/>
      <c r="U186" s="181"/>
      <c r="V186" s="185">
        <v>0</v>
      </c>
      <c r="W186" s="186"/>
      <c r="X186" s="187"/>
      <c r="Y186" s="182"/>
      <c r="Z186" s="188"/>
      <c r="AA186" s="97">
        <v>0</v>
      </c>
      <c r="AB186" s="189">
        <v>0</v>
      </c>
    </row>
    <row r="187" spans="1:28" ht="13.2">
      <c r="A187" s="116"/>
      <c r="B187" s="116"/>
      <c r="C187" s="116">
        <v>0</v>
      </c>
      <c r="D187" s="3"/>
      <c r="E187" s="207"/>
      <c r="F187" s="180"/>
      <c r="G187" s="180"/>
      <c r="H187" s="180"/>
      <c r="I187" s="180"/>
      <c r="J187" s="180"/>
      <c r="K187" s="180"/>
      <c r="L187" s="180"/>
      <c r="M187" s="181"/>
      <c r="N187" s="181"/>
      <c r="O187" s="182"/>
      <c r="P187" s="183"/>
      <c r="Q187" s="183"/>
      <c r="R187" s="184"/>
      <c r="S187" s="184"/>
      <c r="T187" s="181"/>
      <c r="U187" s="181"/>
      <c r="V187" s="185"/>
      <c r="W187" s="186"/>
      <c r="X187" s="187"/>
      <c r="Y187" s="182"/>
      <c r="Z187" s="188"/>
      <c r="AA187" s="97"/>
      <c r="AB187" s="189"/>
    </row>
    <row r="188" spans="1:28">
      <c r="A188" s="116"/>
      <c r="B188" s="116"/>
      <c r="C188" s="116">
        <v>1</v>
      </c>
      <c r="D188" s="3" t="s">
        <v>1284</v>
      </c>
      <c r="E188" s="180" t="s">
        <v>1264</v>
      </c>
      <c r="F188" s="180"/>
      <c r="G188" s="180"/>
      <c r="H188" s="180"/>
      <c r="I188" s="180"/>
      <c r="J188" s="180"/>
      <c r="K188" s="180"/>
      <c r="L188" s="180"/>
      <c r="M188" s="181"/>
      <c r="N188" s="181"/>
      <c r="O188" s="182"/>
      <c r="P188" s="183">
        <v>0</v>
      </c>
      <c r="Q188" s="183">
        <v>0</v>
      </c>
      <c r="R188" s="184"/>
      <c r="S188" s="184"/>
      <c r="T188" s="181"/>
      <c r="U188" s="181"/>
      <c r="V188" s="185">
        <v>0</v>
      </c>
      <c r="W188" s="186"/>
      <c r="X188" s="187"/>
      <c r="Y188" s="182"/>
      <c r="Z188" s="188"/>
      <c r="AA188" s="97">
        <v>0</v>
      </c>
      <c r="AB188" s="189">
        <v>0</v>
      </c>
    </row>
    <row r="189" spans="1:28">
      <c r="A189" s="116"/>
      <c r="B189" s="116"/>
      <c r="C189" s="116">
        <v>0</v>
      </c>
      <c r="D189" s="3"/>
      <c r="E189" s="180"/>
      <c r="F189" s="180"/>
      <c r="G189" s="180"/>
      <c r="H189" s="180"/>
      <c r="I189" s="180"/>
      <c r="J189" s="180"/>
      <c r="K189" s="180"/>
      <c r="L189" s="180"/>
      <c r="M189" s="181"/>
      <c r="N189" s="181"/>
      <c r="O189" s="182"/>
      <c r="P189" s="183"/>
      <c r="Q189" s="183"/>
      <c r="R189" s="184"/>
      <c r="S189" s="184"/>
      <c r="T189" s="181"/>
      <c r="U189" s="181"/>
      <c r="V189" s="185"/>
      <c r="W189" s="186"/>
      <c r="X189" s="187"/>
      <c r="Y189" s="182"/>
      <c r="Z189" s="188"/>
      <c r="AA189" s="97"/>
      <c r="AB189" s="189"/>
    </row>
    <row r="190" spans="1:28" ht="13.2">
      <c r="A190" s="116"/>
      <c r="B190" s="116"/>
      <c r="C190" s="116">
        <v>1</v>
      </c>
      <c r="D190" s="3" t="s">
        <v>1285</v>
      </c>
      <c r="E190" s="207" t="s">
        <v>1265</v>
      </c>
      <c r="F190" s="180"/>
      <c r="G190" s="180"/>
      <c r="H190" s="180"/>
      <c r="I190" s="180"/>
      <c r="J190" s="180"/>
      <c r="K190" s="180"/>
      <c r="L190" s="180"/>
      <c r="M190" s="181"/>
      <c r="N190" s="181"/>
      <c r="O190" s="182"/>
      <c r="P190" s="183">
        <v>0</v>
      </c>
      <c r="Q190" s="183">
        <v>0</v>
      </c>
      <c r="R190" s="184"/>
      <c r="S190" s="184"/>
      <c r="T190" s="181"/>
      <c r="U190" s="181"/>
      <c r="V190" s="185">
        <v>0</v>
      </c>
      <c r="W190" s="186"/>
      <c r="X190" s="187"/>
      <c r="Y190" s="182"/>
      <c r="Z190" s="188"/>
      <c r="AA190" s="97">
        <v>0</v>
      </c>
      <c r="AB190" s="189">
        <v>0</v>
      </c>
    </row>
    <row r="191" spans="1:28">
      <c r="A191" s="116"/>
      <c r="B191" s="116"/>
      <c r="C191" s="116">
        <v>0</v>
      </c>
      <c r="D191" s="3"/>
      <c r="E191" s="180"/>
      <c r="F191" s="180"/>
      <c r="G191" s="180"/>
      <c r="H191" s="180"/>
      <c r="I191" s="180"/>
      <c r="J191" s="180"/>
      <c r="K191" s="180"/>
      <c r="L191" s="180"/>
      <c r="M191" s="181"/>
      <c r="N191" s="181"/>
      <c r="O191" s="182"/>
      <c r="P191" s="183"/>
      <c r="Q191" s="183"/>
      <c r="R191" s="184"/>
      <c r="S191" s="184"/>
      <c r="T191" s="181"/>
      <c r="U191" s="181"/>
      <c r="V191" s="185"/>
      <c r="W191" s="186"/>
      <c r="X191" s="187"/>
      <c r="Y191" s="182"/>
      <c r="Z191" s="188"/>
      <c r="AA191" s="97"/>
      <c r="AB191" s="189"/>
    </row>
    <row r="192" spans="1:28">
      <c r="A192" s="116"/>
      <c r="B192" s="116"/>
      <c r="C192" s="116">
        <v>1</v>
      </c>
      <c r="D192" s="3" t="s">
        <v>1286</v>
      </c>
      <c r="E192" s="180" t="s">
        <v>1266</v>
      </c>
      <c r="F192" s="180"/>
      <c r="G192" s="180"/>
      <c r="H192" s="180"/>
      <c r="I192" s="180"/>
      <c r="J192" s="180"/>
      <c r="K192" s="180"/>
      <c r="L192" s="180"/>
      <c r="M192" s="181"/>
      <c r="N192" s="181"/>
      <c r="O192" s="182"/>
      <c r="P192" s="183">
        <v>0</v>
      </c>
      <c r="Q192" s="183">
        <v>0</v>
      </c>
      <c r="R192" s="184"/>
      <c r="S192" s="184"/>
      <c r="T192" s="181"/>
      <c r="U192" s="181"/>
      <c r="V192" s="185">
        <v>0</v>
      </c>
      <c r="W192" s="186"/>
      <c r="X192" s="187"/>
      <c r="Y192" s="182"/>
      <c r="Z192" s="188"/>
      <c r="AA192" s="97">
        <v>0</v>
      </c>
      <c r="AB192" s="189">
        <v>0</v>
      </c>
    </row>
    <row r="193" spans="1:28">
      <c r="A193" s="116"/>
      <c r="B193" s="116"/>
      <c r="C193" s="116">
        <v>0</v>
      </c>
      <c r="D193" s="3"/>
      <c r="E193" s="180"/>
      <c r="F193" s="180"/>
      <c r="G193" s="180"/>
      <c r="H193" s="180"/>
      <c r="I193" s="180"/>
      <c r="J193" s="180"/>
      <c r="K193" s="180"/>
      <c r="L193" s="180"/>
      <c r="M193" s="181"/>
      <c r="N193" s="181"/>
      <c r="O193" s="182"/>
      <c r="P193" s="183"/>
      <c r="Q193" s="183"/>
      <c r="R193" s="184"/>
      <c r="S193" s="184"/>
      <c r="T193" s="181"/>
      <c r="U193" s="181"/>
      <c r="V193" s="185"/>
      <c r="W193" s="186"/>
      <c r="X193" s="187"/>
      <c r="Y193" s="182"/>
      <c r="Z193" s="188"/>
      <c r="AA193" s="97"/>
      <c r="AB193" s="189"/>
    </row>
    <row r="194" spans="1:28">
      <c r="A194" s="116"/>
      <c r="B194" s="116"/>
      <c r="C194" s="116">
        <v>1</v>
      </c>
      <c r="D194" s="3" t="s">
        <v>1287</v>
      </c>
      <c r="E194" s="180" t="s">
        <v>1267</v>
      </c>
      <c r="F194" s="180"/>
      <c r="G194" s="180"/>
      <c r="H194" s="180"/>
      <c r="I194" s="180"/>
      <c r="J194" s="180"/>
      <c r="K194" s="180"/>
      <c r="L194" s="180"/>
      <c r="M194" s="181"/>
      <c r="N194" s="181"/>
      <c r="O194" s="182"/>
      <c r="P194" s="183">
        <v>0</v>
      </c>
      <c r="Q194" s="183">
        <v>0</v>
      </c>
      <c r="R194" s="184"/>
      <c r="S194" s="184"/>
      <c r="T194" s="181"/>
      <c r="U194" s="181"/>
      <c r="V194" s="185">
        <v>0</v>
      </c>
      <c r="W194" s="186"/>
      <c r="X194" s="187"/>
      <c r="Y194" s="182"/>
      <c r="Z194" s="188"/>
      <c r="AA194" s="97">
        <v>0</v>
      </c>
      <c r="AB194" s="189">
        <v>0</v>
      </c>
    </row>
    <row r="195" spans="1:28">
      <c r="A195" s="116"/>
      <c r="B195" s="116"/>
      <c r="C195" s="116">
        <v>0</v>
      </c>
      <c r="D195" s="3"/>
      <c r="E195" s="180"/>
      <c r="F195" s="180"/>
      <c r="G195" s="180"/>
      <c r="H195" s="180"/>
      <c r="I195" s="180"/>
      <c r="J195" s="180"/>
      <c r="K195" s="180"/>
      <c r="L195" s="180"/>
      <c r="M195" s="181"/>
      <c r="N195" s="181"/>
      <c r="O195" s="182"/>
      <c r="P195" s="183"/>
      <c r="Q195" s="183"/>
      <c r="R195" s="184"/>
      <c r="S195" s="184"/>
      <c r="T195" s="181"/>
      <c r="U195" s="181"/>
      <c r="V195" s="185"/>
      <c r="W195" s="186"/>
      <c r="X195" s="187"/>
      <c r="Y195" s="182"/>
      <c r="Z195" s="188"/>
      <c r="AA195" s="97"/>
      <c r="AB195" s="189"/>
    </row>
    <row r="196" spans="1:28">
      <c r="A196" s="116"/>
      <c r="B196" s="116"/>
      <c r="C196" s="116">
        <v>1</v>
      </c>
      <c r="D196" s="3" t="s">
        <v>1288</v>
      </c>
      <c r="E196" s="180" t="s">
        <v>1268</v>
      </c>
      <c r="F196" s="180"/>
      <c r="G196" s="180"/>
      <c r="H196" s="180"/>
      <c r="I196" s="180"/>
      <c r="J196" s="180"/>
      <c r="K196" s="180"/>
      <c r="L196" s="180"/>
      <c r="M196" s="181"/>
      <c r="N196" s="181"/>
      <c r="O196" s="182"/>
      <c r="P196" s="183">
        <v>0</v>
      </c>
      <c r="Q196" s="183">
        <v>0</v>
      </c>
      <c r="R196" s="184"/>
      <c r="S196" s="184"/>
      <c r="T196" s="181"/>
      <c r="U196" s="181"/>
      <c r="V196" s="185">
        <v>0</v>
      </c>
      <c r="W196" s="186"/>
      <c r="X196" s="187"/>
      <c r="Y196" s="182"/>
      <c r="Z196" s="188"/>
      <c r="AA196" s="97">
        <v>0</v>
      </c>
      <c r="AB196" s="189">
        <v>0</v>
      </c>
    </row>
    <row r="197" spans="1:28">
      <c r="A197" s="116"/>
      <c r="B197" s="116"/>
      <c r="C197" s="116">
        <v>0</v>
      </c>
      <c r="D197" s="3"/>
      <c r="E197" s="180"/>
      <c r="F197" s="180"/>
      <c r="G197" s="180"/>
      <c r="H197" s="180"/>
      <c r="I197" s="180"/>
      <c r="J197" s="180"/>
      <c r="K197" s="180"/>
      <c r="L197" s="180"/>
      <c r="M197" s="181"/>
      <c r="N197" s="181"/>
      <c r="O197" s="182"/>
      <c r="P197" s="183"/>
      <c r="Q197" s="183"/>
      <c r="R197" s="184"/>
      <c r="S197" s="184"/>
      <c r="T197" s="181"/>
      <c r="U197" s="181"/>
      <c r="V197" s="185"/>
      <c r="W197" s="186"/>
      <c r="X197" s="187"/>
      <c r="Y197" s="182"/>
      <c r="Z197" s="188"/>
      <c r="AA197" s="97"/>
      <c r="AB197" s="189"/>
    </row>
    <row r="198" spans="1:28">
      <c r="A198" s="116"/>
      <c r="B198" s="116"/>
      <c r="C198" s="116">
        <v>1</v>
      </c>
      <c r="D198" s="3" t="s">
        <v>1289</v>
      </c>
      <c r="E198" s="180" t="s">
        <v>1269</v>
      </c>
      <c r="F198" s="180"/>
      <c r="G198" s="180"/>
      <c r="H198" s="180"/>
      <c r="I198" s="180"/>
      <c r="J198" s="180"/>
      <c r="K198" s="180"/>
      <c r="L198" s="180"/>
      <c r="M198" s="181"/>
      <c r="N198" s="181"/>
      <c r="O198" s="182"/>
      <c r="P198" s="183">
        <v>0</v>
      </c>
      <c r="Q198" s="183">
        <v>0</v>
      </c>
      <c r="R198" s="184"/>
      <c r="S198" s="184"/>
      <c r="T198" s="181"/>
      <c r="U198" s="181"/>
      <c r="V198" s="185">
        <v>0</v>
      </c>
      <c r="W198" s="186"/>
      <c r="X198" s="187"/>
      <c r="Y198" s="182"/>
      <c r="Z198" s="188"/>
      <c r="AA198" s="97">
        <v>0</v>
      </c>
      <c r="AB198" s="189">
        <v>0</v>
      </c>
    </row>
    <row r="199" spans="1:28">
      <c r="A199" s="116"/>
      <c r="B199" s="116"/>
      <c r="C199" s="116">
        <v>0</v>
      </c>
      <c r="D199" s="3"/>
      <c r="E199" s="180"/>
      <c r="F199" s="180"/>
      <c r="G199" s="180"/>
      <c r="H199" s="180"/>
      <c r="I199" s="180"/>
      <c r="J199" s="180"/>
      <c r="K199" s="180"/>
      <c r="L199" s="180"/>
      <c r="M199" s="181"/>
      <c r="N199" s="181"/>
      <c r="O199" s="182"/>
      <c r="P199" s="183"/>
      <c r="Q199" s="183"/>
      <c r="R199" s="184"/>
      <c r="S199" s="184"/>
      <c r="T199" s="181"/>
      <c r="U199" s="181"/>
      <c r="V199" s="185"/>
      <c r="W199" s="186"/>
      <c r="X199" s="187"/>
      <c r="Y199" s="182"/>
      <c r="Z199" s="188"/>
      <c r="AA199" s="97"/>
      <c r="AB199" s="189"/>
    </row>
    <row r="200" spans="1:28">
      <c r="A200" s="116"/>
      <c r="B200" s="116"/>
      <c r="C200" s="116">
        <v>1</v>
      </c>
      <c r="D200" s="3" t="s">
        <v>1290</v>
      </c>
      <c r="E200" s="180" t="s">
        <v>1270</v>
      </c>
      <c r="F200" s="180"/>
      <c r="G200" s="180"/>
      <c r="H200" s="180"/>
      <c r="I200" s="180"/>
      <c r="J200" s="180"/>
      <c r="K200" s="180"/>
      <c r="L200" s="180"/>
      <c r="M200" s="181"/>
      <c r="N200" s="181"/>
      <c r="O200" s="182"/>
      <c r="P200" s="183">
        <v>0</v>
      </c>
      <c r="Q200" s="183">
        <v>0</v>
      </c>
      <c r="R200" s="184"/>
      <c r="S200" s="184"/>
      <c r="T200" s="181"/>
      <c r="U200" s="181"/>
      <c r="V200" s="185">
        <v>0</v>
      </c>
      <c r="W200" s="186"/>
      <c r="X200" s="187"/>
      <c r="Y200" s="182"/>
      <c r="Z200" s="188"/>
      <c r="AA200" s="97">
        <v>0</v>
      </c>
      <c r="AB200" s="189">
        <v>0</v>
      </c>
    </row>
    <row r="201" spans="1:28">
      <c r="A201" s="116"/>
      <c r="B201" s="116"/>
      <c r="C201" s="116">
        <v>0</v>
      </c>
      <c r="D201" s="3"/>
      <c r="E201" s="180"/>
      <c r="F201" s="180"/>
      <c r="G201" s="180"/>
      <c r="H201" s="180"/>
      <c r="I201" s="180"/>
      <c r="J201" s="180"/>
      <c r="K201" s="180"/>
      <c r="L201" s="180"/>
      <c r="M201" s="181"/>
      <c r="N201" s="181"/>
      <c r="O201" s="182"/>
      <c r="P201" s="183"/>
      <c r="Q201" s="183"/>
      <c r="R201" s="184"/>
      <c r="S201" s="184"/>
      <c r="T201" s="181"/>
      <c r="U201" s="181"/>
      <c r="V201" s="185"/>
      <c r="W201" s="186"/>
      <c r="X201" s="187"/>
      <c r="Y201" s="182"/>
      <c r="Z201" s="188"/>
      <c r="AA201" s="97"/>
      <c r="AB201" s="189"/>
    </row>
    <row r="202" spans="1:28">
      <c r="A202" s="116"/>
      <c r="B202" s="116"/>
      <c r="C202" s="116">
        <v>1</v>
      </c>
      <c r="D202" s="3" t="s">
        <v>1291</v>
      </c>
      <c r="E202" s="180" t="s">
        <v>1271</v>
      </c>
      <c r="F202" s="180"/>
      <c r="G202" s="180"/>
      <c r="H202" s="180"/>
      <c r="I202" s="180"/>
      <c r="J202" s="180"/>
      <c r="K202" s="180"/>
      <c r="L202" s="180"/>
      <c r="M202" s="181"/>
      <c r="N202" s="181"/>
      <c r="O202" s="182"/>
      <c r="P202" s="183">
        <v>0</v>
      </c>
      <c r="Q202" s="183">
        <v>0</v>
      </c>
      <c r="R202" s="184"/>
      <c r="S202" s="184"/>
      <c r="T202" s="181"/>
      <c r="U202" s="181"/>
      <c r="V202" s="185">
        <v>0</v>
      </c>
      <c r="W202" s="186"/>
      <c r="X202" s="187"/>
      <c r="Y202" s="182"/>
      <c r="Z202" s="188"/>
      <c r="AA202" s="97">
        <v>0</v>
      </c>
      <c r="AB202" s="189">
        <v>0</v>
      </c>
    </row>
    <row r="203" spans="1:28">
      <c r="A203" s="116"/>
      <c r="B203" s="116"/>
      <c r="C203" s="116">
        <v>0</v>
      </c>
      <c r="D203" s="3"/>
      <c r="E203" s="180"/>
      <c r="F203" s="180"/>
      <c r="G203" s="180"/>
      <c r="H203" s="180"/>
      <c r="I203" s="180"/>
      <c r="J203" s="180"/>
      <c r="K203" s="180"/>
      <c r="L203" s="180"/>
      <c r="M203" s="181"/>
      <c r="N203" s="181"/>
      <c r="O203" s="182"/>
      <c r="P203" s="183"/>
      <c r="Q203" s="183"/>
      <c r="R203" s="184"/>
      <c r="S203" s="184"/>
      <c r="T203" s="181"/>
      <c r="U203" s="181"/>
      <c r="V203" s="185"/>
      <c r="W203" s="186"/>
      <c r="X203" s="187"/>
      <c r="Y203" s="182"/>
      <c r="Z203" s="188"/>
      <c r="AA203" s="97"/>
      <c r="AB203" s="189"/>
    </row>
    <row r="204" spans="1:28">
      <c r="A204" s="116"/>
      <c r="B204" s="116"/>
      <c r="C204" s="116">
        <v>1</v>
      </c>
      <c r="D204" s="3" t="s">
        <v>1296</v>
      </c>
      <c r="E204" s="180" t="s">
        <v>1272</v>
      </c>
      <c r="F204" s="180"/>
      <c r="G204" s="180"/>
      <c r="H204" s="180"/>
      <c r="I204" s="180"/>
      <c r="J204" s="180"/>
      <c r="K204" s="180"/>
      <c r="L204" s="180"/>
      <c r="M204" s="181"/>
      <c r="N204" s="181"/>
      <c r="O204" s="182"/>
      <c r="P204" s="183">
        <v>0</v>
      </c>
      <c r="Q204" s="183">
        <v>0</v>
      </c>
      <c r="R204" s="184"/>
      <c r="S204" s="184"/>
      <c r="T204" s="181"/>
      <c r="U204" s="181"/>
      <c r="V204" s="185">
        <v>0</v>
      </c>
      <c r="W204" s="186"/>
      <c r="X204" s="187"/>
      <c r="Y204" s="182"/>
      <c r="Z204" s="188"/>
      <c r="AA204" s="97">
        <v>0</v>
      </c>
      <c r="AB204" s="189">
        <v>0</v>
      </c>
    </row>
    <row r="205" spans="1:28">
      <c r="A205" s="116"/>
      <c r="B205" s="116"/>
      <c r="C205" s="116">
        <v>0</v>
      </c>
      <c r="D205" s="3"/>
      <c r="E205" s="180"/>
      <c r="F205" s="180"/>
      <c r="G205" s="180"/>
      <c r="H205" s="180"/>
      <c r="I205" s="180"/>
      <c r="J205" s="180"/>
      <c r="K205" s="180"/>
      <c r="L205" s="180"/>
      <c r="M205" s="181"/>
      <c r="N205" s="181"/>
      <c r="O205" s="182"/>
      <c r="P205" s="183"/>
      <c r="Q205" s="183"/>
      <c r="R205" s="184"/>
      <c r="S205" s="184"/>
      <c r="T205" s="181"/>
      <c r="U205" s="181"/>
      <c r="V205" s="185"/>
      <c r="W205" s="186"/>
      <c r="X205" s="187"/>
      <c r="Y205" s="182"/>
      <c r="Z205" s="188"/>
      <c r="AA205" s="97"/>
      <c r="AB205" s="189"/>
    </row>
    <row r="206" spans="1:28">
      <c r="A206" s="116"/>
      <c r="B206" s="116"/>
      <c r="C206" s="116">
        <v>1</v>
      </c>
      <c r="D206" s="3" t="s">
        <v>1305</v>
      </c>
      <c r="E206" s="180" t="s">
        <v>1273</v>
      </c>
      <c r="F206" s="180"/>
      <c r="G206" s="180"/>
      <c r="H206" s="180"/>
      <c r="I206" s="180"/>
      <c r="J206" s="180"/>
      <c r="K206" s="180"/>
      <c r="L206" s="180"/>
      <c r="M206" s="181"/>
      <c r="N206" s="181"/>
      <c r="O206" s="182"/>
      <c r="P206" s="183">
        <v>0</v>
      </c>
      <c r="Q206" s="183">
        <v>0</v>
      </c>
      <c r="R206" s="184"/>
      <c r="S206" s="184"/>
      <c r="T206" s="181"/>
      <c r="U206" s="181"/>
      <c r="V206" s="185">
        <v>0</v>
      </c>
      <c r="W206" s="186"/>
      <c r="X206" s="187"/>
      <c r="Y206" s="182"/>
      <c r="Z206" s="188"/>
      <c r="AA206" s="97">
        <v>0</v>
      </c>
      <c r="AB206" s="189">
        <v>0</v>
      </c>
    </row>
    <row r="207" spans="1:28">
      <c r="A207" s="116"/>
      <c r="B207" s="116"/>
      <c r="C207" s="116">
        <v>0</v>
      </c>
      <c r="D207" s="3"/>
      <c r="E207" s="180"/>
      <c r="F207" s="180"/>
      <c r="G207" s="180"/>
      <c r="H207" s="180"/>
      <c r="I207" s="180"/>
      <c r="J207" s="180"/>
      <c r="K207" s="180"/>
      <c r="L207" s="180"/>
      <c r="M207" s="181"/>
      <c r="N207" s="181"/>
      <c r="O207" s="182"/>
      <c r="P207" s="183"/>
      <c r="Q207" s="183"/>
      <c r="R207" s="184"/>
      <c r="S207" s="184"/>
      <c r="T207" s="181"/>
      <c r="U207" s="181"/>
      <c r="V207" s="185"/>
      <c r="W207" s="186"/>
      <c r="X207" s="187"/>
      <c r="Y207" s="182"/>
      <c r="Z207" s="188"/>
      <c r="AA207" s="97"/>
      <c r="AB207" s="189"/>
    </row>
    <row r="208" spans="1:28">
      <c r="A208" s="116"/>
      <c r="B208" s="116"/>
      <c r="C208" s="116">
        <v>1</v>
      </c>
      <c r="D208" s="3" t="s">
        <v>1306</v>
      </c>
      <c r="E208" s="180" t="s">
        <v>1298</v>
      </c>
      <c r="F208" s="180"/>
      <c r="G208" s="180"/>
      <c r="H208" s="180"/>
      <c r="I208" s="180"/>
      <c r="J208" s="180"/>
      <c r="K208" s="180"/>
      <c r="L208" s="180"/>
      <c r="M208" s="181"/>
      <c r="N208" s="181"/>
      <c r="O208" s="182"/>
      <c r="P208" s="183">
        <v>0</v>
      </c>
      <c r="Q208" s="183">
        <v>0</v>
      </c>
      <c r="R208" s="184"/>
      <c r="S208" s="184"/>
      <c r="T208" s="181"/>
      <c r="U208" s="181"/>
      <c r="V208" s="185">
        <v>0</v>
      </c>
      <c r="W208" s="186"/>
      <c r="X208" s="187"/>
      <c r="Y208" s="182"/>
      <c r="Z208" s="188"/>
      <c r="AA208" s="97">
        <v>0</v>
      </c>
      <c r="AB208" s="189">
        <v>0</v>
      </c>
    </row>
    <row r="209" spans="1:28">
      <c r="A209" s="116"/>
      <c r="B209" s="116"/>
      <c r="C209" s="116">
        <v>0</v>
      </c>
      <c r="D209" s="3"/>
      <c r="E209" s="180"/>
      <c r="F209" s="180"/>
      <c r="G209" s="180"/>
      <c r="H209" s="180"/>
      <c r="I209" s="180"/>
      <c r="J209" s="180"/>
      <c r="K209" s="180"/>
      <c r="L209" s="180"/>
      <c r="M209" s="181"/>
      <c r="N209" s="181"/>
      <c r="O209" s="182"/>
      <c r="P209" s="183"/>
      <c r="Q209" s="183"/>
      <c r="R209" s="184"/>
      <c r="S209" s="184"/>
      <c r="T209" s="181"/>
      <c r="U209" s="181"/>
      <c r="V209" s="185"/>
      <c r="W209" s="186"/>
      <c r="X209" s="187"/>
      <c r="Y209" s="182"/>
      <c r="Z209" s="188"/>
      <c r="AA209" s="97"/>
      <c r="AB209" s="189"/>
    </row>
    <row r="210" spans="1:28">
      <c r="A210" s="116"/>
      <c r="B210" s="116"/>
      <c r="C210" s="116">
        <v>1</v>
      </c>
      <c r="D210" s="3" t="s">
        <v>1307</v>
      </c>
      <c r="E210" s="180" t="s">
        <v>1299</v>
      </c>
      <c r="F210" s="180"/>
      <c r="G210" s="180"/>
      <c r="H210" s="180"/>
      <c r="I210" s="180"/>
      <c r="J210" s="180"/>
      <c r="K210" s="180"/>
      <c r="L210" s="180"/>
      <c r="M210" s="181"/>
      <c r="N210" s="181"/>
      <c r="O210" s="182"/>
      <c r="P210" s="183">
        <v>0</v>
      </c>
      <c r="Q210" s="183">
        <v>0</v>
      </c>
      <c r="R210" s="184"/>
      <c r="S210" s="184"/>
      <c r="T210" s="181"/>
      <c r="U210" s="181"/>
      <c r="V210" s="185">
        <v>0</v>
      </c>
      <c r="W210" s="186"/>
      <c r="X210" s="187"/>
      <c r="Y210" s="182"/>
      <c r="Z210" s="188"/>
      <c r="AA210" s="97">
        <v>0</v>
      </c>
      <c r="AB210" s="189">
        <v>0</v>
      </c>
    </row>
    <row r="211" spans="1:28">
      <c r="A211" s="116"/>
      <c r="B211" s="116"/>
      <c r="C211" s="116">
        <v>0</v>
      </c>
      <c r="D211" s="3"/>
      <c r="E211" s="180"/>
      <c r="F211" s="180"/>
      <c r="G211" s="180"/>
      <c r="H211" s="180"/>
      <c r="I211" s="180"/>
      <c r="J211" s="180"/>
      <c r="K211" s="180"/>
      <c r="L211" s="180"/>
      <c r="M211" s="181"/>
      <c r="N211" s="181"/>
      <c r="O211" s="182"/>
      <c r="P211" s="183"/>
      <c r="Q211" s="183"/>
      <c r="R211" s="184"/>
      <c r="S211" s="184"/>
      <c r="T211" s="181"/>
      <c r="U211" s="181"/>
      <c r="V211" s="185"/>
      <c r="W211" s="186"/>
      <c r="X211" s="187"/>
      <c r="Y211" s="182"/>
      <c r="Z211" s="188"/>
      <c r="AA211" s="97"/>
      <c r="AB211" s="189"/>
    </row>
    <row r="212" spans="1:28">
      <c r="A212" s="116"/>
      <c r="B212" s="116"/>
      <c r="C212" s="116">
        <v>1</v>
      </c>
      <c r="D212" s="3" t="s">
        <v>1318</v>
      </c>
      <c r="E212" s="180" t="s">
        <v>1308</v>
      </c>
      <c r="F212" s="180"/>
      <c r="G212" s="180"/>
      <c r="H212" s="180"/>
      <c r="I212" s="180"/>
      <c r="J212" s="180"/>
      <c r="K212" s="180"/>
      <c r="L212" s="180"/>
      <c r="M212" s="181"/>
      <c r="N212" s="181"/>
      <c r="O212" s="182"/>
      <c r="P212" s="183">
        <v>0</v>
      </c>
      <c r="Q212" s="183">
        <v>0</v>
      </c>
      <c r="R212" s="184"/>
      <c r="S212" s="184"/>
      <c r="T212" s="181"/>
      <c r="U212" s="181"/>
      <c r="V212" s="185">
        <v>0</v>
      </c>
      <c r="W212" s="186"/>
      <c r="X212" s="187"/>
      <c r="Y212" s="182"/>
      <c r="Z212" s="188"/>
      <c r="AA212" s="97">
        <v>0</v>
      </c>
      <c r="AB212" s="189">
        <v>0</v>
      </c>
    </row>
    <row r="213" spans="1:28">
      <c r="A213" s="116"/>
      <c r="B213" s="116"/>
      <c r="C213" s="116">
        <v>0</v>
      </c>
      <c r="D213" s="3"/>
      <c r="E213" s="180"/>
      <c r="F213" s="180"/>
      <c r="G213" s="180"/>
      <c r="H213" s="180"/>
      <c r="I213" s="180"/>
      <c r="J213" s="180"/>
      <c r="K213" s="180"/>
      <c r="L213" s="180"/>
      <c r="M213" s="181"/>
      <c r="N213" s="181"/>
      <c r="O213" s="182"/>
      <c r="P213" s="183"/>
      <c r="Q213" s="183"/>
      <c r="R213" s="184"/>
      <c r="S213" s="184"/>
      <c r="T213" s="181"/>
      <c r="U213" s="181"/>
      <c r="V213" s="185"/>
      <c r="W213" s="186"/>
      <c r="X213" s="187"/>
      <c r="Y213" s="182"/>
      <c r="Z213" s="188"/>
      <c r="AA213" s="97"/>
      <c r="AB213" s="189"/>
    </row>
    <row r="214" spans="1:28">
      <c r="A214" s="116"/>
      <c r="B214" s="116"/>
      <c r="C214" s="116">
        <v>1</v>
      </c>
      <c r="D214" s="3" t="s">
        <v>1319</v>
      </c>
      <c r="E214" s="180" t="s">
        <v>1309</v>
      </c>
      <c r="F214" s="180"/>
      <c r="G214" s="180"/>
      <c r="H214" s="180"/>
      <c r="I214" s="180"/>
      <c r="J214" s="180"/>
      <c r="K214" s="180"/>
      <c r="L214" s="180"/>
      <c r="M214" s="181"/>
      <c r="N214" s="181"/>
      <c r="O214" s="182"/>
      <c r="P214" s="183">
        <v>0</v>
      </c>
      <c r="Q214" s="183">
        <v>0</v>
      </c>
      <c r="R214" s="184"/>
      <c r="S214" s="184"/>
      <c r="T214" s="181"/>
      <c r="U214" s="181"/>
      <c r="V214" s="185">
        <v>0</v>
      </c>
      <c r="W214" s="186"/>
      <c r="X214" s="187"/>
      <c r="Y214" s="182"/>
      <c r="Z214" s="188"/>
      <c r="AA214" s="97">
        <v>0</v>
      </c>
      <c r="AB214" s="189">
        <v>0</v>
      </c>
    </row>
    <row r="215" spans="1:28">
      <c r="A215" s="116"/>
      <c r="B215" s="116"/>
      <c r="C215" s="116">
        <v>0</v>
      </c>
      <c r="D215" s="3"/>
      <c r="E215" s="180"/>
      <c r="F215" s="180"/>
      <c r="G215" s="180"/>
      <c r="H215" s="180"/>
      <c r="I215" s="180"/>
      <c r="J215" s="180"/>
      <c r="K215" s="180"/>
      <c r="L215" s="180"/>
      <c r="M215" s="181"/>
      <c r="N215" s="181"/>
      <c r="O215" s="182"/>
      <c r="P215" s="183"/>
      <c r="Q215" s="183"/>
      <c r="R215" s="184"/>
      <c r="S215" s="184"/>
      <c r="T215" s="181"/>
      <c r="U215" s="181"/>
      <c r="V215" s="185"/>
      <c r="W215" s="186"/>
      <c r="X215" s="187"/>
      <c r="Y215" s="182"/>
      <c r="Z215" s="188"/>
      <c r="AA215" s="97"/>
      <c r="AB215" s="189"/>
    </row>
    <row r="216" spans="1:28">
      <c r="A216" s="116"/>
      <c r="B216" s="116"/>
      <c r="C216" s="116">
        <v>1</v>
      </c>
      <c r="D216" s="3" t="s">
        <v>1320</v>
      </c>
      <c r="E216" s="180" t="s">
        <v>1310</v>
      </c>
      <c r="F216" s="180"/>
      <c r="G216" s="180"/>
      <c r="H216" s="180"/>
      <c r="I216" s="180"/>
      <c r="J216" s="180"/>
      <c r="K216" s="180"/>
      <c r="L216" s="180"/>
      <c r="M216" s="181"/>
      <c r="N216" s="181"/>
      <c r="O216" s="182"/>
      <c r="P216" s="183">
        <v>0</v>
      </c>
      <c r="Q216" s="183">
        <v>0</v>
      </c>
      <c r="R216" s="184"/>
      <c r="S216" s="184"/>
      <c r="T216" s="181"/>
      <c r="U216" s="181"/>
      <c r="V216" s="185">
        <v>0</v>
      </c>
      <c r="W216" s="186"/>
      <c r="X216" s="187"/>
      <c r="Y216" s="182"/>
      <c r="Z216" s="188"/>
      <c r="AA216" s="97">
        <v>0</v>
      </c>
      <c r="AB216" s="189">
        <v>0</v>
      </c>
    </row>
    <row r="217" spans="1:28">
      <c r="A217" s="116"/>
      <c r="B217" s="116"/>
      <c r="C217" s="116">
        <v>0</v>
      </c>
      <c r="D217" s="3"/>
      <c r="E217" s="180"/>
      <c r="F217" s="180"/>
      <c r="G217" s="180"/>
      <c r="H217" s="180"/>
      <c r="I217" s="180"/>
      <c r="J217" s="180"/>
      <c r="K217" s="180"/>
      <c r="L217" s="180"/>
      <c r="M217" s="181"/>
      <c r="N217" s="181"/>
      <c r="O217" s="182"/>
      <c r="P217" s="183"/>
      <c r="Q217" s="183"/>
      <c r="R217" s="184"/>
      <c r="S217" s="184"/>
      <c r="T217" s="181"/>
      <c r="U217" s="181"/>
      <c r="V217" s="185"/>
      <c r="W217" s="186"/>
      <c r="X217" s="187"/>
      <c r="Y217" s="182"/>
      <c r="Z217" s="188"/>
      <c r="AA217" s="97"/>
      <c r="AB217" s="189"/>
    </row>
    <row r="218" spans="1:28">
      <c r="A218" s="116"/>
      <c r="B218" s="116"/>
      <c r="C218" s="116">
        <v>1</v>
      </c>
      <c r="D218" s="3" t="s">
        <v>1321</v>
      </c>
      <c r="E218" s="180" t="s">
        <v>1311</v>
      </c>
      <c r="F218" s="180"/>
      <c r="G218" s="180"/>
      <c r="H218" s="180"/>
      <c r="I218" s="180"/>
      <c r="J218" s="180"/>
      <c r="K218" s="180"/>
      <c r="L218" s="180"/>
      <c r="M218" s="181"/>
      <c r="N218" s="181"/>
      <c r="O218" s="182"/>
      <c r="P218" s="183">
        <v>0</v>
      </c>
      <c r="Q218" s="183">
        <v>0</v>
      </c>
      <c r="R218" s="184"/>
      <c r="S218" s="184"/>
      <c r="T218" s="181"/>
      <c r="U218" s="181"/>
      <c r="V218" s="185">
        <v>0</v>
      </c>
      <c r="W218" s="186"/>
      <c r="X218" s="187"/>
      <c r="Y218" s="182"/>
      <c r="Z218" s="188"/>
      <c r="AA218" s="97">
        <v>0</v>
      </c>
      <c r="AB218" s="189">
        <v>0</v>
      </c>
    </row>
    <row r="219" spans="1:28">
      <c r="A219" s="116"/>
      <c r="B219" s="116"/>
      <c r="C219" s="116">
        <v>0</v>
      </c>
      <c r="D219" s="3"/>
      <c r="E219" s="180"/>
      <c r="F219" s="180"/>
      <c r="G219" s="180"/>
      <c r="H219" s="180"/>
      <c r="I219" s="180"/>
      <c r="J219" s="180"/>
      <c r="K219" s="180"/>
      <c r="L219" s="180"/>
      <c r="M219" s="181"/>
      <c r="N219" s="181"/>
      <c r="O219" s="182"/>
      <c r="P219" s="183"/>
      <c r="Q219" s="183"/>
      <c r="R219" s="184"/>
      <c r="S219" s="184"/>
      <c r="T219" s="181"/>
      <c r="U219" s="181"/>
      <c r="V219" s="185"/>
      <c r="W219" s="186"/>
      <c r="X219" s="187"/>
      <c r="Y219" s="182"/>
      <c r="Z219" s="188"/>
      <c r="AA219" s="97"/>
      <c r="AB219" s="189"/>
    </row>
    <row r="220" spans="1:28">
      <c r="A220" s="116"/>
      <c r="B220" s="116"/>
      <c r="C220" s="116">
        <v>1</v>
      </c>
      <c r="D220" s="3" t="s">
        <v>1322</v>
      </c>
      <c r="E220" s="180" t="s">
        <v>1312</v>
      </c>
      <c r="F220" s="180"/>
      <c r="G220" s="180"/>
      <c r="H220" s="180"/>
      <c r="I220" s="180"/>
      <c r="J220" s="180"/>
      <c r="K220" s="180"/>
      <c r="L220" s="180"/>
      <c r="M220" s="181"/>
      <c r="N220" s="181"/>
      <c r="O220" s="182"/>
      <c r="P220" s="183">
        <v>0</v>
      </c>
      <c r="Q220" s="183">
        <v>0</v>
      </c>
      <c r="R220" s="184"/>
      <c r="S220" s="184"/>
      <c r="T220" s="181"/>
      <c r="U220" s="181"/>
      <c r="V220" s="185">
        <v>0</v>
      </c>
      <c r="W220" s="186"/>
      <c r="X220" s="187"/>
      <c r="Y220" s="182"/>
      <c r="Z220" s="188"/>
      <c r="AA220" s="97">
        <v>0</v>
      </c>
      <c r="AB220" s="189">
        <v>0</v>
      </c>
    </row>
    <row r="221" spans="1:28">
      <c r="A221" s="116"/>
      <c r="B221" s="116"/>
      <c r="C221" s="116">
        <v>0</v>
      </c>
      <c r="D221" s="3"/>
      <c r="E221" s="180"/>
      <c r="F221" s="180"/>
      <c r="G221" s="180"/>
      <c r="H221" s="180"/>
      <c r="I221" s="180"/>
      <c r="J221" s="180"/>
      <c r="K221" s="180"/>
      <c r="L221" s="180"/>
      <c r="M221" s="181"/>
      <c r="N221" s="181"/>
      <c r="O221" s="182"/>
      <c r="P221" s="183"/>
      <c r="Q221" s="183"/>
      <c r="R221" s="184"/>
      <c r="S221" s="184"/>
      <c r="T221" s="181"/>
      <c r="U221" s="181"/>
      <c r="V221" s="185"/>
      <c r="W221" s="186"/>
      <c r="X221" s="187"/>
      <c r="Y221" s="182"/>
      <c r="Z221" s="188"/>
      <c r="AA221" s="97"/>
      <c r="AB221" s="189"/>
    </row>
    <row r="222" spans="1:28">
      <c r="A222" s="116"/>
      <c r="B222" s="116"/>
      <c r="C222" s="116">
        <v>1</v>
      </c>
      <c r="D222" s="3" t="s">
        <v>1323</v>
      </c>
      <c r="E222" s="180" t="s">
        <v>1313</v>
      </c>
      <c r="F222" s="180"/>
      <c r="G222" s="180"/>
      <c r="H222" s="180"/>
      <c r="I222" s="180"/>
      <c r="J222" s="180"/>
      <c r="K222" s="180"/>
      <c r="L222" s="180"/>
      <c r="M222" s="181"/>
      <c r="N222" s="181"/>
      <c r="O222" s="182"/>
      <c r="P222" s="183">
        <v>0</v>
      </c>
      <c r="Q222" s="183">
        <v>0</v>
      </c>
      <c r="R222" s="184"/>
      <c r="S222" s="184"/>
      <c r="T222" s="181"/>
      <c r="U222" s="181"/>
      <c r="V222" s="185">
        <v>0</v>
      </c>
      <c r="W222" s="186"/>
      <c r="X222" s="187"/>
      <c r="Y222" s="182"/>
      <c r="Z222" s="188"/>
      <c r="AA222" s="97">
        <v>0</v>
      </c>
      <c r="AB222" s="189">
        <v>0</v>
      </c>
    </row>
    <row r="223" spans="1:28">
      <c r="A223" s="116"/>
      <c r="B223" s="116"/>
      <c r="C223" s="116">
        <v>0</v>
      </c>
      <c r="D223" s="3"/>
      <c r="E223" s="180"/>
      <c r="F223" s="180"/>
      <c r="G223" s="180"/>
      <c r="H223" s="180"/>
      <c r="I223" s="180"/>
      <c r="J223" s="180"/>
      <c r="K223" s="180"/>
      <c r="L223" s="180"/>
      <c r="M223" s="181"/>
      <c r="N223" s="181"/>
      <c r="O223" s="182"/>
      <c r="P223" s="183"/>
      <c r="Q223" s="183"/>
      <c r="R223" s="184"/>
      <c r="S223" s="184"/>
      <c r="T223" s="181"/>
      <c r="U223" s="181"/>
      <c r="V223" s="185"/>
      <c r="W223" s="186"/>
      <c r="X223" s="187"/>
      <c r="Y223" s="182"/>
      <c r="Z223" s="188"/>
      <c r="AA223" s="97"/>
      <c r="AB223" s="189"/>
    </row>
    <row r="224" spans="1:28">
      <c r="A224" s="116"/>
      <c r="B224" s="116"/>
      <c r="C224" s="116">
        <v>1</v>
      </c>
      <c r="D224" s="3" t="s">
        <v>1324</v>
      </c>
      <c r="E224" s="206" t="s">
        <v>1314</v>
      </c>
      <c r="F224" s="180"/>
      <c r="G224" s="180"/>
      <c r="H224" s="180"/>
      <c r="I224" s="180"/>
      <c r="J224" s="180"/>
      <c r="K224" s="180"/>
      <c r="L224" s="180"/>
      <c r="M224" s="181"/>
      <c r="N224" s="181"/>
      <c r="O224" s="182"/>
      <c r="P224" s="183">
        <v>0</v>
      </c>
      <c r="Q224" s="183">
        <v>0</v>
      </c>
      <c r="R224" s="184"/>
      <c r="S224" s="184"/>
      <c r="T224" s="181"/>
      <c r="U224" s="181"/>
      <c r="V224" s="185">
        <v>0</v>
      </c>
      <c r="W224" s="186"/>
      <c r="X224" s="187"/>
      <c r="Y224" s="182"/>
      <c r="Z224" s="188"/>
      <c r="AA224" s="97">
        <v>0</v>
      </c>
      <c r="AB224" s="189">
        <v>0</v>
      </c>
    </row>
    <row r="225" spans="1:28">
      <c r="A225" s="116"/>
      <c r="B225" s="116"/>
      <c r="C225" s="116">
        <v>0</v>
      </c>
      <c r="D225" s="3"/>
      <c r="E225" s="180"/>
      <c r="F225" s="180"/>
      <c r="G225" s="180"/>
      <c r="H225" s="180"/>
      <c r="I225" s="180"/>
      <c r="J225" s="180"/>
      <c r="K225" s="180"/>
      <c r="L225" s="180"/>
      <c r="M225" s="181"/>
      <c r="N225" s="181"/>
      <c r="O225" s="182"/>
      <c r="P225" s="183"/>
      <c r="Q225" s="183"/>
      <c r="R225" s="184"/>
      <c r="S225" s="184"/>
      <c r="T225" s="181"/>
      <c r="U225" s="181"/>
      <c r="V225" s="185"/>
      <c r="W225" s="186"/>
      <c r="X225" s="187"/>
      <c r="Y225" s="182"/>
      <c r="Z225" s="188"/>
      <c r="AA225" s="97"/>
      <c r="AB225" s="189"/>
    </row>
    <row r="226" spans="1:28">
      <c r="A226" s="116"/>
      <c r="B226" s="116"/>
      <c r="C226" s="116">
        <v>1</v>
      </c>
      <c r="D226" s="3" t="s">
        <v>1325</v>
      </c>
      <c r="E226" s="180" t="s">
        <v>1315</v>
      </c>
      <c r="F226" s="180"/>
      <c r="G226" s="180"/>
      <c r="H226" s="180"/>
      <c r="I226" s="180"/>
      <c r="J226" s="180"/>
      <c r="K226" s="180"/>
      <c r="L226" s="180"/>
      <c r="M226" s="181"/>
      <c r="N226" s="181"/>
      <c r="O226" s="182"/>
      <c r="P226" s="183">
        <v>0</v>
      </c>
      <c r="Q226" s="183">
        <v>0</v>
      </c>
      <c r="R226" s="184"/>
      <c r="S226" s="184"/>
      <c r="T226" s="181"/>
      <c r="U226" s="181"/>
      <c r="V226" s="185">
        <v>0</v>
      </c>
      <c r="W226" s="186"/>
      <c r="X226" s="187"/>
      <c r="Y226" s="182"/>
      <c r="Z226" s="188"/>
      <c r="AA226" s="97">
        <v>0</v>
      </c>
      <c r="AB226" s="189">
        <v>0</v>
      </c>
    </row>
    <row r="227" spans="1:28">
      <c r="A227" s="116"/>
      <c r="B227" s="116"/>
      <c r="C227" s="116">
        <v>0</v>
      </c>
      <c r="D227" s="3"/>
      <c r="E227" s="180"/>
      <c r="F227" s="180"/>
      <c r="G227" s="180"/>
      <c r="H227" s="180"/>
      <c r="I227" s="180"/>
      <c r="J227" s="180"/>
      <c r="K227" s="180"/>
      <c r="L227" s="180"/>
      <c r="M227" s="181"/>
      <c r="N227" s="181"/>
      <c r="O227" s="182"/>
      <c r="P227" s="183"/>
      <c r="Q227" s="183"/>
      <c r="R227" s="184"/>
      <c r="S227" s="184"/>
      <c r="T227" s="181"/>
      <c r="U227" s="181"/>
      <c r="V227" s="185"/>
      <c r="W227" s="186"/>
      <c r="X227" s="187"/>
      <c r="Y227" s="182"/>
      <c r="Z227" s="188"/>
      <c r="AA227" s="97"/>
      <c r="AB227" s="189"/>
    </row>
    <row r="228" spans="1:28">
      <c r="A228" s="116"/>
      <c r="B228" s="116"/>
      <c r="C228" s="116">
        <v>1</v>
      </c>
      <c r="D228" s="3" t="s">
        <v>1326</v>
      </c>
      <c r="E228" s="180" t="s">
        <v>1316</v>
      </c>
      <c r="F228" s="180"/>
      <c r="G228" s="180"/>
      <c r="H228" s="180"/>
      <c r="I228" s="180"/>
      <c r="J228" s="180"/>
      <c r="K228" s="180"/>
      <c r="L228" s="180"/>
      <c r="M228" s="181"/>
      <c r="N228" s="181"/>
      <c r="O228" s="182"/>
      <c r="P228" s="183">
        <v>0</v>
      </c>
      <c r="Q228" s="183">
        <v>0</v>
      </c>
      <c r="R228" s="184"/>
      <c r="S228" s="184"/>
      <c r="T228" s="181"/>
      <c r="U228" s="181"/>
      <c r="V228" s="185">
        <v>0</v>
      </c>
      <c r="W228" s="186"/>
      <c r="X228" s="187"/>
      <c r="Y228" s="182"/>
      <c r="Z228" s="188"/>
      <c r="AA228" s="97">
        <v>0</v>
      </c>
      <c r="AB228" s="189">
        <v>0</v>
      </c>
    </row>
    <row r="229" spans="1:28">
      <c r="A229" s="116"/>
      <c r="B229" s="116"/>
      <c r="C229" s="116">
        <v>0</v>
      </c>
      <c r="D229" s="3"/>
      <c r="E229" s="180"/>
      <c r="F229" s="180"/>
      <c r="G229" s="180"/>
      <c r="H229" s="180"/>
      <c r="I229" s="180"/>
      <c r="J229" s="180"/>
      <c r="K229" s="180"/>
      <c r="L229" s="180"/>
      <c r="M229" s="181"/>
      <c r="N229" s="181"/>
      <c r="O229" s="182"/>
      <c r="P229" s="183"/>
      <c r="Q229" s="183"/>
      <c r="R229" s="184"/>
      <c r="S229" s="184"/>
      <c r="T229" s="181"/>
      <c r="U229" s="181"/>
      <c r="V229" s="185"/>
      <c r="W229" s="186"/>
      <c r="X229" s="187"/>
      <c r="Y229" s="182"/>
      <c r="Z229" s="188"/>
      <c r="AA229" s="97"/>
      <c r="AB229" s="189"/>
    </row>
    <row r="230" spans="1:28">
      <c r="A230" s="116"/>
      <c r="B230" s="116"/>
      <c r="C230" s="116">
        <v>1</v>
      </c>
      <c r="D230" s="3" t="s">
        <v>1327</v>
      </c>
      <c r="E230" s="180" t="s">
        <v>1317</v>
      </c>
      <c r="F230" s="180"/>
      <c r="G230" s="180"/>
      <c r="H230" s="180"/>
      <c r="I230" s="180"/>
      <c r="J230" s="180"/>
      <c r="K230" s="180"/>
      <c r="L230" s="180"/>
      <c r="M230" s="181"/>
      <c r="N230" s="181"/>
      <c r="O230" s="182"/>
      <c r="P230" s="183">
        <v>0</v>
      </c>
      <c r="Q230" s="183">
        <v>0</v>
      </c>
      <c r="R230" s="184"/>
      <c r="S230" s="184"/>
      <c r="T230" s="181"/>
      <c r="U230" s="181"/>
      <c r="V230" s="185">
        <v>0</v>
      </c>
      <c r="W230" s="186"/>
      <c r="X230" s="187"/>
      <c r="Y230" s="182"/>
      <c r="Z230" s="188"/>
      <c r="AA230" s="97">
        <v>0</v>
      </c>
      <c r="AB230" s="189">
        <v>0</v>
      </c>
    </row>
    <row r="231" spans="1:28">
      <c r="A231" s="116"/>
      <c r="B231" s="116"/>
      <c r="C231" s="116">
        <v>0</v>
      </c>
      <c r="D231" s="3"/>
      <c r="E231" s="180"/>
      <c r="F231" s="180"/>
      <c r="G231" s="180"/>
      <c r="H231" s="180"/>
      <c r="I231" s="180"/>
      <c r="J231" s="180"/>
      <c r="K231" s="180"/>
      <c r="L231" s="180"/>
      <c r="M231" s="181"/>
      <c r="N231" s="181"/>
      <c r="O231" s="182"/>
      <c r="P231" s="183"/>
      <c r="Q231" s="183"/>
      <c r="R231" s="184"/>
      <c r="S231" s="184"/>
      <c r="T231" s="181"/>
      <c r="U231" s="181"/>
      <c r="V231" s="185"/>
      <c r="W231" s="186"/>
      <c r="X231" s="187"/>
      <c r="Y231" s="182"/>
      <c r="Z231" s="188"/>
      <c r="AA231" s="97"/>
      <c r="AB231" s="189"/>
    </row>
    <row r="232" spans="1:28">
      <c r="A232" s="116"/>
      <c r="B232" s="116"/>
      <c r="C232" s="116">
        <v>1</v>
      </c>
      <c r="D232" s="3" t="s">
        <v>1338</v>
      </c>
      <c r="E232" s="180" t="s">
        <v>1328</v>
      </c>
      <c r="F232" s="180"/>
      <c r="G232" s="180"/>
      <c r="H232" s="180"/>
      <c r="I232" s="180"/>
      <c r="J232" s="180"/>
      <c r="K232" s="180"/>
      <c r="L232" s="180"/>
      <c r="M232" s="181"/>
      <c r="N232" s="181"/>
      <c r="O232" s="182"/>
      <c r="P232" s="183">
        <v>0</v>
      </c>
      <c r="Q232" s="183">
        <v>0</v>
      </c>
      <c r="R232" s="184"/>
      <c r="S232" s="184"/>
      <c r="T232" s="181"/>
      <c r="U232" s="181"/>
      <c r="V232" s="185">
        <v>0</v>
      </c>
      <c r="W232" s="186"/>
      <c r="X232" s="187"/>
      <c r="Y232" s="182"/>
      <c r="Z232" s="188"/>
      <c r="AA232" s="97">
        <v>0</v>
      </c>
      <c r="AB232" s="189">
        <v>0</v>
      </c>
    </row>
    <row r="233" spans="1:28">
      <c r="A233" s="116"/>
      <c r="B233" s="116"/>
      <c r="C233" s="116">
        <v>0</v>
      </c>
      <c r="D233" s="3"/>
      <c r="E233" s="180"/>
      <c r="F233" s="180"/>
      <c r="G233" s="180"/>
      <c r="H233" s="180"/>
      <c r="I233" s="180"/>
      <c r="J233" s="180"/>
      <c r="K233" s="180"/>
      <c r="L233" s="180"/>
      <c r="M233" s="181"/>
      <c r="N233" s="181"/>
      <c r="O233" s="182"/>
      <c r="P233" s="183"/>
      <c r="Q233" s="183"/>
      <c r="R233" s="184"/>
      <c r="S233" s="184"/>
      <c r="T233" s="181"/>
      <c r="U233" s="181"/>
      <c r="V233" s="185"/>
      <c r="W233" s="186"/>
      <c r="X233" s="187"/>
      <c r="Y233" s="182"/>
      <c r="Z233" s="188"/>
      <c r="AA233" s="97"/>
      <c r="AB233" s="189"/>
    </row>
    <row r="234" spans="1:28">
      <c r="A234" s="116"/>
      <c r="B234" s="116"/>
      <c r="C234" s="116">
        <v>1</v>
      </c>
      <c r="D234" s="3" t="s">
        <v>1339</v>
      </c>
      <c r="E234" s="180" t="s">
        <v>1329</v>
      </c>
      <c r="F234" s="180"/>
      <c r="G234" s="180"/>
      <c r="H234" s="180"/>
      <c r="I234" s="180"/>
      <c r="J234" s="180"/>
      <c r="K234" s="180"/>
      <c r="L234" s="180"/>
      <c r="M234" s="181"/>
      <c r="N234" s="181"/>
      <c r="O234" s="182"/>
      <c r="P234" s="183">
        <v>0</v>
      </c>
      <c r="Q234" s="183">
        <v>0</v>
      </c>
      <c r="R234" s="184"/>
      <c r="S234" s="184"/>
      <c r="T234" s="181"/>
      <c r="U234" s="181"/>
      <c r="V234" s="185">
        <v>0</v>
      </c>
      <c r="W234" s="186"/>
      <c r="X234" s="187"/>
      <c r="Y234" s="182"/>
      <c r="Z234" s="188"/>
      <c r="AA234" s="97">
        <v>0</v>
      </c>
      <c r="AB234" s="189">
        <v>0</v>
      </c>
    </row>
    <row r="235" spans="1:28">
      <c r="A235" s="116"/>
      <c r="B235" s="116"/>
      <c r="C235" s="116">
        <v>0</v>
      </c>
      <c r="D235" s="3"/>
      <c r="E235" s="180"/>
      <c r="F235" s="180"/>
      <c r="G235" s="180"/>
      <c r="H235" s="180"/>
      <c r="I235" s="180"/>
      <c r="J235" s="180"/>
      <c r="K235" s="180"/>
      <c r="L235" s="180"/>
      <c r="M235" s="181"/>
      <c r="N235" s="181"/>
      <c r="O235" s="182"/>
      <c r="P235" s="183"/>
      <c r="Q235" s="183"/>
      <c r="R235" s="184"/>
      <c r="S235" s="184"/>
      <c r="T235" s="181"/>
      <c r="U235" s="181"/>
      <c r="V235" s="185"/>
      <c r="W235" s="186"/>
      <c r="X235" s="187"/>
      <c r="Y235" s="182"/>
      <c r="Z235" s="188"/>
      <c r="AA235" s="97"/>
      <c r="AB235" s="189"/>
    </row>
    <row r="236" spans="1:28">
      <c r="A236" s="116"/>
      <c r="B236" s="116"/>
      <c r="C236" s="116">
        <v>1</v>
      </c>
      <c r="D236" s="3" t="s">
        <v>1340</v>
      </c>
      <c r="E236" s="203" t="s">
        <v>1330</v>
      </c>
      <c r="F236" s="180"/>
      <c r="G236" s="180"/>
      <c r="H236" s="180"/>
      <c r="I236" s="180"/>
      <c r="J236" s="180"/>
      <c r="K236" s="180"/>
      <c r="L236" s="180"/>
      <c r="M236" s="181"/>
      <c r="N236" s="181"/>
      <c r="O236" s="182"/>
      <c r="P236" s="183">
        <v>0</v>
      </c>
      <c r="Q236" s="183">
        <v>0</v>
      </c>
      <c r="R236" s="184"/>
      <c r="S236" s="184"/>
      <c r="T236" s="181"/>
      <c r="U236" s="181"/>
      <c r="V236" s="185">
        <v>0</v>
      </c>
      <c r="W236" s="186"/>
      <c r="X236" s="187"/>
      <c r="Y236" s="182"/>
      <c r="Z236" s="188"/>
      <c r="AA236" s="97">
        <v>0</v>
      </c>
      <c r="AB236" s="189">
        <v>0</v>
      </c>
    </row>
    <row r="237" spans="1:28">
      <c r="A237" s="116"/>
      <c r="B237" s="116"/>
      <c r="C237" s="116">
        <v>0</v>
      </c>
      <c r="D237" s="3"/>
      <c r="E237" s="203"/>
      <c r="F237" s="205"/>
      <c r="G237" s="180"/>
      <c r="H237" s="180"/>
      <c r="I237" s="180"/>
      <c r="J237" s="180"/>
      <c r="K237" s="180"/>
      <c r="L237" s="180"/>
      <c r="M237" s="181"/>
      <c r="N237" s="181"/>
      <c r="O237" s="182"/>
      <c r="P237" s="183"/>
      <c r="Q237" s="183"/>
      <c r="R237" s="184"/>
      <c r="S237" s="184"/>
      <c r="T237" s="181"/>
      <c r="U237" s="181"/>
      <c r="V237" s="185"/>
      <c r="W237" s="186"/>
      <c r="X237" s="187"/>
      <c r="Y237" s="182"/>
      <c r="Z237" s="188"/>
      <c r="AA237" s="97"/>
      <c r="AB237" s="189"/>
    </row>
    <row r="238" spans="1:28">
      <c r="A238" s="116"/>
      <c r="B238" s="116"/>
      <c r="C238" s="116">
        <v>1</v>
      </c>
      <c r="D238" s="3" t="s">
        <v>1341</v>
      </c>
      <c r="E238" s="203" t="s">
        <v>1331</v>
      </c>
      <c r="F238" s="205"/>
      <c r="G238" s="180"/>
      <c r="H238" s="180"/>
      <c r="I238" s="180"/>
      <c r="J238" s="180"/>
      <c r="K238" s="180"/>
      <c r="L238" s="180"/>
      <c r="M238" s="181"/>
      <c r="N238" s="181"/>
      <c r="O238" s="182"/>
      <c r="P238" s="183">
        <v>0</v>
      </c>
      <c r="Q238" s="183">
        <v>0</v>
      </c>
      <c r="R238" s="184"/>
      <c r="S238" s="184"/>
      <c r="T238" s="181"/>
      <c r="U238" s="181"/>
      <c r="V238" s="185">
        <v>0</v>
      </c>
      <c r="W238" s="186"/>
      <c r="X238" s="187"/>
      <c r="Y238" s="182"/>
      <c r="Z238" s="188"/>
      <c r="AA238" s="97">
        <v>0</v>
      </c>
      <c r="AB238" s="189">
        <v>0</v>
      </c>
    </row>
    <row r="239" spans="1:28">
      <c r="A239" s="116"/>
      <c r="B239" s="116"/>
      <c r="C239" s="116">
        <v>0</v>
      </c>
      <c r="D239" s="3"/>
      <c r="E239" s="180"/>
      <c r="F239" s="205"/>
      <c r="G239" s="180"/>
      <c r="H239" s="180"/>
      <c r="I239" s="180"/>
      <c r="J239" s="180"/>
      <c r="K239" s="180"/>
      <c r="L239" s="180"/>
      <c r="M239" s="181"/>
      <c r="N239" s="181"/>
      <c r="O239" s="182"/>
      <c r="P239" s="183"/>
      <c r="Q239" s="183"/>
      <c r="R239" s="184"/>
      <c r="S239" s="184"/>
      <c r="T239" s="181"/>
      <c r="U239" s="181"/>
      <c r="V239" s="185"/>
      <c r="W239" s="186"/>
      <c r="X239" s="187"/>
      <c r="Y239" s="182"/>
      <c r="Z239" s="188"/>
      <c r="AA239" s="97"/>
      <c r="AB239" s="189"/>
    </row>
    <row r="240" spans="1:28">
      <c r="A240" s="116"/>
      <c r="B240" s="116"/>
      <c r="C240" s="116">
        <v>1</v>
      </c>
      <c r="D240" s="3" t="s">
        <v>1342</v>
      </c>
      <c r="E240" s="180" t="s">
        <v>1332</v>
      </c>
      <c r="F240" s="205"/>
      <c r="G240" s="180"/>
      <c r="H240" s="180"/>
      <c r="I240" s="180"/>
      <c r="J240" s="180"/>
      <c r="K240" s="180"/>
      <c r="L240" s="180"/>
      <c r="M240" s="181"/>
      <c r="N240" s="181"/>
      <c r="O240" s="182"/>
      <c r="P240" s="183">
        <v>0</v>
      </c>
      <c r="Q240" s="183">
        <v>0</v>
      </c>
      <c r="R240" s="184"/>
      <c r="S240" s="184"/>
      <c r="T240" s="181"/>
      <c r="U240" s="181"/>
      <c r="V240" s="185">
        <v>0</v>
      </c>
      <c r="W240" s="186"/>
      <c r="X240" s="187"/>
      <c r="Y240" s="182"/>
      <c r="Z240" s="188"/>
      <c r="AA240" s="97">
        <v>0</v>
      </c>
      <c r="AB240" s="189">
        <v>0</v>
      </c>
    </row>
    <row r="241" spans="1:28">
      <c r="A241" s="116"/>
      <c r="B241" s="116"/>
      <c r="C241" s="116">
        <v>0</v>
      </c>
      <c r="D241" s="3"/>
      <c r="E241" s="180"/>
      <c r="F241" s="205"/>
      <c r="G241" s="180"/>
      <c r="H241" s="180"/>
      <c r="I241" s="180"/>
      <c r="J241" s="180"/>
      <c r="K241" s="180"/>
      <c r="L241" s="180"/>
      <c r="M241" s="181"/>
      <c r="N241" s="181"/>
      <c r="O241" s="182"/>
      <c r="P241" s="183"/>
      <c r="Q241" s="183"/>
      <c r="R241" s="184"/>
      <c r="S241" s="184"/>
      <c r="T241" s="181"/>
      <c r="U241" s="181"/>
      <c r="V241" s="185"/>
      <c r="W241" s="186"/>
      <c r="X241" s="187"/>
      <c r="Y241" s="182"/>
      <c r="Z241" s="188"/>
      <c r="AA241" s="97"/>
      <c r="AB241" s="189"/>
    </row>
    <row r="242" spans="1:28">
      <c r="A242" s="116"/>
      <c r="B242" s="116"/>
      <c r="C242" s="116">
        <v>1</v>
      </c>
      <c r="D242" s="3" t="s">
        <v>1343</v>
      </c>
      <c r="E242" s="180" t="s">
        <v>1333</v>
      </c>
      <c r="F242" s="205"/>
      <c r="G242" s="180"/>
      <c r="H242" s="180"/>
      <c r="I242" s="180"/>
      <c r="J242" s="180"/>
      <c r="K242" s="180"/>
      <c r="L242" s="180"/>
      <c r="M242" s="181"/>
      <c r="N242" s="181"/>
      <c r="O242" s="182"/>
      <c r="P242" s="183">
        <v>0</v>
      </c>
      <c r="Q242" s="183">
        <v>0</v>
      </c>
      <c r="R242" s="184"/>
      <c r="S242" s="184"/>
      <c r="T242" s="181"/>
      <c r="U242" s="181"/>
      <c r="V242" s="185">
        <v>0</v>
      </c>
      <c r="W242" s="186"/>
      <c r="X242" s="187"/>
      <c r="Y242" s="182"/>
      <c r="Z242" s="188"/>
      <c r="AA242" s="97">
        <v>0</v>
      </c>
      <c r="AB242" s="189">
        <v>0</v>
      </c>
    </row>
    <row r="243" spans="1:28">
      <c r="A243" s="116"/>
      <c r="B243" s="116"/>
      <c r="C243" s="116">
        <v>0</v>
      </c>
      <c r="D243" s="3"/>
      <c r="E243" s="180"/>
      <c r="F243" s="205"/>
      <c r="G243" s="180"/>
      <c r="H243" s="180"/>
      <c r="I243" s="180"/>
      <c r="J243" s="180"/>
      <c r="K243" s="180"/>
      <c r="L243" s="180"/>
      <c r="M243" s="181"/>
      <c r="N243" s="181"/>
      <c r="O243" s="182"/>
      <c r="P243" s="183"/>
      <c r="Q243" s="183"/>
      <c r="R243" s="184"/>
      <c r="S243" s="184"/>
      <c r="T243" s="181"/>
      <c r="U243" s="181"/>
      <c r="V243" s="185"/>
      <c r="W243" s="186"/>
      <c r="X243" s="187"/>
      <c r="Y243" s="182"/>
      <c r="Z243" s="188"/>
      <c r="AA243" s="97"/>
      <c r="AB243" s="189"/>
    </row>
    <row r="244" spans="1:28">
      <c r="A244" s="116"/>
      <c r="B244" s="116"/>
      <c r="C244" s="116">
        <v>1</v>
      </c>
      <c r="D244" s="3" t="s">
        <v>1344</v>
      </c>
      <c r="E244" s="180" t="s">
        <v>1334</v>
      </c>
      <c r="F244" s="205"/>
      <c r="G244" s="180"/>
      <c r="H244" s="180"/>
      <c r="I244" s="180"/>
      <c r="J244" s="180"/>
      <c r="K244" s="180"/>
      <c r="L244" s="180"/>
      <c r="M244" s="181"/>
      <c r="N244" s="181"/>
      <c r="O244" s="182"/>
      <c r="P244" s="183">
        <v>0</v>
      </c>
      <c r="Q244" s="183">
        <v>0</v>
      </c>
      <c r="R244" s="184"/>
      <c r="S244" s="184"/>
      <c r="T244" s="181"/>
      <c r="U244" s="181"/>
      <c r="V244" s="185">
        <v>0</v>
      </c>
      <c r="W244" s="186"/>
      <c r="X244" s="187"/>
      <c r="Y244" s="182"/>
      <c r="Z244" s="188"/>
      <c r="AA244" s="97">
        <v>0</v>
      </c>
      <c r="AB244" s="189">
        <v>0</v>
      </c>
    </row>
    <row r="245" spans="1:28">
      <c r="A245" s="116"/>
      <c r="B245" s="116"/>
      <c r="C245" s="116">
        <v>0</v>
      </c>
      <c r="D245" s="3"/>
      <c r="E245" s="180"/>
      <c r="F245" s="205"/>
      <c r="G245" s="180"/>
      <c r="H245" s="180"/>
      <c r="I245" s="180"/>
      <c r="J245" s="180"/>
      <c r="K245" s="180"/>
      <c r="L245" s="180"/>
      <c r="M245" s="181"/>
      <c r="N245" s="181"/>
      <c r="O245" s="182"/>
      <c r="P245" s="183"/>
      <c r="Q245" s="183"/>
      <c r="R245" s="184"/>
      <c r="S245" s="184"/>
      <c r="T245" s="181"/>
      <c r="U245" s="181"/>
      <c r="V245" s="185"/>
      <c r="W245" s="186"/>
      <c r="X245" s="187"/>
      <c r="Y245" s="182"/>
      <c r="Z245" s="188"/>
      <c r="AA245" s="97"/>
      <c r="AB245" s="189"/>
    </row>
    <row r="246" spans="1:28">
      <c r="A246" s="116"/>
      <c r="B246" s="116"/>
      <c r="C246" s="116">
        <v>1</v>
      </c>
      <c r="D246" s="3" t="s">
        <v>1345</v>
      </c>
      <c r="E246" s="180" t="s">
        <v>1335</v>
      </c>
      <c r="F246" s="205"/>
      <c r="G246" s="180"/>
      <c r="H246" s="180"/>
      <c r="I246" s="180"/>
      <c r="J246" s="180"/>
      <c r="K246" s="180"/>
      <c r="L246" s="180"/>
      <c r="M246" s="181"/>
      <c r="N246" s="181"/>
      <c r="O246" s="182"/>
      <c r="P246" s="183">
        <v>0</v>
      </c>
      <c r="Q246" s="183">
        <v>0</v>
      </c>
      <c r="R246" s="184"/>
      <c r="S246" s="184"/>
      <c r="T246" s="181"/>
      <c r="U246" s="181"/>
      <c r="V246" s="185">
        <v>0</v>
      </c>
      <c r="W246" s="186"/>
      <c r="X246" s="187"/>
      <c r="Y246" s="182"/>
      <c r="Z246" s="188"/>
      <c r="AA246" s="97">
        <v>0</v>
      </c>
      <c r="AB246" s="189">
        <v>0</v>
      </c>
    </row>
    <row r="247" spans="1:28">
      <c r="A247" s="116"/>
      <c r="B247" s="116"/>
      <c r="C247" s="116">
        <v>0</v>
      </c>
      <c r="D247" s="3"/>
      <c r="E247" s="180"/>
      <c r="F247" s="205"/>
      <c r="G247" s="180"/>
      <c r="H247" s="180"/>
      <c r="I247" s="180"/>
      <c r="J247" s="180"/>
      <c r="K247" s="180"/>
      <c r="L247" s="180"/>
      <c r="M247" s="181"/>
      <c r="N247" s="181"/>
      <c r="O247" s="182"/>
      <c r="P247" s="183"/>
      <c r="Q247" s="183"/>
      <c r="R247" s="184"/>
      <c r="S247" s="184"/>
      <c r="T247" s="181"/>
      <c r="U247" s="181"/>
      <c r="V247" s="185"/>
      <c r="W247" s="186"/>
      <c r="X247" s="187"/>
      <c r="Y247" s="182"/>
      <c r="Z247" s="188"/>
      <c r="AA247" s="97"/>
      <c r="AB247" s="189"/>
    </row>
    <row r="248" spans="1:28">
      <c r="A248" s="116"/>
      <c r="B248" s="116"/>
      <c r="C248" s="116">
        <v>1</v>
      </c>
      <c r="D248" s="3" t="s">
        <v>1346</v>
      </c>
      <c r="E248" s="180" t="s">
        <v>1336</v>
      </c>
      <c r="F248" s="205"/>
      <c r="G248" s="180"/>
      <c r="H248" s="180"/>
      <c r="I248" s="180"/>
      <c r="J248" s="180"/>
      <c r="K248" s="180"/>
      <c r="L248" s="180"/>
      <c r="M248" s="181"/>
      <c r="N248" s="181"/>
      <c r="O248" s="182"/>
      <c r="P248" s="183">
        <v>0</v>
      </c>
      <c r="Q248" s="183">
        <v>0</v>
      </c>
      <c r="R248" s="184"/>
      <c r="S248" s="184"/>
      <c r="T248" s="181"/>
      <c r="U248" s="181"/>
      <c r="V248" s="185">
        <v>0</v>
      </c>
      <c r="W248" s="186"/>
      <c r="X248" s="187"/>
      <c r="Y248" s="182"/>
      <c r="Z248" s="188"/>
      <c r="AA248" s="97">
        <v>0</v>
      </c>
      <c r="AB248" s="189">
        <v>0</v>
      </c>
    </row>
    <row r="249" spans="1:28">
      <c r="A249" s="116"/>
      <c r="B249" s="116"/>
      <c r="C249" s="116">
        <v>0</v>
      </c>
      <c r="D249" s="3"/>
      <c r="E249" s="180"/>
      <c r="F249" s="205"/>
      <c r="G249" s="180"/>
      <c r="H249" s="180"/>
      <c r="I249" s="180"/>
      <c r="J249" s="180"/>
      <c r="K249" s="180"/>
      <c r="L249" s="180"/>
      <c r="M249" s="181"/>
      <c r="N249" s="181"/>
      <c r="O249" s="182"/>
      <c r="P249" s="183"/>
      <c r="Q249" s="183"/>
      <c r="R249" s="184"/>
      <c r="S249" s="184"/>
      <c r="T249" s="181"/>
      <c r="U249" s="181"/>
      <c r="V249" s="185"/>
      <c r="W249" s="186"/>
      <c r="X249" s="187"/>
      <c r="Y249" s="182"/>
      <c r="Z249" s="188"/>
      <c r="AA249" s="97"/>
      <c r="AB249" s="189"/>
    </row>
    <row r="250" spans="1:28">
      <c r="A250" s="116"/>
      <c r="B250" s="116"/>
      <c r="C250" s="116">
        <v>1</v>
      </c>
      <c r="D250" s="3" t="s">
        <v>1347</v>
      </c>
      <c r="E250" s="180" t="s">
        <v>1337</v>
      </c>
      <c r="F250" s="205"/>
      <c r="G250" s="180"/>
      <c r="H250" s="180"/>
      <c r="I250" s="180"/>
      <c r="J250" s="180"/>
      <c r="K250" s="180"/>
      <c r="L250" s="180"/>
      <c r="M250" s="181"/>
      <c r="N250" s="181"/>
      <c r="O250" s="182"/>
      <c r="P250" s="183">
        <v>0</v>
      </c>
      <c r="Q250" s="183">
        <v>0</v>
      </c>
      <c r="R250" s="184"/>
      <c r="S250" s="184"/>
      <c r="T250" s="181"/>
      <c r="U250" s="181"/>
      <c r="V250" s="185">
        <v>0</v>
      </c>
      <c r="W250" s="186"/>
      <c r="X250" s="187"/>
      <c r="Y250" s="182"/>
      <c r="Z250" s="188"/>
      <c r="AA250" s="97">
        <v>0</v>
      </c>
      <c r="AB250" s="189">
        <v>0</v>
      </c>
    </row>
    <row r="251" spans="1:28">
      <c r="A251" s="190"/>
      <c r="B251" s="190"/>
      <c r="C251" s="190">
        <v>2</v>
      </c>
      <c r="D251" s="191"/>
      <c r="E251" s="192"/>
      <c r="F251" s="255"/>
      <c r="G251" s="192"/>
      <c r="H251" s="192"/>
      <c r="I251" s="192"/>
      <c r="J251" s="192"/>
      <c r="K251" s="192"/>
      <c r="L251" s="192"/>
      <c r="M251" s="193"/>
      <c r="N251" s="193"/>
      <c r="O251" s="194"/>
      <c r="P251" s="195"/>
      <c r="Q251" s="195"/>
      <c r="R251" s="196"/>
      <c r="S251" s="196"/>
      <c r="T251" s="193"/>
      <c r="U251" s="193"/>
      <c r="V251" s="197"/>
      <c r="W251" s="198"/>
      <c r="X251" s="199"/>
      <c r="Y251" s="194"/>
      <c r="Z251" s="200"/>
      <c r="AA251" s="201"/>
      <c r="AB251" s="202"/>
    </row>
    <row r="252" spans="1:28">
      <c r="A252" s="116"/>
      <c r="B252" s="116"/>
      <c r="C252" s="116">
        <v>2</v>
      </c>
      <c r="D252" s="3"/>
      <c r="E252" s="180"/>
      <c r="F252" s="205"/>
      <c r="G252" s="180"/>
      <c r="H252" s="180"/>
      <c r="I252" s="180"/>
      <c r="J252" s="180"/>
      <c r="K252" s="180"/>
      <c r="L252" s="180"/>
      <c r="M252" s="181"/>
      <c r="N252" s="181"/>
      <c r="O252" s="182"/>
      <c r="P252" s="183"/>
      <c r="Q252" s="183"/>
      <c r="R252" s="184"/>
      <c r="S252" s="184"/>
      <c r="T252" s="181"/>
      <c r="U252" s="181"/>
      <c r="V252" s="185"/>
      <c r="W252" s="186"/>
      <c r="X252" s="187"/>
      <c r="Y252" s="182"/>
      <c r="Z252" s="188"/>
      <c r="AA252" s="97"/>
      <c r="AB252" s="189"/>
    </row>
    <row r="253" spans="1:28">
      <c r="A253" s="116"/>
      <c r="B253" s="116"/>
      <c r="C253" s="116">
        <v>0</v>
      </c>
      <c r="D253" s="3"/>
      <c r="E253" s="180"/>
      <c r="F253" s="205"/>
      <c r="G253" s="180"/>
      <c r="H253" s="180"/>
      <c r="I253" s="180"/>
      <c r="J253" s="180"/>
      <c r="K253" s="180"/>
      <c r="L253" s="180"/>
      <c r="M253" s="181"/>
      <c r="N253" s="181"/>
      <c r="O253" s="182"/>
      <c r="P253" s="183"/>
      <c r="Q253" s="183"/>
      <c r="R253" s="184"/>
      <c r="S253" s="184"/>
      <c r="T253" s="181"/>
      <c r="U253" s="181"/>
      <c r="V253" s="185"/>
      <c r="W253" s="186"/>
      <c r="X253" s="187"/>
      <c r="Y253" s="182"/>
      <c r="Z253" s="188"/>
      <c r="AA253" s="97"/>
      <c r="AB253" s="189"/>
    </row>
    <row r="254" spans="1:28">
      <c r="A254" s="116"/>
      <c r="B254" s="116"/>
      <c r="C254" s="116">
        <v>0</v>
      </c>
      <c r="D254" s="3"/>
      <c r="E254" s="180"/>
      <c r="F254" s="180"/>
      <c r="G254" s="180"/>
      <c r="H254" s="180"/>
      <c r="I254" s="180"/>
      <c r="J254" s="180"/>
      <c r="K254" s="180"/>
      <c r="L254" s="180"/>
      <c r="M254" s="181"/>
      <c r="N254" s="181"/>
      <c r="O254" s="182"/>
      <c r="P254" s="183"/>
      <c r="Q254" s="183"/>
      <c r="R254" s="184"/>
      <c r="S254" s="184"/>
      <c r="T254" s="181"/>
      <c r="U254" s="181"/>
      <c r="V254" s="185"/>
      <c r="W254" s="186"/>
      <c r="X254" s="187"/>
      <c r="Y254" s="182"/>
      <c r="Z254" s="188"/>
      <c r="AA254" s="97"/>
      <c r="AB254" s="189"/>
    </row>
    <row r="255" spans="1:28">
      <c r="A255" s="116"/>
      <c r="B255" s="116" t="s">
        <v>983</v>
      </c>
      <c r="C255" s="116">
        <v>1</v>
      </c>
      <c r="D255" s="3"/>
      <c r="E255" s="203"/>
      <c r="F255" s="180"/>
      <c r="G255" s="180"/>
      <c r="H255" s="180"/>
      <c r="I255" s="180"/>
      <c r="J255" s="180"/>
      <c r="K255" s="180"/>
      <c r="L255" s="180"/>
      <c r="M255" s="181"/>
      <c r="N255" s="181"/>
      <c r="O255" s="182"/>
      <c r="P255" s="183"/>
      <c r="Q255" s="183"/>
      <c r="R255" s="184"/>
      <c r="S255" s="184"/>
      <c r="T255" s="181"/>
      <c r="U255" s="181"/>
      <c r="V255" s="185"/>
      <c r="W255" s="186"/>
      <c r="X255" s="187"/>
      <c r="Y255" s="182"/>
      <c r="Z255" s="188"/>
      <c r="AA255" s="97"/>
      <c r="AB255" s="189"/>
    </row>
    <row r="256" spans="1:28">
      <c r="A256" s="116"/>
      <c r="B256" s="116" t="s">
        <v>983</v>
      </c>
      <c r="C256" s="116">
        <v>2</v>
      </c>
      <c r="D256" s="3"/>
      <c r="E256" s="203"/>
      <c r="F256" s="205"/>
      <c r="G256" s="205"/>
      <c r="H256" s="180"/>
      <c r="I256" s="180"/>
      <c r="J256" s="180"/>
      <c r="K256" s="180"/>
      <c r="L256" s="180"/>
      <c r="M256" s="181"/>
      <c r="N256" s="181"/>
      <c r="O256" s="182"/>
      <c r="P256" s="183"/>
      <c r="Q256" s="183"/>
      <c r="R256" s="184"/>
      <c r="S256" s="184"/>
      <c r="T256" s="181"/>
      <c r="U256" s="181"/>
      <c r="V256" s="185"/>
      <c r="W256" s="186"/>
      <c r="X256" s="187"/>
      <c r="Y256" s="182"/>
      <c r="Z256" s="188"/>
      <c r="AA256" s="97"/>
      <c r="AB256" s="189"/>
    </row>
    <row r="257" spans="1:28">
      <c r="A257" s="116"/>
      <c r="B257" s="116"/>
      <c r="C257" s="116">
        <v>3</v>
      </c>
      <c r="D257" s="3"/>
      <c r="E257" s="203"/>
      <c r="F257" s="205"/>
      <c r="G257" s="205"/>
      <c r="H257" s="180"/>
      <c r="I257" s="180"/>
      <c r="J257" s="180"/>
      <c r="K257" s="180"/>
      <c r="L257" s="180"/>
      <c r="M257" s="181"/>
      <c r="N257" s="181"/>
      <c r="O257" s="182"/>
      <c r="P257" s="183"/>
      <c r="Q257" s="183"/>
      <c r="R257" s="184"/>
      <c r="S257" s="184"/>
      <c r="T257" s="181"/>
      <c r="U257" s="181"/>
      <c r="V257" s="185"/>
      <c r="W257" s="186"/>
      <c r="X257" s="187"/>
      <c r="Y257" s="182"/>
      <c r="Z257" s="188"/>
      <c r="AA257" s="97"/>
      <c r="AB257" s="189"/>
    </row>
    <row r="258" spans="1:28">
      <c r="A258" s="116"/>
      <c r="B258" s="116"/>
      <c r="C258" s="116">
        <v>3</v>
      </c>
      <c r="D258" s="3"/>
      <c r="E258" s="203"/>
      <c r="F258" s="205"/>
      <c r="G258" s="205"/>
      <c r="H258" s="180"/>
      <c r="I258" s="180"/>
      <c r="J258" s="180"/>
      <c r="K258" s="180"/>
      <c r="L258" s="180"/>
      <c r="M258" s="181"/>
      <c r="N258" s="181"/>
      <c r="O258" s="182"/>
      <c r="P258" s="183"/>
      <c r="Q258" s="183"/>
      <c r="R258" s="184"/>
      <c r="S258" s="184"/>
      <c r="T258" s="181"/>
      <c r="U258" s="181"/>
      <c r="V258" s="185"/>
      <c r="W258" s="186"/>
      <c r="X258" s="187"/>
      <c r="Y258" s="182"/>
      <c r="Z258" s="188"/>
      <c r="AA258" s="97"/>
      <c r="AB258" s="189"/>
    </row>
    <row r="259" spans="1:28">
      <c r="A259" s="116"/>
      <c r="B259" s="116"/>
      <c r="C259" s="116">
        <v>3</v>
      </c>
      <c r="D259" s="3"/>
      <c r="E259" s="203"/>
      <c r="F259" s="205"/>
      <c r="G259" s="205"/>
      <c r="H259" s="180"/>
      <c r="I259" s="180"/>
      <c r="J259" s="180"/>
      <c r="K259" s="180"/>
      <c r="L259" s="180"/>
      <c r="M259" s="181"/>
      <c r="N259" s="181"/>
      <c r="O259" s="182"/>
      <c r="P259" s="183"/>
      <c r="Q259" s="183"/>
      <c r="R259" s="184"/>
      <c r="S259" s="184"/>
      <c r="T259" s="181"/>
      <c r="U259" s="181"/>
      <c r="V259" s="185"/>
      <c r="W259" s="186"/>
      <c r="X259" s="187"/>
      <c r="Y259" s="182"/>
      <c r="Z259" s="188"/>
      <c r="AA259" s="97"/>
      <c r="AB259" s="189"/>
    </row>
    <row r="260" spans="1:28">
      <c r="A260" s="116"/>
      <c r="B260" s="116"/>
      <c r="C260" s="116">
        <v>3</v>
      </c>
      <c r="D260" s="3"/>
      <c r="E260" s="203"/>
      <c r="F260" s="205"/>
      <c r="G260" s="205"/>
      <c r="H260" s="180"/>
      <c r="I260" s="180"/>
      <c r="J260" s="180"/>
      <c r="K260" s="180"/>
      <c r="L260" s="180"/>
      <c r="M260" s="181"/>
      <c r="N260" s="181"/>
      <c r="O260" s="182"/>
      <c r="P260" s="183"/>
      <c r="Q260" s="183"/>
      <c r="R260" s="184"/>
      <c r="S260" s="184"/>
      <c r="T260" s="181"/>
      <c r="U260" s="181"/>
      <c r="V260" s="185"/>
      <c r="W260" s="186"/>
      <c r="X260" s="187"/>
      <c r="Y260" s="182"/>
      <c r="Z260" s="188"/>
      <c r="AA260" s="97"/>
      <c r="AB260" s="189"/>
    </row>
    <row r="261" spans="1:28">
      <c r="A261" s="116"/>
      <c r="B261" s="116"/>
      <c r="C261" s="116">
        <v>0</v>
      </c>
      <c r="D261" s="3"/>
      <c r="E261" s="203"/>
      <c r="F261" s="205"/>
      <c r="G261" s="205"/>
      <c r="H261" s="180"/>
      <c r="I261" s="180"/>
      <c r="J261" s="180"/>
      <c r="K261" s="180"/>
      <c r="L261" s="180"/>
      <c r="M261" s="181"/>
      <c r="N261" s="181"/>
      <c r="O261" s="182"/>
      <c r="P261" s="183"/>
      <c r="Q261" s="183"/>
      <c r="R261" s="184"/>
      <c r="S261" s="184"/>
      <c r="T261" s="181"/>
      <c r="U261" s="181"/>
      <c r="V261" s="185"/>
      <c r="W261" s="186"/>
      <c r="X261" s="187"/>
      <c r="Y261" s="182"/>
      <c r="Z261" s="188"/>
      <c r="AA261" s="97"/>
      <c r="AB261" s="189"/>
    </row>
    <row r="262" spans="1:28">
      <c r="A262" s="116"/>
      <c r="B262" s="116" t="s">
        <v>983</v>
      </c>
      <c r="C262" s="116">
        <v>2</v>
      </c>
      <c r="D262" s="3"/>
      <c r="E262" s="203"/>
      <c r="F262" s="205"/>
      <c r="G262" s="205"/>
      <c r="H262" s="180"/>
      <c r="I262" s="180"/>
      <c r="J262" s="180"/>
      <c r="K262" s="180"/>
      <c r="L262" s="180"/>
      <c r="M262" s="181"/>
      <c r="N262" s="181"/>
      <c r="O262" s="182"/>
      <c r="P262" s="183"/>
      <c r="Q262" s="183"/>
      <c r="R262" s="184"/>
      <c r="S262" s="184"/>
      <c r="T262" s="181"/>
      <c r="U262" s="181"/>
      <c r="V262" s="185"/>
      <c r="W262" s="186"/>
      <c r="X262" s="187"/>
      <c r="Y262" s="182"/>
      <c r="Z262" s="188"/>
      <c r="AA262" s="97"/>
      <c r="AB262" s="189"/>
    </row>
    <row r="263" spans="1:28">
      <c r="A263" s="116"/>
      <c r="B263" s="116"/>
      <c r="C263" s="116">
        <v>3</v>
      </c>
      <c r="D263" s="3"/>
      <c r="E263" s="203"/>
      <c r="F263" s="205"/>
      <c r="G263" s="205"/>
      <c r="H263" s="180"/>
      <c r="I263" s="180"/>
      <c r="J263" s="180"/>
      <c r="K263" s="180"/>
      <c r="L263" s="180"/>
      <c r="M263" s="181"/>
      <c r="N263" s="181"/>
      <c r="O263" s="182"/>
      <c r="P263" s="183"/>
      <c r="Q263" s="183"/>
      <c r="R263" s="184"/>
      <c r="S263" s="184"/>
      <c r="T263" s="181"/>
      <c r="U263" s="181"/>
      <c r="V263" s="185"/>
      <c r="W263" s="186"/>
      <c r="X263" s="187"/>
      <c r="Y263" s="182"/>
      <c r="Z263" s="188"/>
      <c r="AA263" s="97"/>
      <c r="AB263" s="189"/>
    </row>
    <row r="264" spans="1:28">
      <c r="A264" s="116"/>
      <c r="B264" s="116"/>
      <c r="C264" s="116">
        <v>3</v>
      </c>
      <c r="D264" s="3"/>
      <c r="E264" s="203"/>
      <c r="F264" s="205"/>
      <c r="G264" s="205"/>
      <c r="H264" s="180"/>
      <c r="I264" s="180"/>
      <c r="J264" s="180"/>
      <c r="K264" s="180"/>
      <c r="L264" s="180"/>
      <c r="M264" s="181"/>
      <c r="N264" s="181"/>
      <c r="O264" s="182"/>
      <c r="P264" s="183"/>
      <c r="Q264" s="183"/>
      <c r="R264" s="184"/>
      <c r="S264" s="184"/>
      <c r="T264" s="181"/>
      <c r="U264" s="181"/>
      <c r="V264" s="185"/>
      <c r="W264" s="186"/>
      <c r="X264" s="187"/>
      <c r="Y264" s="182"/>
      <c r="Z264" s="188"/>
      <c r="AA264" s="97"/>
      <c r="AB264" s="189"/>
    </row>
    <row r="265" spans="1:28">
      <c r="A265" s="116"/>
      <c r="B265" s="116"/>
      <c r="C265" s="116">
        <v>3</v>
      </c>
      <c r="D265" s="3"/>
      <c r="E265" s="203"/>
      <c r="F265" s="205"/>
      <c r="G265" s="205"/>
      <c r="H265" s="180"/>
      <c r="I265" s="180"/>
      <c r="J265" s="180"/>
      <c r="K265" s="180"/>
      <c r="L265" s="180"/>
      <c r="M265" s="181"/>
      <c r="N265" s="181"/>
      <c r="O265" s="182"/>
      <c r="P265" s="183"/>
      <c r="Q265" s="183"/>
      <c r="R265" s="184"/>
      <c r="S265" s="184"/>
      <c r="T265" s="181"/>
      <c r="U265" s="181"/>
      <c r="V265" s="185"/>
      <c r="W265" s="186"/>
      <c r="X265" s="187"/>
      <c r="Y265" s="182"/>
      <c r="Z265" s="188"/>
      <c r="AA265" s="97"/>
      <c r="AB265" s="189"/>
    </row>
    <row r="266" spans="1:28">
      <c r="A266" s="116"/>
      <c r="B266" s="116"/>
      <c r="C266" s="116">
        <v>3</v>
      </c>
      <c r="D266" s="3"/>
      <c r="E266" s="203"/>
      <c r="F266" s="205"/>
      <c r="G266" s="205"/>
      <c r="H266" s="180"/>
      <c r="I266" s="180"/>
      <c r="J266" s="180"/>
      <c r="K266" s="180"/>
      <c r="L266" s="180"/>
      <c r="M266" s="181"/>
      <c r="N266" s="181"/>
      <c r="O266" s="182"/>
      <c r="P266" s="183"/>
      <c r="Q266" s="183"/>
      <c r="R266" s="184"/>
      <c r="S266" s="184"/>
      <c r="T266" s="181"/>
      <c r="U266" s="181"/>
      <c r="V266" s="185"/>
      <c r="W266" s="186"/>
      <c r="X266" s="187"/>
      <c r="Y266" s="182"/>
      <c r="Z266" s="188"/>
      <c r="AA266" s="97"/>
      <c r="AB266" s="189"/>
    </row>
    <row r="267" spans="1:28">
      <c r="A267" s="116"/>
      <c r="B267" s="116"/>
      <c r="C267" s="116">
        <v>0</v>
      </c>
      <c r="D267" s="3"/>
      <c r="E267" s="203"/>
      <c r="F267" s="205"/>
      <c r="G267" s="205"/>
      <c r="H267" s="180"/>
      <c r="I267" s="180"/>
      <c r="J267" s="180"/>
      <c r="K267" s="180"/>
      <c r="L267" s="180"/>
      <c r="M267" s="181"/>
      <c r="N267" s="181"/>
      <c r="O267" s="182"/>
      <c r="P267" s="183"/>
      <c r="Q267" s="183"/>
      <c r="R267" s="184"/>
      <c r="S267" s="184"/>
      <c r="T267" s="181"/>
      <c r="U267" s="181"/>
      <c r="V267" s="185"/>
      <c r="W267" s="186"/>
      <c r="X267" s="187"/>
      <c r="Y267" s="182"/>
      <c r="Z267" s="188"/>
      <c r="AA267" s="97"/>
      <c r="AB267" s="189"/>
    </row>
    <row r="268" spans="1:28">
      <c r="A268" s="116"/>
      <c r="B268" s="116" t="s">
        <v>983</v>
      </c>
      <c r="C268" s="116">
        <v>2</v>
      </c>
      <c r="D268" s="3"/>
      <c r="E268" s="203"/>
      <c r="F268" s="205"/>
      <c r="G268" s="205"/>
      <c r="H268" s="180"/>
      <c r="I268" s="180"/>
      <c r="J268" s="180"/>
      <c r="K268" s="180"/>
      <c r="L268" s="180"/>
      <c r="M268" s="181"/>
      <c r="N268" s="181"/>
      <c r="O268" s="182"/>
      <c r="P268" s="183"/>
      <c r="Q268" s="183"/>
      <c r="R268" s="184"/>
      <c r="S268" s="184"/>
      <c r="T268" s="181"/>
      <c r="U268" s="181"/>
      <c r="V268" s="185"/>
      <c r="W268" s="186"/>
      <c r="X268" s="187"/>
      <c r="Y268" s="182"/>
      <c r="Z268" s="188"/>
      <c r="AA268" s="97"/>
      <c r="AB268" s="189"/>
    </row>
    <row r="269" spans="1:28">
      <c r="A269" s="116"/>
      <c r="B269" s="116"/>
      <c r="C269" s="116">
        <v>3</v>
      </c>
      <c r="D269" s="3"/>
      <c r="E269" s="203"/>
      <c r="F269" s="205"/>
      <c r="G269" s="205"/>
      <c r="H269" s="180"/>
      <c r="I269" s="180"/>
      <c r="J269" s="180"/>
      <c r="K269" s="180"/>
      <c r="L269" s="180"/>
      <c r="M269" s="181"/>
      <c r="N269" s="181"/>
      <c r="O269" s="182"/>
      <c r="P269" s="183"/>
      <c r="Q269" s="183"/>
      <c r="R269" s="184"/>
      <c r="S269" s="184"/>
      <c r="T269" s="181"/>
      <c r="U269" s="181"/>
      <c r="V269" s="185"/>
      <c r="W269" s="186"/>
      <c r="X269" s="187"/>
      <c r="Y269" s="182"/>
      <c r="Z269" s="188"/>
      <c r="AA269" s="97"/>
      <c r="AB269" s="189"/>
    </row>
    <row r="270" spans="1:28">
      <c r="A270" s="116"/>
      <c r="B270" s="116"/>
      <c r="C270" s="116">
        <v>3</v>
      </c>
      <c r="D270" s="3"/>
      <c r="E270" s="203"/>
      <c r="F270" s="205"/>
      <c r="G270" s="205"/>
      <c r="H270" s="180"/>
      <c r="I270" s="180"/>
      <c r="J270" s="180"/>
      <c r="K270" s="180"/>
      <c r="L270" s="180"/>
      <c r="M270" s="181"/>
      <c r="N270" s="181"/>
      <c r="O270" s="182"/>
      <c r="P270" s="183"/>
      <c r="Q270" s="183"/>
      <c r="R270" s="184"/>
      <c r="S270" s="184"/>
      <c r="T270" s="181"/>
      <c r="U270" s="181"/>
      <c r="V270" s="185"/>
      <c r="W270" s="186"/>
      <c r="X270" s="187"/>
      <c r="Y270" s="182"/>
      <c r="Z270" s="188"/>
      <c r="AA270" s="97"/>
      <c r="AB270" s="189"/>
    </row>
    <row r="271" spans="1:28">
      <c r="A271" s="116"/>
      <c r="B271" s="116"/>
      <c r="C271" s="116">
        <v>3</v>
      </c>
      <c r="D271" s="3"/>
      <c r="E271" s="203"/>
      <c r="F271" s="205"/>
      <c r="G271" s="205"/>
      <c r="H271" s="180"/>
      <c r="I271" s="180"/>
      <c r="J271" s="180"/>
      <c r="K271" s="180"/>
      <c r="L271" s="180"/>
      <c r="M271" s="181"/>
      <c r="N271" s="181"/>
      <c r="O271" s="182"/>
      <c r="P271" s="183"/>
      <c r="Q271" s="183"/>
      <c r="R271" s="184"/>
      <c r="S271" s="184"/>
      <c r="T271" s="181"/>
      <c r="U271" s="181"/>
      <c r="V271" s="185"/>
      <c r="W271" s="186"/>
      <c r="X271" s="187"/>
      <c r="Y271" s="182"/>
      <c r="Z271" s="188"/>
      <c r="AA271" s="97"/>
      <c r="AB271" s="189"/>
    </row>
    <row r="272" spans="1:28">
      <c r="A272" s="116"/>
      <c r="B272" s="116"/>
      <c r="C272" s="116">
        <v>3</v>
      </c>
      <c r="D272" s="3"/>
      <c r="E272" s="203"/>
      <c r="F272" s="205"/>
      <c r="G272" s="205"/>
      <c r="H272" s="180"/>
      <c r="I272" s="180"/>
      <c r="J272" s="180"/>
      <c r="K272" s="180"/>
      <c r="L272" s="180"/>
      <c r="M272" s="181"/>
      <c r="N272" s="181"/>
      <c r="O272" s="182"/>
      <c r="P272" s="183"/>
      <c r="Q272" s="183"/>
      <c r="R272" s="184"/>
      <c r="S272" s="184"/>
      <c r="T272" s="181"/>
      <c r="U272" s="181"/>
      <c r="V272" s="185"/>
      <c r="W272" s="186"/>
      <c r="X272" s="187"/>
      <c r="Y272" s="182"/>
      <c r="Z272" s="188"/>
      <c r="AA272" s="97"/>
      <c r="AB272" s="189"/>
    </row>
    <row r="273" spans="1:28">
      <c r="A273" s="116"/>
      <c r="B273" s="116"/>
      <c r="C273" s="116">
        <v>0</v>
      </c>
      <c r="D273" s="3"/>
      <c r="E273" s="203"/>
      <c r="F273" s="205"/>
      <c r="G273" s="205"/>
      <c r="H273" s="180"/>
      <c r="I273" s="180"/>
      <c r="J273" s="180"/>
      <c r="K273" s="180"/>
      <c r="L273" s="180"/>
      <c r="M273" s="181"/>
      <c r="N273" s="181"/>
      <c r="O273" s="182"/>
      <c r="P273" s="183"/>
      <c r="Q273" s="183"/>
      <c r="R273" s="184"/>
      <c r="S273" s="184"/>
      <c r="T273" s="181"/>
      <c r="U273" s="181"/>
      <c r="V273" s="185"/>
      <c r="W273" s="186"/>
      <c r="X273" s="187"/>
      <c r="Y273" s="182"/>
      <c r="Z273" s="188"/>
      <c r="AA273" s="97"/>
      <c r="AB273" s="189"/>
    </row>
    <row r="274" spans="1:28">
      <c r="A274" s="116"/>
      <c r="B274" s="116" t="s">
        <v>983</v>
      </c>
      <c r="C274" s="116">
        <v>2</v>
      </c>
      <c r="D274" s="3"/>
      <c r="E274" s="203"/>
      <c r="F274" s="205"/>
      <c r="G274" s="205"/>
      <c r="H274" s="180"/>
      <c r="I274" s="180"/>
      <c r="J274" s="180"/>
      <c r="K274" s="180"/>
      <c r="L274" s="180"/>
      <c r="M274" s="181"/>
      <c r="N274" s="181"/>
      <c r="O274" s="182"/>
      <c r="P274" s="183"/>
      <c r="Q274" s="183"/>
      <c r="R274" s="184"/>
      <c r="S274" s="184"/>
      <c r="T274" s="181"/>
      <c r="U274" s="181"/>
      <c r="V274" s="185"/>
      <c r="W274" s="186"/>
      <c r="X274" s="187"/>
      <c r="Y274" s="182"/>
      <c r="Z274" s="188"/>
      <c r="AA274" s="97"/>
      <c r="AB274" s="189"/>
    </row>
    <row r="275" spans="1:28">
      <c r="A275" s="116"/>
      <c r="B275" s="116"/>
      <c r="C275" s="116">
        <v>3</v>
      </c>
      <c r="D275" s="3"/>
      <c r="E275" s="203"/>
      <c r="F275" s="205"/>
      <c r="G275" s="205"/>
      <c r="H275" s="180"/>
      <c r="I275" s="180"/>
      <c r="J275" s="180"/>
      <c r="K275" s="180"/>
      <c r="L275" s="180"/>
      <c r="M275" s="181"/>
      <c r="N275" s="181"/>
      <c r="O275" s="182"/>
      <c r="P275" s="183"/>
      <c r="Q275" s="183"/>
      <c r="R275" s="184"/>
      <c r="S275" s="184"/>
      <c r="T275" s="181"/>
      <c r="U275" s="181"/>
      <c r="V275" s="185"/>
      <c r="W275" s="186"/>
      <c r="X275" s="187"/>
      <c r="Y275" s="182"/>
      <c r="Z275" s="188"/>
      <c r="AA275" s="97"/>
      <c r="AB275" s="189"/>
    </row>
    <row r="276" spans="1:28">
      <c r="A276" s="116"/>
      <c r="B276" s="116"/>
      <c r="C276" s="116">
        <v>3</v>
      </c>
      <c r="D276" s="3"/>
      <c r="E276" s="203"/>
      <c r="F276" s="205"/>
      <c r="G276" s="205"/>
      <c r="H276" s="180"/>
      <c r="I276" s="180"/>
      <c r="J276" s="180"/>
      <c r="K276" s="180"/>
      <c r="L276" s="180"/>
      <c r="M276" s="181"/>
      <c r="N276" s="181"/>
      <c r="O276" s="182"/>
      <c r="P276" s="183"/>
      <c r="Q276" s="183"/>
      <c r="R276" s="184"/>
      <c r="S276" s="184"/>
      <c r="T276" s="181"/>
      <c r="U276" s="181"/>
      <c r="V276" s="185"/>
      <c r="W276" s="186"/>
      <c r="X276" s="187"/>
      <c r="Y276" s="182"/>
      <c r="Z276" s="188"/>
      <c r="AA276" s="97"/>
      <c r="AB276" s="189"/>
    </row>
    <row r="277" spans="1:28">
      <c r="A277" s="116"/>
      <c r="B277" s="116"/>
      <c r="C277" s="116">
        <v>3</v>
      </c>
      <c r="D277" s="3"/>
      <c r="E277" s="203"/>
      <c r="F277" s="205"/>
      <c r="G277" s="205"/>
      <c r="H277" s="180"/>
      <c r="I277" s="180"/>
      <c r="J277" s="180"/>
      <c r="K277" s="180"/>
      <c r="L277" s="180"/>
      <c r="M277" s="181"/>
      <c r="N277" s="181"/>
      <c r="O277" s="182"/>
      <c r="P277" s="183"/>
      <c r="Q277" s="183"/>
      <c r="R277" s="184"/>
      <c r="S277" s="184"/>
      <c r="T277" s="181"/>
      <c r="U277" s="181"/>
      <c r="V277" s="185"/>
      <c r="W277" s="186"/>
      <c r="X277" s="187"/>
      <c r="Y277" s="182"/>
      <c r="Z277" s="188"/>
      <c r="AA277" s="97"/>
      <c r="AB277" s="189"/>
    </row>
    <row r="278" spans="1:28">
      <c r="A278" s="116"/>
      <c r="B278" s="116"/>
      <c r="C278" s="116">
        <v>3</v>
      </c>
      <c r="D278" s="3"/>
      <c r="E278" s="203"/>
      <c r="F278" s="205"/>
      <c r="G278" s="205"/>
      <c r="H278" s="180"/>
      <c r="I278" s="180"/>
      <c r="J278" s="180"/>
      <c r="K278" s="180"/>
      <c r="L278" s="180"/>
      <c r="M278" s="181"/>
      <c r="N278" s="181"/>
      <c r="O278" s="182"/>
      <c r="P278" s="183"/>
      <c r="Q278" s="183"/>
      <c r="R278" s="184"/>
      <c r="S278" s="184"/>
      <c r="T278" s="181"/>
      <c r="U278" s="181"/>
      <c r="V278" s="185"/>
      <c r="W278" s="186"/>
      <c r="X278" s="187"/>
      <c r="Y278" s="182"/>
      <c r="Z278" s="188"/>
      <c r="AA278" s="97"/>
      <c r="AB278" s="189"/>
    </row>
    <row r="279" spans="1:28">
      <c r="A279" s="116"/>
      <c r="B279" s="116"/>
      <c r="C279" s="116">
        <v>0</v>
      </c>
      <c r="D279" s="3"/>
      <c r="E279" s="203"/>
      <c r="F279" s="205"/>
      <c r="G279" s="205"/>
      <c r="H279" s="180"/>
      <c r="I279" s="180"/>
      <c r="J279" s="180"/>
      <c r="K279" s="180"/>
      <c r="L279" s="180"/>
      <c r="M279" s="181"/>
      <c r="N279" s="181"/>
      <c r="O279" s="182"/>
      <c r="P279" s="183"/>
      <c r="Q279" s="183"/>
      <c r="R279" s="184"/>
      <c r="S279" s="184"/>
      <c r="T279" s="181"/>
      <c r="U279" s="181"/>
      <c r="V279" s="185"/>
      <c r="W279" s="186"/>
      <c r="X279" s="187"/>
      <c r="Y279" s="182"/>
      <c r="Z279" s="188"/>
      <c r="AA279" s="97"/>
      <c r="AB279" s="189"/>
    </row>
    <row r="280" spans="1:28">
      <c r="A280" s="116"/>
      <c r="B280" s="116" t="s">
        <v>983</v>
      </c>
      <c r="C280" s="116">
        <v>2</v>
      </c>
      <c r="D280" s="3"/>
      <c r="E280" s="203"/>
      <c r="F280" s="205"/>
      <c r="G280" s="205"/>
      <c r="H280" s="180"/>
      <c r="I280" s="180"/>
      <c r="J280" s="180"/>
      <c r="K280" s="180"/>
      <c r="L280" s="180"/>
      <c r="M280" s="181"/>
      <c r="N280" s="181"/>
      <c r="O280" s="182"/>
      <c r="P280" s="183"/>
      <c r="Q280" s="183"/>
      <c r="R280" s="184"/>
      <c r="S280" s="184"/>
      <c r="T280" s="181"/>
      <c r="U280" s="181"/>
      <c r="V280" s="185"/>
      <c r="W280" s="186"/>
      <c r="X280" s="187"/>
      <c r="Y280" s="182"/>
      <c r="Z280" s="188"/>
      <c r="AA280" s="97"/>
      <c r="AB280" s="189"/>
    </row>
    <row r="281" spans="1:28">
      <c r="A281" s="116"/>
      <c r="B281" s="116"/>
      <c r="C281" s="116">
        <v>3</v>
      </c>
      <c r="D281" s="3"/>
      <c r="E281" s="203"/>
      <c r="F281" s="205"/>
      <c r="G281" s="205"/>
      <c r="H281" s="180"/>
      <c r="I281" s="180"/>
      <c r="J281" s="180"/>
      <c r="K281" s="180"/>
      <c r="L281" s="180"/>
      <c r="M281" s="181"/>
      <c r="N281" s="181"/>
      <c r="O281" s="182"/>
      <c r="P281" s="183"/>
      <c r="Q281" s="183"/>
      <c r="R281" s="184"/>
      <c r="S281" s="184"/>
      <c r="T281" s="181"/>
      <c r="U281" s="181"/>
      <c r="V281" s="185"/>
      <c r="W281" s="186"/>
      <c r="X281" s="187"/>
      <c r="Y281" s="182"/>
      <c r="Z281" s="188"/>
      <c r="AA281" s="97"/>
      <c r="AB281" s="189"/>
    </row>
    <row r="282" spans="1:28">
      <c r="A282" s="116"/>
      <c r="B282" s="116"/>
      <c r="C282" s="116">
        <v>3</v>
      </c>
      <c r="D282" s="3"/>
      <c r="E282" s="203"/>
      <c r="F282" s="205"/>
      <c r="G282" s="205"/>
      <c r="H282" s="180"/>
      <c r="I282" s="180"/>
      <c r="J282" s="180"/>
      <c r="K282" s="180"/>
      <c r="L282" s="180"/>
      <c r="M282" s="181"/>
      <c r="N282" s="181"/>
      <c r="O282" s="182"/>
      <c r="P282" s="183"/>
      <c r="Q282" s="183"/>
      <c r="R282" s="184"/>
      <c r="S282" s="184"/>
      <c r="T282" s="181"/>
      <c r="U282" s="181"/>
      <c r="V282" s="185"/>
      <c r="W282" s="186"/>
      <c r="X282" s="187"/>
      <c r="Y282" s="182"/>
      <c r="Z282" s="188"/>
      <c r="AA282" s="97"/>
      <c r="AB282" s="189"/>
    </row>
    <row r="283" spans="1:28">
      <c r="A283" s="116"/>
      <c r="B283" s="116"/>
      <c r="C283" s="116">
        <v>3</v>
      </c>
      <c r="D283" s="3"/>
      <c r="E283" s="203"/>
      <c r="F283" s="205"/>
      <c r="G283" s="205"/>
      <c r="H283" s="180"/>
      <c r="I283" s="180"/>
      <c r="J283" s="180"/>
      <c r="K283" s="180"/>
      <c r="L283" s="180"/>
      <c r="M283" s="181"/>
      <c r="N283" s="181"/>
      <c r="O283" s="182"/>
      <c r="P283" s="183"/>
      <c r="Q283" s="183"/>
      <c r="R283" s="184"/>
      <c r="S283" s="184"/>
      <c r="T283" s="181"/>
      <c r="U283" s="181"/>
      <c r="V283" s="185"/>
      <c r="W283" s="186"/>
      <c r="X283" s="187"/>
      <c r="Y283" s="182"/>
      <c r="Z283" s="188"/>
      <c r="AA283" s="97"/>
      <c r="AB283" s="189"/>
    </row>
    <row r="284" spans="1:28">
      <c r="A284" s="116"/>
      <c r="B284" s="116"/>
      <c r="C284" s="116">
        <v>3</v>
      </c>
      <c r="D284" s="3"/>
      <c r="E284" s="203"/>
      <c r="F284" s="205"/>
      <c r="G284" s="205"/>
      <c r="H284" s="180"/>
      <c r="I284" s="180"/>
      <c r="J284" s="180"/>
      <c r="K284" s="180"/>
      <c r="L284" s="180"/>
      <c r="M284" s="181"/>
      <c r="N284" s="181"/>
      <c r="O284" s="182"/>
      <c r="P284" s="183"/>
      <c r="Q284" s="183"/>
      <c r="R284" s="184"/>
      <c r="S284" s="184"/>
      <c r="T284" s="181"/>
      <c r="U284" s="181"/>
      <c r="V284" s="185"/>
      <c r="W284" s="186"/>
      <c r="X284" s="187"/>
      <c r="Y284" s="182"/>
      <c r="Z284" s="188"/>
      <c r="AA284" s="97"/>
      <c r="AB284" s="189"/>
    </row>
    <row r="285" spans="1:28">
      <c r="A285" s="116"/>
      <c r="B285" s="116"/>
      <c r="C285" s="116">
        <v>0</v>
      </c>
      <c r="D285" s="3"/>
      <c r="E285" s="203"/>
      <c r="F285" s="205"/>
      <c r="G285" s="205"/>
      <c r="H285" s="180"/>
      <c r="I285" s="180"/>
      <c r="J285" s="180"/>
      <c r="K285" s="180"/>
      <c r="L285" s="180"/>
      <c r="M285" s="181"/>
      <c r="N285" s="181"/>
      <c r="O285" s="182"/>
      <c r="P285" s="183"/>
      <c r="Q285" s="183"/>
      <c r="R285" s="184"/>
      <c r="S285" s="184"/>
      <c r="T285" s="181"/>
      <c r="U285" s="181"/>
      <c r="V285" s="185"/>
      <c r="W285" s="186"/>
      <c r="X285" s="187"/>
      <c r="Y285" s="182"/>
      <c r="Z285" s="188"/>
      <c r="AA285" s="97"/>
      <c r="AB285" s="189"/>
    </row>
    <row r="286" spans="1:28">
      <c r="A286" s="116"/>
      <c r="B286" s="116" t="s">
        <v>983</v>
      </c>
      <c r="C286" s="116">
        <v>2</v>
      </c>
      <c r="D286" s="3"/>
      <c r="E286" s="203"/>
      <c r="F286" s="205"/>
      <c r="G286" s="205"/>
      <c r="H286" s="180"/>
      <c r="I286" s="180"/>
      <c r="J286" s="180"/>
      <c r="K286" s="180"/>
      <c r="L286" s="180"/>
      <c r="M286" s="181"/>
      <c r="N286" s="181"/>
      <c r="O286" s="182"/>
      <c r="P286" s="183"/>
      <c r="Q286" s="183"/>
      <c r="R286" s="184"/>
      <c r="S286" s="184"/>
      <c r="T286" s="181"/>
      <c r="U286" s="181"/>
      <c r="V286" s="185"/>
      <c r="W286" s="186"/>
      <c r="X286" s="187"/>
      <c r="Y286" s="182"/>
      <c r="Z286" s="188"/>
      <c r="AA286" s="97"/>
      <c r="AB286" s="189"/>
    </row>
    <row r="287" spans="1:28">
      <c r="A287" s="116"/>
      <c r="B287" s="116"/>
      <c r="C287" s="116">
        <v>3</v>
      </c>
      <c r="D287" s="3"/>
      <c r="E287" s="203"/>
      <c r="F287" s="205"/>
      <c r="G287" s="205"/>
      <c r="H287" s="180"/>
      <c r="I287" s="180"/>
      <c r="J287" s="180"/>
      <c r="K287" s="180"/>
      <c r="L287" s="180"/>
      <c r="M287" s="181"/>
      <c r="N287" s="181"/>
      <c r="O287" s="182"/>
      <c r="P287" s="183"/>
      <c r="Q287" s="183"/>
      <c r="R287" s="184"/>
      <c r="S287" s="184"/>
      <c r="T287" s="181"/>
      <c r="U287" s="181"/>
      <c r="V287" s="185"/>
      <c r="W287" s="186"/>
      <c r="X287" s="187"/>
      <c r="Y287" s="182"/>
      <c r="Z287" s="188"/>
      <c r="AA287" s="97"/>
      <c r="AB287" s="189"/>
    </row>
    <row r="288" spans="1:28">
      <c r="A288" s="116"/>
      <c r="B288" s="116"/>
      <c r="C288" s="116">
        <v>3</v>
      </c>
      <c r="D288" s="3"/>
      <c r="E288" s="203"/>
      <c r="F288" s="205"/>
      <c r="G288" s="205"/>
      <c r="H288" s="180"/>
      <c r="I288" s="180"/>
      <c r="J288" s="180"/>
      <c r="K288" s="180"/>
      <c r="L288" s="180"/>
      <c r="M288" s="181"/>
      <c r="N288" s="181"/>
      <c r="O288" s="182"/>
      <c r="P288" s="183"/>
      <c r="Q288" s="183"/>
      <c r="R288" s="184"/>
      <c r="S288" s="184"/>
      <c r="T288" s="181"/>
      <c r="U288" s="181"/>
      <c r="V288" s="185"/>
      <c r="W288" s="186"/>
      <c r="X288" s="187"/>
      <c r="Y288" s="182"/>
      <c r="Z288" s="188"/>
      <c r="AA288" s="97"/>
      <c r="AB288" s="189"/>
    </row>
    <row r="289" spans="1:28">
      <c r="A289" s="116"/>
      <c r="B289" s="116"/>
      <c r="C289" s="116">
        <v>3</v>
      </c>
      <c r="D289" s="3"/>
      <c r="E289" s="203"/>
      <c r="F289" s="205"/>
      <c r="G289" s="205"/>
      <c r="H289" s="180"/>
      <c r="I289" s="180"/>
      <c r="J289" s="180"/>
      <c r="K289" s="180"/>
      <c r="L289" s="180"/>
      <c r="M289" s="181"/>
      <c r="N289" s="181"/>
      <c r="O289" s="182"/>
      <c r="P289" s="183"/>
      <c r="Q289" s="183"/>
      <c r="R289" s="184"/>
      <c r="S289" s="184"/>
      <c r="T289" s="181"/>
      <c r="U289" s="181"/>
      <c r="V289" s="185"/>
      <c r="W289" s="186"/>
      <c r="X289" s="187"/>
      <c r="Y289" s="182"/>
      <c r="Z289" s="188"/>
      <c r="AA289" s="97"/>
      <c r="AB289" s="189"/>
    </row>
    <row r="290" spans="1:28">
      <c r="A290" s="116"/>
      <c r="B290" s="116"/>
      <c r="C290" s="116">
        <v>3</v>
      </c>
      <c r="D290" s="3"/>
      <c r="E290" s="203"/>
      <c r="F290" s="205"/>
      <c r="G290" s="205"/>
      <c r="H290" s="180"/>
      <c r="I290" s="180"/>
      <c r="J290" s="180"/>
      <c r="K290" s="180"/>
      <c r="L290" s="180"/>
      <c r="M290" s="181"/>
      <c r="N290" s="181"/>
      <c r="O290" s="182"/>
      <c r="P290" s="183"/>
      <c r="Q290" s="183"/>
      <c r="R290" s="184"/>
      <c r="S290" s="184"/>
      <c r="T290" s="181"/>
      <c r="U290" s="181"/>
      <c r="V290" s="185"/>
      <c r="W290" s="186"/>
      <c r="X290" s="187"/>
      <c r="Y290" s="182"/>
      <c r="Z290" s="188"/>
      <c r="AA290" s="97"/>
      <c r="AB290" s="189"/>
    </row>
    <row r="291" spans="1:28">
      <c r="A291" s="116"/>
      <c r="B291" s="116"/>
      <c r="C291" s="116">
        <v>0</v>
      </c>
      <c r="D291" s="3"/>
      <c r="E291" s="203"/>
      <c r="F291" s="205"/>
      <c r="G291" s="205"/>
      <c r="H291" s="180"/>
      <c r="I291" s="180"/>
      <c r="J291" s="180"/>
      <c r="K291" s="180"/>
      <c r="L291" s="180"/>
      <c r="M291" s="181"/>
      <c r="N291" s="181"/>
      <c r="O291" s="182"/>
      <c r="P291" s="183"/>
      <c r="Q291" s="183"/>
      <c r="R291" s="184"/>
      <c r="S291" s="184"/>
      <c r="T291" s="181"/>
      <c r="U291" s="181"/>
      <c r="V291" s="185"/>
      <c r="W291" s="186"/>
      <c r="X291" s="187"/>
      <c r="Y291" s="182"/>
      <c r="Z291" s="188"/>
      <c r="AA291" s="97"/>
      <c r="AB291" s="189"/>
    </row>
    <row r="292" spans="1:28">
      <c r="A292" s="116"/>
      <c r="B292" s="116" t="s">
        <v>983</v>
      </c>
      <c r="C292" s="116">
        <v>2</v>
      </c>
      <c r="D292" s="3"/>
      <c r="E292" s="203"/>
      <c r="F292" s="205"/>
      <c r="G292" s="205"/>
      <c r="H292" s="180"/>
      <c r="I292" s="180"/>
      <c r="J292" s="180"/>
      <c r="K292" s="180"/>
      <c r="L292" s="180"/>
      <c r="M292" s="181"/>
      <c r="N292" s="181"/>
      <c r="O292" s="182"/>
      <c r="P292" s="183"/>
      <c r="Q292" s="183"/>
      <c r="R292" s="184"/>
      <c r="S292" s="184"/>
      <c r="T292" s="181"/>
      <c r="U292" s="181"/>
      <c r="V292" s="185"/>
      <c r="W292" s="186"/>
      <c r="X292" s="187"/>
      <c r="Y292" s="182"/>
      <c r="Z292" s="188"/>
      <c r="AA292" s="97"/>
      <c r="AB292" s="189"/>
    </row>
    <row r="293" spans="1:28">
      <c r="A293" s="116"/>
      <c r="B293" s="116"/>
      <c r="C293" s="116">
        <v>3</v>
      </c>
      <c r="D293" s="3"/>
      <c r="E293" s="203"/>
      <c r="F293" s="205"/>
      <c r="G293" s="205"/>
      <c r="H293" s="180"/>
      <c r="I293" s="180"/>
      <c r="J293" s="180"/>
      <c r="K293" s="180"/>
      <c r="L293" s="180"/>
      <c r="M293" s="181"/>
      <c r="N293" s="181"/>
      <c r="O293" s="182"/>
      <c r="P293" s="183"/>
      <c r="Q293" s="183"/>
      <c r="R293" s="184"/>
      <c r="S293" s="184"/>
      <c r="T293" s="181"/>
      <c r="U293" s="181"/>
      <c r="V293" s="185"/>
      <c r="W293" s="186"/>
      <c r="X293" s="187"/>
      <c r="Y293" s="182"/>
      <c r="Z293" s="188"/>
      <c r="AA293" s="97"/>
      <c r="AB293" s="189"/>
    </row>
    <row r="294" spans="1:28">
      <c r="A294" s="116"/>
      <c r="B294" s="116"/>
      <c r="C294" s="116">
        <v>3</v>
      </c>
      <c r="D294" s="3"/>
      <c r="E294" s="203"/>
      <c r="F294" s="205"/>
      <c r="G294" s="205"/>
      <c r="H294" s="180"/>
      <c r="I294" s="180"/>
      <c r="J294" s="180"/>
      <c r="K294" s="180"/>
      <c r="L294" s="180"/>
      <c r="M294" s="181"/>
      <c r="N294" s="181"/>
      <c r="O294" s="182"/>
      <c r="P294" s="183"/>
      <c r="Q294" s="183"/>
      <c r="R294" s="184"/>
      <c r="S294" s="184"/>
      <c r="T294" s="181"/>
      <c r="U294" s="181"/>
      <c r="V294" s="185"/>
      <c r="W294" s="186"/>
      <c r="X294" s="187"/>
      <c r="Y294" s="182"/>
      <c r="Z294" s="188"/>
      <c r="AA294" s="97"/>
      <c r="AB294" s="189"/>
    </row>
    <row r="295" spans="1:28">
      <c r="A295" s="116"/>
      <c r="B295" s="116"/>
      <c r="C295" s="116">
        <v>3</v>
      </c>
      <c r="D295" s="3"/>
      <c r="E295" s="203"/>
      <c r="F295" s="205"/>
      <c r="G295" s="205"/>
      <c r="H295" s="180"/>
      <c r="I295" s="180"/>
      <c r="J295" s="180"/>
      <c r="K295" s="180"/>
      <c r="L295" s="180"/>
      <c r="M295" s="181"/>
      <c r="N295" s="181"/>
      <c r="O295" s="182"/>
      <c r="P295" s="183"/>
      <c r="Q295" s="183"/>
      <c r="R295" s="184"/>
      <c r="S295" s="184"/>
      <c r="T295" s="181"/>
      <c r="U295" s="181"/>
      <c r="V295" s="185"/>
      <c r="W295" s="186"/>
      <c r="X295" s="187"/>
      <c r="Y295" s="182"/>
      <c r="Z295" s="188"/>
      <c r="AA295" s="97"/>
      <c r="AB295" s="189"/>
    </row>
    <row r="296" spans="1:28">
      <c r="A296" s="116"/>
      <c r="B296" s="116"/>
      <c r="C296" s="116">
        <v>3</v>
      </c>
      <c r="D296" s="3"/>
      <c r="E296" s="203"/>
      <c r="F296" s="205"/>
      <c r="G296" s="205"/>
      <c r="H296" s="180"/>
      <c r="I296" s="180"/>
      <c r="J296" s="180"/>
      <c r="K296" s="180"/>
      <c r="L296" s="180"/>
      <c r="M296" s="181"/>
      <c r="N296" s="181"/>
      <c r="O296" s="182"/>
      <c r="P296" s="183"/>
      <c r="Q296" s="183"/>
      <c r="R296" s="184"/>
      <c r="S296" s="184"/>
      <c r="T296" s="181"/>
      <c r="U296" s="181"/>
      <c r="V296" s="185"/>
      <c r="W296" s="186"/>
      <c r="X296" s="187"/>
      <c r="Y296" s="182"/>
      <c r="Z296" s="188"/>
      <c r="AA296" s="97"/>
      <c r="AB296" s="189"/>
    </row>
    <row r="297" spans="1:28">
      <c r="A297" s="116"/>
      <c r="B297" s="116"/>
      <c r="C297" s="116">
        <v>0</v>
      </c>
      <c r="D297" s="3"/>
      <c r="E297" s="203"/>
      <c r="F297" s="205"/>
      <c r="G297" s="205"/>
      <c r="H297" s="180"/>
      <c r="I297" s="180"/>
      <c r="J297" s="180"/>
      <c r="K297" s="180"/>
      <c r="L297" s="180"/>
      <c r="M297" s="181"/>
      <c r="N297" s="181"/>
      <c r="O297" s="182"/>
      <c r="P297" s="183"/>
      <c r="Q297" s="183"/>
      <c r="R297" s="184"/>
      <c r="S297" s="184"/>
      <c r="T297" s="181"/>
      <c r="U297" s="181"/>
      <c r="V297" s="185"/>
      <c r="W297" s="186"/>
      <c r="X297" s="187"/>
      <c r="Y297" s="182"/>
      <c r="Z297" s="188"/>
      <c r="AA297" s="97"/>
      <c r="AB297" s="189"/>
    </row>
    <row r="298" spans="1:28">
      <c r="A298" s="116"/>
      <c r="B298" s="116" t="s">
        <v>983</v>
      </c>
      <c r="C298" s="116">
        <v>2</v>
      </c>
      <c r="D298" s="3"/>
      <c r="E298" s="203"/>
      <c r="F298" s="205"/>
      <c r="G298" s="205"/>
      <c r="H298" s="180"/>
      <c r="I298" s="180"/>
      <c r="J298" s="180"/>
      <c r="K298" s="180"/>
      <c r="L298" s="180"/>
      <c r="M298" s="181"/>
      <c r="N298" s="181"/>
      <c r="O298" s="182"/>
      <c r="P298" s="183"/>
      <c r="Q298" s="183"/>
      <c r="R298" s="184"/>
      <c r="S298" s="184"/>
      <c r="T298" s="181"/>
      <c r="U298" s="181"/>
      <c r="V298" s="185"/>
      <c r="W298" s="186"/>
      <c r="X298" s="187"/>
      <c r="Y298" s="182"/>
      <c r="Z298" s="188"/>
      <c r="AA298" s="97"/>
      <c r="AB298" s="189"/>
    </row>
    <row r="299" spans="1:28">
      <c r="A299" s="116"/>
      <c r="B299" s="116"/>
      <c r="C299" s="116">
        <v>3</v>
      </c>
      <c r="D299" s="3"/>
      <c r="E299" s="203"/>
      <c r="F299" s="205"/>
      <c r="G299" s="205"/>
      <c r="H299" s="180"/>
      <c r="I299" s="180"/>
      <c r="J299" s="180"/>
      <c r="K299" s="180"/>
      <c r="L299" s="180"/>
      <c r="M299" s="181"/>
      <c r="N299" s="181"/>
      <c r="O299" s="182"/>
      <c r="P299" s="183"/>
      <c r="Q299" s="183"/>
      <c r="R299" s="184"/>
      <c r="S299" s="184"/>
      <c r="T299" s="181"/>
      <c r="U299" s="181"/>
      <c r="V299" s="185"/>
      <c r="W299" s="186"/>
      <c r="X299" s="187"/>
      <c r="Y299" s="182"/>
      <c r="Z299" s="188"/>
      <c r="AA299" s="97"/>
      <c r="AB299" s="189"/>
    </row>
    <row r="300" spans="1:28">
      <c r="A300" s="116"/>
      <c r="B300" s="116"/>
      <c r="C300" s="116">
        <v>3</v>
      </c>
      <c r="D300" s="3"/>
      <c r="E300" s="203"/>
      <c r="F300" s="205"/>
      <c r="G300" s="205"/>
      <c r="H300" s="180"/>
      <c r="I300" s="180"/>
      <c r="J300" s="180"/>
      <c r="K300" s="180"/>
      <c r="L300" s="180"/>
      <c r="M300" s="181"/>
      <c r="N300" s="181"/>
      <c r="O300" s="182"/>
      <c r="P300" s="183"/>
      <c r="Q300" s="183"/>
      <c r="R300" s="184"/>
      <c r="S300" s="184"/>
      <c r="T300" s="181"/>
      <c r="U300" s="181"/>
      <c r="V300" s="185"/>
      <c r="W300" s="186"/>
      <c r="X300" s="187"/>
      <c r="Y300" s="182"/>
      <c r="Z300" s="188"/>
      <c r="AA300" s="97"/>
      <c r="AB300" s="189"/>
    </row>
    <row r="301" spans="1:28">
      <c r="A301" s="116"/>
      <c r="B301" s="116"/>
      <c r="C301" s="116">
        <v>3</v>
      </c>
      <c r="D301" s="3"/>
      <c r="E301" s="203"/>
      <c r="F301" s="205"/>
      <c r="G301" s="205"/>
      <c r="H301" s="180"/>
      <c r="I301" s="180"/>
      <c r="J301" s="180"/>
      <c r="K301" s="180"/>
      <c r="L301" s="180"/>
      <c r="M301" s="181"/>
      <c r="N301" s="181"/>
      <c r="O301" s="182"/>
      <c r="P301" s="183"/>
      <c r="Q301" s="183"/>
      <c r="R301" s="184"/>
      <c r="S301" s="184"/>
      <c r="T301" s="181"/>
      <c r="U301" s="181"/>
      <c r="V301" s="185"/>
      <c r="W301" s="186"/>
      <c r="X301" s="187"/>
      <c r="Y301" s="182"/>
      <c r="Z301" s="188"/>
      <c r="AA301" s="97"/>
      <c r="AB301" s="189"/>
    </row>
    <row r="302" spans="1:28">
      <c r="A302" s="116"/>
      <c r="B302" s="116"/>
      <c r="C302" s="116">
        <v>3</v>
      </c>
      <c r="D302" s="3"/>
      <c r="E302" s="203"/>
      <c r="F302" s="205"/>
      <c r="G302" s="205"/>
      <c r="H302" s="180"/>
      <c r="I302" s="180"/>
      <c r="J302" s="180"/>
      <c r="K302" s="180"/>
      <c r="L302" s="180"/>
      <c r="M302" s="181"/>
      <c r="N302" s="181"/>
      <c r="O302" s="182"/>
      <c r="P302" s="183"/>
      <c r="Q302" s="183"/>
      <c r="R302" s="184"/>
      <c r="S302" s="184"/>
      <c r="T302" s="181"/>
      <c r="U302" s="181"/>
      <c r="V302" s="185"/>
      <c r="W302" s="186"/>
      <c r="X302" s="187"/>
      <c r="Y302" s="182"/>
      <c r="Z302" s="188"/>
      <c r="AA302" s="97"/>
      <c r="AB302" s="189"/>
    </row>
    <row r="303" spans="1:28">
      <c r="A303" s="116"/>
      <c r="B303" s="116"/>
      <c r="C303" s="116">
        <v>0</v>
      </c>
      <c r="D303" s="3"/>
      <c r="E303" s="203"/>
      <c r="F303" s="205"/>
      <c r="G303" s="205"/>
      <c r="H303" s="180"/>
      <c r="I303" s="180"/>
      <c r="J303" s="180"/>
      <c r="K303" s="180"/>
      <c r="L303" s="180"/>
      <c r="M303" s="181"/>
      <c r="N303" s="181"/>
      <c r="O303" s="182"/>
      <c r="P303" s="183"/>
      <c r="Q303" s="183"/>
      <c r="R303" s="184"/>
      <c r="S303" s="184"/>
      <c r="T303" s="181"/>
      <c r="U303" s="181"/>
      <c r="V303" s="185"/>
      <c r="W303" s="186"/>
      <c r="X303" s="187"/>
      <c r="Y303" s="182"/>
      <c r="Z303" s="188"/>
      <c r="AA303" s="97"/>
      <c r="AB303" s="189"/>
    </row>
    <row r="304" spans="1:28">
      <c r="A304" s="116"/>
      <c r="B304" s="116" t="s">
        <v>983</v>
      </c>
      <c r="C304" s="116">
        <v>2</v>
      </c>
      <c r="D304" s="3"/>
      <c r="E304" s="203"/>
      <c r="F304" s="205"/>
      <c r="G304" s="205"/>
      <c r="H304" s="180"/>
      <c r="I304" s="180"/>
      <c r="J304" s="180"/>
      <c r="K304" s="180"/>
      <c r="L304" s="180"/>
      <c r="M304" s="181"/>
      <c r="N304" s="181"/>
      <c r="O304" s="182"/>
      <c r="P304" s="183"/>
      <c r="Q304" s="183"/>
      <c r="R304" s="184"/>
      <c r="S304" s="184"/>
      <c r="T304" s="181"/>
      <c r="U304" s="181"/>
      <c r="V304" s="185"/>
      <c r="W304" s="186"/>
      <c r="X304" s="187"/>
      <c r="Y304" s="182"/>
      <c r="Z304" s="188"/>
      <c r="AA304" s="97"/>
      <c r="AB304" s="189"/>
    </row>
    <row r="305" spans="1:28">
      <c r="A305" s="116"/>
      <c r="B305" s="116"/>
      <c r="C305" s="116">
        <v>3</v>
      </c>
      <c r="D305" s="3"/>
      <c r="E305" s="203"/>
      <c r="F305" s="205"/>
      <c r="G305" s="205"/>
      <c r="H305" s="180"/>
      <c r="I305" s="180"/>
      <c r="J305" s="180"/>
      <c r="K305" s="180"/>
      <c r="L305" s="180"/>
      <c r="M305" s="181"/>
      <c r="N305" s="181"/>
      <c r="O305" s="182"/>
      <c r="P305" s="183"/>
      <c r="Q305" s="183"/>
      <c r="R305" s="184"/>
      <c r="S305" s="184"/>
      <c r="T305" s="181"/>
      <c r="U305" s="181"/>
      <c r="V305" s="185"/>
      <c r="W305" s="186"/>
      <c r="X305" s="187"/>
      <c r="Y305" s="182"/>
      <c r="Z305" s="188"/>
      <c r="AA305" s="97"/>
      <c r="AB305" s="189"/>
    </row>
    <row r="306" spans="1:28">
      <c r="A306" s="116"/>
      <c r="B306" s="116"/>
      <c r="C306" s="116">
        <v>3</v>
      </c>
      <c r="D306" s="3"/>
      <c r="E306" s="203"/>
      <c r="F306" s="205"/>
      <c r="G306" s="205"/>
      <c r="H306" s="180"/>
      <c r="I306" s="180"/>
      <c r="J306" s="180"/>
      <c r="K306" s="180"/>
      <c r="L306" s="180"/>
      <c r="M306" s="181"/>
      <c r="N306" s="181"/>
      <c r="O306" s="182"/>
      <c r="P306" s="183"/>
      <c r="Q306" s="183"/>
      <c r="R306" s="184"/>
      <c r="S306" s="184"/>
      <c r="T306" s="181"/>
      <c r="U306" s="181"/>
      <c r="V306" s="185"/>
      <c r="W306" s="186"/>
      <c r="X306" s="187"/>
      <c r="Y306" s="182"/>
      <c r="Z306" s="188"/>
      <c r="AA306" s="97"/>
      <c r="AB306" s="189"/>
    </row>
    <row r="307" spans="1:28">
      <c r="A307" s="116"/>
      <c r="B307" s="116"/>
      <c r="C307" s="116">
        <v>3</v>
      </c>
      <c r="D307" s="3"/>
      <c r="E307" s="203"/>
      <c r="F307" s="205"/>
      <c r="G307" s="205"/>
      <c r="H307" s="180"/>
      <c r="I307" s="180"/>
      <c r="J307" s="180"/>
      <c r="K307" s="180"/>
      <c r="L307" s="180"/>
      <c r="M307" s="181"/>
      <c r="N307" s="181"/>
      <c r="O307" s="182"/>
      <c r="P307" s="183"/>
      <c r="Q307" s="183"/>
      <c r="R307" s="184"/>
      <c r="S307" s="184"/>
      <c r="T307" s="181"/>
      <c r="U307" s="181"/>
      <c r="V307" s="185"/>
      <c r="W307" s="186"/>
      <c r="X307" s="187"/>
      <c r="Y307" s="182"/>
      <c r="Z307" s="188"/>
      <c r="AA307" s="97"/>
      <c r="AB307" s="189"/>
    </row>
    <row r="308" spans="1:28">
      <c r="A308" s="116"/>
      <c r="B308" s="116"/>
      <c r="C308" s="116">
        <v>3</v>
      </c>
      <c r="D308" s="3"/>
      <c r="E308" s="203"/>
      <c r="F308" s="205"/>
      <c r="G308" s="205"/>
      <c r="H308" s="180"/>
      <c r="I308" s="180"/>
      <c r="J308" s="180"/>
      <c r="K308" s="180"/>
      <c r="L308" s="180"/>
      <c r="M308" s="181"/>
      <c r="N308" s="181"/>
      <c r="O308" s="182"/>
      <c r="P308" s="183"/>
      <c r="Q308" s="183"/>
      <c r="R308" s="184"/>
      <c r="S308" s="184"/>
      <c r="T308" s="181"/>
      <c r="U308" s="181"/>
      <c r="V308" s="185"/>
      <c r="W308" s="186"/>
      <c r="X308" s="187"/>
      <c r="Y308" s="182"/>
      <c r="Z308" s="188"/>
      <c r="AA308" s="97"/>
      <c r="AB308" s="189"/>
    </row>
    <row r="309" spans="1:28">
      <c r="A309" s="116"/>
      <c r="B309" s="116"/>
      <c r="C309" s="116">
        <v>0</v>
      </c>
      <c r="D309" s="3"/>
      <c r="E309" s="203"/>
      <c r="F309" s="205"/>
      <c r="G309" s="205"/>
      <c r="H309" s="180"/>
      <c r="I309" s="180"/>
      <c r="J309" s="180"/>
      <c r="K309" s="180"/>
      <c r="L309" s="180"/>
      <c r="M309" s="181"/>
      <c r="N309" s="181"/>
      <c r="O309" s="182"/>
      <c r="P309" s="183"/>
      <c r="Q309" s="183"/>
      <c r="R309" s="184"/>
      <c r="S309" s="184"/>
      <c r="T309" s="181"/>
      <c r="U309" s="181"/>
      <c r="V309" s="185"/>
      <c r="W309" s="186"/>
      <c r="X309" s="187"/>
      <c r="Y309" s="182"/>
      <c r="Z309" s="188"/>
      <c r="AA309" s="97"/>
      <c r="AB309" s="189"/>
    </row>
    <row r="310" spans="1:28">
      <c r="A310" s="116"/>
      <c r="B310" s="116" t="s">
        <v>983</v>
      </c>
      <c r="C310" s="116">
        <v>2</v>
      </c>
      <c r="D310" s="3"/>
      <c r="E310" s="203"/>
      <c r="F310" s="205"/>
      <c r="G310" s="205"/>
      <c r="H310" s="180"/>
      <c r="I310" s="180"/>
      <c r="J310" s="180"/>
      <c r="K310" s="180"/>
      <c r="L310" s="180"/>
      <c r="M310" s="181"/>
      <c r="N310" s="181"/>
      <c r="O310" s="182"/>
      <c r="P310" s="183"/>
      <c r="Q310" s="183"/>
      <c r="R310" s="184"/>
      <c r="S310" s="184"/>
      <c r="T310" s="181"/>
      <c r="U310" s="181"/>
      <c r="V310" s="185"/>
      <c r="W310" s="186"/>
      <c r="X310" s="187"/>
      <c r="Y310" s="182"/>
      <c r="Z310" s="188"/>
      <c r="AA310" s="97"/>
      <c r="AB310" s="189"/>
    </row>
    <row r="311" spans="1:28">
      <c r="A311" s="116"/>
      <c r="B311" s="116"/>
      <c r="C311" s="116">
        <v>3</v>
      </c>
      <c r="D311" s="3"/>
      <c r="E311" s="203"/>
      <c r="F311" s="205"/>
      <c r="G311" s="205"/>
      <c r="H311" s="180"/>
      <c r="I311" s="180"/>
      <c r="J311" s="180"/>
      <c r="K311" s="180"/>
      <c r="L311" s="180"/>
      <c r="M311" s="181"/>
      <c r="N311" s="181"/>
      <c r="O311" s="182"/>
      <c r="P311" s="183"/>
      <c r="Q311" s="183"/>
      <c r="R311" s="184"/>
      <c r="S311" s="184"/>
      <c r="T311" s="181"/>
      <c r="U311" s="181"/>
      <c r="V311" s="185"/>
      <c r="W311" s="186"/>
      <c r="X311" s="187"/>
      <c r="Y311" s="182"/>
      <c r="Z311" s="188"/>
      <c r="AA311" s="97"/>
      <c r="AB311" s="189"/>
    </row>
    <row r="312" spans="1:28">
      <c r="A312" s="116"/>
      <c r="B312" s="116"/>
      <c r="C312" s="116">
        <v>3</v>
      </c>
      <c r="D312" s="3"/>
      <c r="E312" s="203"/>
      <c r="F312" s="205"/>
      <c r="G312" s="205"/>
      <c r="H312" s="180"/>
      <c r="I312" s="180"/>
      <c r="J312" s="180"/>
      <c r="K312" s="180"/>
      <c r="L312" s="180"/>
      <c r="M312" s="181"/>
      <c r="N312" s="181"/>
      <c r="O312" s="182"/>
      <c r="P312" s="183"/>
      <c r="Q312" s="183"/>
      <c r="R312" s="184"/>
      <c r="S312" s="184"/>
      <c r="T312" s="181"/>
      <c r="U312" s="181"/>
      <c r="V312" s="185"/>
      <c r="W312" s="186"/>
      <c r="X312" s="187"/>
      <c r="Y312" s="182"/>
      <c r="Z312" s="188"/>
      <c r="AA312" s="97"/>
      <c r="AB312" s="189"/>
    </row>
    <row r="313" spans="1:28">
      <c r="A313" s="116"/>
      <c r="B313" s="116"/>
      <c r="C313" s="116">
        <v>3</v>
      </c>
      <c r="D313" s="3"/>
      <c r="E313" s="203"/>
      <c r="F313" s="205"/>
      <c r="G313" s="205"/>
      <c r="H313" s="180"/>
      <c r="I313" s="180"/>
      <c r="J313" s="180"/>
      <c r="K313" s="180"/>
      <c r="L313" s="180"/>
      <c r="M313" s="181"/>
      <c r="N313" s="181"/>
      <c r="O313" s="182"/>
      <c r="P313" s="183"/>
      <c r="Q313" s="183"/>
      <c r="R313" s="184"/>
      <c r="S313" s="184"/>
      <c r="T313" s="181"/>
      <c r="U313" s="181"/>
      <c r="V313" s="185"/>
      <c r="W313" s="186"/>
      <c r="X313" s="187"/>
      <c r="Y313" s="182"/>
      <c r="Z313" s="188"/>
      <c r="AA313" s="97"/>
      <c r="AB313" s="189"/>
    </row>
    <row r="314" spans="1:28">
      <c r="A314" s="116"/>
      <c r="B314" s="116"/>
      <c r="C314" s="116">
        <v>3</v>
      </c>
      <c r="D314" s="3"/>
      <c r="E314" s="203"/>
      <c r="F314" s="205"/>
      <c r="G314" s="205"/>
      <c r="H314" s="180"/>
      <c r="I314" s="180"/>
      <c r="J314" s="180"/>
      <c r="K314" s="180"/>
      <c r="L314" s="180"/>
      <c r="M314" s="181"/>
      <c r="N314" s="181"/>
      <c r="O314" s="182"/>
      <c r="P314" s="183"/>
      <c r="Q314" s="183"/>
      <c r="R314" s="184"/>
      <c r="S314" s="184"/>
      <c r="T314" s="181"/>
      <c r="U314" s="181"/>
      <c r="V314" s="185"/>
      <c r="W314" s="186"/>
      <c r="X314" s="187"/>
      <c r="Y314" s="182"/>
      <c r="Z314" s="188"/>
      <c r="AA314" s="97"/>
      <c r="AB314" s="189"/>
    </row>
    <row r="315" spans="1:28">
      <c r="A315" s="116"/>
      <c r="B315" s="116"/>
      <c r="C315" s="116">
        <v>0</v>
      </c>
      <c r="D315" s="3"/>
      <c r="E315" s="203"/>
      <c r="F315" s="205"/>
      <c r="G315" s="205"/>
      <c r="H315" s="180"/>
      <c r="I315" s="180"/>
      <c r="J315" s="180"/>
      <c r="K315" s="180"/>
      <c r="L315" s="180"/>
      <c r="M315" s="181"/>
      <c r="N315" s="181"/>
      <c r="O315" s="182"/>
      <c r="P315" s="183"/>
      <c r="Q315" s="183"/>
      <c r="R315" s="184"/>
      <c r="S315" s="184"/>
      <c r="T315" s="181"/>
      <c r="U315" s="181"/>
      <c r="V315" s="185"/>
      <c r="W315" s="186"/>
      <c r="X315" s="187"/>
      <c r="Y315" s="182"/>
      <c r="Z315" s="188"/>
      <c r="AA315" s="97"/>
      <c r="AB315" s="189"/>
    </row>
    <row r="316" spans="1:28">
      <c r="A316" s="116"/>
      <c r="B316" s="116" t="s">
        <v>983</v>
      </c>
      <c r="C316" s="116">
        <v>2</v>
      </c>
      <c r="D316" s="3"/>
      <c r="E316" s="203"/>
      <c r="F316" s="205"/>
      <c r="G316" s="205"/>
      <c r="H316" s="180"/>
      <c r="I316" s="180"/>
      <c r="J316" s="180"/>
      <c r="K316" s="180"/>
      <c r="L316" s="180"/>
      <c r="M316" s="181"/>
      <c r="N316" s="181"/>
      <c r="O316" s="182"/>
      <c r="P316" s="183"/>
      <c r="Q316" s="183"/>
      <c r="R316" s="184"/>
      <c r="S316" s="184"/>
      <c r="T316" s="181"/>
      <c r="U316" s="181"/>
      <c r="V316" s="185"/>
      <c r="W316" s="186"/>
      <c r="X316" s="187"/>
      <c r="Y316" s="182"/>
      <c r="Z316" s="188"/>
      <c r="AA316" s="97"/>
      <c r="AB316" s="189"/>
    </row>
    <row r="317" spans="1:28">
      <c r="A317" s="116"/>
      <c r="B317" s="116"/>
      <c r="C317" s="116">
        <v>3</v>
      </c>
      <c r="D317" s="3"/>
      <c r="E317" s="203"/>
      <c r="F317" s="205"/>
      <c r="G317" s="205"/>
      <c r="H317" s="180"/>
      <c r="I317" s="180"/>
      <c r="J317" s="180"/>
      <c r="K317" s="180"/>
      <c r="L317" s="180"/>
      <c r="M317" s="181"/>
      <c r="N317" s="181"/>
      <c r="O317" s="182"/>
      <c r="P317" s="183"/>
      <c r="Q317" s="183"/>
      <c r="R317" s="184"/>
      <c r="S317" s="184"/>
      <c r="T317" s="181"/>
      <c r="U317" s="181"/>
      <c r="V317" s="185"/>
      <c r="W317" s="186"/>
      <c r="X317" s="187"/>
      <c r="Y317" s="182"/>
      <c r="Z317" s="188"/>
      <c r="AA317" s="97"/>
      <c r="AB317" s="189"/>
    </row>
    <row r="318" spans="1:28">
      <c r="A318" s="116"/>
      <c r="B318" s="116"/>
      <c r="C318" s="116">
        <v>3</v>
      </c>
      <c r="D318" s="3"/>
      <c r="E318" s="203"/>
      <c r="F318" s="205"/>
      <c r="G318" s="205"/>
      <c r="H318" s="180"/>
      <c r="I318" s="180"/>
      <c r="J318" s="180"/>
      <c r="K318" s="180"/>
      <c r="L318" s="180"/>
      <c r="M318" s="181"/>
      <c r="N318" s="181"/>
      <c r="O318" s="182"/>
      <c r="P318" s="183"/>
      <c r="Q318" s="183"/>
      <c r="R318" s="184"/>
      <c r="S318" s="184"/>
      <c r="T318" s="181"/>
      <c r="U318" s="181"/>
      <c r="V318" s="185"/>
      <c r="W318" s="186"/>
      <c r="X318" s="187"/>
      <c r="Y318" s="182"/>
      <c r="Z318" s="188"/>
      <c r="AA318" s="97"/>
      <c r="AB318" s="189"/>
    </row>
    <row r="319" spans="1:28">
      <c r="A319" s="116"/>
      <c r="B319" s="116"/>
      <c r="C319" s="116">
        <v>3</v>
      </c>
      <c r="D319" s="3"/>
      <c r="E319" s="203"/>
      <c r="F319" s="205"/>
      <c r="G319" s="205"/>
      <c r="H319" s="180"/>
      <c r="I319" s="180"/>
      <c r="J319" s="180"/>
      <c r="K319" s="180"/>
      <c r="L319" s="180"/>
      <c r="M319" s="181"/>
      <c r="N319" s="181"/>
      <c r="O319" s="182"/>
      <c r="P319" s="183"/>
      <c r="Q319" s="183"/>
      <c r="R319" s="184"/>
      <c r="S319" s="184"/>
      <c r="T319" s="181"/>
      <c r="U319" s="181"/>
      <c r="V319" s="185"/>
      <c r="W319" s="186"/>
      <c r="X319" s="187"/>
      <c r="Y319" s="182"/>
      <c r="Z319" s="188"/>
      <c r="AA319" s="97"/>
      <c r="AB319" s="189"/>
    </row>
    <row r="320" spans="1:28">
      <c r="A320" s="116"/>
      <c r="B320" s="116"/>
      <c r="C320" s="116">
        <v>3</v>
      </c>
      <c r="D320" s="3"/>
      <c r="E320" s="203"/>
      <c r="F320" s="205"/>
      <c r="G320" s="205"/>
      <c r="H320" s="180"/>
      <c r="I320" s="180"/>
      <c r="J320" s="180"/>
      <c r="K320" s="180"/>
      <c r="L320" s="180"/>
      <c r="M320" s="181"/>
      <c r="N320" s="181"/>
      <c r="O320" s="182"/>
      <c r="P320" s="183"/>
      <c r="Q320" s="183"/>
      <c r="R320" s="184"/>
      <c r="S320" s="184"/>
      <c r="T320" s="181"/>
      <c r="U320" s="181"/>
      <c r="V320" s="185"/>
      <c r="W320" s="186"/>
      <c r="X320" s="187"/>
      <c r="Y320" s="182"/>
      <c r="Z320" s="188"/>
      <c r="AA320" s="97"/>
      <c r="AB320" s="189"/>
    </row>
    <row r="321" spans="1:28">
      <c r="A321" s="116"/>
      <c r="B321" s="116"/>
      <c r="C321" s="116">
        <v>0</v>
      </c>
      <c r="D321" s="3"/>
      <c r="E321" s="203"/>
      <c r="F321" s="205"/>
      <c r="G321" s="205"/>
      <c r="H321" s="180"/>
      <c r="I321" s="180"/>
      <c r="J321" s="180"/>
      <c r="K321" s="180"/>
      <c r="L321" s="180"/>
      <c r="M321" s="181"/>
      <c r="N321" s="181"/>
      <c r="O321" s="182"/>
      <c r="P321" s="183"/>
      <c r="Q321" s="183"/>
      <c r="R321" s="184"/>
      <c r="S321" s="184"/>
      <c r="T321" s="181"/>
      <c r="U321" s="181"/>
      <c r="V321" s="185"/>
      <c r="W321" s="186"/>
      <c r="X321" s="187"/>
      <c r="Y321" s="182"/>
      <c r="Z321" s="188"/>
      <c r="AA321" s="97"/>
      <c r="AB321" s="189"/>
    </row>
    <row r="322" spans="1:28">
      <c r="A322" s="116"/>
      <c r="B322" s="116" t="s">
        <v>983</v>
      </c>
      <c r="C322" s="116">
        <v>2</v>
      </c>
      <c r="D322" s="3"/>
      <c r="E322" s="203"/>
      <c r="F322" s="205"/>
      <c r="G322" s="205"/>
      <c r="H322" s="180"/>
      <c r="I322" s="180"/>
      <c r="J322" s="180"/>
      <c r="K322" s="180"/>
      <c r="L322" s="180"/>
      <c r="M322" s="181"/>
      <c r="N322" s="181"/>
      <c r="O322" s="182"/>
      <c r="P322" s="183"/>
      <c r="Q322" s="183"/>
      <c r="R322" s="184"/>
      <c r="S322" s="184"/>
      <c r="T322" s="181"/>
      <c r="U322" s="181"/>
      <c r="V322" s="185"/>
      <c r="W322" s="186"/>
      <c r="X322" s="187"/>
      <c r="Y322" s="182"/>
      <c r="Z322" s="188"/>
      <c r="AA322" s="97"/>
      <c r="AB322" s="189"/>
    </row>
    <row r="323" spans="1:28">
      <c r="A323" s="116"/>
      <c r="B323" s="116"/>
      <c r="C323" s="116">
        <v>3</v>
      </c>
      <c r="D323" s="3"/>
      <c r="E323" s="203"/>
      <c r="F323" s="205"/>
      <c r="G323" s="205"/>
      <c r="H323" s="180"/>
      <c r="I323" s="180"/>
      <c r="J323" s="180"/>
      <c r="K323" s="180"/>
      <c r="L323" s="180"/>
      <c r="M323" s="181"/>
      <c r="N323" s="181"/>
      <c r="O323" s="182"/>
      <c r="P323" s="183"/>
      <c r="Q323" s="183"/>
      <c r="R323" s="184"/>
      <c r="S323" s="184"/>
      <c r="T323" s="181"/>
      <c r="U323" s="181"/>
      <c r="V323" s="185"/>
      <c r="W323" s="186"/>
      <c r="X323" s="187"/>
      <c r="Y323" s="182"/>
      <c r="Z323" s="188"/>
      <c r="AA323" s="97"/>
      <c r="AB323" s="189"/>
    </row>
    <row r="324" spans="1:28">
      <c r="A324" s="116"/>
      <c r="B324" s="116"/>
      <c r="C324" s="116">
        <v>3</v>
      </c>
      <c r="D324" s="3"/>
      <c r="E324" s="203"/>
      <c r="F324" s="205"/>
      <c r="G324" s="205"/>
      <c r="H324" s="180"/>
      <c r="I324" s="180"/>
      <c r="J324" s="180"/>
      <c r="K324" s="180"/>
      <c r="L324" s="180"/>
      <c r="M324" s="181"/>
      <c r="N324" s="181"/>
      <c r="O324" s="182"/>
      <c r="P324" s="183"/>
      <c r="Q324" s="183"/>
      <c r="R324" s="184"/>
      <c r="S324" s="184"/>
      <c r="T324" s="181"/>
      <c r="U324" s="181"/>
      <c r="V324" s="185"/>
      <c r="W324" s="186"/>
      <c r="X324" s="187"/>
      <c r="Y324" s="182"/>
      <c r="Z324" s="188"/>
      <c r="AA324" s="97"/>
      <c r="AB324" s="189"/>
    </row>
    <row r="325" spans="1:28">
      <c r="A325" s="116"/>
      <c r="B325" s="116"/>
      <c r="C325" s="116">
        <v>3</v>
      </c>
      <c r="D325" s="3"/>
      <c r="E325" s="203"/>
      <c r="F325" s="205"/>
      <c r="G325" s="205"/>
      <c r="H325" s="180"/>
      <c r="I325" s="180"/>
      <c r="J325" s="180"/>
      <c r="K325" s="180"/>
      <c r="L325" s="180"/>
      <c r="M325" s="181"/>
      <c r="N325" s="181"/>
      <c r="O325" s="182"/>
      <c r="P325" s="183"/>
      <c r="Q325" s="183"/>
      <c r="R325" s="184"/>
      <c r="S325" s="184"/>
      <c r="T325" s="181"/>
      <c r="U325" s="181"/>
      <c r="V325" s="185"/>
      <c r="W325" s="186"/>
      <c r="X325" s="187"/>
      <c r="Y325" s="182"/>
      <c r="Z325" s="188"/>
      <c r="AA325" s="97"/>
      <c r="AB325" s="189"/>
    </row>
    <row r="326" spans="1:28">
      <c r="A326" s="116"/>
      <c r="B326" s="116"/>
      <c r="C326" s="116">
        <v>3</v>
      </c>
      <c r="D326" s="3"/>
      <c r="E326" s="203"/>
      <c r="F326" s="205"/>
      <c r="G326" s="205"/>
      <c r="H326" s="180"/>
      <c r="I326" s="180"/>
      <c r="J326" s="180"/>
      <c r="K326" s="180"/>
      <c r="L326" s="180"/>
      <c r="M326" s="181"/>
      <c r="N326" s="181"/>
      <c r="O326" s="182"/>
      <c r="P326" s="183"/>
      <c r="Q326" s="183"/>
      <c r="R326" s="184"/>
      <c r="S326" s="184"/>
      <c r="T326" s="181"/>
      <c r="U326" s="181"/>
      <c r="V326" s="185"/>
      <c r="W326" s="186"/>
      <c r="X326" s="187"/>
      <c r="Y326" s="182"/>
      <c r="Z326" s="188"/>
      <c r="AA326" s="97"/>
      <c r="AB326" s="189"/>
    </row>
    <row r="327" spans="1:28">
      <c r="A327" s="116"/>
      <c r="B327" s="116"/>
      <c r="C327" s="116">
        <v>0</v>
      </c>
      <c r="D327" s="3"/>
      <c r="E327" s="203"/>
      <c r="F327" s="205"/>
      <c r="G327" s="205"/>
      <c r="H327" s="180"/>
      <c r="I327" s="180"/>
      <c r="J327" s="180"/>
      <c r="K327" s="180"/>
      <c r="L327" s="180"/>
      <c r="M327" s="181"/>
      <c r="N327" s="181"/>
      <c r="O327" s="182"/>
      <c r="P327" s="183"/>
      <c r="Q327" s="183"/>
      <c r="R327" s="184"/>
      <c r="S327" s="184"/>
      <c r="T327" s="181"/>
      <c r="U327" s="181"/>
      <c r="V327" s="185"/>
      <c r="W327" s="186"/>
      <c r="X327" s="187"/>
      <c r="Y327" s="182"/>
      <c r="Z327" s="188"/>
      <c r="AA327" s="97"/>
      <c r="AB327" s="189"/>
    </row>
    <row r="328" spans="1:28">
      <c r="A328" s="116"/>
      <c r="B328" s="116" t="s">
        <v>983</v>
      </c>
      <c r="C328" s="116">
        <v>2</v>
      </c>
      <c r="D328" s="3"/>
      <c r="E328" s="203"/>
      <c r="F328" s="205"/>
      <c r="G328" s="205"/>
      <c r="H328" s="180"/>
      <c r="I328" s="180"/>
      <c r="J328" s="180"/>
      <c r="K328" s="180"/>
      <c r="L328" s="180"/>
      <c r="M328" s="181"/>
      <c r="N328" s="181"/>
      <c r="O328" s="182"/>
      <c r="P328" s="183"/>
      <c r="Q328" s="183"/>
      <c r="R328" s="184"/>
      <c r="S328" s="184"/>
      <c r="T328" s="181"/>
      <c r="U328" s="181"/>
      <c r="V328" s="185"/>
      <c r="W328" s="186"/>
      <c r="X328" s="187"/>
      <c r="Y328" s="182"/>
      <c r="Z328" s="188"/>
      <c r="AA328" s="97"/>
      <c r="AB328" s="189"/>
    </row>
    <row r="329" spans="1:28">
      <c r="A329" s="116"/>
      <c r="B329" s="116"/>
      <c r="C329" s="116">
        <v>3</v>
      </c>
      <c r="D329" s="3"/>
      <c r="E329" s="203"/>
      <c r="F329" s="205"/>
      <c r="G329" s="205"/>
      <c r="H329" s="180"/>
      <c r="I329" s="180"/>
      <c r="J329" s="180"/>
      <c r="K329" s="180"/>
      <c r="L329" s="180"/>
      <c r="M329" s="181"/>
      <c r="N329" s="181"/>
      <c r="O329" s="182"/>
      <c r="P329" s="183"/>
      <c r="Q329" s="183"/>
      <c r="R329" s="184"/>
      <c r="S329" s="184"/>
      <c r="T329" s="181"/>
      <c r="U329" s="181"/>
      <c r="V329" s="185"/>
      <c r="W329" s="186"/>
      <c r="X329" s="187"/>
      <c r="Y329" s="182"/>
      <c r="Z329" s="188"/>
      <c r="AA329" s="97"/>
      <c r="AB329" s="189"/>
    </row>
    <row r="330" spans="1:28">
      <c r="A330" s="116"/>
      <c r="B330" s="116"/>
      <c r="C330" s="116">
        <v>3</v>
      </c>
      <c r="D330" s="3"/>
      <c r="E330" s="203"/>
      <c r="F330" s="205"/>
      <c r="G330" s="205"/>
      <c r="H330" s="180"/>
      <c r="I330" s="180"/>
      <c r="J330" s="180"/>
      <c r="K330" s="180"/>
      <c r="L330" s="180"/>
      <c r="M330" s="181"/>
      <c r="N330" s="181"/>
      <c r="O330" s="182"/>
      <c r="P330" s="183"/>
      <c r="Q330" s="183"/>
      <c r="R330" s="184"/>
      <c r="S330" s="184"/>
      <c r="T330" s="181"/>
      <c r="U330" s="181"/>
      <c r="V330" s="185"/>
      <c r="W330" s="186"/>
      <c r="X330" s="187"/>
      <c r="Y330" s="182"/>
      <c r="Z330" s="188"/>
      <c r="AA330" s="97"/>
      <c r="AB330" s="189"/>
    </row>
    <row r="331" spans="1:28">
      <c r="A331" s="116"/>
      <c r="B331" s="116"/>
      <c r="C331" s="116">
        <v>3</v>
      </c>
      <c r="D331" s="3"/>
      <c r="E331" s="203"/>
      <c r="F331" s="205"/>
      <c r="G331" s="205"/>
      <c r="H331" s="180"/>
      <c r="I331" s="180"/>
      <c r="J331" s="180"/>
      <c r="K331" s="180"/>
      <c r="L331" s="180"/>
      <c r="M331" s="181"/>
      <c r="N331" s="181"/>
      <c r="O331" s="182"/>
      <c r="P331" s="183"/>
      <c r="Q331" s="183"/>
      <c r="R331" s="184"/>
      <c r="S331" s="184"/>
      <c r="T331" s="181"/>
      <c r="U331" s="181"/>
      <c r="V331" s="185"/>
      <c r="W331" s="186"/>
      <c r="X331" s="187"/>
      <c r="Y331" s="182"/>
      <c r="Z331" s="188"/>
      <c r="AA331" s="97"/>
      <c r="AB331" s="189"/>
    </row>
    <row r="332" spans="1:28">
      <c r="A332" s="116"/>
      <c r="B332" s="116"/>
      <c r="C332" s="116">
        <v>3</v>
      </c>
      <c r="D332" s="3"/>
      <c r="E332" s="203"/>
      <c r="F332" s="205"/>
      <c r="G332" s="205"/>
      <c r="H332" s="180"/>
      <c r="I332" s="180"/>
      <c r="J332" s="180"/>
      <c r="K332" s="180"/>
      <c r="L332" s="180"/>
      <c r="M332" s="181"/>
      <c r="N332" s="181"/>
      <c r="O332" s="182"/>
      <c r="P332" s="183"/>
      <c r="Q332" s="183"/>
      <c r="R332" s="184"/>
      <c r="S332" s="184"/>
      <c r="T332" s="181"/>
      <c r="U332" s="181"/>
      <c r="V332" s="185"/>
      <c r="W332" s="186"/>
      <c r="X332" s="187"/>
      <c r="Y332" s="182"/>
      <c r="Z332" s="188"/>
      <c r="AA332" s="97"/>
      <c r="AB332" s="189"/>
    </row>
    <row r="333" spans="1:28">
      <c r="A333" s="116"/>
      <c r="B333" s="116"/>
      <c r="C333" s="116">
        <v>0</v>
      </c>
      <c r="D333" s="3"/>
      <c r="E333" s="203"/>
      <c r="F333" s="180"/>
      <c r="G333" s="180"/>
      <c r="H333" s="180"/>
      <c r="I333" s="180"/>
      <c r="J333" s="180"/>
      <c r="K333" s="180"/>
      <c r="L333" s="180"/>
      <c r="M333" s="181"/>
      <c r="N333" s="181"/>
      <c r="O333" s="182"/>
      <c r="P333" s="183"/>
      <c r="Q333" s="183"/>
      <c r="R333" s="184"/>
      <c r="S333" s="184"/>
      <c r="T333" s="181"/>
      <c r="U333" s="181"/>
      <c r="V333" s="185"/>
      <c r="W333" s="186"/>
      <c r="X333" s="187"/>
      <c r="Y333" s="182"/>
      <c r="Z333" s="188"/>
      <c r="AA333" s="97"/>
      <c r="AB333" s="189"/>
    </row>
    <row r="334" spans="1:28">
      <c r="A334" s="116"/>
      <c r="B334" s="116" t="s">
        <v>983</v>
      </c>
      <c r="C334" s="116">
        <v>2</v>
      </c>
      <c r="D334" s="3"/>
      <c r="E334" s="203"/>
      <c r="F334" s="205"/>
      <c r="G334" s="205"/>
      <c r="H334" s="180"/>
      <c r="I334" s="180"/>
      <c r="J334" s="180"/>
      <c r="K334" s="180"/>
      <c r="L334" s="180"/>
      <c r="M334" s="181"/>
      <c r="N334" s="181"/>
      <c r="O334" s="182"/>
      <c r="P334" s="183"/>
      <c r="Q334" s="183"/>
      <c r="R334" s="184"/>
      <c r="S334" s="184"/>
      <c r="T334" s="181"/>
      <c r="U334" s="181"/>
      <c r="V334" s="185"/>
      <c r="W334" s="186"/>
      <c r="X334" s="187"/>
      <c r="Y334" s="182"/>
      <c r="Z334" s="188"/>
      <c r="AA334" s="97"/>
      <c r="AB334" s="189"/>
    </row>
    <row r="335" spans="1:28">
      <c r="A335" s="116"/>
      <c r="B335" s="116"/>
      <c r="C335" s="116">
        <v>3</v>
      </c>
      <c r="D335" s="3"/>
      <c r="E335" s="203"/>
      <c r="F335" s="205"/>
      <c r="G335" s="205"/>
      <c r="H335" s="180"/>
      <c r="I335" s="180"/>
      <c r="J335" s="180"/>
      <c r="K335" s="180"/>
      <c r="L335" s="180"/>
      <c r="M335" s="181"/>
      <c r="N335" s="181"/>
      <c r="O335" s="182"/>
      <c r="P335" s="183"/>
      <c r="Q335" s="183"/>
      <c r="R335" s="184"/>
      <c r="S335" s="184"/>
      <c r="T335" s="181"/>
      <c r="U335" s="181"/>
      <c r="V335" s="185"/>
      <c r="W335" s="186"/>
      <c r="X335" s="187"/>
      <c r="Y335" s="182"/>
      <c r="Z335" s="188"/>
      <c r="AA335" s="97"/>
      <c r="AB335" s="189"/>
    </row>
    <row r="336" spans="1:28">
      <c r="A336" s="116"/>
      <c r="B336" s="116"/>
      <c r="C336" s="116">
        <v>3</v>
      </c>
      <c r="D336" s="3"/>
      <c r="E336" s="203"/>
      <c r="F336" s="205"/>
      <c r="G336" s="205"/>
      <c r="H336" s="180"/>
      <c r="I336" s="180"/>
      <c r="J336" s="180"/>
      <c r="K336" s="180"/>
      <c r="L336" s="180"/>
      <c r="M336" s="181"/>
      <c r="N336" s="181"/>
      <c r="O336" s="182"/>
      <c r="P336" s="183"/>
      <c r="Q336" s="183"/>
      <c r="R336" s="184"/>
      <c r="S336" s="184"/>
      <c r="T336" s="181"/>
      <c r="U336" s="181"/>
      <c r="V336" s="185"/>
      <c r="W336" s="186"/>
      <c r="X336" s="187"/>
      <c r="Y336" s="182"/>
      <c r="Z336" s="188"/>
      <c r="AA336" s="97"/>
      <c r="AB336" s="189"/>
    </row>
    <row r="337" spans="1:28">
      <c r="A337" s="116"/>
      <c r="B337" s="116"/>
      <c r="C337" s="116">
        <v>3</v>
      </c>
      <c r="D337" s="3"/>
      <c r="E337" s="203"/>
      <c r="F337" s="205"/>
      <c r="G337" s="205"/>
      <c r="H337" s="180"/>
      <c r="I337" s="180"/>
      <c r="J337" s="180"/>
      <c r="K337" s="180"/>
      <c r="L337" s="180"/>
      <c r="M337" s="181"/>
      <c r="N337" s="181"/>
      <c r="O337" s="182"/>
      <c r="P337" s="183"/>
      <c r="Q337" s="183"/>
      <c r="R337" s="184"/>
      <c r="S337" s="184"/>
      <c r="T337" s="181"/>
      <c r="U337" s="181"/>
      <c r="V337" s="185"/>
      <c r="W337" s="186"/>
      <c r="X337" s="187"/>
      <c r="Y337" s="182"/>
      <c r="Z337" s="188"/>
      <c r="AA337" s="97"/>
      <c r="AB337" s="189"/>
    </row>
    <row r="338" spans="1:28">
      <c r="A338" s="116"/>
      <c r="B338" s="116"/>
      <c r="C338" s="116">
        <v>3</v>
      </c>
      <c r="D338" s="3"/>
      <c r="E338" s="203"/>
      <c r="F338" s="205"/>
      <c r="G338" s="205"/>
      <c r="H338" s="180"/>
      <c r="I338" s="180"/>
      <c r="J338" s="180"/>
      <c r="K338" s="180"/>
      <c r="L338" s="180"/>
      <c r="M338" s="181"/>
      <c r="N338" s="181"/>
      <c r="O338" s="182"/>
      <c r="P338" s="183"/>
      <c r="Q338" s="183"/>
      <c r="R338" s="184"/>
      <c r="S338" s="184"/>
      <c r="T338" s="181"/>
      <c r="U338" s="181"/>
      <c r="V338" s="185"/>
      <c r="W338" s="186"/>
      <c r="X338" s="187"/>
      <c r="Y338" s="182"/>
      <c r="Z338" s="188"/>
      <c r="AA338" s="97"/>
      <c r="AB338" s="189"/>
    </row>
    <row r="339" spans="1:28">
      <c r="A339" s="116"/>
      <c r="B339" s="116"/>
      <c r="C339" s="116">
        <v>0</v>
      </c>
      <c r="D339" s="3"/>
      <c r="E339" s="203"/>
      <c r="F339" s="180"/>
      <c r="G339" s="180"/>
      <c r="H339" s="180"/>
      <c r="I339" s="180"/>
      <c r="J339" s="180"/>
      <c r="K339" s="180"/>
      <c r="L339" s="180"/>
      <c r="M339" s="181"/>
      <c r="N339" s="181"/>
      <c r="O339" s="182"/>
      <c r="P339" s="183"/>
      <c r="Q339" s="183"/>
      <c r="R339" s="184"/>
      <c r="S339" s="184"/>
      <c r="T339" s="181"/>
      <c r="U339" s="181"/>
      <c r="V339" s="185"/>
      <c r="W339" s="186"/>
      <c r="X339" s="187"/>
      <c r="Y339" s="182"/>
      <c r="Z339" s="188"/>
      <c r="AA339" s="97"/>
      <c r="AB339" s="189"/>
    </row>
    <row r="340" spans="1:28">
      <c r="A340" s="116"/>
      <c r="B340" s="116" t="s">
        <v>983</v>
      </c>
      <c r="C340" s="116">
        <v>2</v>
      </c>
      <c r="D340" s="3"/>
      <c r="E340" s="203"/>
      <c r="F340" s="205"/>
      <c r="G340" s="205"/>
      <c r="H340" s="180"/>
      <c r="I340" s="180"/>
      <c r="J340" s="180"/>
      <c r="K340" s="180"/>
      <c r="L340" s="180"/>
      <c r="M340" s="181"/>
      <c r="N340" s="181"/>
      <c r="O340" s="182"/>
      <c r="P340" s="183"/>
      <c r="Q340" s="183"/>
      <c r="R340" s="184"/>
      <c r="S340" s="184"/>
      <c r="T340" s="181"/>
      <c r="U340" s="181"/>
      <c r="V340" s="185"/>
      <c r="W340" s="186"/>
      <c r="X340" s="187"/>
      <c r="Y340" s="182"/>
      <c r="Z340" s="188"/>
      <c r="AA340" s="97"/>
      <c r="AB340" s="189"/>
    </row>
    <row r="341" spans="1:28">
      <c r="A341" s="116"/>
      <c r="B341" s="116"/>
      <c r="C341" s="116">
        <v>3</v>
      </c>
      <c r="D341" s="3"/>
      <c r="E341" s="203"/>
      <c r="F341" s="205"/>
      <c r="G341" s="205"/>
      <c r="H341" s="180"/>
      <c r="I341" s="180"/>
      <c r="J341" s="180"/>
      <c r="K341" s="180"/>
      <c r="L341" s="180"/>
      <c r="M341" s="181"/>
      <c r="N341" s="181"/>
      <c r="O341" s="182"/>
      <c r="P341" s="183"/>
      <c r="Q341" s="183"/>
      <c r="R341" s="184"/>
      <c r="S341" s="184"/>
      <c r="T341" s="181"/>
      <c r="U341" s="181"/>
      <c r="V341" s="185"/>
      <c r="W341" s="186"/>
      <c r="X341" s="187"/>
      <c r="Y341" s="182"/>
      <c r="Z341" s="188"/>
      <c r="AA341" s="97"/>
      <c r="AB341" s="189"/>
    </row>
    <row r="342" spans="1:28">
      <c r="A342" s="116"/>
      <c r="B342" s="116"/>
      <c r="C342" s="116">
        <v>3</v>
      </c>
      <c r="D342" s="3"/>
      <c r="E342" s="203"/>
      <c r="F342" s="205"/>
      <c r="G342" s="205"/>
      <c r="H342" s="180"/>
      <c r="I342" s="180"/>
      <c r="J342" s="180"/>
      <c r="K342" s="180"/>
      <c r="L342" s="180"/>
      <c r="M342" s="181"/>
      <c r="N342" s="181"/>
      <c r="O342" s="182"/>
      <c r="P342" s="183"/>
      <c r="Q342" s="183"/>
      <c r="R342" s="184"/>
      <c r="S342" s="184"/>
      <c r="T342" s="181"/>
      <c r="U342" s="181"/>
      <c r="V342" s="185"/>
      <c r="W342" s="186"/>
      <c r="X342" s="187"/>
      <c r="Y342" s="182"/>
      <c r="Z342" s="188"/>
      <c r="AA342" s="97"/>
      <c r="AB342" s="189"/>
    </row>
    <row r="343" spans="1:28">
      <c r="A343" s="116"/>
      <c r="B343" s="116"/>
      <c r="C343" s="116">
        <v>3</v>
      </c>
      <c r="D343" s="3"/>
      <c r="E343" s="203"/>
      <c r="F343" s="205"/>
      <c r="G343" s="205"/>
      <c r="H343" s="180"/>
      <c r="I343" s="180"/>
      <c r="J343" s="180"/>
      <c r="K343" s="180"/>
      <c r="L343" s="180"/>
      <c r="M343" s="181"/>
      <c r="N343" s="181"/>
      <c r="O343" s="182"/>
      <c r="P343" s="183"/>
      <c r="Q343" s="183"/>
      <c r="R343" s="184"/>
      <c r="S343" s="184"/>
      <c r="T343" s="181"/>
      <c r="U343" s="181"/>
      <c r="V343" s="185"/>
      <c r="W343" s="186"/>
      <c r="X343" s="187"/>
      <c r="Y343" s="182"/>
      <c r="Z343" s="188"/>
      <c r="AA343" s="97"/>
      <c r="AB343" s="189"/>
    </row>
    <row r="344" spans="1:28">
      <c r="A344" s="116"/>
      <c r="B344" s="116"/>
      <c r="C344" s="116">
        <v>3</v>
      </c>
      <c r="D344" s="3"/>
      <c r="E344" s="203"/>
      <c r="F344" s="205"/>
      <c r="G344" s="205"/>
      <c r="H344" s="180"/>
      <c r="I344" s="180"/>
      <c r="J344" s="180"/>
      <c r="K344" s="180"/>
      <c r="L344" s="180"/>
      <c r="M344" s="181"/>
      <c r="N344" s="181"/>
      <c r="O344" s="182"/>
      <c r="P344" s="183"/>
      <c r="Q344" s="183"/>
      <c r="R344" s="184"/>
      <c r="S344" s="184"/>
      <c r="T344" s="181"/>
      <c r="U344" s="181"/>
      <c r="V344" s="185"/>
      <c r="W344" s="186"/>
      <c r="X344" s="187"/>
      <c r="Y344" s="182"/>
      <c r="Z344" s="188"/>
      <c r="AA344" s="97"/>
      <c r="AB344" s="189"/>
    </row>
    <row r="345" spans="1:28">
      <c r="A345" s="116"/>
      <c r="B345" s="116"/>
      <c r="C345" s="116">
        <v>0</v>
      </c>
      <c r="D345" s="3"/>
      <c r="E345" s="203"/>
      <c r="F345" s="180"/>
      <c r="G345" s="180"/>
      <c r="H345" s="180"/>
      <c r="I345" s="180"/>
      <c r="J345" s="180"/>
      <c r="K345" s="180"/>
      <c r="L345" s="180"/>
      <c r="M345" s="181"/>
      <c r="N345" s="181"/>
      <c r="O345" s="182"/>
      <c r="P345" s="183"/>
      <c r="Q345" s="183"/>
      <c r="R345" s="184"/>
      <c r="S345" s="184"/>
      <c r="T345" s="181"/>
      <c r="U345" s="181"/>
      <c r="V345" s="185"/>
      <c r="W345" s="186"/>
      <c r="X345" s="187"/>
      <c r="Y345" s="182"/>
      <c r="Z345" s="188"/>
      <c r="AA345" s="97"/>
      <c r="AB345" s="189"/>
    </row>
    <row r="346" spans="1:28">
      <c r="A346" s="116"/>
      <c r="B346" s="116" t="s">
        <v>983</v>
      </c>
      <c r="C346" s="116">
        <v>2</v>
      </c>
      <c r="D346" s="3"/>
      <c r="E346" s="203"/>
      <c r="F346" s="205"/>
      <c r="G346" s="205"/>
      <c r="H346" s="180"/>
      <c r="I346" s="180"/>
      <c r="J346" s="180"/>
      <c r="K346" s="180"/>
      <c r="L346" s="180"/>
      <c r="M346" s="181"/>
      <c r="N346" s="181"/>
      <c r="O346" s="182"/>
      <c r="P346" s="183"/>
      <c r="Q346" s="183"/>
      <c r="R346" s="184"/>
      <c r="S346" s="184"/>
      <c r="T346" s="181"/>
      <c r="U346" s="181"/>
      <c r="V346" s="185"/>
      <c r="W346" s="186"/>
      <c r="X346" s="187"/>
      <c r="Y346" s="182"/>
      <c r="Z346" s="188"/>
      <c r="AA346" s="97"/>
      <c r="AB346" s="189"/>
    </row>
    <row r="347" spans="1:28">
      <c r="A347" s="116"/>
      <c r="B347" s="116"/>
      <c r="C347" s="116">
        <v>3</v>
      </c>
      <c r="D347" s="3"/>
      <c r="E347" s="203"/>
      <c r="F347" s="205"/>
      <c r="G347" s="205"/>
      <c r="H347" s="180"/>
      <c r="I347" s="180"/>
      <c r="J347" s="180"/>
      <c r="K347" s="180"/>
      <c r="L347" s="180"/>
      <c r="M347" s="181"/>
      <c r="N347" s="181"/>
      <c r="O347" s="182"/>
      <c r="P347" s="183"/>
      <c r="Q347" s="183"/>
      <c r="R347" s="184"/>
      <c r="S347" s="184"/>
      <c r="T347" s="181"/>
      <c r="U347" s="181"/>
      <c r="V347" s="185"/>
      <c r="W347" s="186"/>
      <c r="X347" s="187"/>
      <c r="Y347" s="182"/>
      <c r="Z347" s="188"/>
      <c r="AA347" s="97"/>
      <c r="AB347" s="189"/>
    </row>
    <row r="348" spans="1:28">
      <c r="A348" s="116"/>
      <c r="B348" s="116"/>
      <c r="C348" s="116">
        <v>3</v>
      </c>
      <c r="D348" s="3"/>
      <c r="E348" s="203"/>
      <c r="F348" s="205"/>
      <c r="G348" s="205"/>
      <c r="H348" s="180"/>
      <c r="I348" s="180"/>
      <c r="J348" s="180"/>
      <c r="K348" s="180"/>
      <c r="L348" s="180"/>
      <c r="M348" s="181"/>
      <c r="N348" s="181"/>
      <c r="O348" s="182"/>
      <c r="P348" s="183"/>
      <c r="Q348" s="183"/>
      <c r="R348" s="184"/>
      <c r="S348" s="184"/>
      <c r="T348" s="181"/>
      <c r="U348" s="181"/>
      <c r="V348" s="185"/>
      <c r="W348" s="186"/>
      <c r="X348" s="187"/>
      <c r="Y348" s="182"/>
      <c r="Z348" s="188"/>
      <c r="AA348" s="97"/>
      <c r="AB348" s="189"/>
    </row>
    <row r="349" spans="1:28">
      <c r="A349" s="116"/>
      <c r="B349" s="116"/>
      <c r="C349" s="116">
        <v>3</v>
      </c>
      <c r="D349" s="3"/>
      <c r="E349" s="203"/>
      <c r="F349" s="205"/>
      <c r="G349" s="205"/>
      <c r="H349" s="180"/>
      <c r="I349" s="180"/>
      <c r="J349" s="180"/>
      <c r="K349" s="180"/>
      <c r="L349" s="180"/>
      <c r="M349" s="181"/>
      <c r="N349" s="181"/>
      <c r="O349" s="182"/>
      <c r="P349" s="183"/>
      <c r="Q349" s="183"/>
      <c r="R349" s="184"/>
      <c r="S349" s="184"/>
      <c r="T349" s="181"/>
      <c r="U349" s="181"/>
      <c r="V349" s="185"/>
      <c r="W349" s="186"/>
      <c r="X349" s="187"/>
      <c r="Y349" s="182"/>
      <c r="Z349" s="188"/>
      <c r="AA349" s="97"/>
      <c r="AB349" s="189"/>
    </row>
    <row r="350" spans="1:28">
      <c r="A350" s="116"/>
      <c r="B350" s="116"/>
      <c r="C350" s="116">
        <v>3</v>
      </c>
      <c r="D350" s="3"/>
      <c r="E350" s="203"/>
      <c r="F350" s="205"/>
      <c r="G350" s="205"/>
      <c r="H350" s="180"/>
      <c r="I350" s="180"/>
      <c r="J350" s="180"/>
      <c r="K350" s="180"/>
      <c r="L350" s="180"/>
      <c r="M350" s="181"/>
      <c r="N350" s="181"/>
      <c r="O350" s="182"/>
      <c r="P350" s="183"/>
      <c r="Q350" s="183"/>
      <c r="R350" s="184"/>
      <c r="S350" s="184"/>
      <c r="T350" s="181"/>
      <c r="U350" s="181"/>
      <c r="V350" s="185"/>
      <c r="W350" s="186"/>
      <c r="X350" s="187"/>
      <c r="Y350" s="182"/>
      <c r="Z350" s="188"/>
      <c r="AA350" s="97"/>
      <c r="AB350" s="189"/>
    </row>
    <row r="351" spans="1:28">
      <c r="A351" s="116"/>
      <c r="B351" s="116"/>
      <c r="C351" s="116">
        <v>0</v>
      </c>
      <c r="D351" s="3"/>
      <c r="E351" s="180"/>
      <c r="F351" s="180"/>
      <c r="G351" s="180"/>
      <c r="H351" s="180"/>
      <c r="I351" s="180"/>
      <c r="J351" s="180"/>
      <c r="K351" s="180"/>
      <c r="L351" s="180"/>
      <c r="M351" s="181"/>
      <c r="N351" s="181"/>
      <c r="O351" s="182"/>
      <c r="P351" s="183"/>
      <c r="Q351" s="183"/>
      <c r="R351" s="184"/>
      <c r="S351" s="184"/>
      <c r="T351" s="181"/>
      <c r="U351" s="181"/>
      <c r="V351" s="185"/>
      <c r="W351" s="186"/>
      <c r="X351" s="187"/>
      <c r="Y351" s="182"/>
      <c r="Z351" s="188"/>
      <c r="AA351" s="97"/>
      <c r="AB351" s="189"/>
    </row>
    <row r="352" spans="1:28">
      <c r="A352" s="116"/>
      <c r="B352" s="116" t="s">
        <v>983</v>
      </c>
      <c r="C352" s="116">
        <v>2</v>
      </c>
      <c r="D352" s="3"/>
      <c r="E352" s="203"/>
      <c r="F352" s="205"/>
      <c r="G352" s="205"/>
      <c r="H352" s="180"/>
      <c r="I352" s="180"/>
      <c r="J352" s="180"/>
      <c r="K352" s="180"/>
      <c r="L352" s="180"/>
      <c r="M352" s="181"/>
      <c r="N352" s="181"/>
      <c r="O352" s="182"/>
      <c r="P352" s="183"/>
      <c r="Q352" s="183"/>
      <c r="R352" s="184"/>
      <c r="S352" s="184"/>
      <c r="T352" s="181"/>
      <c r="U352" s="181"/>
      <c r="V352" s="185"/>
      <c r="W352" s="186"/>
      <c r="X352" s="187"/>
      <c r="Y352" s="182"/>
      <c r="Z352" s="188"/>
      <c r="AA352" s="97"/>
      <c r="AB352" s="189"/>
    </row>
    <row r="353" spans="1:28">
      <c r="A353" s="116"/>
      <c r="B353" s="116"/>
      <c r="C353" s="116">
        <v>3</v>
      </c>
      <c r="D353" s="3"/>
      <c r="E353" s="203"/>
      <c r="F353" s="205"/>
      <c r="G353" s="205"/>
      <c r="H353" s="180"/>
      <c r="I353" s="180"/>
      <c r="J353" s="180"/>
      <c r="K353" s="180"/>
      <c r="L353" s="180"/>
      <c r="M353" s="181"/>
      <c r="N353" s="181"/>
      <c r="O353" s="182"/>
      <c r="P353" s="183"/>
      <c r="Q353" s="183"/>
      <c r="R353" s="184"/>
      <c r="S353" s="184"/>
      <c r="T353" s="181"/>
      <c r="U353" s="181"/>
      <c r="V353" s="185"/>
      <c r="W353" s="186"/>
      <c r="X353" s="187"/>
      <c r="Y353" s="182"/>
      <c r="Z353" s="188"/>
      <c r="AA353" s="97"/>
      <c r="AB353" s="189"/>
    </row>
    <row r="354" spans="1:28">
      <c r="A354" s="116"/>
      <c r="B354" s="116"/>
      <c r="C354" s="116">
        <v>3</v>
      </c>
      <c r="D354" s="3"/>
      <c r="E354" s="203"/>
      <c r="F354" s="205"/>
      <c r="G354" s="205"/>
      <c r="H354" s="180"/>
      <c r="I354" s="180"/>
      <c r="J354" s="180"/>
      <c r="K354" s="180"/>
      <c r="L354" s="180"/>
      <c r="M354" s="181"/>
      <c r="N354" s="181"/>
      <c r="O354" s="182"/>
      <c r="P354" s="183"/>
      <c r="Q354" s="183"/>
      <c r="R354" s="184"/>
      <c r="S354" s="184"/>
      <c r="T354" s="181"/>
      <c r="U354" s="181"/>
      <c r="V354" s="185"/>
      <c r="W354" s="186"/>
      <c r="X354" s="187"/>
      <c r="Y354" s="182"/>
      <c r="Z354" s="188"/>
      <c r="AA354" s="97"/>
      <c r="AB354" s="189"/>
    </row>
    <row r="355" spans="1:28">
      <c r="A355" s="116"/>
      <c r="B355" s="116"/>
      <c r="C355" s="116">
        <v>3</v>
      </c>
      <c r="D355" s="3"/>
      <c r="E355" s="203"/>
      <c r="F355" s="205"/>
      <c r="G355" s="205"/>
      <c r="H355" s="180"/>
      <c r="I355" s="180"/>
      <c r="J355" s="180"/>
      <c r="K355" s="180"/>
      <c r="L355" s="180"/>
      <c r="M355" s="181"/>
      <c r="N355" s="181"/>
      <c r="O355" s="182"/>
      <c r="P355" s="183"/>
      <c r="Q355" s="183"/>
      <c r="R355" s="184"/>
      <c r="S355" s="184"/>
      <c r="T355" s="181"/>
      <c r="U355" s="181"/>
      <c r="V355" s="185"/>
      <c r="W355" s="186"/>
      <c r="X355" s="187"/>
      <c r="Y355" s="182"/>
      <c r="Z355" s="188"/>
      <c r="AA355" s="97"/>
      <c r="AB355" s="189"/>
    </row>
    <row r="356" spans="1:28">
      <c r="A356" s="116"/>
      <c r="B356" s="116"/>
      <c r="C356" s="116">
        <v>3</v>
      </c>
      <c r="D356" s="3"/>
      <c r="E356" s="203"/>
      <c r="F356" s="205"/>
      <c r="G356" s="205"/>
      <c r="H356" s="180"/>
      <c r="I356" s="180"/>
      <c r="J356" s="180"/>
      <c r="K356" s="180"/>
      <c r="L356" s="180"/>
      <c r="M356" s="181"/>
      <c r="N356" s="181"/>
      <c r="O356" s="182"/>
      <c r="P356" s="183"/>
      <c r="Q356" s="183"/>
      <c r="R356" s="184"/>
      <c r="S356" s="184"/>
      <c r="T356" s="181"/>
      <c r="U356" s="181"/>
      <c r="V356" s="185"/>
      <c r="W356" s="186"/>
      <c r="X356" s="187"/>
      <c r="Y356" s="182"/>
      <c r="Z356" s="188"/>
      <c r="AA356" s="97"/>
      <c r="AB356" s="189"/>
    </row>
    <row r="357" spans="1:28">
      <c r="A357" s="116"/>
      <c r="B357" s="116"/>
      <c r="C357" s="116">
        <v>0</v>
      </c>
      <c r="D357" s="3"/>
      <c r="E357" s="180"/>
      <c r="F357" s="180"/>
      <c r="G357" s="180"/>
      <c r="H357" s="180"/>
      <c r="I357" s="180"/>
      <c r="J357" s="180"/>
      <c r="K357" s="180"/>
      <c r="L357" s="180"/>
      <c r="M357" s="181"/>
      <c r="N357" s="181"/>
      <c r="O357" s="182"/>
      <c r="P357" s="183"/>
      <c r="Q357" s="183"/>
      <c r="R357" s="184"/>
      <c r="S357" s="184"/>
      <c r="T357" s="181"/>
      <c r="U357" s="181"/>
      <c r="V357" s="185"/>
      <c r="W357" s="186"/>
      <c r="X357" s="187"/>
      <c r="Y357" s="182"/>
      <c r="Z357" s="188"/>
      <c r="AA357" s="97"/>
      <c r="AB357" s="189"/>
    </row>
    <row r="358" spans="1:28">
      <c r="A358" s="116"/>
      <c r="B358" s="116" t="s">
        <v>983</v>
      </c>
      <c r="C358" s="116">
        <v>1</v>
      </c>
      <c r="D358" s="3"/>
      <c r="E358" s="203"/>
      <c r="F358" s="180"/>
      <c r="G358" s="180"/>
      <c r="H358" s="180"/>
      <c r="I358" s="180"/>
      <c r="J358" s="180"/>
      <c r="K358" s="180"/>
      <c r="L358" s="180"/>
      <c r="M358" s="181"/>
      <c r="N358" s="181"/>
      <c r="O358" s="182"/>
      <c r="P358" s="183"/>
      <c r="Q358" s="183"/>
      <c r="R358" s="184"/>
      <c r="S358" s="184"/>
      <c r="T358" s="181"/>
      <c r="U358" s="181"/>
      <c r="V358" s="185"/>
      <c r="W358" s="186"/>
      <c r="X358" s="187"/>
      <c r="Y358" s="182"/>
      <c r="Z358" s="188"/>
      <c r="AA358" s="97"/>
      <c r="AB358" s="189"/>
    </row>
    <row r="359" spans="1:28">
      <c r="A359" s="116"/>
      <c r="B359" s="116" t="s">
        <v>983</v>
      </c>
      <c r="C359" s="116">
        <v>2</v>
      </c>
      <c r="D359" s="3"/>
      <c r="E359" s="204"/>
      <c r="F359" s="205"/>
      <c r="G359" s="205"/>
      <c r="H359" s="180"/>
      <c r="I359" s="180"/>
      <c r="J359" s="180"/>
      <c r="K359" s="180"/>
      <c r="L359" s="180"/>
      <c r="M359" s="181"/>
      <c r="N359" s="181"/>
      <c r="O359" s="182"/>
      <c r="P359" s="183"/>
      <c r="Q359" s="183"/>
      <c r="R359" s="184"/>
      <c r="S359" s="184"/>
      <c r="T359" s="181"/>
      <c r="U359" s="181"/>
      <c r="V359" s="185"/>
      <c r="W359" s="186"/>
      <c r="X359" s="187"/>
      <c r="Y359" s="182"/>
      <c r="Z359" s="188"/>
      <c r="AA359" s="97"/>
      <c r="AB359" s="189"/>
    </row>
    <row r="360" spans="1:28">
      <c r="A360" s="116"/>
      <c r="B360" s="116"/>
      <c r="C360" s="116">
        <v>3</v>
      </c>
      <c r="D360" s="3"/>
      <c r="E360" s="204"/>
      <c r="F360" s="205"/>
      <c r="G360" s="205"/>
      <c r="H360" s="180"/>
      <c r="I360" s="180"/>
      <c r="J360" s="180"/>
      <c r="K360" s="180"/>
      <c r="L360" s="180"/>
      <c r="M360" s="181"/>
      <c r="N360" s="181"/>
      <c r="O360" s="182"/>
      <c r="P360" s="183"/>
      <c r="Q360" s="183"/>
      <c r="R360" s="184"/>
      <c r="S360" s="184"/>
      <c r="T360" s="181"/>
      <c r="U360" s="181"/>
      <c r="V360" s="185"/>
      <c r="W360" s="186"/>
      <c r="X360" s="187"/>
      <c r="Y360" s="182"/>
      <c r="Z360" s="188"/>
      <c r="AA360" s="97"/>
      <c r="AB360" s="189"/>
    </row>
    <row r="361" spans="1:28">
      <c r="A361" s="116"/>
      <c r="B361" s="116"/>
      <c r="C361" s="116">
        <v>3</v>
      </c>
      <c r="D361" s="3"/>
      <c r="E361" s="204"/>
      <c r="F361" s="205"/>
      <c r="G361" s="205"/>
      <c r="H361" s="180"/>
      <c r="I361" s="180"/>
      <c r="J361" s="180"/>
      <c r="K361" s="180"/>
      <c r="L361" s="180"/>
      <c r="M361" s="181"/>
      <c r="N361" s="181"/>
      <c r="O361" s="182"/>
      <c r="P361" s="183"/>
      <c r="Q361" s="183"/>
      <c r="R361" s="184"/>
      <c r="S361" s="184"/>
      <c r="T361" s="181"/>
      <c r="U361" s="181"/>
      <c r="V361" s="185"/>
      <c r="W361" s="186"/>
      <c r="X361" s="187"/>
      <c r="Y361" s="182"/>
      <c r="Z361" s="188"/>
      <c r="AA361" s="97"/>
      <c r="AB361" s="189"/>
    </row>
    <row r="362" spans="1:28">
      <c r="A362" s="116"/>
      <c r="B362" s="116"/>
      <c r="C362" s="116">
        <v>0</v>
      </c>
      <c r="D362" s="3"/>
      <c r="E362" s="204"/>
      <c r="F362" s="205"/>
      <c r="G362" s="205"/>
      <c r="H362" s="180"/>
      <c r="I362" s="180"/>
      <c r="J362" s="180"/>
      <c r="K362" s="180"/>
      <c r="L362" s="180"/>
      <c r="M362" s="181"/>
      <c r="N362" s="181"/>
      <c r="O362" s="182"/>
      <c r="P362" s="183"/>
      <c r="Q362" s="183"/>
      <c r="R362" s="184"/>
      <c r="S362" s="184"/>
      <c r="T362" s="181"/>
      <c r="U362" s="181"/>
      <c r="V362" s="185"/>
      <c r="W362" s="186"/>
      <c r="X362" s="187"/>
      <c r="Y362" s="182"/>
      <c r="Z362" s="188"/>
      <c r="AA362" s="97"/>
      <c r="AB362" s="189"/>
    </row>
    <row r="363" spans="1:28">
      <c r="A363" s="116"/>
      <c r="B363" s="116" t="s">
        <v>983</v>
      </c>
      <c r="C363" s="116">
        <v>2</v>
      </c>
      <c r="D363" s="3"/>
      <c r="E363" s="180"/>
      <c r="F363" s="205"/>
      <c r="G363" s="205"/>
      <c r="H363" s="180"/>
      <c r="I363" s="180"/>
      <c r="J363" s="180"/>
      <c r="K363" s="180"/>
      <c r="L363" s="180"/>
      <c r="M363" s="181"/>
      <c r="N363" s="181"/>
      <c r="O363" s="182"/>
      <c r="P363" s="183"/>
      <c r="Q363" s="183"/>
      <c r="R363" s="184"/>
      <c r="S363" s="184"/>
      <c r="T363" s="181"/>
      <c r="U363" s="181"/>
      <c r="V363" s="185"/>
      <c r="W363" s="186"/>
      <c r="X363" s="187"/>
      <c r="Y363" s="182"/>
      <c r="Z363" s="188"/>
      <c r="AA363" s="97"/>
      <c r="AB363" s="189"/>
    </row>
    <row r="364" spans="1:28">
      <c r="A364" s="116"/>
      <c r="B364" s="116"/>
      <c r="C364" s="116">
        <v>3</v>
      </c>
      <c r="D364" s="3"/>
      <c r="E364" s="204"/>
      <c r="F364" s="205"/>
      <c r="G364" s="205"/>
      <c r="H364" s="180"/>
      <c r="I364" s="180"/>
      <c r="J364" s="180"/>
      <c r="K364" s="180"/>
      <c r="L364" s="180"/>
      <c r="M364" s="181"/>
      <c r="N364" s="181"/>
      <c r="O364" s="182"/>
      <c r="P364" s="183"/>
      <c r="Q364" s="183"/>
      <c r="R364" s="184"/>
      <c r="S364" s="184"/>
      <c r="T364" s="181"/>
      <c r="U364" s="181"/>
      <c r="V364" s="185"/>
      <c r="W364" s="186"/>
      <c r="X364" s="187"/>
      <c r="Y364" s="182"/>
      <c r="Z364" s="188"/>
      <c r="AA364" s="97"/>
      <c r="AB364" s="189"/>
    </row>
    <row r="365" spans="1:28">
      <c r="A365" s="116"/>
      <c r="B365" s="116"/>
      <c r="C365" s="116">
        <v>3</v>
      </c>
      <c r="D365" s="3"/>
      <c r="E365" s="204"/>
      <c r="F365" s="205"/>
      <c r="G365" s="205"/>
      <c r="H365" s="180"/>
      <c r="I365" s="180"/>
      <c r="J365" s="180"/>
      <c r="K365" s="180"/>
      <c r="L365" s="180"/>
      <c r="M365" s="181"/>
      <c r="N365" s="181"/>
      <c r="O365" s="182"/>
      <c r="P365" s="183"/>
      <c r="Q365" s="183"/>
      <c r="R365" s="184"/>
      <c r="S365" s="184"/>
      <c r="T365" s="181"/>
      <c r="U365" s="181"/>
      <c r="V365" s="185"/>
      <c r="W365" s="186"/>
      <c r="X365" s="187"/>
      <c r="Y365" s="182"/>
      <c r="Z365" s="188"/>
      <c r="AA365" s="97"/>
      <c r="AB365" s="189"/>
    </row>
    <row r="366" spans="1:28">
      <c r="A366" s="116"/>
      <c r="B366" s="116"/>
      <c r="C366" s="116">
        <v>0</v>
      </c>
      <c r="D366" s="3"/>
      <c r="E366" s="203"/>
      <c r="F366" s="205"/>
      <c r="G366" s="205"/>
      <c r="H366" s="180"/>
      <c r="I366" s="180"/>
      <c r="J366" s="180"/>
      <c r="K366" s="180"/>
      <c r="L366" s="180"/>
      <c r="M366" s="181"/>
      <c r="N366" s="181"/>
      <c r="O366" s="182"/>
      <c r="P366" s="183"/>
      <c r="Q366" s="183"/>
      <c r="R366" s="184"/>
      <c r="S366" s="184"/>
      <c r="T366" s="181"/>
      <c r="U366" s="181"/>
      <c r="V366" s="185"/>
      <c r="W366" s="186"/>
      <c r="X366" s="187"/>
      <c r="Y366" s="182"/>
      <c r="Z366" s="188"/>
      <c r="AA366" s="97"/>
      <c r="AB366" s="189"/>
    </row>
    <row r="367" spans="1:28">
      <c r="A367" s="116"/>
      <c r="B367" s="116" t="s">
        <v>983</v>
      </c>
      <c r="C367" s="116">
        <v>2</v>
      </c>
      <c r="D367" s="3"/>
      <c r="E367" s="180"/>
      <c r="F367" s="205"/>
      <c r="G367" s="205"/>
      <c r="H367" s="180"/>
      <c r="I367" s="180"/>
      <c r="J367" s="180"/>
      <c r="K367" s="180"/>
      <c r="L367" s="180"/>
      <c r="M367" s="181"/>
      <c r="N367" s="181"/>
      <c r="O367" s="182"/>
      <c r="P367" s="183"/>
      <c r="Q367" s="183"/>
      <c r="R367" s="184"/>
      <c r="S367" s="184"/>
      <c r="T367" s="181"/>
      <c r="U367" s="181"/>
      <c r="V367" s="185"/>
      <c r="W367" s="186"/>
      <c r="X367" s="187"/>
      <c r="Y367" s="182"/>
      <c r="Z367" s="188"/>
      <c r="AA367" s="97"/>
      <c r="AB367" s="189"/>
    </row>
    <row r="368" spans="1:28">
      <c r="A368" s="116"/>
      <c r="B368" s="116"/>
      <c r="C368" s="116">
        <v>3</v>
      </c>
      <c r="D368" s="3"/>
      <c r="E368" s="204"/>
      <c r="F368" s="205"/>
      <c r="G368" s="205"/>
      <c r="H368" s="180"/>
      <c r="I368" s="180"/>
      <c r="J368" s="180"/>
      <c r="K368" s="180"/>
      <c r="L368" s="180"/>
      <c r="M368" s="181"/>
      <c r="N368" s="181"/>
      <c r="O368" s="182"/>
      <c r="P368" s="183"/>
      <c r="Q368" s="183"/>
      <c r="R368" s="184"/>
      <c r="S368" s="184"/>
      <c r="T368" s="181"/>
      <c r="U368" s="181"/>
      <c r="V368" s="185"/>
      <c r="W368" s="186"/>
      <c r="X368" s="187"/>
      <c r="Y368" s="182"/>
      <c r="Z368" s="188"/>
      <c r="AA368" s="97"/>
      <c r="AB368" s="189"/>
    </row>
    <row r="369" spans="1:28">
      <c r="A369" s="116"/>
      <c r="B369" s="116"/>
      <c r="C369" s="116">
        <v>3</v>
      </c>
      <c r="D369" s="3"/>
      <c r="E369" s="204"/>
      <c r="F369" s="205"/>
      <c r="G369" s="205"/>
      <c r="H369" s="180"/>
      <c r="I369" s="180"/>
      <c r="J369" s="180"/>
      <c r="K369" s="180"/>
      <c r="L369" s="180"/>
      <c r="M369" s="181"/>
      <c r="N369" s="181"/>
      <c r="O369" s="182"/>
      <c r="P369" s="183"/>
      <c r="Q369" s="183"/>
      <c r="R369" s="184"/>
      <c r="S369" s="184"/>
      <c r="T369" s="181"/>
      <c r="U369" s="181"/>
      <c r="V369" s="185"/>
      <c r="W369" s="186"/>
      <c r="X369" s="187"/>
      <c r="Y369" s="182"/>
      <c r="Z369" s="188"/>
      <c r="AA369" s="97"/>
      <c r="AB369" s="189"/>
    </row>
    <row r="370" spans="1:28">
      <c r="A370" s="116"/>
      <c r="B370" s="116"/>
      <c r="C370" s="116">
        <v>0</v>
      </c>
      <c r="D370" s="3"/>
      <c r="E370" s="180"/>
      <c r="F370" s="205"/>
      <c r="G370" s="205"/>
      <c r="H370" s="180"/>
      <c r="I370" s="180"/>
      <c r="J370" s="180"/>
      <c r="K370" s="180"/>
      <c r="L370" s="180"/>
      <c r="M370" s="181"/>
      <c r="N370" s="181"/>
      <c r="O370" s="182"/>
      <c r="P370" s="183"/>
      <c r="Q370" s="183"/>
      <c r="R370" s="184"/>
      <c r="S370" s="184"/>
      <c r="T370" s="181"/>
      <c r="U370" s="181"/>
      <c r="V370" s="185"/>
      <c r="W370" s="186"/>
      <c r="X370" s="187"/>
      <c r="Y370" s="182"/>
      <c r="Z370" s="188"/>
      <c r="AA370" s="97"/>
      <c r="AB370" s="189"/>
    </row>
    <row r="371" spans="1:28">
      <c r="A371" s="116"/>
      <c r="B371" s="116" t="s">
        <v>983</v>
      </c>
      <c r="C371" s="116">
        <v>2</v>
      </c>
      <c r="D371" s="3"/>
      <c r="E371" s="180"/>
      <c r="F371" s="205"/>
      <c r="G371" s="205"/>
      <c r="H371" s="180"/>
      <c r="I371" s="180"/>
      <c r="J371" s="180"/>
      <c r="K371" s="180"/>
      <c r="L371" s="180"/>
      <c r="M371" s="181"/>
      <c r="N371" s="181"/>
      <c r="O371" s="182"/>
      <c r="P371" s="183"/>
      <c r="Q371" s="183"/>
      <c r="R371" s="184"/>
      <c r="S371" s="184"/>
      <c r="T371" s="181"/>
      <c r="U371" s="181"/>
      <c r="V371" s="185"/>
      <c r="W371" s="186"/>
      <c r="X371" s="187"/>
      <c r="Y371" s="182"/>
      <c r="Z371" s="188"/>
      <c r="AA371" s="97"/>
      <c r="AB371" s="189"/>
    </row>
    <row r="372" spans="1:28">
      <c r="A372" s="116"/>
      <c r="B372" s="116"/>
      <c r="C372" s="116">
        <v>3</v>
      </c>
      <c r="D372" s="3"/>
      <c r="E372" s="204"/>
      <c r="F372" s="205"/>
      <c r="G372" s="205"/>
      <c r="H372" s="180"/>
      <c r="I372" s="180"/>
      <c r="J372" s="180"/>
      <c r="K372" s="180"/>
      <c r="L372" s="180"/>
      <c r="M372" s="181"/>
      <c r="N372" s="181"/>
      <c r="O372" s="182"/>
      <c r="P372" s="183"/>
      <c r="Q372" s="183"/>
      <c r="R372" s="184"/>
      <c r="S372" s="184"/>
      <c r="T372" s="181"/>
      <c r="U372" s="181"/>
      <c r="V372" s="185"/>
      <c r="W372" s="186"/>
      <c r="X372" s="187"/>
      <c r="Y372" s="182"/>
      <c r="Z372" s="188"/>
      <c r="AA372" s="97"/>
      <c r="AB372" s="189"/>
    </row>
    <row r="373" spans="1:28">
      <c r="A373" s="116"/>
      <c r="B373" s="116"/>
      <c r="C373" s="116">
        <v>3</v>
      </c>
      <c r="D373" s="3"/>
      <c r="E373" s="204"/>
      <c r="F373" s="205"/>
      <c r="G373" s="205"/>
      <c r="H373" s="180"/>
      <c r="I373" s="180"/>
      <c r="J373" s="180"/>
      <c r="K373" s="180"/>
      <c r="L373" s="180"/>
      <c r="M373" s="181"/>
      <c r="N373" s="181"/>
      <c r="O373" s="182"/>
      <c r="P373" s="183"/>
      <c r="Q373" s="183"/>
      <c r="R373" s="184"/>
      <c r="S373" s="184"/>
      <c r="T373" s="181"/>
      <c r="U373" s="181"/>
      <c r="V373" s="185"/>
      <c r="W373" s="186"/>
      <c r="X373" s="187"/>
      <c r="Y373" s="182"/>
      <c r="Z373" s="188"/>
      <c r="AA373" s="97"/>
      <c r="AB373" s="189"/>
    </row>
    <row r="374" spans="1:28">
      <c r="A374" s="116"/>
      <c r="B374" s="116"/>
      <c r="C374" s="116">
        <v>0</v>
      </c>
      <c r="D374" s="3"/>
      <c r="E374" s="180"/>
      <c r="F374" s="205"/>
      <c r="G374" s="205"/>
      <c r="H374" s="180"/>
      <c r="I374" s="180"/>
      <c r="J374" s="180"/>
      <c r="K374" s="180"/>
      <c r="L374" s="180"/>
      <c r="M374" s="181"/>
      <c r="N374" s="181"/>
      <c r="O374" s="182"/>
      <c r="P374" s="183"/>
      <c r="Q374" s="183"/>
      <c r="R374" s="184"/>
      <c r="S374" s="184"/>
      <c r="T374" s="181"/>
      <c r="U374" s="181"/>
      <c r="V374" s="185"/>
      <c r="W374" s="186"/>
      <c r="X374" s="187"/>
      <c r="Y374" s="182"/>
      <c r="Z374" s="188"/>
      <c r="AA374" s="97"/>
      <c r="AB374" s="189"/>
    </row>
    <row r="375" spans="1:28">
      <c r="A375" s="116"/>
      <c r="B375" s="116" t="s">
        <v>983</v>
      </c>
      <c r="C375" s="116">
        <v>2</v>
      </c>
      <c r="D375" s="3"/>
      <c r="E375" s="180"/>
      <c r="F375" s="205"/>
      <c r="G375" s="205"/>
      <c r="H375" s="180"/>
      <c r="I375" s="180"/>
      <c r="J375" s="180"/>
      <c r="K375" s="180"/>
      <c r="L375" s="180"/>
      <c r="M375" s="181"/>
      <c r="N375" s="181"/>
      <c r="O375" s="182"/>
      <c r="P375" s="183"/>
      <c r="Q375" s="183"/>
      <c r="R375" s="184"/>
      <c r="S375" s="184"/>
      <c r="T375" s="181"/>
      <c r="U375" s="181"/>
      <c r="V375" s="185"/>
      <c r="W375" s="186"/>
      <c r="X375" s="187"/>
      <c r="Y375" s="182"/>
      <c r="Z375" s="188"/>
      <c r="AA375" s="97"/>
      <c r="AB375" s="189"/>
    </row>
    <row r="376" spans="1:28">
      <c r="A376" s="116"/>
      <c r="B376" s="116"/>
      <c r="C376" s="116">
        <v>3</v>
      </c>
      <c r="D376" s="3"/>
      <c r="E376" s="204"/>
      <c r="F376" s="205"/>
      <c r="G376" s="205"/>
      <c r="H376" s="180"/>
      <c r="I376" s="180"/>
      <c r="J376" s="180"/>
      <c r="K376" s="180"/>
      <c r="L376" s="180"/>
      <c r="M376" s="181"/>
      <c r="N376" s="181"/>
      <c r="O376" s="182"/>
      <c r="P376" s="183"/>
      <c r="Q376" s="183"/>
      <c r="R376" s="184"/>
      <c r="S376" s="184"/>
      <c r="T376" s="181"/>
      <c r="U376" s="181"/>
      <c r="V376" s="185"/>
      <c r="W376" s="186"/>
      <c r="X376" s="187"/>
      <c r="Y376" s="182"/>
      <c r="Z376" s="188"/>
      <c r="AA376" s="97"/>
      <c r="AB376" s="189"/>
    </row>
    <row r="377" spans="1:28">
      <c r="A377" s="116"/>
      <c r="B377" s="116"/>
      <c r="C377" s="116">
        <v>3</v>
      </c>
      <c r="D377" s="3"/>
      <c r="E377" s="204"/>
      <c r="F377" s="205"/>
      <c r="G377" s="205"/>
      <c r="H377" s="180"/>
      <c r="I377" s="180"/>
      <c r="J377" s="180"/>
      <c r="K377" s="180"/>
      <c r="L377" s="180"/>
      <c r="M377" s="181"/>
      <c r="N377" s="181"/>
      <c r="O377" s="182"/>
      <c r="P377" s="183"/>
      <c r="Q377" s="183"/>
      <c r="R377" s="184"/>
      <c r="S377" s="184"/>
      <c r="T377" s="181"/>
      <c r="U377" s="181"/>
      <c r="V377" s="185"/>
      <c r="W377" s="186"/>
      <c r="X377" s="187"/>
      <c r="Y377" s="182"/>
      <c r="Z377" s="188"/>
      <c r="AA377" s="97"/>
      <c r="AB377" s="189"/>
    </row>
    <row r="378" spans="1:28">
      <c r="A378" s="116"/>
      <c r="B378" s="116"/>
      <c r="C378" s="116">
        <v>0</v>
      </c>
      <c r="D378" s="3"/>
      <c r="E378" s="180"/>
      <c r="F378" s="205"/>
      <c r="G378" s="205"/>
      <c r="H378" s="180"/>
      <c r="I378" s="180"/>
      <c r="J378" s="180"/>
      <c r="K378" s="180"/>
      <c r="L378" s="180"/>
      <c r="M378" s="181"/>
      <c r="N378" s="181"/>
      <c r="O378" s="182"/>
      <c r="P378" s="183"/>
      <c r="Q378" s="183"/>
      <c r="R378" s="184"/>
      <c r="S378" s="184"/>
      <c r="T378" s="181"/>
      <c r="U378" s="181"/>
      <c r="V378" s="185"/>
      <c r="W378" s="186"/>
      <c r="X378" s="187"/>
      <c r="Y378" s="182"/>
      <c r="Z378" s="188"/>
      <c r="AA378" s="97"/>
      <c r="AB378" s="189"/>
    </row>
    <row r="379" spans="1:28">
      <c r="A379" s="116"/>
      <c r="B379" s="116" t="s">
        <v>983</v>
      </c>
      <c r="C379" s="116">
        <v>2</v>
      </c>
      <c r="D379" s="3"/>
      <c r="E379" s="180"/>
      <c r="F379" s="205"/>
      <c r="G379" s="205"/>
      <c r="H379" s="180"/>
      <c r="I379" s="180"/>
      <c r="J379" s="180"/>
      <c r="K379" s="180"/>
      <c r="L379" s="180"/>
      <c r="M379" s="181"/>
      <c r="N379" s="181"/>
      <c r="O379" s="182"/>
      <c r="P379" s="183"/>
      <c r="Q379" s="183"/>
      <c r="R379" s="184"/>
      <c r="S379" s="184"/>
      <c r="T379" s="181"/>
      <c r="U379" s="181"/>
      <c r="V379" s="185"/>
      <c r="W379" s="186"/>
      <c r="X379" s="187"/>
      <c r="Y379" s="182"/>
      <c r="Z379" s="188"/>
      <c r="AA379" s="97"/>
      <c r="AB379" s="189"/>
    </row>
    <row r="380" spans="1:28">
      <c r="A380" s="116"/>
      <c r="B380" s="116"/>
      <c r="C380" s="116">
        <v>3</v>
      </c>
      <c r="D380" s="3"/>
      <c r="E380" s="204"/>
      <c r="F380" s="205"/>
      <c r="G380" s="205"/>
      <c r="H380" s="180"/>
      <c r="I380" s="180"/>
      <c r="J380" s="180"/>
      <c r="K380" s="180"/>
      <c r="L380" s="180"/>
      <c r="M380" s="181"/>
      <c r="N380" s="181"/>
      <c r="O380" s="182"/>
      <c r="P380" s="183"/>
      <c r="Q380" s="183"/>
      <c r="R380" s="184"/>
      <c r="S380" s="184"/>
      <c r="T380" s="181"/>
      <c r="U380" s="181"/>
      <c r="V380" s="185"/>
      <c r="W380" s="186"/>
      <c r="X380" s="187"/>
      <c r="Y380" s="182"/>
      <c r="Z380" s="188"/>
      <c r="AA380" s="97"/>
      <c r="AB380" s="189"/>
    </row>
    <row r="381" spans="1:28">
      <c r="A381" s="116"/>
      <c r="B381" s="116"/>
      <c r="C381" s="116">
        <v>3</v>
      </c>
      <c r="D381" s="3"/>
      <c r="E381" s="204"/>
      <c r="F381" s="205"/>
      <c r="G381" s="205"/>
      <c r="H381" s="180"/>
      <c r="I381" s="180"/>
      <c r="J381" s="180"/>
      <c r="K381" s="180"/>
      <c r="L381" s="180"/>
      <c r="M381" s="181"/>
      <c r="N381" s="181"/>
      <c r="O381" s="182"/>
      <c r="P381" s="183"/>
      <c r="Q381" s="183"/>
      <c r="R381" s="184"/>
      <c r="S381" s="184"/>
      <c r="T381" s="181"/>
      <c r="U381" s="181"/>
      <c r="V381" s="185"/>
      <c r="W381" s="186"/>
      <c r="X381" s="187"/>
      <c r="Y381" s="182"/>
      <c r="Z381" s="188"/>
      <c r="AA381" s="97"/>
      <c r="AB381" s="189"/>
    </row>
    <row r="382" spans="1:28">
      <c r="A382" s="116"/>
      <c r="B382" s="116"/>
      <c r="C382" s="116">
        <v>0</v>
      </c>
      <c r="D382" s="3"/>
      <c r="E382" s="180"/>
      <c r="F382" s="205"/>
      <c r="G382" s="205"/>
      <c r="H382" s="180"/>
      <c r="I382" s="180"/>
      <c r="J382" s="180"/>
      <c r="K382" s="180"/>
      <c r="L382" s="180"/>
      <c r="M382" s="181"/>
      <c r="N382" s="181"/>
      <c r="O382" s="182"/>
      <c r="P382" s="183"/>
      <c r="Q382" s="183"/>
      <c r="R382" s="184"/>
      <c r="S382" s="184"/>
      <c r="T382" s="181"/>
      <c r="U382" s="181"/>
      <c r="V382" s="185"/>
      <c r="W382" s="186"/>
      <c r="X382" s="187"/>
      <c r="Y382" s="182"/>
      <c r="Z382" s="188"/>
      <c r="AA382" s="97"/>
      <c r="AB382" s="189"/>
    </row>
    <row r="383" spans="1:28">
      <c r="A383" s="116"/>
      <c r="B383" s="116" t="s">
        <v>983</v>
      </c>
      <c r="C383" s="116">
        <v>2</v>
      </c>
      <c r="D383" s="3"/>
      <c r="E383" s="180"/>
      <c r="F383" s="205"/>
      <c r="G383" s="205"/>
      <c r="H383" s="180"/>
      <c r="I383" s="180"/>
      <c r="J383" s="180"/>
      <c r="K383" s="180"/>
      <c r="L383" s="180"/>
      <c r="M383" s="181"/>
      <c r="N383" s="181"/>
      <c r="O383" s="182"/>
      <c r="P383" s="183"/>
      <c r="Q383" s="183"/>
      <c r="R383" s="184"/>
      <c r="S383" s="184"/>
      <c r="T383" s="181"/>
      <c r="U383" s="181"/>
      <c r="V383" s="185"/>
      <c r="W383" s="186"/>
      <c r="X383" s="187"/>
      <c r="Y383" s="182"/>
      <c r="Z383" s="188"/>
      <c r="AA383" s="97"/>
      <c r="AB383" s="189"/>
    </row>
    <row r="384" spans="1:28">
      <c r="A384" s="116"/>
      <c r="B384" s="116"/>
      <c r="C384" s="116">
        <v>3</v>
      </c>
      <c r="D384" s="3"/>
      <c r="E384" s="204"/>
      <c r="F384" s="205"/>
      <c r="G384" s="205"/>
      <c r="H384" s="180"/>
      <c r="I384" s="180"/>
      <c r="J384" s="180"/>
      <c r="K384" s="180"/>
      <c r="L384" s="180"/>
      <c r="M384" s="181"/>
      <c r="N384" s="181"/>
      <c r="O384" s="182"/>
      <c r="P384" s="183"/>
      <c r="Q384" s="183"/>
      <c r="R384" s="184"/>
      <c r="S384" s="184"/>
      <c r="T384" s="181"/>
      <c r="U384" s="181"/>
      <c r="V384" s="185"/>
      <c r="W384" s="186"/>
      <c r="X384" s="187"/>
      <c r="Y384" s="182"/>
      <c r="Z384" s="188"/>
      <c r="AA384" s="97"/>
      <c r="AB384" s="189"/>
    </row>
    <row r="385" spans="1:28">
      <c r="A385" s="116"/>
      <c r="B385" s="116"/>
      <c r="C385" s="116">
        <v>3</v>
      </c>
      <c r="D385" s="3"/>
      <c r="E385" s="204"/>
      <c r="F385" s="205"/>
      <c r="G385" s="205"/>
      <c r="H385" s="180"/>
      <c r="I385" s="180"/>
      <c r="J385" s="180"/>
      <c r="K385" s="180"/>
      <c r="L385" s="180"/>
      <c r="M385" s="181"/>
      <c r="N385" s="181"/>
      <c r="O385" s="182"/>
      <c r="P385" s="183"/>
      <c r="Q385" s="183"/>
      <c r="R385" s="184"/>
      <c r="S385" s="184"/>
      <c r="T385" s="181"/>
      <c r="U385" s="181"/>
      <c r="V385" s="185"/>
      <c r="W385" s="186"/>
      <c r="X385" s="187"/>
      <c r="Y385" s="182"/>
      <c r="Z385" s="188"/>
      <c r="AA385" s="97"/>
      <c r="AB385" s="189"/>
    </row>
    <row r="386" spans="1:28">
      <c r="A386" s="116"/>
      <c r="B386" s="116"/>
      <c r="C386" s="116">
        <v>0</v>
      </c>
      <c r="D386" s="3"/>
      <c r="E386" s="180"/>
      <c r="F386" s="205"/>
      <c r="G386" s="205"/>
      <c r="H386" s="180"/>
      <c r="I386" s="180"/>
      <c r="J386" s="180"/>
      <c r="K386" s="180"/>
      <c r="L386" s="180"/>
      <c r="M386" s="181"/>
      <c r="N386" s="181"/>
      <c r="O386" s="182"/>
      <c r="P386" s="183"/>
      <c r="Q386" s="183"/>
      <c r="R386" s="184"/>
      <c r="S386" s="184"/>
      <c r="T386" s="181"/>
      <c r="U386" s="181"/>
      <c r="V386" s="185"/>
      <c r="W386" s="186"/>
      <c r="X386" s="187"/>
      <c r="Y386" s="182"/>
      <c r="Z386" s="188"/>
      <c r="AA386" s="97"/>
      <c r="AB386" s="189"/>
    </row>
    <row r="387" spans="1:28">
      <c r="A387" s="116"/>
      <c r="B387" s="116" t="s">
        <v>983</v>
      </c>
      <c r="C387" s="116">
        <v>2</v>
      </c>
      <c r="D387" s="3"/>
      <c r="E387" s="180"/>
      <c r="F387" s="205"/>
      <c r="G387" s="205"/>
      <c r="H387" s="180"/>
      <c r="I387" s="180"/>
      <c r="J387" s="180"/>
      <c r="K387" s="180"/>
      <c r="L387" s="180"/>
      <c r="M387" s="181"/>
      <c r="N387" s="181"/>
      <c r="O387" s="182"/>
      <c r="P387" s="183"/>
      <c r="Q387" s="183"/>
      <c r="R387" s="184"/>
      <c r="S387" s="184"/>
      <c r="T387" s="181"/>
      <c r="U387" s="181"/>
      <c r="V387" s="185"/>
      <c r="W387" s="186"/>
      <c r="X387" s="187"/>
      <c r="Y387" s="182"/>
      <c r="Z387" s="188"/>
      <c r="AA387" s="97"/>
      <c r="AB387" s="189"/>
    </row>
    <row r="388" spans="1:28">
      <c r="A388" s="116"/>
      <c r="B388" s="116"/>
      <c r="C388" s="116">
        <v>3</v>
      </c>
      <c r="D388" s="3"/>
      <c r="E388" s="204"/>
      <c r="F388" s="205"/>
      <c r="G388" s="205"/>
      <c r="H388" s="180"/>
      <c r="I388" s="180"/>
      <c r="J388" s="180"/>
      <c r="K388" s="180"/>
      <c r="L388" s="180"/>
      <c r="M388" s="181"/>
      <c r="N388" s="181"/>
      <c r="O388" s="182"/>
      <c r="P388" s="183"/>
      <c r="Q388" s="183"/>
      <c r="R388" s="184"/>
      <c r="S388" s="184"/>
      <c r="T388" s="181"/>
      <c r="U388" s="181"/>
      <c r="V388" s="185"/>
      <c r="W388" s="186"/>
      <c r="X388" s="187"/>
      <c r="Y388" s="182"/>
      <c r="Z388" s="188"/>
      <c r="AA388" s="97"/>
      <c r="AB388" s="189"/>
    </row>
    <row r="389" spans="1:28">
      <c r="A389" s="116"/>
      <c r="B389" s="116"/>
      <c r="C389" s="116">
        <v>3</v>
      </c>
      <c r="D389" s="3"/>
      <c r="E389" s="204"/>
      <c r="F389" s="205"/>
      <c r="G389" s="205"/>
      <c r="H389" s="180"/>
      <c r="I389" s="180"/>
      <c r="J389" s="180"/>
      <c r="K389" s="180"/>
      <c r="L389" s="180"/>
      <c r="M389" s="181"/>
      <c r="N389" s="181"/>
      <c r="O389" s="182"/>
      <c r="P389" s="183"/>
      <c r="Q389" s="183"/>
      <c r="R389" s="184"/>
      <c r="S389" s="184"/>
      <c r="T389" s="181"/>
      <c r="U389" s="181"/>
      <c r="V389" s="185"/>
      <c r="W389" s="186"/>
      <c r="X389" s="187"/>
      <c r="Y389" s="182"/>
      <c r="Z389" s="188"/>
      <c r="AA389" s="97"/>
      <c r="AB389" s="189"/>
    </row>
    <row r="390" spans="1:28">
      <c r="A390" s="116"/>
      <c r="B390" s="116"/>
      <c r="C390" s="116">
        <v>0</v>
      </c>
      <c r="D390" s="3"/>
      <c r="E390" s="180"/>
      <c r="F390" s="205"/>
      <c r="G390" s="205"/>
      <c r="H390" s="180"/>
      <c r="I390" s="180"/>
      <c r="J390" s="180"/>
      <c r="K390" s="180"/>
      <c r="L390" s="180"/>
      <c r="M390" s="181"/>
      <c r="N390" s="181"/>
      <c r="O390" s="182"/>
      <c r="P390" s="183"/>
      <c r="Q390" s="183"/>
      <c r="R390" s="184"/>
      <c r="S390" s="184"/>
      <c r="T390" s="181"/>
      <c r="U390" s="181"/>
      <c r="V390" s="185"/>
      <c r="W390" s="186"/>
      <c r="X390" s="187"/>
      <c r="Y390" s="182"/>
      <c r="Z390" s="188"/>
      <c r="AA390" s="97"/>
      <c r="AB390" s="189"/>
    </row>
    <row r="391" spans="1:28">
      <c r="A391" s="116"/>
      <c r="B391" s="116" t="s">
        <v>983</v>
      </c>
      <c r="C391" s="116">
        <v>2</v>
      </c>
      <c r="D391" s="3"/>
      <c r="E391" s="180"/>
      <c r="F391" s="205"/>
      <c r="G391" s="205"/>
      <c r="H391" s="180"/>
      <c r="I391" s="180"/>
      <c r="J391" s="180"/>
      <c r="K391" s="180"/>
      <c r="L391" s="180"/>
      <c r="M391" s="181"/>
      <c r="N391" s="181"/>
      <c r="O391" s="182"/>
      <c r="P391" s="183"/>
      <c r="Q391" s="183"/>
      <c r="R391" s="184"/>
      <c r="S391" s="184"/>
      <c r="T391" s="181"/>
      <c r="U391" s="181"/>
      <c r="V391" s="185"/>
      <c r="W391" s="186"/>
      <c r="X391" s="187"/>
      <c r="Y391" s="182"/>
      <c r="Z391" s="188"/>
      <c r="AA391" s="97"/>
      <c r="AB391" s="189"/>
    </row>
    <row r="392" spans="1:28">
      <c r="A392" s="116"/>
      <c r="B392" s="116"/>
      <c r="C392" s="116">
        <v>3</v>
      </c>
      <c r="D392" s="3"/>
      <c r="E392" s="204"/>
      <c r="F392" s="205"/>
      <c r="G392" s="205"/>
      <c r="H392" s="180"/>
      <c r="I392" s="180"/>
      <c r="J392" s="180"/>
      <c r="K392" s="180"/>
      <c r="L392" s="180"/>
      <c r="M392" s="181"/>
      <c r="N392" s="181"/>
      <c r="O392" s="182"/>
      <c r="P392" s="183"/>
      <c r="Q392" s="183"/>
      <c r="R392" s="184"/>
      <c r="S392" s="184"/>
      <c r="T392" s="181"/>
      <c r="U392" s="181"/>
      <c r="V392" s="185"/>
      <c r="W392" s="186"/>
      <c r="X392" s="187"/>
      <c r="Y392" s="182"/>
      <c r="Z392" s="188"/>
      <c r="AA392" s="97"/>
      <c r="AB392" s="189"/>
    </row>
    <row r="393" spans="1:28">
      <c r="A393" s="116"/>
      <c r="B393" s="116"/>
      <c r="C393" s="116">
        <v>3</v>
      </c>
      <c r="D393" s="3"/>
      <c r="E393" s="204"/>
      <c r="F393" s="205"/>
      <c r="G393" s="205"/>
      <c r="H393" s="180"/>
      <c r="I393" s="180"/>
      <c r="J393" s="180"/>
      <c r="K393" s="180"/>
      <c r="L393" s="180"/>
      <c r="M393" s="181"/>
      <c r="N393" s="181"/>
      <c r="O393" s="182"/>
      <c r="P393" s="183"/>
      <c r="Q393" s="183"/>
      <c r="R393" s="184"/>
      <c r="S393" s="184"/>
      <c r="T393" s="181"/>
      <c r="U393" s="181"/>
      <c r="V393" s="185"/>
      <c r="W393" s="186"/>
      <c r="X393" s="187"/>
      <c r="Y393" s="182"/>
      <c r="Z393" s="188"/>
      <c r="AA393" s="97"/>
      <c r="AB393" s="189"/>
    </row>
    <row r="394" spans="1:28">
      <c r="A394" s="116"/>
      <c r="B394" s="116"/>
      <c r="C394" s="116">
        <v>0</v>
      </c>
      <c r="D394" s="3"/>
      <c r="E394" s="180"/>
      <c r="F394" s="205"/>
      <c r="G394" s="205"/>
      <c r="H394" s="180"/>
      <c r="I394" s="180"/>
      <c r="J394" s="180"/>
      <c r="K394" s="180"/>
      <c r="L394" s="180"/>
      <c r="M394" s="181"/>
      <c r="N394" s="181"/>
      <c r="O394" s="182"/>
      <c r="P394" s="183"/>
      <c r="Q394" s="183"/>
      <c r="R394" s="184"/>
      <c r="S394" s="184"/>
      <c r="T394" s="181"/>
      <c r="U394" s="181"/>
      <c r="V394" s="185"/>
      <c r="W394" s="186"/>
      <c r="X394" s="187"/>
      <c r="Y394" s="182"/>
      <c r="Z394" s="188"/>
      <c r="AA394" s="97"/>
      <c r="AB394" s="189"/>
    </row>
    <row r="395" spans="1:28">
      <c r="A395" s="116"/>
      <c r="B395" s="116" t="s">
        <v>983</v>
      </c>
      <c r="C395" s="116">
        <v>2</v>
      </c>
      <c r="D395" s="3"/>
      <c r="E395" s="180"/>
      <c r="F395" s="205"/>
      <c r="G395" s="205"/>
      <c r="H395" s="180"/>
      <c r="I395" s="180"/>
      <c r="J395" s="180"/>
      <c r="K395" s="180"/>
      <c r="L395" s="180"/>
      <c r="M395" s="181"/>
      <c r="N395" s="181"/>
      <c r="O395" s="182"/>
      <c r="P395" s="183"/>
      <c r="Q395" s="183"/>
      <c r="R395" s="184"/>
      <c r="S395" s="184"/>
      <c r="T395" s="181"/>
      <c r="U395" s="181"/>
      <c r="V395" s="185"/>
      <c r="W395" s="186"/>
      <c r="X395" s="187"/>
      <c r="Y395" s="182"/>
      <c r="Z395" s="188"/>
      <c r="AA395" s="97"/>
      <c r="AB395" s="189"/>
    </row>
    <row r="396" spans="1:28">
      <c r="A396" s="116"/>
      <c r="B396" s="116"/>
      <c r="C396" s="116">
        <v>3</v>
      </c>
      <c r="D396" s="3"/>
      <c r="E396" s="204"/>
      <c r="F396" s="205"/>
      <c r="G396" s="205"/>
      <c r="H396" s="180"/>
      <c r="I396" s="180"/>
      <c r="J396" s="180"/>
      <c r="K396" s="180"/>
      <c r="L396" s="180"/>
      <c r="M396" s="181"/>
      <c r="N396" s="181"/>
      <c r="O396" s="182"/>
      <c r="P396" s="183"/>
      <c r="Q396" s="183"/>
      <c r="R396" s="184"/>
      <c r="S396" s="184"/>
      <c r="T396" s="181"/>
      <c r="U396" s="181"/>
      <c r="V396" s="185"/>
      <c r="W396" s="186"/>
      <c r="X396" s="187"/>
      <c r="Y396" s="182"/>
      <c r="Z396" s="188"/>
      <c r="AA396" s="97"/>
      <c r="AB396" s="189"/>
    </row>
    <row r="397" spans="1:28">
      <c r="A397" s="116"/>
      <c r="B397" s="116"/>
      <c r="C397" s="116">
        <v>3</v>
      </c>
      <c r="D397" s="3"/>
      <c r="E397" s="204"/>
      <c r="F397" s="205"/>
      <c r="G397" s="205"/>
      <c r="H397" s="180"/>
      <c r="I397" s="180"/>
      <c r="J397" s="180"/>
      <c r="K397" s="180"/>
      <c r="L397" s="180"/>
      <c r="M397" s="181"/>
      <c r="N397" s="181"/>
      <c r="O397" s="182"/>
      <c r="P397" s="183"/>
      <c r="Q397" s="183"/>
      <c r="R397" s="184"/>
      <c r="S397" s="184"/>
      <c r="T397" s="181"/>
      <c r="U397" s="181"/>
      <c r="V397" s="185"/>
      <c r="W397" s="186"/>
      <c r="X397" s="187"/>
      <c r="Y397" s="182"/>
      <c r="Z397" s="188"/>
      <c r="AA397" s="97"/>
      <c r="AB397" s="189"/>
    </row>
    <row r="398" spans="1:28">
      <c r="A398" s="116"/>
      <c r="B398" s="116"/>
      <c r="C398" s="116">
        <v>0</v>
      </c>
      <c r="D398" s="3"/>
      <c r="E398" s="180"/>
      <c r="F398" s="205"/>
      <c r="G398" s="205"/>
      <c r="H398" s="180"/>
      <c r="I398" s="180"/>
      <c r="J398" s="180"/>
      <c r="K398" s="180"/>
      <c r="L398" s="180"/>
      <c r="M398" s="181"/>
      <c r="N398" s="181"/>
      <c r="O398" s="182"/>
      <c r="P398" s="183"/>
      <c r="Q398" s="183"/>
      <c r="R398" s="184"/>
      <c r="S398" s="184"/>
      <c r="T398" s="181"/>
      <c r="U398" s="181"/>
      <c r="V398" s="185"/>
      <c r="W398" s="186"/>
      <c r="X398" s="187"/>
      <c r="Y398" s="182"/>
      <c r="Z398" s="188"/>
      <c r="AA398" s="97"/>
      <c r="AB398" s="189"/>
    </row>
    <row r="399" spans="1:28">
      <c r="A399" s="116"/>
      <c r="B399" s="116" t="s">
        <v>983</v>
      </c>
      <c r="C399" s="116">
        <v>2</v>
      </c>
      <c r="D399" s="3"/>
      <c r="E399" s="180"/>
      <c r="F399" s="205"/>
      <c r="G399" s="205"/>
      <c r="H399" s="180"/>
      <c r="I399" s="180"/>
      <c r="J399" s="180"/>
      <c r="K399" s="180"/>
      <c r="L399" s="180"/>
      <c r="M399" s="181"/>
      <c r="N399" s="181"/>
      <c r="O399" s="182"/>
      <c r="P399" s="183"/>
      <c r="Q399" s="183"/>
      <c r="R399" s="184"/>
      <c r="S399" s="184"/>
      <c r="T399" s="181"/>
      <c r="U399" s="181"/>
      <c r="V399" s="185"/>
      <c r="W399" s="186"/>
      <c r="X399" s="187"/>
      <c r="Y399" s="182"/>
      <c r="Z399" s="188"/>
      <c r="AA399" s="97"/>
      <c r="AB399" s="189"/>
    </row>
    <row r="400" spans="1:28">
      <c r="A400" s="116"/>
      <c r="B400" s="116"/>
      <c r="C400" s="116">
        <v>3</v>
      </c>
      <c r="D400" s="3"/>
      <c r="E400" s="204"/>
      <c r="F400" s="205"/>
      <c r="G400" s="205"/>
      <c r="H400" s="180"/>
      <c r="I400" s="180"/>
      <c r="J400" s="180"/>
      <c r="K400" s="180"/>
      <c r="L400" s="180"/>
      <c r="M400" s="181"/>
      <c r="N400" s="181"/>
      <c r="O400" s="182"/>
      <c r="P400" s="183"/>
      <c r="Q400" s="183"/>
      <c r="R400" s="184"/>
      <c r="S400" s="184"/>
      <c r="T400" s="181"/>
      <c r="U400" s="181"/>
      <c r="V400" s="185"/>
      <c r="W400" s="186"/>
      <c r="X400" s="187"/>
      <c r="Y400" s="182"/>
      <c r="Z400" s="188"/>
      <c r="AA400" s="97"/>
      <c r="AB400" s="189"/>
    </row>
    <row r="401" spans="1:28">
      <c r="A401" s="116"/>
      <c r="B401" s="116"/>
      <c r="C401" s="116">
        <v>3</v>
      </c>
      <c r="D401" s="3"/>
      <c r="E401" s="204"/>
      <c r="F401" s="205"/>
      <c r="G401" s="205"/>
      <c r="H401" s="180"/>
      <c r="I401" s="180"/>
      <c r="J401" s="180"/>
      <c r="K401" s="180"/>
      <c r="L401" s="180"/>
      <c r="M401" s="181"/>
      <c r="N401" s="181"/>
      <c r="O401" s="182"/>
      <c r="P401" s="183"/>
      <c r="Q401" s="183"/>
      <c r="R401" s="184"/>
      <c r="S401" s="184"/>
      <c r="T401" s="181"/>
      <c r="U401" s="181"/>
      <c r="V401" s="185"/>
      <c r="W401" s="186"/>
      <c r="X401" s="187"/>
      <c r="Y401" s="182"/>
      <c r="Z401" s="188"/>
      <c r="AA401" s="97"/>
      <c r="AB401" s="189"/>
    </row>
    <row r="402" spans="1:28">
      <c r="A402" s="116"/>
      <c r="B402" s="116"/>
      <c r="C402" s="116">
        <v>0</v>
      </c>
      <c r="D402" s="3"/>
      <c r="E402" s="180"/>
      <c r="F402" s="205"/>
      <c r="G402" s="205"/>
      <c r="H402" s="180"/>
      <c r="I402" s="180"/>
      <c r="J402" s="180"/>
      <c r="K402" s="180"/>
      <c r="L402" s="180"/>
      <c r="M402" s="181"/>
      <c r="N402" s="181"/>
      <c r="O402" s="182"/>
      <c r="P402" s="183"/>
      <c r="Q402" s="183"/>
      <c r="R402" s="184"/>
      <c r="S402" s="184"/>
      <c r="T402" s="181"/>
      <c r="U402" s="181"/>
      <c r="V402" s="185"/>
      <c r="W402" s="186"/>
      <c r="X402" s="187"/>
      <c r="Y402" s="182"/>
      <c r="Z402" s="188"/>
      <c r="AA402" s="97"/>
      <c r="AB402" s="189"/>
    </row>
    <row r="403" spans="1:28">
      <c r="A403" s="116"/>
      <c r="B403" s="116" t="s">
        <v>983</v>
      </c>
      <c r="C403" s="116">
        <v>2</v>
      </c>
      <c r="D403" s="3"/>
      <c r="E403" s="180"/>
      <c r="F403" s="205"/>
      <c r="G403" s="205"/>
      <c r="H403" s="180"/>
      <c r="I403" s="180"/>
      <c r="J403" s="180"/>
      <c r="K403" s="180"/>
      <c r="L403" s="180"/>
      <c r="M403" s="181"/>
      <c r="N403" s="181"/>
      <c r="O403" s="182"/>
      <c r="P403" s="183"/>
      <c r="Q403" s="183"/>
      <c r="R403" s="184"/>
      <c r="S403" s="184"/>
      <c r="T403" s="181"/>
      <c r="U403" s="181"/>
      <c r="V403" s="185"/>
      <c r="W403" s="186"/>
      <c r="X403" s="187"/>
      <c r="Y403" s="182"/>
      <c r="Z403" s="188"/>
      <c r="AA403" s="97"/>
      <c r="AB403" s="189"/>
    </row>
    <row r="404" spans="1:28">
      <c r="A404" s="116"/>
      <c r="B404" s="116"/>
      <c r="C404" s="116">
        <v>3</v>
      </c>
      <c r="D404" s="3"/>
      <c r="E404" s="204"/>
      <c r="F404" s="205"/>
      <c r="G404" s="205"/>
      <c r="H404" s="180"/>
      <c r="I404" s="180"/>
      <c r="J404" s="180"/>
      <c r="K404" s="180"/>
      <c r="L404" s="180"/>
      <c r="M404" s="181"/>
      <c r="N404" s="181"/>
      <c r="O404" s="182"/>
      <c r="P404" s="183"/>
      <c r="Q404" s="183"/>
      <c r="R404" s="184"/>
      <c r="S404" s="184"/>
      <c r="T404" s="181"/>
      <c r="U404" s="181"/>
      <c r="V404" s="185"/>
      <c r="W404" s="186"/>
      <c r="X404" s="187"/>
      <c r="Y404" s="182"/>
      <c r="Z404" s="188"/>
      <c r="AA404" s="97"/>
      <c r="AB404" s="189"/>
    </row>
    <row r="405" spans="1:28">
      <c r="A405" s="116"/>
      <c r="B405" s="116"/>
      <c r="C405" s="116">
        <v>3</v>
      </c>
      <c r="D405" s="3"/>
      <c r="E405" s="204"/>
      <c r="F405" s="205"/>
      <c r="G405" s="205"/>
      <c r="H405" s="180"/>
      <c r="I405" s="180"/>
      <c r="J405" s="180"/>
      <c r="K405" s="180"/>
      <c r="L405" s="180"/>
      <c r="M405" s="181"/>
      <c r="N405" s="181"/>
      <c r="O405" s="182"/>
      <c r="P405" s="183"/>
      <c r="Q405" s="183"/>
      <c r="R405" s="184"/>
      <c r="S405" s="184"/>
      <c r="T405" s="181"/>
      <c r="U405" s="181"/>
      <c r="V405" s="185"/>
      <c r="W405" s="186"/>
      <c r="X405" s="187"/>
      <c r="Y405" s="182"/>
      <c r="Z405" s="188"/>
      <c r="AA405" s="97"/>
      <c r="AB405" s="189"/>
    </row>
    <row r="406" spans="1:28">
      <c r="A406" s="116"/>
      <c r="B406" s="116"/>
      <c r="C406" s="116">
        <v>0</v>
      </c>
      <c r="D406" s="3"/>
      <c r="E406" s="180"/>
      <c r="F406" s="205"/>
      <c r="G406" s="205"/>
      <c r="H406" s="180"/>
      <c r="I406" s="180"/>
      <c r="J406" s="180"/>
      <c r="K406" s="180"/>
      <c r="L406" s="180"/>
      <c r="M406" s="181"/>
      <c r="N406" s="181"/>
      <c r="O406" s="182"/>
      <c r="P406" s="183"/>
      <c r="Q406" s="183"/>
      <c r="R406" s="184"/>
      <c r="S406" s="184"/>
      <c r="T406" s="181"/>
      <c r="U406" s="181"/>
      <c r="V406" s="185"/>
      <c r="W406" s="186"/>
      <c r="X406" s="187"/>
      <c r="Y406" s="182"/>
      <c r="Z406" s="188"/>
      <c r="AA406" s="97"/>
      <c r="AB406" s="189"/>
    </row>
    <row r="407" spans="1:28">
      <c r="A407" s="116"/>
      <c r="B407" s="116" t="s">
        <v>983</v>
      </c>
      <c r="C407" s="116">
        <v>2</v>
      </c>
      <c r="D407" s="3"/>
      <c r="E407" s="180"/>
      <c r="F407" s="205"/>
      <c r="G407" s="205"/>
      <c r="H407" s="180"/>
      <c r="I407" s="180"/>
      <c r="J407" s="180"/>
      <c r="K407" s="180"/>
      <c r="L407" s="180"/>
      <c r="M407" s="181"/>
      <c r="N407" s="181"/>
      <c r="O407" s="182"/>
      <c r="P407" s="183"/>
      <c r="Q407" s="183"/>
      <c r="R407" s="184"/>
      <c r="S407" s="184"/>
      <c r="T407" s="181"/>
      <c r="U407" s="181"/>
      <c r="V407" s="185"/>
      <c r="W407" s="186"/>
      <c r="X407" s="187"/>
      <c r="Y407" s="182"/>
      <c r="Z407" s="188"/>
      <c r="AA407" s="97"/>
      <c r="AB407" s="189"/>
    </row>
    <row r="408" spans="1:28">
      <c r="A408" s="116"/>
      <c r="B408" s="116"/>
      <c r="C408" s="116">
        <v>3</v>
      </c>
      <c r="D408" s="3"/>
      <c r="E408" s="204"/>
      <c r="F408" s="205"/>
      <c r="G408" s="205"/>
      <c r="H408" s="180"/>
      <c r="I408" s="180"/>
      <c r="J408" s="180"/>
      <c r="K408" s="180"/>
      <c r="L408" s="180"/>
      <c r="M408" s="181"/>
      <c r="N408" s="181"/>
      <c r="O408" s="182"/>
      <c r="P408" s="183"/>
      <c r="Q408" s="183"/>
      <c r="R408" s="184"/>
      <c r="S408" s="184"/>
      <c r="T408" s="181"/>
      <c r="U408" s="181"/>
      <c r="V408" s="185"/>
      <c r="W408" s="186"/>
      <c r="X408" s="187"/>
      <c r="Y408" s="182"/>
      <c r="Z408" s="188"/>
      <c r="AA408" s="97"/>
      <c r="AB408" s="189"/>
    </row>
    <row r="409" spans="1:28">
      <c r="A409" s="116"/>
      <c r="B409" s="116"/>
      <c r="C409" s="116">
        <v>3</v>
      </c>
      <c r="D409" s="3"/>
      <c r="E409" s="204"/>
      <c r="F409" s="205"/>
      <c r="G409" s="205"/>
      <c r="H409" s="180"/>
      <c r="I409" s="180"/>
      <c r="J409" s="180"/>
      <c r="K409" s="180"/>
      <c r="L409" s="180"/>
      <c r="M409" s="181"/>
      <c r="N409" s="181"/>
      <c r="O409" s="182"/>
      <c r="P409" s="183"/>
      <c r="Q409" s="183"/>
      <c r="R409" s="184"/>
      <c r="S409" s="184"/>
      <c r="T409" s="181"/>
      <c r="U409" s="181"/>
      <c r="V409" s="185"/>
      <c r="W409" s="186"/>
      <c r="X409" s="187"/>
      <c r="Y409" s="182"/>
      <c r="Z409" s="188"/>
      <c r="AA409" s="97"/>
      <c r="AB409" s="189"/>
    </row>
    <row r="410" spans="1:28">
      <c r="A410" s="116"/>
      <c r="B410" s="116"/>
      <c r="C410" s="116">
        <v>0</v>
      </c>
      <c r="D410" s="3"/>
      <c r="E410" s="180"/>
      <c r="F410" s="205"/>
      <c r="G410" s="205"/>
      <c r="H410" s="180"/>
      <c r="I410" s="180"/>
      <c r="J410" s="180"/>
      <c r="K410" s="180"/>
      <c r="L410" s="180"/>
      <c r="M410" s="181"/>
      <c r="N410" s="181"/>
      <c r="O410" s="182"/>
      <c r="P410" s="183"/>
      <c r="Q410" s="183"/>
      <c r="R410" s="184"/>
      <c r="S410" s="184"/>
      <c r="T410" s="181"/>
      <c r="U410" s="181"/>
      <c r="V410" s="185"/>
      <c r="W410" s="186"/>
      <c r="X410" s="187"/>
      <c r="Y410" s="182"/>
      <c r="Z410" s="188"/>
      <c r="AA410" s="97"/>
      <c r="AB410" s="189"/>
    </row>
    <row r="411" spans="1:28">
      <c r="A411" s="116"/>
      <c r="B411" s="116" t="s">
        <v>983</v>
      </c>
      <c r="C411" s="116">
        <v>2</v>
      </c>
      <c r="D411" s="3"/>
      <c r="E411" s="180"/>
      <c r="F411" s="205"/>
      <c r="G411" s="205"/>
      <c r="H411" s="180"/>
      <c r="I411" s="180"/>
      <c r="J411" s="180"/>
      <c r="K411" s="180"/>
      <c r="L411" s="180"/>
      <c r="M411" s="181"/>
      <c r="N411" s="181"/>
      <c r="O411" s="182"/>
      <c r="P411" s="183"/>
      <c r="Q411" s="183"/>
      <c r="R411" s="184"/>
      <c r="S411" s="184"/>
      <c r="T411" s="181"/>
      <c r="U411" s="181"/>
      <c r="V411" s="185"/>
      <c r="W411" s="186"/>
      <c r="X411" s="187"/>
      <c r="Y411" s="182"/>
      <c r="Z411" s="188"/>
      <c r="AA411" s="97"/>
      <c r="AB411" s="189"/>
    </row>
    <row r="412" spans="1:28">
      <c r="A412" s="116"/>
      <c r="B412" s="116"/>
      <c r="C412" s="116">
        <v>3</v>
      </c>
      <c r="D412" s="3"/>
      <c r="E412" s="204"/>
      <c r="F412" s="205"/>
      <c r="G412" s="205"/>
      <c r="H412" s="180"/>
      <c r="I412" s="180"/>
      <c r="J412" s="180"/>
      <c r="K412" s="180"/>
      <c r="L412" s="180"/>
      <c r="M412" s="181"/>
      <c r="N412" s="181"/>
      <c r="O412" s="182"/>
      <c r="P412" s="183"/>
      <c r="Q412" s="183"/>
      <c r="R412" s="184"/>
      <c r="S412" s="184"/>
      <c r="T412" s="181"/>
      <c r="U412" s="181"/>
      <c r="V412" s="185"/>
      <c r="W412" s="186"/>
      <c r="X412" s="187"/>
      <c r="Y412" s="182"/>
      <c r="Z412" s="188"/>
      <c r="AA412" s="97"/>
      <c r="AB412" s="189"/>
    </row>
    <row r="413" spans="1:28">
      <c r="A413" s="116"/>
      <c r="B413" s="116"/>
      <c r="C413" s="116">
        <v>3</v>
      </c>
      <c r="D413" s="3"/>
      <c r="E413" s="204"/>
      <c r="F413" s="205"/>
      <c r="G413" s="205"/>
      <c r="H413" s="180"/>
      <c r="I413" s="180"/>
      <c r="J413" s="180"/>
      <c r="K413" s="180"/>
      <c r="L413" s="180"/>
      <c r="M413" s="181"/>
      <c r="N413" s="181"/>
      <c r="O413" s="182"/>
      <c r="P413" s="183"/>
      <c r="Q413" s="183"/>
      <c r="R413" s="184"/>
      <c r="S413" s="184"/>
      <c r="T413" s="181"/>
      <c r="U413" s="181"/>
      <c r="V413" s="185"/>
      <c r="W413" s="186"/>
      <c r="X413" s="187"/>
      <c r="Y413" s="182"/>
      <c r="Z413" s="188"/>
      <c r="AA413" s="97"/>
      <c r="AB413" s="189"/>
    </row>
    <row r="414" spans="1:28">
      <c r="A414" s="116"/>
      <c r="B414" s="116"/>
      <c r="C414" s="116">
        <v>0</v>
      </c>
      <c r="D414" s="3"/>
      <c r="E414" s="204"/>
      <c r="F414" s="205"/>
      <c r="G414" s="205"/>
      <c r="H414" s="180"/>
      <c r="I414" s="180"/>
      <c r="J414" s="180"/>
      <c r="K414" s="180"/>
      <c r="L414" s="180"/>
      <c r="M414" s="181"/>
      <c r="N414" s="181"/>
      <c r="O414" s="182"/>
      <c r="P414" s="183"/>
      <c r="Q414" s="183"/>
      <c r="R414" s="184"/>
      <c r="S414" s="184"/>
      <c r="T414" s="181"/>
      <c r="U414" s="181"/>
      <c r="V414" s="185"/>
      <c r="W414" s="186"/>
      <c r="X414" s="187"/>
      <c r="Y414" s="182"/>
      <c r="Z414" s="188"/>
      <c r="AA414" s="97"/>
      <c r="AB414" s="189"/>
    </row>
    <row r="415" spans="1:28">
      <c r="A415" s="116"/>
      <c r="B415" s="116" t="s">
        <v>983</v>
      </c>
      <c r="C415" s="116">
        <v>2</v>
      </c>
      <c r="D415" s="3"/>
      <c r="E415" s="180"/>
      <c r="F415" s="205"/>
      <c r="G415" s="205"/>
      <c r="H415" s="180"/>
      <c r="I415" s="180"/>
      <c r="J415" s="180"/>
      <c r="K415" s="180"/>
      <c r="L415" s="180"/>
      <c r="M415" s="181"/>
      <c r="N415" s="181"/>
      <c r="O415" s="182"/>
      <c r="P415" s="183"/>
      <c r="Q415" s="183"/>
      <c r="R415" s="184"/>
      <c r="S415" s="184"/>
      <c r="T415" s="181"/>
      <c r="U415" s="181"/>
      <c r="V415" s="185"/>
      <c r="W415" s="186"/>
      <c r="X415" s="187"/>
      <c r="Y415" s="182"/>
      <c r="Z415" s="188"/>
      <c r="AA415" s="97"/>
      <c r="AB415" s="189"/>
    </row>
    <row r="416" spans="1:28">
      <c r="A416" s="116"/>
      <c r="B416" s="116"/>
      <c r="C416" s="116">
        <v>3</v>
      </c>
      <c r="D416" s="3"/>
      <c r="E416" s="204"/>
      <c r="F416" s="205"/>
      <c r="G416" s="205"/>
      <c r="H416" s="180"/>
      <c r="I416" s="180"/>
      <c r="J416" s="180"/>
      <c r="K416" s="180"/>
      <c r="L416" s="180"/>
      <c r="M416" s="181"/>
      <c r="N416" s="181"/>
      <c r="O416" s="182"/>
      <c r="P416" s="183"/>
      <c r="Q416" s="183"/>
      <c r="R416" s="184"/>
      <c r="S416" s="184"/>
      <c r="T416" s="181"/>
      <c r="U416" s="181"/>
      <c r="V416" s="185"/>
      <c r="W416" s="186"/>
      <c r="X416" s="187"/>
      <c r="Y416" s="182"/>
      <c r="Z416" s="188"/>
      <c r="AA416" s="97"/>
      <c r="AB416" s="189"/>
    </row>
    <row r="417" spans="1:28">
      <c r="A417" s="116"/>
      <c r="B417" s="116"/>
      <c r="C417" s="116">
        <v>3</v>
      </c>
      <c r="D417" s="3"/>
      <c r="E417" s="204"/>
      <c r="F417" s="205"/>
      <c r="G417" s="205"/>
      <c r="H417" s="180"/>
      <c r="I417" s="180"/>
      <c r="J417" s="180"/>
      <c r="K417" s="180"/>
      <c r="L417" s="180"/>
      <c r="M417" s="181"/>
      <c r="N417" s="181"/>
      <c r="O417" s="182"/>
      <c r="P417" s="183"/>
      <c r="Q417" s="183"/>
      <c r="R417" s="184"/>
      <c r="S417" s="184"/>
      <c r="T417" s="181"/>
      <c r="U417" s="181"/>
      <c r="V417" s="185"/>
      <c r="W417" s="186"/>
      <c r="X417" s="187"/>
      <c r="Y417" s="182"/>
      <c r="Z417" s="188"/>
      <c r="AA417" s="97"/>
      <c r="AB417" s="189"/>
    </row>
    <row r="418" spans="1:28">
      <c r="A418" s="116"/>
      <c r="B418" s="116"/>
      <c r="C418" s="116">
        <v>0</v>
      </c>
      <c r="D418" s="3"/>
      <c r="E418" s="204"/>
      <c r="F418" s="205"/>
      <c r="G418" s="205"/>
      <c r="H418" s="180"/>
      <c r="I418" s="180"/>
      <c r="J418" s="180"/>
      <c r="K418" s="180"/>
      <c r="L418" s="180"/>
      <c r="M418" s="181"/>
      <c r="N418" s="181"/>
      <c r="O418" s="182"/>
      <c r="P418" s="183"/>
      <c r="Q418" s="183"/>
      <c r="R418" s="184"/>
      <c r="S418" s="184"/>
      <c r="T418" s="181"/>
      <c r="U418" s="181"/>
      <c r="V418" s="185"/>
      <c r="W418" s="186"/>
      <c r="X418" s="187"/>
      <c r="Y418" s="182"/>
      <c r="Z418" s="188"/>
      <c r="AA418" s="97"/>
      <c r="AB418" s="189"/>
    </row>
    <row r="419" spans="1:28">
      <c r="A419" s="116"/>
      <c r="B419" s="116" t="s">
        <v>983</v>
      </c>
      <c r="C419" s="116">
        <v>2</v>
      </c>
      <c r="D419" s="3"/>
      <c r="E419" s="180"/>
      <c r="F419" s="205"/>
      <c r="G419" s="205"/>
      <c r="H419" s="180"/>
      <c r="I419" s="180"/>
      <c r="J419" s="180"/>
      <c r="K419" s="180"/>
      <c r="L419" s="180"/>
      <c r="M419" s="181"/>
      <c r="N419" s="181"/>
      <c r="O419" s="182"/>
      <c r="P419" s="183"/>
      <c r="Q419" s="183"/>
      <c r="R419" s="184"/>
      <c r="S419" s="184"/>
      <c r="T419" s="181"/>
      <c r="U419" s="181"/>
      <c r="V419" s="185"/>
      <c r="W419" s="186"/>
      <c r="X419" s="187"/>
      <c r="Y419" s="182"/>
      <c r="Z419" s="188"/>
      <c r="AA419" s="97"/>
      <c r="AB419" s="189"/>
    </row>
    <row r="420" spans="1:28">
      <c r="A420" s="116"/>
      <c r="B420" s="116"/>
      <c r="C420" s="116">
        <v>3</v>
      </c>
      <c r="D420" s="3"/>
      <c r="E420" s="204"/>
      <c r="F420" s="205"/>
      <c r="G420" s="205"/>
      <c r="H420" s="180"/>
      <c r="I420" s="180"/>
      <c r="J420" s="180"/>
      <c r="K420" s="180"/>
      <c r="L420" s="180"/>
      <c r="M420" s="181"/>
      <c r="N420" s="181"/>
      <c r="O420" s="182"/>
      <c r="P420" s="183"/>
      <c r="Q420" s="183"/>
      <c r="R420" s="184"/>
      <c r="S420" s="184"/>
      <c r="T420" s="181"/>
      <c r="U420" s="181"/>
      <c r="V420" s="185"/>
      <c r="W420" s="186"/>
      <c r="X420" s="187"/>
      <c r="Y420" s="182"/>
      <c r="Z420" s="188"/>
      <c r="AA420" s="97"/>
      <c r="AB420" s="189"/>
    </row>
    <row r="421" spans="1:28">
      <c r="A421" s="116"/>
      <c r="B421" s="116"/>
      <c r="C421" s="116">
        <v>3</v>
      </c>
      <c r="D421" s="3"/>
      <c r="E421" s="204"/>
      <c r="F421" s="205"/>
      <c r="G421" s="205"/>
      <c r="H421" s="180"/>
      <c r="I421" s="180"/>
      <c r="J421" s="180"/>
      <c r="K421" s="180"/>
      <c r="L421" s="180"/>
      <c r="M421" s="181"/>
      <c r="N421" s="181"/>
      <c r="O421" s="182"/>
      <c r="P421" s="183"/>
      <c r="Q421" s="183"/>
      <c r="R421" s="184"/>
      <c r="S421" s="184"/>
      <c r="T421" s="181"/>
      <c r="U421" s="181"/>
      <c r="V421" s="185"/>
      <c r="W421" s="186"/>
      <c r="X421" s="187"/>
      <c r="Y421" s="182"/>
      <c r="Z421" s="188"/>
      <c r="AA421" s="97"/>
      <c r="AB421" s="189"/>
    </row>
    <row r="422" spans="1:28">
      <c r="A422" s="116"/>
      <c r="B422" s="116"/>
      <c r="C422" s="116">
        <v>0</v>
      </c>
      <c r="D422" s="3"/>
      <c r="E422" s="204"/>
      <c r="F422" s="205"/>
      <c r="G422" s="205"/>
      <c r="H422" s="180"/>
      <c r="I422" s="180"/>
      <c r="J422" s="180"/>
      <c r="K422" s="180"/>
      <c r="L422" s="180"/>
      <c r="M422" s="181"/>
      <c r="N422" s="181"/>
      <c r="O422" s="182"/>
      <c r="P422" s="183"/>
      <c r="Q422" s="183"/>
      <c r="R422" s="184"/>
      <c r="S422" s="184"/>
      <c r="T422" s="181"/>
      <c r="U422" s="181"/>
      <c r="V422" s="185"/>
      <c r="W422" s="186"/>
      <c r="X422" s="187"/>
      <c r="Y422" s="182"/>
      <c r="Z422" s="188"/>
      <c r="AA422" s="97"/>
      <c r="AB422" s="189"/>
    </row>
    <row r="423" spans="1:28">
      <c r="A423" s="116"/>
      <c r="B423" s="116" t="s">
        <v>983</v>
      </c>
      <c r="C423" s="116">
        <v>2</v>
      </c>
      <c r="D423" s="3"/>
      <c r="E423" s="180"/>
      <c r="F423" s="205"/>
      <c r="G423" s="205"/>
      <c r="H423" s="180"/>
      <c r="I423" s="180"/>
      <c r="J423" s="180"/>
      <c r="K423" s="180"/>
      <c r="L423" s="180"/>
      <c r="M423" s="181"/>
      <c r="N423" s="181"/>
      <c r="O423" s="182"/>
      <c r="P423" s="183"/>
      <c r="Q423" s="183"/>
      <c r="R423" s="184"/>
      <c r="S423" s="184"/>
      <c r="T423" s="181"/>
      <c r="U423" s="181"/>
      <c r="V423" s="185"/>
      <c r="W423" s="186"/>
      <c r="X423" s="187"/>
      <c r="Y423" s="182"/>
      <c r="Z423" s="188"/>
      <c r="AA423" s="97"/>
      <c r="AB423" s="189"/>
    </row>
    <row r="424" spans="1:28">
      <c r="A424" s="116"/>
      <c r="B424" s="116"/>
      <c r="C424" s="116">
        <v>3</v>
      </c>
      <c r="D424" s="3"/>
      <c r="E424" s="204"/>
      <c r="F424" s="205"/>
      <c r="G424" s="205"/>
      <c r="H424" s="180"/>
      <c r="I424" s="180"/>
      <c r="J424" s="180"/>
      <c r="K424" s="180"/>
      <c r="L424" s="180"/>
      <c r="M424" s="181"/>
      <c r="N424" s="181"/>
      <c r="O424" s="182"/>
      <c r="P424" s="183"/>
      <c r="Q424" s="183"/>
      <c r="R424" s="184"/>
      <c r="S424" s="184"/>
      <c r="T424" s="181"/>
      <c r="U424" s="181"/>
      <c r="V424" s="185"/>
      <c r="W424" s="186"/>
      <c r="X424" s="187"/>
      <c r="Y424" s="182"/>
      <c r="Z424" s="188"/>
      <c r="AA424" s="97"/>
      <c r="AB424" s="189"/>
    </row>
    <row r="425" spans="1:28">
      <c r="A425" s="116"/>
      <c r="B425" s="116"/>
      <c r="C425" s="116">
        <v>3</v>
      </c>
      <c r="D425" s="3"/>
      <c r="E425" s="204"/>
      <c r="F425" s="205"/>
      <c r="G425" s="205"/>
      <c r="H425" s="180"/>
      <c r="I425" s="180"/>
      <c r="J425" s="180"/>
      <c r="K425" s="180"/>
      <c r="L425" s="180"/>
      <c r="M425" s="181"/>
      <c r="N425" s="181"/>
      <c r="O425" s="182"/>
      <c r="P425" s="183"/>
      <c r="Q425" s="183"/>
      <c r="R425" s="184"/>
      <c r="S425" s="184"/>
      <c r="T425" s="181"/>
      <c r="U425" s="181"/>
      <c r="V425" s="185"/>
      <c r="W425" s="186"/>
      <c r="X425" s="187"/>
      <c r="Y425" s="182"/>
      <c r="Z425" s="188"/>
      <c r="AA425" s="97"/>
      <c r="AB425" s="189"/>
    </row>
    <row r="426" spans="1:28">
      <c r="A426" s="116"/>
      <c r="B426" s="116"/>
      <c r="C426" s="116">
        <v>0</v>
      </c>
      <c r="D426" s="3"/>
      <c r="E426" s="204"/>
      <c r="F426" s="205"/>
      <c r="G426" s="205"/>
      <c r="H426" s="180"/>
      <c r="I426" s="180"/>
      <c r="J426" s="180"/>
      <c r="K426" s="180"/>
      <c r="L426" s="180"/>
      <c r="M426" s="181"/>
      <c r="N426" s="181"/>
      <c r="O426" s="182"/>
      <c r="P426" s="183"/>
      <c r="Q426" s="183"/>
      <c r="R426" s="184"/>
      <c r="S426" s="184"/>
      <c r="T426" s="181"/>
      <c r="U426" s="181"/>
      <c r="V426" s="185"/>
      <c r="W426" s="186"/>
      <c r="X426" s="187"/>
      <c r="Y426" s="182"/>
      <c r="Z426" s="188"/>
      <c r="AA426" s="97"/>
      <c r="AB426" s="189"/>
    </row>
    <row r="427" spans="1:28">
      <c r="A427" s="116"/>
      <c r="B427" s="116"/>
      <c r="C427" s="116">
        <v>0</v>
      </c>
      <c r="D427" s="3"/>
      <c r="E427" s="180"/>
      <c r="F427" s="180"/>
      <c r="G427" s="180"/>
      <c r="H427" s="180"/>
      <c r="I427" s="180"/>
      <c r="J427" s="180"/>
      <c r="K427" s="180"/>
      <c r="L427" s="180"/>
      <c r="M427" s="181"/>
      <c r="N427" s="181"/>
      <c r="O427" s="182"/>
      <c r="P427" s="183"/>
      <c r="Q427" s="183"/>
      <c r="R427" s="184"/>
      <c r="S427" s="184"/>
      <c r="T427" s="181"/>
      <c r="U427" s="181"/>
      <c r="V427" s="185"/>
      <c r="W427" s="186"/>
      <c r="X427" s="187"/>
      <c r="Y427" s="182"/>
      <c r="Z427" s="188"/>
      <c r="AA427" s="97"/>
      <c r="AB427" s="189"/>
    </row>
    <row r="428" spans="1:28">
      <c r="A428" s="116"/>
      <c r="B428" s="116" t="s">
        <v>983</v>
      </c>
      <c r="C428" s="116">
        <v>1</v>
      </c>
      <c r="D428" s="3"/>
      <c r="E428" s="203"/>
      <c r="F428" s="180"/>
      <c r="G428" s="180"/>
      <c r="H428" s="180"/>
      <c r="I428" s="180"/>
      <c r="J428" s="180"/>
      <c r="K428" s="180"/>
      <c r="L428" s="180"/>
      <c r="M428" s="181"/>
      <c r="N428" s="181"/>
      <c r="O428" s="182"/>
      <c r="P428" s="183"/>
      <c r="Q428" s="183"/>
      <c r="R428" s="184"/>
      <c r="S428" s="184"/>
      <c r="T428" s="181"/>
      <c r="U428" s="181"/>
      <c r="V428" s="185"/>
      <c r="W428" s="186"/>
      <c r="X428" s="187"/>
      <c r="Y428" s="182"/>
      <c r="Z428" s="188"/>
      <c r="AA428" s="97"/>
      <c r="AB428" s="189"/>
    </row>
    <row r="429" spans="1:28">
      <c r="A429" s="116"/>
      <c r="B429" s="116"/>
      <c r="C429" s="116">
        <v>2</v>
      </c>
      <c r="D429" s="3"/>
      <c r="E429" s="204"/>
      <c r="F429" s="205"/>
      <c r="G429" s="180"/>
      <c r="H429" s="180"/>
      <c r="I429" s="180"/>
      <c r="J429" s="180"/>
      <c r="K429" s="180"/>
      <c r="L429" s="180"/>
      <c r="M429" s="181"/>
      <c r="N429" s="181"/>
      <c r="O429" s="182"/>
      <c r="P429" s="183"/>
      <c r="Q429" s="183"/>
      <c r="R429" s="184"/>
      <c r="S429" s="184"/>
      <c r="T429" s="181"/>
      <c r="U429" s="181"/>
      <c r="V429" s="185"/>
      <c r="W429" s="186"/>
      <c r="X429" s="187"/>
      <c r="Y429" s="182"/>
      <c r="Z429" s="188"/>
      <c r="AA429" s="97"/>
      <c r="AB429" s="189"/>
    </row>
    <row r="430" spans="1:28">
      <c r="A430" s="116"/>
      <c r="B430" s="116"/>
      <c r="C430" s="116">
        <v>2</v>
      </c>
      <c r="D430" s="3"/>
      <c r="E430" s="180"/>
      <c r="F430" s="205"/>
      <c r="G430" s="180"/>
      <c r="H430" s="180"/>
      <c r="I430" s="180"/>
      <c r="J430" s="180"/>
      <c r="K430" s="180"/>
      <c r="L430" s="180"/>
      <c r="M430" s="181"/>
      <c r="N430" s="181"/>
      <c r="O430" s="182"/>
      <c r="P430" s="183"/>
      <c r="Q430" s="183"/>
      <c r="R430" s="184"/>
      <c r="S430" s="184"/>
      <c r="T430" s="181"/>
      <c r="U430" s="181"/>
      <c r="V430" s="185"/>
      <c r="W430" s="186"/>
      <c r="X430" s="187"/>
      <c r="Y430" s="182"/>
      <c r="Z430" s="188"/>
      <c r="AA430" s="97"/>
      <c r="AB430" s="189"/>
    </row>
    <row r="431" spans="1:28">
      <c r="A431" s="116"/>
      <c r="B431" s="116"/>
      <c r="C431" s="116">
        <v>2</v>
      </c>
      <c r="D431" s="3"/>
      <c r="E431" s="180"/>
      <c r="F431" s="205"/>
      <c r="G431" s="180"/>
      <c r="H431" s="180"/>
      <c r="I431" s="180"/>
      <c r="J431" s="180"/>
      <c r="K431" s="180"/>
      <c r="L431" s="180"/>
      <c r="M431" s="181"/>
      <c r="N431" s="181"/>
      <c r="O431" s="182"/>
      <c r="P431" s="183"/>
      <c r="Q431" s="183"/>
      <c r="R431" s="184"/>
      <c r="S431" s="184"/>
      <c r="T431" s="181"/>
      <c r="U431" s="181"/>
      <c r="V431" s="185"/>
      <c r="W431" s="186"/>
      <c r="X431" s="187"/>
      <c r="Y431" s="182"/>
      <c r="Z431" s="188"/>
      <c r="AA431" s="97"/>
      <c r="AB431" s="189"/>
    </row>
    <row r="432" spans="1:28">
      <c r="A432" s="116"/>
      <c r="B432" s="116"/>
      <c r="C432" s="116">
        <v>2</v>
      </c>
      <c r="D432" s="3"/>
      <c r="E432" s="180"/>
      <c r="F432" s="205"/>
      <c r="G432" s="180"/>
      <c r="H432" s="180"/>
      <c r="I432" s="180"/>
      <c r="J432" s="180"/>
      <c r="K432" s="180"/>
      <c r="L432" s="180"/>
      <c r="M432" s="181"/>
      <c r="N432" s="181"/>
      <c r="O432" s="182"/>
      <c r="P432" s="183"/>
      <c r="Q432" s="183"/>
      <c r="R432" s="184"/>
      <c r="S432" s="184"/>
      <c r="T432" s="181"/>
      <c r="U432" s="181"/>
      <c r="V432" s="185"/>
      <c r="W432" s="186"/>
      <c r="X432" s="187"/>
      <c r="Y432" s="182"/>
      <c r="Z432" s="188"/>
      <c r="AA432" s="97"/>
      <c r="AB432" s="189"/>
    </row>
    <row r="433" spans="1:28">
      <c r="A433" s="116"/>
      <c r="B433" s="116"/>
      <c r="C433" s="116">
        <v>2</v>
      </c>
      <c r="D433" s="3"/>
      <c r="E433" s="180"/>
      <c r="F433" s="205"/>
      <c r="G433" s="180"/>
      <c r="H433" s="180"/>
      <c r="I433" s="180"/>
      <c r="J433" s="180"/>
      <c r="K433" s="180"/>
      <c r="L433" s="180"/>
      <c r="M433" s="181"/>
      <c r="N433" s="181"/>
      <c r="O433" s="182"/>
      <c r="P433" s="183"/>
      <c r="Q433" s="183"/>
      <c r="R433" s="184"/>
      <c r="S433" s="184"/>
      <c r="T433" s="181"/>
      <c r="U433" s="181"/>
      <c r="V433" s="185"/>
      <c r="W433" s="186"/>
      <c r="X433" s="187"/>
      <c r="Y433" s="182"/>
      <c r="Z433" s="188"/>
      <c r="AA433" s="97"/>
      <c r="AB433" s="189"/>
    </row>
    <row r="434" spans="1:28">
      <c r="A434" s="116"/>
      <c r="B434" s="116"/>
      <c r="C434" s="116">
        <v>2</v>
      </c>
      <c r="D434" s="3"/>
      <c r="E434" s="180"/>
      <c r="F434" s="205"/>
      <c r="G434" s="180"/>
      <c r="H434" s="180"/>
      <c r="I434" s="180"/>
      <c r="J434" s="180"/>
      <c r="K434" s="180"/>
      <c r="L434" s="180"/>
      <c r="M434" s="181"/>
      <c r="N434" s="181"/>
      <c r="O434" s="182"/>
      <c r="P434" s="183"/>
      <c r="Q434" s="183"/>
      <c r="R434" s="184"/>
      <c r="S434" s="184"/>
      <c r="T434" s="181"/>
      <c r="U434" s="181"/>
      <c r="V434" s="185"/>
      <c r="W434" s="186"/>
      <c r="X434" s="187"/>
      <c r="Y434" s="182"/>
      <c r="Z434" s="188"/>
      <c r="AA434" s="97"/>
      <c r="AB434" s="189"/>
    </row>
    <row r="435" spans="1:28">
      <c r="A435" s="116"/>
      <c r="B435" s="116"/>
      <c r="C435" s="116">
        <v>2</v>
      </c>
      <c r="D435" s="3"/>
      <c r="E435" s="180"/>
      <c r="F435" s="205"/>
      <c r="G435" s="180"/>
      <c r="H435" s="180"/>
      <c r="I435" s="180"/>
      <c r="J435" s="180"/>
      <c r="K435" s="180"/>
      <c r="L435" s="180"/>
      <c r="M435" s="181"/>
      <c r="N435" s="181"/>
      <c r="O435" s="182"/>
      <c r="P435" s="183"/>
      <c r="Q435" s="183"/>
      <c r="R435" s="184"/>
      <c r="S435" s="184"/>
      <c r="T435" s="181"/>
      <c r="U435" s="181"/>
      <c r="V435" s="185"/>
      <c r="W435" s="186"/>
      <c r="X435" s="187"/>
      <c r="Y435" s="182"/>
      <c r="Z435" s="188"/>
      <c r="AA435" s="97"/>
      <c r="AB435" s="189"/>
    </row>
    <row r="436" spans="1:28">
      <c r="A436" s="116"/>
      <c r="B436" s="116"/>
      <c r="C436" s="116">
        <v>2</v>
      </c>
      <c r="D436" s="3"/>
      <c r="E436" s="180"/>
      <c r="F436" s="205"/>
      <c r="G436" s="180"/>
      <c r="H436" s="180"/>
      <c r="I436" s="180"/>
      <c r="J436" s="180"/>
      <c r="K436" s="180"/>
      <c r="L436" s="180"/>
      <c r="M436" s="181"/>
      <c r="N436" s="181"/>
      <c r="O436" s="182"/>
      <c r="P436" s="183"/>
      <c r="Q436" s="183"/>
      <c r="R436" s="184"/>
      <c r="S436" s="184"/>
      <c r="T436" s="181"/>
      <c r="U436" s="181"/>
      <c r="V436" s="185"/>
      <c r="W436" s="186"/>
      <c r="X436" s="187"/>
      <c r="Y436" s="182"/>
      <c r="Z436" s="188"/>
      <c r="AA436" s="97"/>
      <c r="AB436" s="189"/>
    </row>
    <row r="437" spans="1:28">
      <c r="A437" s="116"/>
      <c r="B437" s="116"/>
      <c r="C437" s="116">
        <v>2</v>
      </c>
      <c r="D437" s="3"/>
      <c r="E437" s="180"/>
      <c r="F437" s="205"/>
      <c r="G437" s="180"/>
      <c r="H437" s="180"/>
      <c r="I437" s="180"/>
      <c r="J437" s="180"/>
      <c r="K437" s="180"/>
      <c r="L437" s="180"/>
      <c r="M437" s="181"/>
      <c r="N437" s="181"/>
      <c r="O437" s="182"/>
      <c r="P437" s="183"/>
      <c r="Q437" s="183"/>
      <c r="R437" s="184"/>
      <c r="S437" s="184"/>
      <c r="T437" s="181"/>
      <c r="U437" s="181"/>
      <c r="V437" s="185"/>
      <c r="W437" s="186"/>
      <c r="X437" s="187"/>
      <c r="Y437" s="182"/>
      <c r="Z437" s="188"/>
      <c r="AA437" s="97"/>
      <c r="AB437" s="189"/>
    </row>
    <row r="438" spans="1:28">
      <c r="A438" s="116"/>
      <c r="B438" s="116"/>
      <c r="C438" s="116">
        <v>2</v>
      </c>
      <c r="D438" s="3"/>
      <c r="E438" s="180"/>
      <c r="F438" s="205"/>
      <c r="G438" s="180"/>
      <c r="H438" s="180"/>
      <c r="I438" s="180"/>
      <c r="J438" s="180"/>
      <c r="K438" s="180"/>
      <c r="L438" s="180"/>
      <c r="M438" s="181"/>
      <c r="N438" s="181"/>
      <c r="O438" s="182"/>
      <c r="P438" s="183"/>
      <c r="Q438" s="183"/>
      <c r="R438" s="184"/>
      <c r="S438" s="184"/>
      <c r="T438" s="181"/>
      <c r="U438" s="181"/>
      <c r="V438" s="185"/>
      <c r="W438" s="186"/>
      <c r="X438" s="187"/>
      <c r="Y438" s="182"/>
      <c r="Z438" s="188"/>
      <c r="AA438" s="97"/>
      <c r="AB438" s="189"/>
    </row>
    <row r="439" spans="1:28">
      <c r="A439" s="116"/>
      <c r="B439" s="116"/>
      <c r="C439" s="116">
        <v>2</v>
      </c>
      <c r="D439" s="3"/>
      <c r="E439" s="180"/>
      <c r="F439" s="205"/>
      <c r="G439" s="180"/>
      <c r="H439" s="180"/>
      <c r="I439" s="180"/>
      <c r="J439" s="180"/>
      <c r="K439" s="180"/>
      <c r="L439" s="180"/>
      <c r="M439" s="181"/>
      <c r="N439" s="181"/>
      <c r="O439" s="182"/>
      <c r="P439" s="183"/>
      <c r="Q439" s="183"/>
      <c r="R439" s="184"/>
      <c r="S439" s="184"/>
      <c r="T439" s="181"/>
      <c r="U439" s="181"/>
      <c r="V439" s="185"/>
      <c r="W439" s="186"/>
      <c r="X439" s="187"/>
      <c r="Y439" s="182"/>
      <c r="Z439" s="188"/>
      <c r="AA439" s="97"/>
      <c r="AB439" s="189"/>
    </row>
    <row r="440" spans="1:28">
      <c r="A440" s="116"/>
      <c r="B440" s="116"/>
      <c r="C440" s="116">
        <v>2</v>
      </c>
      <c r="D440" s="3"/>
      <c r="E440" s="180"/>
      <c r="F440" s="205"/>
      <c r="G440" s="180"/>
      <c r="H440" s="180"/>
      <c r="I440" s="180"/>
      <c r="J440" s="180"/>
      <c r="K440" s="180"/>
      <c r="L440" s="180"/>
      <c r="M440" s="181"/>
      <c r="N440" s="181"/>
      <c r="O440" s="182"/>
      <c r="P440" s="183"/>
      <c r="Q440" s="183"/>
      <c r="R440" s="184"/>
      <c r="S440" s="184"/>
      <c r="T440" s="181"/>
      <c r="U440" s="181"/>
      <c r="V440" s="185"/>
      <c r="W440" s="186"/>
      <c r="X440" s="187"/>
      <c r="Y440" s="182"/>
      <c r="Z440" s="188"/>
      <c r="AA440" s="97"/>
      <c r="AB440" s="189"/>
    </row>
    <row r="441" spans="1:28">
      <c r="A441" s="116"/>
      <c r="B441" s="116"/>
      <c r="C441" s="116">
        <v>2</v>
      </c>
      <c r="D441" s="3"/>
      <c r="E441" s="180"/>
      <c r="F441" s="205"/>
      <c r="G441" s="180"/>
      <c r="H441" s="180"/>
      <c r="I441" s="180"/>
      <c r="J441" s="180"/>
      <c r="K441" s="180"/>
      <c r="L441" s="180"/>
      <c r="M441" s="181"/>
      <c r="N441" s="181"/>
      <c r="O441" s="182"/>
      <c r="P441" s="183"/>
      <c r="Q441" s="183"/>
      <c r="R441" s="184"/>
      <c r="S441" s="184"/>
      <c r="T441" s="181"/>
      <c r="U441" s="181"/>
      <c r="V441" s="185"/>
      <c r="W441" s="186"/>
      <c r="X441" s="187"/>
      <c r="Y441" s="182"/>
      <c r="Z441" s="188"/>
      <c r="AA441" s="97"/>
      <c r="AB441" s="189"/>
    </row>
    <row r="442" spans="1:28">
      <c r="A442" s="116"/>
      <c r="B442" s="116"/>
      <c r="C442" s="116">
        <v>2</v>
      </c>
      <c r="D442" s="3"/>
      <c r="E442" s="180"/>
      <c r="F442" s="180"/>
      <c r="G442" s="180"/>
      <c r="H442" s="180"/>
      <c r="I442" s="180"/>
      <c r="J442" s="180"/>
      <c r="K442" s="180"/>
      <c r="L442" s="180"/>
      <c r="M442" s="181"/>
      <c r="N442" s="181"/>
      <c r="O442" s="182"/>
      <c r="P442" s="183"/>
      <c r="Q442" s="183"/>
      <c r="R442" s="184"/>
      <c r="S442" s="184"/>
      <c r="T442" s="181"/>
      <c r="U442" s="181"/>
      <c r="V442" s="185"/>
      <c r="W442" s="186"/>
      <c r="X442" s="187"/>
      <c r="Y442" s="182"/>
      <c r="Z442" s="188"/>
      <c r="AA442" s="97"/>
      <c r="AB442" s="189"/>
    </row>
    <row r="443" spans="1:28">
      <c r="A443" s="116"/>
      <c r="B443" s="116"/>
      <c r="C443" s="116">
        <v>2</v>
      </c>
      <c r="D443" s="3"/>
      <c r="E443" s="180"/>
      <c r="F443" s="180"/>
      <c r="G443" s="180"/>
      <c r="H443" s="180"/>
      <c r="I443" s="180"/>
      <c r="J443" s="180"/>
      <c r="K443" s="180"/>
      <c r="L443" s="180"/>
      <c r="M443" s="181"/>
      <c r="N443" s="181"/>
      <c r="O443" s="182"/>
      <c r="P443" s="183"/>
      <c r="Q443" s="183"/>
      <c r="R443" s="184"/>
      <c r="S443" s="184"/>
      <c r="T443" s="181"/>
      <c r="U443" s="181"/>
      <c r="V443" s="185"/>
      <c r="W443" s="186"/>
      <c r="X443" s="187"/>
      <c r="Y443" s="182"/>
      <c r="Z443" s="188"/>
      <c r="AA443" s="97"/>
      <c r="AB443" s="189"/>
    </row>
    <row r="444" spans="1:28">
      <c r="A444" s="116"/>
      <c r="B444" s="116"/>
      <c r="C444" s="116">
        <v>2</v>
      </c>
      <c r="D444" s="3"/>
      <c r="E444" s="180"/>
      <c r="F444" s="180"/>
      <c r="G444" s="180"/>
      <c r="H444" s="180"/>
      <c r="I444" s="180"/>
      <c r="J444" s="180"/>
      <c r="K444" s="180"/>
      <c r="L444" s="180"/>
      <c r="M444" s="181"/>
      <c r="N444" s="181"/>
      <c r="O444" s="182"/>
      <c r="P444" s="183"/>
      <c r="Q444" s="183"/>
      <c r="R444" s="184"/>
      <c r="S444" s="184"/>
      <c r="T444" s="181"/>
      <c r="U444" s="181"/>
      <c r="V444" s="185"/>
      <c r="W444" s="186"/>
      <c r="X444" s="187"/>
      <c r="Y444" s="182"/>
      <c r="Z444" s="188"/>
      <c r="AA444" s="97"/>
      <c r="AB444" s="189"/>
    </row>
    <row r="445" spans="1:28">
      <c r="A445" s="116"/>
      <c r="B445" s="116"/>
      <c r="C445" s="116">
        <v>2</v>
      </c>
      <c r="D445" s="3"/>
      <c r="E445" s="180"/>
      <c r="F445" s="180"/>
      <c r="G445" s="180"/>
      <c r="H445" s="180"/>
      <c r="I445" s="180"/>
      <c r="J445" s="180"/>
      <c r="K445" s="180"/>
      <c r="L445" s="180"/>
      <c r="M445" s="181"/>
      <c r="N445" s="181"/>
      <c r="O445" s="182"/>
      <c r="P445" s="183"/>
      <c r="Q445" s="183"/>
      <c r="R445" s="184"/>
      <c r="S445" s="184"/>
      <c r="T445" s="181"/>
      <c r="U445" s="181"/>
      <c r="V445" s="185"/>
      <c r="W445" s="186"/>
      <c r="X445" s="187"/>
      <c r="Y445" s="182"/>
      <c r="Z445" s="188"/>
      <c r="AA445" s="97"/>
      <c r="AB445" s="189"/>
    </row>
    <row r="446" spans="1:28">
      <c r="A446" s="190"/>
      <c r="B446" s="190"/>
      <c r="C446" s="190">
        <v>0</v>
      </c>
      <c r="D446" s="191"/>
      <c r="E446" s="192"/>
      <c r="F446" s="192"/>
      <c r="G446" s="192"/>
      <c r="H446" s="192"/>
      <c r="I446" s="192"/>
      <c r="J446" s="192"/>
      <c r="K446" s="192"/>
      <c r="L446" s="192"/>
      <c r="M446" s="193"/>
      <c r="N446" s="193"/>
      <c r="O446" s="194"/>
      <c r="P446" s="195"/>
      <c r="Q446" s="195"/>
      <c r="R446" s="196"/>
      <c r="S446" s="196"/>
      <c r="T446" s="193"/>
      <c r="U446" s="193"/>
      <c r="V446" s="197"/>
      <c r="W446" s="198"/>
      <c r="X446" s="199"/>
      <c r="Y446" s="194"/>
      <c r="Z446" s="200"/>
      <c r="AA446" s="201"/>
      <c r="AB446" s="202"/>
    </row>
    <row r="447" spans="1:28">
      <c r="A447" s="190"/>
      <c r="B447" s="190"/>
      <c r="C447" s="190"/>
      <c r="D447" s="191"/>
      <c r="E447" s="192"/>
      <c r="F447" s="192"/>
      <c r="G447" s="192"/>
      <c r="H447" s="192"/>
      <c r="I447" s="192"/>
      <c r="J447" s="192"/>
      <c r="K447" s="192"/>
      <c r="L447" s="192"/>
      <c r="M447" s="193"/>
      <c r="N447" s="193"/>
      <c r="O447" s="194"/>
      <c r="P447" s="195"/>
      <c r="Q447" s="195"/>
      <c r="R447" s="196"/>
      <c r="S447" s="196"/>
      <c r="T447" s="193"/>
      <c r="U447" s="193"/>
      <c r="V447" s="197"/>
      <c r="W447" s="198"/>
      <c r="X447" s="199"/>
      <c r="Y447" s="194"/>
      <c r="Z447" s="200"/>
      <c r="AA447" s="201"/>
      <c r="AB447" s="202"/>
    </row>
    <row r="448" spans="1:28">
      <c r="A448" s="116"/>
      <c r="B448" s="116"/>
      <c r="C448" s="116"/>
      <c r="D448" s="3"/>
      <c r="E448" s="180"/>
      <c r="F448" s="180"/>
      <c r="G448" s="180"/>
      <c r="H448" s="180"/>
      <c r="I448" s="180"/>
      <c r="J448" s="180"/>
      <c r="K448" s="180"/>
      <c r="L448" s="180"/>
      <c r="M448" s="181"/>
      <c r="N448" s="181"/>
      <c r="O448" s="182"/>
      <c r="P448" s="183"/>
      <c r="Q448" s="183"/>
      <c r="R448" s="184"/>
      <c r="S448" s="184"/>
      <c r="T448" s="181"/>
      <c r="U448" s="181"/>
      <c r="V448" s="185"/>
      <c r="W448" s="186"/>
      <c r="X448" s="187"/>
      <c r="Y448" s="182"/>
      <c r="Z448" s="188"/>
      <c r="AA448" s="97"/>
      <c r="AB448" s="189"/>
    </row>
    <row r="449" spans="1:28">
      <c r="A449" s="116"/>
      <c r="B449" s="116"/>
      <c r="C449" s="116"/>
      <c r="D449" s="3"/>
      <c r="E449" s="180"/>
      <c r="F449" s="180"/>
      <c r="G449" s="180"/>
      <c r="H449" s="180"/>
      <c r="I449" s="180"/>
      <c r="J449" s="180"/>
      <c r="K449" s="180"/>
      <c r="L449" s="180"/>
      <c r="M449" s="181"/>
      <c r="N449" s="181"/>
      <c r="O449" s="182"/>
      <c r="P449" s="183"/>
      <c r="Q449" s="183"/>
      <c r="R449" s="184"/>
      <c r="S449" s="184"/>
      <c r="T449" s="181"/>
      <c r="U449" s="181"/>
      <c r="V449" s="185"/>
      <c r="W449" s="186"/>
      <c r="X449" s="187"/>
      <c r="Y449" s="182"/>
      <c r="Z449" s="188"/>
      <c r="AA449" s="97"/>
      <c r="AB449" s="189"/>
    </row>
    <row r="450" spans="1:28">
      <c r="A450" s="116"/>
      <c r="B450" s="116"/>
      <c r="C450" s="116"/>
      <c r="D450" s="3"/>
      <c r="E450" s="180"/>
      <c r="F450" s="180"/>
      <c r="G450" s="180"/>
      <c r="H450" s="180"/>
      <c r="I450" s="180"/>
      <c r="J450" s="180"/>
      <c r="K450" s="180"/>
      <c r="L450" s="180"/>
      <c r="M450" s="181"/>
      <c r="N450" s="181"/>
      <c r="O450" s="182"/>
      <c r="P450" s="183"/>
      <c r="Q450" s="183"/>
      <c r="R450" s="184"/>
      <c r="S450" s="184"/>
      <c r="T450" s="181"/>
      <c r="U450" s="181"/>
      <c r="V450" s="185"/>
      <c r="W450" s="186"/>
      <c r="X450" s="187"/>
      <c r="Y450" s="182"/>
      <c r="Z450" s="188"/>
      <c r="AA450" s="97"/>
      <c r="AB450" s="189"/>
    </row>
    <row r="451" spans="1:28">
      <c r="A451" s="116"/>
      <c r="B451" s="116"/>
      <c r="C451" s="116"/>
      <c r="D451" s="3"/>
      <c r="E451" s="180"/>
      <c r="F451" s="180"/>
      <c r="G451" s="180"/>
      <c r="H451" s="180"/>
      <c r="I451" s="180"/>
      <c r="J451" s="180"/>
      <c r="K451" s="180"/>
      <c r="L451" s="180"/>
      <c r="M451" s="181"/>
      <c r="N451" s="181"/>
      <c r="O451" s="182"/>
      <c r="P451" s="183"/>
      <c r="Q451" s="183"/>
      <c r="R451" s="184"/>
      <c r="S451" s="184"/>
      <c r="T451" s="181"/>
      <c r="U451" s="181"/>
      <c r="V451" s="185"/>
      <c r="W451" s="186"/>
      <c r="X451" s="187"/>
      <c r="Y451" s="182"/>
      <c r="Z451" s="188"/>
      <c r="AA451" s="97"/>
      <c r="AB451" s="189"/>
    </row>
    <row r="452" spans="1:28">
      <c r="A452" s="116"/>
      <c r="B452" s="116"/>
      <c r="C452" s="116"/>
      <c r="D452" s="3"/>
      <c r="E452" s="180"/>
      <c r="F452" s="180"/>
      <c r="G452" s="180"/>
      <c r="H452" s="180"/>
      <c r="I452" s="180"/>
      <c r="J452" s="180"/>
      <c r="K452" s="180"/>
      <c r="L452" s="180"/>
      <c r="M452" s="181"/>
      <c r="N452" s="181"/>
      <c r="O452" s="182"/>
      <c r="P452" s="183"/>
      <c r="Q452" s="183"/>
      <c r="R452" s="184"/>
      <c r="S452" s="184"/>
      <c r="T452" s="181"/>
      <c r="U452" s="181"/>
      <c r="V452" s="185"/>
      <c r="W452" s="186"/>
      <c r="X452" s="187"/>
      <c r="Y452" s="182"/>
      <c r="Z452" s="188"/>
      <c r="AA452" s="97"/>
      <c r="AB452" s="189"/>
    </row>
    <row r="453" spans="1:28">
      <c r="A453" s="116"/>
      <c r="B453" s="116"/>
      <c r="C453" s="116"/>
      <c r="D453" s="3"/>
      <c r="E453" s="180"/>
      <c r="F453" s="180"/>
      <c r="G453" s="180"/>
      <c r="H453" s="180"/>
      <c r="I453" s="180"/>
      <c r="J453" s="180"/>
      <c r="K453" s="180"/>
      <c r="L453" s="180"/>
      <c r="M453" s="181"/>
      <c r="N453" s="181"/>
      <c r="O453" s="182"/>
      <c r="P453" s="183"/>
      <c r="Q453" s="183"/>
      <c r="R453" s="184"/>
      <c r="S453" s="184"/>
      <c r="T453" s="181"/>
      <c r="U453" s="181"/>
      <c r="V453" s="185"/>
      <c r="W453" s="186"/>
      <c r="X453" s="187"/>
      <c r="Y453" s="182"/>
      <c r="Z453" s="188"/>
      <c r="AA453" s="97"/>
      <c r="AB453" s="189"/>
    </row>
    <row r="454" spans="1:28">
      <c r="A454" s="116"/>
      <c r="B454" s="116"/>
      <c r="C454" s="116"/>
      <c r="D454" s="3"/>
      <c r="E454" s="180"/>
      <c r="F454" s="180"/>
      <c r="G454" s="180"/>
      <c r="H454" s="180"/>
      <c r="I454" s="180"/>
      <c r="J454" s="180"/>
      <c r="K454" s="180"/>
      <c r="L454" s="180"/>
      <c r="M454" s="181"/>
      <c r="N454" s="181"/>
      <c r="O454" s="182"/>
      <c r="P454" s="183"/>
      <c r="Q454" s="183"/>
      <c r="R454" s="184"/>
      <c r="S454" s="184"/>
      <c r="T454" s="181"/>
      <c r="U454" s="181"/>
      <c r="V454" s="185"/>
      <c r="W454" s="186"/>
      <c r="X454" s="187"/>
      <c r="Y454" s="182"/>
      <c r="Z454" s="188"/>
      <c r="AA454" s="97"/>
      <c r="AB454" s="189"/>
    </row>
    <row r="455" spans="1:28">
      <c r="A455" s="116"/>
      <c r="B455" s="116"/>
      <c r="C455" s="116"/>
      <c r="D455" s="3"/>
      <c r="E455" s="180"/>
      <c r="F455" s="180"/>
      <c r="G455" s="180"/>
      <c r="H455" s="180"/>
      <c r="I455" s="180"/>
      <c r="J455" s="180"/>
      <c r="K455" s="180"/>
      <c r="L455" s="180"/>
      <c r="M455" s="181"/>
      <c r="N455" s="181"/>
      <c r="O455" s="182"/>
      <c r="P455" s="183"/>
      <c r="Q455" s="183"/>
      <c r="R455" s="184"/>
      <c r="S455" s="184"/>
      <c r="T455" s="181"/>
      <c r="U455" s="181"/>
      <c r="V455" s="185"/>
      <c r="W455" s="186"/>
      <c r="X455" s="187"/>
      <c r="Y455" s="182"/>
      <c r="Z455" s="188"/>
      <c r="AA455" s="97"/>
      <c r="AB455" s="189"/>
    </row>
    <row r="456" spans="1:28">
      <c r="A456" s="116"/>
      <c r="B456" s="116"/>
      <c r="C456" s="116"/>
      <c r="D456" s="3"/>
      <c r="E456" s="180"/>
      <c r="F456" s="180"/>
      <c r="G456" s="180"/>
      <c r="H456" s="180"/>
      <c r="I456" s="180"/>
      <c r="J456" s="180"/>
      <c r="K456" s="180"/>
      <c r="L456" s="180"/>
      <c r="M456" s="181"/>
      <c r="N456" s="181"/>
      <c r="O456" s="182"/>
      <c r="P456" s="183"/>
      <c r="Q456" s="183"/>
      <c r="R456" s="184"/>
      <c r="S456" s="184"/>
      <c r="T456" s="181"/>
      <c r="U456" s="181"/>
      <c r="V456" s="185"/>
      <c r="W456" s="186"/>
      <c r="X456" s="187"/>
      <c r="Y456" s="182"/>
      <c r="Z456" s="188"/>
      <c r="AA456" s="97"/>
      <c r="AB456" s="189"/>
    </row>
    <row r="457" spans="1:28">
      <c r="A457" s="116"/>
      <c r="B457" s="116"/>
      <c r="C457" s="116"/>
      <c r="D457" s="3"/>
      <c r="E457" s="180"/>
      <c r="F457" s="180"/>
      <c r="G457" s="180"/>
      <c r="H457" s="180"/>
      <c r="I457" s="180"/>
      <c r="J457" s="180"/>
      <c r="K457" s="180"/>
      <c r="L457" s="180"/>
      <c r="M457" s="181"/>
      <c r="N457" s="181"/>
      <c r="O457" s="182"/>
      <c r="P457" s="183"/>
      <c r="Q457" s="183"/>
      <c r="R457" s="184"/>
      <c r="S457" s="184"/>
      <c r="T457" s="181"/>
      <c r="U457" s="181"/>
      <c r="V457" s="185"/>
      <c r="W457" s="186"/>
      <c r="X457" s="187"/>
      <c r="Y457" s="182"/>
      <c r="Z457" s="188"/>
      <c r="AA457" s="97"/>
      <c r="AB457" s="189"/>
    </row>
    <row r="458" spans="1:28">
      <c r="A458" s="116"/>
      <c r="B458" s="116"/>
      <c r="C458" s="116"/>
      <c r="D458" s="3"/>
      <c r="E458" s="180"/>
      <c r="F458" s="180"/>
      <c r="G458" s="180"/>
      <c r="H458" s="180"/>
      <c r="I458" s="180"/>
      <c r="J458" s="180"/>
      <c r="K458" s="180"/>
      <c r="L458" s="180"/>
      <c r="M458" s="181"/>
      <c r="N458" s="181"/>
      <c r="O458" s="182"/>
      <c r="P458" s="183"/>
      <c r="Q458" s="183"/>
      <c r="R458" s="184"/>
      <c r="S458" s="184"/>
      <c r="T458" s="181"/>
      <c r="U458" s="181"/>
      <c r="V458" s="185"/>
      <c r="W458" s="186"/>
      <c r="X458" s="187"/>
      <c r="Y458" s="182"/>
      <c r="Z458" s="188"/>
      <c r="AA458" s="97"/>
      <c r="AB458" s="189"/>
    </row>
    <row r="459" spans="1:28">
      <c r="A459" s="116"/>
      <c r="B459" s="116"/>
      <c r="C459" s="116"/>
      <c r="D459" s="3"/>
      <c r="E459" s="180"/>
      <c r="F459" s="180"/>
      <c r="G459" s="180"/>
      <c r="H459" s="180"/>
      <c r="I459" s="180"/>
      <c r="J459" s="180"/>
      <c r="K459" s="180"/>
      <c r="L459" s="180"/>
      <c r="M459" s="181"/>
      <c r="N459" s="181"/>
      <c r="O459" s="182"/>
      <c r="P459" s="183"/>
      <c r="Q459" s="183"/>
      <c r="R459" s="184"/>
      <c r="S459" s="184"/>
      <c r="T459" s="181"/>
      <c r="U459" s="181"/>
      <c r="V459" s="185"/>
      <c r="W459" s="186"/>
      <c r="X459" s="187"/>
      <c r="Y459" s="182"/>
      <c r="Z459" s="188"/>
      <c r="AA459" s="97"/>
      <c r="AB459" s="189"/>
    </row>
    <row r="460" spans="1:28">
      <c r="A460" s="116"/>
      <c r="B460" s="116"/>
      <c r="C460" s="116"/>
      <c r="D460" s="3"/>
      <c r="E460" s="180"/>
      <c r="F460" s="180"/>
      <c r="G460" s="180"/>
      <c r="H460" s="180"/>
      <c r="I460" s="180"/>
      <c r="J460" s="180"/>
      <c r="K460" s="180"/>
      <c r="L460" s="180"/>
      <c r="M460" s="181"/>
      <c r="N460" s="181"/>
      <c r="O460" s="182"/>
      <c r="P460" s="183"/>
      <c r="Q460" s="183"/>
      <c r="R460" s="184"/>
      <c r="S460" s="184"/>
      <c r="T460" s="181"/>
      <c r="U460" s="181"/>
      <c r="V460" s="185"/>
      <c r="W460" s="186"/>
      <c r="X460" s="187"/>
      <c r="Y460" s="182"/>
      <c r="Z460" s="188"/>
      <c r="AA460" s="97"/>
      <c r="AB460" s="189"/>
    </row>
    <row r="461" spans="1:28">
      <c r="A461" s="116"/>
      <c r="B461" s="116"/>
      <c r="C461" s="116"/>
      <c r="D461" s="3"/>
      <c r="E461" s="180"/>
      <c r="F461" s="180"/>
      <c r="G461" s="180"/>
      <c r="H461" s="180"/>
      <c r="I461" s="180"/>
      <c r="J461" s="180"/>
      <c r="K461" s="180"/>
      <c r="L461" s="180"/>
      <c r="M461" s="181"/>
      <c r="N461" s="181"/>
      <c r="O461" s="182"/>
      <c r="P461" s="183"/>
      <c r="Q461" s="183"/>
      <c r="R461" s="184"/>
      <c r="S461" s="184"/>
      <c r="T461" s="181"/>
      <c r="U461" s="181"/>
      <c r="V461" s="185"/>
      <c r="W461" s="186"/>
      <c r="X461" s="187"/>
      <c r="Y461" s="182"/>
      <c r="Z461" s="188"/>
      <c r="AA461" s="97"/>
      <c r="AB461" s="189"/>
    </row>
    <row r="462" spans="1:28">
      <c r="A462" s="116"/>
      <c r="B462" s="116"/>
      <c r="C462" s="116"/>
      <c r="D462" s="3"/>
      <c r="E462" s="180"/>
      <c r="F462" s="180"/>
      <c r="G462" s="180"/>
      <c r="H462" s="180"/>
      <c r="I462" s="180"/>
      <c r="J462" s="180"/>
      <c r="K462" s="180"/>
      <c r="L462" s="180"/>
      <c r="M462" s="181"/>
      <c r="N462" s="181"/>
      <c r="O462" s="182"/>
      <c r="P462" s="183"/>
      <c r="Q462" s="183"/>
      <c r="R462" s="184"/>
      <c r="S462" s="184"/>
      <c r="T462" s="181"/>
      <c r="U462" s="181"/>
      <c r="V462" s="185"/>
      <c r="W462" s="186"/>
      <c r="X462" s="187"/>
      <c r="Y462" s="182"/>
      <c r="Z462" s="188"/>
      <c r="AA462" s="97"/>
      <c r="AB462" s="189"/>
    </row>
    <row r="463" spans="1:28">
      <c r="A463" s="116"/>
      <c r="B463" s="116"/>
      <c r="C463" s="116"/>
      <c r="D463" s="3"/>
      <c r="E463" s="180"/>
      <c r="F463" s="180"/>
      <c r="G463" s="180"/>
      <c r="H463" s="180"/>
      <c r="I463" s="180"/>
      <c r="J463" s="180"/>
      <c r="K463" s="180"/>
      <c r="L463" s="180"/>
      <c r="M463" s="181"/>
      <c r="N463" s="181"/>
      <c r="O463" s="182"/>
      <c r="P463" s="183"/>
      <c r="Q463" s="183"/>
      <c r="R463" s="184"/>
      <c r="S463" s="184"/>
      <c r="T463" s="181"/>
      <c r="U463" s="181"/>
      <c r="V463" s="185"/>
      <c r="W463" s="186"/>
      <c r="X463" s="187"/>
      <c r="Y463" s="182"/>
      <c r="Z463" s="188"/>
      <c r="AA463" s="97"/>
      <c r="AB463" s="189"/>
    </row>
    <row r="464" spans="1:28">
      <c r="A464" s="116"/>
      <c r="B464" s="116"/>
      <c r="C464" s="116"/>
      <c r="D464" s="3"/>
      <c r="E464" s="180"/>
      <c r="F464" s="180"/>
      <c r="G464" s="180"/>
      <c r="H464" s="180"/>
      <c r="I464" s="180"/>
      <c r="J464" s="180"/>
      <c r="K464" s="180"/>
      <c r="L464" s="180"/>
      <c r="M464" s="181"/>
      <c r="N464" s="181"/>
      <c r="O464" s="182"/>
      <c r="P464" s="183"/>
      <c r="Q464" s="183"/>
      <c r="R464" s="184"/>
      <c r="S464" s="184"/>
      <c r="T464" s="181"/>
      <c r="U464" s="181"/>
      <c r="V464" s="185"/>
      <c r="W464" s="186"/>
      <c r="X464" s="187"/>
      <c r="Y464" s="182"/>
      <c r="Z464" s="188"/>
      <c r="AA464" s="97"/>
      <c r="AB464" s="189"/>
    </row>
    <row r="465" spans="1:28">
      <c r="A465" s="116"/>
      <c r="B465" s="116"/>
      <c r="C465" s="116"/>
      <c r="D465" s="3"/>
      <c r="E465" s="180"/>
      <c r="F465" s="180"/>
      <c r="G465" s="180"/>
      <c r="H465" s="180"/>
      <c r="I465" s="180"/>
      <c r="J465" s="180"/>
      <c r="K465" s="180"/>
      <c r="L465" s="180"/>
      <c r="M465" s="181"/>
      <c r="N465" s="181"/>
      <c r="O465" s="182"/>
      <c r="P465" s="183"/>
      <c r="Q465" s="183"/>
      <c r="R465" s="184"/>
      <c r="S465" s="184"/>
      <c r="T465" s="181"/>
      <c r="U465" s="181"/>
      <c r="V465" s="185"/>
      <c r="W465" s="186"/>
      <c r="X465" s="187"/>
      <c r="Y465" s="182"/>
      <c r="Z465" s="188"/>
      <c r="AA465" s="97"/>
      <c r="AB465" s="189"/>
    </row>
    <row r="466" spans="1:28">
      <c r="A466" s="116"/>
      <c r="B466" s="116"/>
      <c r="C466" s="116"/>
      <c r="D466" s="3"/>
      <c r="E466" s="180"/>
      <c r="F466" s="180"/>
      <c r="G466" s="180"/>
      <c r="H466" s="180"/>
      <c r="I466" s="180"/>
      <c r="J466" s="180"/>
      <c r="K466" s="180"/>
      <c r="L466" s="180"/>
      <c r="M466" s="181"/>
      <c r="N466" s="181"/>
      <c r="O466" s="182"/>
      <c r="P466" s="183"/>
      <c r="Q466" s="183"/>
      <c r="R466" s="184"/>
      <c r="S466" s="184"/>
      <c r="T466" s="181"/>
      <c r="U466" s="181"/>
      <c r="V466" s="185"/>
      <c r="W466" s="186"/>
      <c r="X466" s="187"/>
      <c r="Y466" s="182"/>
      <c r="Z466" s="188"/>
      <c r="AA466" s="97"/>
      <c r="AB466" s="189"/>
    </row>
    <row r="467" spans="1:28">
      <c r="A467" s="116"/>
      <c r="B467" s="116"/>
      <c r="C467" s="116"/>
      <c r="D467" s="3"/>
      <c r="E467" s="180"/>
      <c r="F467" s="180"/>
      <c r="G467" s="180"/>
      <c r="H467" s="180"/>
      <c r="I467" s="180"/>
      <c r="J467" s="180"/>
      <c r="K467" s="180"/>
      <c r="L467" s="180"/>
      <c r="M467" s="181"/>
      <c r="N467" s="181"/>
      <c r="O467" s="182"/>
      <c r="P467" s="183"/>
      <c r="Q467" s="183"/>
      <c r="R467" s="184"/>
      <c r="S467" s="184"/>
      <c r="T467" s="181"/>
      <c r="U467" s="181"/>
      <c r="V467" s="185"/>
      <c r="W467" s="186"/>
      <c r="X467" s="187"/>
      <c r="Y467" s="182"/>
      <c r="Z467" s="188"/>
      <c r="AA467" s="97"/>
      <c r="AB467" s="189"/>
    </row>
    <row r="468" spans="1:28">
      <c r="A468" s="116"/>
      <c r="B468" s="116"/>
      <c r="C468" s="116"/>
      <c r="D468" s="3"/>
      <c r="E468" s="180"/>
      <c r="F468" s="180"/>
      <c r="G468" s="180"/>
      <c r="H468" s="180"/>
      <c r="I468" s="180"/>
      <c r="J468" s="180"/>
      <c r="K468" s="180"/>
      <c r="L468" s="180"/>
      <c r="M468" s="181"/>
      <c r="N468" s="181"/>
      <c r="O468" s="182"/>
      <c r="P468" s="183"/>
      <c r="Q468" s="183"/>
      <c r="R468" s="184"/>
      <c r="S468" s="184"/>
      <c r="T468" s="181"/>
      <c r="U468" s="181"/>
      <c r="V468" s="185"/>
      <c r="W468" s="186"/>
      <c r="X468" s="187"/>
      <c r="Y468" s="182"/>
      <c r="Z468" s="188"/>
      <c r="AA468" s="97"/>
      <c r="AB468" s="189"/>
    </row>
    <row r="469" spans="1:28">
      <c r="A469" s="116"/>
      <c r="B469" s="116"/>
      <c r="C469" s="116"/>
      <c r="D469" s="3"/>
      <c r="E469" s="180"/>
      <c r="F469" s="180"/>
      <c r="G469" s="180"/>
      <c r="H469" s="180"/>
      <c r="I469" s="180"/>
      <c r="J469" s="180"/>
      <c r="K469" s="180"/>
      <c r="L469" s="180"/>
      <c r="M469" s="181"/>
      <c r="N469" s="181"/>
      <c r="O469" s="182"/>
      <c r="P469" s="183"/>
      <c r="Q469" s="183"/>
      <c r="R469" s="184"/>
      <c r="S469" s="184"/>
      <c r="T469" s="181"/>
      <c r="U469" s="181"/>
      <c r="V469" s="185"/>
      <c r="W469" s="186"/>
      <c r="X469" s="187"/>
      <c r="Y469" s="182"/>
      <c r="Z469" s="188"/>
      <c r="AA469" s="97"/>
      <c r="AB469" s="189"/>
    </row>
    <row r="470" spans="1:28">
      <c r="A470" s="116"/>
      <c r="B470" s="116"/>
      <c r="C470" s="116"/>
      <c r="D470" s="3"/>
      <c r="E470" s="180"/>
      <c r="F470" s="180"/>
      <c r="G470" s="180"/>
      <c r="H470" s="180"/>
      <c r="I470" s="180"/>
      <c r="J470" s="180"/>
      <c r="K470" s="180"/>
      <c r="L470" s="180"/>
      <c r="M470" s="181"/>
      <c r="N470" s="181"/>
      <c r="O470" s="182"/>
      <c r="P470" s="183"/>
      <c r="Q470" s="183"/>
      <c r="R470" s="184"/>
      <c r="S470" s="184"/>
      <c r="T470" s="181"/>
      <c r="U470" s="181"/>
      <c r="V470" s="185"/>
      <c r="W470" s="186"/>
      <c r="X470" s="187"/>
      <c r="Y470" s="182"/>
      <c r="Z470" s="188"/>
      <c r="AA470" s="97"/>
      <c r="AB470" s="189"/>
    </row>
    <row r="471" spans="1:28">
      <c r="A471" s="116"/>
      <c r="B471" s="116"/>
      <c r="C471" s="116"/>
      <c r="D471" s="3"/>
      <c r="E471" s="180"/>
      <c r="F471" s="180"/>
      <c r="G471" s="180"/>
      <c r="H471" s="180"/>
      <c r="I471" s="180"/>
      <c r="J471" s="180"/>
      <c r="K471" s="180"/>
      <c r="L471" s="180"/>
      <c r="M471" s="181"/>
      <c r="N471" s="181"/>
      <c r="O471" s="182"/>
      <c r="P471" s="183"/>
      <c r="Q471" s="183"/>
      <c r="R471" s="184"/>
      <c r="S471" s="184"/>
      <c r="T471" s="181"/>
      <c r="U471" s="181"/>
      <c r="V471" s="185"/>
      <c r="W471" s="186"/>
      <c r="X471" s="187"/>
      <c r="Y471" s="182"/>
      <c r="Z471" s="188"/>
      <c r="AA471" s="97"/>
      <c r="AB471" s="189"/>
    </row>
    <row r="472" spans="1:28">
      <c r="A472" s="116"/>
      <c r="B472" s="116"/>
      <c r="C472" s="116"/>
      <c r="D472" s="3"/>
      <c r="E472" s="180"/>
      <c r="F472" s="180"/>
      <c r="G472" s="180"/>
      <c r="H472" s="180"/>
      <c r="I472" s="180"/>
      <c r="J472" s="180"/>
      <c r="K472" s="180"/>
      <c r="L472" s="180"/>
      <c r="M472" s="181"/>
      <c r="N472" s="181"/>
      <c r="O472" s="182"/>
      <c r="P472" s="183"/>
      <c r="Q472" s="183"/>
      <c r="R472" s="184"/>
      <c r="S472" s="184"/>
      <c r="T472" s="181"/>
      <c r="U472" s="181"/>
      <c r="V472" s="185"/>
      <c r="W472" s="186"/>
      <c r="X472" s="187"/>
      <c r="Y472" s="182"/>
      <c r="Z472" s="188"/>
      <c r="AA472" s="97"/>
      <c r="AB472" s="189"/>
    </row>
    <row r="473" spans="1:28">
      <c r="A473" s="116"/>
      <c r="B473" s="116"/>
      <c r="C473" s="116"/>
      <c r="D473" s="3"/>
      <c r="E473" s="180"/>
      <c r="F473" s="180"/>
      <c r="G473" s="180"/>
      <c r="H473" s="180"/>
      <c r="I473" s="180"/>
      <c r="J473" s="180"/>
      <c r="K473" s="180"/>
      <c r="L473" s="180"/>
      <c r="M473" s="181"/>
      <c r="N473" s="181"/>
      <c r="O473" s="182"/>
      <c r="P473" s="183"/>
      <c r="Q473" s="183"/>
      <c r="R473" s="184"/>
      <c r="S473" s="184"/>
      <c r="T473" s="181"/>
      <c r="U473" s="181"/>
      <c r="V473" s="185"/>
      <c r="W473" s="186"/>
      <c r="X473" s="187"/>
      <c r="Y473" s="182"/>
      <c r="Z473" s="188"/>
      <c r="AA473" s="97"/>
      <c r="AB473" s="189"/>
    </row>
    <row r="474" spans="1:28">
      <c r="A474" s="116"/>
      <c r="B474" s="116"/>
      <c r="C474" s="116"/>
      <c r="D474" s="3"/>
      <c r="E474" s="180"/>
      <c r="F474" s="180"/>
      <c r="G474" s="180"/>
      <c r="H474" s="180"/>
      <c r="I474" s="180"/>
      <c r="J474" s="180"/>
      <c r="K474" s="180"/>
      <c r="L474" s="180"/>
      <c r="M474" s="181"/>
      <c r="N474" s="181"/>
      <c r="O474" s="182"/>
      <c r="P474" s="183"/>
      <c r="Q474" s="183"/>
      <c r="R474" s="184"/>
      <c r="S474" s="184"/>
      <c r="T474" s="181"/>
      <c r="U474" s="181"/>
      <c r="V474" s="185"/>
      <c r="W474" s="186"/>
      <c r="X474" s="187"/>
      <c r="Y474" s="182"/>
      <c r="Z474" s="188"/>
      <c r="AA474" s="97"/>
      <c r="AB474" s="189"/>
    </row>
    <row r="475" spans="1:28">
      <c r="A475" s="116"/>
      <c r="B475" s="116"/>
      <c r="C475" s="116"/>
      <c r="D475" s="3"/>
      <c r="E475" s="180"/>
      <c r="F475" s="180"/>
      <c r="G475" s="180"/>
      <c r="H475" s="180"/>
      <c r="I475" s="180"/>
      <c r="J475" s="180"/>
      <c r="K475" s="180"/>
      <c r="L475" s="180"/>
      <c r="M475" s="181"/>
      <c r="N475" s="181"/>
      <c r="O475" s="182"/>
      <c r="P475" s="183"/>
      <c r="Q475" s="183"/>
      <c r="R475" s="184"/>
      <c r="S475" s="184"/>
      <c r="T475" s="181"/>
      <c r="U475" s="181"/>
      <c r="V475" s="185"/>
      <c r="W475" s="186"/>
      <c r="X475" s="187"/>
      <c r="Y475" s="182"/>
      <c r="Z475" s="188"/>
      <c r="AA475" s="97"/>
      <c r="AB475" s="189"/>
    </row>
    <row r="476" spans="1:28">
      <c r="A476" s="116"/>
      <c r="B476" s="116"/>
      <c r="C476" s="116"/>
      <c r="D476" s="3"/>
      <c r="E476" s="180"/>
      <c r="F476" s="180"/>
      <c r="G476" s="180"/>
      <c r="H476" s="180"/>
      <c r="I476" s="180"/>
      <c r="J476" s="180"/>
      <c r="K476" s="180"/>
      <c r="L476" s="180"/>
      <c r="M476" s="181"/>
      <c r="N476" s="181"/>
      <c r="O476" s="182"/>
      <c r="P476" s="183"/>
      <c r="Q476" s="183"/>
      <c r="R476" s="184"/>
      <c r="S476" s="184"/>
      <c r="T476" s="181"/>
      <c r="U476" s="181"/>
      <c r="V476" s="185"/>
      <c r="W476" s="186"/>
      <c r="X476" s="187"/>
      <c r="Y476" s="182"/>
      <c r="Z476" s="188"/>
      <c r="AA476" s="97"/>
      <c r="AB476" s="189"/>
    </row>
    <row r="477" spans="1:28">
      <c r="A477" s="166"/>
      <c r="B477" s="166"/>
      <c r="C477" s="166"/>
      <c r="D477" s="167"/>
      <c r="E477" s="168"/>
      <c r="F477" s="168"/>
      <c r="G477" s="168"/>
      <c r="H477" s="168"/>
      <c r="I477" s="168"/>
      <c r="J477" s="168"/>
      <c r="K477" s="168"/>
      <c r="L477" s="168"/>
      <c r="M477" s="169"/>
      <c r="N477" s="169"/>
      <c r="O477" s="170"/>
      <c r="P477" s="171"/>
      <c r="Q477" s="171"/>
      <c r="R477" s="172"/>
      <c r="S477" s="172"/>
      <c r="T477" s="169"/>
      <c r="U477" s="169"/>
      <c r="V477" s="173"/>
      <c r="W477" s="174"/>
      <c r="X477" s="175"/>
      <c r="Y477" s="170"/>
      <c r="Z477" s="176"/>
      <c r="AA477" s="177"/>
      <c r="AB477" s="178"/>
    </row>
  </sheetData>
  <sheetProtection formatCells="0" formatColumns="0" formatRows="0" insertColumns="0" insertRows="0" insertHyperlinks="0" deleteColumns="0" deleteRows="0" sort="0" autoFilter="0" pivotTables="0"/>
  <dataConsolidate/>
  <mergeCells count="30">
    <mergeCell ref="A3:A4"/>
    <mergeCell ref="B3:B4"/>
    <mergeCell ref="C3:C4"/>
    <mergeCell ref="D3:D4"/>
    <mergeCell ref="E3:K4"/>
    <mergeCell ref="D2:F2"/>
    <mergeCell ref="L3:L4"/>
    <mergeCell ref="M3:M4"/>
    <mergeCell ref="N3:N4"/>
    <mergeCell ref="Z3:Z4"/>
    <mergeCell ref="O3:O4"/>
    <mergeCell ref="P3:P4"/>
    <mergeCell ref="Q3:Q4"/>
    <mergeCell ref="R3:R4"/>
    <mergeCell ref="S3:S4"/>
    <mergeCell ref="Y3:Y4"/>
    <mergeCell ref="AC1:CA1"/>
    <mergeCell ref="AB3:AB4"/>
    <mergeCell ref="T3:T4"/>
    <mergeCell ref="U3:U4"/>
    <mergeCell ref="V3:V4"/>
    <mergeCell ref="W3:W4"/>
    <mergeCell ref="X3:X4"/>
    <mergeCell ref="AA3:AA4"/>
    <mergeCell ref="AG3:AJ3"/>
    <mergeCell ref="AK3:AN3"/>
    <mergeCell ref="AO3:AR3"/>
    <mergeCell ref="AS3:AV3"/>
    <mergeCell ref="AC3:AF3"/>
    <mergeCell ref="AW3:AZ3"/>
  </mergeCells>
  <phoneticPr fontId="7" type="noConversion"/>
  <conditionalFormatting sqref="D5:AB250">
    <cfRule type="expression" dxfId="1" priority="2">
      <formula>($B5="G")</formula>
    </cfRule>
    <cfRule type="expression" dxfId="0" priority="1">
      <formula>($AB5=1)</formula>
    </cfRule>
  </conditionalFormatting>
  <hyperlinks>
    <hyperlink ref="AC1:CA1" r:id="rId1" display="http://xlworks.net/" xr:uid="{61FC77B4-8693-4A6C-99B1-7858C49C2E04}"/>
  </hyperlinks>
  <pageMargins left="0.19685039370078741" right="0.23622047244094491" top="0.43307086614173229" bottom="0.23622047244094491" header="0.23622047244094491" footer="0.19685039370078741"/>
  <pageSetup paperSize="9" scale="33" fitToHeight="0" orientation="landscape" r:id="rId2"/>
  <headerFooter alignWithMargins="0">
    <oddFooter>&amp;L&amp;"-,보통"&amp;9XLGantt ©http://xlworks.net&amp;C&amp;"-,보통"&amp;9&amp;P/&amp;N</oddFooter>
  </headerFooter>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A1:W30"/>
  <sheetViews>
    <sheetView showGridLines="0" zoomScaleNormal="100" workbookViewId="0">
      <pane ySplit="1" topLeftCell="A2" activePane="bottomLeft" state="frozenSplit"/>
      <selection activeCell="E5" sqref="E5"/>
      <selection pane="bottomLeft" activeCell="D31" sqref="D31"/>
    </sheetView>
  </sheetViews>
  <sheetFormatPr defaultColWidth="10" defaultRowHeight="14.4"/>
  <cols>
    <col min="1" max="1" width="35.3984375" style="73" customWidth="1"/>
    <col min="2" max="2" width="13.19921875" style="71" customWidth="1"/>
    <col min="3" max="3" width="9.8984375" style="75" customWidth="1"/>
    <col min="4" max="4" width="31.3984375" style="75" customWidth="1"/>
    <col min="5" max="6" width="14.09765625" style="75" customWidth="1"/>
    <col min="7" max="7" width="28.3984375" style="75" customWidth="1"/>
    <col min="8" max="9" width="10" style="75"/>
    <col min="10" max="10" width="8.8984375" style="75" bestFit="1" customWidth="1"/>
    <col min="11" max="19" width="10" style="75"/>
    <col min="20" max="22" width="10" style="75" customWidth="1"/>
    <col min="23" max="23" width="10" style="75" hidden="1" customWidth="1"/>
    <col min="24" max="16384" width="10" style="75"/>
  </cols>
  <sheetData>
    <row r="1" spans="1:17" s="20" customFormat="1" ht="37.049999999999997" customHeight="1">
      <c r="A1" s="17" t="s">
        <v>1044</v>
      </c>
      <c r="B1" s="18"/>
      <c r="C1" s="18"/>
      <c r="D1" s="18"/>
      <c r="E1" s="18"/>
      <c r="F1" s="18"/>
      <c r="G1" s="18"/>
      <c r="H1" s="18"/>
      <c r="I1" s="18"/>
      <c r="J1" s="18"/>
      <c r="K1" s="18"/>
      <c r="L1" s="250"/>
      <c r="M1" s="251"/>
      <c r="N1" s="251"/>
      <c r="O1" s="19"/>
      <c r="P1" s="19"/>
      <c r="Q1" s="19"/>
    </row>
    <row r="2" spans="1:17" s="23" customFormat="1" ht="13.8">
      <c r="A2" s="21" t="s">
        <v>1047</v>
      </c>
      <c r="B2" s="22"/>
    </row>
    <row r="3" spans="1:17" s="23" customFormat="1" ht="13.8">
      <c r="A3" s="21" t="s">
        <v>1048</v>
      </c>
      <c r="B3" s="22"/>
    </row>
    <row r="4" spans="1:17" s="23" customFormat="1" ht="13.8">
      <c r="A4" s="252"/>
      <c r="B4" s="252"/>
      <c r="C4" s="24"/>
      <c r="D4" s="25"/>
      <c r="E4" s="25"/>
      <c r="F4" s="25"/>
    </row>
    <row r="5" spans="1:17" s="31" customFormat="1" ht="13.8">
      <c r="A5" s="26"/>
      <c r="B5" s="27"/>
      <c r="C5" s="28"/>
      <c r="D5" s="29"/>
      <c r="E5" s="30"/>
      <c r="F5" s="30"/>
      <c r="G5" s="30"/>
    </row>
    <row r="6" spans="1:17" s="31" customFormat="1" ht="13.8">
      <c r="A6" s="32" t="s">
        <v>1049</v>
      </c>
      <c r="B6" s="33">
        <v>653</v>
      </c>
      <c r="C6" s="31" t="s">
        <v>0</v>
      </c>
      <c r="D6" s="249" t="s">
        <v>1050</v>
      </c>
      <c r="E6" s="249"/>
      <c r="F6" s="249"/>
      <c r="G6" s="249"/>
    </row>
    <row r="7" spans="1:17" s="31" customFormat="1" ht="13.8">
      <c r="A7" s="34"/>
      <c r="B7" s="35"/>
      <c r="C7" s="36"/>
      <c r="D7" s="37"/>
      <c r="E7" s="37"/>
      <c r="F7" s="37"/>
      <c r="G7" s="37"/>
    </row>
    <row r="8" spans="1:17" s="31" customFormat="1" ht="12.75" customHeight="1">
      <c r="A8" s="38"/>
      <c r="B8" s="39"/>
      <c r="D8" s="40"/>
      <c r="E8" s="40"/>
      <c r="F8" s="40"/>
      <c r="G8" s="40"/>
      <c r="J8" s="41"/>
    </row>
    <row r="9" spans="1:17" s="31" customFormat="1" ht="13.8">
      <c r="A9" s="32" t="s">
        <v>1051</v>
      </c>
      <c r="B9" s="33">
        <v>204</v>
      </c>
      <c r="C9" s="31" t="s">
        <v>0</v>
      </c>
      <c r="D9" s="248" t="s">
        <v>1052</v>
      </c>
      <c r="E9" s="248"/>
      <c r="F9" s="248"/>
      <c r="G9" s="248"/>
    </row>
    <row r="10" spans="1:17" s="31" customFormat="1" ht="13.8">
      <c r="A10" s="42"/>
      <c r="B10" s="35"/>
      <c r="C10" s="36"/>
      <c r="D10" s="43"/>
      <c r="E10" s="43"/>
      <c r="F10" s="43"/>
      <c r="G10" s="43"/>
    </row>
    <row r="11" spans="1:17" s="31" customFormat="1" ht="13.5" customHeight="1">
      <c r="A11" s="44"/>
      <c r="B11" s="39"/>
      <c r="D11" s="40"/>
      <c r="E11" s="40"/>
      <c r="F11" s="40"/>
      <c r="G11" s="40"/>
    </row>
    <row r="12" spans="1:17" s="31" customFormat="1" ht="12.75" customHeight="1">
      <c r="A12" s="45" t="s">
        <v>1045</v>
      </c>
      <c r="B12" s="33">
        <v>159.80000000000001</v>
      </c>
      <c r="C12" s="31" t="s">
        <v>0</v>
      </c>
      <c r="D12" s="248" t="s">
        <v>1046</v>
      </c>
      <c r="E12" s="248"/>
      <c r="F12" s="248"/>
      <c r="G12" s="248"/>
    </row>
    <row r="13" spans="1:17" s="48" customFormat="1" ht="13.8">
      <c r="A13" s="46"/>
      <c r="B13" s="35"/>
      <c r="C13" s="47"/>
      <c r="D13" s="43"/>
      <c r="E13" s="43"/>
      <c r="F13" s="43"/>
      <c r="G13" s="43"/>
      <c r="K13" s="49"/>
    </row>
    <row r="14" spans="1:17" s="48" customFormat="1" ht="14.25" customHeight="1">
      <c r="A14" s="44"/>
      <c r="B14" s="50"/>
      <c r="C14" s="51"/>
      <c r="D14" s="40"/>
      <c r="E14" s="40"/>
      <c r="F14" s="40"/>
      <c r="G14" s="40"/>
    </row>
    <row r="15" spans="1:17" s="31" customFormat="1" ht="12.75" customHeight="1">
      <c r="A15" s="45" t="s">
        <v>1045</v>
      </c>
      <c r="B15" s="33"/>
      <c r="C15" s="31" t="s">
        <v>0</v>
      </c>
      <c r="D15" s="248" t="s">
        <v>1053</v>
      </c>
      <c r="E15" s="248"/>
      <c r="F15" s="248"/>
      <c r="G15" s="248"/>
    </row>
    <row r="16" spans="1:17" s="31" customFormat="1" ht="13.8">
      <c r="A16" s="46"/>
      <c r="B16" s="52"/>
      <c r="C16" s="53"/>
      <c r="D16" s="43"/>
      <c r="E16" s="43"/>
      <c r="F16" s="43"/>
      <c r="G16" s="43"/>
    </row>
    <row r="17" spans="1:7" s="48" customFormat="1" ht="12.75" customHeight="1">
      <c r="A17" s="54"/>
      <c r="B17" s="50"/>
      <c r="C17" s="51"/>
      <c r="D17" s="40"/>
      <c r="E17" s="40"/>
      <c r="F17" s="40"/>
      <c r="G17" s="40"/>
    </row>
    <row r="18" spans="1:7" s="31" customFormat="1" ht="13.8">
      <c r="A18" s="32" t="s">
        <v>1054</v>
      </c>
      <c r="B18" s="55">
        <v>0.31240428790199082</v>
      </c>
      <c r="D18" s="248" t="s">
        <v>1055</v>
      </c>
      <c r="E18" s="248"/>
      <c r="F18" s="248"/>
      <c r="G18" s="248"/>
    </row>
    <row r="19" spans="1:7" s="31" customFormat="1" ht="13.8">
      <c r="A19" s="56"/>
      <c r="B19" s="52"/>
      <c r="C19" s="53"/>
      <c r="D19" s="43"/>
      <c r="E19" s="43"/>
      <c r="F19" s="43"/>
      <c r="G19" s="43"/>
    </row>
    <row r="20" spans="1:7" s="31" customFormat="1" ht="12.75" customHeight="1">
      <c r="A20" s="57"/>
      <c r="B20" s="27"/>
      <c r="C20" s="28"/>
      <c r="D20" s="40"/>
      <c r="E20" s="40"/>
      <c r="F20" s="40"/>
      <c r="G20" s="40"/>
    </row>
    <row r="21" spans="1:7" s="31" customFormat="1" ht="13.8">
      <c r="A21" s="32" t="s">
        <v>1056</v>
      </c>
      <c r="B21" s="55">
        <v>0.24471669218989281</v>
      </c>
      <c r="D21" s="248" t="s">
        <v>1057</v>
      </c>
      <c r="E21" s="248"/>
      <c r="F21" s="248"/>
      <c r="G21" s="248"/>
    </row>
    <row r="22" spans="1:7" s="31" customFormat="1" ht="13.8">
      <c r="A22" s="58"/>
      <c r="B22" s="59"/>
      <c r="C22" s="60"/>
      <c r="D22" s="43"/>
      <c r="E22" s="43"/>
      <c r="F22" s="43"/>
      <c r="G22" s="43"/>
    </row>
    <row r="23" spans="1:7" s="31" customFormat="1" ht="13.5" customHeight="1">
      <c r="A23" s="61"/>
      <c r="B23" s="62"/>
      <c r="C23" s="63"/>
      <c r="D23" s="64"/>
      <c r="E23" s="64"/>
      <c r="F23" s="64"/>
      <c r="G23" s="64"/>
    </row>
    <row r="24" spans="1:7" s="31" customFormat="1" ht="13.8">
      <c r="A24" s="32" t="s">
        <v>1058</v>
      </c>
      <c r="B24" s="65">
        <f>ACTUAL_RATE-PLANNED_RATE</f>
        <v>-6.7687595712098009E-2</v>
      </c>
      <c r="D24" s="249" t="s">
        <v>1059</v>
      </c>
      <c r="E24" s="249"/>
      <c r="F24" s="249"/>
      <c r="G24" s="249"/>
    </row>
    <row r="25" spans="1:7" s="31" customFormat="1" ht="13.8">
      <c r="A25" s="66"/>
      <c r="B25" s="67"/>
      <c r="C25" s="68"/>
      <c r="D25" s="69"/>
      <c r="E25" s="69"/>
      <c r="F25" s="69"/>
      <c r="G25" s="69"/>
    </row>
    <row r="26" spans="1:7" s="72" customFormat="1">
      <c r="A26" s="70"/>
      <c r="B26" s="71"/>
    </row>
    <row r="27" spans="1:7">
      <c r="B27" s="74"/>
      <c r="G27" s="73"/>
    </row>
    <row r="28" spans="1:7">
      <c r="B28" s="76"/>
    </row>
    <row r="29" spans="1:7">
      <c r="B29" s="76"/>
    </row>
    <row r="30" spans="1:7">
      <c r="B30" s="77"/>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8" priority="1">
      <formula>$J1="Yes"</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F11"/>
  <sheetViews>
    <sheetView showGridLines="0" zoomScale="80" zoomScaleNormal="80" workbookViewId="0">
      <pane ySplit="1" topLeftCell="A2" activePane="bottomLeft" state="frozen"/>
      <selection pane="bottomLeft" activeCell="F7" sqref="F7"/>
    </sheetView>
  </sheetViews>
  <sheetFormatPr defaultColWidth="9.09765625" defaultRowHeight="14.4"/>
  <cols>
    <col min="1" max="1" width="1.69921875" style="211" customWidth="1"/>
    <col min="2" max="3" width="10.59765625" style="211" bestFit="1" customWidth="1"/>
    <col min="4" max="4" width="9.09765625" style="211"/>
    <col min="5" max="5" width="10.69921875" style="211" customWidth="1"/>
    <col min="6" max="16384" width="9.09765625" style="211"/>
  </cols>
  <sheetData>
    <row r="1" spans="2:6" ht="37.049999999999997" customHeight="1">
      <c r="B1" s="78" t="s">
        <v>1158</v>
      </c>
    </row>
    <row r="2" spans="2:6">
      <c r="B2" s="211" t="s">
        <v>1159</v>
      </c>
    </row>
    <row r="3" spans="2:6">
      <c r="B3" s="211" t="s">
        <v>1160</v>
      </c>
    </row>
    <row r="6" spans="2:6" ht="28.8">
      <c r="B6" s="79" t="s">
        <v>990</v>
      </c>
      <c r="C6" s="179" t="s">
        <v>991</v>
      </c>
      <c r="D6" s="179" t="s">
        <v>1</v>
      </c>
      <c r="E6" s="179" t="s">
        <v>1161</v>
      </c>
      <c r="F6" s="212" t="s">
        <v>1162</v>
      </c>
    </row>
    <row r="7" spans="2:6">
      <c r="B7" s="213">
        <v>45078</v>
      </c>
      <c r="C7" s="213">
        <v>45081</v>
      </c>
      <c r="D7" s="214">
        <v>11</v>
      </c>
      <c r="E7" s="214">
        <f>D7</f>
        <v>11</v>
      </c>
      <c r="F7" s="217">
        <f t="shared" ref="F7:F10" si="0">E7/$D$11</f>
        <v>0.36666666666666664</v>
      </c>
    </row>
    <row r="8" spans="2:6">
      <c r="B8" s="215">
        <v>45082</v>
      </c>
      <c r="C8" s="215">
        <v>45088</v>
      </c>
      <c r="D8" s="216">
        <v>13</v>
      </c>
      <c r="E8" s="216">
        <f>E7+D8</f>
        <v>24</v>
      </c>
      <c r="F8" s="218">
        <f t="shared" si="0"/>
        <v>0.8</v>
      </c>
    </row>
    <row r="9" spans="2:6">
      <c r="B9" s="215">
        <v>45089</v>
      </c>
      <c r="C9" s="215">
        <v>45095</v>
      </c>
      <c r="D9" s="216">
        <v>5</v>
      </c>
      <c r="E9" s="216">
        <f t="shared" ref="E9:E10" si="1">E8+D9</f>
        <v>29</v>
      </c>
      <c r="F9" s="218">
        <f t="shared" si="0"/>
        <v>0.96666666666666667</v>
      </c>
    </row>
    <row r="10" spans="2:6">
      <c r="B10" s="215">
        <v>45096</v>
      </c>
      <c r="C10" s="215">
        <v>45102</v>
      </c>
      <c r="D10" s="216">
        <v>1</v>
      </c>
      <c r="E10" s="216">
        <f t="shared" si="1"/>
        <v>30</v>
      </c>
      <c r="F10" s="218">
        <f t="shared" si="0"/>
        <v>1</v>
      </c>
    </row>
    <row r="11" spans="2:6">
      <c r="C11" s="211" t="s">
        <v>3</v>
      </c>
      <c r="D11" s="211">
        <f>SUM(D7:D10)</f>
        <v>30</v>
      </c>
    </row>
  </sheetData>
  <dataConsolidate/>
  <phoneticPr fontId="2" type="noConversion"/>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J305"/>
  <sheetViews>
    <sheetView showGridLines="0" zoomScale="85" zoomScaleNormal="85" workbookViewId="0">
      <pane ySplit="1" topLeftCell="A2" activePane="bottomLeft" state="frozenSplit"/>
      <selection pane="bottomLeft" activeCell="E5" sqref="E5"/>
    </sheetView>
  </sheetViews>
  <sheetFormatPr defaultColWidth="10" defaultRowHeight="14.4"/>
  <cols>
    <col min="1" max="1" width="31.59765625" style="86" customWidth="1"/>
    <col min="2" max="2" width="14.5" style="86" customWidth="1"/>
    <col min="3" max="3" width="7.59765625" style="86" customWidth="1"/>
    <col min="4" max="4" width="21.5" style="86" customWidth="1"/>
    <col min="5" max="5" width="14.09765625" style="86" customWidth="1"/>
    <col min="6" max="6" width="10" style="86"/>
    <col min="7" max="7" width="24.19921875" style="86" customWidth="1"/>
    <col min="8" max="8" width="18.3984375" style="86" bestFit="1" customWidth="1"/>
    <col min="9" max="9" width="11.09765625" style="86" bestFit="1" customWidth="1"/>
    <col min="10" max="10" width="27.3984375" style="86" bestFit="1" customWidth="1"/>
    <col min="11" max="19" width="10" style="86"/>
    <col min="20" max="23" width="10" style="86" customWidth="1"/>
    <col min="24" max="16384" width="10" style="86"/>
  </cols>
  <sheetData>
    <row r="1" spans="1:9" s="80" customFormat="1" ht="37.049999999999997" customHeight="1">
      <c r="A1" s="17" t="s">
        <v>1060</v>
      </c>
      <c r="B1" s="17"/>
      <c r="C1" s="17"/>
      <c r="D1" s="17"/>
      <c r="E1" s="17"/>
      <c r="F1" s="17"/>
      <c r="G1" s="17"/>
      <c r="H1" s="17"/>
    </row>
    <row r="2" spans="1:9" s="81" customFormat="1" ht="78.75" customHeight="1">
      <c r="A2" s="253" t="s">
        <v>1061</v>
      </c>
      <c r="B2" s="253"/>
      <c r="C2" s="253"/>
      <c r="D2" s="253"/>
      <c r="E2" s="253"/>
      <c r="F2" s="253"/>
      <c r="G2" s="253"/>
      <c r="H2" s="253"/>
    </row>
    <row r="3" spans="1:9" s="81" customFormat="1" ht="24.75" customHeight="1">
      <c r="A3" s="254" t="s">
        <v>1062</v>
      </c>
      <c r="B3" s="254"/>
      <c r="D3" s="254" t="s">
        <v>1063</v>
      </c>
      <c r="E3" s="254"/>
      <c r="G3" s="254" t="s">
        <v>1064</v>
      </c>
      <c r="H3" s="254"/>
    </row>
    <row r="4" spans="1:9" s="83" customFormat="1" ht="19.5" customHeight="1">
      <c r="A4" s="82" t="s">
        <v>1065</v>
      </c>
      <c r="B4" s="82" t="s">
        <v>1066</v>
      </c>
      <c r="D4" s="82" t="s">
        <v>1065</v>
      </c>
      <c r="E4" s="82" t="s">
        <v>1066</v>
      </c>
      <c r="G4" s="82" t="s">
        <v>1065</v>
      </c>
      <c r="H4" s="82" t="s">
        <v>1066</v>
      </c>
    </row>
    <row r="5" spans="1:9" ht="17.399999999999999">
      <c r="A5" s="118" t="s">
        <v>967</v>
      </c>
      <c r="B5" s="119">
        <v>43101</v>
      </c>
      <c r="C5" s="86" t="str">
        <f t="shared" ref="C5:C68" si="0">IF(B5&gt;0,TEXT(B5,"(aaa)"),"")</f>
        <v>(월)</v>
      </c>
      <c r="D5" s="84"/>
      <c r="E5" s="85"/>
      <c r="F5" s="86" t="str">
        <f t="shared" ref="F5:F68" si="1">IF(E5&gt;0,TEXT(E5,"(aaa)"),"")</f>
        <v/>
      </c>
      <c r="G5" s="84"/>
      <c r="H5" s="85"/>
      <c r="I5" s="86" t="str">
        <f t="shared" ref="I5:I68" si="2">IF(H5&gt;0,TEXT(H5,"(aaa)"),"")</f>
        <v/>
      </c>
    </row>
    <row r="6" spans="1:9" ht="17.399999999999999">
      <c r="A6" s="118" t="s">
        <v>968</v>
      </c>
      <c r="B6" s="119">
        <v>43146</v>
      </c>
      <c r="C6" s="86" t="str">
        <f t="shared" si="0"/>
        <v>(목)</v>
      </c>
      <c r="D6" s="84"/>
      <c r="E6" s="85"/>
      <c r="F6" s="86" t="str">
        <f t="shared" si="1"/>
        <v/>
      </c>
      <c r="G6" s="84"/>
      <c r="H6" s="85"/>
      <c r="I6" s="86" t="str">
        <f t="shared" si="2"/>
        <v/>
      </c>
    </row>
    <row r="7" spans="1:9" ht="17.399999999999999">
      <c r="A7" s="118" t="s">
        <v>969</v>
      </c>
      <c r="B7" s="119">
        <v>43147</v>
      </c>
      <c r="C7" s="86" t="str">
        <f t="shared" si="0"/>
        <v>(금)</v>
      </c>
      <c r="D7" s="84"/>
      <c r="E7" s="85"/>
      <c r="F7" s="86" t="str">
        <f t="shared" si="1"/>
        <v/>
      </c>
      <c r="G7" s="84"/>
      <c r="H7" s="85"/>
      <c r="I7" s="86" t="str">
        <f t="shared" si="2"/>
        <v/>
      </c>
    </row>
    <row r="8" spans="1:9" ht="17.399999999999999">
      <c r="A8" s="118" t="s">
        <v>970</v>
      </c>
      <c r="B8" s="119">
        <v>43160</v>
      </c>
      <c r="C8" s="86" t="str">
        <f t="shared" si="0"/>
        <v>(목)</v>
      </c>
      <c r="D8" s="84"/>
      <c r="E8" s="85"/>
      <c r="F8" s="86" t="str">
        <f t="shared" si="1"/>
        <v/>
      </c>
      <c r="G8" s="84"/>
      <c r="H8" s="85"/>
      <c r="I8" s="86" t="str">
        <f t="shared" si="2"/>
        <v/>
      </c>
    </row>
    <row r="9" spans="1:9" ht="17.399999999999999">
      <c r="A9" s="118" t="s">
        <v>889</v>
      </c>
      <c r="B9" s="119">
        <v>43227</v>
      </c>
      <c r="C9" s="86" t="str">
        <f t="shared" si="0"/>
        <v>(월)</v>
      </c>
      <c r="D9" s="84"/>
      <c r="E9" s="85"/>
      <c r="F9" s="86" t="str">
        <f t="shared" si="1"/>
        <v/>
      </c>
      <c r="G9" s="84"/>
      <c r="H9" s="85"/>
      <c r="I9" s="86" t="str">
        <f t="shared" si="2"/>
        <v/>
      </c>
    </row>
    <row r="10" spans="1:9" ht="17.399999999999999">
      <c r="A10" s="118" t="s">
        <v>890</v>
      </c>
      <c r="B10" s="119">
        <v>43242</v>
      </c>
      <c r="C10" s="86" t="str">
        <f t="shared" si="0"/>
        <v>(화)</v>
      </c>
      <c r="D10" s="84"/>
      <c r="E10" s="85"/>
      <c r="F10" s="86" t="str">
        <f t="shared" si="1"/>
        <v/>
      </c>
      <c r="G10" s="84"/>
      <c r="H10" s="85"/>
      <c r="I10" s="86" t="str">
        <f t="shared" si="2"/>
        <v/>
      </c>
    </row>
    <row r="11" spans="1:9" ht="17.399999999999999">
      <c r="A11" s="118" t="s">
        <v>891</v>
      </c>
      <c r="B11" s="119">
        <v>43257</v>
      </c>
      <c r="C11" s="86" t="str">
        <f t="shared" si="0"/>
        <v>(수)</v>
      </c>
      <c r="D11" s="84"/>
      <c r="E11" s="85"/>
      <c r="F11" s="86" t="str">
        <f t="shared" si="1"/>
        <v/>
      </c>
      <c r="G11" s="84"/>
      <c r="H11" s="85"/>
      <c r="I11" s="86" t="str">
        <f t="shared" si="2"/>
        <v/>
      </c>
    </row>
    <row r="12" spans="1:9" ht="17.399999999999999">
      <c r="A12" s="118" t="s">
        <v>892</v>
      </c>
      <c r="B12" s="119">
        <v>43327</v>
      </c>
      <c r="C12" s="86" t="str">
        <f t="shared" si="0"/>
        <v>(수)</v>
      </c>
      <c r="D12" s="84"/>
      <c r="E12" s="85"/>
      <c r="F12" s="86" t="str">
        <f t="shared" si="1"/>
        <v/>
      </c>
      <c r="G12" s="84"/>
      <c r="H12" s="85"/>
      <c r="I12" s="86" t="str">
        <f t="shared" si="2"/>
        <v/>
      </c>
    </row>
    <row r="13" spans="1:9" ht="17.399999999999999">
      <c r="A13" s="118" t="s">
        <v>893</v>
      </c>
      <c r="B13" s="119">
        <v>43367</v>
      </c>
      <c r="C13" s="86" t="str">
        <f t="shared" si="0"/>
        <v>(월)</v>
      </c>
      <c r="D13" s="84"/>
      <c r="E13" s="85"/>
      <c r="F13" s="86" t="str">
        <f t="shared" si="1"/>
        <v/>
      </c>
      <c r="G13" s="84"/>
      <c r="H13" s="85"/>
      <c r="I13" s="86" t="str">
        <f t="shared" si="2"/>
        <v/>
      </c>
    </row>
    <row r="14" spans="1:9" ht="17.399999999999999">
      <c r="A14" s="118" t="s">
        <v>894</v>
      </c>
      <c r="B14" s="119">
        <v>43368</v>
      </c>
      <c r="C14" s="86" t="str">
        <f t="shared" si="0"/>
        <v>(화)</v>
      </c>
      <c r="D14" s="84"/>
      <c r="E14" s="85"/>
      <c r="F14" s="86" t="str">
        <f t="shared" si="1"/>
        <v/>
      </c>
      <c r="G14" s="84"/>
      <c r="H14" s="85"/>
      <c r="I14" s="86" t="str">
        <f t="shared" si="2"/>
        <v/>
      </c>
    </row>
    <row r="15" spans="1:9" ht="17.399999999999999">
      <c r="A15" s="118" t="s">
        <v>895</v>
      </c>
      <c r="B15" s="119">
        <v>43369</v>
      </c>
      <c r="C15" s="86" t="str">
        <f t="shared" si="0"/>
        <v>(수)</v>
      </c>
      <c r="D15" s="84"/>
      <c r="E15" s="85"/>
      <c r="F15" s="86" t="str">
        <f t="shared" si="1"/>
        <v/>
      </c>
      <c r="G15" s="84"/>
      <c r="H15" s="85"/>
      <c r="I15" s="86" t="str">
        <f t="shared" si="2"/>
        <v/>
      </c>
    </row>
    <row r="16" spans="1:9" ht="17.399999999999999">
      <c r="A16" s="118" t="s">
        <v>896</v>
      </c>
      <c r="B16" s="119">
        <v>43376</v>
      </c>
      <c r="C16" s="86" t="str">
        <f t="shared" si="0"/>
        <v>(수)</v>
      </c>
      <c r="D16" s="84"/>
      <c r="E16" s="85"/>
      <c r="F16" s="86" t="str">
        <f t="shared" si="1"/>
        <v/>
      </c>
      <c r="G16" s="84"/>
      <c r="H16" s="85"/>
      <c r="I16" s="86" t="str">
        <f t="shared" si="2"/>
        <v/>
      </c>
    </row>
    <row r="17" spans="1:10" ht="17.399999999999999">
      <c r="A17" s="118" t="s">
        <v>897</v>
      </c>
      <c r="B17" s="119">
        <v>43382</v>
      </c>
      <c r="C17" s="86" t="str">
        <f t="shared" si="0"/>
        <v>(화)</v>
      </c>
      <c r="D17" s="84"/>
      <c r="E17" s="85"/>
      <c r="F17" s="86" t="str">
        <f t="shared" si="1"/>
        <v/>
      </c>
      <c r="G17" s="84"/>
      <c r="H17" s="85"/>
      <c r="I17" s="86" t="str">
        <f t="shared" si="2"/>
        <v/>
      </c>
    </row>
    <row r="18" spans="1:10" ht="17.399999999999999">
      <c r="A18" s="118" t="s">
        <v>898</v>
      </c>
      <c r="B18" s="119">
        <v>43459</v>
      </c>
      <c r="C18" s="86" t="str">
        <f t="shared" si="0"/>
        <v>(화)</v>
      </c>
      <c r="D18" s="84"/>
      <c r="E18" s="85"/>
      <c r="F18" s="86" t="str">
        <f t="shared" si="1"/>
        <v/>
      </c>
      <c r="G18" s="84"/>
      <c r="H18" s="85"/>
      <c r="I18" s="86" t="str">
        <f t="shared" si="2"/>
        <v/>
      </c>
    </row>
    <row r="19" spans="1:10" ht="17.399999999999999">
      <c r="A19" s="118" t="s">
        <v>971</v>
      </c>
      <c r="B19" s="119">
        <v>43466</v>
      </c>
      <c r="C19" s="86" t="str">
        <f t="shared" si="0"/>
        <v>(화)</v>
      </c>
      <c r="D19" s="84"/>
      <c r="E19" s="85"/>
      <c r="F19" s="86" t="str">
        <f t="shared" si="1"/>
        <v/>
      </c>
      <c r="G19" s="84"/>
      <c r="H19" s="85"/>
      <c r="I19" s="86" t="str">
        <f t="shared" si="2"/>
        <v/>
      </c>
      <c r="J19" s="87"/>
    </row>
    <row r="20" spans="1:10" ht="17.399999999999999">
      <c r="A20" s="118" t="s">
        <v>972</v>
      </c>
      <c r="B20" s="119">
        <v>43500</v>
      </c>
      <c r="C20" s="86" t="str">
        <f t="shared" si="0"/>
        <v>(월)</v>
      </c>
      <c r="D20" s="84"/>
      <c r="E20" s="85"/>
      <c r="F20" s="86" t="str">
        <f t="shared" si="1"/>
        <v/>
      </c>
      <c r="G20" s="84"/>
      <c r="H20" s="85"/>
      <c r="I20" s="86" t="str">
        <f t="shared" si="2"/>
        <v/>
      </c>
      <c r="J20" s="87"/>
    </row>
    <row r="21" spans="1:10" ht="17.399999999999999">
      <c r="A21" s="118" t="s">
        <v>973</v>
      </c>
      <c r="B21" s="119">
        <v>43501</v>
      </c>
      <c r="C21" s="86" t="str">
        <f t="shared" si="0"/>
        <v>(화)</v>
      </c>
      <c r="D21" s="84"/>
      <c r="E21" s="85"/>
      <c r="F21" s="86" t="str">
        <f t="shared" si="1"/>
        <v/>
      </c>
      <c r="G21" s="84"/>
      <c r="H21" s="85"/>
      <c r="I21" s="86" t="str">
        <f t="shared" si="2"/>
        <v/>
      </c>
    </row>
    <row r="22" spans="1:10" ht="17.399999999999999">
      <c r="A22" s="118" t="s">
        <v>972</v>
      </c>
      <c r="B22" s="119">
        <v>43502</v>
      </c>
      <c r="C22" s="86" t="str">
        <f t="shared" si="0"/>
        <v>(수)</v>
      </c>
      <c r="D22" s="84"/>
      <c r="E22" s="85"/>
      <c r="F22" s="86" t="str">
        <f t="shared" si="1"/>
        <v/>
      </c>
      <c r="G22" s="84"/>
      <c r="H22" s="85"/>
      <c r="I22" s="86" t="str">
        <f t="shared" si="2"/>
        <v/>
      </c>
    </row>
    <row r="23" spans="1:10" ht="17.399999999999999">
      <c r="A23" s="118" t="s">
        <v>974</v>
      </c>
      <c r="B23" s="119">
        <v>43525</v>
      </c>
      <c r="C23" s="86" t="str">
        <f t="shared" si="0"/>
        <v>(금)</v>
      </c>
      <c r="D23" s="84"/>
      <c r="E23" s="85"/>
      <c r="F23" s="86" t="str">
        <f t="shared" si="1"/>
        <v/>
      </c>
      <c r="G23" s="84"/>
      <c r="H23" s="85"/>
      <c r="I23" s="86" t="str">
        <f t="shared" si="2"/>
        <v/>
      </c>
    </row>
    <row r="24" spans="1:10" ht="17.399999999999999">
      <c r="A24" s="118" t="s">
        <v>975</v>
      </c>
      <c r="B24" s="119">
        <v>43591</v>
      </c>
      <c r="C24" s="86" t="str">
        <f t="shared" si="0"/>
        <v>(월)</v>
      </c>
      <c r="D24" s="84"/>
      <c r="E24" s="85"/>
      <c r="F24" s="86" t="str">
        <f t="shared" si="1"/>
        <v/>
      </c>
      <c r="G24" s="84"/>
      <c r="H24" s="85"/>
      <c r="I24" s="86" t="str">
        <f t="shared" si="2"/>
        <v/>
      </c>
    </row>
    <row r="25" spans="1:10" ht="17.399999999999999">
      <c r="A25" s="118" t="s">
        <v>976</v>
      </c>
      <c r="B25" s="119">
        <v>43622</v>
      </c>
      <c r="C25" s="86" t="str">
        <f t="shared" si="0"/>
        <v>(목)</v>
      </c>
      <c r="D25" s="84"/>
      <c r="E25" s="85"/>
      <c r="F25" s="86" t="str">
        <f t="shared" si="1"/>
        <v/>
      </c>
      <c r="G25" s="84"/>
      <c r="H25" s="85"/>
      <c r="I25" s="86" t="str">
        <f t="shared" si="2"/>
        <v/>
      </c>
    </row>
    <row r="26" spans="1:10" ht="17.399999999999999">
      <c r="A26" s="118" t="s">
        <v>977</v>
      </c>
      <c r="B26" s="119">
        <v>43692</v>
      </c>
      <c r="C26" s="86" t="str">
        <f t="shared" si="0"/>
        <v>(목)</v>
      </c>
      <c r="D26" s="84"/>
      <c r="E26" s="85"/>
      <c r="F26" s="86" t="str">
        <f t="shared" si="1"/>
        <v/>
      </c>
      <c r="G26" s="84"/>
      <c r="H26" s="85"/>
      <c r="I26" s="86" t="str">
        <f t="shared" si="2"/>
        <v/>
      </c>
    </row>
    <row r="27" spans="1:10" ht="17.399999999999999">
      <c r="A27" s="118" t="s">
        <v>978</v>
      </c>
      <c r="B27" s="119">
        <v>43720</v>
      </c>
      <c r="C27" s="86" t="str">
        <f t="shared" si="0"/>
        <v>(목)</v>
      </c>
      <c r="D27" s="84"/>
      <c r="E27" s="85"/>
      <c r="F27" s="86" t="str">
        <f t="shared" si="1"/>
        <v/>
      </c>
      <c r="G27" s="84"/>
      <c r="H27" s="85"/>
      <c r="I27" s="86" t="str">
        <f t="shared" si="2"/>
        <v/>
      </c>
    </row>
    <row r="28" spans="1:10" ht="17.399999999999999">
      <c r="A28" s="118" t="s">
        <v>979</v>
      </c>
      <c r="B28" s="119">
        <v>43721</v>
      </c>
      <c r="C28" s="86" t="str">
        <f t="shared" si="0"/>
        <v>(금)</v>
      </c>
      <c r="D28" s="84"/>
      <c r="E28" s="85"/>
      <c r="F28" s="86" t="str">
        <f t="shared" si="1"/>
        <v/>
      </c>
      <c r="G28" s="84"/>
      <c r="H28" s="85"/>
      <c r="I28" s="86" t="str">
        <f t="shared" si="2"/>
        <v/>
      </c>
    </row>
    <row r="29" spans="1:10" ht="17.399999999999999">
      <c r="A29" s="118" t="s">
        <v>980</v>
      </c>
      <c r="B29" s="119">
        <v>43741</v>
      </c>
      <c r="C29" s="86" t="str">
        <f t="shared" si="0"/>
        <v>(목)</v>
      </c>
      <c r="D29" s="84"/>
      <c r="E29" s="85"/>
      <c r="F29" s="86" t="str">
        <f t="shared" si="1"/>
        <v/>
      </c>
      <c r="G29" s="84"/>
      <c r="H29" s="85"/>
      <c r="I29" s="86" t="str">
        <f t="shared" si="2"/>
        <v/>
      </c>
    </row>
    <row r="30" spans="1:10" ht="17.399999999999999">
      <c r="A30" s="118" t="s">
        <v>981</v>
      </c>
      <c r="B30" s="119">
        <v>43747</v>
      </c>
      <c r="C30" s="86" t="str">
        <f t="shared" si="0"/>
        <v>(수)</v>
      </c>
      <c r="D30" s="84"/>
      <c r="E30" s="85"/>
      <c r="F30" s="86" t="str">
        <f t="shared" si="1"/>
        <v/>
      </c>
      <c r="G30" s="84"/>
      <c r="H30" s="85"/>
      <c r="I30" s="86" t="str">
        <f t="shared" si="2"/>
        <v/>
      </c>
    </row>
    <row r="31" spans="1:10" ht="17.399999999999999">
      <c r="A31" s="118" t="s">
        <v>982</v>
      </c>
      <c r="B31" s="119">
        <v>43824</v>
      </c>
      <c r="C31" s="86" t="str">
        <f t="shared" si="0"/>
        <v>(수)</v>
      </c>
      <c r="D31" s="84"/>
      <c r="E31" s="85"/>
      <c r="F31" s="86" t="str">
        <f t="shared" si="1"/>
        <v/>
      </c>
      <c r="G31" s="84"/>
      <c r="H31" s="85"/>
      <c r="I31" s="86" t="str">
        <f t="shared" si="2"/>
        <v/>
      </c>
    </row>
    <row r="32" spans="1:10">
      <c r="A32" s="118"/>
      <c r="B32" s="119"/>
      <c r="C32" s="86" t="str">
        <f t="shared" si="0"/>
        <v/>
      </c>
      <c r="D32" s="84"/>
      <c r="E32" s="85"/>
      <c r="F32" s="86" t="str">
        <f t="shared" si="1"/>
        <v/>
      </c>
      <c r="G32" s="84"/>
      <c r="H32" s="85"/>
      <c r="I32" s="86" t="str">
        <f t="shared" si="2"/>
        <v/>
      </c>
    </row>
    <row r="33" spans="1:9">
      <c r="A33" s="118"/>
      <c r="B33" s="119"/>
      <c r="C33" s="86" t="str">
        <f t="shared" si="0"/>
        <v/>
      </c>
      <c r="D33" s="84"/>
      <c r="E33" s="85"/>
      <c r="F33" s="86" t="str">
        <f t="shared" si="1"/>
        <v/>
      </c>
      <c r="G33" s="84"/>
      <c r="H33" s="85"/>
      <c r="I33" s="86" t="str">
        <f t="shared" si="2"/>
        <v/>
      </c>
    </row>
    <row r="34" spans="1:9">
      <c r="A34" s="118"/>
      <c r="B34" s="119"/>
      <c r="C34" s="86" t="str">
        <f t="shared" si="0"/>
        <v/>
      </c>
      <c r="D34" s="84"/>
      <c r="E34" s="85"/>
      <c r="F34" s="86" t="str">
        <f t="shared" si="1"/>
        <v/>
      </c>
      <c r="G34" s="84"/>
      <c r="H34" s="85"/>
      <c r="I34" s="86" t="str">
        <f t="shared" si="2"/>
        <v/>
      </c>
    </row>
    <row r="35" spans="1:9">
      <c r="A35" s="118"/>
      <c r="B35" s="119"/>
      <c r="C35" s="86" t="str">
        <f t="shared" si="0"/>
        <v/>
      </c>
      <c r="D35" s="84"/>
      <c r="E35" s="85"/>
      <c r="F35" s="86" t="str">
        <f t="shared" si="1"/>
        <v/>
      </c>
      <c r="G35" s="84"/>
      <c r="H35" s="85"/>
      <c r="I35" s="86" t="str">
        <f t="shared" si="2"/>
        <v/>
      </c>
    </row>
    <row r="36" spans="1:9">
      <c r="A36" s="118"/>
      <c r="B36" s="119"/>
      <c r="C36" s="86" t="str">
        <f t="shared" si="0"/>
        <v/>
      </c>
      <c r="D36" s="84"/>
      <c r="E36" s="85"/>
      <c r="F36" s="86" t="str">
        <f t="shared" si="1"/>
        <v/>
      </c>
      <c r="G36" s="84"/>
      <c r="H36" s="85"/>
      <c r="I36" s="86" t="str">
        <f t="shared" si="2"/>
        <v/>
      </c>
    </row>
    <row r="37" spans="1:9">
      <c r="A37" s="118"/>
      <c r="B37" s="119"/>
      <c r="C37" s="86" t="str">
        <f t="shared" si="0"/>
        <v/>
      </c>
      <c r="D37" s="84"/>
      <c r="E37" s="85"/>
      <c r="F37" s="86" t="str">
        <f t="shared" si="1"/>
        <v/>
      </c>
      <c r="G37" s="84"/>
      <c r="H37" s="85"/>
      <c r="I37" s="86" t="str">
        <f t="shared" si="2"/>
        <v/>
      </c>
    </row>
    <row r="38" spans="1:9">
      <c r="A38" s="118"/>
      <c r="B38" s="119"/>
      <c r="C38" s="86" t="str">
        <f t="shared" si="0"/>
        <v/>
      </c>
      <c r="D38" s="84"/>
      <c r="E38" s="85"/>
      <c r="F38" s="86" t="str">
        <f t="shared" si="1"/>
        <v/>
      </c>
      <c r="G38" s="84"/>
      <c r="H38" s="85"/>
      <c r="I38" s="86" t="str">
        <f t="shared" si="2"/>
        <v/>
      </c>
    </row>
    <row r="39" spans="1:9">
      <c r="A39" s="118"/>
      <c r="B39" s="119"/>
      <c r="C39" s="86" t="str">
        <f t="shared" si="0"/>
        <v/>
      </c>
      <c r="D39" s="84"/>
      <c r="E39" s="85"/>
      <c r="F39" s="86" t="str">
        <f t="shared" si="1"/>
        <v/>
      </c>
      <c r="G39" s="84"/>
      <c r="H39" s="85"/>
      <c r="I39" s="86" t="str">
        <f t="shared" si="2"/>
        <v/>
      </c>
    </row>
    <row r="40" spans="1:9">
      <c r="A40" s="118"/>
      <c r="B40" s="119"/>
      <c r="C40" s="86" t="str">
        <f t="shared" si="0"/>
        <v/>
      </c>
      <c r="D40" s="84"/>
      <c r="E40" s="85"/>
      <c r="F40" s="86" t="str">
        <f t="shared" si="1"/>
        <v/>
      </c>
      <c r="G40" s="84"/>
      <c r="H40" s="85"/>
      <c r="I40" s="86" t="str">
        <f t="shared" si="2"/>
        <v/>
      </c>
    </row>
    <row r="41" spans="1:9">
      <c r="A41" s="118"/>
      <c r="B41" s="119"/>
      <c r="C41" s="86" t="str">
        <f t="shared" si="0"/>
        <v/>
      </c>
      <c r="D41" s="84"/>
      <c r="E41" s="85"/>
      <c r="F41" s="86" t="str">
        <f t="shared" si="1"/>
        <v/>
      </c>
      <c r="G41" s="84"/>
      <c r="H41" s="85"/>
      <c r="I41" s="86" t="str">
        <f t="shared" si="2"/>
        <v/>
      </c>
    </row>
    <row r="42" spans="1:9">
      <c r="A42" s="118"/>
      <c r="B42" s="119"/>
      <c r="C42" s="86" t="str">
        <f t="shared" si="0"/>
        <v/>
      </c>
      <c r="D42" s="84"/>
      <c r="E42" s="85"/>
      <c r="F42" s="86" t="str">
        <f t="shared" si="1"/>
        <v/>
      </c>
      <c r="G42" s="84"/>
      <c r="H42" s="85"/>
      <c r="I42" s="86" t="str">
        <f t="shared" si="2"/>
        <v/>
      </c>
    </row>
    <row r="43" spans="1:9">
      <c r="A43" s="118"/>
      <c r="B43" s="119"/>
      <c r="C43" s="86" t="str">
        <f t="shared" si="0"/>
        <v/>
      </c>
      <c r="D43" s="84"/>
      <c r="E43" s="85"/>
      <c r="F43" s="86" t="str">
        <f t="shared" si="1"/>
        <v/>
      </c>
      <c r="G43" s="84"/>
      <c r="H43" s="85"/>
      <c r="I43" s="86" t="str">
        <f t="shared" si="2"/>
        <v/>
      </c>
    </row>
    <row r="44" spans="1:9">
      <c r="A44" s="118"/>
      <c r="B44" s="119"/>
      <c r="C44" s="86" t="str">
        <f t="shared" si="0"/>
        <v/>
      </c>
      <c r="D44" s="84"/>
      <c r="E44" s="85"/>
      <c r="F44" s="86" t="str">
        <f t="shared" si="1"/>
        <v/>
      </c>
      <c r="G44" s="84"/>
      <c r="H44" s="85"/>
      <c r="I44" s="86" t="str">
        <f t="shared" si="2"/>
        <v/>
      </c>
    </row>
    <row r="45" spans="1:9">
      <c r="A45" s="118"/>
      <c r="B45" s="119"/>
      <c r="C45" s="86" t="str">
        <f t="shared" si="0"/>
        <v/>
      </c>
      <c r="D45" s="84"/>
      <c r="E45" s="85"/>
      <c r="F45" s="86" t="str">
        <f t="shared" si="1"/>
        <v/>
      </c>
      <c r="G45" s="84"/>
      <c r="H45" s="85"/>
      <c r="I45" s="86" t="str">
        <f t="shared" si="2"/>
        <v/>
      </c>
    </row>
    <row r="46" spans="1:9">
      <c r="A46" s="118"/>
      <c r="B46" s="119"/>
      <c r="C46" s="86" t="str">
        <f t="shared" si="0"/>
        <v/>
      </c>
      <c r="D46" s="84"/>
      <c r="E46" s="85"/>
      <c r="F46" s="86" t="str">
        <f t="shared" si="1"/>
        <v/>
      </c>
      <c r="G46" s="84"/>
      <c r="H46" s="85"/>
      <c r="I46" s="86" t="str">
        <f t="shared" si="2"/>
        <v/>
      </c>
    </row>
    <row r="47" spans="1:9">
      <c r="A47" s="118"/>
      <c r="B47" s="119"/>
      <c r="C47" s="86" t="str">
        <f t="shared" si="0"/>
        <v/>
      </c>
      <c r="D47" s="84"/>
      <c r="E47" s="85"/>
      <c r="F47" s="86" t="str">
        <f t="shared" si="1"/>
        <v/>
      </c>
      <c r="G47" s="84"/>
      <c r="H47" s="85"/>
      <c r="I47" s="86" t="str">
        <f t="shared" si="2"/>
        <v/>
      </c>
    </row>
    <row r="48" spans="1:9">
      <c r="A48" s="118"/>
      <c r="B48" s="119"/>
      <c r="C48" s="86" t="str">
        <f t="shared" si="0"/>
        <v/>
      </c>
      <c r="D48" s="84"/>
      <c r="E48" s="85"/>
      <c r="F48" s="86" t="str">
        <f t="shared" si="1"/>
        <v/>
      </c>
      <c r="G48" s="84"/>
      <c r="H48" s="85"/>
      <c r="I48" s="86" t="str">
        <f t="shared" si="2"/>
        <v/>
      </c>
    </row>
    <row r="49" spans="1:9">
      <c r="A49" s="118"/>
      <c r="B49" s="119"/>
      <c r="C49" s="86" t="str">
        <f t="shared" si="0"/>
        <v/>
      </c>
      <c r="D49" s="84"/>
      <c r="E49" s="85"/>
      <c r="F49" s="86" t="str">
        <f t="shared" si="1"/>
        <v/>
      </c>
      <c r="G49" s="84"/>
      <c r="H49" s="85"/>
      <c r="I49" s="86" t="str">
        <f t="shared" si="2"/>
        <v/>
      </c>
    </row>
    <row r="50" spans="1:9">
      <c r="A50" s="118"/>
      <c r="B50" s="119"/>
      <c r="C50" s="86" t="str">
        <f t="shared" si="0"/>
        <v/>
      </c>
      <c r="D50" s="84"/>
      <c r="E50" s="85"/>
      <c r="F50" s="86" t="str">
        <f t="shared" si="1"/>
        <v/>
      </c>
      <c r="G50" s="84"/>
      <c r="H50" s="85"/>
      <c r="I50" s="86" t="str">
        <f t="shared" si="2"/>
        <v/>
      </c>
    </row>
    <row r="51" spans="1:9">
      <c r="A51" s="118"/>
      <c r="B51" s="119"/>
      <c r="C51" s="86" t="str">
        <f t="shared" si="0"/>
        <v/>
      </c>
      <c r="D51" s="84"/>
      <c r="E51" s="85"/>
      <c r="F51" s="86" t="str">
        <f t="shared" si="1"/>
        <v/>
      </c>
      <c r="G51" s="84"/>
      <c r="H51" s="85"/>
      <c r="I51" s="86" t="str">
        <f t="shared" si="2"/>
        <v/>
      </c>
    </row>
    <row r="52" spans="1:9">
      <c r="A52" s="118"/>
      <c r="B52" s="119"/>
      <c r="C52" s="86" t="str">
        <f t="shared" si="0"/>
        <v/>
      </c>
      <c r="D52" s="84"/>
      <c r="E52" s="85"/>
      <c r="F52" s="86" t="str">
        <f t="shared" si="1"/>
        <v/>
      </c>
      <c r="G52" s="84"/>
      <c r="H52" s="85"/>
      <c r="I52" s="86" t="str">
        <f t="shared" si="2"/>
        <v/>
      </c>
    </row>
    <row r="53" spans="1:9">
      <c r="A53" s="118"/>
      <c r="B53" s="119"/>
      <c r="C53" s="86" t="str">
        <f t="shared" si="0"/>
        <v/>
      </c>
      <c r="D53" s="84"/>
      <c r="E53" s="85"/>
      <c r="F53" s="86" t="str">
        <f t="shared" si="1"/>
        <v/>
      </c>
      <c r="G53" s="84"/>
      <c r="H53" s="85"/>
      <c r="I53" s="86" t="str">
        <f t="shared" si="2"/>
        <v/>
      </c>
    </row>
    <row r="54" spans="1:9">
      <c r="A54" s="118"/>
      <c r="B54" s="119"/>
      <c r="C54" s="86" t="str">
        <f t="shared" si="0"/>
        <v/>
      </c>
      <c r="D54" s="84"/>
      <c r="E54" s="85"/>
      <c r="F54" s="86" t="str">
        <f t="shared" si="1"/>
        <v/>
      </c>
      <c r="G54" s="84"/>
      <c r="H54" s="85"/>
      <c r="I54" s="86" t="str">
        <f t="shared" si="2"/>
        <v/>
      </c>
    </row>
    <row r="55" spans="1:9">
      <c r="A55" s="118"/>
      <c r="B55" s="119"/>
      <c r="C55" s="86" t="str">
        <f t="shared" si="0"/>
        <v/>
      </c>
      <c r="D55" s="84"/>
      <c r="E55" s="85"/>
      <c r="F55" s="86" t="str">
        <f t="shared" si="1"/>
        <v/>
      </c>
      <c r="G55" s="84"/>
      <c r="H55" s="85"/>
      <c r="I55" s="86" t="str">
        <f t="shared" si="2"/>
        <v/>
      </c>
    </row>
    <row r="56" spans="1:9">
      <c r="A56" s="118"/>
      <c r="B56" s="119"/>
      <c r="C56" s="86" t="str">
        <f t="shared" si="0"/>
        <v/>
      </c>
      <c r="D56" s="84"/>
      <c r="E56" s="85"/>
      <c r="F56" s="86" t="str">
        <f t="shared" si="1"/>
        <v/>
      </c>
      <c r="G56" s="84"/>
      <c r="H56" s="85"/>
      <c r="I56" s="86" t="str">
        <f t="shared" si="2"/>
        <v/>
      </c>
    </row>
    <row r="57" spans="1:9">
      <c r="A57" s="118"/>
      <c r="B57" s="119"/>
      <c r="C57" s="86" t="str">
        <f t="shared" si="0"/>
        <v/>
      </c>
      <c r="D57" s="84"/>
      <c r="E57" s="85"/>
      <c r="F57" s="86" t="str">
        <f t="shared" si="1"/>
        <v/>
      </c>
      <c r="G57" s="84"/>
      <c r="H57" s="85"/>
      <c r="I57" s="86" t="str">
        <f t="shared" si="2"/>
        <v/>
      </c>
    </row>
    <row r="58" spans="1:9">
      <c r="A58" s="118"/>
      <c r="B58" s="119"/>
      <c r="C58" s="86" t="str">
        <f t="shared" si="0"/>
        <v/>
      </c>
      <c r="D58" s="84"/>
      <c r="E58" s="85"/>
      <c r="F58" s="86" t="str">
        <f t="shared" si="1"/>
        <v/>
      </c>
      <c r="G58" s="84"/>
      <c r="H58" s="85"/>
      <c r="I58" s="86" t="str">
        <f t="shared" si="2"/>
        <v/>
      </c>
    </row>
    <row r="59" spans="1:9">
      <c r="A59" s="118"/>
      <c r="B59" s="119"/>
      <c r="C59" s="86" t="str">
        <f t="shared" si="0"/>
        <v/>
      </c>
      <c r="D59" s="84"/>
      <c r="E59" s="85"/>
      <c r="F59" s="86" t="str">
        <f t="shared" si="1"/>
        <v/>
      </c>
      <c r="G59" s="84"/>
      <c r="H59" s="85"/>
      <c r="I59" s="86" t="str">
        <f t="shared" si="2"/>
        <v/>
      </c>
    </row>
    <row r="60" spans="1:9">
      <c r="A60" s="118"/>
      <c r="B60" s="119"/>
      <c r="C60" s="86" t="str">
        <f t="shared" si="0"/>
        <v/>
      </c>
      <c r="D60" s="84"/>
      <c r="E60" s="85"/>
      <c r="F60" s="86" t="str">
        <f t="shared" si="1"/>
        <v/>
      </c>
      <c r="G60" s="84"/>
      <c r="H60" s="85"/>
      <c r="I60" s="86" t="str">
        <f t="shared" si="2"/>
        <v/>
      </c>
    </row>
    <row r="61" spans="1:9">
      <c r="A61" s="118"/>
      <c r="B61" s="119"/>
      <c r="C61" s="86" t="str">
        <f t="shared" si="0"/>
        <v/>
      </c>
      <c r="D61" s="84"/>
      <c r="E61" s="85"/>
      <c r="F61" s="86" t="str">
        <f t="shared" si="1"/>
        <v/>
      </c>
      <c r="G61" s="84"/>
      <c r="H61" s="85"/>
      <c r="I61" s="86" t="str">
        <f t="shared" si="2"/>
        <v/>
      </c>
    </row>
    <row r="62" spans="1:9">
      <c r="A62" s="118"/>
      <c r="B62" s="119"/>
      <c r="C62" s="86" t="str">
        <f t="shared" si="0"/>
        <v/>
      </c>
      <c r="D62" s="84"/>
      <c r="E62" s="85"/>
      <c r="F62" s="86" t="str">
        <f t="shared" si="1"/>
        <v/>
      </c>
      <c r="G62" s="84"/>
      <c r="H62" s="85"/>
      <c r="I62" s="86" t="str">
        <f t="shared" si="2"/>
        <v/>
      </c>
    </row>
    <row r="63" spans="1:9">
      <c r="A63" s="118"/>
      <c r="B63" s="119"/>
      <c r="C63" s="86" t="str">
        <f t="shared" si="0"/>
        <v/>
      </c>
      <c r="D63" s="84"/>
      <c r="E63" s="85"/>
      <c r="F63" s="86" t="str">
        <f t="shared" si="1"/>
        <v/>
      </c>
      <c r="G63" s="84"/>
      <c r="H63" s="85"/>
      <c r="I63" s="86" t="str">
        <f t="shared" si="2"/>
        <v/>
      </c>
    </row>
    <row r="64" spans="1:9">
      <c r="A64" s="118"/>
      <c r="B64" s="119"/>
      <c r="C64" s="86" t="str">
        <f t="shared" si="0"/>
        <v/>
      </c>
      <c r="D64" s="84"/>
      <c r="E64" s="85"/>
      <c r="F64" s="86" t="str">
        <f t="shared" si="1"/>
        <v/>
      </c>
      <c r="G64" s="84"/>
      <c r="H64" s="85"/>
      <c r="I64" s="86" t="str">
        <f t="shared" si="2"/>
        <v/>
      </c>
    </row>
    <row r="65" spans="1:9">
      <c r="A65" s="118"/>
      <c r="B65" s="119"/>
      <c r="C65" s="86" t="str">
        <f t="shared" si="0"/>
        <v/>
      </c>
      <c r="D65" s="84"/>
      <c r="E65" s="85"/>
      <c r="F65" s="86" t="str">
        <f t="shared" si="1"/>
        <v/>
      </c>
      <c r="G65" s="84"/>
      <c r="H65" s="85"/>
      <c r="I65" s="86" t="str">
        <f t="shared" si="2"/>
        <v/>
      </c>
    </row>
    <row r="66" spans="1:9">
      <c r="A66" s="118"/>
      <c r="B66" s="119"/>
      <c r="C66" s="86" t="str">
        <f t="shared" si="0"/>
        <v/>
      </c>
      <c r="D66" s="84"/>
      <c r="E66" s="85"/>
      <c r="F66" s="86" t="str">
        <f t="shared" si="1"/>
        <v/>
      </c>
      <c r="G66" s="84"/>
      <c r="H66" s="85"/>
      <c r="I66" s="86" t="str">
        <f t="shared" si="2"/>
        <v/>
      </c>
    </row>
    <row r="67" spans="1:9">
      <c r="A67" s="118"/>
      <c r="B67" s="119"/>
      <c r="C67" s="86" t="str">
        <f t="shared" si="0"/>
        <v/>
      </c>
      <c r="D67" s="84"/>
      <c r="E67" s="85"/>
      <c r="F67" s="86" t="str">
        <f t="shared" si="1"/>
        <v/>
      </c>
      <c r="G67" s="84"/>
      <c r="H67" s="85"/>
      <c r="I67" s="86" t="str">
        <f t="shared" si="2"/>
        <v/>
      </c>
    </row>
    <row r="68" spans="1:9">
      <c r="A68" s="118"/>
      <c r="B68" s="119"/>
      <c r="C68" s="86" t="str">
        <f t="shared" si="0"/>
        <v/>
      </c>
      <c r="D68" s="84"/>
      <c r="E68" s="85"/>
      <c r="F68" s="86" t="str">
        <f t="shared" si="1"/>
        <v/>
      </c>
      <c r="G68" s="84"/>
      <c r="H68" s="85"/>
      <c r="I68" s="86" t="str">
        <f t="shared" si="2"/>
        <v/>
      </c>
    </row>
    <row r="69" spans="1:9">
      <c r="A69" s="118"/>
      <c r="B69" s="119"/>
      <c r="C69" s="86" t="str">
        <f t="shared" ref="C69:C132" si="3">IF(B69&gt;0,TEXT(B69,"(aaa)"),"")</f>
        <v/>
      </c>
      <c r="D69" s="84"/>
      <c r="E69" s="85"/>
      <c r="F69" s="86" t="str">
        <f t="shared" ref="F69:F132" si="4">IF(E69&gt;0,TEXT(E69,"(aaa)"),"")</f>
        <v/>
      </c>
      <c r="G69" s="84"/>
      <c r="H69" s="85"/>
      <c r="I69" s="86" t="str">
        <f t="shared" ref="I69:I132" si="5">IF(H69&gt;0,TEXT(H69,"(aaa)"),"")</f>
        <v/>
      </c>
    </row>
    <row r="70" spans="1:9">
      <c r="A70" s="118"/>
      <c r="B70" s="119"/>
      <c r="C70" s="86" t="str">
        <f t="shared" si="3"/>
        <v/>
      </c>
      <c r="D70" s="84"/>
      <c r="E70" s="85"/>
      <c r="F70" s="86" t="str">
        <f t="shared" si="4"/>
        <v/>
      </c>
      <c r="G70" s="84"/>
      <c r="H70" s="85"/>
      <c r="I70" s="86" t="str">
        <f t="shared" si="5"/>
        <v/>
      </c>
    </row>
    <row r="71" spans="1:9">
      <c r="A71" s="118"/>
      <c r="B71" s="119"/>
      <c r="C71" s="86" t="str">
        <f t="shared" si="3"/>
        <v/>
      </c>
      <c r="D71" s="84"/>
      <c r="E71" s="85"/>
      <c r="F71" s="86" t="str">
        <f t="shared" si="4"/>
        <v/>
      </c>
      <c r="G71" s="84"/>
      <c r="H71" s="85"/>
      <c r="I71" s="86" t="str">
        <f t="shared" si="5"/>
        <v/>
      </c>
    </row>
    <row r="72" spans="1:9">
      <c r="A72" s="118"/>
      <c r="B72" s="119"/>
      <c r="C72" s="86" t="str">
        <f t="shared" si="3"/>
        <v/>
      </c>
      <c r="D72" s="84"/>
      <c r="E72" s="85"/>
      <c r="F72" s="86" t="str">
        <f t="shared" si="4"/>
        <v/>
      </c>
      <c r="G72" s="84"/>
      <c r="H72" s="85"/>
      <c r="I72" s="86" t="str">
        <f t="shared" si="5"/>
        <v/>
      </c>
    </row>
    <row r="73" spans="1:9">
      <c r="A73" s="118"/>
      <c r="B73" s="119"/>
      <c r="C73" s="86" t="str">
        <f t="shared" si="3"/>
        <v/>
      </c>
      <c r="D73" s="84"/>
      <c r="E73" s="85"/>
      <c r="F73" s="86" t="str">
        <f t="shared" si="4"/>
        <v/>
      </c>
      <c r="G73" s="84"/>
      <c r="H73" s="85"/>
      <c r="I73" s="86" t="str">
        <f t="shared" si="5"/>
        <v/>
      </c>
    </row>
    <row r="74" spans="1:9">
      <c r="A74" s="118"/>
      <c r="B74" s="119"/>
      <c r="C74" s="86" t="str">
        <f t="shared" si="3"/>
        <v/>
      </c>
      <c r="D74" s="84"/>
      <c r="E74" s="85"/>
      <c r="F74" s="86" t="str">
        <f t="shared" si="4"/>
        <v/>
      </c>
      <c r="G74" s="84"/>
      <c r="H74" s="85"/>
      <c r="I74" s="86" t="str">
        <f t="shared" si="5"/>
        <v/>
      </c>
    </row>
    <row r="75" spans="1:9">
      <c r="A75" s="118"/>
      <c r="B75" s="119"/>
      <c r="C75" s="86" t="str">
        <f t="shared" si="3"/>
        <v/>
      </c>
      <c r="D75" s="84"/>
      <c r="E75" s="85"/>
      <c r="F75" s="86" t="str">
        <f t="shared" si="4"/>
        <v/>
      </c>
      <c r="G75" s="84"/>
      <c r="H75" s="85"/>
      <c r="I75" s="86" t="str">
        <f t="shared" si="5"/>
        <v/>
      </c>
    </row>
    <row r="76" spans="1:9">
      <c r="A76" s="118"/>
      <c r="B76" s="119"/>
      <c r="C76" s="86" t="str">
        <f t="shared" si="3"/>
        <v/>
      </c>
      <c r="D76" s="84"/>
      <c r="E76" s="85"/>
      <c r="F76" s="86" t="str">
        <f t="shared" si="4"/>
        <v/>
      </c>
      <c r="G76" s="84"/>
      <c r="H76" s="85"/>
      <c r="I76" s="86" t="str">
        <f t="shared" si="5"/>
        <v/>
      </c>
    </row>
    <row r="77" spans="1:9">
      <c r="A77" s="118"/>
      <c r="B77" s="119"/>
      <c r="C77" s="86" t="str">
        <f t="shared" si="3"/>
        <v/>
      </c>
      <c r="D77" s="84"/>
      <c r="E77" s="85"/>
      <c r="F77" s="86" t="str">
        <f t="shared" si="4"/>
        <v/>
      </c>
      <c r="G77" s="84"/>
      <c r="H77" s="85"/>
      <c r="I77" s="86" t="str">
        <f t="shared" si="5"/>
        <v/>
      </c>
    </row>
    <row r="78" spans="1:9">
      <c r="A78" s="118"/>
      <c r="B78" s="119"/>
      <c r="C78" s="86" t="str">
        <f t="shared" si="3"/>
        <v/>
      </c>
      <c r="D78" s="84"/>
      <c r="E78" s="85"/>
      <c r="F78" s="86" t="str">
        <f t="shared" si="4"/>
        <v/>
      </c>
      <c r="G78" s="84"/>
      <c r="H78" s="85"/>
      <c r="I78" s="86" t="str">
        <f t="shared" si="5"/>
        <v/>
      </c>
    </row>
    <row r="79" spans="1:9">
      <c r="A79" s="118"/>
      <c r="B79" s="119"/>
      <c r="C79" s="86" t="str">
        <f t="shared" si="3"/>
        <v/>
      </c>
      <c r="D79" s="84"/>
      <c r="E79" s="85"/>
      <c r="F79" s="86" t="str">
        <f t="shared" si="4"/>
        <v/>
      </c>
      <c r="G79" s="84"/>
      <c r="H79" s="85"/>
      <c r="I79" s="86" t="str">
        <f t="shared" si="5"/>
        <v/>
      </c>
    </row>
    <row r="80" spans="1:9">
      <c r="A80" s="118"/>
      <c r="B80" s="119"/>
      <c r="C80" s="86" t="str">
        <f t="shared" si="3"/>
        <v/>
      </c>
      <c r="D80" s="84"/>
      <c r="E80" s="85"/>
      <c r="F80" s="86" t="str">
        <f t="shared" si="4"/>
        <v/>
      </c>
      <c r="G80" s="84"/>
      <c r="H80" s="85"/>
      <c r="I80" s="86" t="str">
        <f t="shared" si="5"/>
        <v/>
      </c>
    </row>
    <row r="81" spans="1:9">
      <c r="A81" s="118"/>
      <c r="B81" s="119"/>
      <c r="C81" s="86" t="str">
        <f t="shared" si="3"/>
        <v/>
      </c>
      <c r="D81" s="84"/>
      <c r="E81" s="85"/>
      <c r="F81" s="86" t="str">
        <f t="shared" si="4"/>
        <v/>
      </c>
      <c r="G81" s="84"/>
      <c r="H81" s="85"/>
      <c r="I81" s="86" t="str">
        <f t="shared" si="5"/>
        <v/>
      </c>
    </row>
    <row r="82" spans="1:9">
      <c r="A82" s="118"/>
      <c r="B82" s="119"/>
      <c r="C82" s="86" t="str">
        <f t="shared" si="3"/>
        <v/>
      </c>
      <c r="D82" s="84"/>
      <c r="E82" s="85"/>
      <c r="F82" s="86" t="str">
        <f t="shared" si="4"/>
        <v/>
      </c>
      <c r="G82" s="84"/>
      <c r="H82" s="85"/>
      <c r="I82" s="86" t="str">
        <f t="shared" si="5"/>
        <v/>
      </c>
    </row>
    <row r="83" spans="1:9">
      <c r="A83" s="118"/>
      <c r="B83" s="119"/>
      <c r="C83" s="86" t="str">
        <f t="shared" si="3"/>
        <v/>
      </c>
      <c r="D83" s="84"/>
      <c r="E83" s="85"/>
      <c r="F83" s="86" t="str">
        <f t="shared" si="4"/>
        <v/>
      </c>
      <c r="G83" s="84"/>
      <c r="H83" s="85"/>
      <c r="I83" s="86" t="str">
        <f t="shared" si="5"/>
        <v/>
      </c>
    </row>
    <row r="84" spans="1:9">
      <c r="A84" s="118"/>
      <c r="B84" s="119"/>
      <c r="C84" s="86" t="str">
        <f t="shared" si="3"/>
        <v/>
      </c>
      <c r="D84" s="84"/>
      <c r="E84" s="85"/>
      <c r="F84" s="86" t="str">
        <f t="shared" si="4"/>
        <v/>
      </c>
      <c r="G84" s="84"/>
      <c r="H84" s="85"/>
      <c r="I84" s="86" t="str">
        <f t="shared" si="5"/>
        <v/>
      </c>
    </row>
    <row r="85" spans="1:9">
      <c r="A85" s="118"/>
      <c r="B85" s="119"/>
      <c r="C85" s="86" t="str">
        <f t="shared" si="3"/>
        <v/>
      </c>
      <c r="D85" s="84"/>
      <c r="E85" s="85"/>
      <c r="F85" s="86" t="str">
        <f t="shared" si="4"/>
        <v/>
      </c>
      <c r="G85" s="84"/>
      <c r="H85" s="85"/>
      <c r="I85" s="86" t="str">
        <f t="shared" si="5"/>
        <v/>
      </c>
    </row>
    <row r="86" spans="1:9">
      <c r="A86" s="118"/>
      <c r="B86" s="119"/>
      <c r="C86" s="86" t="str">
        <f t="shared" si="3"/>
        <v/>
      </c>
      <c r="D86" s="84"/>
      <c r="E86" s="85"/>
      <c r="F86" s="86" t="str">
        <f t="shared" si="4"/>
        <v/>
      </c>
      <c r="G86" s="84"/>
      <c r="H86" s="85"/>
      <c r="I86" s="86" t="str">
        <f t="shared" si="5"/>
        <v/>
      </c>
    </row>
    <row r="87" spans="1:9">
      <c r="A87" s="118"/>
      <c r="B87" s="119"/>
      <c r="C87" s="86" t="str">
        <f t="shared" si="3"/>
        <v/>
      </c>
      <c r="D87" s="84"/>
      <c r="E87" s="85"/>
      <c r="F87" s="86" t="str">
        <f t="shared" si="4"/>
        <v/>
      </c>
      <c r="G87" s="84"/>
      <c r="H87" s="85"/>
      <c r="I87" s="86" t="str">
        <f t="shared" si="5"/>
        <v/>
      </c>
    </row>
    <row r="88" spans="1:9">
      <c r="A88" s="118"/>
      <c r="B88" s="119"/>
      <c r="C88" s="86" t="str">
        <f t="shared" si="3"/>
        <v/>
      </c>
      <c r="D88" s="84"/>
      <c r="E88" s="85"/>
      <c r="F88" s="86" t="str">
        <f t="shared" si="4"/>
        <v/>
      </c>
      <c r="G88" s="84"/>
      <c r="H88" s="85"/>
      <c r="I88" s="86" t="str">
        <f t="shared" si="5"/>
        <v/>
      </c>
    </row>
    <row r="89" spans="1:9">
      <c r="A89" s="118"/>
      <c r="B89" s="119"/>
      <c r="C89" s="86" t="str">
        <f t="shared" si="3"/>
        <v/>
      </c>
      <c r="D89" s="84"/>
      <c r="E89" s="85"/>
      <c r="F89" s="86" t="str">
        <f t="shared" si="4"/>
        <v/>
      </c>
      <c r="G89" s="84"/>
      <c r="H89" s="85"/>
      <c r="I89" s="86" t="str">
        <f t="shared" si="5"/>
        <v/>
      </c>
    </row>
    <row r="90" spans="1:9">
      <c r="A90" s="118"/>
      <c r="B90" s="119"/>
      <c r="C90" s="86" t="str">
        <f t="shared" si="3"/>
        <v/>
      </c>
      <c r="D90" s="84"/>
      <c r="E90" s="85"/>
      <c r="F90" s="86" t="str">
        <f t="shared" si="4"/>
        <v/>
      </c>
      <c r="G90" s="84"/>
      <c r="H90" s="85"/>
      <c r="I90" s="86" t="str">
        <f t="shared" si="5"/>
        <v/>
      </c>
    </row>
    <row r="91" spans="1:9">
      <c r="A91" s="118"/>
      <c r="B91" s="119"/>
      <c r="C91" s="86" t="str">
        <f t="shared" si="3"/>
        <v/>
      </c>
      <c r="D91" s="84"/>
      <c r="E91" s="85"/>
      <c r="F91" s="86" t="str">
        <f t="shared" si="4"/>
        <v/>
      </c>
      <c r="G91" s="84"/>
      <c r="H91" s="85"/>
      <c r="I91" s="86" t="str">
        <f t="shared" si="5"/>
        <v/>
      </c>
    </row>
    <row r="92" spans="1:9">
      <c r="A92" s="118"/>
      <c r="B92" s="119"/>
      <c r="C92" s="86" t="str">
        <f t="shared" si="3"/>
        <v/>
      </c>
      <c r="D92" s="84"/>
      <c r="E92" s="85"/>
      <c r="F92" s="86" t="str">
        <f t="shared" si="4"/>
        <v/>
      </c>
      <c r="G92" s="84"/>
      <c r="H92" s="85"/>
      <c r="I92" s="86" t="str">
        <f t="shared" si="5"/>
        <v/>
      </c>
    </row>
    <row r="93" spans="1:9">
      <c r="A93" s="118"/>
      <c r="B93" s="119"/>
      <c r="C93" s="86" t="str">
        <f t="shared" si="3"/>
        <v/>
      </c>
      <c r="D93" s="84"/>
      <c r="E93" s="85"/>
      <c r="F93" s="86" t="str">
        <f t="shared" si="4"/>
        <v/>
      </c>
      <c r="G93" s="84"/>
      <c r="H93" s="85"/>
      <c r="I93" s="86" t="str">
        <f t="shared" si="5"/>
        <v/>
      </c>
    </row>
    <row r="94" spans="1:9">
      <c r="A94" s="118"/>
      <c r="B94" s="119"/>
      <c r="C94" s="86" t="str">
        <f t="shared" si="3"/>
        <v/>
      </c>
      <c r="D94" s="84"/>
      <c r="E94" s="85"/>
      <c r="F94" s="86" t="str">
        <f t="shared" si="4"/>
        <v/>
      </c>
      <c r="G94" s="84"/>
      <c r="H94" s="85"/>
      <c r="I94" s="86" t="str">
        <f t="shared" si="5"/>
        <v/>
      </c>
    </row>
    <row r="95" spans="1:9">
      <c r="A95" s="118"/>
      <c r="B95" s="119"/>
      <c r="C95" s="86" t="str">
        <f t="shared" si="3"/>
        <v/>
      </c>
      <c r="D95" s="84"/>
      <c r="E95" s="85"/>
      <c r="F95" s="86" t="str">
        <f t="shared" si="4"/>
        <v/>
      </c>
      <c r="G95" s="84"/>
      <c r="H95" s="85"/>
      <c r="I95" s="86" t="str">
        <f t="shared" si="5"/>
        <v/>
      </c>
    </row>
    <row r="96" spans="1:9">
      <c r="A96" s="118"/>
      <c r="B96" s="119"/>
      <c r="C96" s="86" t="str">
        <f t="shared" si="3"/>
        <v/>
      </c>
      <c r="D96" s="84"/>
      <c r="E96" s="85"/>
      <c r="F96" s="86" t="str">
        <f t="shared" si="4"/>
        <v/>
      </c>
      <c r="G96" s="84"/>
      <c r="H96" s="85"/>
      <c r="I96" s="86" t="str">
        <f t="shared" si="5"/>
        <v/>
      </c>
    </row>
    <row r="97" spans="1:9">
      <c r="A97" s="118"/>
      <c r="B97" s="119"/>
      <c r="C97" s="86" t="str">
        <f t="shared" si="3"/>
        <v/>
      </c>
      <c r="D97" s="84"/>
      <c r="E97" s="85"/>
      <c r="F97" s="86" t="str">
        <f t="shared" si="4"/>
        <v/>
      </c>
      <c r="G97" s="84"/>
      <c r="H97" s="85"/>
      <c r="I97" s="86" t="str">
        <f t="shared" si="5"/>
        <v/>
      </c>
    </row>
    <row r="98" spans="1:9">
      <c r="A98" s="118"/>
      <c r="B98" s="119"/>
      <c r="C98" s="86" t="str">
        <f t="shared" si="3"/>
        <v/>
      </c>
      <c r="D98" s="84"/>
      <c r="E98" s="85"/>
      <c r="F98" s="86" t="str">
        <f t="shared" si="4"/>
        <v/>
      </c>
      <c r="G98" s="84"/>
      <c r="H98" s="85"/>
      <c r="I98" s="86" t="str">
        <f t="shared" si="5"/>
        <v/>
      </c>
    </row>
    <row r="99" spans="1:9">
      <c r="A99" s="118"/>
      <c r="B99" s="119"/>
      <c r="C99" s="86" t="str">
        <f t="shared" si="3"/>
        <v/>
      </c>
      <c r="D99" s="84"/>
      <c r="E99" s="85"/>
      <c r="F99" s="86" t="str">
        <f t="shared" si="4"/>
        <v/>
      </c>
      <c r="G99" s="84"/>
      <c r="H99" s="85"/>
      <c r="I99" s="86" t="str">
        <f t="shared" si="5"/>
        <v/>
      </c>
    </row>
    <row r="100" spans="1:9">
      <c r="A100" s="118"/>
      <c r="B100" s="119"/>
      <c r="C100" s="86" t="str">
        <f t="shared" si="3"/>
        <v/>
      </c>
      <c r="D100" s="84"/>
      <c r="E100" s="85"/>
      <c r="F100" s="86" t="str">
        <f t="shared" si="4"/>
        <v/>
      </c>
      <c r="G100" s="84"/>
      <c r="H100" s="85"/>
      <c r="I100" s="86" t="str">
        <f t="shared" si="5"/>
        <v/>
      </c>
    </row>
    <row r="101" spans="1:9">
      <c r="A101" s="118"/>
      <c r="B101" s="119"/>
      <c r="C101" s="86" t="str">
        <f t="shared" si="3"/>
        <v/>
      </c>
      <c r="D101" s="84"/>
      <c r="E101" s="85"/>
      <c r="F101" s="86" t="str">
        <f t="shared" si="4"/>
        <v/>
      </c>
      <c r="G101" s="84"/>
      <c r="H101" s="85"/>
      <c r="I101" s="86" t="str">
        <f t="shared" si="5"/>
        <v/>
      </c>
    </row>
    <row r="102" spans="1:9">
      <c r="A102" s="118"/>
      <c r="B102" s="119"/>
      <c r="C102" s="86" t="str">
        <f t="shared" si="3"/>
        <v/>
      </c>
      <c r="D102" s="84"/>
      <c r="E102" s="85"/>
      <c r="F102" s="86" t="str">
        <f t="shared" si="4"/>
        <v/>
      </c>
      <c r="G102" s="84"/>
      <c r="H102" s="85"/>
      <c r="I102" s="86" t="str">
        <f t="shared" si="5"/>
        <v/>
      </c>
    </row>
    <row r="103" spans="1:9">
      <c r="A103" s="118"/>
      <c r="B103" s="119"/>
      <c r="C103" s="86" t="str">
        <f t="shared" si="3"/>
        <v/>
      </c>
      <c r="D103" s="84"/>
      <c r="E103" s="85"/>
      <c r="F103" s="86" t="str">
        <f t="shared" si="4"/>
        <v/>
      </c>
      <c r="G103" s="84"/>
      <c r="H103" s="85"/>
      <c r="I103" s="86" t="str">
        <f t="shared" si="5"/>
        <v/>
      </c>
    </row>
    <row r="104" spans="1:9">
      <c r="A104" s="118"/>
      <c r="B104" s="119"/>
      <c r="C104" s="86" t="str">
        <f t="shared" si="3"/>
        <v/>
      </c>
      <c r="D104" s="84"/>
      <c r="E104" s="85"/>
      <c r="F104" s="86" t="str">
        <f t="shared" si="4"/>
        <v/>
      </c>
      <c r="G104" s="84"/>
      <c r="H104" s="85"/>
      <c r="I104" s="86" t="str">
        <f t="shared" si="5"/>
        <v/>
      </c>
    </row>
    <row r="105" spans="1:9">
      <c r="A105" s="118"/>
      <c r="B105" s="119"/>
      <c r="C105" s="86" t="str">
        <f t="shared" si="3"/>
        <v/>
      </c>
      <c r="D105" s="84"/>
      <c r="E105" s="85"/>
      <c r="F105" s="86" t="str">
        <f t="shared" si="4"/>
        <v/>
      </c>
      <c r="G105" s="84"/>
      <c r="H105" s="85"/>
      <c r="I105" s="86" t="str">
        <f t="shared" si="5"/>
        <v/>
      </c>
    </row>
    <row r="106" spans="1:9">
      <c r="A106" s="118"/>
      <c r="B106" s="119"/>
      <c r="C106" s="86" t="str">
        <f t="shared" si="3"/>
        <v/>
      </c>
      <c r="D106" s="84"/>
      <c r="E106" s="85"/>
      <c r="F106" s="86" t="str">
        <f t="shared" si="4"/>
        <v/>
      </c>
      <c r="G106" s="84"/>
      <c r="H106" s="85"/>
      <c r="I106" s="86" t="str">
        <f t="shared" si="5"/>
        <v/>
      </c>
    </row>
    <row r="107" spans="1:9">
      <c r="A107" s="118"/>
      <c r="B107" s="119"/>
      <c r="C107" s="86" t="str">
        <f t="shared" si="3"/>
        <v/>
      </c>
      <c r="D107" s="84"/>
      <c r="E107" s="85"/>
      <c r="F107" s="86" t="str">
        <f t="shared" si="4"/>
        <v/>
      </c>
      <c r="G107" s="84"/>
      <c r="H107" s="85"/>
      <c r="I107" s="86" t="str">
        <f t="shared" si="5"/>
        <v/>
      </c>
    </row>
    <row r="108" spans="1:9">
      <c r="A108" s="118"/>
      <c r="B108" s="119"/>
      <c r="C108" s="86" t="str">
        <f t="shared" si="3"/>
        <v/>
      </c>
      <c r="D108" s="84"/>
      <c r="E108" s="85"/>
      <c r="F108" s="86" t="str">
        <f t="shared" si="4"/>
        <v/>
      </c>
      <c r="G108" s="84"/>
      <c r="H108" s="85"/>
      <c r="I108" s="86" t="str">
        <f t="shared" si="5"/>
        <v/>
      </c>
    </row>
    <row r="109" spans="1:9">
      <c r="A109" s="118"/>
      <c r="B109" s="119"/>
      <c r="C109" s="86" t="str">
        <f t="shared" si="3"/>
        <v/>
      </c>
      <c r="D109" s="84"/>
      <c r="E109" s="85"/>
      <c r="F109" s="86" t="str">
        <f t="shared" si="4"/>
        <v/>
      </c>
      <c r="G109" s="84"/>
      <c r="H109" s="85"/>
      <c r="I109" s="86" t="str">
        <f t="shared" si="5"/>
        <v/>
      </c>
    </row>
    <row r="110" spans="1:9">
      <c r="A110" s="118"/>
      <c r="B110" s="119"/>
      <c r="C110" s="86" t="str">
        <f t="shared" si="3"/>
        <v/>
      </c>
      <c r="D110" s="84"/>
      <c r="E110" s="85"/>
      <c r="F110" s="86" t="str">
        <f t="shared" si="4"/>
        <v/>
      </c>
      <c r="G110" s="84"/>
      <c r="H110" s="85"/>
      <c r="I110" s="86" t="str">
        <f t="shared" si="5"/>
        <v/>
      </c>
    </row>
    <row r="111" spans="1:9">
      <c r="A111" s="118"/>
      <c r="B111" s="119"/>
      <c r="C111" s="86" t="str">
        <f t="shared" si="3"/>
        <v/>
      </c>
      <c r="D111" s="84"/>
      <c r="E111" s="85"/>
      <c r="F111" s="86" t="str">
        <f t="shared" si="4"/>
        <v/>
      </c>
      <c r="G111" s="84"/>
      <c r="H111" s="85"/>
      <c r="I111" s="86" t="str">
        <f t="shared" si="5"/>
        <v/>
      </c>
    </row>
    <row r="112" spans="1:9">
      <c r="A112" s="118"/>
      <c r="B112" s="119"/>
      <c r="C112" s="86" t="str">
        <f t="shared" si="3"/>
        <v/>
      </c>
      <c r="D112" s="84"/>
      <c r="E112" s="85"/>
      <c r="F112" s="86" t="str">
        <f t="shared" si="4"/>
        <v/>
      </c>
      <c r="G112" s="84"/>
      <c r="H112" s="85"/>
      <c r="I112" s="86" t="str">
        <f t="shared" si="5"/>
        <v/>
      </c>
    </row>
    <row r="113" spans="1:9">
      <c r="A113" s="118"/>
      <c r="B113" s="119"/>
      <c r="C113" s="86" t="str">
        <f t="shared" si="3"/>
        <v/>
      </c>
      <c r="D113" s="84"/>
      <c r="E113" s="85"/>
      <c r="F113" s="86" t="str">
        <f t="shared" si="4"/>
        <v/>
      </c>
      <c r="G113" s="84"/>
      <c r="H113" s="85"/>
      <c r="I113" s="86" t="str">
        <f t="shared" si="5"/>
        <v/>
      </c>
    </row>
    <row r="114" spans="1:9">
      <c r="A114" s="118"/>
      <c r="B114" s="119"/>
      <c r="C114" s="86" t="str">
        <f t="shared" si="3"/>
        <v/>
      </c>
      <c r="D114" s="84"/>
      <c r="E114" s="85"/>
      <c r="F114" s="86" t="str">
        <f t="shared" si="4"/>
        <v/>
      </c>
      <c r="G114" s="84"/>
      <c r="H114" s="85"/>
      <c r="I114" s="86" t="str">
        <f t="shared" si="5"/>
        <v/>
      </c>
    </row>
    <row r="115" spans="1:9">
      <c r="A115" s="118"/>
      <c r="B115" s="119"/>
      <c r="C115" s="86" t="str">
        <f t="shared" si="3"/>
        <v/>
      </c>
      <c r="D115" s="84"/>
      <c r="E115" s="85"/>
      <c r="F115" s="86" t="str">
        <f t="shared" si="4"/>
        <v/>
      </c>
      <c r="G115" s="84"/>
      <c r="H115" s="85"/>
      <c r="I115" s="86" t="str">
        <f t="shared" si="5"/>
        <v/>
      </c>
    </row>
    <row r="116" spans="1:9">
      <c r="A116" s="118"/>
      <c r="B116" s="119"/>
      <c r="C116" s="86" t="str">
        <f t="shared" si="3"/>
        <v/>
      </c>
      <c r="D116" s="84"/>
      <c r="E116" s="85"/>
      <c r="F116" s="86" t="str">
        <f t="shared" si="4"/>
        <v/>
      </c>
      <c r="G116" s="84"/>
      <c r="H116" s="85"/>
      <c r="I116" s="86" t="str">
        <f t="shared" si="5"/>
        <v/>
      </c>
    </row>
    <row r="117" spans="1:9">
      <c r="A117" s="118"/>
      <c r="B117" s="119"/>
      <c r="C117" s="86" t="str">
        <f t="shared" si="3"/>
        <v/>
      </c>
      <c r="D117" s="84"/>
      <c r="E117" s="85"/>
      <c r="F117" s="86" t="str">
        <f t="shared" si="4"/>
        <v/>
      </c>
      <c r="G117" s="84"/>
      <c r="H117" s="85"/>
      <c r="I117" s="86" t="str">
        <f t="shared" si="5"/>
        <v/>
      </c>
    </row>
    <row r="118" spans="1:9">
      <c r="A118" s="118"/>
      <c r="B118" s="119"/>
      <c r="C118" s="86" t="str">
        <f t="shared" si="3"/>
        <v/>
      </c>
      <c r="D118" s="84"/>
      <c r="E118" s="85"/>
      <c r="F118" s="86" t="str">
        <f t="shared" si="4"/>
        <v/>
      </c>
      <c r="G118" s="84"/>
      <c r="H118" s="85"/>
      <c r="I118" s="86" t="str">
        <f t="shared" si="5"/>
        <v/>
      </c>
    </row>
    <row r="119" spans="1:9">
      <c r="A119" s="118"/>
      <c r="B119" s="119"/>
      <c r="C119" s="86" t="str">
        <f t="shared" si="3"/>
        <v/>
      </c>
      <c r="D119" s="84"/>
      <c r="E119" s="85"/>
      <c r="F119" s="86" t="str">
        <f t="shared" si="4"/>
        <v/>
      </c>
      <c r="G119" s="84"/>
      <c r="H119" s="85"/>
      <c r="I119" s="86" t="str">
        <f t="shared" si="5"/>
        <v/>
      </c>
    </row>
    <row r="120" spans="1:9">
      <c r="A120" s="118"/>
      <c r="B120" s="119"/>
      <c r="C120" s="86" t="str">
        <f t="shared" si="3"/>
        <v/>
      </c>
      <c r="D120" s="84"/>
      <c r="E120" s="85"/>
      <c r="F120" s="86" t="str">
        <f t="shared" si="4"/>
        <v/>
      </c>
      <c r="G120" s="84"/>
      <c r="H120" s="85"/>
      <c r="I120" s="86" t="str">
        <f t="shared" si="5"/>
        <v/>
      </c>
    </row>
    <row r="121" spans="1:9">
      <c r="A121" s="118"/>
      <c r="B121" s="119"/>
      <c r="C121" s="86" t="str">
        <f t="shared" si="3"/>
        <v/>
      </c>
      <c r="D121" s="84"/>
      <c r="E121" s="85"/>
      <c r="F121" s="86" t="str">
        <f t="shared" si="4"/>
        <v/>
      </c>
      <c r="G121" s="84"/>
      <c r="H121" s="85"/>
      <c r="I121" s="86" t="str">
        <f t="shared" si="5"/>
        <v/>
      </c>
    </row>
    <row r="122" spans="1:9">
      <c r="A122" s="118"/>
      <c r="B122" s="119"/>
      <c r="C122" s="86" t="str">
        <f t="shared" si="3"/>
        <v/>
      </c>
      <c r="D122" s="84"/>
      <c r="E122" s="85"/>
      <c r="F122" s="86" t="str">
        <f t="shared" si="4"/>
        <v/>
      </c>
      <c r="G122" s="84"/>
      <c r="H122" s="85"/>
      <c r="I122" s="86" t="str">
        <f t="shared" si="5"/>
        <v/>
      </c>
    </row>
    <row r="123" spans="1:9">
      <c r="A123" s="118"/>
      <c r="B123" s="120"/>
      <c r="C123" s="86" t="str">
        <f t="shared" si="3"/>
        <v/>
      </c>
      <c r="D123" s="84"/>
      <c r="E123" s="85"/>
      <c r="F123" s="86" t="str">
        <f t="shared" si="4"/>
        <v/>
      </c>
      <c r="G123" s="84"/>
      <c r="H123" s="85"/>
      <c r="I123" s="86" t="str">
        <f t="shared" si="5"/>
        <v/>
      </c>
    </row>
    <row r="124" spans="1:9">
      <c r="A124" s="118"/>
      <c r="B124" s="119"/>
      <c r="C124" s="86" t="str">
        <f t="shared" si="3"/>
        <v/>
      </c>
      <c r="D124" s="84"/>
      <c r="E124" s="85"/>
      <c r="F124" s="86" t="str">
        <f t="shared" si="4"/>
        <v/>
      </c>
      <c r="G124" s="84"/>
      <c r="H124" s="85"/>
      <c r="I124" s="86" t="str">
        <f t="shared" si="5"/>
        <v/>
      </c>
    </row>
    <row r="125" spans="1:9">
      <c r="A125" s="118"/>
      <c r="B125" s="119"/>
      <c r="C125" s="86" t="str">
        <f t="shared" si="3"/>
        <v/>
      </c>
      <c r="D125" s="84"/>
      <c r="E125" s="85"/>
      <c r="F125" s="86" t="str">
        <f t="shared" si="4"/>
        <v/>
      </c>
      <c r="G125" s="84"/>
      <c r="H125" s="85"/>
      <c r="I125" s="86" t="str">
        <f t="shared" si="5"/>
        <v/>
      </c>
    </row>
    <row r="126" spans="1:9">
      <c r="A126" s="118"/>
      <c r="B126" s="119"/>
      <c r="C126" s="86" t="str">
        <f t="shared" si="3"/>
        <v/>
      </c>
      <c r="D126" s="84"/>
      <c r="E126" s="85"/>
      <c r="F126" s="86" t="str">
        <f t="shared" si="4"/>
        <v/>
      </c>
      <c r="G126" s="84"/>
      <c r="H126" s="85"/>
      <c r="I126" s="86" t="str">
        <f t="shared" si="5"/>
        <v/>
      </c>
    </row>
    <row r="127" spans="1:9">
      <c r="A127" s="118"/>
      <c r="B127" s="119"/>
      <c r="C127" s="86" t="str">
        <f t="shared" si="3"/>
        <v/>
      </c>
      <c r="D127" s="84"/>
      <c r="E127" s="85"/>
      <c r="F127" s="86" t="str">
        <f t="shared" si="4"/>
        <v/>
      </c>
      <c r="G127" s="84"/>
      <c r="H127" s="85"/>
      <c r="I127" s="86" t="str">
        <f t="shared" si="5"/>
        <v/>
      </c>
    </row>
    <row r="128" spans="1:9">
      <c r="A128" s="118"/>
      <c r="B128" s="119"/>
      <c r="C128" s="86" t="str">
        <f t="shared" si="3"/>
        <v/>
      </c>
      <c r="D128" s="84"/>
      <c r="E128" s="85"/>
      <c r="F128" s="86" t="str">
        <f t="shared" si="4"/>
        <v/>
      </c>
      <c r="G128" s="84"/>
      <c r="H128" s="85"/>
      <c r="I128" s="86" t="str">
        <f t="shared" si="5"/>
        <v/>
      </c>
    </row>
    <row r="129" spans="1:9">
      <c r="A129" s="118"/>
      <c r="B129" s="119"/>
      <c r="C129" s="86" t="str">
        <f t="shared" si="3"/>
        <v/>
      </c>
      <c r="D129" s="84"/>
      <c r="E129" s="85"/>
      <c r="F129" s="86" t="str">
        <f t="shared" si="4"/>
        <v/>
      </c>
      <c r="G129" s="84"/>
      <c r="H129" s="85"/>
      <c r="I129" s="86" t="str">
        <f t="shared" si="5"/>
        <v/>
      </c>
    </row>
    <row r="130" spans="1:9">
      <c r="A130" s="118"/>
      <c r="B130" s="119"/>
      <c r="C130" s="86" t="str">
        <f t="shared" si="3"/>
        <v/>
      </c>
      <c r="D130" s="84"/>
      <c r="E130" s="85"/>
      <c r="F130" s="86" t="str">
        <f t="shared" si="4"/>
        <v/>
      </c>
      <c r="G130" s="84"/>
      <c r="H130" s="85"/>
      <c r="I130" s="86" t="str">
        <f t="shared" si="5"/>
        <v/>
      </c>
    </row>
    <row r="131" spans="1:9">
      <c r="A131" s="118"/>
      <c r="B131" s="119"/>
      <c r="C131" s="86" t="str">
        <f t="shared" si="3"/>
        <v/>
      </c>
      <c r="D131" s="84"/>
      <c r="E131" s="85"/>
      <c r="F131" s="86" t="str">
        <f t="shared" si="4"/>
        <v/>
      </c>
      <c r="G131" s="84"/>
      <c r="H131" s="85"/>
      <c r="I131" s="86" t="str">
        <f t="shared" si="5"/>
        <v/>
      </c>
    </row>
    <row r="132" spans="1:9">
      <c r="A132" s="118"/>
      <c r="B132" s="119"/>
      <c r="C132" s="86" t="str">
        <f t="shared" si="3"/>
        <v/>
      </c>
      <c r="D132" s="84"/>
      <c r="E132" s="85"/>
      <c r="F132" s="86" t="str">
        <f t="shared" si="4"/>
        <v/>
      </c>
      <c r="G132" s="84"/>
      <c r="H132" s="85"/>
      <c r="I132" s="86" t="str">
        <f t="shared" si="5"/>
        <v/>
      </c>
    </row>
    <row r="133" spans="1:9">
      <c r="A133" s="118"/>
      <c r="B133" s="119"/>
      <c r="C133" s="86" t="str">
        <f t="shared" ref="C133:C196" si="6">IF(B133&gt;0,TEXT(B133,"(aaa)"),"")</f>
        <v/>
      </c>
      <c r="D133" s="84"/>
      <c r="E133" s="85"/>
      <c r="F133" s="86" t="str">
        <f t="shared" ref="F133:F196" si="7">IF(E133&gt;0,TEXT(E133,"(aaa)"),"")</f>
        <v/>
      </c>
      <c r="G133" s="84"/>
      <c r="H133" s="85"/>
      <c r="I133" s="86" t="str">
        <f t="shared" ref="I133:I196" si="8">IF(H133&gt;0,TEXT(H133,"(aaa)"),"")</f>
        <v/>
      </c>
    </row>
    <row r="134" spans="1:9">
      <c r="A134" s="118"/>
      <c r="B134" s="119"/>
      <c r="C134" s="86" t="str">
        <f t="shared" si="6"/>
        <v/>
      </c>
      <c r="D134" s="84"/>
      <c r="E134" s="85"/>
      <c r="F134" s="86" t="str">
        <f t="shared" si="7"/>
        <v/>
      </c>
      <c r="G134" s="84"/>
      <c r="H134" s="85"/>
      <c r="I134" s="86" t="str">
        <f t="shared" si="8"/>
        <v/>
      </c>
    </row>
    <row r="135" spans="1:9">
      <c r="A135" s="118"/>
      <c r="B135" s="119"/>
      <c r="C135" s="86" t="str">
        <f t="shared" si="6"/>
        <v/>
      </c>
      <c r="D135" s="84"/>
      <c r="E135" s="85"/>
      <c r="F135" s="86" t="str">
        <f t="shared" si="7"/>
        <v/>
      </c>
      <c r="G135" s="84"/>
      <c r="H135" s="85"/>
      <c r="I135" s="86" t="str">
        <f t="shared" si="8"/>
        <v/>
      </c>
    </row>
    <row r="136" spans="1:9">
      <c r="A136" s="118"/>
      <c r="B136" s="119"/>
      <c r="C136" s="86" t="str">
        <f t="shared" si="6"/>
        <v/>
      </c>
      <c r="D136" s="84"/>
      <c r="E136" s="85"/>
      <c r="F136" s="86" t="str">
        <f t="shared" si="7"/>
        <v/>
      </c>
      <c r="G136" s="84"/>
      <c r="H136" s="85"/>
      <c r="I136" s="86" t="str">
        <f t="shared" si="8"/>
        <v/>
      </c>
    </row>
    <row r="137" spans="1:9">
      <c r="A137" s="118"/>
      <c r="B137" s="119"/>
      <c r="C137" s="86" t="str">
        <f t="shared" si="6"/>
        <v/>
      </c>
      <c r="D137" s="84"/>
      <c r="E137" s="85"/>
      <c r="F137" s="86" t="str">
        <f t="shared" si="7"/>
        <v/>
      </c>
      <c r="G137" s="84"/>
      <c r="H137" s="85"/>
      <c r="I137" s="86" t="str">
        <f t="shared" si="8"/>
        <v/>
      </c>
    </row>
    <row r="138" spans="1:9">
      <c r="A138" s="118"/>
      <c r="B138" s="119"/>
      <c r="C138" s="86" t="str">
        <f t="shared" si="6"/>
        <v/>
      </c>
      <c r="D138" s="84"/>
      <c r="E138" s="85"/>
      <c r="F138" s="86" t="str">
        <f t="shared" si="7"/>
        <v/>
      </c>
      <c r="G138" s="84"/>
      <c r="H138" s="85"/>
      <c r="I138" s="86" t="str">
        <f t="shared" si="8"/>
        <v/>
      </c>
    </row>
    <row r="139" spans="1:9">
      <c r="A139" s="118"/>
      <c r="B139" s="119"/>
      <c r="C139" s="86" t="str">
        <f t="shared" si="6"/>
        <v/>
      </c>
      <c r="D139" s="84"/>
      <c r="E139" s="85"/>
      <c r="F139" s="86" t="str">
        <f t="shared" si="7"/>
        <v/>
      </c>
      <c r="G139" s="84"/>
      <c r="H139" s="85"/>
      <c r="I139" s="86" t="str">
        <f t="shared" si="8"/>
        <v/>
      </c>
    </row>
    <row r="140" spans="1:9">
      <c r="A140" s="118"/>
      <c r="B140" s="119"/>
      <c r="C140" s="86" t="str">
        <f t="shared" si="6"/>
        <v/>
      </c>
      <c r="D140" s="84"/>
      <c r="E140" s="85"/>
      <c r="F140" s="86" t="str">
        <f t="shared" si="7"/>
        <v/>
      </c>
      <c r="G140" s="84"/>
      <c r="H140" s="85"/>
      <c r="I140" s="86" t="str">
        <f t="shared" si="8"/>
        <v/>
      </c>
    </row>
    <row r="141" spans="1:9">
      <c r="A141" s="118"/>
      <c r="B141" s="119"/>
      <c r="C141" s="86" t="str">
        <f t="shared" si="6"/>
        <v/>
      </c>
      <c r="D141" s="84"/>
      <c r="E141" s="85"/>
      <c r="F141" s="86" t="str">
        <f t="shared" si="7"/>
        <v/>
      </c>
      <c r="G141" s="84"/>
      <c r="H141" s="85"/>
      <c r="I141" s="86" t="str">
        <f t="shared" si="8"/>
        <v/>
      </c>
    </row>
    <row r="142" spans="1:9">
      <c r="A142" s="118"/>
      <c r="B142" s="119"/>
      <c r="C142" s="86" t="str">
        <f t="shared" si="6"/>
        <v/>
      </c>
      <c r="D142" s="84"/>
      <c r="E142" s="85"/>
      <c r="F142" s="86" t="str">
        <f t="shared" si="7"/>
        <v/>
      </c>
      <c r="G142" s="84"/>
      <c r="H142" s="85"/>
      <c r="I142" s="86" t="str">
        <f t="shared" si="8"/>
        <v/>
      </c>
    </row>
    <row r="143" spans="1:9">
      <c r="A143" s="118"/>
      <c r="B143" s="119"/>
      <c r="C143" s="86" t="str">
        <f t="shared" si="6"/>
        <v/>
      </c>
      <c r="D143" s="84"/>
      <c r="E143" s="85"/>
      <c r="F143" s="86" t="str">
        <f t="shared" si="7"/>
        <v/>
      </c>
      <c r="G143" s="84"/>
      <c r="H143" s="85"/>
      <c r="I143" s="86" t="str">
        <f t="shared" si="8"/>
        <v/>
      </c>
    </row>
    <row r="144" spans="1:9">
      <c r="A144" s="118"/>
      <c r="B144" s="119"/>
      <c r="C144" s="86" t="str">
        <f t="shared" si="6"/>
        <v/>
      </c>
      <c r="D144" s="84"/>
      <c r="E144" s="85"/>
      <c r="F144" s="86" t="str">
        <f t="shared" si="7"/>
        <v/>
      </c>
      <c r="G144" s="84"/>
      <c r="H144" s="85"/>
      <c r="I144" s="86" t="str">
        <f t="shared" si="8"/>
        <v/>
      </c>
    </row>
    <row r="145" spans="1:9">
      <c r="A145" s="118"/>
      <c r="B145" s="119"/>
      <c r="C145" s="86" t="str">
        <f t="shared" si="6"/>
        <v/>
      </c>
      <c r="D145" s="84"/>
      <c r="E145" s="85"/>
      <c r="F145" s="86" t="str">
        <f t="shared" si="7"/>
        <v/>
      </c>
      <c r="G145" s="84"/>
      <c r="H145" s="85"/>
      <c r="I145" s="86" t="str">
        <f t="shared" si="8"/>
        <v/>
      </c>
    </row>
    <row r="146" spans="1:9">
      <c r="A146" s="118"/>
      <c r="B146" s="119"/>
      <c r="C146" s="86" t="str">
        <f t="shared" si="6"/>
        <v/>
      </c>
      <c r="D146" s="84"/>
      <c r="E146" s="85"/>
      <c r="F146" s="86" t="str">
        <f t="shared" si="7"/>
        <v/>
      </c>
      <c r="G146" s="84"/>
      <c r="H146" s="85"/>
      <c r="I146" s="86" t="str">
        <f t="shared" si="8"/>
        <v/>
      </c>
    </row>
    <row r="147" spans="1:9">
      <c r="A147" s="118"/>
      <c r="B147" s="119"/>
      <c r="C147" s="86" t="str">
        <f t="shared" si="6"/>
        <v/>
      </c>
      <c r="D147" s="84"/>
      <c r="E147" s="85"/>
      <c r="F147" s="86" t="str">
        <f t="shared" si="7"/>
        <v/>
      </c>
      <c r="G147" s="84"/>
      <c r="H147" s="85"/>
      <c r="I147" s="86" t="str">
        <f t="shared" si="8"/>
        <v/>
      </c>
    </row>
    <row r="148" spans="1:9">
      <c r="A148" s="118"/>
      <c r="B148" s="119"/>
      <c r="C148" s="86" t="str">
        <f t="shared" si="6"/>
        <v/>
      </c>
      <c r="D148" s="84"/>
      <c r="E148" s="85"/>
      <c r="F148" s="86" t="str">
        <f t="shared" si="7"/>
        <v/>
      </c>
      <c r="G148" s="84"/>
      <c r="H148" s="85"/>
      <c r="I148" s="86" t="str">
        <f t="shared" si="8"/>
        <v/>
      </c>
    </row>
    <row r="149" spans="1:9">
      <c r="A149" s="118"/>
      <c r="B149" s="119"/>
      <c r="C149" s="86" t="str">
        <f t="shared" si="6"/>
        <v/>
      </c>
      <c r="D149" s="84"/>
      <c r="E149" s="85"/>
      <c r="F149" s="86" t="str">
        <f t="shared" si="7"/>
        <v/>
      </c>
      <c r="G149" s="84"/>
      <c r="H149" s="85"/>
      <c r="I149" s="86" t="str">
        <f t="shared" si="8"/>
        <v/>
      </c>
    </row>
    <row r="150" spans="1:9">
      <c r="A150" s="118"/>
      <c r="B150" s="119"/>
      <c r="C150" s="86" t="str">
        <f t="shared" si="6"/>
        <v/>
      </c>
      <c r="D150" s="84"/>
      <c r="E150" s="85"/>
      <c r="F150" s="86" t="str">
        <f t="shared" si="7"/>
        <v/>
      </c>
      <c r="G150" s="84"/>
      <c r="H150" s="85"/>
      <c r="I150" s="86" t="str">
        <f t="shared" si="8"/>
        <v/>
      </c>
    </row>
    <row r="151" spans="1:9">
      <c r="A151" s="118"/>
      <c r="B151" s="119"/>
      <c r="C151" s="86" t="str">
        <f t="shared" si="6"/>
        <v/>
      </c>
      <c r="D151" s="84"/>
      <c r="E151" s="85"/>
      <c r="F151" s="86" t="str">
        <f t="shared" si="7"/>
        <v/>
      </c>
      <c r="G151" s="84"/>
      <c r="H151" s="85"/>
      <c r="I151" s="86" t="str">
        <f t="shared" si="8"/>
        <v/>
      </c>
    </row>
    <row r="152" spans="1:9">
      <c r="A152" s="118"/>
      <c r="B152" s="119"/>
      <c r="C152" s="86" t="str">
        <f t="shared" si="6"/>
        <v/>
      </c>
      <c r="D152" s="84"/>
      <c r="E152" s="85"/>
      <c r="F152" s="86" t="str">
        <f t="shared" si="7"/>
        <v/>
      </c>
      <c r="G152" s="84"/>
      <c r="H152" s="85"/>
      <c r="I152" s="86" t="str">
        <f t="shared" si="8"/>
        <v/>
      </c>
    </row>
    <row r="153" spans="1:9">
      <c r="A153" s="118"/>
      <c r="B153" s="119"/>
      <c r="C153" s="86" t="str">
        <f t="shared" si="6"/>
        <v/>
      </c>
      <c r="D153" s="84"/>
      <c r="E153" s="85"/>
      <c r="F153" s="86" t="str">
        <f t="shared" si="7"/>
        <v/>
      </c>
      <c r="G153" s="84"/>
      <c r="H153" s="85"/>
      <c r="I153" s="86" t="str">
        <f t="shared" si="8"/>
        <v/>
      </c>
    </row>
    <row r="154" spans="1:9">
      <c r="A154" s="118"/>
      <c r="B154" s="119"/>
      <c r="C154" s="86" t="str">
        <f t="shared" si="6"/>
        <v/>
      </c>
      <c r="D154" s="84"/>
      <c r="E154" s="85"/>
      <c r="F154" s="86" t="str">
        <f t="shared" si="7"/>
        <v/>
      </c>
      <c r="G154" s="84"/>
      <c r="H154" s="85"/>
      <c r="I154" s="86" t="str">
        <f t="shared" si="8"/>
        <v/>
      </c>
    </row>
    <row r="155" spans="1:9">
      <c r="A155" s="118"/>
      <c r="B155" s="119"/>
      <c r="C155" s="86" t="str">
        <f t="shared" si="6"/>
        <v/>
      </c>
      <c r="D155" s="84"/>
      <c r="E155" s="85"/>
      <c r="F155" s="86" t="str">
        <f t="shared" si="7"/>
        <v/>
      </c>
      <c r="G155" s="84"/>
      <c r="H155" s="85"/>
      <c r="I155" s="86" t="str">
        <f t="shared" si="8"/>
        <v/>
      </c>
    </row>
    <row r="156" spans="1:9">
      <c r="A156" s="118"/>
      <c r="B156" s="119"/>
      <c r="C156" s="86" t="str">
        <f t="shared" si="6"/>
        <v/>
      </c>
      <c r="D156" s="84"/>
      <c r="E156" s="85"/>
      <c r="F156" s="86" t="str">
        <f t="shared" si="7"/>
        <v/>
      </c>
      <c r="G156" s="84"/>
      <c r="H156" s="85"/>
      <c r="I156" s="86" t="str">
        <f t="shared" si="8"/>
        <v/>
      </c>
    </row>
    <row r="157" spans="1:9">
      <c r="A157" s="118"/>
      <c r="B157" s="119"/>
      <c r="C157" s="86" t="str">
        <f t="shared" si="6"/>
        <v/>
      </c>
      <c r="D157" s="84"/>
      <c r="E157" s="85"/>
      <c r="F157" s="86" t="str">
        <f t="shared" si="7"/>
        <v/>
      </c>
      <c r="G157" s="84"/>
      <c r="H157" s="85"/>
      <c r="I157" s="86" t="str">
        <f t="shared" si="8"/>
        <v/>
      </c>
    </row>
    <row r="158" spans="1:9">
      <c r="A158" s="118"/>
      <c r="B158" s="119"/>
      <c r="C158" s="86" t="str">
        <f t="shared" si="6"/>
        <v/>
      </c>
      <c r="D158" s="84"/>
      <c r="E158" s="85"/>
      <c r="F158" s="86" t="str">
        <f t="shared" si="7"/>
        <v/>
      </c>
      <c r="G158" s="84"/>
      <c r="H158" s="85"/>
      <c r="I158" s="86" t="str">
        <f t="shared" si="8"/>
        <v/>
      </c>
    </row>
    <row r="159" spans="1:9">
      <c r="A159" s="118"/>
      <c r="B159" s="119"/>
      <c r="C159" s="86" t="str">
        <f t="shared" si="6"/>
        <v/>
      </c>
      <c r="D159" s="84"/>
      <c r="E159" s="85"/>
      <c r="F159" s="86" t="str">
        <f t="shared" si="7"/>
        <v/>
      </c>
      <c r="G159" s="84"/>
      <c r="H159" s="85"/>
      <c r="I159" s="86" t="str">
        <f t="shared" si="8"/>
        <v/>
      </c>
    </row>
    <row r="160" spans="1:9">
      <c r="A160" s="118"/>
      <c r="B160" s="119"/>
      <c r="C160" s="86" t="str">
        <f t="shared" si="6"/>
        <v/>
      </c>
      <c r="D160" s="84"/>
      <c r="E160" s="85"/>
      <c r="F160" s="86" t="str">
        <f t="shared" si="7"/>
        <v/>
      </c>
      <c r="G160" s="84"/>
      <c r="H160" s="85"/>
      <c r="I160" s="86" t="str">
        <f t="shared" si="8"/>
        <v/>
      </c>
    </row>
    <row r="161" spans="1:9">
      <c r="A161" s="118"/>
      <c r="B161" s="119"/>
      <c r="C161" s="86" t="str">
        <f t="shared" si="6"/>
        <v/>
      </c>
      <c r="D161" s="84"/>
      <c r="E161" s="85"/>
      <c r="F161" s="86" t="str">
        <f t="shared" si="7"/>
        <v/>
      </c>
      <c r="G161" s="84"/>
      <c r="H161" s="85"/>
      <c r="I161" s="86" t="str">
        <f t="shared" si="8"/>
        <v/>
      </c>
    </row>
    <row r="162" spans="1:9">
      <c r="A162" s="118"/>
      <c r="B162" s="119"/>
      <c r="C162" s="86" t="str">
        <f t="shared" si="6"/>
        <v/>
      </c>
      <c r="D162" s="84"/>
      <c r="E162" s="85"/>
      <c r="F162" s="86" t="str">
        <f t="shared" si="7"/>
        <v/>
      </c>
      <c r="G162" s="84"/>
      <c r="H162" s="85"/>
      <c r="I162" s="86" t="str">
        <f t="shared" si="8"/>
        <v/>
      </c>
    </row>
    <row r="163" spans="1:9">
      <c r="A163" s="118"/>
      <c r="B163" s="119"/>
      <c r="C163" s="86" t="str">
        <f t="shared" si="6"/>
        <v/>
      </c>
      <c r="D163" s="84"/>
      <c r="E163" s="85"/>
      <c r="F163" s="86" t="str">
        <f t="shared" si="7"/>
        <v/>
      </c>
      <c r="G163" s="84"/>
      <c r="H163" s="85"/>
      <c r="I163" s="86" t="str">
        <f t="shared" si="8"/>
        <v/>
      </c>
    </row>
    <row r="164" spans="1:9">
      <c r="A164" s="118"/>
      <c r="B164" s="119"/>
      <c r="C164" s="86" t="str">
        <f t="shared" si="6"/>
        <v/>
      </c>
      <c r="D164" s="84"/>
      <c r="E164" s="85"/>
      <c r="F164" s="86" t="str">
        <f t="shared" si="7"/>
        <v/>
      </c>
      <c r="G164" s="84"/>
      <c r="H164" s="85"/>
      <c r="I164" s="86" t="str">
        <f t="shared" si="8"/>
        <v/>
      </c>
    </row>
    <row r="165" spans="1:9">
      <c r="A165" s="118"/>
      <c r="B165" s="119"/>
      <c r="C165" s="86" t="str">
        <f t="shared" si="6"/>
        <v/>
      </c>
      <c r="D165" s="84"/>
      <c r="E165" s="85"/>
      <c r="F165" s="86" t="str">
        <f t="shared" si="7"/>
        <v/>
      </c>
      <c r="G165" s="84"/>
      <c r="H165" s="85"/>
      <c r="I165" s="86" t="str">
        <f t="shared" si="8"/>
        <v/>
      </c>
    </row>
    <row r="166" spans="1:9">
      <c r="A166" s="118"/>
      <c r="B166" s="119"/>
      <c r="C166" s="86" t="str">
        <f t="shared" si="6"/>
        <v/>
      </c>
      <c r="D166" s="84"/>
      <c r="E166" s="85"/>
      <c r="F166" s="86" t="str">
        <f t="shared" si="7"/>
        <v/>
      </c>
      <c r="G166" s="84"/>
      <c r="H166" s="85"/>
      <c r="I166" s="86" t="str">
        <f t="shared" si="8"/>
        <v/>
      </c>
    </row>
    <row r="167" spans="1:9">
      <c r="A167" s="118"/>
      <c r="B167" s="119"/>
      <c r="C167" s="86" t="str">
        <f t="shared" si="6"/>
        <v/>
      </c>
      <c r="D167" s="84"/>
      <c r="E167" s="85"/>
      <c r="F167" s="86" t="str">
        <f t="shared" si="7"/>
        <v/>
      </c>
      <c r="G167" s="84"/>
      <c r="H167" s="85"/>
      <c r="I167" s="86" t="str">
        <f t="shared" si="8"/>
        <v/>
      </c>
    </row>
    <row r="168" spans="1:9">
      <c r="A168" s="118"/>
      <c r="B168" s="119"/>
      <c r="C168" s="86" t="str">
        <f t="shared" si="6"/>
        <v/>
      </c>
      <c r="D168" s="84"/>
      <c r="E168" s="85"/>
      <c r="F168" s="86" t="str">
        <f t="shared" si="7"/>
        <v/>
      </c>
      <c r="G168" s="84"/>
      <c r="H168" s="85"/>
      <c r="I168" s="86" t="str">
        <f t="shared" si="8"/>
        <v/>
      </c>
    </row>
    <row r="169" spans="1:9">
      <c r="A169" s="118"/>
      <c r="B169" s="119"/>
      <c r="C169" s="86" t="str">
        <f t="shared" si="6"/>
        <v/>
      </c>
      <c r="D169" s="84"/>
      <c r="E169" s="85"/>
      <c r="F169" s="86" t="str">
        <f t="shared" si="7"/>
        <v/>
      </c>
      <c r="G169" s="84"/>
      <c r="H169" s="85"/>
      <c r="I169" s="86" t="str">
        <f t="shared" si="8"/>
        <v/>
      </c>
    </row>
    <row r="170" spans="1:9">
      <c r="A170" s="118"/>
      <c r="B170" s="119"/>
      <c r="C170" s="86" t="str">
        <f t="shared" si="6"/>
        <v/>
      </c>
      <c r="D170" s="84"/>
      <c r="E170" s="85"/>
      <c r="F170" s="86" t="str">
        <f t="shared" si="7"/>
        <v/>
      </c>
      <c r="G170" s="84"/>
      <c r="H170" s="85"/>
      <c r="I170" s="86" t="str">
        <f t="shared" si="8"/>
        <v/>
      </c>
    </row>
    <row r="171" spans="1:9">
      <c r="A171" s="118"/>
      <c r="B171" s="119"/>
      <c r="C171" s="86" t="str">
        <f t="shared" si="6"/>
        <v/>
      </c>
      <c r="D171" s="84"/>
      <c r="E171" s="85"/>
      <c r="F171" s="86" t="str">
        <f t="shared" si="7"/>
        <v/>
      </c>
      <c r="G171" s="84"/>
      <c r="H171" s="85"/>
      <c r="I171" s="86" t="str">
        <f t="shared" si="8"/>
        <v/>
      </c>
    </row>
    <row r="172" spans="1:9">
      <c r="A172" s="118"/>
      <c r="B172" s="119"/>
      <c r="C172" s="86" t="str">
        <f t="shared" si="6"/>
        <v/>
      </c>
      <c r="D172" s="84"/>
      <c r="E172" s="85"/>
      <c r="F172" s="86" t="str">
        <f t="shared" si="7"/>
        <v/>
      </c>
      <c r="G172" s="84"/>
      <c r="H172" s="85"/>
      <c r="I172" s="86" t="str">
        <f t="shared" si="8"/>
        <v/>
      </c>
    </row>
    <row r="173" spans="1:9">
      <c r="A173" s="118"/>
      <c r="B173" s="119"/>
      <c r="C173" s="86" t="str">
        <f t="shared" si="6"/>
        <v/>
      </c>
      <c r="D173" s="84"/>
      <c r="E173" s="85"/>
      <c r="F173" s="86" t="str">
        <f t="shared" si="7"/>
        <v/>
      </c>
      <c r="G173" s="84"/>
      <c r="H173" s="85"/>
      <c r="I173" s="86" t="str">
        <f t="shared" si="8"/>
        <v/>
      </c>
    </row>
    <row r="174" spans="1:9">
      <c r="A174" s="118"/>
      <c r="B174" s="119"/>
      <c r="C174" s="86" t="str">
        <f t="shared" si="6"/>
        <v/>
      </c>
      <c r="D174" s="84"/>
      <c r="E174" s="85"/>
      <c r="F174" s="86" t="str">
        <f t="shared" si="7"/>
        <v/>
      </c>
      <c r="G174" s="84"/>
      <c r="H174" s="85"/>
      <c r="I174" s="86" t="str">
        <f t="shared" si="8"/>
        <v/>
      </c>
    </row>
    <row r="175" spans="1:9">
      <c r="A175" s="118"/>
      <c r="B175" s="119"/>
      <c r="C175" s="86" t="str">
        <f t="shared" si="6"/>
        <v/>
      </c>
      <c r="D175" s="84"/>
      <c r="E175" s="85"/>
      <c r="F175" s="86" t="str">
        <f t="shared" si="7"/>
        <v/>
      </c>
      <c r="G175" s="84"/>
      <c r="H175" s="85"/>
      <c r="I175" s="86" t="str">
        <f t="shared" si="8"/>
        <v/>
      </c>
    </row>
    <row r="176" spans="1:9">
      <c r="A176" s="118"/>
      <c r="B176" s="119"/>
      <c r="C176" s="86" t="str">
        <f t="shared" si="6"/>
        <v/>
      </c>
      <c r="D176" s="84"/>
      <c r="E176" s="85"/>
      <c r="F176" s="86" t="str">
        <f t="shared" si="7"/>
        <v/>
      </c>
      <c r="G176" s="84"/>
      <c r="H176" s="85"/>
      <c r="I176" s="86" t="str">
        <f t="shared" si="8"/>
        <v/>
      </c>
    </row>
    <row r="177" spans="1:9">
      <c r="A177" s="118"/>
      <c r="B177" s="119"/>
      <c r="C177" s="86" t="str">
        <f t="shared" si="6"/>
        <v/>
      </c>
      <c r="D177" s="84"/>
      <c r="E177" s="85"/>
      <c r="F177" s="86" t="str">
        <f t="shared" si="7"/>
        <v/>
      </c>
      <c r="G177" s="84"/>
      <c r="H177" s="85"/>
      <c r="I177" s="86" t="str">
        <f t="shared" si="8"/>
        <v/>
      </c>
    </row>
    <row r="178" spans="1:9">
      <c r="A178" s="118"/>
      <c r="B178" s="119"/>
      <c r="C178" s="86" t="str">
        <f t="shared" si="6"/>
        <v/>
      </c>
      <c r="D178" s="84"/>
      <c r="E178" s="85"/>
      <c r="F178" s="86" t="str">
        <f t="shared" si="7"/>
        <v/>
      </c>
      <c r="G178" s="84"/>
      <c r="H178" s="85"/>
      <c r="I178" s="86" t="str">
        <f t="shared" si="8"/>
        <v/>
      </c>
    </row>
    <row r="179" spans="1:9">
      <c r="A179" s="118"/>
      <c r="B179" s="119"/>
      <c r="C179" s="86" t="str">
        <f t="shared" si="6"/>
        <v/>
      </c>
      <c r="D179" s="84"/>
      <c r="E179" s="85"/>
      <c r="F179" s="86" t="str">
        <f t="shared" si="7"/>
        <v/>
      </c>
      <c r="G179" s="84"/>
      <c r="H179" s="85"/>
      <c r="I179" s="86" t="str">
        <f t="shared" si="8"/>
        <v/>
      </c>
    </row>
    <row r="180" spans="1:9">
      <c r="A180" s="118"/>
      <c r="B180" s="119"/>
      <c r="C180" s="86" t="str">
        <f t="shared" si="6"/>
        <v/>
      </c>
      <c r="D180" s="84"/>
      <c r="E180" s="85"/>
      <c r="F180" s="86" t="str">
        <f t="shared" si="7"/>
        <v/>
      </c>
      <c r="G180" s="84"/>
      <c r="H180" s="85"/>
      <c r="I180" s="86" t="str">
        <f t="shared" si="8"/>
        <v/>
      </c>
    </row>
    <row r="181" spans="1:9">
      <c r="A181" s="118"/>
      <c r="B181" s="119"/>
      <c r="C181" s="86" t="str">
        <f t="shared" si="6"/>
        <v/>
      </c>
      <c r="D181" s="84"/>
      <c r="E181" s="85"/>
      <c r="F181" s="86" t="str">
        <f t="shared" si="7"/>
        <v/>
      </c>
      <c r="G181" s="84"/>
      <c r="H181" s="85"/>
      <c r="I181" s="86" t="str">
        <f t="shared" si="8"/>
        <v/>
      </c>
    </row>
    <row r="182" spans="1:9">
      <c r="A182" s="118"/>
      <c r="B182" s="119"/>
      <c r="C182" s="86" t="str">
        <f t="shared" si="6"/>
        <v/>
      </c>
      <c r="D182" s="84"/>
      <c r="E182" s="85"/>
      <c r="F182" s="86" t="str">
        <f t="shared" si="7"/>
        <v/>
      </c>
      <c r="G182" s="84"/>
      <c r="H182" s="85"/>
      <c r="I182" s="86" t="str">
        <f t="shared" si="8"/>
        <v/>
      </c>
    </row>
    <row r="183" spans="1:9">
      <c r="A183" s="118"/>
      <c r="B183" s="119"/>
      <c r="C183" s="86" t="str">
        <f t="shared" si="6"/>
        <v/>
      </c>
      <c r="D183" s="84"/>
      <c r="E183" s="85"/>
      <c r="F183" s="86" t="str">
        <f t="shared" si="7"/>
        <v/>
      </c>
      <c r="G183" s="84"/>
      <c r="H183" s="85"/>
      <c r="I183" s="86" t="str">
        <f t="shared" si="8"/>
        <v/>
      </c>
    </row>
    <row r="184" spans="1:9">
      <c r="A184" s="118"/>
      <c r="B184" s="119"/>
      <c r="C184" s="86" t="str">
        <f t="shared" si="6"/>
        <v/>
      </c>
      <c r="D184" s="84"/>
      <c r="E184" s="85"/>
      <c r="F184" s="86" t="str">
        <f t="shared" si="7"/>
        <v/>
      </c>
      <c r="G184" s="84"/>
      <c r="H184" s="85"/>
      <c r="I184" s="86" t="str">
        <f t="shared" si="8"/>
        <v/>
      </c>
    </row>
    <row r="185" spans="1:9">
      <c r="A185" s="118"/>
      <c r="B185" s="119"/>
      <c r="C185" s="86" t="str">
        <f t="shared" si="6"/>
        <v/>
      </c>
      <c r="D185" s="84"/>
      <c r="E185" s="85"/>
      <c r="F185" s="86" t="str">
        <f t="shared" si="7"/>
        <v/>
      </c>
      <c r="G185" s="84"/>
      <c r="H185" s="85"/>
      <c r="I185" s="86" t="str">
        <f t="shared" si="8"/>
        <v/>
      </c>
    </row>
    <row r="186" spans="1:9">
      <c r="A186" s="118"/>
      <c r="B186" s="119"/>
      <c r="C186" s="86" t="str">
        <f t="shared" si="6"/>
        <v/>
      </c>
      <c r="D186" s="84"/>
      <c r="E186" s="85"/>
      <c r="F186" s="86" t="str">
        <f t="shared" si="7"/>
        <v/>
      </c>
      <c r="G186" s="84"/>
      <c r="H186" s="85"/>
      <c r="I186" s="86" t="str">
        <f t="shared" si="8"/>
        <v/>
      </c>
    </row>
    <row r="187" spans="1:9">
      <c r="A187" s="118"/>
      <c r="B187" s="119"/>
      <c r="C187" s="86" t="str">
        <f t="shared" si="6"/>
        <v/>
      </c>
      <c r="D187" s="84"/>
      <c r="E187" s="85"/>
      <c r="F187" s="86" t="str">
        <f t="shared" si="7"/>
        <v/>
      </c>
      <c r="G187" s="84"/>
      <c r="H187" s="85"/>
      <c r="I187" s="86" t="str">
        <f t="shared" si="8"/>
        <v/>
      </c>
    </row>
    <row r="188" spans="1:9">
      <c r="A188" s="118"/>
      <c r="B188" s="119"/>
      <c r="C188" s="86" t="str">
        <f t="shared" si="6"/>
        <v/>
      </c>
      <c r="D188" s="84"/>
      <c r="E188" s="85"/>
      <c r="F188" s="86" t="str">
        <f t="shared" si="7"/>
        <v/>
      </c>
      <c r="G188" s="84"/>
      <c r="H188" s="85"/>
      <c r="I188" s="86" t="str">
        <f t="shared" si="8"/>
        <v/>
      </c>
    </row>
    <row r="189" spans="1:9">
      <c r="A189" s="118"/>
      <c r="B189" s="119"/>
      <c r="C189" s="86" t="str">
        <f t="shared" si="6"/>
        <v/>
      </c>
      <c r="D189" s="84"/>
      <c r="E189" s="85"/>
      <c r="F189" s="86" t="str">
        <f t="shared" si="7"/>
        <v/>
      </c>
      <c r="G189" s="84"/>
      <c r="H189" s="85"/>
      <c r="I189" s="86" t="str">
        <f t="shared" si="8"/>
        <v/>
      </c>
    </row>
    <row r="190" spans="1:9">
      <c r="A190" s="118"/>
      <c r="B190" s="119"/>
      <c r="C190" s="86" t="str">
        <f t="shared" si="6"/>
        <v/>
      </c>
      <c r="D190" s="84"/>
      <c r="E190" s="85"/>
      <c r="F190" s="86" t="str">
        <f t="shared" si="7"/>
        <v/>
      </c>
      <c r="G190" s="84"/>
      <c r="H190" s="85"/>
      <c r="I190" s="86" t="str">
        <f t="shared" si="8"/>
        <v/>
      </c>
    </row>
    <row r="191" spans="1:9">
      <c r="A191" s="118"/>
      <c r="B191" s="119"/>
      <c r="C191" s="86" t="str">
        <f t="shared" si="6"/>
        <v/>
      </c>
      <c r="D191" s="84"/>
      <c r="E191" s="85"/>
      <c r="F191" s="86" t="str">
        <f t="shared" si="7"/>
        <v/>
      </c>
      <c r="G191" s="84"/>
      <c r="H191" s="85"/>
      <c r="I191" s="86" t="str">
        <f t="shared" si="8"/>
        <v/>
      </c>
    </row>
    <row r="192" spans="1:9">
      <c r="A192" s="118"/>
      <c r="B192" s="119"/>
      <c r="C192" s="86" t="str">
        <f t="shared" si="6"/>
        <v/>
      </c>
      <c r="D192" s="84"/>
      <c r="E192" s="85"/>
      <c r="F192" s="86" t="str">
        <f t="shared" si="7"/>
        <v/>
      </c>
      <c r="G192" s="84"/>
      <c r="H192" s="85"/>
      <c r="I192" s="86" t="str">
        <f t="shared" si="8"/>
        <v/>
      </c>
    </row>
    <row r="193" spans="1:9">
      <c r="A193" s="118"/>
      <c r="B193" s="119"/>
      <c r="C193" s="86" t="str">
        <f t="shared" si="6"/>
        <v/>
      </c>
      <c r="D193" s="84"/>
      <c r="E193" s="85"/>
      <c r="F193" s="86" t="str">
        <f t="shared" si="7"/>
        <v/>
      </c>
      <c r="G193" s="84"/>
      <c r="H193" s="85"/>
      <c r="I193" s="86" t="str">
        <f t="shared" si="8"/>
        <v/>
      </c>
    </row>
    <row r="194" spans="1:9">
      <c r="A194" s="118"/>
      <c r="B194" s="119"/>
      <c r="C194" s="86" t="str">
        <f t="shared" si="6"/>
        <v/>
      </c>
      <c r="D194" s="84"/>
      <c r="E194" s="85"/>
      <c r="F194" s="86" t="str">
        <f t="shared" si="7"/>
        <v/>
      </c>
      <c r="G194" s="84"/>
      <c r="H194" s="85"/>
      <c r="I194" s="86" t="str">
        <f t="shared" si="8"/>
        <v/>
      </c>
    </row>
    <row r="195" spans="1:9">
      <c r="A195" s="118"/>
      <c r="B195" s="119"/>
      <c r="C195" s="86" t="str">
        <f t="shared" si="6"/>
        <v/>
      </c>
      <c r="D195" s="84"/>
      <c r="E195" s="85"/>
      <c r="F195" s="86" t="str">
        <f t="shared" si="7"/>
        <v/>
      </c>
      <c r="G195" s="84"/>
      <c r="H195" s="85"/>
      <c r="I195" s="86" t="str">
        <f t="shared" si="8"/>
        <v/>
      </c>
    </row>
    <row r="196" spans="1:9">
      <c r="A196" s="118"/>
      <c r="B196" s="119"/>
      <c r="C196" s="86" t="str">
        <f t="shared" si="6"/>
        <v/>
      </c>
      <c r="D196" s="84"/>
      <c r="E196" s="85"/>
      <c r="F196" s="86" t="str">
        <f t="shared" si="7"/>
        <v/>
      </c>
      <c r="G196" s="84"/>
      <c r="H196" s="85"/>
      <c r="I196" s="86" t="str">
        <f t="shared" si="8"/>
        <v/>
      </c>
    </row>
    <row r="197" spans="1:9">
      <c r="A197" s="118"/>
      <c r="B197" s="119"/>
      <c r="C197" s="86" t="str">
        <f t="shared" ref="C197:C260" si="9">IF(B197&gt;0,TEXT(B197,"(aaa)"),"")</f>
        <v/>
      </c>
      <c r="D197" s="84"/>
      <c r="E197" s="85"/>
      <c r="F197" s="86" t="str">
        <f t="shared" ref="F197:F260" si="10">IF(E197&gt;0,TEXT(E197,"(aaa)"),"")</f>
        <v/>
      </c>
      <c r="G197" s="84"/>
      <c r="H197" s="85"/>
      <c r="I197" s="86" t="str">
        <f t="shared" ref="I197:I260" si="11">IF(H197&gt;0,TEXT(H197,"(aaa)"),"")</f>
        <v/>
      </c>
    </row>
    <row r="198" spans="1:9">
      <c r="A198" s="118"/>
      <c r="B198" s="119"/>
      <c r="C198" s="86" t="str">
        <f t="shared" si="9"/>
        <v/>
      </c>
      <c r="D198" s="84"/>
      <c r="E198" s="85"/>
      <c r="F198" s="86" t="str">
        <f t="shared" si="10"/>
        <v/>
      </c>
      <c r="G198" s="84"/>
      <c r="H198" s="85"/>
      <c r="I198" s="86" t="str">
        <f t="shared" si="11"/>
        <v/>
      </c>
    </row>
    <row r="199" spans="1:9">
      <c r="A199" s="118"/>
      <c r="B199" s="119"/>
      <c r="C199" s="86" t="str">
        <f t="shared" si="9"/>
        <v/>
      </c>
      <c r="D199" s="84"/>
      <c r="E199" s="85"/>
      <c r="F199" s="86" t="str">
        <f t="shared" si="10"/>
        <v/>
      </c>
      <c r="G199" s="84"/>
      <c r="H199" s="85"/>
      <c r="I199" s="86" t="str">
        <f t="shared" si="11"/>
        <v/>
      </c>
    </row>
    <row r="200" spans="1:9">
      <c r="A200" s="118"/>
      <c r="B200" s="119"/>
      <c r="C200" s="86" t="str">
        <f t="shared" si="9"/>
        <v/>
      </c>
      <c r="D200" s="84"/>
      <c r="E200" s="85"/>
      <c r="F200" s="86" t="str">
        <f t="shared" si="10"/>
        <v/>
      </c>
      <c r="G200" s="84"/>
      <c r="H200" s="85"/>
      <c r="I200" s="86" t="str">
        <f t="shared" si="11"/>
        <v/>
      </c>
    </row>
    <row r="201" spans="1:9">
      <c r="A201" s="118"/>
      <c r="B201" s="119"/>
      <c r="C201" s="86" t="str">
        <f t="shared" si="9"/>
        <v/>
      </c>
      <c r="D201" s="84"/>
      <c r="E201" s="85"/>
      <c r="F201" s="86" t="str">
        <f t="shared" si="10"/>
        <v/>
      </c>
      <c r="G201" s="84"/>
      <c r="H201" s="85"/>
      <c r="I201" s="86" t="str">
        <f t="shared" si="11"/>
        <v/>
      </c>
    </row>
    <row r="202" spans="1:9">
      <c r="A202" s="118"/>
      <c r="B202" s="119"/>
      <c r="C202" s="86" t="str">
        <f t="shared" si="9"/>
        <v/>
      </c>
      <c r="D202" s="84"/>
      <c r="E202" s="85"/>
      <c r="F202" s="86" t="str">
        <f t="shared" si="10"/>
        <v/>
      </c>
      <c r="G202" s="84"/>
      <c r="H202" s="85"/>
      <c r="I202" s="86" t="str">
        <f t="shared" si="11"/>
        <v/>
      </c>
    </row>
    <row r="203" spans="1:9">
      <c r="A203" s="118"/>
      <c r="B203" s="119"/>
      <c r="C203" s="86" t="str">
        <f t="shared" si="9"/>
        <v/>
      </c>
      <c r="D203" s="84"/>
      <c r="E203" s="85"/>
      <c r="F203" s="86" t="str">
        <f t="shared" si="10"/>
        <v/>
      </c>
      <c r="G203" s="84"/>
      <c r="H203" s="85"/>
      <c r="I203" s="86" t="str">
        <f t="shared" si="11"/>
        <v/>
      </c>
    </row>
    <row r="204" spans="1:9">
      <c r="A204" s="118"/>
      <c r="B204" s="119"/>
      <c r="C204" s="86" t="str">
        <f t="shared" si="9"/>
        <v/>
      </c>
      <c r="D204" s="84"/>
      <c r="E204" s="85"/>
      <c r="F204" s="86" t="str">
        <f t="shared" si="10"/>
        <v/>
      </c>
      <c r="G204" s="84"/>
      <c r="H204" s="85"/>
      <c r="I204" s="86" t="str">
        <f t="shared" si="11"/>
        <v/>
      </c>
    </row>
    <row r="205" spans="1:9">
      <c r="A205" s="118"/>
      <c r="B205" s="119"/>
      <c r="C205" s="86" t="str">
        <f t="shared" si="9"/>
        <v/>
      </c>
      <c r="D205" s="84"/>
      <c r="E205" s="85"/>
      <c r="F205" s="86" t="str">
        <f t="shared" si="10"/>
        <v/>
      </c>
      <c r="G205" s="84"/>
      <c r="H205" s="85"/>
      <c r="I205" s="86" t="str">
        <f t="shared" si="11"/>
        <v/>
      </c>
    </row>
    <row r="206" spans="1:9">
      <c r="A206" s="118"/>
      <c r="B206" s="119"/>
      <c r="C206" s="86" t="str">
        <f t="shared" si="9"/>
        <v/>
      </c>
      <c r="D206" s="84"/>
      <c r="E206" s="85"/>
      <c r="F206" s="86" t="str">
        <f t="shared" si="10"/>
        <v/>
      </c>
      <c r="G206" s="84"/>
      <c r="H206" s="85"/>
      <c r="I206" s="86" t="str">
        <f t="shared" si="11"/>
        <v/>
      </c>
    </row>
    <row r="207" spans="1:9">
      <c r="A207" s="118"/>
      <c r="B207" s="119"/>
      <c r="C207" s="86" t="str">
        <f t="shared" si="9"/>
        <v/>
      </c>
      <c r="D207" s="84"/>
      <c r="E207" s="85"/>
      <c r="F207" s="86" t="str">
        <f t="shared" si="10"/>
        <v/>
      </c>
      <c r="G207" s="84"/>
      <c r="H207" s="85"/>
      <c r="I207" s="86" t="str">
        <f t="shared" si="11"/>
        <v/>
      </c>
    </row>
    <row r="208" spans="1:9">
      <c r="A208" s="118"/>
      <c r="B208" s="119"/>
      <c r="C208" s="86" t="str">
        <f t="shared" si="9"/>
        <v/>
      </c>
      <c r="D208" s="84"/>
      <c r="E208" s="85"/>
      <c r="F208" s="86" t="str">
        <f t="shared" si="10"/>
        <v/>
      </c>
      <c r="G208" s="84"/>
      <c r="H208" s="85"/>
      <c r="I208" s="86" t="str">
        <f t="shared" si="11"/>
        <v/>
      </c>
    </row>
    <row r="209" spans="1:9">
      <c r="A209" s="118"/>
      <c r="B209" s="119"/>
      <c r="C209" s="86" t="str">
        <f t="shared" si="9"/>
        <v/>
      </c>
      <c r="D209" s="84"/>
      <c r="E209" s="85"/>
      <c r="F209" s="86" t="str">
        <f t="shared" si="10"/>
        <v/>
      </c>
      <c r="G209" s="84"/>
      <c r="H209" s="85"/>
      <c r="I209" s="86" t="str">
        <f t="shared" si="11"/>
        <v/>
      </c>
    </row>
    <row r="210" spans="1:9">
      <c r="A210" s="118"/>
      <c r="B210" s="119"/>
      <c r="C210" s="86" t="str">
        <f t="shared" si="9"/>
        <v/>
      </c>
      <c r="D210" s="84"/>
      <c r="E210" s="85"/>
      <c r="F210" s="86" t="str">
        <f t="shared" si="10"/>
        <v/>
      </c>
      <c r="G210" s="84"/>
      <c r="H210" s="85"/>
      <c r="I210" s="86" t="str">
        <f t="shared" si="11"/>
        <v/>
      </c>
    </row>
    <row r="211" spans="1:9">
      <c r="A211" s="118"/>
      <c r="B211" s="119"/>
      <c r="C211" s="86" t="str">
        <f t="shared" si="9"/>
        <v/>
      </c>
      <c r="D211" s="84"/>
      <c r="E211" s="85"/>
      <c r="F211" s="86" t="str">
        <f t="shared" si="10"/>
        <v/>
      </c>
      <c r="G211" s="84"/>
      <c r="H211" s="85"/>
      <c r="I211" s="86" t="str">
        <f t="shared" si="11"/>
        <v/>
      </c>
    </row>
    <row r="212" spans="1:9">
      <c r="A212" s="118"/>
      <c r="B212" s="119"/>
      <c r="C212" s="86" t="str">
        <f t="shared" si="9"/>
        <v/>
      </c>
      <c r="D212" s="84"/>
      <c r="E212" s="85"/>
      <c r="F212" s="86" t="str">
        <f t="shared" si="10"/>
        <v/>
      </c>
      <c r="G212" s="84"/>
      <c r="H212" s="85"/>
      <c r="I212" s="86" t="str">
        <f t="shared" si="11"/>
        <v/>
      </c>
    </row>
    <row r="213" spans="1:9">
      <c r="A213" s="118"/>
      <c r="B213" s="119"/>
      <c r="C213" s="86" t="str">
        <f t="shared" si="9"/>
        <v/>
      </c>
      <c r="D213" s="84"/>
      <c r="E213" s="85"/>
      <c r="F213" s="86" t="str">
        <f t="shared" si="10"/>
        <v/>
      </c>
      <c r="G213" s="84"/>
      <c r="H213" s="85"/>
      <c r="I213" s="86" t="str">
        <f t="shared" si="11"/>
        <v/>
      </c>
    </row>
    <row r="214" spans="1:9">
      <c r="A214" s="118"/>
      <c r="B214" s="119"/>
      <c r="C214" s="86" t="str">
        <f t="shared" si="9"/>
        <v/>
      </c>
      <c r="D214" s="84"/>
      <c r="E214" s="85"/>
      <c r="F214" s="86" t="str">
        <f t="shared" si="10"/>
        <v/>
      </c>
      <c r="G214" s="84"/>
      <c r="H214" s="85"/>
      <c r="I214" s="86" t="str">
        <f t="shared" si="11"/>
        <v/>
      </c>
    </row>
    <row r="215" spans="1:9">
      <c r="A215" s="118"/>
      <c r="B215" s="119"/>
      <c r="C215" s="86" t="str">
        <f t="shared" si="9"/>
        <v/>
      </c>
      <c r="D215" s="84"/>
      <c r="E215" s="85"/>
      <c r="F215" s="86" t="str">
        <f t="shared" si="10"/>
        <v/>
      </c>
      <c r="G215" s="84"/>
      <c r="H215" s="85"/>
      <c r="I215" s="86" t="str">
        <f t="shared" si="11"/>
        <v/>
      </c>
    </row>
    <row r="216" spans="1:9">
      <c r="A216" s="118"/>
      <c r="B216" s="119"/>
      <c r="C216" s="86" t="str">
        <f t="shared" si="9"/>
        <v/>
      </c>
      <c r="D216" s="84"/>
      <c r="E216" s="85"/>
      <c r="F216" s="86" t="str">
        <f t="shared" si="10"/>
        <v/>
      </c>
      <c r="G216" s="84"/>
      <c r="H216" s="85"/>
      <c r="I216" s="86" t="str">
        <f t="shared" si="11"/>
        <v/>
      </c>
    </row>
    <row r="217" spans="1:9">
      <c r="A217" s="118"/>
      <c r="B217" s="119"/>
      <c r="C217" s="86" t="str">
        <f t="shared" si="9"/>
        <v/>
      </c>
      <c r="D217" s="84"/>
      <c r="E217" s="85"/>
      <c r="F217" s="86" t="str">
        <f t="shared" si="10"/>
        <v/>
      </c>
      <c r="G217" s="84"/>
      <c r="H217" s="85"/>
      <c r="I217" s="86" t="str">
        <f t="shared" si="11"/>
        <v/>
      </c>
    </row>
    <row r="218" spans="1:9">
      <c r="A218" s="118"/>
      <c r="B218" s="119"/>
      <c r="C218" s="86" t="str">
        <f t="shared" si="9"/>
        <v/>
      </c>
      <c r="D218" s="84"/>
      <c r="E218" s="85"/>
      <c r="F218" s="86" t="str">
        <f t="shared" si="10"/>
        <v/>
      </c>
      <c r="G218" s="84"/>
      <c r="H218" s="85"/>
      <c r="I218" s="86" t="str">
        <f t="shared" si="11"/>
        <v/>
      </c>
    </row>
    <row r="219" spans="1:9">
      <c r="A219" s="118"/>
      <c r="B219" s="119"/>
      <c r="C219" s="86" t="str">
        <f t="shared" si="9"/>
        <v/>
      </c>
      <c r="D219" s="84"/>
      <c r="E219" s="85"/>
      <c r="F219" s="86" t="str">
        <f t="shared" si="10"/>
        <v/>
      </c>
      <c r="G219" s="84"/>
      <c r="H219" s="85"/>
      <c r="I219" s="86" t="str">
        <f t="shared" si="11"/>
        <v/>
      </c>
    </row>
    <row r="220" spans="1:9">
      <c r="A220" s="118"/>
      <c r="B220" s="119"/>
      <c r="C220" s="86" t="str">
        <f t="shared" si="9"/>
        <v/>
      </c>
      <c r="D220" s="84"/>
      <c r="E220" s="85"/>
      <c r="F220" s="86" t="str">
        <f t="shared" si="10"/>
        <v/>
      </c>
      <c r="G220" s="84"/>
      <c r="H220" s="85"/>
      <c r="I220" s="86" t="str">
        <f t="shared" si="11"/>
        <v/>
      </c>
    </row>
    <row r="221" spans="1:9">
      <c r="A221" s="118"/>
      <c r="B221" s="119"/>
      <c r="C221" s="86" t="str">
        <f t="shared" si="9"/>
        <v/>
      </c>
      <c r="D221" s="84"/>
      <c r="E221" s="85"/>
      <c r="F221" s="86" t="str">
        <f t="shared" si="10"/>
        <v/>
      </c>
      <c r="G221" s="84"/>
      <c r="H221" s="85"/>
      <c r="I221" s="86" t="str">
        <f t="shared" si="11"/>
        <v/>
      </c>
    </row>
    <row r="222" spans="1:9">
      <c r="A222" s="118"/>
      <c r="B222" s="119"/>
      <c r="C222" s="86" t="str">
        <f t="shared" si="9"/>
        <v/>
      </c>
      <c r="D222" s="84"/>
      <c r="E222" s="85"/>
      <c r="F222" s="86" t="str">
        <f t="shared" si="10"/>
        <v/>
      </c>
      <c r="G222" s="84"/>
      <c r="H222" s="85"/>
      <c r="I222" s="86" t="str">
        <f t="shared" si="11"/>
        <v/>
      </c>
    </row>
    <row r="223" spans="1:9">
      <c r="A223" s="118"/>
      <c r="B223" s="119"/>
      <c r="C223" s="86" t="str">
        <f t="shared" si="9"/>
        <v/>
      </c>
      <c r="D223" s="84"/>
      <c r="E223" s="85"/>
      <c r="F223" s="86" t="str">
        <f t="shared" si="10"/>
        <v/>
      </c>
      <c r="G223" s="84"/>
      <c r="H223" s="85"/>
      <c r="I223" s="86" t="str">
        <f t="shared" si="11"/>
        <v/>
      </c>
    </row>
    <row r="224" spans="1:9">
      <c r="A224" s="118"/>
      <c r="B224" s="119"/>
      <c r="C224" s="86" t="str">
        <f t="shared" si="9"/>
        <v/>
      </c>
      <c r="D224" s="84"/>
      <c r="E224" s="85"/>
      <c r="F224" s="86" t="str">
        <f t="shared" si="10"/>
        <v/>
      </c>
      <c r="G224" s="84"/>
      <c r="H224" s="85"/>
      <c r="I224" s="86" t="str">
        <f t="shared" si="11"/>
        <v/>
      </c>
    </row>
    <row r="225" spans="1:9">
      <c r="A225" s="118"/>
      <c r="B225" s="119"/>
      <c r="C225" s="86" t="str">
        <f t="shared" si="9"/>
        <v/>
      </c>
      <c r="D225" s="84"/>
      <c r="E225" s="85"/>
      <c r="F225" s="86" t="str">
        <f t="shared" si="10"/>
        <v/>
      </c>
      <c r="G225" s="84"/>
      <c r="H225" s="85"/>
      <c r="I225" s="86" t="str">
        <f t="shared" si="11"/>
        <v/>
      </c>
    </row>
    <row r="226" spans="1:9">
      <c r="A226" s="118"/>
      <c r="B226" s="119"/>
      <c r="C226" s="86" t="str">
        <f t="shared" si="9"/>
        <v/>
      </c>
      <c r="D226" s="84"/>
      <c r="E226" s="85"/>
      <c r="F226" s="86" t="str">
        <f t="shared" si="10"/>
        <v/>
      </c>
      <c r="G226" s="84"/>
      <c r="H226" s="85"/>
      <c r="I226" s="86" t="str">
        <f t="shared" si="11"/>
        <v/>
      </c>
    </row>
    <row r="227" spans="1:9">
      <c r="A227" s="118"/>
      <c r="B227" s="119"/>
      <c r="C227" s="86" t="str">
        <f t="shared" si="9"/>
        <v/>
      </c>
      <c r="D227" s="84"/>
      <c r="E227" s="85"/>
      <c r="F227" s="86" t="str">
        <f t="shared" si="10"/>
        <v/>
      </c>
      <c r="G227" s="84"/>
      <c r="H227" s="85"/>
      <c r="I227" s="86" t="str">
        <f t="shared" si="11"/>
        <v/>
      </c>
    </row>
    <row r="228" spans="1:9">
      <c r="A228" s="118"/>
      <c r="B228" s="119"/>
      <c r="C228" s="86" t="str">
        <f t="shared" si="9"/>
        <v/>
      </c>
      <c r="D228" s="84"/>
      <c r="E228" s="85"/>
      <c r="F228" s="86" t="str">
        <f t="shared" si="10"/>
        <v/>
      </c>
      <c r="G228" s="84"/>
      <c r="H228" s="85"/>
      <c r="I228" s="86" t="str">
        <f t="shared" si="11"/>
        <v/>
      </c>
    </row>
    <row r="229" spans="1:9">
      <c r="A229" s="118"/>
      <c r="B229" s="119"/>
      <c r="C229" s="86" t="str">
        <f t="shared" si="9"/>
        <v/>
      </c>
      <c r="D229" s="84"/>
      <c r="E229" s="85"/>
      <c r="F229" s="86" t="str">
        <f t="shared" si="10"/>
        <v/>
      </c>
      <c r="G229" s="84"/>
      <c r="H229" s="85"/>
      <c r="I229" s="86" t="str">
        <f t="shared" si="11"/>
        <v/>
      </c>
    </row>
    <row r="230" spans="1:9">
      <c r="A230" s="118"/>
      <c r="B230" s="119"/>
      <c r="C230" s="86" t="str">
        <f t="shared" si="9"/>
        <v/>
      </c>
      <c r="D230" s="84"/>
      <c r="E230" s="85"/>
      <c r="F230" s="86" t="str">
        <f t="shared" si="10"/>
        <v/>
      </c>
      <c r="G230" s="84"/>
      <c r="H230" s="85"/>
      <c r="I230" s="86" t="str">
        <f t="shared" si="11"/>
        <v/>
      </c>
    </row>
    <row r="231" spans="1:9">
      <c r="A231" s="118"/>
      <c r="B231" s="119"/>
      <c r="C231" s="86" t="str">
        <f t="shared" si="9"/>
        <v/>
      </c>
      <c r="D231" s="84"/>
      <c r="E231" s="85"/>
      <c r="F231" s="86" t="str">
        <f t="shared" si="10"/>
        <v/>
      </c>
      <c r="G231" s="84"/>
      <c r="H231" s="85"/>
      <c r="I231" s="86" t="str">
        <f t="shared" si="11"/>
        <v/>
      </c>
    </row>
    <row r="232" spans="1:9">
      <c r="A232" s="118"/>
      <c r="B232" s="119"/>
      <c r="C232" s="86" t="str">
        <f t="shared" si="9"/>
        <v/>
      </c>
      <c r="D232" s="84"/>
      <c r="E232" s="85"/>
      <c r="F232" s="86" t="str">
        <f t="shared" si="10"/>
        <v/>
      </c>
      <c r="G232" s="84"/>
      <c r="H232" s="85"/>
      <c r="I232" s="86" t="str">
        <f t="shared" si="11"/>
        <v/>
      </c>
    </row>
    <row r="233" spans="1:9">
      <c r="A233" s="118"/>
      <c r="B233" s="119"/>
      <c r="C233" s="86" t="str">
        <f t="shared" si="9"/>
        <v/>
      </c>
      <c r="D233" s="84"/>
      <c r="E233" s="85"/>
      <c r="F233" s="86" t="str">
        <f t="shared" si="10"/>
        <v/>
      </c>
      <c r="G233" s="84"/>
      <c r="H233" s="85"/>
      <c r="I233" s="86" t="str">
        <f t="shared" si="11"/>
        <v/>
      </c>
    </row>
    <row r="234" spans="1:9">
      <c r="A234" s="118"/>
      <c r="B234" s="119"/>
      <c r="C234" s="86" t="str">
        <f t="shared" si="9"/>
        <v/>
      </c>
      <c r="D234" s="84"/>
      <c r="E234" s="85"/>
      <c r="F234" s="86" t="str">
        <f t="shared" si="10"/>
        <v/>
      </c>
      <c r="G234" s="84"/>
      <c r="H234" s="85"/>
      <c r="I234" s="86" t="str">
        <f t="shared" si="11"/>
        <v/>
      </c>
    </row>
    <row r="235" spans="1:9">
      <c r="A235" s="118"/>
      <c r="B235" s="119"/>
      <c r="C235" s="86" t="str">
        <f t="shared" si="9"/>
        <v/>
      </c>
      <c r="D235" s="84"/>
      <c r="E235" s="85"/>
      <c r="F235" s="86" t="str">
        <f t="shared" si="10"/>
        <v/>
      </c>
      <c r="G235" s="84"/>
      <c r="H235" s="85"/>
      <c r="I235" s="86" t="str">
        <f t="shared" si="11"/>
        <v/>
      </c>
    </row>
    <row r="236" spans="1:9">
      <c r="A236" s="118"/>
      <c r="B236" s="119"/>
      <c r="C236" s="86" t="str">
        <f t="shared" si="9"/>
        <v/>
      </c>
      <c r="D236" s="84"/>
      <c r="E236" s="85"/>
      <c r="F236" s="86" t="str">
        <f t="shared" si="10"/>
        <v/>
      </c>
      <c r="G236" s="84"/>
      <c r="H236" s="85"/>
      <c r="I236" s="86" t="str">
        <f t="shared" si="11"/>
        <v/>
      </c>
    </row>
    <row r="237" spans="1:9">
      <c r="A237" s="118"/>
      <c r="B237" s="119"/>
      <c r="C237" s="86" t="str">
        <f t="shared" si="9"/>
        <v/>
      </c>
      <c r="D237" s="84"/>
      <c r="E237" s="85"/>
      <c r="F237" s="86" t="str">
        <f t="shared" si="10"/>
        <v/>
      </c>
      <c r="G237" s="84"/>
      <c r="H237" s="85"/>
      <c r="I237" s="86" t="str">
        <f t="shared" si="11"/>
        <v/>
      </c>
    </row>
    <row r="238" spans="1:9">
      <c r="A238" s="118"/>
      <c r="B238" s="119"/>
      <c r="C238" s="86" t="str">
        <f t="shared" si="9"/>
        <v/>
      </c>
      <c r="D238" s="84"/>
      <c r="E238" s="85"/>
      <c r="F238" s="86" t="str">
        <f t="shared" si="10"/>
        <v/>
      </c>
      <c r="G238" s="84"/>
      <c r="H238" s="85"/>
      <c r="I238" s="86" t="str">
        <f t="shared" si="11"/>
        <v/>
      </c>
    </row>
    <row r="239" spans="1:9">
      <c r="A239" s="118"/>
      <c r="B239" s="119"/>
      <c r="C239" s="86" t="str">
        <f t="shared" si="9"/>
        <v/>
      </c>
      <c r="D239" s="84"/>
      <c r="E239" s="85"/>
      <c r="F239" s="86" t="str">
        <f t="shared" si="10"/>
        <v/>
      </c>
      <c r="G239" s="84"/>
      <c r="H239" s="85"/>
      <c r="I239" s="86" t="str">
        <f t="shared" si="11"/>
        <v/>
      </c>
    </row>
    <row r="240" spans="1:9">
      <c r="A240" s="118"/>
      <c r="B240" s="119"/>
      <c r="C240" s="86" t="str">
        <f t="shared" si="9"/>
        <v/>
      </c>
      <c r="D240" s="84"/>
      <c r="E240" s="85"/>
      <c r="F240" s="86" t="str">
        <f t="shared" si="10"/>
        <v/>
      </c>
      <c r="G240" s="84"/>
      <c r="H240" s="85"/>
      <c r="I240" s="86" t="str">
        <f t="shared" si="11"/>
        <v/>
      </c>
    </row>
    <row r="241" spans="1:9">
      <c r="A241" s="118"/>
      <c r="B241" s="119"/>
      <c r="C241" s="86" t="str">
        <f t="shared" si="9"/>
        <v/>
      </c>
      <c r="D241" s="84"/>
      <c r="E241" s="85"/>
      <c r="F241" s="86" t="str">
        <f t="shared" si="10"/>
        <v/>
      </c>
      <c r="G241" s="84"/>
      <c r="H241" s="85"/>
      <c r="I241" s="86" t="str">
        <f t="shared" si="11"/>
        <v/>
      </c>
    </row>
    <row r="242" spans="1:9">
      <c r="A242" s="84"/>
      <c r="B242" s="85"/>
      <c r="C242" s="86" t="str">
        <f t="shared" si="9"/>
        <v/>
      </c>
      <c r="D242" s="84"/>
      <c r="E242" s="85"/>
      <c r="F242" s="86" t="str">
        <f t="shared" si="10"/>
        <v/>
      </c>
      <c r="G242" s="84"/>
      <c r="H242" s="85"/>
      <c r="I242" s="86" t="str">
        <f t="shared" si="11"/>
        <v/>
      </c>
    </row>
    <row r="243" spans="1:9">
      <c r="A243" s="84"/>
      <c r="B243" s="85"/>
      <c r="C243" s="86" t="str">
        <f t="shared" si="9"/>
        <v/>
      </c>
      <c r="D243" s="84"/>
      <c r="E243" s="85"/>
      <c r="F243" s="86" t="str">
        <f t="shared" si="10"/>
        <v/>
      </c>
      <c r="G243" s="84"/>
      <c r="H243" s="85"/>
      <c r="I243" s="86" t="str">
        <f t="shared" si="11"/>
        <v/>
      </c>
    </row>
    <row r="244" spans="1:9">
      <c r="A244" s="84"/>
      <c r="B244" s="85"/>
      <c r="C244" s="86" t="str">
        <f t="shared" si="9"/>
        <v/>
      </c>
      <c r="D244" s="84"/>
      <c r="E244" s="85"/>
      <c r="F244" s="86" t="str">
        <f t="shared" si="10"/>
        <v/>
      </c>
      <c r="G244" s="84"/>
      <c r="H244" s="85"/>
      <c r="I244" s="86" t="str">
        <f t="shared" si="11"/>
        <v/>
      </c>
    </row>
    <row r="245" spans="1:9">
      <c r="A245" s="84"/>
      <c r="B245" s="85"/>
      <c r="C245" s="86" t="str">
        <f t="shared" si="9"/>
        <v/>
      </c>
      <c r="D245" s="84"/>
      <c r="E245" s="85"/>
      <c r="F245" s="86" t="str">
        <f t="shared" si="10"/>
        <v/>
      </c>
      <c r="G245" s="84"/>
      <c r="H245" s="85"/>
      <c r="I245" s="86" t="str">
        <f t="shared" si="11"/>
        <v/>
      </c>
    </row>
    <row r="246" spans="1:9">
      <c r="A246" s="84"/>
      <c r="B246" s="85"/>
      <c r="C246" s="86" t="str">
        <f t="shared" si="9"/>
        <v/>
      </c>
      <c r="D246" s="84"/>
      <c r="E246" s="85"/>
      <c r="F246" s="86" t="str">
        <f t="shared" si="10"/>
        <v/>
      </c>
      <c r="G246" s="84"/>
      <c r="H246" s="85"/>
      <c r="I246" s="86" t="str">
        <f t="shared" si="11"/>
        <v/>
      </c>
    </row>
    <row r="247" spans="1:9">
      <c r="A247" s="84"/>
      <c r="B247" s="85"/>
      <c r="C247" s="86" t="str">
        <f t="shared" si="9"/>
        <v/>
      </c>
      <c r="D247" s="84"/>
      <c r="E247" s="85"/>
      <c r="F247" s="86" t="str">
        <f t="shared" si="10"/>
        <v/>
      </c>
      <c r="G247" s="84"/>
      <c r="H247" s="85"/>
      <c r="I247" s="86" t="str">
        <f t="shared" si="11"/>
        <v/>
      </c>
    </row>
    <row r="248" spans="1:9">
      <c r="A248" s="84"/>
      <c r="B248" s="85"/>
      <c r="C248" s="86" t="str">
        <f t="shared" si="9"/>
        <v/>
      </c>
      <c r="D248" s="84"/>
      <c r="E248" s="85"/>
      <c r="F248" s="86" t="str">
        <f t="shared" si="10"/>
        <v/>
      </c>
      <c r="G248" s="84"/>
      <c r="H248" s="85"/>
      <c r="I248" s="86" t="str">
        <f t="shared" si="11"/>
        <v/>
      </c>
    </row>
    <row r="249" spans="1:9">
      <c r="A249" s="84"/>
      <c r="B249" s="85"/>
      <c r="C249" s="86" t="str">
        <f t="shared" si="9"/>
        <v/>
      </c>
      <c r="D249" s="84"/>
      <c r="E249" s="85"/>
      <c r="F249" s="86" t="str">
        <f t="shared" si="10"/>
        <v/>
      </c>
      <c r="G249" s="84"/>
      <c r="H249" s="85"/>
      <c r="I249" s="86" t="str">
        <f t="shared" si="11"/>
        <v/>
      </c>
    </row>
    <row r="250" spans="1:9">
      <c r="A250" s="84"/>
      <c r="B250" s="85"/>
      <c r="C250" s="86" t="str">
        <f t="shared" si="9"/>
        <v/>
      </c>
      <c r="D250" s="84"/>
      <c r="E250" s="85"/>
      <c r="F250" s="86" t="str">
        <f t="shared" si="10"/>
        <v/>
      </c>
      <c r="G250" s="84"/>
      <c r="H250" s="85"/>
      <c r="I250" s="86" t="str">
        <f t="shared" si="11"/>
        <v/>
      </c>
    </row>
    <row r="251" spans="1:9">
      <c r="A251" s="84"/>
      <c r="B251" s="85"/>
      <c r="C251" s="86" t="str">
        <f t="shared" si="9"/>
        <v/>
      </c>
      <c r="D251" s="84"/>
      <c r="E251" s="85"/>
      <c r="F251" s="86" t="str">
        <f t="shared" si="10"/>
        <v/>
      </c>
      <c r="G251" s="84"/>
      <c r="H251" s="85"/>
      <c r="I251" s="86" t="str">
        <f t="shared" si="11"/>
        <v/>
      </c>
    </row>
    <row r="252" spans="1:9">
      <c r="A252" s="84"/>
      <c r="B252" s="85"/>
      <c r="C252" s="86" t="str">
        <f t="shared" si="9"/>
        <v/>
      </c>
      <c r="D252" s="84"/>
      <c r="E252" s="85"/>
      <c r="F252" s="86" t="str">
        <f t="shared" si="10"/>
        <v/>
      </c>
      <c r="G252" s="84"/>
      <c r="H252" s="85"/>
      <c r="I252" s="86" t="str">
        <f t="shared" si="11"/>
        <v/>
      </c>
    </row>
    <row r="253" spans="1:9">
      <c r="A253" s="84"/>
      <c r="B253" s="85"/>
      <c r="C253" s="86" t="str">
        <f t="shared" si="9"/>
        <v/>
      </c>
      <c r="D253" s="84"/>
      <c r="E253" s="85"/>
      <c r="F253" s="86" t="str">
        <f t="shared" si="10"/>
        <v/>
      </c>
      <c r="G253" s="84"/>
      <c r="H253" s="85"/>
      <c r="I253" s="86" t="str">
        <f t="shared" si="11"/>
        <v/>
      </c>
    </row>
    <row r="254" spans="1:9">
      <c r="A254" s="84"/>
      <c r="B254" s="85"/>
      <c r="C254" s="86" t="str">
        <f t="shared" si="9"/>
        <v/>
      </c>
      <c r="D254" s="84"/>
      <c r="E254" s="85"/>
      <c r="F254" s="86" t="str">
        <f t="shared" si="10"/>
        <v/>
      </c>
      <c r="G254" s="84"/>
      <c r="H254" s="85"/>
      <c r="I254" s="86" t="str">
        <f t="shared" si="11"/>
        <v/>
      </c>
    </row>
    <row r="255" spans="1:9">
      <c r="A255" s="84"/>
      <c r="B255" s="85"/>
      <c r="C255" s="86" t="str">
        <f t="shared" si="9"/>
        <v/>
      </c>
      <c r="D255" s="84"/>
      <c r="E255" s="85"/>
      <c r="F255" s="86" t="str">
        <f t="shared" si="10"/>
        <v/>
      </c>
      <c r="G255" s="84"/>
      <c r="H255" s="85"/>
      <c r="I255" s="86" t="str">
        <f t="shared" si="11"/>
        <v/>
      </c>
    </row>
    <row r="256" spans="1:9">
      <c r="A256" s="84"/>
      <c r="B256" s="85"/>
      <c r="C256" s="86" t="str">
        <f t="shared" si="9"/>
        <v/>
      </c>
      <c r="D256" s="84"/>
      <c r="E256" s="85"/>
      <c r="F256" s="86" t="str">
        <f t="shared" si="10"/>
        <v/>
      </c>
      <c r="G256" s="84"/>
      <c r="H256" s="85"/>
      <c r="I256" s="86" t="str">
        <f t="shared" si="11"/>
        <v/>
      </c>
    </row>
    <row r="257" spans="1:9">
      <c r="A257" s="84"/>
      <c r="B257" s="85"/>
      <c r="C257" s="86" t="str">
        <f t="shared" si="9"/>
        <v/>
      </c>
      <c r="D257" s="84"/>
      <c r="E257" s="85"/>
      <c r="F257" s="86" t="str">
        <f t="shared" si="10"/>
        <v/>
      </c>
      <c r="G257" s="84"/>
      <c r="H257" s="85"/>
      <c r="I257" s="86" t="str">
        <f t="shared" si="11"/>
        <v/>
      </c>
    </row>
    <row r="258" spans="1:9">
      <c r="A258" s="84"/>
      <c r="B258" s="85"/>
      <c r="C258" s="86" t="str">
        <f t="shared" si="9"/>
        <v/>
      </c>
      <c r="D258" s="84"/>
      <c r="E258" s="85"/>
      <c r="F258" s="86" t="str">
        <f t="shared" si="10"/>
        <v/>
      </c>
      <c r="G258" s="84"/>
      <c r="H258" s="85"/>
      <c r="I258" s="86" t="str">
        <f t="shared" si="11"/>
        <v/>
      </c>
    </row>
    <row r="259" spans="1:9">
      <c r="A259" s="84"/>
      <c r="B259" s="85"/>
      <c r="C259" s="86" t="str">
        <f t="shared" si="9"/>
        <v/>
      </c>
      <c r="D259" s="84"/>
      <c r="E259" s="85"/>
      <c r="F259" s="86" t="str">
        <f t="shared" si="10"/>
        <v/>
      </c>
      <c r="G259" s="84"/>
      <c r="H259" s="85"/>
      <c r="I259" s="86" t="str">
        <f t="shared" si="11"/>
        <v/>
      </c>
    </row>
    <row r="260" spans="1:9">
      <c r="A260" s="84"/>
      <c r="B260" s="85"/>
      <c r="C260" s="86" t="str">
        <f t="shared" si="9"/>
        <v/>
      </c>
      <c r="D260" s="84"/>
      <c r="E260" s="85"/>
      <c r="F260" s="86" t="str">
        <f t="shared" si="10"/>
        <v/>
      </c>
      <c r="G260" s="84"/>
      <c r="H260" s="85"/>
      <c r="I260" s="86" t="str">
        <f t="shared" si="11"/>
        <v/>
      </c>
    </row>
    <row r="261" spans="1:9">
      <c r="A261" s="84"/>
      <c r="B261" s="85"/>
      <c r="C261" s="86" t="str">
        <f t="shared" ref="C261:C304" si="12">IF(B261&gt;0,TEXT(B261,"(aaa)"),"")</f>
        <v/>
      </c>
      <c r="D261" s="84"/>
      <c r="E261" s="85"/>
      <c r="F261" s="86" t="str">
        <f t="shared" ref="F261:F304" si="13">IF(E261&gt;0,TEXT(E261,"(aaa)"),"")</f>
        <v/>
      </c>
      <c r="G261" s="84"/>
      <c r="H261" s="85"/>
      <c r="I261" s="86" t="str">
        <f t="shared" ref="I261:I304" si="14">IF(H261&gt;0,TEXT(H261,"(aaa)"),"")</f>
        <v/>
      </c>
    </row>
    <row r="262" spans="1:9">
      <c r="A262" s="84"/>
      <c r="B262" s="85"/>
      <c r="C262" s="86" t="str">
        <f t="shared" si="12"/>
        <v/>
      </c>
      <c r="D262" s="84"/>
      <c r="E262" s="85"/>
      <c r="F262" s="86" t="str">
        <f t="shared" si="13"/>
        <v/>
      </c>
      <c r="G262" s="84"/>
      <c r="H262" s="85"/>
      <c r="I262" s="86" t="str">
        <f t="shared" si="14"/>
        <v/>
      </c>
    </row>
    <row r="263" spans="1:9">
      <c r="A263" s="84"/>
      <c r="B263" s="85"/>
      <c r="C263" s="86" t="str">
        <f t="shared" si="12"/>
        <v/>
      </c>
      <c r="D263" s="84"/>
      <c r="E263" s="85"/>
      <c r="F263" s="86" t="str">
        <f t="shared" si="13"/>
        <v/>
      </c>
      <c r="G263" s="84"/>
      <c r="H263" s="85"/>
      <c r="I263" s="86" t="str">
        <f t="shared" si="14"/>
        <v/>
      </c>
    </row>
    <row r="264" spans="1:9">
      <c r="A264" s="84"/>
      <c r="B264" s="85"/>
      <c r="C264" s="86" t="str">
        <f t="shared" si="12"/>
        <v/>
      </c>
      <c r="D264" s="84"/>
      <c r="E264" s="85"/>
      <c r="F264" s="86" t="str">
        <f t="shared" si="13"/>
        <v/>
      </c>
      <c r="G264" s="84"/>
      <c r="H264" s="85"/>
      <c r="I264" s="86" t="str">
        <f t="shared" si="14"/>
        <v/>
      </c>
    </row>
    <row r="265" spans="1:9">
      <c r="A265" s="84"/>
      <c r="B265" s="85"/>
      <c r="C265" s="86" t="str">
        <f t="shared" si="12"/>
        <v/>
      </c>
      <c r="D265" s="84"/>
      <c r="E265" s="85"/>
      <c r="F265" s="86" t="str">
        <f t="shared" si="13"/>
        <v/>
      </c>
      <c r="G265" s="84"/>
      <c r="H265" s="85"/>
      <c r="I265" s="86" t="str">
        <f t="shared" si="14"/>
        <v/>
      </c>
    </row>
    <row r="266" spans="1:9">
      <c r="A266" s="84"/>
      <c r="B266" s="85"/>
      <c r="C266" s="86" t="str">
        <f t="shared" si="12"/>
        <v/>
      </c>
      <c r="D266" s="84"/>
      <c r="E266" s="85"/>
      <c r="F266" s="86" t="str">
        <f t="shared" si="13"/>
        <v/>
      </c>
      <c r="G266" s="84"/>
      <c r="H266" s="85"/>
      <c r="I266" s="86" t="str">
        <f t="shared" si="14"/>
        <v/>
      </c>
    </row>
    <row r="267" spans="1:9">
      <c r="A267" s="84"/>
      <c r="B267" s="85"/>
      <c r="C267" s="86" t="str">
        <f t="shared" si="12"/>
        <v/>
      </c>
      <c r="D267" s="84"/>
      <c r="E267" s="85"/>
      <c r="F267" s="86" t="str">
        <f t="shared" si="13"/>
        <v/>
      </c>
      <c r="G267" s="84"/>
      <c r="H267" s="85"/>
      <c r="I267" s="86" t="str">
        <f t="shared" si="14"/>
        <v/>
      </c>
    </row>
    <row r="268" spans="1:9">
      <c r="A268" s="84"/>
      <c r="B268" s="85"/>
      <c r="C268" s="86" t="str">
        <f t="shared" si="12"/>
        <v/>
      </c>
      <c r="D268" s="84"/>
      <c r="E268" s="85"/>
      <c r="F268" s="86" t="str">
        <f t="shared" si="13"/>
        <v/>
      </c>
      <c r="G268" s="84"/>
      <c r="H268" s="85"/>
      <c r="I268" s="86" t="str">
        <f t="shared" si="14"/>
        <v/>
      </c>
    </row>
    <row r="269" spans="1:9">
      <c r="A269" s="84"/>
      <c r="B269" s="85"/>
      <c r="C269" s="86" t="str">
        <f t="shared" si="12"/>
        <v/>
      </c>
      <c r="D269" s="84"/>
      <c r="E269" s="85"/>
      <c r="F269" s="86" t="str">
        <f t="shared" si="13"/>
        <v/>
      </c>
      <c r="G269" s="84"/>
      <c r="H269" s="85"/>
      <c r="I269" s="86" t="str">
        <f t="shared" si="14"/>
        <v/>
      </c>
    </row>
    <row r="270" spans="1:9">
      <c r="A270" s="84"/>
      <c r="B270" s="85"/>
      <c r="C270" s="86" t="str">
        <f t="shared" si="12"/>
        <v/>
      </c>
      <c r="D270" s="84"/>
      <c r="E270" s="85"/>
      <c r="F270" s="86" t="str">
        <f t="shared" si="13"/>
        <v/>
      </c>
      <c r="G270" s="84"/>
      <c r="H270" s="85"/>
      <c r="I270" s="86" t="str">
        <f t="shared" si="14"/>
        <v/>
      </c>
    </row>
    <row r="271" spans="1:9">
      <c r="A271" s="84"/>
      <c r="B271" s="85"/>
      <c r="C271" s="86" t="str">
        <f t="shared" si="12"/>
        <v/>
      </c>
      <c r="D271" s="84"/>
      <c r="E271" s="85"/>
      <c r="F271" s="86" t="str">
        <f t="shared" si="13"/>
        <v/>
      </c>
      <c r="G271" s="84"/>
      <c r="H271" s="85"/>
      <c r="I271" s="86" t="str">
        <f t="shared" si="14"/>
        <v/>
      </c>
    </row>
    <row r="272" spans="1:9">
      <c r="A272" s="84"/>
      <c r="B272" s="85"/>
      <c r="C272" s="86" t="str">
        <f t="shared" si="12"/>
        <v/>
      </c>
      <c r="D272" s="84"/>
      <c r="E272" s="85"/>
      <c r="F272" s="86" t="str">
        <f t="shared" si="13"/>
        <v/>
      </c>
      <c r="G272" s="84"/>
      <c r="H272" s="85"/>
      <c r="I272" s="86" t="str">
        <f t="shared" si="14"/>
        <v/>
      </c>
    </row>
    <row r="273" spans="1:9">
      <c r="A273" s="84"/>
      <c r="B273" s="85"/>
      <c r="C273" s="86" t="str">
        <f t="shared" si="12"/>
        <v/>
      </c>
      <c r="D273" s="84"/>
      <c r="E273" s="85"/>
      <c r="F273" s="86" t="str">
        <f t="shared" si="13"/>
        <v/>
      </c>
      <c r="G273" s="84"/>
      <c r="H273" s="85"/>
      <c r="I273" s="86" t="str">
        <f t="shared" si="14"/>
        <v/>
      </c>
    </row>
    <row r="274" spans="1:9">
      <c r="A274" s="84"/>
      <c r="B274" s="85"/>
      <c r="C274" s="86" t="str">
        <f t="shared" si="12"/>
        <v/>
      </c>
      <c r="D274" s="84"/>
      <c r="E274" s="85"/>
      <c r="F274" s="86" t="str">
        <f t="shared" si="13"/>
        <v/>
      </c>
      <c r="G274" s="84"/>
      <c r="H274" s="85"/>
      <c r="I274" s="86" t="str">
        <f t="shared" si="14"/>
        <v/>
      </c>
    </row>
    <row r="275" spans="1:9">
      <c r="A275" s="84"/>
      <c r="B275" s="85"/>
      <c r="C275" s="86" t="str">
        <f t="shared" si="12"/>
        <v/>
      </c>
      <c r="D275" s="84"/>
      <c r="E275" s="85"/>
      <c r="F275" s="86" t="str">
        <f t="shared" si="13"/>
        <v/>
      </c>
      <c r="G275" s="84"/>
      <c r="H275" s="85"/>
      <c r="I275" s="86" t="str">
        <f t="shared" si="14"/>
        <v/>
      </c>
    </row>
    <row r="276" spans="1:9">
      <c r="A276" s="84"/>
      <c r="B276" s="85"/>
      <c r="C276" s="86" t="str">
        <f t="shared" si="12"/>
        <v/>
      </c>
      <c r="D276" s="84"/>
      <c r="E276" s="85"/>
      <c r="F276" s="86" t="str">
        <f t="shared" si="13"/>
        <v/>
      </c>
      <c r="G276" s="84"/>
      <c r="H276" s="85"/>
      <c r="I276" s="86" t="str">
        <f t="shared" si="14"/>
        <v/>
      </c>
    </row>
    <row r="277" spans="1:9">
      <c r="A277" s="84"/>
      <c r="B277" s="85"/>
      <c r="C277" s="86" t="str">
        <f t="shared" si="12"/>
        <v/>
      </c>
      <c r="D277" s="84"/>
      <c r="E277" s="85"/>
      <c r="F277" s="86" t="str">
        <f t="shared" si="13"/>
        <v/>
      </c>
      <c r="G277" s="84"/>
      <c r="H277" s="85"/>
      <c r="I277" s="86" t="str">
        <f t="shared" si="14"/>
        <v/>
      </c>
    </row>
    <row r="278" spans="1:9">
      <c r="A278" s="84"/>
      <c r="B278" s="85"/>
      <c r="C278" s="86" t="str">
        <f t="shared" si="12"/>
        <v/>
      </c>
      <c r="D278" s="84"/>
      <c r="E278" s="85"/>
      <c r="F278" s="86" t="str">
        <f t="shared" si="13"/>
        <v/>
      </c>
      <c r="G278" s="84"/>
      <c r="H278" s="85"/>
      <c r="I278" s="86" t="str">
        <f t="shared" si="14"/>
        <v/>
      </c>
    </row>
    <row r="279" spans="1:9">
      <c r="A279" s="84"/>
      <c r="B279" s="85"/>
      <c r="C279" s="86" t="str">
        <f t="shared" si="12"/>
        <v/>
      </c>
      <c r="D279" s="84"/>
      <c r="E279" s="85"/>
      <c r="F279" s="86" t="str">
        <f t="shared" si="13"/>
        <v/>
      </c>
      <c r="G279" s="84"/>
      <c r="H279" s="85"/>
      <c r="I279" s="86" t="str">
        <f t="shared" si="14"/>
        <v/>
      </c>
    </row>
    <row r="280" spans="1:9">
      <c r="A280" s="84"/>
      <c r="B280" s="85"/>
      <c r="C280" s="86" t="str">
        <f t="shared" si="12"/>
        <v/>
      </c>
      <c r="D280" s="84"/>
      <c r="E280" s="85"/>
      <c r="F280" s="86" t="str">
        <f t="shared" si="13"/>
        <v/>
      </c>
      <c r="G280" s="84"/>
      <c r="H280" s="85"/>
      <c r="I280" s="86" t="str">
        <f t="shared" si="14"/>
        <v/>
      </c>
    </row>
    <row r="281" spans="1:9">
      <c r="A281" s="84"/>
      <c r="B281" s="85"/>
      <c r="C281" s="86" t="str">
        <f t="shared" si="12"/>
        <v/>
      </c>
      <c r="D281" s="84"/>
      <c r="E281" s="85"/>
      <c r="F281" s="86" t="str">
        <f t="shared" si="13"/>
        <v/>
      </c>
      <c r="G281" s="84"/>
      <c r="H281" s="85"/>
      <c r="I281" s="86" t="str">
        <f t="shared" si="14"/>
        <v/>
      </c>
    </row>
    <row r="282" spans="1:9">
      <c r="A282" s="84"/>
      <c r="B282" s="85"/>
      <c r="C282" s="86" t="str">
        <f t="shared" si="12"/>
        <v/>
      </c>
      <c r="D282" s="84"/>
      <c r="E282" s="85"/>
      <c r="F282" s="86" t="str">
        <f t="shared" si="13"/>
        <v/>
      </c>
      <c r="G282" s="84"/>
      <c r="H282" s="85"/>
      <c r="I282" s="86" t="str">
        <f t="shared" si="14"/>
        <v/>
      </c>
    </row>
    <row r="283" spans="1:9">
      <c r="A283" s="84"/>
      <c r="B283" s="85"/>
      <c r="C283" s="86" t="str">
        <f t="shared" si="12"/>
        <v/>
      </c>
      <c r="D283" s="84"/>
      <c r="E283" s="85"/>
      <c r="F283" s="86" t="str">
        <f t="shared" si="13"/>
        <v/>
      </c>
      <c r="G283" s="84"/>
      <c r="H283" s="85"/>
      <c r="I283" s="86" t="str">
        <f t="shared" si="14"/>
        <v/>
      </c>
    </row>
    <row r="284" spans="1:9">
      <c r="A284" s="84"/>
      <c r="B284" s="85"/>
      <c r="C284" s="86" t="str">
        <f t="shared" si="12"/>
        <v/>
      </c>
      <c r="D284" s="84"/>
      <c r="E284" s="85"/>
      <c r="F284" s="86" t="str">
        <f t="shared" si="13"/>
        <v/>
      </c>
      <c r="G284" s="84"/>
      <c r="H284" s="85"/>
      <c r="I284" s="86" t="str">
        <f t="shared" si="14"/>
        <v/>
      </c>
    </row>
    <row r="285" spans="1:9">
      <c r="A285" s="84"/>
      <c r="B285" s="85"/>
      <c r="C285" s="86" t="str">
        <f t="shared" si="12"/>
        <v/>
      </c>
      <c r="D285" s="84"/>
      <c r="E285" s="85"/>
      <c r="F285" s="86" t="str">
        <f t="shared" si="13"/>
        <v/>
      </c>
      <c r="G285" s="84"/>
      <c r="H285" s="85"/>
      <c r="I285" s="86" t="str">
        <f t="shared" si="14"/>
        <v/>
      </c>
    </row>
    <row r="286" spans="1:9">
      <c r="A286" s="84"/>
      <c r="B286" s="85"/>
      <c r="C286" s="86" t="str">
        <f t="shared" si="12"/>
        <v/>
      </c>
      <c r="D286" s="84"/>
      <c r="E286" s="85"/>
      <c r="F286" s="86" t="str">
        <f t="shared" si="13"/>
        <v/>
      </c>
      <c r="G286" s="84"/>
      <c r="H286" s="85"/>
      <c r="I286" s="86" t="str">
        <f t="shared" si="14"/>
        <v/>
      </c>
    </row>
    <row r="287" spans="1:9">
      <c r="A287" s="84"/>
      <c r="B287" s="85"/>
      <c r="C287" s="86" t="str">
        <f t="shared" si="12"/>
        <v/>
      </c>
      <c r="D287" s="84"/>
      <c r="E287" s="85"/>
      <c r="F287" s="86" t="str">
        <f t="shared" si="13"/>
        <v/>
      </c>
      <c r="G287" s="84"/>
      <c r="H287" s="85"/>
      <c r="I287" s="86" t="str">
        <f t="shared" si="14"/>
        <v/>
      </c>
    </row>
    <row r="288" spans="1:9">
      <c r="A288" s="84"/>
      <c r="B288" s="85"/>
      <c r="C288" s="86" t="str">
        <f t="shared" si="12"/>
        <v/>
      </c>
      <c r="D288" s="84"/>
      <c r="E288" s="85"/>
      <c r="F288" s="86" t="str">
        <f t="shared" si="13"/>
        <v/>
      </c>
      <c r="G288" s="84"/>
      <c r="H288" s="85"/>
      <c r="I288" s="86" t="str">
        <f t="shared" si="14"/>
        <v/>
      </c>
    </row>
    <row r="289" spans="1:9">
      <c r="A289" s="84"/>
      <c r="B289" s="85"/>
      <c r="C289" s="86" t="str">
        <f t="shared" si="12"/>
        <v/>
      </c>
      <c r="D289" s="84"/>
      <c r="E289" s="85"/>
      <c r="F289" s="86" t="str">
        <f t="shared" si="13"/>
        <v/>
      </c>
      <c r="G289" s="84"/>
      <c r="H289" s="85"/>
      <c r="I289" s="86" t="str">
        <f t="shared" si="14"/>
        <v/>
      </c>
    </row>
    <row r="290" spans="1:9">
      <c r="A290" s="84"/>
      <c r="B290" s="85"/>
      <c r="C290" s="86" t="str">
        <f t="shared" si="12"/>
        <v/>
      </c>
      <c r="D290" s="84"/>
      <c r="E290" s="85"/>
      <c r="F290" s="86" t="str">
        <f t="shared" si="13"/>
        <v/>
      </c>
      <c r="G290" s="84"/>
      <c r="H290" s="85"/>
      <c r="I290" s="86" t="str">
        <f t="shared" si="14"/>
        <v/>
      </c>
    </row>
    <row r="291" spans="1:9">
      <c r="A291" s="84"/>
      <c r="B291" s="85"/>
      <c r="C291" s="86" t="str">
        <f t="shared" si="12"/>
        <v/>
      </c>
      <c r="D291" s="84"/>
      <c r="E291" s="85"/>
      <c r="F291" s="86" t="str">
        <f t="shared" si="13"/>
        <v/>
      </c>
      <c r="G291" s="84"/>
      <c r="H291" s="85"/>
      <c r="I291" s="86" t="str">
        <f t="shared" si="14"/>
        <v/>
      </c>
    </row>
    <row r="292" spans="1:9">
      <c r="A292" s="84"/>
      <c r="B292" s="85"/>
      <c r="C292" s="86" t="str">
        <f t="shared" si="12"/>
        <v/>
      </c>
      <c r="D292" s="84"/>
      <c r="E292" s="85"/>
      <c r="F292" s="86" t="str">
        <f t="shared" si="13"/>
        <v/>
      </c>
      <c r="G292" s="84"/>
      <c r="H292" s="85"/>
      <c r="I292" s="86" t="str">
        <f t="shared" si="14"/>
        <v/>
      </c>
    </row>
    <row r="293" spans="1:9">
      <c r="A293" s="84"/>
      <c r="B293" s="85"/>
      <c r="C293" s="86" t="str">
        <f t="shared" si="12"/>
        <v/>
      </c>
      <c r="D293" s="84"/>
      <c r="E293" s="85"/>
      <c r="F293" s="86" t="str">
        <f t="shared" si="13"/>
        <v/>
      </c>
      <c r="G293" s="84"/>
      <c r="H293" s="85"/>
      <c r="I293" s="86" t="str">
        <f t="shared" si="14"/>
        <v/>
      </c>
    </row>
    <row r="294" spans="1:9">
      <c r="A294" s="84"/>
      <c r="B294" s="85"/>
      <c r="C294" s="86" t="str">
        <f t="shared" si="12"/>
        <v/>
      </c>
      <c r="D294" s="84"/>
      <c r="E294" s="85"/>
      <c r="F294" s="86" t="str">
        <f t="shared" si="13"/>
        <v/>
      </c>
      <c r="G294" s="84"/>
      <c r="H294" s="85"/>
      <c r="I294" s="86" t="str">
        <f t="shared" si="14"/>
        <v/>
      </c>
    </row>
    <row r="295" spans="1:9">
      <c r="A295" s="84"/>
      <c r="B295" s="85"/>
      <c r="C295" s="86" t="str">
        <f t="shared" si="12"/>
        <v/>
      </c>
      <c r="D295" s="84"/>
      <c r="E295" s="85"/>
      <c r="F295" s="86" t="str">
        <f t="shared" si="13"/>
        <v/>
      </c>
      <c r="G295" s="84"/>
      <c r="H295" s="85"/>
      <c r="I295" s="86" t="str">
        <f t="shared" si="14"/>
        <v/>
      </c>
    </row>
    <row r="296" spans="1:9">
      <c r="A296" s="84"/>
      <c r="B296" s="85"/>
      <c r="C296" s="86" t="str">
        <f t="shared" si="12"/>
        <v/>
      </c>
      <c r="D296" s="84"/>
      <c r="E296" s="85"/>
      <c r="F296" s="86" t="str">
        <f t="shared" si="13"/>
        <v/>
      </c>
      <c r="G296" s="84"/>
      <c r="H296" s="85"/>
      <c r="I296" s="86" t="str">
        <f t="shared" si="14"/>
        <v/>
      </c>
    </row>
    <row r="297" spans="1:9">
      <c r="A297" s="84"/>
      <c r="B297" s="85"/>
      <c r="C297" s="86" t="str">
        <f t="shared" si="12"/>
        <v/>
      </c>
      <c r="D297" s="84"/>
      <c r="E297" s="85"/>
      <c r="F297" s="86" t="str">
        <f t="shared" si="13"/>
        <v/>
      </c>
      <c r="G297" s="84"/>
      <c r="H297" s="85"/>
      <c r="I297" s="86" t="str">
        <f t="shared" si="14"/>
        <v/>
      </c>
    </row>
    <row r="298" spans="1:9">
      <c r="A298" s="84"/>
      <c r="B298" s="85"/>
      <c r="C298" s="86" t="str">
        <f t="shared" si="12"/>
        <v/>
      </c>
      <c r="D298" s="84"/>
      <c r="E298" s="85"/>
      <c r="F298" s="86" t="str">
        <f t="shared" si="13"/>
        <v/>
      </c>
      <c r="G298" s="84"/>
      <c r="H298" s="85"/>
      <c r="I298" s="86" t="str">
        <f t="shared" si="14"/>
        <v/>
      </c>
    </row>
    <row r="299" spans="1:9">
      <c r="A299" s="84"/>
      <c r="B299" s="85"/>
      <c r="C299" s="86" t="str">
        <f t="shared" si="12"/>
        <v/>
      </c>
      <c r="D299" s="84"/>
      <c r="E299" s="85"/>
      <c r="F299" s="86" t="str">
        <f t="shared" si="13"/>
        <v/>
      </c>
      <c r="G299" s="84"/>
      <c r="H299" s="85"/>
      <c r="I299" s="86" t="str">
        <f t="shared" si="14"/>
        <v/>
      </c>
    </row>
    <row r="300" spans="1:9">
      <c r="A300" s="84"/>
      <c r="B300" s="85"/>
      <c r="C300" s="86" t="str">
        <f t="shared" si="12"/>
        <v/>
      </c>
      <c r="D300" s="84"/>
      <c r="E300" s="85"/>
      <c r="F300" s="86" t="str">
        <f t="shared" si="13"/>
        <v/>
      </c>
      <c r="G300" s="84"/>
      <c r="H300" s="85"/>
      <c r="I300" s="86" t="str">
        <f t="shared" si="14"/>
        <v/>
      </c>
    </row>
    <row r="301" spans="1:9">
      <c r="A301" s="84"/>
      <c r="B301" s="85"/>
      <c r="C301" s="86" t="str">
        <f t="shared" si="12"/>
        <v/>
      </c>
      <c r="D301" s="84"/>
      <c r="E301" s="85"/>
      <c r="F301" s="86" t="str">
        <f t="shared" si="13"/>
        <v/>
      </c>
      <c r="G301" s="84"/>
      <c r="H301" s="85"/>
      <c r="I301" s="86" t="str">
        <f t="shared" si="14"/>
        <v/>
      </c>
    </row>
    <row r="302" spans="1:9">
      <c r="A302" s="84"/>
      <c r="B302" s="88"/>
      <c r="C302" s="86" t="str">
        <f t="shared" si="12"/>
        <v/>
      </c>
      <c r="D302" s="84"/>
      <c r="E302" s="88"/>
      <c r="F302" s="86" t="str">
        <f t="shared" si="13"/>
        <v/>
      </c>
      <c r="G302" s="84"/>
      <c r="H302" s="88"/>
      <c r="I302" s="86" t="str">
        <f t="shared" si="14"/>
        <v/>
      </c>
    </row>
    <row r="303" spans="1:9">
      <c r="A303" s="84"/>
      <c r="B303" s="88"/>
      <c r="C303" s="86" t="str">
        <f t="shared" si="12"/>
        <v/>
      </c>
      <c r="D303" s="84"/>
      <c r="E303" s="88"/>
      <c r="F303" s="86" t="str">
        <f t="shared" si="13"/>
        <v/>
      </c>
      <c r="G303" s="84"/>
      <c r="H303" s="88"/>
      <c r="I303" s="86" t="str">
        <f t="shared" si="14"/>
        <v/>
      </c>
    </row>
    <row r="304" spans="1:9">
      <c r="A304" s="84"/>
      <c r="B304" s="88"/>
      <c r="C304" s="86" t="str">
        <f t="shared" si="12"/>
        <v/>
      </c>
      <c r="D304" s="84"/>
      <c r="E304" s="88"/>
      <c r="F304" s="86" t="str">
        <f t="shared" si="13"/>
        <v/>
      </c>
      <c r="G304" s="84"/>
      <c r="H304" s="88"/>
      <c r="I304" s="86" t="str">
        <f t="shared" si="14"/>
        <v/>
      </c>
    </row>
    <row r="305" spans="1:7">
      <c r="A305" s="86" t="s">
        <v>1067</v>
      </c>
      <c r="D305" s="86" t="s">
        <v>1067</v>
      </c>
      <c r="G305" s="86" t="s">
        <v>1067</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 지정된 범위</vt:lpstr>
      </vt:variant>
      <vt:variant>
        <vt:i4>33</vt:i4>
      </vt:variant>
    </vt:vector>
  </HeadingPairs>
  <TitlesOfParts>
    <vt:vector size="38" baseType="lpstr">
      <vt:lpstr>TranslatedLanguages</vt:lpstr>
      <vt:lpstr>Schedule</vt:lpstr>
      <vt:lpstr>Progress</vt:lpstr>
      <vt:lpstr>AnalysisReport</vt:lpstr>
      <vt:lpstr>Calendar</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maxk0</cp:lastModifiedBy>
  <cp:lastPrinted>2023-06-15T01:05:25Z</cp:lastPrinted>
  <dcterms:created xsi:type="dcterms:W3CDTF">2018-02-18T09:45:14Z</dcterms:created>
  <dcterms:modified xsi:type="dcterms:W3CDTF">2023-06-19T10:08:49Z</dcterms:modified>
</cp:coreProperties>
</file>