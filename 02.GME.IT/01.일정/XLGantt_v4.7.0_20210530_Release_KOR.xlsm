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21.Document\02.GME.IT\03.일정\"/>
    </mc:Choice>
  </mc:AlternateContent>
  <xr:revisionPtr revIDLastSave="0" documentId="13_ncr:1_{7FFCBFA8-0D97-405C-AF12-BCED0C243A68}" xr6:coauthVersionLast="47" xr6:coauthVersionMax="47" xr10:uidLastSave="{00000000-0000-0000-0000-000000000000}"/>
  <bookViews>
    <workbookView xWindow="28695" yWindow="9585" windowWidth="17280" windowHeight="6615"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Schedule!$D$1:$BH$100</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2" l="1"/>
  <c r="AF6" i="2"/>
  <c r="AF7" i="2"/>
  <c r="AF8" i="2"/>
  <c r="AG9" i="2"/>
  <c r="AG10" i="2"/>
  <c r="AG11" i="2"/>
  <c r="AG13" i="2"/>
  <c r="AF14" i="2"/>
  <c r="AG15" i="2"/>
  <c r="AG16" i="2"/>
  <c r="AG17" i="2"/>
  <c r="AG19" i="2"/>
  <c r="AF20" i="2"/>
  <c r="AG21" i="2"/>
  <c r="AH25" i="2"/>
  <c r="AF26" i="2"/>
  <c r="AF27" i="2"/>
  <c r="AF28" i="2"/>
  <c r="AG29" i="2"/>
  <c r="AH30" i="2"/>
  <c r="AI31" i="2"/>
  <c r="AH42" i="2"/>
  <c r="AL42" i="2"/>
  <c r="AH44" i="2"/>
  <c r="AK45" i="2"/>
  <c r="AL46" i="2"/>
  <c r="AH48" i="2"/>
  <c r="AM48" i="2"/>
  <c r="AH49" i="2"/>
  <c r="AJ50" i="2"/>
  <c r="AK51" i="2"/>
  <c r="AM52" i="2"/>
  <c r="AM53" i="2"/>
  <c r="AF55" i="2"/>
  <c r="AF56" i="2"/>
  <c r="AG57" i="2"/>
  <c r="AG58" i="2"/>
  <c r="AG59"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D1" i="2" a="1"/>
  <c r="AE2" i="2" a="1"/>
  <c r="K51" i="4" l="1"/>
  <c r="L51" i="4" s="1"/>
  <c r="G53" i="4"/>
  <c r="L35" i="4"/>
  <c r="L43" i="4"/>
  <c r="I53" i="4"/>
  <c r="K53" i="4" s="1"/>
  <c r="J37" i="4"/>
  <c r="K49" i="4"/>
  <c r="L49" i="4" s="1"/>
  <c r="L37" i="4"/>
  <c r="K33" i="4"/>
  <c r="J41" i="4"/>
  <c r="K41" i="4"/>
  <c r="L33" i="4"/>
  <c r="L41" i="4"/>
  <c r="K30" i="4"/>
  <c r="L30" i="4" s="1"/>
  <c r="H53" i="4"/>
  <c r="J53" i="4" s="1"/>
  <c r="D1" i="2"/>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<sst xmlns="http://schemas.openxmlformats.org/spreadsheetml/2006/main" count="3346" uniqueCount="1695">
  <si>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</si>
  <si>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</si>
  <si>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</si>
  <si>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</si>
  <si>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</si>
  <si>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</si>
  <si>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</si>
  <si>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</si>
  <si>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</si>
  <si>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</si>
  <si>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</si>
  <si>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</si>
  <si>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</si>
  <si>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</si>
  <si>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</si>
  <si>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</si>
  <si>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</si>
  <si>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</si>
  <si>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</si>
  <si>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</si>
  <si>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</si>
  <si>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</si>
  <si>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</si>
  <si>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</si>
  <si>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</si>
  <si>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</si>
  <si>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</si>
  <si>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</si>
  <si>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</si>
  <si>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</si>
  <si>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</si>
  <si>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</si>
  <si>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</si>
  <si>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</si>
  <si>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</si>
  <si>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</si>
  <si>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</si>
  <si>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</si>
  <si>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</si>
  <si>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</si>
  <si>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</si>
  <si>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</si>
  <si>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</si>
  <si>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</si>
  <si>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</si>
  <si>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</si>
  <si>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</si>
  <si>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</si>
  <si>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</si>
  <si>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</si>
  <si>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</si>
  <si>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</si>
  <si>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</si>
  <si>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</si>
  <si>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</si>
  <si>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</si>
  <si>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</si>
  <si>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</si>
  <si>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</si>
  <si>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</si>
  <si>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</si>
  <si>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</si>
  <si>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</si>
  <si>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</si>
  <si>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</si>
  <si>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</si>
  <si>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</si>
  <si>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</si>
  <si>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</si>
  <si>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</si>
  <si>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</si>
  <si>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</si>
  <si>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</si>
  <si>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</si>
  <si>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</si>
  <si>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</si>
  <si>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</si>
  <si>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</si>
  <si>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</si>
  <si>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</si>
  <si>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</si>
  <si>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</si>
  <si>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</si>
  <si>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</si>
  <si>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</si>
  <si>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</si>
  <si>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</si>
  <si>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</si>
  <si>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</si>
  <si>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</si>
  <si>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</si>
  <si>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</si>
  <si>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</si>
  <si>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</si>
  <si>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</si>
  <si>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</si>
  <si>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</si>
  <si>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</si>
  <si>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</si>
  <si>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</si>
  <si>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</si>
  <si>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</si>
  <si>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</si>
  <si>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</si>
  <si>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</si>
  <si>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</si>
  <si>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</si>
  <si>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</si>
  <si>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</si>
  <si>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</si>
  <si>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</si>
  <si>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</si>
  <si>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</si>
  <si>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</si>
  <si>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</si>
  <si>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</si>
  <si>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</si>
  <si>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</si>
  <si>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</si>
  <si>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</si>
  <si>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</si>
  <si>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</si>
  <si>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</si>
  <si>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</si>
  <si>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</si>
  <si>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</si>
  <si>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</si>
  <si>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</si>
  <si>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</si>
  <si>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</si>
  <si>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</si>
  <si>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</si>
  <si>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</si>
  <si>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</si>
  <si>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</si>
  <si>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</si>
  <si>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</si>
  <si>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</si>
  <si>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</si>
  <si>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</si>
  <si>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</si>
  <si>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</si>
  <si>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</si>
  <si>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</si>
  <si>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</si>
  <si>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</si>
  <si>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</si>
  <si>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</si>
  <si>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</si>
  <si>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</si>
  <si>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</si>
  <si>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</si>
  <si>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</si>
  <si>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</si>
  <si>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</si>
  <si>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</si>
  <si>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</si>
  <si>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</si>
  <si>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</si>
  <si>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</si>
  <si>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</si>
  <si>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</si>
  <si>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</si>
  <si>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</si>
  <si>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</si>
  <si>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</si>
  <si>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</si>
  <si>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</si>
  <si>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</si>
  <si>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</si>
  <si>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</si>
  <si>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</si>
  <si>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</si>
  <si>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</si>
  <si>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</si>
  <si>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</si>
  <si>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</si>
  <si>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</si>
  <si>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</si>
  <si>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</si>
  <si>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</si>
  <si>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</si>
  <si>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</si>
  <si>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</si>
  <si>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</si>
  <si>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</si>
  <si>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</si>
  <si>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</si>
  <si>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</si>
  <si>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</si>
  <si>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</si>
  <si>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</si>
  <si>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</si>
  <si>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</si>
  <si>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</si>
  <si>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</si>
  <si>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</si>
  <si>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</si>
  <si>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</si>
  <si>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</si>
  <si>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</si>
  <si>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</si>
  <si>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</si>
  <si>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</si>
  <si>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</si>
  <si>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</si>
  <si>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</si>
  <si>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</si>
  <si>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</si>
  <si>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</si>
  <si>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</si>
  <si>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</si>
  <si>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</si>
  <si>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</si>
  <si>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</si>
  <si>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</si>
  <si>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</si>
  <si>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</si>
  <si>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</si>
  <si>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</si>
  <si>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</si>
  <si>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</si>
  <si>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</si>
  <si>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</si>
  <si>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</si>
  <si>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</si>
  <si>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</si>
  <si>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</si>
  <si>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</si>
  <si>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</si>
  <si>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</si>
  <si>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</si>
  <si>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</si>
  <si>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</si>
  <si>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</si>
  <si>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</si>
  <si>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</si>
  <si>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</si>
  <si>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</si>
  <si>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</si>
  <si>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</si>
  <si>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</si>
  <si>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</si>
  <si>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</si>
  <si>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</si>
  <si>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</si>
  <si>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</si>
  <si>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</si>
  <si>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</si>
  <si>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</si>
  <si>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</si>
  <si>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</si>
  <si>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</si>
  <si>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</si>
  <si>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</si>
  <si>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</si>
  <si>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</si>
  <si>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</si>
  <si>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</si>
  <si>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</si>
  <si>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</si>
  <si>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</si>
  <si>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</si>
  <si>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</si>
  <si>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</si>
  <si>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</si>
  <si>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</si>
  <si>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</si>
  <si>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</si>
  <si>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</si>
  <si>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</si>
  <si>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</si>
  <si>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</si>
  <si>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</si>
  <si>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</si>
  <si>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</si>
  <si>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</si>
  <si>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</si>
  <si>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</si>
  <si>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</si>
  <si>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</si>
  <si>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</si>
  <si>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</si>
  <si>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</si>
  <si>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</si>
  <si>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</si>
  <si>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</si>
  <si>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</si>
  <si>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</si>
  <si>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</si>
  <si>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</si>
  <si>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</si>
  <si>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</si>
  <si>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</si>
  <si>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</si>
  <si>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</si>
  <si>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</si>
  <si>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</si>
  <si>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</si>
  <si>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</si>
  <si>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</si>
  <si>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</si>
  <si>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</si>
  <si>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</si>
  <si>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</si>
  <si>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</si>
  <si>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</si>
  <si>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</si>
  <si>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</si>
  <si>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</si>
  <si>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</si>
  <si>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</si>
  <si>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</si>
  <si>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</si>
  <si>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</si>
  <si>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</si>
  <si>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</si>
  <si>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</si>
  <si>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</si>
  <si>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</si>
  <si>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</si>
  <si>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</si>
  <si>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</si>
  <si>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</si>
  <si>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</si>
  <si>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</si>
  <si>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</si>
  <si>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</si>
  <si>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</si>
  <si>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</si>
  <si>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</si>
  <si>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</si>
  <si>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</si>
  <si>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</si>
  <si>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</si>
  <si>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</si>
  <si>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</si>
  <si>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</si>
  <si>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</si>
  <si>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</si>
  <si>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</si>
  <si>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</si>
  <si>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</si>
  <si>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</si>
  <si>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</si>
  <si>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</si>
  <si>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</si>
  <si>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</si>
  <si>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</si>
  <si>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</si>
  <si>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</si>
  <si>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</si>
  <si>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</si>
  <si>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</si>
  <si>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</si>
  <si>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</si>
  <si>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</si>
  <si>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</si>
  <si>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</si>
  <si>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</si>
  <si>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</si>
  <si>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</si>
  <si>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</si>
  <si>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</si>
  <si>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</si>
  <si>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</si>
  <si>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</si>
  <si>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</si>
  <si>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</si>
  <si>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</si>
  <si>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</si>
  <si>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</si>
  <si>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</si>
  <si>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</si>
  <si>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</si>
  <si>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</si>
  <si>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</si>
  <si>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</si>
  <si>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</si>
  <si>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</si>
  <si>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</si>
  <si>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</si>
  <si>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</si>
  <si>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</si>
  <si>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</si>
  <si>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</si>
  <si>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</si>
  <si>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</si>
  <si>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</si>
  <si>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</si>
  <si>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</si>
  <si>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</si>
  <si>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</si>
  <si>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</si>
  <si>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</si>
  <si>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</si>
  <si>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</si>
  <si>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</si>
  <si>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</si>
  <si>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</si>
  <si>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</si>
  <si>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</si>
  <si>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</si>
  <si>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</si>
  <si>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</si>
  <si>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</si>
  <si>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</si>
  <si>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</si>
  <si>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</si>
  <si>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</si>
  <si>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</si>
  <si>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</si>
  <si>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</si>
  <si>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</si>
  <si>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</si>
  <si>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</si>
  <si>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</si>
  <si>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</si>
  <si>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</si>
  <si>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</si>
  <si>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</si>
  <si>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</si>
  <si>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</si>
  <si>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</si>
  <si>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</si>
  <si>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</si>
  <si>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</si>
  <si>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</si>
  <si>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</si>
  <si>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</si>
  <si>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</si>
  <si>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</si>
  <si>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</si>
  <si>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</si>
  <si>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</si>
  <si>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</si>
  <si>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</si>
  <si>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</si>
  <si>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</si>
  <si>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</si>
  <si>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</si>
  <si>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</si>
  <si>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</si>
  <si>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</si>
  <si>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</si>
  <si>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</si>
  <si>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</si>
  <si>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</si>
  <si>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</si>
  <si>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</si>
  <si>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</si>
  <si>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</si>
  <si>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</si>
  <si>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</si>
  <si>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</si>
  <si>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</si>
  <si>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</si>
  <si>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</si>
  <si>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</si>
  <si>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</si>
  <si>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</si>
  <si>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</si>
  <si>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</si>
  <si>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</si>
  <si>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</si>
  <si>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</si>
  <si>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</si>
  <si>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</si>
  <si>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</si>
  <si>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</si>
  <si>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</si>
  <si>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</si>
  <si>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</si>
  <si>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</si>
  <si>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</si>
  <si>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</si>
  <si>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</si>
  <si>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</si>
  <si>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</si>
  <si>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</si>
  <si>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</si>
  <si>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</si>
  <si>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</si>
  <si>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</si>
  <si>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</si>
  <si>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</si>
  <si>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</si>
  <si>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</si>
  <si>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</si>
  <si>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</si>
  <si>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</si>
  <si>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</si>
  <si>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</si>
  <si>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</si>
  <si>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</si>
  <si>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</si>
  <si>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</si>
  <si>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</si>
  <si>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</si>
  <si>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</si>
  <si>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</si>
  <si>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</si>
  <si>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</si>
  <si>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</si>
  <si>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</si>
  <si>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</si>
  <si>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</si>
  <si>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</si>
  <si>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</si>
  <si>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</si>
  <si>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</si>
  <si>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</si>
  <si>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</si>
  <si>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</si>
  <si>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</si>
  <si>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</si>
  <si>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</si>
  <si>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</si>
  <si>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</si>
  <si>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</si>
  <si>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</si>
  <si>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</si>
  <si>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</si>
  <si>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</si>
  <si>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</si>
  <si>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</si>
  <si>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</si>
  <si>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</si>
  <si>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</si>
  <si>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</si>
  <si>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</si>
  <si>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</si>
  <si>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</si>
  <si>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</si>
  <si>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</si>
  <si>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</si>
  <si>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</si>
  <si>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</si>
  <si>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</si>
  <si>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</si>
  <si>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</si>
  <si>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</si>
  <si>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</si>
  <si>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</si>
  <si>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</si>
  <si>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</si>
  <si>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</si>
  <si>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</si>
  <si>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</si>
  <si>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</si>
  <si>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</si>
  <si>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</si>
  <si>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</si>
  <si>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</si>
  <si>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</si>
  <si>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</si>
  <si>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</si>
  <si>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</si>
  <si>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</si>
  <si>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</si>
  <si>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</si>
  <si>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</si>
  <si>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</si>
  <si>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</si>
  <si>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</si>
  <si>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</si>
  <si>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</si>
  <si>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</si>
  <si>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</si>
  <si>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</si>
  <si>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</si>
  <si>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</si>
  <si>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</si>
  <si>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</si>
  <si>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</si>
  <si>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</si>
  <si>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</si>
  <si>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</si>
  <si>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</si>
  <si>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</si>
  <si>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</si>
  <si>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</si>
  <si>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</si>
  <si>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</si>
  <si>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</si>
  <si>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</si>
  <si>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</si>
  <si>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</si>
  <si>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</si>
  <si>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</si>
  <si>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</si>
  <si>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</si>
  <si>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</si>
  <si>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</si>
  <si>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</si>
  <si>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</si>
  <si>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</si>
  <si>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</si>
  <si>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</si>
  <si>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</si>
  <si>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</si>
  <si>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</si>
  <si>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</si>
  <si>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</si>
  <si>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</si>
  <si>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</si>
  <si>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</si>
  <si>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</si>
  <si>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</si>
  <si>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</si>
  <si>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</si>
  <si>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</si>
  <si>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</si>
  <si>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</si>
  <si>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</si>
  <si>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</si>
  <si>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</si>
  <si>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</si>
  <si>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</si>
  <si>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</si>
  <si>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</si>
  <si>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</si>
  <si>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</si>
  <si>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</si>
  <si>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</si>
  <si>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</si>
  <si>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</si>
  <si>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</si>
  <si>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</si>
  <si>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</si>
  <si>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</si>
  <si>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</si>
  <si>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</si>
  <si>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</si>
  <si>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</si>
  <si>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</si>
  <si>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</si>
  <si>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</si>
  <si>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</si>
  <si>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</si>
  <si>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</si>
  <si>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</si>
  <si>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</si>
  <si>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</si>
  <si>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</si>
  <si>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</si>
  <si>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</si>
  <si>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</si>
  <si>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</si>
  <si>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</si>
  <si>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</si>
  <si>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</si>
  <si>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</si>
  <si>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</si>
  <si>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</si>
  <si>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</si>
  <si>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</si>
  <si>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</si>
  <si>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</si>
  <si>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</si>
  <si>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</si>
  <si>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</si>
  <si>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</si>
  <si>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</si>
  <si>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</si>
  <si>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</si>
  <si>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</si>
  <si>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</si>
  <si>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</si>
  <si>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</si>
  <si>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</si>
  <si>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</si>
  <si>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</si>
  <si>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</si>
  <si>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</si>
  <si>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</si>
  <si>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</si>
  <si>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</si>
  <si>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</si>
  <si>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</si>
  <si>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</si>
  <si>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</si>
  <si>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</si>
  <si>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</si>
  <si>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</si>
  <si>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</si>
  <si>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</si>
  <si>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</si>
  <si>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</si>
  <si>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</si>
  <si>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</si>
  <si>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</si>
  <si>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</si>
  <si>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</si>
  <si>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</si>
  <si>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</si>
  <si>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</si>
  <si>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</si>
  <si>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</si>
  <si>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</si>
  <si>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</si>
  <si>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</si>
  <si>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</si>
  <si>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</si>
  <si>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</si>
  <si>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</si>
  <si>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</si>
  <si>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</si>
  <si>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</si>
  <si>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</si>
  <si>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</si>
  <si>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</si>
  <si>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</si>
  <si>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</si>
  <si>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</si>
  <si>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</si>
  <si>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</si>
  <si>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</si>
  <si>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</si>
  <si>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</si>
  <si>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</si>
  <si>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</si>
  <si>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</si>
  <si>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</si>
  <si>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</si>
  <si>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</si>
  <si>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</si>
  <si>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</si>
  <si>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</si>
  <si>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</si>
  <si>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</si>
  <si>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</si>
  <si>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</si>
  <si>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</si>
  <si>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</si>
  <si>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</si>
  <si>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</si>
  <si>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</si>
  <si>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</si>
  <si>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</si>
  <si>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</si>
  <si>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</si>
  <si>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</si>
  <si>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</si>
  <si>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</si>
  <si>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</si>
  <si>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</si>
  <si>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</si>
  <si>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</si>
  <si>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</si>
  <si>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</si>
  <si>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</si>
  <si>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</si>
  <si>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</si>
  <si>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</si>
  <si>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</si>
  <si>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</si>
  <si>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</si>
  <si>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</si>
  <si>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</si>
  <si>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</si>
  <si>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</si>
  <si>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</si>
  <si>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</si>
  <si>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</si>
  <si>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</si>
  <si>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</si>
  <si>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</si>
  <si>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</si>
  <si>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</si>
  <si>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</si>
  <si>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</si>
  <si>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</si>
  <si>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</si>
  <si>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</si>
  <si>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</si>
  <si>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</si>
  <si>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</si>
  <si>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</si>
  <si>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</si>
  <si>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</si>
  <si>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</si>
  <si>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</si>
  <si>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</si>
  <si>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</si>
  <si>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</si>
  <si>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</si>
  <si>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</si>
  <si>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</si>
  <si>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</si>
  <si>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</si>
  <si>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</si>
  <si>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</si>
  <si>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</si>
  <si>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</si>
  <si>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</si>
  <si>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</si>
  <si>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</si>
  <si>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</si>
  <si>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</si>
  <si>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</si>
  <si>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</si>
  <si>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</si>
  <si>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</si>
  <si>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</si>
  <si>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</si>
  <si>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</si>
  <si>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</si>
  <si>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</si>
  <si>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</si>
  <si>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</si>
  <si>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</si>
  <si>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</si>
  <si>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</si>
  <si>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</si>
  <si>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</si>
  <si>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</si>
  <si>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</si>
  <si>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</si>
  <si>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</si>
  <si>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</si>
  <si>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</si>
  <si>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</si>
  <si>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</si>
  <si>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</si>
  <si>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</si>
  <si>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</si>
  <si>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</si>
  <si>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</si>
  <si>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</si>
  <si>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</si>
  <si>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</si>
  <si>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</si>
  <si>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</si>
  <si>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</si>
  <si>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</si>
  <si>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</si>
  <si>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</si>
  <si>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</si>
  <si>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</si>
  <si>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</si>
  <si>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</si>
  <si>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</si>
  <si>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</si>
  <si>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</si>
  <si>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</si>
  <si>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</si>
  <si>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</si>
  <si>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</si>
  <si>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</si>
  <si>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</si>
  <si>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</si>
  <si>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</si>
  <si>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</si>
  <si>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</si>
  <si>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</si>
  <si>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</si>
  <si>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</si>
  <si>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</si>
  <si>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</si>
  <si>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</si>
  <si>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</si>
  <si>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</si>
  <si>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</si>
  <si>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</si>
  <si>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</si>
  <si>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</si>
  <si>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</si>
  <si>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</si>
  <si>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</si>
  <si>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</si>
  <si>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</si>
  <si>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</si>
  <si>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</si>
  <si>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</si>
  <si>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</si>
  <si>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</si>
  <si>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</si>
  <si>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</si>
  <si>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</si>
  <si>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</si>
  <si>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</si>
  <si>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</si>
  <si>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</si>
  <si>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</si>
  <si>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</si>
  <si>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</si>
  <si>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</si>
  <si>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</si>
  <si>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</si>
  <si>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</si>
  <si>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</si>
  <si>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</si>
  <si>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</si>
  <si>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</si>
  <si>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</si>
  <si>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</si>
  <si>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</si>
  <si>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</si>
  <si>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</si>
  <si>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</si>
  <si>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</si>
  <si>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</si>
  <si>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</si>
  <si>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</si>
  <si>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</si>
  <si>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</si>
  <si>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</si>
  <si>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</si>
  <si>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</si>
  <si>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</si>
  <si>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</si>
  <si>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</si>
  <si>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</si>
  <si>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</si>
  <si>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</si>
  <si>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</si>
  <si>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</si>
  <si>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</si>
  <si>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</si>
  <si>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</si>
  <si>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</si>
  <si>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</si>
  <si>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</si>
  <si>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</si>
  <si>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</si>
  <si>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</si>
  <si>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</si>
  <si>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</si>
  <si>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</si>
  <si>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</si>
  <si>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</si>
  <si>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</si>
  <si>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</si>
  <si>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</si>
  <si>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</si>
  <si>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</si>
  <si>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</si>
  <si>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</si>
  <si>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</si>
  <si>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</si>
  <si>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</si>
  <si>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</si>
  <si>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</si>
  <si>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</si>
  <si>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</si>
  <si>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</si>
  <si>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</si>
  <si>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</si>
  <si>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</si>
  <si>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</si>
  <si>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</si>
  <si>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</si>
  <si>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</si>
  <si>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</si>
  <si>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</si>
  <si>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</si>
  <si>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</si>
  <si>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</si>
  <si>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</si>
  <si>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</si>
  <si>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</si>
  <si>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</si>
  <si>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</si>
  <si>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</si>
  <si>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</si>
  <si>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</si>
  <si>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</si>
  <si>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</si>
  <si>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</si>
  <si>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</si>
  <si>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</si>
  <si>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</si>
  <si>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</si>
  <si>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</si>
  <si>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</si>
  <si>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</si>
  <si>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</si>
  <si>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</si>
  <si>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</si>
  <si>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</si>
  <si>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</si>
  <si>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</si>
  <si>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</si>
  <si>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</si>
  <si>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</si>
  <si>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</si>
  <si>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</si>
  <si>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</si>
  <si>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</si>
  <si>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</si>
  <si>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</si>
  <si>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</si>
  <si>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</si>
  <si>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</si>
  <si>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</si>
  <si>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</si>
  <si>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</si>
  <si>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</si>
  <si>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</si>
  <si>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</si>
  <si>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</si>
  <si>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</si>
  <si>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</si>
  <si>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</si>
  <si>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</si>
  <si>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</si>
  <si>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</si>
  <si>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</si>
  <si>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</si>
  <si>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</si>
  <si>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</si>
  <si>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</si>
  <si>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</si>
  <si>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</si>
  <si>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</si>
  <si>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</si>
  <si>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</si>
  <si>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</si>
  <si>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</si>
  <si>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</si>
  <si>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</si>
  <si>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</si>
  <si>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</si>
  <si>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</si>
  <si>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</si>
  <si>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</si>
  <si>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</si>
  <si>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</si>
  <si>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</si>
  <si>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</si>
  <si>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</si>
  <si>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</si>
  <si>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</si>
  <si>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</si>
  <si>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</si>
  <si>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</si>
  <si>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</si>
  <si>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</si>
  <si>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</si>
  <si>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</si>
  <si>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</si>
  <si>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</si>
  <si>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</si>
  <si>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</si>
  <si>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</si>
  <si>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</si>
  <si>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</si>
  <si>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</si>
  <si>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</si>
  <si>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</si>
  <si>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</si>
  <si>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</si>
  <si>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</si>
  <si>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</si>
  <si>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</si>
  <si>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</si>
  <si>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</si>
  <si>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</si>
  <si>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</si>
  <si>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</si>
  <si>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</si>
  <si>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</si>
  <si>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</si>
  <si>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</si>
  <si>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</si>
  <si>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</si>
  <si>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</si>
  <si>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</si>
  <si>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</si>
  <si>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</si>
  <si>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</si>
  <si>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</si>
  <si>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</si>
  <si>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</si>
  <si>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</si>
  <si>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</si>
  <si>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</si>
  <si>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</si>
  <si>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</si>
  <si>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</si>
  <si>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</si>
  <si>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</si>
  <si>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</si>
  <si>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</si>
  <si>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</si>
  <si>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</si>
  <si>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</si>
  <si>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</si>
  <si>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</si>
  <si>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</si>
  <si>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</si>
  <si>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</si>
  <si>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</si>
  <si>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</si>
  <si>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</si>
  <si>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</si>
  <si>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</si>
  <si>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</si>
  <si>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</si>
  <si>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</si>
  <si>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</si>
  <si>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</si>
  <si>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</si>
  <si>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</si>
  <si>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</si>
  <si>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</si>
  <si>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</si>
  <si>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</si>
  <si>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</si>
  <si>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</si>
  <si>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</si>
  <si>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</si>
  <si>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</si>
  <si>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</si>
  <si>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</si>
  <si>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</si>
  <si>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</si>
  <si>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</si>
  <si>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</si>
  <si>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</si>
  <si>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</si>
  <si>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</si>
  <si>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</si>
  <si>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</si>
  <si>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</si>
  <si>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</si>
  <si>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</si>
  <si>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</si>
  <si>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</si>
  <si>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</si>
  <si>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</si>
  <si>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</si>
  <si>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</si>
  <si>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</si>
  <si>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</si>
  <si>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</si>
  <si>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</si>
  <si>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</si>
  <si>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</si>
  <si>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</si>
  <si>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</si>
  <si>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</si>
  <si>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</si>
  <si>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</si>
  <si>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</si>
  <si>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</si>
  <si>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</si>
  <si>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</si>
  <si>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</si>
  <si>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</si>
  <si>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</si>
  <si>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</si>
  <si>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</si>
  <si>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</si>
  <si>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</si>
  <si>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</si>
  <si>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</si>
  <si>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</si>
  <si>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</si>
  <si>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</si>
  <si>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</si>
  <si>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</si>
  <si>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</si>
  <si>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</si>
  <si>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</si>
  <si>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</si>
  <si>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</si>
  <si>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</si>
  <si>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</si>
  <si>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</si>
  <si>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</si>
  <si>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</si>
  <si>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</si>
  <si>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</si>
  <si>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</si>
  <si>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</si>
  <si>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</si>
  <si>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</si>
  <si>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</si>
  <si>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</si>
  <si>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</si>
  <si>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</si>
  <si>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</si>
  <si>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</si>
  <si>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</si>
  <si>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</si>
  <si>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</si>
  <si>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</si>
  <si>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</si>
  <si>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</si>
  <si>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</si>
  <si>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</si>
  <si>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</si>
  <si>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</si>
  <si>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</si>
  <si>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</si>
  <si>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</si>
  <si>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</si>
  <si>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</si>
  <si>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</si>
  <si>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</si>
  <si>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</si>
  <si>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</si>
  <si>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</si>
  <si>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</si>
  <si>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</si>
  <si>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</si>
  <si>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</si>
  <si>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</si>
  <si>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</si>
  <si>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</si>
  <si>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</si>
  <si>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</si>
  <si>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</si>
  <si>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</si>
  <si>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</si>
  <si>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</si>
  <si>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</si>
  <si>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</si>
  <si>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</si>
  <si>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</si>
  <si>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</si>
  <si>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</si>
  <si>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</si>
  <si>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</si>
  <si>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</si>
  <si>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</si>
  <si>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</si>
  <si>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</si>
  <si>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</si>
  <si>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</si>
  <si>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</si>
  <si>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</si>
  <si>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</si>
  <si>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</si>
  <si>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</si>
  <si>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</si>
  <si>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</si>
  <si>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</si>
  <si>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</si>
  <si>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</si>
  <si>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</si>
  <si>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</si>
  <si>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</si>
  <si>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</si>
  <si>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</si>
  <si>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</si>
  <si>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</si>
  <si>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</si>
  <si>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</si>
  <si>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</si>
  <si>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</si>
  <si>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</si>
  <si>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</si>
  <si>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</si>
  <si>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</si>
  <si>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</si>
  <si>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</si>
  <si>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</si>
  <si>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</si>
  <si>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</si>
  <si>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</si>
  <si>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</si>
  <si>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</si>
  <si>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</si>
  <si>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</si>
  <si>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</si>
  <si>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</si>
  <si>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</si>
  <si>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</si>
  <si>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</si>
  <si>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</si>
  <si>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</si>
  <si>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</si>
  <si>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</si>
  <si>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</si>
  <si>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</si>
  <si>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</si>
  <si>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</si>
  <si>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</si>
  <si>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</si>
  <si>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</si>
  <si>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</si>
  <si>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</si>
  <si>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</si>
  <si>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</si>
  <si>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</si>
  <si>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</si>
  <si>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</si>
  <si>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</si>
  <si>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</si>
  <si>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</si>
  <si>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</si>
  <si>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</si>
  <si>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</si>
  <si>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</si>
  <si>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</si>
  <si>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</si>
  <si>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</si>
  <si>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</si>
  <si>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</si>
  <si>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</si>
  <si>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</si>
  <si>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</si>
  <si>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</si>
  <si>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</si>
  <si>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</si>
  <si>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</si>
  <si>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</si>
  <si>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</si>
  <si>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</si>
  <si>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</si>
  <si>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</si>
  <si>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</si>
  <si>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</si>
  <si>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</si>
  <si>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</si>
  <si>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</si>
  <si>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</si>
  <si>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</si>
  <si>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</si>
  <si>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</si>
  <si>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</si>
  <si>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</si>
  <si>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</si>
  <si>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</si>
  <si>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</si>
  <si>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</si>
  <si>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</si>
  <si>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</si>
  <si>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</si>
  <si>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</si>
  <si>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</si>
  <si>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</si>
  <si>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</si>
  <si>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W9</t>
  </si>
  <si>
    <t>W13</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</si>
  <si>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</si>
  <si>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</si>
  <si>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</si>
  <si>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</si>
  <si>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</si>
  <si>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</si>
  <si>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</si>
  <si>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</si>
  <si>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</si>
  <si>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</si>
  <si>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</si>
  <si>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</si>
  <si>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</si>
  <si>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</si>
  <si>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</si>
  <si>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</si>
  <si>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</si>
  <si>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</si>
  <si>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</si>
  <si>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</si>
  <si>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</si>
  <si>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</si>
  <si>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</si>
  <si>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</si>
  <si>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</si>
  <si>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</si>
  <si>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</si>
  <si>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</si>
  <si>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</si>
  <si>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</si>
  <si>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</si>
  <si>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</si>
  <si>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</si>
  <si>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</si>
  <si>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</si>
  <si>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</si>
  <si>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</si>
  <si>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</si>
  <si>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</si>
  <si>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</si>
  <si>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</si>
  <si>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</si>
  <si>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</si>
  <si>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</si>
  <si>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</si>
  <si>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</si>
  <si>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</si>
  <si>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</si>
  <si>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</si>
  <si>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</si>
  <si>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</si>
  <si>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</si>
  <si>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</si>
  <si>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</si>
  <si>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</si>
  <si>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</si>
  <si>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</si>
  <si>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</si>
  <si>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</si>
  <si>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</si>
  <si>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</si>
  <si>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</si>
  <si>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</si>
  <si>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</si>
  <si>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</si>
  <si>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</si>
  <si>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</si>
  <si>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</si>
  <si>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</si>
  <si>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</si>
  <si>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</si>
  <si>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</si>
  <si>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</si>
  <si>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</si>
  <si>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</si>
  <si>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</si>
  <si>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</si>
  <si>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</si>
  <si>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</si>
  <si>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</si>
  <si>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</si>
  <si>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</si>
  <si>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</si>
  <si>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</si>
  <si>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</si>
  <si>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</si>
  <si>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</si>
  <si>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</si>
  <si>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</si>
  <si>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</si>
  <si>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</si>
  <si>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</si>
  <si>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</si>
  <si>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</si>
  <si>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</si>
  <si>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</si>
  <si>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</si>
  <si>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</si>
  <si>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</si>
  <si>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</si>
  <si>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</si>
  <si>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</si>
  <si>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</si>
  <si>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</si>
  <si>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</si>
  <si>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</si>
  <si>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</si>
  <si>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</si>
  <si>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</si>
  <si>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</si>
  <si>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</si>
  <si>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</si>
  <si>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</si>
  <si>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</si>
  <si>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</si>
  <si>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</si>
  <si>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</si>
  <si>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</si>
  <si>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</si>
  <si>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</si>
  <si>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</si>
  <si>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</si>
  <si>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</si>
  <si>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</si>
  <si>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</si>
  <si>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</si>
  <si>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</si>
  <si>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</si>
  <si>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</si>
  <si>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</si>
  <si>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</si>
  <si>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</si>
  <si>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</si>
  <si>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</si>
  <si>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</si>
  <si>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</si>
  <si>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</si>
  <si>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</si>
  <si>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</si>
  <si>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</si>
  <si>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</si>
  <si>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</si>
  <si>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</si>
  <si>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</si>
  <si>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</si>
  <si>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</si>
  <si>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</si>
  <si>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</si>
  <si>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</si>
  <si>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</si>
  <si>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</si>
  <si>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</si>
  <si>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</si>
  <si>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</si>
  <si>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</si>
  <si>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</si>
  <si>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</si>
  <si>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</si>
  <si>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</si>
  <si>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</si>
  <si>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</si>
  <si>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</si>
  <si>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</si>
  <si>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</si>
  <si>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</si>
  <si>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</si>
  <si>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</si>
  <si>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</si>
  <si>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</si>
  <si>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</si>
  <si>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</si>
  <si>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</si>
  <si>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</si>
  <si>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</si>
  <si>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</si>
  <si>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</si>
  <si>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</si>
  <si>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</si>
  <si>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</si>
  <si>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</si>
  <si>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</si>
  <si>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</si>
  <si>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</si>
  <si>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</si>
  <si>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</si>
  <si>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</si>
  <si>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</si>
  <si>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</si>
  <si>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</si>
  <si>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</si>
  <si>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</si>
  <si>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</si>
  <si>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</si>
  <si>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</si>
  <si>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</si>
  <si>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</si>
  <si>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</si>
  <si>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</si>
  <si>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</si>
  <si>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</si>
  <si>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</si>
  <si>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</si>
  <si>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</si>
  <si>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</si>
  <si>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</si>
  <si>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</si>
  <si>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</si>
  <si>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</si>
  <si>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</si>
  <si>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</si>
  <si>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</si>
  <si>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</si>
  <si>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</si>
  <si>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</si>
  <si>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</si>
  <si>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</si>
  <si>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</si>
  <si>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</si>
  <si>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</si>
  <si>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</si>
  <si>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</si>
  <si>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</si>
  <si>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</si>
  <si>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</si>
  <si>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</si>
  <si>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</si>
  <si>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</si>
  <si>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</si>
  <si>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W17</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</si>
  <si>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</si>
  <si>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</si>
  <si>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</si>
  <si>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</si>
  <si>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</si>
  <si>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</si>
  <si>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</si>
  <si>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</si>
  <si>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</si>
  <si>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</si>
  <si>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</si>
  <si>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</si>
  <si>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</si>
  <si>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</si>
  <si>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</si>
  <si>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</si>
  <si>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</si>
  <si>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</si>
  <si>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</si>
  <si>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</si>
  <si>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</si>
  <si>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</si>
  <si>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</si>
  <si>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</si>
  <si>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GME Project</t>
    <phoneticPr fontId="2" type="noConversion"/>
  </si>
  <si>
    <t>파워포인트</t>
    <phoneticPr fontId="4" type="noConversion"/>
  </si>
  <si>
    <t>자동지정</t>
    <phoneticPr fontId="4" type="noConversion"/>
  </si>
  <si>
    <t>워드</t>
    <phoneticPr fontId="4" type="noConversion"/>
  </si>
  <si>
    <t>엑셀</t>
    <phoneticPr fontId="4" type="noConversion"/>
  </si>
  <si>
    <t>[2209-16] Bill Payment using Sampath Bank</t>
  </si>
  <si>
    <t>Server</t>
  </si>
  <si>
    <t>iOS</t>
  </si>
  <si>
    <t>Android</t>
  </si>
  <si>
    <t>Test in TB</t>
  </si>
  <si>
    <t>Test in Live</t>
  </si>
  <si>
    <t>Service Launch</t>
  </si>
  <si>
    <t>[2207-11] Setup AML Solution</t>
  </si>
  <si>
    <t>Development</t>
  </si>
  <si>
    <t>[2209-05] Show All Limit in Mobile App</t>
  </si>
  <si>
    <t>[2207-01] KFTC Self Certification</t>
  </si>
  <si>
    <t>[2306-10] New Voice Phishing Rule in KFTC</t>
  </si>
  <si>
    <t>Design</t>
  </si>
  <si>
    <t>[2110-18] Zeropay in Mobile App</t>
  </si>
  <si>
    <t>[2212-16] Double Payments Risk Management</t>
  </si>
  <si>
    <t>[2204-02] Change Main Page in Mobile App</t>
  </si>
  <si>
    <t>[2306-08] User Device Registration</t>
  </si>
  <si>
    <t>[2304-13] KFTC Self Certification v2.0</t>
  </si>
  <si>
    <t>[2301-08] New Type Inbound Service</t>
  </si>
  <si>
    <t>[2306-09] GME Card Payment</t>
  </si>
  <si>
    <t>[2210-13] Change Inbound/Outbound 50000 USD Limit Checking</t>
  </si>
  <si>
    <t>05/29
W23</t>
  </si>
  <si>
    <t>06/26
W27</t>
  </si>
  <si>
    <t>07/24
W31</t>
  </si>
  <si>
    <t>08/21
W35</t>
  </si>
  <si>
    <t>09/18
W39</t>
  </si>
  <si>
    <t>1.5</t>
  </si>
  <si>
    <t>1.6</t>
  </si>
  <si>
    <t>3.1</t>
  </si>
  <si>
    <t>3.2</t>
  </si>
  <si>
    <t>3.3</t>
  </si>
  <si>
    <t>3.4</t>
  </si>
  <si>
    <t>4.1</t>
  </si>
  <si>
    <t>4.2</t>
  </si>
  <si>
    <t>4.3</t>
  </si>
  <si>
    <t>4.4</t>
  </si>
  <si>
    <t>4.5</t>
  </si>
  <si>
    <t>4.6</t>
  </si>
  <si>
    <t>5.1</t>
  </si>
  <si>
    <t>5.2</t>
  </si>
  <si>
    <t>5.3</t>
  </si>
  <si>
    <t>5.4</t>
  </si>
  <si>
    <t>5.5</t>
  </si>
  <si>
    <t>5.6</t>
  </si>
  <si>
    <t>5.7</t>
  </si>
  <si>
    <t>6.1</t>
  </si>
  <si>
    <t>6.2</t>
  </si>
  <si>
    <t>6.3</t>
  </si>
  <si>
    <t>6.4</t>
  </si>
  <si>
    <t>7.1</t>
  </si>
  <si>
    <t>7.2</t>
  </si>
  <si>
    <t>7.3</t>
  </si>
  <si>
    <t>7.4</t>
  </si>
  <si>
    <t>7.5</t>
  </si>
  <si>
    <t>8.1</t>
  </si>
  <si>
    <t>8.2</t>
  </si>
  <si>
    <t>8.3</t>
  </si>
  <si>
    <t>8.4</t>
  </si>
  <si>
    <t>8.5</t>
  </si>
  <si>
    <t>8.6</t>
  </si>
  <si>
    <t>8.7</t>
  </si>
  <si>
    <t>9.1</t>
  </si>
  <si>
    <t>9.2</t>
  </si>
  <si>
    <t>9.3</t>
  </si>
  <si>
    <t>9.4</t>
  </si>
  <si>
    <t>9.5</t>
  </si>
  <si>
    <t>9.6</t>
  </si>
  <si>
    <t>9.7</t>
  </si>
  <si>
    <t>10.1</t>
  </si>
  <si>
    <t>10.2</t>
  </si>
  <si>
    <t>10.3</t>
  </si>
  <si>
    <t>10.4</t>
  </si>
  <si>
    <t>10.5</t>
  </si>
  <si>
    <t>10.6</t>
  </si>
  <si>
    <t>10.7</t>
  </si>
  <si>
    <t>11.1</t>
  </si>
  <si>
    <t>11.2</t>
  </si>
  <si>
    <t>11.3</t>
  </si>
  <si>
    <t>11.4</t>
  </si>
  <si>
    <t>11.5</t>
  </si>
  <si>
    <t>11.6</t>
  </si>
  <si>
    <t>12.1</t>
  </si>
  <si>
    <t>12.2</t>
  </si>
  <si>
    <t>12.3</t>
  </si>
  <si>
    <t>12.4</t>
  </si>
  <si>
    <t>12.5</t>
  </si>
  <si>
    <t>12.6</t>
  </si>
  <si>
    <t>12.7</t>
  </si>
  <si>
    <t>Sagar</t>
  </si>
  <si>
    <t>Manish</t>
  </si>
  <si>
    <t>Sujan</t>
  </si>
  <si>
    <t>Chetan</t>
  </si>
  <si>
    <t>API, JsonRX</t>
  </si>
  <si>
    <t>Anil</t>
  </si>
  <si>
    <t>Sapumal</t>
  </si>
  <si>
    <t>Pujan</t>
  </si>
  <si>
    <t>Jasurbek, Thav</t>
  </si>
  <si>
    <t>JY</t>
  </si>
  <si>
    <t>Pheaktra, Jasurbek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</si>
</sst>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7">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sz val="9"/>
      <name val="Calibri"/>
      <family val="2"/>
    </font>
    <font>
      <sz val="9"/>
      <name val="맑은 고딕"/>
      <family val="3"/>
      <charset val="129"/>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0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0" fontId="36" fillId="17" borderId="0" xfId="1" applyFont="1" applyFill="1" applyBorder="1" applyAlignment="1">
      <alignment horizontal="left" vertical="center"/>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0" fontId="35" fillId="19" borderId="19"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55" fillId="0" borderId="30" xfId="4" applyFont="1" applyBorder="1" applyAlignment="1" applyProtection="1">
      <alignment horizontal="left" vertical="top"/>
      <protection locked="0"/>
    </xf>
    <xf numFmtId="0" fontId="56" fillId="0" borderId="30" xfId="4" applyFont="1" applyBorder="1" applyAlignment="1" applyProtection="1">
      <alignment horizontal="left" vertical="top"/>
      <protection locked="0"/>
    </xf>
    <xf numFmtId="14" fontId="55" fillId="0" borderId="30" xfId="4" applyNumberFormat="1" applyFont="1" applyBorder="1" applyAlignment="1" applyProtection="1">
      <alignment horizontal="center"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58</xdr:row>
      <xdr:rowOff>20955</xdr:rowOff>
    </xdr:from>
    <xdr:to>
      <xdr:col>33</xdr:col>
      <xdr:colOff>29028</xdr:colOff>
      <xdr:row>58</xdr:row>
      <xdr:rowOff>135255</xdr:rowOff>
    </xdr:to>
    <xdr:sp macro="" textlink="">
      <xdr:nvSpPr>
        <xdr:cNvPr id="23169" name="55">
          <a:extLst>
            <a:ext uri="{FF2B5EF4-FFF2-40B4-BE49-F238E27FC236}">
              <a16:creationId xmlns:a16="http://schemas.microsoft.com/office/drawing/2014/main" id="{469881D7-C00F-4069-831E-D55CD5B28D7C}"/>
            </a:ext>
          </a:extLst>
        </xdr:cNvPr>
        <xdr:cNvSpPr/>
      </xdr:nvSpPr>
      <xdr:spPr>
        <a:xfrm>
          <a:off x="7840980" y="90030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58</xdr:row>
      <xdr:rowOff>78105</xdr:rowOff>
    </xdr:from>
    <xdr:to>
      <xdr:col>31</xdr:col>
      <xdr:colOff>106680</xdr:colOff>
      <xdr:row>58</xdr:row>
      <xdr:rowOff>78105</xdr:rowOff>
    </xdr:to>
    <xdr:cxnSp macro="">
      <xdr:nvCxnSpPr>
        <xdr:cNvPr id="23170" name="직선 화살표 연결선 23169">
          <a:extLst>
            <a:ext uri="{FF2B5EF4-FFF2-40B4-BE49-F238E27FC236}">
              <a16:creationId xmlns:a16="http://schemas.microsoft.com/office/drawing/2014/main" id="{D3D8D0FA-310C-4217-B69E-FD6CCB763BD7}"/>
            </a:ext>
          </a:extLst>
        </xdr:cNvPr>
        <xdr:cNvCxnSpPr/>
      </xdr:nvCxnSpPr>
      <xdr:spPr>
        <a:xfrm>
          <a:off x="7840980"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57</xdr:row>
      <xdr:rowOff>20955</xdr:rowOff>
    </xdr:from>
    <xdr:to>
      <xdr:col>33</xdr:col>
      <xdr:colOff>29028</xdr:colOff>
      <xdr:row>57</xdr:row>
      <xdr:rowOff>135255</xdr:rowOff>
    </xdr:to>
    <xdr:sp macro="" textlink="">
      <xdr:nvSpPr>
        <xdr:cNvPr id="23171" name="54">
          <a:extLst>
            <a:ext uri="{FF2B5EF4-FFF2-40B4-BE49-F238E27FC236}">
              <a16:creationId xmlns:a16="http://schemas.microsoft.com/office/drawing/2014/main" id="{AC68053E-DCC2-4F11-9118-C72063DC8BFC}"/>
            </a:ext>
          </a:extLst>
        </xdr:cNvPr>
        <xdr:cNvSpPr/>
      </xdr:nvSpPr>
      <xdr:spPr>
        <a:xfrm>
          <a:off x="7840980" y="88506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57</xdr:row>
      <xdr:rowOff>78105</xdr:rowOff>
    </xdr:from>
    <xdr:to>
      <xdr:col>31</xdr:col>
      <xdr:colOff>106680</xdr:colOff>
      <xdr:row>57</xdr:row>
      <xdr:rowOff>78105</xdr:rowOff>
    </xdr:to>
    <xdr:cxnSp macro="">
      <xdr:nvCxnSpPr>
        <xdr:cNvPr id="23172" name="직선 화살표 연결선 23171">
          <a:extLst>
            <a:ext uri="{FF2B5EF4-FFF2-40B4-BE49-F238E27FC236}">
              <a16:creationId xmlns:a16="http://schemas.microsoft.com/office/drawing/2014/main" id="{658263DD-EFB4-402F-8E3E-1AA54974051D}"/>
            </a:ext>
          </a:extLst>
        </xdr:cNvPr>
        <xdr:cNvCxnSpPr/>
      </xdr:nvCxnSpPr>
      <xdr:spPr>
        <a:xfrm>
          <a:off x="7840980"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56</xdr:row>
      <xdr:rowOff>20955</xdr:rowOff>
    </xdr:from>
    <xdr:to>
      <xdr:col>33</xdr:col>
      <xdr:colOff>29028</xdr:colOff>
      <xdr:row>56</xdr:row>
      <xdr:rowOff>135255</xdr:rowOff>
    </xdr:to>
    <xdr:sp macro="" textlink="">
      <xdr:nvSpPr>
        <xdr:cNvPr id="23173" name="53">
          <a:extLst>
            <a:ext uri="{FF2B5EF4-FFF2-40B4-BE49-F238E27FC236}">
              <a16:creationId xmlns:a16="http://schemas.microsoft.com/office/drawing/2014/main" id="{424000ED-BD0A-425E-89FA-F17C5FE49C6F}"/>
            </a:ext>
          </a:extLst>
        </xdr:cNvPr>
        <xdr:cNvSpPr/>
      </xdr:nvSpPr>
      <xdr:spPr>
        <a:xfrm>
          <a:off x="7840980" y="86982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56</xdr:row>
      <xdr:rowOff>78105</xdr:rowOff>
    </xdr:from>
    <xdr:to>
      <xdr:col>31</xdr:col>
      <xdr:colOff>106680</xdr:colOff>
      <xdr:row>56</xdr:row>
      <xdr:rowOff>78105</xdr:rowOff>
    </xdr:to>
    <xdr:cxnSp macro="">
      <xdr:nvCxnSpPr>
        <xdr:cNvPr id="23174" name="직선 화살표 연결선 23173">
          <a:extLst>
            <a:ext uri="{FF2B5EF4-FFF2-40B4-BE49-F238E27FC236}">
              <a16:creationId xmlns:a16="http://schemas.microsoft.com/office/drawing/2014/main" id="{3685AE60-9C97-42D1-B5A1-F4F87A67B266}"/>
            </a:ext>
          </a:extLst>
        </xdr:cNvPr>
        <xdr:cNvCxnSpPr/>
      </xdr:nvCxnSpPr>
      <xdr:spPr>
        <a:xfrm>
          <a:off x="7840980"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55</xdr:row>
      <xdr:rowOff>20955</xdr:rowOff>
    </xdr:from>
    <xdr:to>
      <xdr:col>32</xdr:col>
      <xdr:colOff>8074</xdr:colOff>
      <xdr:row>55</xdr:row>
      <xdr:rowOff>147955</xdr:rowOff>
    </xdr:to>
    <xdr:sp macro="" textlink="">
      <xdr:nvSpPr>
        <xdr:cNvPr id="23175" name="다이아몬드 23174">
          <a:extLst>
            <a:ext uri="{FF2B5EF4-FFF2-40B4-BE49-F238E27FC236}">
              <a16:creationId xmlns:a16="http://schemas.microsoft.com/office/drawing/2014/main" id="{3BA765C6-87A5-4575-BF47-A9E1CB448289}"/>
            </a:ext>
          </a:extLst>
        </xdr:cNvPr>
        <xdr:cNvSpPr/>
      </xdr:nvSpPr>
      <xdr:spPr>
        <a:xfrm>
          <a:off x="7758249" y="8545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54</xdr:row>
      <xdr:rowOff>20955</xdr:rowOff>
    </xdr:from>
    <xdr:to>
      <xdr:col>33</xdr:col>
      <xdr:colOff>29028</xdr:colOff>
      <xdr:row>54</xdr:row>
      <xdr:rowOff>135255</xdr:rowOff>
    </xdr:to>
    <xdr:sp macro="" textlink="">
      <xdr:nvSpPr>
        <xdr:cNvPr id="23176" name="51">
          <a:extLst>
            <a:ext uri="{FF2B5EF4-FFF2-40B4-BE49-F238E27FC236}">
              <a16:creationId xmlns:a16="http://schemas.microsoft.com/office/drawing/2014/main" id="{50EC5E66-4925-40CC-9738-CBE13324D93A}"/>
            </a:ext>
          </a:extLst>
        </xdr:cNvPr>
        <xdr:cNvSpPr/>
      </xdr:nvSpPr>
      <xdr:spPr>
        <a:xfrm>
          <a:off x="7758249" y="8393430"/>
          <a:ext cx="290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54</xdr:row>
      <xdr:rowOff>78105</xdr:rowOff>
    </xdr:from>
    <xdr:to>
      <xdr:col>31</xdr:col>
      <xdr:colOff>23949</xdr:colOff>
      <xdr:row>54</xdr:row>
      <xdr:rowOff>78105</xdr:rowOff>
    </xdr:to>
    <xdr:cxnSp macro="">
      <xdr:nvCxnSpPr>
        <xdr:cNvPr id="23177" name="직선 화살표 연결선 23176">
          <a:extLst>
            <a:ext uri="{FF2B5EF4-FFF2-40B4-BE49-F238E27FC236}">
              <a16:creationId xmlns:a16="http://schemas.microsoft.com/office/drawing/2014/main" id="{DBB6EC76-E8B9-41D2-8233-9FE3D8DDDC10}"/>
            </a:ext>
          </a:extLst>
        </xdr:cNvPr>
        <xdr:cNvCxnSpPr/>
      </xdr:nvCxnSpPr>
      <xdr:spPr>
        <a:xfrm>
          <a:off x="7758249"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118110</xdr:colOff>
      <xdr:row>52</xdr:row>
      <xdr:rowOff>20955</xdr:rowOff>
    </xdr:from>
    <xdr:to>
      <xdr:col>38</xdr:col>
      <xdr:colOff>17870</xdr:colOff>
      <xdr:row>52</xdr:row>
      <xdr:rowOff>135255</xdr:rowOff>
    </xdr:to>
    <xdr:sp macro="" textlink="">
      <xdr:nvSpPr>
        <xdr:cNvPr id="23178" name="49">
          <a:extLst>
            <a:ext uri="{FF2B5EF4-FFF2-40B4-BE49-F238E27FC236}">
              <a16:creationId xmlns:a16="http://schemas.microsoft.com/office/drawing/2014/main" id="{8946164A-6FB1-49AD-B334-3C71D4CDF248}"/>
            </a:ext>
          </a:extLst>
        </xdr:cNvPr>
        <xdr:cNvSpPr/>
      </xdr:nvSpPr>
      <xdr:spPr>
        <a:xfrm>
          <a:off x="8709660" y="8088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118110</xdr:colOff>
      <xdr:row>52</xdr:row>
      <xdr:rowOff>78105</xdr:rowOff>
    </xdr:from>
    <xdr:to>
      <xdr:col>37</xdr:col>
      <xdr:colOff>118110</xdr:colOff>
      <xdr:row>52</xdr:row>
      <xdr:rowOff>78105</xdr:rowOff>
    </xdr:to>
    <xdr:cxnSp macro="">
      <xdr:nvCxnSpPr>
        <xdr:cNvPr id="23179" name="직선 화살표 연결선 23178">
          <a:extLst>
            <a:ext uri="{FF2B5EF4-FFF2-40B4-BE49-F238E27FC236}">
              <a16:creationId xmlns:a16="http://schemas.microsoft.com/office/drawing/2014/main" id="{CFDCFC14-6B87-4A02-B17B-AAC7D855BA80}"/>
            </a:ext>
          </a:extLst>
        </xdr:cNvPr>
        <xdr:cNvCxnSpPr/>
      </xdr:nvCxnSpPr>
      <xdr:spPr>
        <a:xfrm>
          <a:off x="8709660"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118110</xdr:colOff>
      <xdr:row>51</xdr:row>
      <xdr:rowOff>20955</xdr:rowOff>
    </xdr:from>
    <xdr:to>
      <xdr:col>38</xdr:col>
      <xdr:colOff>79919</xdr:colOff>
      <xdr:row>51</xdr:row>
      <xdr:rowOff>135255</xdr:rowOff>
    </xdr:to>
    <xdr:sp macro="" textlink="">
      <xdr:nvSpPr>
        <xdr:cNvPr id="23180" name="48">
          <a:extLst>
            <a:ext uri="{FF2B5EF4-FFF2-40B4-BE49-F238E27FC236}">
              <a16:creationId xmlns:a16="http://schemas.microsoft.com/office/drawing/2014/main" id="{1314C9C3-8601-4BF6-AA74-89590FA2343B}"/>
            </a:ext>
          </a:extLst>
        </xdr:cNvPr>
        <xdr:cNvSpPr/>
      </xdr:nvSpPr>
      <xdr:spPr>
        <a:xfrm>
          <a:off x="8709660" y="7936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118110</xdr:colOff>
      <xdr:row>51</xdr:row>
      <xdr:rowOff>78105</xdr:rowOff>
    </xdr:from>
    <xdr:to>
      <xdr:col>37</xdr:col>
      <xdr:colOff>118110</xdr:colOff>
      <xdr:row>51</xdr:row>
      <xdr:rowOff>78105</xdr:rowOff>
    </xdr:to>
    <xdr:cxnSp macro="">
      <xdr:nvCxnSpPr>
        <xdr:cNvPr id="23181" name="직선 화살표 연결선 23180">
          <a:extLst>
            <a:ext uri="{FF2B5EF4-FFF2-40B4-BE49-F238E27FC236}">
              <a16:creationId xmlns:a16="http://schemas.microsoft.com/office/drawing/2014/main" id="{4A3520F5-D07A-4776-BD1F-CC15A57128FC}"/>
            </a:ext>
          </a:extLst>
        </xdr:cNvPr>
        <xdr:cNvCxnSpPr/>
      </xdr:nvCxnSpPr>
      <xdr:spPr>
        <a:xfrm>
          <a:off x="8709660"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114300</xdr:colOff>
      <xdr:row>50</xdr:row>
      <xdr:rowOff>20955</xdr:rowOff>
    </xdr:from>
    <xdr:to>
      <xdr:col>37</xdr:col>
      <xdr:colOff>78014</xdr:colOff>
      <xdr:row>50</xdr:row>
      <xdr:rowOff>135255</xdr:rowOff>
    </xdr:to>
    <xdr:sp macro="" textlink="">
      <xdr:nvSpPr>
        <xdr:cNvPr id="23182" name="47">
          <a:extLst>
            <a:ext uri="{FF2B5EF4-FFF2-40B4-BE49-F238E27FC236}">
              <a16:creationId xmlns:a16="http://schemas.microsoft.com/office/drawing/2014/main" id="{E97C8B03-71DB-4C8D-A7EA-9EE9B024BD35}"/>
            </a:ext>
          </a:extLst>
        </xdr:cNvPr>
        <xdr:cNvSpPr/>
      </xdr:nvSpPr>
      <xdr:spPr>
        <a:xfrm>
          <a:off x="8420100" y="77838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114300</xdr:colOff>
      <xdr:row>50</xdr:row>
      <xdr:rowOff>78105</xdr:rowOff>
    </xdr:from>
    <xdr:to>
      <xdr:col>35</xdr:col>
      <xdr:colOff>114300</xdr:colOff>
      <xdr:row>50</xdr:row>
      <xdr:rowOff>78105</xdr:rowOff>
    </xdr:to>
    <xdr:cxnSp macro="">
      <xdr:nvCxnSpPr>
        <xdr:cNvPr id="23183" name="직선 화살표 연결선 23182">
          <a:extLst>
            <a:ext uri="{FF2B5EF4-FFF2-40B4-BE49-F238E27FC236}">
              <a16:creationId xmlns:a16="http://schemas.microsoft.com/office/drawing/2014/main" id="{78E911EB-30A1-47DC-864A-00360A6635FF}"/>
            </a:ext>
          </a:extLst>
        </xdr:cNvPr>
        <xdr:cNvCxnSpPr/>
      </xdr:nvCxnSpPr>
      <xdr:spPr>
        <a:xfrm>
          <a:off x="8420100"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112395</xdr:colOff>
      <xdr:row>49</xdr:row>
      <xdr:rowOff>20955</xdr:rowOff>
    </xdr:from>
    <xdr:to>
      <xdr:col>35</xdr:col>
      <xdr:colOff>74204</xdr:colOff>
      <xdr:row>49</xdr:row>
      <xdr:rowOff>135255</xdr:rowOff>
    </xdr:to>
    <xdr:sp macro="" textlink="">
      <xdr:nvSpPr>
        <xdr:cNvPr id="23184" name="46">
          <a:extLst>
            <a:ext uri="{FF2B5EF4-FFF2-40B4-BE49-F238E27FC236}">
              <a16:creationId xmlns:a16="http://schemas.microsoft.com/office/drawing/2014/main" id="{A1DA048C-4E25-4F99-AD9B-179AC790261A}"/>
            </a:ext>
          </a:extLst>
        </xdr:cNvPr>
        <xdr:cNvSpPr/>
      </xdr:nvSpPr>
      <xdr:spPr>
        <a:xfrm>
          <a:off x="8275320" y="7631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112395</xdr:colOff>
      <xdr:row>49</xdr:row>
      <xdr:rowOff>78105</xdr:rowOff>
    </xdr:from>
    <xdr:to>
      <xdr:col>34</xdr:col>
      <xdr:colOff>112395</xdr:colOff>
      <xdr:row>49</xdr:row>
      <xdr:rowOff>78105</xdr:rowOff>
    </xdr:to>
    <xdr:cxnSp macro="">
      <xdr:nvCxnSpPr>
        <xdr:cNvPr id="23185" name="직선 화살표 연결선 23184">
          <a:extLst>
            <a:ext uri="{FF2B5EF4-FFF2-40B4-BE49-F238E27FC236}">
              <a16:creationId xmlns:a16="http://schemas.microsoft.com/office/drawing/2014/main" id="{28F9B178-7164-42C6-BBF2-2C1FDCE1EF06}"/>
            </a:ext>
          </a:extLst>
        </xdr:cNvPr>
        <xdr:cNvCxnSpPr/>
      </xdr:nvCxnSpPr>
      <xdr:spPr>
        <a:xfrm>
          <a:off x="8275320"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48</xdr:row>
      <xdr:rowOff>20955</xdr:rowOff>
    </xdr:from>
    <xdr:to>
      <xdr:col>34</xdr:col>
      <xdr:colOff>72299</xdr:colOff>
      <xdr:row>48</xdr:row>
      <xdr:rowOff>135255</xdr:rowOff>
    </xdr:to>
    <xdr:sp macro="" textlink="">
      <xdr:nvSpPr>
        <xdr:cNvPr id="23186" name="45">
          <a:extLst>
            <a:ext uri="{FF2B5EF4-FFF2-40B4-BE49-F238E27FC236}">
              <a16:creationId xmlns:a16="http://schemas.microsoft.com/office/drawing/2014/main" id="{A2EA471C-1631-465A-AEAE-810128EBC2E1}"/>
            </a:ext>
          </a:extLst>
        </xdr:cNvPr>
        <xdr:cNvSpPr/>
      </xdr:nvSpPr>
      <xdr:spPr>
        <a:xfrm>
          <a:off x="7985760" y="7479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48</xdr:row>
      <xdr:rowOff>78105</xdr:rowOff>
    </xdr:from>
    <xdr:to>
      <xdr:col>32</xdr:col>
      <xdr:colOff>108585</xdr:colOff>
      <xdr:row>48</xdr:row>
      <xdr:rowOff>78105</xdr:rowOff>
    </xdr:to>
    <xdr:cxnSp macro="">
      <xdr:nvCxnSpPr>
        <xdr:cNvPr id="23187" name="직선 화살표 연결선 23186">
          <a:extLst>
            <a:ext uri="{FF2B5EF4-FFF2-40B4-BE49-F238E27FC236}">
              <a16:creationId xmlns:a16="http://schemas.microsoft.com/office/drawing/2014/main" id="{D4F3E07A-7825-4657-A8D7-0B6A098F1149}"/>
            </a:ext>
          </a:extLst>
        </xdr:cNvPr>
        <xdr:cNvCxnSpPr/>
      </xdr:nvCxnSpPr>
      <xdr:spPr>
        <a:xfrm>
          <a:off x="7985760"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47</xdr:row>
      <xdr:rowOff>20955</xdr:rowOff>
    </xdr:from>
    <xdr:to>
      <xdr:col>38</xdr:col>
      <xdr:colOff>79919</xdr:colOff>
      <xdr:row>47</xdr:row>
      <xdr:rowOff>135255</xdr:rowOff>
    </xdr:to>
    <xdr:sp macro="" textlink="">
      <xdr:nvSpPr>
        <xdr:cNvPr id="23188" name="44">
          <a:extLst>
            <a:ext uri="{FF2B5EF4-FFF2-40B4-BE49-F238E27FC236}">
              <a16:creationId xmlns:a16="http://schemas.microsoft.com/office/drawing/2014/main" id="{54B506A9-F0F7-4892-85FE-DE2F6F68DE0E}"/>
            </a:ext>
          </a:extLst>
        </xdr:cNvPr>
        <xdr:cNvSpPr/>
      </xdr:nvSpPr>
      <xdr:spPr>
        <a:xfrm>
          <a:off x="7985760" y="7326630"/>
          <a:ext cx="828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47</xdr:row>
      <xdr:rowOff>78105</xdr:rowOff>
    </xdr:from>
    <xdr:to>
      <xdr:col>32</xdr:col>
      <xdr:colOff>108585</xdr:colOff>
      <xdr:row>47</xdr:row>
      <xdr:rowOff>78105</xdr:rowOff>
    </xdr:to>
    <xdr:cxnSp macro="">
      <xdr:nvCxnSpPr>
        <xdr:cNvPr id="23189" name="직선 화살표 연결선 23188">
          <a:extLst>
            <a:ext uri="{FF2B5EF4-FFF2-40B4-BE49-F238E27FC236}">
              <a16:creationId xmlns:a16="http://schemas.microsoft.com/office/drawing/2014/main" id="{1B48E944-E741-40C2-9440-C1B6BEE9BB38}"/>
            </a:ext>
          </a:extLst>
        </xdr:cNvPr>
        <xdr:cNvCxnSpPr/>
      </xdr:nvCxnSpPr>
      <xdr:spPr>
        <a:xfrm>
          <a:off x="7985760"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116205</xdr:colOff>
      <xdr:row>45</xdr:row>
      <xdr:rowOff>20955</xdr:rowOff>
    </xdr:from>
    <xdr:to>
      <xdr:col>37</xdr:col>
      <xdr:colOff>78014</xdr:colOff>
      <xdr:row>45</xdr:row>
      <xdr:rowOff>135255</xdr:rowOff>
    </xdr:to>
    <xdr:sp macro="" textlink="">
      <xdr:nvSpPr>
        <xdr:cNvPr id="23190" name="42">
          <a:extLst>
            <a:ext uri="{FF2B5EF4-FFF2-40B4-BE49-F238E27FC236}">
              <a16:creationId xmlns:a16="http://schemas.microsoft.com/office/drawing/2014/main" id="{B472ABFF-A101-44E0-830C-AD563CD1DADE}"/>
            </a:ext>
          </a:extLst>
        </xdr:cNvPr>
        <xdr:cNvSpPr/>
      </xdr:nvSpPr>
      <xdr:spPr>
        <a:xfrm>
          <a:off x="8564880" y="7021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116205</xdr:colOff>
      <xdr:row>45</xdr:row>
      <xdr:rowOff>78105</xdr:rowOff>
    </xdr:from>
    <xdr:to>
      <xdr:col>36</xdr:col>
      <xdr:colOff>116205</xdr:colOff>
      <xdr:row>45</xdr:row>
      <xdr:rowOff>78105</xdr:rowOff>
    </xdr:to>
    <xdr:cxnSp macro="">
      <xdr:nvCxnSpPr>
        <xdr:cNvPr id="23191" name="직선 화살표 연결선 23190">
          <a:extLst>
            <a:ext uri="{FF2B5EF4-FFF2-40B4-BE49-F238E27FC236}">
              <a16:creationId xmlns:a16="http://schemas.microsoft.com/office/drawing/2014/main" id="{136F0891-F0FC-49D6-8928-5218256A1E88}"/>
            </a:ext>
          </a:extLst>
        </xdr:cNvPr>
        <xdr:cNvCxnSpPr/>
      </xdr:nvCxnSpPr>
      <xdr:spPr>
        <a:xfrm>
          <a:off x="8564880"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114300</xdr:colOff>
      <xdr:row>44</xdr:row>
      <xdr:rowOff>20955</xdr:rowOff>
    </xdr:from>
    <xdr:to>
      <xdr:col>36</xdr:col>
      <xdr:colOff>76109</xdr:colOff>
      <xdr:row>44</xdr:row>
      <xdr:rowOff>135255</xdr:rowOff>
    </xdr:to>
    <xdr:sp macro="" textlink="">
      <xdr:nvSpPr>
        <xdr:cNvPr id="23192" name="41">
          <a:extLst>
            <a:ext uri="{FF2B5EF4-FFF2-40B4-BE49-F238E27FC236}">
              <a16:creationId xmlns:a16="http://schemas.microsoft.com/office/drawing/2014/main" id="{B707A516-1895-49F8-8FCC-B73D24056D04}"/>
            </a:ext>
          </a:extLst>
        </xdr:cNvPr>
        <xdr:cNvSpPr/>
      </xdr:nvSpPr>
      <xdr:spPr>
        <a:xfrm>
          <a:off x="8420100" y="6869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114300</xdr:colOff>
      <xdr:row>44</xdr:row>
      <xdr:rowOff>78105</xdr:rowOff>
    </xdr:from>
    <xdr:to>
      <xdr:col>35</xdr:col>
      <xdr:colOff>114300</xdr:colOff>
      <xdr:row>44</xdr:row>
      <xdr:rowOff>78105</xdr:rowOff>
    </xdr:to>
    <xdr:cxnSp macro="">
      <xdr:nvCxnSpPr>
        <xdr:cNvPr id="23193" name="직선 화살표 연결선 23192">
          <a:extLst>
            <a:ext uri="{FF2B5EF4-FFF2-40B4-BE49-F238E27FC236}">
              <a16:creationId xmlns:a16="http://schemas.microsoft.com/office/drawing/2014/main" id="{B53BEA12-AB7E-4D2F-828B-FB9A3E046808}"/>
            </a:ext>
          </a:extLst>
        </xdr:cNvPr>
        <xdr:cNvCxnSpPr/>
      </xdr:nvCxnSpPr>
      <xdr:spPr>
        <a:xfrm>
          <a:off x="8420100"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43</xdr:row>
      <xdr:rowOff>20955</xdr:rowOff>
    </xdr:from>
    <xdr:to>
      <xdr:col>35</xdr:col>
      <xdr:colOff>74204</xdr:colOff>
      <xdr:row>43</xdr:row>
      <xdr:rowOff>135255</xdr:rowOff>
    </xdr:to>
    <xdr:sp macro="" textlink="">
      <xdr:nvSpPr>
        <xdr:cNvPr id="23194" name="40">
          <a:extLst>
            <a:ext uri="{FF2B5EF4-FFF2-40B4-BE49-F238E27FC236}">
              <a16:creationId xmlns:a16="http://schemas.microsoft.com/office/drawing/2014/main" id="{20FDF1F3-6B80-4612-95AE-267082322FF0}"/>
            </a:ext>
          </a:extLst>
        </xdr:cNvPr>
        <xdr:cNvSpPr/>
      </xdr:nvSpPr>
      <xdr:spPr>
        <a:xfrm>
          <a:off x="7985760" y="67170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43</xdr:row>
      <xdr:rowOff>78105</xdr:rowOff>
    </xdr:from>
    <xdr:to>
      <xdr:col>32</xdr:col>
      <xdr:colOff>108585</xdr:colOff>
      <xdr:row>43</xdr:row>
      <xdr:rowOff>78105</xdr:rowOff>
    </xdr:to>
    <xdr:cxnSp macro="">
      <xdr:nvCxnSpPr>
        <xdr:cNvPr id="23195" name="직선 화살표 연결선 23194">
          <a:extLst>
            <a:ext uri="{FF2B5EF4-FFF2-40B4-BE49-F238E27FC236}">
              <a16:creationId xmlns:a16="http://schemas.microsoft.com/office/drawing/2014/main" id="{FB59CC13-6D2F-4A62-BC07-572870E07F92}"/>
            </a:ext>
          </a:extLst>
        </xdr:cNvPr>
        <xdr:cNvCxnSpPr/>
      </xdr:nvCxnSpPr>
      <xdr:spPr>
        <a:xfrm>
          <a:off x="7985760"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41</xdr:row>
      <xdr:rowOff>20955</xdr:rowOff>
    </xdr:from>
    <xdr:to>
      <xdr:col>37</xdr:col>
      <xdr:colOff>78014</xdr:colOff>
      <xdr:row>41</xdr:row>
      <xdr:rowOff>135255</xdr:rowOff>
    </xdr:to>
    <xdr:sp macro="" textlink="">
      <xdr:nvSpPr>
        <xdr:cNvPr id="23196" name="38">
          <a:extLst>
            <a:ext uri="{FF2B5EF4-FFF2-40B4-BE49-F238E27FC236}">
              <a16:creationId xmlns:a16="http://schemas.microsoft.com/office/drawing/2014/main" id="{DCBC2592-450B-47BE-A705-6C83AC8B37FD}"/>
            </a:ext>
          </a:extLst>
        </xdr:cNvPr>
        <xdr:cNvSpPr/>
      </xdr:nvSpPr>
      <xdr:spPr>
        <a:xfrm>
          <a:off x="7985760" y="6412230"/>
          <a:ext cx="683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41</xdr:row>
      <xdr:rowOff>78105</xdr:rowOff>
    </xdr:from>
    <xdr:to>
      <xdr:col>32</xdr:col>
      <xdr:colOff>108585</xdr:colOff>
      <xdr:row>41</xdr:row>
      <xdr:rowOff>78105</xdr:rowOff>
    </xdr:to>
    <xdr:cxnSp macro="">
      <xdr:nvCxnSpPr>
        <xdr:cNvPr id="23197" name="직선 화살표 연결선 23196">
          <a:extLst>
            <a:ext uri="{FF2B5EF4-FFF2-40B4-BE49-F238E27FC236}">
              <a16:creationId xmlns:a16="http://schemas.microsoft.com/office/drawing/2014/main" id="{09F82664-1C00-4FE2-807C-FCAC8224FB82}"/>
            </a:ext>
          </a:extLst>
        </xdr:cNvPr>
        <xdr:cNvCxnSpPr/>
      </xdr:nvCxnSpPr>
      <xdr:spPr>
        <a:xfrm>
          <a:off x="7985760"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131173</xdr:colOff>
      <xdr:row>30</xdr:row>
      <xdr:rowOff>20955</xdr:rowOff>
    </xdr:from>
    <xdr:to>
      <xdr:col>34</xdr:col>
      <xdr:colOff>10251</xdr:colOff>
      <xdr:row>30</xdr:row>
      <xdr:rowOff>135255</xdr:rowOff>
    </xdr:to>
    <xdr:sp macro="" textlink="">
      <xdr:nvSpPr>
        <xdr:cNvPr id="23198" name="27">
          <a:extLst>
            <a:ext uri="{FF2B5EF4-FFF2-40B4-BE49-F238E27FC236}">
              <a16:creationId xmlns:a16="http://schemas.microsoft.com/office/drawing/2014/main" id="{EB049045-355F-462E-8F67-EF15902CA13B}"/>
            </a:ext>
          </a:extLst>
        </xdr:cNvPr>
        <xdr:cNvSpPr/>
      </xdr:nvSpPr>
      <xdr:spPr>
        <a:xfrm>
          <a:off x="8151223" y="473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131173</xdr:colOff>
      <xdr:row>30</xdr:row>
      <xdr:rowOff>78105</xdr:rowOff>
    </xdr:from>
    <xdr:to>
      <xdr:col>33</xdr:col>
      <xdr:colOff>131173</xdr:colOff>
      <xdr:row>30</xdr:row>
      <xdr:rowOff>78105</xdr:rowOff>
    </xdr:to>
    <xdr:cxnSp macro="">
      <xdr:nvCxnSpPr>
        <xdr:cNvPr id="23199" name="직선 화살표 연결선 23198">
          <a:extLst>
            <a:ext uri="{FF2B5EF4-FFF2-40B4-BE49-F238E27FC236}">
              <a16:creationId xmlns:a16="http://schemas.microsoft.com/office/drawing/2014/main" id="{FA698B09-A3B8-4130-A52F-95252AB30109}"/>
            </a:ext>
          </a:extLst>
        </xdr:cNvPr>
        <xdr:cNvCxnSpPr/>
      </xdr:nvCxnSpPr>
      <xdr:spPr>
        <a:xfrm>
          <a:off x="8151223"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108585</xdr:colOff>
      <xdr:row>29</xdr:row>
      <xdr:rowOff>20955</xdr:rowOff>
    </xdr:from>
    <xdr:to>
      <xdr:col>33</xdr:col>
      <xdr:colOff>70394</xdr:colOff>
      <xdr:row>29</xdr:row>
      <xdr:rowOff>135255</xdr:rowOff>
    </xdr:to>
    <xdr:sp macro="" textlink="">
      <xdr:nvSpPr>
        <xdr:cNvPr id="23200" name="26">
          <a:extLst>
            <a:ext uri="{FF2B5EF4-FFF2-40B4-BE49-F238E27FC236}">
              <a16:creationId xmlns:a16="http://schemas.microsoft.com/office/drawing/2014/main" id="{1779FF36-5FC4-4A6E-BFEF-90E23F85312B}"/>
            </a:ext>
          </a:extLst>
        </xdr:cNvPr>
        <xdr:cNvSpPr/>
      </xdr:nvSpPr>
      <xdr:spPr>
        <a:xfrm>
          <a:off x="7985760" y="4583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108585</xdr:colOff>
      <xdr:row>29</xdr:row>
      <xdr:rowOff>78105</xdr:rowOff>
    </xdr:from>
    <xdr:to>
      <xdr:col>32</xdr:col>
      <xdr:colOff>108585</xdr:colOff>
      <xdr:row>29</xdr:row>
      <xdr:rowOff>78105</xdr:rowOff>
    </xdr:to>
    <xdr:cxnSp macro="">
      <xdr:nvCxnSpPr>
        <xdr:cNvPr id="23201" name="직선 화살표 연결선 23200">
          <a:extLst>
            <a:ext uri="{FF2B5EF4-FFF2-40B4-BE49-F238E27FC236}">
              <a16:creationId xmlns:a16="http://schemas.microsoft.com/office/drawing/2014/main" id="{1C6C7F2D-46B9-4799-AF45-C7857325C662}"/>
            </a:ext>
          </a:extLst>
        </xdr:cNvPr>
        <xdr:cNvCxnSpPr/>
      </xdr:nvCxnSpPr>
      <xdr:spPr>
        <a:xfrm>
          <a:off x="7985760"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28</xdr:row>
      <xdr:rowOff>20955</xdr:rowOff>
    </xdr:from>
    <xdr:to>
      <xdr:col>32</xdr:col>
      <xdr:colOff>68489</xdr:colOff>
      <xdr:row>28</xdr:row>
      <xdr:rowOff>135255</xdr:rowOff>
    </xdr:to>
    <xdr:sp macro="" textlink="">
      <xdr:nvSpPr>
        <xdr:cNvPr id="23202" name="25">
          <a:extLst>
            <a:ext uri="{FF2B5EF4-FFF2-40B4-BE49-F238E27FC236}">
              <a16:creationId xmlns:a16="http://schemas.microsoft.com/office/drawing/2014/main" id="{DC693FEA-34D4-479F-BBB9-EC638EF3CB4E}"/>
            </a:ext>
          </a:extLst>
        </xdr:cNvPr>
        <xdr:cNvSpPr/>
      </xdr:nvSpPr>
      <xdr:spPr>
        <a:xfrm>
          <a:off x="7840980" y="4431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28</xdr:row>
      <xdr:rowOff>78105</xdr:rowOff>
    </xdr:from>
    <xdr:to>
      <xdr:col>32</xdr:col>
      <xdr:colOff>62048</xdr:colOff>
      <xdr:row>28</xdr:row>
      <xdr:rowOff>78105</xdr:rowOff>
    </xdr:to>
    <xdr:cxnSp macro="">
      <xdr:nvCxnSpPr>
        <xdr:cNvPr id="23203" name="직선 화살표 연결선 23202">
          <a:extLst>
            <a:ext uri="{FF2B5EF4-FFF2-40B4-BE49-F238E27FC236}">
              <a16:creationId xmlns:a16="http://schemas.microsoft.com/office/drawing/2014/main" id="{398A3233-7765-4CE4-A538-CA2B8DD9A2D5}"/>
            </a:ext>
          </a:extLst>
        </xdr:cNvPr>
        <xdr:cNvCxnSpPr/>
      </xdr:nvCxnSpPr>
      <xdr:spPr>
        <a:xfrm>
          <a:off x="7840980" y="4488180"/>
          <a:ext cx="98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27</xdr:row>
      <xdr:rowOff>20955</xdr:rowOff>
    </xdr:from>
    <xdr:to>
      <xdr:col>31</xdr:col>
      <xdr:colOff>66584</xdr:colOff>
      <xdr:row>27</xdr:row>
      <xdr:rowOff>135255</xdr:rowOff>
    </xdr:to>
    <xdr:sp macro="" textlink="">
      <xdr:nvSpPr>
        <xdr:cNvPr id="23204" name="24">
          <a:extLst>
            <a:ext uri="{FF2B5EF4-FFF2-40B4-BE49-F238E27FC236}">
              <a16:creationId xmlns:a16="http://schemas.microsoft.com/office/drawing/2014/main" id="{8A45179C-3145-418C-8FD8-88A87209E1DD}"/>
            </a:ext>
          </a:extLst>
        </xdr:cNvPr>
        <xdr:cNvSpPr/>
      </xdr:nvSpPr>
      <xdr:spPr>
        <a:xfrm>
          <a:off x="7758249" y="4278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27</xdr:row>
      <xdr:rowOff>78105</xdr:rowOff>
    </xdr:from>
    <xdr:to>
      <xdr:col>31</xdr:col>
      <xdr:colOff>63247</xdr:colOff>
      <xdr:row>27</xdr:row>
      <xdr:rowOff>78105</xdr:rowOff>
    </xdr:to>
    <xdr:cxnSp macro="">
      <xdr:nvCxnSpPr>
        <xdr:cNvPr id="23205" name="직선 화살표 연결선 23204">
          <a:extLst>
            <a:ext uri="{FF2B5EF4-FFF2-40B4-BE49-F238E27FC236}">
              <a16:creationId xmlns:a16="http://schemas.microsoft.com/office/drawing/2014/main" id="{4980D3E6-16BF-4077-80C3-E28947602B9C}"/>
            </a:ext>
          </a:extLst>
        </xdr:cNvPr>
        <xdr:cNvCxnSpPr/>
      </xdr:nvCxnSpPr>
      <xdr:spPr>
        <a:xfrm>
          <a:off x="7758249" y="433578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26</xdr:row>
      <xdr:rowOff>20955</xdr:rowOff>
    </xdr:from>
    <xdr:to>
      <xdr:col>31</xdr:col>
      <xdr:colOff>66584</xdr:colOff>
      <xdr:row>26</xdr:row>
      <xdr:rowOff>135255</xdr:rowOff>
    </xdr:to>
    <xdr:sp macro="" textlink="">
      <xdr:nvSpPr>
        <xdr:cNvPr id="23206" name="23">
          <a:extLst>
            <a:ext uri="{FF2B5EF4-FFF2-40B4-BE49-F238E27FC236}">
              <a16:creationId xmlns:a16="http://schemas.microsoft.com/office/drawing/2014/main" id="{051552C1-9D0D-413E-BF71-F518BB338449}"/>
            </a:ext>
          </a:extLst>
        </xdr:cNvPr>
        <xdr:cNvSpPr/>
      </xdr:nvSpPr>
      <xdr:spPr>
        <a:xfrm>
          <a:off x="7758249" y="4126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26</xdr:row>
      <xdr:rowOff>78105</xdr:rowOff>
    </xdr:from>
    <xdr:to>
      <xdr:col>31</xdr:col>
      <xdr:colOff>63247</xdr:colOff>
      <xdr:row>26</xdr:row>
      <xdr:rowOff>78105</xdr:rowOff>
    </xdr:to>
    <xdr:cxnSp macro="">
      <xdr:nvCxnSpPr>
        <xdr:cNvPr id="23207" name="직선 화살표 연결선 23206">
          <a:extLst>
            <a:ext uri="{FF2B5EF4-FFF2-40B4-BE49-F238E27FC236}">
              <a16:creationId xmlns:a16="http://schemas.microsoft.com/office/drawing/2014/main" id="{CC4B9C49-6BCF-4242-8FA2-7BCABBF7066C}"/>
            </a:ext>
          </a:extLst>
        </xdr:cNvPr>
        <xdr:cNvCxnSpPr/>
      </xdr:nvCxnSpPr>
      <xdr:spPr>
        <a:xfrm>
          <a:off x="7758249" y="418338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25</xdr:row>
      <xdr:rowOff>20955</xdr:rowOff>
    </xdr:from>
    <xdr:to>
      <xdr:col>31</xdr:col>
      <xdr:colOff>66584</xdr:colOff>
      <xdr:row>25</xdr:row>
      <xdr:rowOff>135255</xdr:rowOff>
    </xdr:to>
    <xdr:sp macro="" textlink="">
      <xdr:nvSpPr>
        <xdr:cNvPr id="23208" name="22">
          <a:extLst>
            <a:ext uri="{FF2B5EF4-FFF2-40B4-BE49-F238E27FC236}">
              <a16:creationId xmlns:a16="http://schemas.microsoft.com/office/drawing/2014/main" id="{742FE2D6-467F-4BF6-B6F3-D05402179232}"/>
            </a:ext>
          </a:extLst>
        </xdr:cNvPr>
        <xdr:cNvSpPr/>
      </xdr:nvSpPr>
      <xdr:spPr>
        <a:xfrm>
          <a:off x="7758249" y="3973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25</xdr:row>
      <xdr:rowOff>78105</xdr:rowOff>
    </xdr:from>
    <xdr:to>
      <xdr:col>31</xdr:col>
      <xdr:colOff>63247</xdr:colOff>
      <xdr:row>25</xdr:row>
      <xdr:rowOff>78105</xdr:rowOff>
    </xdr:to>
    <xdr:cxnSp macro="">
      <xdr:nvCxnSpPr>
        <xdr:cNvPr id="23209" name="직선 화살표 연결선 23208">
          <a:extLst>
            <a:ext uri="{FF2B5EF4-FFF2-40B4-BE49-F238E27FC236}">
              <a16:creationId xmlns:a16="http://schemas.microsoft.com/office/drawing/2014/main" id="{A36927C6-9996-4054-8685-2B2716701730}"/>
            </a:ext>
          </a:extLst>
        </xdr:cNvPr>
        <xdr:cNvCxnSpPr/>
      </xdr:nvCxnSpPr>
      <xdr:spPr>
        <a:xfrm>
          <a:off x="7758249" y="4030980"/>
          <a:ext cx="39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24</xdr:row>
      <xdr:rowOff>20955</xdr:rowOff>
    </xdr:from>
    <xdr:to>
      <xdr:col>34</xdr:col>
      <xdr:colOff>10251</xdr:colOff>
      <xdr:row>24</xdr:row>
      <xdr:rowOff>135255</xdr:rowOff>
    </xdr:to>
    <xdr:sp macro="" textlink="">
      <xdr:nvSpPr>
        <xdr:cNvPr id="23210" name="21">
          <a:extLst>
            <a:ext uri="{FF2B5EF4-FFF2-40B4-BE49-F238E27FC236}">
              <a16:creationId xmlns:a16="http://schemas.microsoft.com/office/drawing/2014/main" id="{765B30EB-845A-4084-A465-CFE92BC5A2DD}"/>
            </a:ext>
          </a:extLst>
        </xdr:cNvPr>
        <xdr:cNvSpPr/>
      </xdr:nvSpPr>
      <xdr:spPr>
        <a:xfrm>
          <a:off x="7758249" y="3821430"/>
          <a:ext cx="4149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24</xdr:row>
      <xdr:rowOff>78105</xdr:rowOff>
    </xdr:from>
    <xdr:to>
      <xdr:col>33</xdr:col>
      <xdr:colOff>23999</xdr:colOff>
      <xdr:row>24</xdr:row>
      <xdr:rowOff>78105</xdr:rowOff>
    </xdr:to>
    <xdr:cxnSp macro="">
      <xdr:nvCxnSpPr>
        <xdr:cNvPr id="23211" name="직선 화살표 연결선 23210">
          <a:extLst>
            <a:ext uri="{FF2B5EF4-FFF2-40B4-BE49-F238E27FC236}">
              <a16:creationId xmlns:a16="http://schemas.microsoft.com/office/drawing/2014/main" id="{404B0FA4-E724-43FF-85F6-DBBA489661F2}"/>
            </a:ext>
          </a:extLst>
        </xdr:cNvPr>
        <xdr:cNvCxnSpPr/>
      </xdr:nvCxnSpPr>
      <xdr:spPr>
        <a:xfrm>
          <a:off x="7758249" y="3878580"/>
          <a:ext cx="2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46537</xdr:colOff>
      <xdr:row>20</xdr:row>
      <xdr:rowOff>20955</xdr:rowOff>
    </xdr:from>
    <xdr:to>
      <xdr:col>32</xdr:col>
      <xdr:colOff>130538</xdr:colOff>
      <xdr:row>20</xdr:row>
      <xdr:rowOff>135255</xdr:rowOff>
    </xdr:to>
    <xdr:sp macro="" textlink="">
      <xdr:nvSpPr>
        <xdr:cNvPr id="23212" name="17">
          <a:extLst>
            <a:ext uri="{FF2B5EF4-FFF2-40B4-BE49-F238E27FC236}">
              <a16:creationId xmlns:a16="http://schemas.microsoft.com/office/drawing/2014/main" id="{C0E3E7BF-7C2F-4FCA-8A06-85CCF7BA7ADA}"/>
            </a:ext>
          </a:extLst>
        </xdr:cNvPr>
        <xdr:cNvSpPr/>
      </xdr:nvSpPr>
      <xdr:spPr>
        <a:xfrm>
          <a:off x="7923712" y="3211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46537</xdr:colOff>
      <xdr:row>20</xdr:row>
      <xdr:rowOff>78105</xdr:rowOff>
    </xdr:from>
    <xdr:to>
      <xdr:col>32</xdr:col>
      <xdr:colOff>87902</xdr:colOff>
      <xdr:row>20</xdr:row>
      <xdr:rowOff>78105</xdr:rowOff>
    </xdr:to>
    <xdr:cxnSp macro="">
      <xdr:nvCxnSpPr>
        <xdr:cNvPr id="23213" name="직선 화살표 연결선 23212">
          <a:extLst>
            <a:ext uri="{FF2B5EF4-FFF2-40B4-BE49-F238E27FC236}">
              <a16:creationId xmlns:a16="http://schemas.microsoft.com/office/drawing/2014/main" id="{EC7D4872-3A20-4081-B5E4-BD1BE79822A7}"/>
            </a:ext>
          </a:extLst>
        </xdr:cNvPr>
        <xdr:cNvCxnSpPr/>
      </xdr:nvCxnSpPr>
      <xdr:spPr>
        <a:xfrm>
          <a:off x="7923712" y="32689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19</xdr:row>
      <xdr:rowOff>20955</xdr:rowOff>
    </xdr:from>
    <xdr:to>
      <xdr:col>32</xdr:col>
      <xdr:colOff>8074</xdr:colOff>
      <xdr:row>19</xdr:row>
      <xdr:rowOff>147955</xdr:rowOff>
    </xdr:to>
    <xdr:sp macro="" textlink="">
      <xdr:nvSpPr>
        <xdr:cNvPr id="23214" name="다이아몬드 23213">
          <a:extLst>
            <a:ext uri="{FF2B5EF4-FFF2-40B4-BE49-F238E27FC236}">
              <a16:creationId xmlns:a16="http://schemas.microsoft.com/office/drawing/2014/main" id="{5DBCB4E5-3237-42A1-95C0-CA8D30487177}"/>
            </a:ext>
          </a:extLst>
        </xdr:cNvPr>
        <xdr:cNvSpPr/>
      </xdr:nvSpPr>
      <xdr:spPr>
        <a:xfrm>
          <a:off x="7758249" y="3059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18</xdr:row>
      <xdr:rowOff>20955</xdr:rowOff>
    </xdr:from>
    <xdr:to>
      <xdr:col>32</xdr:col>
      <xdr:colOff>130538</xdr:colOff>
      <xdr:row>18</xdr:row>
      <xdr:rowOff>135255</xdr:rowOff>
    </xdr:to>
    <xdr:sp macro="" textlink="">
      <xdr:nvSpPr>
        <xdr:cNvPr id="23215" name="15">
          <a:extLst>
            <a:ext uri="{FF2B5EF4-FFF2-40B4-BE49-F238E27FC236}">
              <a16:creationId xmlns:a16="http://schemas.microsoft.com/office/drawing/2014/main" id="{535E12D6-9CF7-4DB3-98CA-FEDFE8717012}"/>
            </a:ext>
          </a:extLst>
        </xdr:cNvPr>
        <xdr:cNvSpPr/>
      </xdr:nvSpPr>
      <xdr:spPr>
        <a:xfrm>
          <a:off x="7758249" y="29070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18</xdr:row>
      <xdr:rowOff>78105</xdr:rowOff>
    </xdr:from>
    <xdr:to>
      <xdr:col>32</xdr:col>
      <xdr:colOff>5171</xdr:colOff>
      <xdr:row>18</xdr:row>
      <xdr:rowOff>78105</xdr:rowOff>
    </xdr:to>
    <xdr:cxnSp macro="">
      <xdr:nvCxnSpPr>
        <xdr:cNvPr id="23216" name="직선 화살표 연결선 23215">
          <a:extLst>
            <a:ext uri="{FF2B5EF4-FFF2-40B4-BE49-F238E27FC236}">
              <a16:creationId xmlns:a16="http://schemas.microsoft.com/office/drawing/2014/main" id="{AC82372B-7D99-4DF0-89A6-996857A2C21C}"/>
            </a:ext>
          </a:extLst>
        </xdr:cNvPr>
        <xdr:cNvCxnSpPr/>
      </xdr:nvCxnSpPr>
      <xdr:spPr>
        <a:xfrm>
          <a:off x="7758249" y="2964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46537</xdr:colOff>
      <xdr:row>16</xdr:row>
      <xdr:rowOff>20955</xdr:rowOff>
    </xdr:from>
    <xdr:to>
      <xdr:col>32</xdr:col>
      <xdr:colOff>68489</xdr:colOff>
      <xdr:row>16</xdr:row>
      <xdr:rowOff>135255</xdr:rowOff>
    </xdr:to>
    <xdr:sp macro="" textlink="">
      <xdr:nvSpPr>
        <xdr:cNvPr id="23217" name="13">
          <a:extLst>
            <a:ext uri="{FF2B5EF4-FFF2-40B4-BE49-F238E27FC236}">
              <a16:creationId xmlns:a16="http://schemas.microsoft.com/office/drawing/2014/main" id="{484F64CE-0699-4352-AA83-197CEED5002E}"/>
            </a:ext>
          </a:extLst>
        </xdr:cNvPr>
        <xdr:cNvSpPr/>
      </xdr:nvSpPr>
      <xdr:spPr>
        <a:xfrm>
          <a:off x="7923712" y="2602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46537</xdr:colOff>
      <xdr:row>16</xdr:row>
      <xdr:rowOff>78105</xdr:rowOff>
    </xdr:from>
    <xdr:to>
      <xdr:col>32</xdr:col>
      <xdr:colOff>67219</xdr:colOff>
      <xdr:row>16</xdr:row>
      <xdr:rowOff>78105</xdr:rowOff>
    </xdr:to>
    <xdr:cxnSp macro="">
      <xdr:nvCxnSpPr>
        <xdr:cNvPr id="23218" name="직선 화살표 연결선 23217">
          <a:extLst>
            <a:ext uri="{FF2B5EF4-FFF2-40B4-BE49-F238E27FC236}">
              <a16:creationId xmlns:a16="http://schemas.microsoft.com/office/drawing/2014/main" id="{B06EC042-13DD-4794-B2B1-95941C083B03}"/>
            </a:ext>
          </a:extLst>
        </xdr:cNvPr>
        <xdr:cNvCxnSpPr/>
      </xdr:nvCxnSpPr>
      <xdr:spPr>
        <a:xfrm>
          <a:off x="7923712" y="2659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25853</xdr:colOff>
      <xdr:row>15</xdr:row>
      <xdr:rowOff>20955</xdr:rowOff>
    </xdr:from>
    <xdr:to>
      <xdr:col>32</xdr:col>
      <xdr:colOff>47806</xdr:colOff>
      <xdr:row>15</xdr:row>
      <xdr:rowOff>135255</xdr:rowOff>
    </xdr:to>
    <xdr:sp macro="" textlink="">
      <xdr:nvSpPr>
        <xdr:cNvPr id="23219" name="12">
          <a:extLst>
            <a:ext uri="{FF2B5EF4-FFF2-40B4-BE49-F238E27FC236}">
              <a16:creationId xmlns:a16="http://schemas.microsoft.com/office/drawing/2014/main" id="{587CA8E4-48BE-4C3B-AE40-93DC1E710822}"/>
            </a:ext>
          </a:extLst>
        </xdr:cNvPr>
        <xdr:cNvSpPr/>
      </xdr:nvSpPr>
      <xdr:spPr>
        <a:xfrm>
          <a:off x="7903028" y="2449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25853</xdr:colOff>
      <xdr:row>15</xdr:row>
      <xdr:rowOff>78105</xdr:rowOff>
    </xdr:from>
    <xdr:to>
      <xdr:col>32</xdr:col>
      <xdr:colOff>46537</xdr:colOff>
      <xdr:row>15</xdr:row>
      <xdr:rowOff>78105</xdr:rowOff>
    </xdr:to>
    <xdr:cxnSp macro="">
      <xdr:nvCxnSpPr>
        <xdr:cNvPr id="23220" name="직선 화살표 연결선 23219">
          <a:extLst>
            <a:ext uri="{FF2B5EF4-FFF2-40B4-BE49-F238E27FC236}">
              <a16:creationId xmlns:a16="http://schemas.microsoft.com/office/drawing/2014/main" id="{2A54AAE4-5AC9-4158-87C9-D2C188F2D889}"/>
            </a:ext>
          </a:extLst>
        </xdr:cNvPr>
        <xdr:cNvCxnSpPr/>
      </xdr:nvCxnSpPr>
      <xdr:spPr>
        <a:xfrm>
          <a:off x="7903028" y="25069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106680</xdr:colOff>
      <xdr:row>14</xdr:row>
      <xdr:rowOff>20955</xdr:rowOff>
    </xdr:from>
    <xdr:to>
      <xdr:col>32</xdr:col>
      <xdr:colOff>27123</xdr:colOff>
      <xdr:row>14</xdr:row>
      <xdr:rowOff>135255</xdr:rowOff>
    </xdr:to>
    <xdr:sp macro="" textlink="">
      <xdr:nvSpPr>
        <xdr:cNvPr id="23221" name="0">
          <a:extLst>
            <a:ext uri="{FF2B5EF4-FFF2-40B4-BE49-F238E27FC236}">
              <a16:creationId xmlns:a16="http://schemas.microsoft.com/office/drawing/2014/main" id="{F651452B-C1E0-47AF-8523-A62CEFD65662}"/>
            </a:ext>
          </a:extLst>
        </xdr:cNvPr>
        <xdr:cNvSpPr/>
      </xdr:nvSpPr>
      <xdr:spPr>
        <a:xfrm>
          <a:off x="7840980" y="22974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106680</xdr:colOff>
      <xdr:row>14</xdr:row>
      <xdr:rowOff>78105</xdr:rowOff>
    </xdr:from>
    <xdr:to>
      <xdr:col>32</xdr:col>
      <xdr:colOff>25853</xdr:colOff>
      <xdr:row>14</xdr:row>
      <xdr:rowOff>78105</xdr:rowOff>
    </xdr:to>
    <xdr:cxnSp macro="">
      <xdr:nvCxnSpPr>
        <xdr:cNvPr id="23222" name="직선 화살표 연결선 23221">
          <a:extLst>
            <a:ext uri="{FF2B5EF4-FFF2-40B4-BE49-F238E27FC236}">
              <a16:creationId xmlns:a16="http://schemas.microsoft.com/office/drawing/2014/main" id="{1B1F2C98-AC94-4AC9-9FB7-6FF5D9F316D6}"/>
            </a:ext>
          </a:extLst>
        </xdr:cNvPr>
        <xdr:cNvCxnSpPr/>
      </xdr:nvCxnSpPr>
      <xdr:spPr>
        <a:xfrm>
          <a:off x="7840980" y="2354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13</xdr:row>
      <xdr:rowOff>20955</xdr:rowOff>
    </xdr:from>
    <xdr:to>
      <xdr:col>31</xdr:col>
      <xdr:colOff>66584</xdr:colOff>
      <xdr:row>13</xdr:row>
      <xdr:rowOff>135255</xdr:rowOff>
    </xdr:to>
    <xdr:sp macro="" textlink="">
      <xdr:nvSpPr>
        <xdr:cNvPr id="23223" name="10">
          <a:extLst>
            <a:ext uri="{FF2B5EF4-FFF2-40B4-BE49-F238E27FC236}">
              <a16:creationId xmlns:a16="http://schemas.microsoft.com/office/drawing/2014/main" id="{5090E7B8-556F-46A7-9CE4-791BD498EFB2}"/>
            </a:ext>
          </a:extLst>
        </xdr:cNvPr>
        <xdr:cNvSpPr/>
      </xdr:nvSpPr>
      <xdr:spPr>
        <a:xfrm>
          <a:off x="7758249" y="2145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13</xdr:row>
      <xdr:rowOff>78105</xdr:rowOff>
    </xdr:from>
    <xdr:to>
      <xdr:col>31</xdr:col>
      <xdr:colOff>65315</xdr:colOff>
      <xdr:row>13</xdr:row>
      <xdr:rowOff>78105</xdr:rowOff>
    </xdr:to>
    <xdr:cxnSp macro="">
      <xdr:nvCxnSpPr>
        <xdr:cNvPr id="23224" name="직선 화살표 연결선 23223">
          <a:extLst>
            <a:ext uri="{FF2B5EF4-FFF2-40B4-BE49-F238E27FC236}">
              <a16:creationId xmlns:a16="http://schemas.microsoft.com/office/drawing/2014/main" id="{96C42F04-1E37-4FD4-B0DB-36D8AC764630}"/>
            </a:ext>
          </a:extLst>
        </xdr:cNvPr>
        <xdr:cNvCxnSpPr/>
      </xdr:nvCxnSpPr>
      <xdr:spPr>
        <a:xfrm>
          <a:off x="7758249" y="2202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12</xdr:row>
      <xdr:rowOff>20955</xdr:rowOff>
    </xdr:from>
    <xdr:to>
      <xdr:col>32</xdr:col>
      <xdr:colOff>68489</xdr:colOff>
      <xdr:row>12</xdr:row>
      <xdr:rowOff>135255</xdr:rowOff>
    </xdr:to>
    <xdr:sp macro="" textlink="">
      <xdr:nvSpPr>
        <xdr:cNvPr id="23225" name="9">
          <a:extLst>
            <a:ext uri="{FF2B5EF4-FFF2-40B4-BE49-F238E27FC236}">
              <a16:creationId xmlns:a16="http://schemas.microsoft.com/office/drawing/2014/main" id="{09F50C1B-0C5A-4823-8A0D-60F3AE01FA2C}"/>
            </a:ext>
          </a:extLst>
        </xdr:cNvPr>
        <xdr:cNvSpPr/>
      </xdr:nvSpPr>
      <xdr:spPr>
        <a:xfrm>
          <a:off x="7758249" y="1992630"/>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12</xdr:row>
      <xdr:rowOff>78105</xdr:rowOff>
    </xdr:from>
    <xdr:to>
      <xdr:col>32</xdr:col>
      <xdr:colOff>67219</xdr:colOff>
      <xdr:row>12</xdr:row>
      <xdr:rowOff>78105</xdr:rowOff>
    </xdr:to>
    <xdr:cxnSp macro="">
      <xdr:nvCxnSpPr>
        <xdr:cNvPr id="23226" name="직선 화살표 연결선 23225">
          <a:extLst>
            <a:ext uri="{FF2B5EF4-FFF2-40B4-BE49-F238E27FC236}">
              <a16:creationId xmlns:a16="http://schemas.microsoft.com/office/drawing/2014/main" id="{7031EBB3-9DAD-41AA-9EBB-A2936160B777}"/>
            </a:ext>
          </a:extLst>
        </xdr:cNvPr>
        <xdr:cNvCxnSpPr/>
      </xdr:nvCxnSpPr>
      <xdr:spPr>
        <a:xfrm>
          <a:off x="7758249" y="20497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25853</xdr:colOff>
      <xdr:row>10</xdr:row>
      <xdr:rowOff>20955</xdr:rowOff>
    </xdr:from>
    <xdr:to>
      <xdr:col>32</xdr:col>
      <xdr:colOff>47806</xdr:colOff>
      <xdr:row>10</xdr:row>
      <xdr:rowOff>135255</xdr:rowOff>
    </xdr:to>
    <xdr:sp macro="" textlink="">
      <xdr:nvSpPr>
        <xdr:cNvPr id="23227" name="7">
          <a:extLst>
            <a:ext uri="{FF2B5EF4-FFF2-40B4-BE49-F238E27FC236}">
              <a16:creationId xmlns:a16="http://schemas.microsoft.com/office/drawing/2014/main" id="{CF5FB4EC-CFFB-451D-8723-F0A6080C770C}"/>
            </a:ext>
          </a:extLst>
        </xdr:cNvPr>
        <xdr:cNvSpPr/>
      </xdr:nvSpPr>
      <xdr:spPr>
        <a:xfrm>
          <a:off x="7903028" y="1687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25853</xdr:colOff>
      <xdr:row>10</xdr:row>
      <xdr:rowOff>78105</xdr:rowOff>
    </xdr:from>
    <xdr:to>
      <xdr:col>32</xdr:col>
      <xdr:colOff>46537</xdr:colOff>
      <xdr:row>10</xdr:row>
      <xdr:rowOff>78105</xdr:rowOff>
    </xdr:to>
    <xdr:cxnSp macro="">
      <xdr:nvCxnSpPr>
        <xdr:cNvPr id="23228" name="직선 화살표 연결선 23227">
          <a:extLst>
            <a:ext uri="{FF2B5EF4-FFF2-40B4-BE49-F238E27FC236}">
              <a16:creationId xmlns:a16="http://schemas.microsoft.com/office/drawing/2014/main" id="{B126D9EE-1043-4676-961B-0011DFF21525}"/>
            </a:ext>
          </a:extLst>
        </xdr:cNvPr>
        <xdr:cNvCxnSpPr/>
      </xdr:nvCxnSpPr>
      <xdr:spPr>
        <a:xfrm>
          <a:off x="7903028" y="17449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5171</xdr:colOff>
      <xdr:row>9</xdr:row>
      <xdr:rowOff>20955</xdr:rowOff>
    </xdr:from>
    <xdr:to>
      <xdr:col>32</xdr:col>
      <xdr:colOff>132171</xdr:colOff>
      <xdr:row>9</xdr:row>
      <xdr:rowOff>147955</xdr:rowOff>
    </xdr:to>
    <xdr:sp macro="" textlink="">
      <xdr:nvSpPr>
        <xdr:cNvPr id="23229" name="다이아몬드 23228">
          <a:extLst>
            <a:ext uri="{FF2B5EF4-FFF2-40B4-BE49-F238E27FC236}">
              <a16:creationId xmlns:a16="http://schemas.microsoft.com/office/drawing/2014/main" id="{489C1623-CFDE-4CA6-8B87-3BF0FAFCCC80}"/>
            </a:ext>
          </a:extLst>
        </xdr:cNvPr>
        <xdr:cNvSpPr/>
      </xdr:nvSpPr>
      <xdr:spPr>
        <a:xfrm>
          <a:off x="7882346"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44631</xdr:colOff>
      <xdr:row>8</xdr:row>
      <xdr:rowOff>20955</xdr:rowOff>
    </xdr:from>
    <xdr:to>
      <xdr:col>31</xdr:col>
      <xdr:colOff>128632</xdr:colOff>
      <xdr:row>8</xdr:row>
      <xdr:rowOff>135255</xdr:rowOff>
    </xdr:to>
    <xdr:sp macro="" textlink="">
      <xdr:nvSpPr>
        <xdr:cNvPr id="23230" name="5">
          <a:extLst>
            <a:ext uri="{FF2B5EF4-FFF2-40B4-BE49-F238E27FC236}">
              <a16:creationId xmlns:a16="http://schemas.microsoft.com/office/drawing/2014/main" id="{83F553F7-9A4F-4BB7-BB91-7F314A1AD51B}"/>
            </a:ext>
          </a:extLst>
        </xdr:cNvPr>
        <xdr:cNvSpPr/>
      </xdr:nvSpPr>
      <xdr:spPr>
        <a:xfrm>
          <a:off x="7778931" y="1383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44631</xdr:colOff>
      <xdr:row>8</xdr:row>
      <xdr:rowOff>78105</xdr:rowOff>
    </xdr:from>
    <xdr:to>
      <xdr:col>31</xdr:col>
      <xdr:colOff>127363</xdr:colOff>
      <xdr:row>8</xdr:row>
      <xdr:rowOff>78105</xdr:rowOff>
    </xdr:to>
    <xdr:cxnSp macro="">
      <xdr:nvCxnSpPr>
        <xdr:cNvPr id="23231" name="직선 화살표 연결선 23230">
          <a:extLst>
            <a:ext uri="{FF2B5EF4-FFF2-40B4-BE49-F238E27FC236}">
              <a16:creationId xmlns:a16="http://schemas.microsoft.com/office/drawing/2014/main" id="{AE0930CC-852B-47CA-83DC-B3D528207D88}"/>
            </a:ext>
          </a:extLst>
        </xdr:cNvPr>
        <xdr:cNvCxnSpPr/>
      </xdr:nvCxnSpPr>
      <xdr:spPr>
        <a:xfrm>
          <a:off x="7778931" y="14401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7</xdr:row>
      <xdr:rowOff>20955</xdr:rowOff>
    </xdr:from>
    <xdr:to>
      <xdr:col>31</xdr:col>
      <xdr:colOff>66584</xdr:colOff>
      <xdr:row>7</xdr:row>
      <xdr:rowOff>135255</xdr:rowOff>
    </xdr:to>
    <xdr:sp macro="" textlink="">
      <xdr:nvSpPr>
        <xdr:cNvPr id="23232" name="4">
          <a:extLst>
            <a:ext uri="{FF2B5EF4-FFF2-40B4-BE49-F238E27FC236}">
              <a16:creationId xmlns:a16="http://schemas.microsoft.com/office/drawing/2014/main" id="{DD400DCE-E582-4D07-B209-23325C405F9C}"/>
            </a:ext>
          </a:extLst>
        </xdr:cNvPr>
        <xdr:cNvSpPr/>
      </xdr:nvSpPr>
      <xdr:spPr>
        <a:xfrm>
          <a:off x="7758249" y="1230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7</xdr:row>
      <xdr:rowOff>78105</xdr:rowOff>
    </xdr:from>
    <xdr:to>
      <xdr:col>31</xdr:col>
      <xdr:colOff>65315</xdr:colOff>
      <xdr:row>7</xdr:row>
      <xdr:rowOff>78105</xdr:rowOff>
    </xdr:to>
    <xdr:cxnSp macro="">
      <xdr:nvCxnSpPr>
        <xdr:cNvPr id="23233" name="직선 화살표 연결선 23232">
          <a:extLst>
            <a:ext uri="{FF2B5EF4-FFF2-40B4-BE49-F238E27FC236}">
              <a16:creationId xmlns:a16="http://schemas.microsoft.com/office/drawing/2014/main" id="{D935376C-3D89-48BB-9888-C41BA4059B55}"/>
            </a:ext>
          </a:extLst>
        </xdr:cNvPr>
        <xdr:cNvCxnSpPr/>
      </xdr:nvCxnSpPr>
      <xdr:spPr>
        <a:xfrm>
          <a:off x="7758249" y="1287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6</xdr:row>
      <xdr:rowOff>20955</xdr:rowOff>
    </xdr:from>
    <xdr:to>
      <xdr:col>31</xdr:col>
      <xdr:colOff>66584</xdr:colOff>
      <xdr:row>6</xdr:row>
      <xdr:rowOff>135255</xdr:rowOff>
    </xdr:to>
    <xdr:sp macro="" textlink="">
      <xdr:nvSpPr>
        <xdr:cNvPr id="23234" name="3">
          <a:extLst>
            <a:ext uri="{FF2B5EF4-FFF2-40B4-BE49-F238E27FC236}">
              <a16:creationId xmlns:a16="http://schemas.microsoft.com/office/drawing/2014/main" id="{73DE7034-184F-4BC9-BB98-85248D71EEA6}"/>
            </a:ext>
          </a:extLst>
        </xdr:cNvPr>
        <xdr:cNvSpPr/>
      </xdr:nvSpPr>
      <xdr:spPr>
        <a:xfrm>
          <a:off x="7758249" y="1078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6</xdr:row>
      <xdr:rowOff>78105</xdr:rowOff>
    </xdr:from>
    <xdr:to>
      <xdr:col>31</xdr:col>
      <xdr:colOff>65315</xdr:colOff>
      <xdr:row>6</xdr:row>
      <xdr:rowOff>78105</xdr:rowOff>
    </xdr:to>
    <xdr:cxnSp macro="">
      <xdr:nvCxnSpPr>
        <xdr:cNvPr id="23235" name="직선 화살표 연결선 23234">
          <a:extLst>
            <a:ext uri="{FF2B5EF4-FFF2-40B4-BE49-F238E27FC236}">
              <a16:creationId xmlns:a16="http://schemas.microsoft.com/office/drawing/2014/main" id="{D7CF8D5B-F04D-4DF0-B54D-67EE2FF36B6A}"/>
            </a:ext>
          </a:extLst>
        </xdr:cNvPr>
        <xdr:cNvCxnSpPr/>
      </xdr:nvCxnSpPr>
      <xdr:spPr>
        <a:xfrm>
          <a:off x="7758249" y="1135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5</xdr:row>
      <xdr:rowOff>20955</xdr:rowOff>
    </xdr:from>
    <xdr:to>
      <xdr:col>31</xdr:col>
      <xdr:colOff>66584</xdr:colOff>
      <xdr:row>5</xdr:row>
      <xdr:rowOff>135255</xdr:rowOff>
    </xdr:to>
    <xdr:sp macro="" textlink="">
      <xdr:nvSpPr>
        <xdr:cNvPr id="23236" name="2">
          <a:extLst>
            <a:ext uri="{FF2B5EF4-FFF2-40B4-BE49-F238E27FC236}">
              <a16:creationId xmlns:a16="http://schemas.microsoft.com/office/drawing/2014/main" id="{106E717B-38DB-4C6F-A01A-CE5153C6ADEC}"/>
            </a:ext>
          </a:extLst>
        </xdr:cNvPr>
        <xdr:cNvSpPr/>
      </xdr:nvSpPr>
      <xdr:spPr>
        <a:xfrm>
          <a:off x="7758249" y="925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5</xdr:row>
      <xdr:rowOff>78105</xdr:rowOff>
    </xdr:from>
    <xdr:to>
      <xdr:col>31</xdr:col>
      <xdr:colOff>65315</xdr:colOff>
      <xdr:row>5</xdr:row>
      <xdr:rowOff>78105</xdr:rowOff>
    </xdr:to>
    <xdr:cxnSp macro="">
      <xdr:nvCxnSpPr>
        <xdr:cNvPr id="23237" name="직선 화살표 연결선 23236">
          <a:extLst>
            <a:ext uri="{FF2B5EF4-FFF2-40B4-BE49-F238E27FC236}">
              <a16:creationId xmlns:a16="http://schemas.microsoft.com/office/drawing/2014/main" id="{7B114029-D6B3-4184-B559-093A8D9666D7}"/>
            </a:ext>
          </a:extLst>
        </xdr:cNvPr>
        <xdr:cNvCxnSpPr/>
      </xdr:nvCxnSpPr>
      <xdr:spPr>
        <a:xfrm>
          <a:off x="7758249" y="98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23949</xdr:colOff>
      <xdr:row>4</xdr:row>
      <xdr:rowOff>20955</xdr:rowOff>
    </xdr:from>
    <xdr:to>
      <xdr:col>32</xdr:col>
      <xdr:colOff>47806</xdr:colOff>
      <xdr:row>4</xdr:row>
      <xdr:rowOff>135255</xdr:rowOff>
    </xdr:to>
    <xdr:sp macro="" textlink="">
      <xdr:nvSpPr>
        <xdr:cNvPr id="23238" name="1">
          <a:extLst>
            <a:ext uri="{FF2B5EF4-FFF2-40B4-BE49-F238E27FC236}">
              <a16:creationId xmlns:a16="http://schemas.microsoft.com/office/drawing/2014/main" id="{3BD7591E-17C2-49DA-BA00-9E1A0F9A8942}"/>
            </a:ext>
          </a:extLst>
        </xdr:cNvPr>
        <xdr:cNvSpPr/>
      </xdr:nvSpPr>
      <xdr:spPr>
        <a:xfrm>
          <a:off x="7758249" y="773430"/>
          <a:ext cx="166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23949</xdr:colOff>
      <xdr:row>4</xdr:row>
      <xdr:rowOff>78105</xdr:rowOff>
    </xdr:from>
    <xdr:to>
      <xdr:col>32</xdr:col>
      <xdr:colOff>46537</xdr:colOff>
      <xdr:row>4</xdr:row>
      <xdr:rowOff>78105</xdr:rowOff>
    </xdr:to>
    <xdr:cxnSp macro="">
      <xdr:nvCxnSpPr>
        <xdr:cNvPr id="23239" name="직선 화살표 연결선 23238">
          <a:extLst>
            <a:ext uri="{FF2B5EF4-FFF2-40B4-BE49-F238E27FC236}">
              <a16:creationId xmlns:a16="http://schemas.microsoft.com/office/drawing/2014/main" id="{BC57901B-ECEE-46EB-A5EA-48F1697F0254}"/>
            </a:ext>
          </a:extLst>
        </xdr:cNvPr>
        <xdr:cNvCxnSpPr/>
      </xdr:nvCxnSpPr>
      <xdr:spPr>
        <a:xfrm>
          <a:off x="7758249" y="8305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1420</v>
      </c>
      <c r="C6" s="72"/>
      <c r="D6" s="72"/>
      <c r="E6" s="72" t="s">
        <v>11</v>
      </c>
      <c r="F6" s="72"/>
    </row>
    <row r="7" spans="1:64">
      <c r="A7" s="71" t="s">
        <v>16</v>
      </c>
      <c r="B7" s="71" t="s">
        <v>10</v>
      </c>
      <c r="C7" s="72"/>
      <c r="D7" s="72"/>
      <c r="E7" s="72" t="s">
        <v>11</v>
      </c>
      <c r="F7" s="72"/>
    </row>
    <row r="8" spans="1:64">
      <c r="A8" s="71" t="s">
        <v>17</v>
      </c>
      <c r="B8" s="74" t="s">
        <v>1571</v>
      </c>
      <c r="C8" s="72" t="s">
        <v>1417</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1591</v>
      </c>
      <c r="D11" s="70" t="s">
        <v>23</v>
      </c>
      <c r="E11" s="79">
        <v>1</v>
      </c>
      <c r="F11" s="80" t="s">
        <v>24</v>
      </c>
      <c r="G11" s="81">
        <v>45078</v>
      </c>
      <c r="H11" s="80" t="s">
        <v>25</v>
      </c>
      <c r="I11" s="81">
        <v>45199</v>
      </c>
      <c r="J11" s="73" t="s">
        <v>403</v>
      </c>
      <c r="K11" s="73" t="s">
        <v>1418</v>
      </c>
      <c r="L11" s="73" t="s">
        <v>400</v>
      </c>
      <c r="M11" s="73">
        <v>0</v>
      </c>
      <c r="N11" s="78" t="s">
        <v>26</v>
      </c>
      <c r="O11" s="70">
        <v>0</v>
      </c>
      <c r="P11" s="70" t="s">
        <v>27</v>
      </c>
      <c r="Q11" s="78" t="s">
        <v>1374</v>
      </c>
      <c r="R11" s="73" t="s">
        <v>405</v>
      </c>
      <c r="S11" s="73">
        <v>2</v>
      </c>
      <c r="T11" s="73" t="s">
        <v>410</v>
      </c>
      <c r="U11" s="73">
        <v>1</v>
      </c>
      <c r="V11" s="73" t="s">
        <v>411</v>
      </c>
      <c r="W11" s="73">
        <v>0</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1371</v>
      </c>
      <c r="AR12" s="73" t="s">
        <v>1409</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1592</v>
      </c>
      <c r="D14" s="79" t="s">
        <v>33</v>
      </c>
      <c r="E14" s="79" t="s">
        <v>540</v>
      </c>
      <c r="F14" s="79" t="s">
        <v>34</v>
      </c>
      <c r="G14" s="79" t="s">
        <v>1593</v>
      </c>
      <c r="H14" s="79" t="s">
        <v>35</v>
      </c>
      <c r="I14" s="79" t="b">
        <v>0</v>
      </c>
      <c r="J14" s="79" t="s">
        <v>36</v>
      </c>
      <c r="K14" s="79" t="s">
        <v>1594</v>
      </c>
      <c r="L14" s="79" t="s">
        <v>37</v>
      </c>
      <c r="M14" s="79" t="s">
        <v>551</v>
      </c>
      <c r="N14" s="79" t="s">
        <v>38</v>
      </c>
      <c r="O14" s="79" t="s">
        <v>1593</v>
      </c>
      <c r="P14" s="79" t="s">
        <v>39</v>
      </c>
      <c r="Q14" s="79" t="b">
        <v>0</v>
      </c>
      <c r="R14" s="79" t="s">
        <v>40</v>
      </c>
      <c r="S14" s="79" t="s">
        <v>1595</v>
      </c>
      <c r="T14" s="79" t="s">
        <v>41</v>
      </c>
      <c r="U14" s="79" t="s">
        <v>552</v>
      </c>
      <c r="V14" s="79" t="s">
        <v>42</v>
      </c>
      <c r="W14" s="79" t="s">
        <v>1593</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1342</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P10" sqref="P10"/>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0" t="s">
        <v>1422</v>
      </c>
      <c r="B1" s="241"/>
      <c r="C1" s="241"/>
      <c r="D1" s="241"/>
      <c r="E1" s="241"/>
      <c r="F1" s="241"/>
      <c r="G1" s="241"/>
      <c r="H1" s="182"/>
      <c r="I1" s="182"/>
      <c r="J1" s="247" t="s">
        <v>1573</v>
      </c>
      <c r="K1" s="248"/>
      <c r="L1" s="248"/>
      <c r="M1" s="183"/>
    </row>
    <row r="2" spans="1:13" s="104" customFormat="1" ht="33.75" customHeight="1">
      <c r="A2" s="242"/>
      <c r="B2" s="243"/>
      <c r="C2" s="243"/>
      <c r="D2" s="243"/>
      <c r="E2" s="243"/>
      <c r="F2" s="243"/>
      <c r="G2" s="243"/>
      <c r="H2" s="251" t="s">
        <v>1423</v>
      </c>
      <c r="I2" s="252"/>
      <c r="J2" s="252"/>
      <c r="K2" s="252"/>
      <c r="L2" s="252"/>
      <c r="M2" s="184"/>
    </row>
    <row r="4" spans="1:13" ht="17.25" customHeight="1">
      <c r="B4" s="249" t="s">
        <v>1424</v>
      </c>
      <c r="C4" s="249"/>
      <c r="D4" s="249"/>
      <c r="E4" s="249"/>
      <c r="F4" s="249"/>
      <c r="G4" s="249"/>
      <c r="H4" s="249"/>
      <c r="I4" s="249"/>
      <c r="J4" s="249"/>
      <c r="K4" s="249"/>
      <c r="L4" s="249"/>
    </row>
    <row r="5" spans="1:13" ht="27.75" customHeight="1">
      <c r="B5" s="249"/>
      <c r="C5" s="249"/>
      <c r="D5" s="249"/>
      <c r="E5" s="249"/>
      <c r="F5" s="249"/>
      <c r="G5" s="249"/>
      <c r="H5" s="249"/>
      <c r="I5" s="249"/>
      <c r="J5" s="249"/>
      <c r="K5" s="249"/>
      <c r="L5" s="249"/>
    </row>
    <row r="6" spans="1:13" s="104" customFormat="1" ht="13.8">
      <c r="B6" s="105"/>
    </row>
    <row r="7" spans="1:13" s="104" customFormat="1" ht="18">
      <c r="B7" s="106" t="s">
        <v>1425</v>
      </c>
      <c r="D7" s="107"/>
    </row>
    <row r="8" spans="1:13" s="104" customFormat="1" ht="7.5" customHeight="1">
      <c r="B8" s="105"/>
    </row>
    <row r="9" spans="1:13" s="104" customFormat="1" ht="34.5" customHeight="1" thickBot="1">
      <c r="A9" s="108"/>
      <c r="B9" s="109" t="s">
        <v>533</v>
      </c>
      <c r="C9" s="108"/>
      <c r="D9" s="245" t="s">
        <v>1147</v>
      </c>
      <c r="E9" s="245"/>
      <c r="F9" s="245"/>
      <c r="G9" s="245"/>
      <c r="H9" s="245"/>
      <c r="I9" s="245"/>
      <c r="J9" s="245"/>
      <c r="K9" s="245"/>
      <c r="L9" s="245"/>
    </row>
    <row r="10" spans="1:13" s="104" customFormat="1" ht="27.75" customHeight="1" thickTop="1" thickBot="1">
      <c r="A10" s="108"/>
      <c r="B10" s="110" t="s">
        <v>534</v>
      </c>
      <c r="C10" s="108"/>
      <c r="D10" s="245" t="s">
        <v>1426</v>
      </c>
      <c r="E10" s="245"/>
      <c r="F10" s="245"/>
      <c r="G10" s="245"/>
      <c r="H10" s="245"/>
      <c r="I10" s="245"/>
      <c r="J10" s="245"/>
      <c r="K10" s="245"/>
      <c r="L10" s="245"/>
    </row>
    <row r="11" spans="1:13" s="104" customFormat="1" ht="27.75" customHeight="1" thickTop="1" thickBot="1">
      <c r="A11" s="108"/>
      <c r="B11" s="111" t="s">
        <v>535</v>
      </c>
      <c r="C11" s="108"/>
      <c r="D11" s="245" t="s">
        <v>1427</v>
      </c>
      <c r="E11" s="245"/>
      <c r="F11" s="245"/>
      <c r="G11" s="245"/>
      <c r="H11" s="245"/>
      <c r="I11" s="245"/>
      <c r="J11" s="245"/>
      <c r="K11" s="245"/>
      <c r="L11" s="245"/>
    </row>
    <row r="12" spans="1:13" s="104" customFormat="1" ht="27.75" customHeight="1" thickTop="1" thickBot="1">
      <c r="A12" s="108"/>
      <c r="B12" s="112" t="s">
        <v>536</v>
      </c>
      <c r="C12" s="108"/>
      <c r="D12" s="245" t="s">
        <v>1428</v>
      </c>
      <c r="E12" s="245"/>
      <c r="F12" s="245"/>
      <c r="G12" s="245"/>
      <c r="H12" s="245"/>
      <c r="I12" s="245"/>
      <c r="J12" s="245"/>
      <c r="K12" s="245"/>
      <c r="L12" s="245"/>
    </row>
    <row r="13" spans="1:13" s="104" customFormat="1" ht="27.75" customHeight="1" thickTop="1" thickBot="1">
      <c r="A13" s="108"/>
      <c r="B13" s="113" t="s">
        <v>1091</v>
      </c>
      <c r="C13" s="108"/>
      <c r="D13" s="245" t="s">
        <v>1188</v>
      </c>
      <c r="E13" s="245"/>
      <c r="F13" s="245"/>
      <c r="G13" s="245"/>
      <c r="H13" s="245"/>
      <c r="I13" s="245"/>
      <c r="J13" s="245"/>
      <c r="K13" s="245"/>
      <c r="L13" s="245"/>
    </row>
    <row r="14" spans="1:13" s="104" customFormat="1" ht="27.75" customHeight="1" thickTop="1" thickBot="1">
      <c r="A14" s="108"/>
      <c r="B14" s="113" t="s">
        <v>1008</v>
      </c>
      <c r="C14" s="108"/>
      <c r="D14" s="250" t="s">
        <v>1429</v>
      </c>
      <c r="E14" s="250"/>
      <c r="F14" s="250"/>
      <c r="G14" s="250"/>
      <c r="H14" s="250"/>
      <c r="I14" s="250"/>
      <c r="J14" s="250"/>
      <c r="K14" s="250"/>
      <c r="L14" s="250"/>
    </row>
    <row r="15" spans="1:13" s="104" customFormat="1" ht="27.75" customHeight="1" thickTop="1" thickBot="1">
      <c r="A15" s="108"/>
      <c r="B15" s="114" t="s">
        <v>537</v>
      </c>
      <c r="C15" s="108"/>
      <c r="D15" s="245" t="s">
        <v>1430</v>
      </c>
      <c r="E15" s="245"/>
      <c r="F15" s="245"/>
      <c r="G15" s="245"/>
      <c r="H15" s="245"/>
      <c r="I15" s="245"/>
      <c r="J15" s="245"/>
      <c r="K15" s="245"/>
      <c r="L15" s="245"/>
    </row>
    <row r="16" spans="1:13" ht="16.2" thickTop="1">
      <c r="A16" s="115"/>
      <c r="B16" s="116"/>
      <c r="C16" s="115"/>
      <c r="D16" s="117"/>
      <c r="E16" s="117"/>
      <c r="F16" s="117"/>
      <c r="G16" s="117"/>
      <c r="H16" s="117"/>
      <c r="I16" s="117"/>
      <c r="J16" s="117"/>
      <c r="K16" s="117"/>
      <c r="L16" s="117"/>
    </row>
    <row r="17" spans="2:12" s="104" customFormat="1" ht="18">
      <c r="B17" s="106" t="s">
        <v>1431</v>
      </c>
      <c r="D17" s="107"/>
    </row>
    <row r="18" spans="2:12" s="104" customFormat="1" ht="5.25" customHeight="1">
      <c r="B18" s="118"/>
      <c r="D18" s="107"/>
    </row>
    <row r="19" spans="2:12" s="104" customFormat="1" ht="24.75" customHeight="1" thickBot="1">
      <c r="B19" s="119" t="s">
        <v>1432</v>
      </c>
      <c r="D19" s="244" t="s">
        <v>1442</v>
      </c>
      <c r="E19" s="244"/>
      <c r="F19" s="244"/>
      <c r="G19" s="244"/>
      <c r="H19" s="244"/>
      <c r="I19" s="244"/>
      <c r="J19" s="244"/>
      <c r="K19" s="244"/>
      <c r="L19" s="126" t="s">
        <v>1174</v>
      </c>
    </row>
    <row r="20" spans="2:12" s="104" customFormat="1" ht="41.25" customHeight="1" thickTop="1" thickBot="1">
      <c r="B20" s="119" t="s">
        <v>1576</v>
      </c>
      <c r="D20" s="244" t="s">
        <v>1443</v>
      </c>
      <c r="E20" s="244"/>
      <c r="F20" s="244"/>
      <c r="G20" s="244"/>
      <c r="H20" s="244"/>
      <c r="I20" s="244"/>
      <c r="J20" s="244"/>
      <c r="K20" s="244"/>
      <c r="L20" s="126" t="s">
        <v>1174</v>
      </c>
    </row>
    <row r="21" spans="2:12" s="104" customFormat="1" ht="37.5" customHeight="1" thickTop="1" thickBot="1">
      <c r="B21" s="119" t="s">
        <v>1433</v>
      </c>
      <c r="D21" s="244" t="s">
        <v>1444</v>
      </c>
      <c r="E21" s="244"/>
      <c r="F21" s="244"/>
      <c r="G21" s="244"/>
      <c r="H21" s="244"/>
      <c r="I21" s="244"/>
      <c r="J21" s="244"/>
      <c r="K21" s="244"/>
      <c r="L21" s="126" t="s">
        <v>1174</v>
      </c>
    </row>
    <row r="22" spans="2:12" s="104" customFormat="1" ht="41.25" customHeight="1" thickTop="1" thickBot="1">
      <c r="B22" s="119" t="s">
        <v>1434</v>
      </c>
      <c r="D22" s="244" t="s">
        <v>1445</v>
      </c>
      <c r="E22" s="244"/>
      <c r="F22" s="244"/>
      <c r="G22" s="244"/>
      <c r="H22" s="244"/>
      <c r="I22" s="244"/>
      <c r="J22" s="244"/>
      <c r="K22" s="244"/>
      <c r="L22" s="126" t="s">
        <v>1174</v>
      </c>
    </row>
    <row r="23" spans="2:12" s="104" customFormat="1" ht="36" customHeight="1" thickTop="1" thickBot="1">
      <c r="B23" s="119" t="s">
        <v>1435</v>
      </c>
      <c r="D23" s="244" t="s">
        <v>1203</v>
      </c>
      <c r="E23" s="244"/>
      <c r="F23" s="244"/>
      <c r="G23" s="244"/>
      <c r="H23" s="244"/>
      <c r="I23" s="244"/>
      <c r="J23" s="244"/>
      <c r="K23" s="244"/>
      <c r="L23" s="126" t="s">
        <v>1174</v>
      </c>
    </row>
    <row r="24" spans="2:12" s="104" customFormat="1" ht="52.5" customHeight="1" thickTop="1" thickBot="1">
      <c r="B24" s="119" t="s">
        <v>1436</v>
      </c>
      <c r="D24" s="244" t="s">
        <v>1446</v>
      </c>
      <c r="E24" s="244"/>
      <c r="F24" s="244"/>
      <c r="G24" s="244"/>
      <c r="H24" s="244"/>
      <c r="I24" s="244"/>
      <c r="J24" s="244"/>
      <c r="K24" s="244"/>
      <c r="L24" s="126" t="s">
        <v>1174</v>
      </c>
    </row>
    <row r="25" spans="2:12" s="104" customFormat="1" ht="57" customHeight="1" thickTop="1" thickBot="1">
      <c r="B25" s="119" t="s">
        <v>1437</v>
      </c>
      <c r="D25" s="244" t="s">
        <v>1447</v>
      </c>
      <c r="E25" s="244"/>
      <c r="F25" s="244"/>
      <c r="G25" s="244"/>
      <c r="H25" s="244"/>
      <c r="I25" s="244"/>
      <c r="J25" s="244"/>
      <c r="K25" s="244"/>
      <c r="L25" s="126" t="s">
        <v>1174</v>
      </c>
    </row>
    <row r="26" spans="2:12" s="104" customFormat="1" ht="48.75" customHeight="1" thickTop="1" thickBot="1">
      <c r="B26" s="119" t="s">
        <v>1438</v>
      </c>
      <c r="D26" s="244" t="s">
        <v>1448</v>
      </c>
      <c r="E26" s="244"/>
      <c r="F26" s="244"/>
      <c r="G26" s="244"/>
      <c r="H26" s="244"/>
      <c r="I26" s="244"/>
      <c r="J26" s="244"/>
      <c r="K26" s="244"/>
      <c r="L26" s="126" t="s">
        <v>1174</v>
      </c>
    </row>
    <row r="27" spans="2:12" s="104" customFormat="1" ht="43.5" customHeight="1" thickTop="1" thickBot="1">
      <c r="B27" s="119" t="s">
        <v>1439</v>
      </c>
      <c r="D27" s="244" t="s">
        <v>1449</v>
      </c>
      <c r="E27" s="244"/>
      <c r="F27" s="244"/>
      <c r="G27" s="244"/>
      <c r="H27" s="244"/>
      <c r="I27" s="244"/>
      <c r="J27" s="244"/>
      <c r="K27" s="244"/>
      <c r="L27" s="126" t="s">
        <v>1174</v>
      </c>
    </row>
    <row r="28" spans="2:12" s="104" customFormat="1" ht="43.5" customHeight="1" thickTop="1" thickBot="1">
      <c r="B28" s="119" t="s">
        <v>1440</v>
      </c>
      <c r="D28" s="244" t="s">
        <v>1450</v>
      </c>
      <c r="E28" s="244"/>
      <c r="F28" s="244"/>
      <c r="G28" s="244"/>
      <c r="H28" s="244"/>
      <c r="I28" s="244"/>
      <c r="J28" s="244"/>
      <c r="K28" s="244"/>
      <c r="L28" s="126" t="s">
        <v>1174</v>
      </c>
    </row>
    <row r="29" spans="2:12" s="104" customFormat="1" ht="50.25" customHeight="1" thickTop="1" thickBot="1">
      <c r="B29" s="119" t="s">
        <v>536</v>
      </c>
      <c r="D29" s="244" t="s">
        <v>1209</v>
      </c>
      <c r="E29" s="244"/>
      <c r="F29" s="244"/>
      <c r="G29" s="244"/>
      <c r="H29" s="244"/>
      <c r="I29" s="244"/>
      <c r="J29" s="244"/>
      <c r="K29" s="244"/>
      <c r="L29" s="126" t="s">
        <v>1174</v>
      </c>
    </row>
    <row r="30" spans="2:12" s="104" customFormat="1" ht="57.75" customHeight="1" thickTop="1" thickBot="1">
      <c r="B30" s="119" t="s">
        <v>1172</v>
      </c>
      <c r="D30" s="244" t="s">
        <v>1451</v>
      </c>
      <c r="E30" s="244"/>
      <c r="F30" s="244"/>
      <c r="G30" s="244"/>
      <c r="H30" s="244"/>
      <c r="I30" s="244"/>
      <c r="J30" s="244"/>
      <c r="K30" s="244"/>
      <c r="L30" s="126" t="s">
        <v>1174</v>
      </c>
    </row>
    <row r="31" spans="2:12" s="104" customFormat="1" ht="67.5" customHeight="1" thickTop="1" thickBot="1">
      <c r="B31" s="119" t="s">
        <v>1441</v>
      </c>
      <c r="D31" s="244" t="s">
        <v>1211</v>
      </c>
      <c r="E31" s="244"/>
      <c r="F31" s="244"/>
      <c r="G31" s="244"/>
      <c r="H31" s="244"/>
      <c r="I31" s="244"/>
      <c r="J31" s="244"/>
      <c r="K31" s="244"/>
      <c r="L31" s="126" t="s">
        <v>1174</v>
      </c>
    </row>
    <row r="32" spans="2:12" s="104" customFormat="1" ht="15" thickTop="1">
      <c r="B32" s="120"/>
      <c r="D32" s="107"/>
      <c r="L32" s="108"/>
    </row>
    <row r="33" spans="2:12" s="104" customFormat="1" ht="18.75" customHeight="1">
      <c r="B33" s="121" t="s">
        <v>1575</v>
      </c>
      <c r="C33" s="122"/>
      <c r="D33" s="123"/>
      <c r="E33" s="122"/>
      <c r="F33" s="122"/>
      <c r="G33" s="122"/>
      <c r="H33" s="122"/>
      <c r="I33" s="122"/>
      <c r="J33" s="122"/>
      <c r="K33" s="122"/>
      <c r="L33" s="124"/>
    </row>
    <row r="34" spans="2:12" s="104" customFormat="1" ht="59.25" customHeight="1">
      <c r="B34" s="246" t="s">
        <v>1452</v>
      </c>
      <c r="C34" s="246"/>
      <c r="D34" s="246"/>
      <c r="E34" s="246"/>
      <c r="F34" s="246"/>
      <c r="G34" s="246"/>
      <c r="H34" s="246"/>
      <c r="I34" s="246"/>
      <c r="J34" s="246"/>
      <c r="K34" s="246"/>
      <c r="L34" s="246"/>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FH101"/>
  <sheetViews>
    <sheetView tabSelected="1" zoomScale="130" zoomScaleNormal="130" zoomScalePageLayoutView="55" workbookViewId="0">
      <pane ySplit="4" topLeftCell="A50" activePane="bottomLeft" state="frozen"/>
      <selection activeCell="E5" sqref="E5"/>
      <selection pane="bottomLeft" activeCell="D5" sqref="D5"/>
    </sheetView>
  </sheetViews>
  <sheetFormatPr defaultColWidth="10" defaultRowHeight="12" customHeight="1" outlineLevelRow="1"/>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4.5" style="144" bestFit="1" customWidth="1"/>
    <col min="15" max="15" width="5.19921875" style="144" hidden="1" customWidth="1"/>
    <col min="16" max="17" width="9.8984375" style="145" bestFit="1" customWidth="1"/>
    <col min="18" max="18" width="7.59765625" style="146" hidden="1" customWidth="1"/>
    <col min="19" max="19" width="6.3984375" style="147" hidden="1" customWidth="1"/>
    <col min="20" max="20" width="4.8984375" style="147" hidden="1" customWidth="1"/>
    <col min="21" max="21" width="5.8984375" style="147" hidden="1" customWidth="1"/>
    <col min="22" max="22" width="5" style="147" hidden="1" customWidth="1"/>
    <col min="23" max="24" width="9.69921875" style="145" hidden="1" customWidth="1"/>
    <col min="25" max="25" width="7.5" style="148" hidden="1" customWidth="1"/>
    <col min="26" max="26" width="6" style="149" hidden="1" customWidth="1"/>
    <col min="27" max="27" width="6.09765625" style="147" hidden="1" customWidth="1"/>
    <col min="28" max="28" width="15" style="146" customWidth="1"/>
    <col min="29" max="29" width="12.296875" style="150" customWidth="1"/>
    <col min="30" max="30" width="7.69921875" style="151" bestFit="1" customWidth="1"/>
    <col min="31" max="31" width="7.69921875" style="152" customWidth="1"/>
    <col min="32" max="164" width="1.8984375" style="142" customWidth="1"/>
    <col min="165" max="16384" width="10" style="142"/>
  </cols>
  <sheetData>
    <row r="1" spans="1:164" s="139" customFormat="1" ht="19.95" customHeight="1">
      <c r="A1" s="153"/>
      <c r="B1" s="154"/>
      <c r="C1" s="155"/>
      <c r="D1" s="186" t="str" cm="1">
        <f t="array" aca="1" ref="D1" ca="1">xlgantt.ProjectName()</f>
        <v>GME Project</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2023-06-01~2023-09-30 [계획:39.84% 실적:26.99%]</v>
      </c>
      <c r="AF1" s="174" t="s">
        <v>1572</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64" s="139" customFormat="1" ht="15" customHeight="1">
      <c r="A2" s="153"/>
      <c r="B2" s="153"/>
      <c r="C2" s="155"/>
      <c r="D2" s="272"/>
      <c r="E2" s="272"/>
      <c r="F2" s="272"/>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86" t="s">
        <v>1307</v>
      </c>
      <c r="AG2" s="286"/>
      <c r="AH2" s="286"/>
      <c r="AI2" s="286"/>
      <c r="AJ2" s="286" t="s">
        <v>1335</v>
      </c>
      <c r="AK2" s="286"/>
      <c r="AL2" s="286"/>
      <c r="AM2" s="286"/>
      <c r="AN2" s="286" t="s">
        <v>1336</v>
      </c>
      <c r="AO2" s="286"/>
      <c r="AP2" s="286"/>
      <c r="AQ2" s="286"/>
      <c r="AR2" s="286" t="s">
        <v>1337</v>
      </c>
      <c r="AS2" s="286"/>
      <c r="AT2" s="286"/>
      <c r="AU2" s="286"/>
      <c r="AV2" s="286" t="s">
        <v>1566</v>
      </c>
      <c r="AW2" s="286"/>
      <c r="AX2" s="286"/>
      <c r="AY2" s="286"/>
      <c r="AZ2" s="223"/>
      <c r="BA2" s="223"/>
      <c r="BB2" s="223"/>
      <c r="BC2" s="223"/>
      <c r="BD2" s="223"/>
      <c r="BE2" s="223"/>
      <c r="BF2" s="223"/>
      <c r="BG2" s="223"/>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c r="DQ2" s="223"/>
      <c r="DR2" s="223"/>
      <c r="DS2" s="223"/>
      <c r="DT2" s="223"/>
      <c r="DU2" s="223"/>
      <c r="DV2" s="223"/>
      <c r="DW2" s="223"/>
      <c r="DX2" s="223"/>
      <c r="DY2" s="223"/>
      <c r="DZ2" s="223"/>
      <c r="EA2" s="223"/>
      <c r="EB2" s="223"/>
      <c r="EC2" s="223"/>
      <c r="ED2" s="223"/>
      <c r="EE2" s="223"/>
      <c r="EF2" s="223"/>
      <c r="EG2" s="223"/>
      <c r="EH2" s="223"/>
      <c r="EI2" s="223"/>
      <c r="EJ2" s="223"/>
      <c r="EK2" s="223"/>
      <c r="EL2" s="223"/>
      <c r="EM2" s="223"/>
      <c r="EN2" s="223"/>
      <c r="EO2" s="223"/>
      <c r="EP2" s="223"/>
      <c r="EQ2" s="223"/>
      <c r="ER2" s="223"/>
      <c r="ES2" s="223"/>
      <c r="ET2" s="223"/>
      <c r="EU2" s="223"/>
      <c r="EV2" s="223"/>
      <c r="EW2" s="223"/>
      <c r="EX2" s="223"/>
      <c r="EY2" s="223"/>
      <c r="EZ2" s="223"/>
      <c r="FA2" s="223"/>
      <c r="FB2" s="223"/>
      <c r="FC2" s="223"/>
      <c r="FD2" s="223"/>
      <c r="FE2" s="223"/>
      <c r="FF2" s="223"/>
      <c r="FG2" s="223"/>
      <c r="FH2" s="223"/>
    </row>
    <row r="3" spans="1:164" s="140" customFormat="1" ht="19.05" customHeight="1">
      <c r="A3" s="259" t="s">
        <v>554</v>
      </c>
      <c r="B3" s="261" t="s">
        <v>549</v>
      </c>
      <c r="C3" s="263" t="s">
        <v>556</v>
      </c>
      <c r="D3" s="264" t="s">
        <v>550</v>
      </c>
      <c r="E3" s="266" t="s">
        <v>1470</v>
      </c>
      <c r="F3" s="267"/>
      <c r="G3" s="267"/>
      <c r="H3" s="267"/>
      <c r="I3" s="267"/>
      <c r="J3" s="267"/>
      <c r="K3" s="267"/>
      <c r="L3" s="267"/>
      <c r="M3" s="267"/>
      <c r="N3" s="267"/>
      <c r="O3" s="257" t="s">
        <v>1471</v>
      </c>
      <c r="P3" s="257" t="s">
        <v>1472</v>
      </c>
      <c r="Q3" s="257" t="s">
        <v>1473</v>
      </c>
      <c r="R3" s="278" t="s">
        <v>1370</v>
      </c>
      <c r="S3" s="273" t="s">
        <v>1474</v>
      </c>
      <c r="T3" s="280" t="s">
        <v>1475</v>
      </c>
      <c r="U3" s="273" t="s">
        <v>1476</v>
      </c>
      <c r="V3" s="273" t="s">
        <v>1477</v>
      </c>
      <c r="W3" s="275" t="s">
        <v>1478</v>
      </c>
      <c r="X3" s="275" t="s">
        <v>1479</v>
      </c>
      <c r="Y3" s="282" t="s">
        <v>1480</v>
      </c>
      <c r="Z3" s="276" t="s">
        <v>1481</v>
      </c>
      <c r="AA3" s="269" t="s">
        <v>1482</v>
      </c>
      <c r="AB3" s="257" t="s">
        <v>1483</v>
      </c>
      <c r="AC3" s="271" t="s">
        <v>1484</v>
      </c>
      <c r="AD3" s="255" t="s">
        <v>1485</v>
      </c>
      <c r="AE3" s="253" t="s">
        <v>1486</v>
      </c>
      <c r="AF3" s="288" t="s">
        <v>1617</v>
      </c>
      <c r="AG3" s="285"/>
      <c r="AH3" s="285"/>
      <c r="AI3" s="285"/>
      <c r="AJ3" s="284" t="s">
        <v>1618</v>
      </c>
      <c r="AK3" s="285"/>
      <c r="AL3" s="285"/>
      <c r="AM3" s="285"/>
      <c r="AN3" s="284" t="s">
        <v>1619</v>
      </c>
      <c r="AO3" s="285"/>
      <c r="AP3" s="285"/>
      <c r="AQ3" s="285"/>
      <c r="AR3" s="284" t="s">
        <v>1620</v>
      </c>
      <c r="AS3" s="285"/>
      <c r="AT3" s="285"/>
      <c r="AU3" s="285"/>
      <c r="AV3" s="284" t="s">
        <v>1621</v>
      </c>
      <c r="AW3" s="285"/>
      <c r="AX3" s="285"/>
      <c r="AY3" s="287"/>
    </row>
    <row r="4" spans="1:164" s="141" customFormat="1" ht="6" customHeight="1">
      <c r="A4" s="260"/>
      <c r="B4" s="262"/>
      <c r="C4" s="259"/>
      <c r="D4" s="265"/>
      <c r="E4" s="268"/>
      <c r="F4" s="267"/>
      <c r="G4" s="267"/>
      <c r="H4" s="267"/>
      <c r="I4" s="267"/>
      <c r="J4" s="267"/>
      <c r="K4" s="267"/>
      <c r="L4" s="267"/>
      <c r="M4" s="267"/>
      <c r="N4" s="267"/>
      <c r="O4" s="258"/>
      <c r="P4" s="258"/>
      <c r="Q4" s="258"/>
      <c r="R4" s="279"/>
      <c r="S4" s="274"/>
      <c r="T4" s="281"/>
      <c r="U4" s="274"/>
      <c r="V4" s="274"/>
      <c r="W4" s="258"/>
      <c r="X4" s="258"/>
      <c r="Y4" s="283"/>
      <c r="Z4" s="277"/>
      <c r="AA4" s="270"/>
      <c r="AB4" s="258"/>
      <c r="AC4" s="265"/>
      <c r="AD4" s="256"/>
      <c r="AE4" s="254"/>
      <c r="AF4" s="187">
        <v>45075</v>
      </c>
      <c r="AG4" s="188">
        <v>45082</v>
      </c>
      <c r="AH4" s="188">
        <v>45089</v>
      </c>
      <c r="AI4" s="188">
        <v>45096</v>
      </c>
      <c r="AJ4" s="188">
        <v>45103</v>
      </c>
      <c r="AK4" s="188">
        <v>45110</v>
      </c>
      <c r="AL4" s="188">
        <v>45117</v>
      </c>
      <c r="AM4" s="188">
        <v>45124</v>
      </c>
      <c r="AN4" s="188">
        <v>45131</v>
      </c>
      <c r="AO4" s="188">
        <v>45138</v>
      </c>
      <c r="AP4" s="188">
        <v>45145</v>
      </c>
      <c r="AQ4" s="188">
        <v>45152</v>
      </c>
      <c r="AR4" s="188">
        <v>45159</v>
      </c>
      <c r="AS4" s="188">
        <v>45166</v>
      </c>
      <c r="AT4" s="188">
        <v>45173</v>
      </c>
      <c r="AU4" s="188">
        <v>45180</v>
      </c>
      <c r="AV4" s="188">
        <v>45187</v>
      </c>
      <c r="AW4" s="188">
        <v>45194</v>
      </c>
      <c r="AX4" s="188">
        <v>45201</v>
      </c>
      <c r="AY4" s="219"/>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c r="DE4" s="220"/>
      <c r="DF4" s="220"/>
      <c r="DG4" s="220"/>
      <c r="DH4" s="220"/>
      <c r="DI4" s="220"/>
      <c r="DJ4" s="220"/>
      <c r="DK4" s="220"/>
      <c r="DL4" s="220"/>
      <c r="DM4" s="220"/>
      <c r="DN4" s="220"/>
      <c r="DO4" s="220"/>
      <c r="DP4" s="220"/>
      <c r="DQ4" s="220"/>
      <c r="DR4" s="220"/>
      <c r="DS4" s="220"/>
      <c r="DT4" s="220"/>
      <c r="DU4" s="220"/>
      <c r="DV4" s="220"/>
      <c r="DW4" s="220"/>
      <c r="DX4" s="220"/>
      <c r="DY4" s="220"/>
      <c r="DZ4" s="220"/>
      <c r="EA4" s="220"/>
      <c r="EB4" s="220"/>
      <c r="EC4" s="220"/>
      <c r="ED4" s="220"/>
      <c r="EE4" s="220"/>
      <c r="EF4" s="220"/>
      <c r="EG4" s="220"/>
      <c r="EH4" s="220"/>
      <c r="EI4" s="220"/>
      <c r="EJ4" s="220"/>
      <c r="EK4" s="220"/>
      <c r="EL4" s="220"/>
      <c r="EM4" s="220"/>
      <c r="EN4" s="220"/>
      <c r="EO4" s="220"/>
      <c r="EP4" s="220"/>
      <c r="EQ4" s="220"/>
      <c r="ER4" s="220"/>
      <c r="ES4" s="220"/>
      <c r="ET4" s="220"/>
      <c r="EU4" s="220"/>
      <c r="EV4" s="220"/>
      <c r="EW4" s="220"/>
      <c r="EX4" s="220"/>
      <c r="EY4" s="220"/>
      <c r="EZ4" s="220"/>
      <c r="FA4" s="220"/>
      <c r="FB4" s="220"/>
      <c r="FC4" s="220"/>
      <c r="FD4" s="220"/>
      <c r="FE4" s="220"/>
      <c r="FF4" s="220"/>
      <c r="FG4" s="220"/>
      <c r="FH4" s="220"/>
    </row>
    <row r="5" spans="1:164" ht="12" customHeight="1">
      <c r="A5" s="203"/>
      <c r="B5" s="203" t="s">
        <v>1487</v>
      </c>
      <c r="C5" s="203">
        <v>1</v>
      </c>
      <c r="D5" s="216" t="s">
        <v>1023</v>
      </c>
      <c r="E5" s="297" t="s">
        <v>1596</v>
      </c>
      <c r="F5" s="297"/>
      <c r="G5" s="204"/>
      <c r="H5" s="204"/>
      <c r="I5" s="204"/>
      <c r="J5" s="204"/>
      <c r="K5" s="204"/>
      <c r="L5" s="204"/>
      <c r="M5" s="204"/>
      <c r="N5" s="204"/>
      <c r="O5" s="204"/>
      <c r="P5" s="205">
        <v>45078</v>
      </c>
      <c r="Q5" s="205">
        <v>45085</v>
      </c>
      <c r="R5" s="206"/>
      <c r="S5" s="207">
        <v>9</v>
      </c>
      <c r="T5" s="207">
        <v>9</v>
      </c>
      <c r="U5" s="207">
        <v>6</v>
      </c>
      <c r="V5" s="207">
        <v>6</v>
      </c>
      <c r="W5" s="205"/>
      <c r="X5" s="205"/>
      <c r="Y5" s="208">
        <v>0</v>
      </c>
      <c r="Z5" s="209">
        <v>0</v>
      </c>
      <c r="AA5" s="207"/>
      <c r="AB5" s="206"/>
      <c r="AC5" s="210"/>
      <c r="AD5" s="211">
        <v>1</v>
      </c>
      <c r="AE5" s="221">
        <v>1</v>
      </c>
      <c r="AF5" s="190"/>
      <c r="AG5" s="191" t="str">
        <f>"    " &amp; TEXT(AE5,"#0.00%") &amp; " " &amp; "[2209-16] Bill Payment using Sampath Bank" &amp; " " &amp; IF(P5="","",TEXT(P5,"M/D-")) &amp; IF(Q5="","",TEXT(Q5,"M/D")) &amp; " "</f>
        <v xml:space="preserve">    100.00% [2209-16] Bill Payment using Sampath Bank 6/1-6/8 </v>
      </c>
      <c r="AH5" s="191"/>
      <c r="AI5" s="191"/>
      <c r="AJ5" s="191"/>
      <c r="AK5" s="191"/>
      <c r="AL5" s="191"/>
      <c r="AM5" s="191"/>
      <c r="AN5" s="191"/>
      <c r="AO5" s="191"/>
      <c r="AP5" s="191"/>
      <c r="AQ5" s="191"/>
      <c r="AR5" s="191"/>
      <c r="AS5" s="191"/>
      <c r="AT5" s="191"/>
      <c r="AU5" s="191"/>
      <c r="AV5" s="191"/>
      <c r="AW5" s="191"/>
      <c r="AX5" s="191"/>
      <c r="AY5" s="191"/>
    </row>
    <row r="6" spans="1:164" ht="12" customHeight="1" outlineLevel="1">
      <c r="A6" s="203"/>
      <c r="B6" s="203"/>
      <c r="C6" s="203">
        <v>2</v>
      </c>
      <c r="D6" s="216" t="s">
        <v>1097</v>
      </c>
      <c r="E6" s="298"/>
      <c r="F6" s="297" t="s">
        <v>1597</v>
      </c>
      <c r="G6" s="204"/>
      <c r="H6" s="204"/>
      <c r="I6" s="204"/>
      <c r="J6" s="204"/>
      <c r="K6" s="204"/>
      <c r="L6" s="204"/>
      <c r="M6" s="204"/>
      <c r="N6" s="204"/>
      <c r="O6" s="204"/>
      <c r="P6" s="299">
        <v>45078</v>
      </c>
      <c r="Q6" s="299">
        <v>45079</v>
      </c>
      <c r="R6" s="206"/>
      <c r="S6" s="207">
        <v>2</v>
      </c>
      <c r="T6" s="207">
        <v>2</v>
      </c>
      <c r="U6" s="207">
        <v>2</v>
      </c>
      <c r="V6" s="207">
        <v>2</v>
      </c>
      <c r="W6" s="205"/>
      <c r="X6" s="205"/>
      <c r="Y6" s="208"/>
      <c r="Z6" s="209">
        <v>0</v>
      </c>
      <c r="AA6" s="207"/>
      <c r="AB6" s="206" t="s">
        <v>1684</v>
      </c>
      <c r="AC6" s="210" t="s">
        <v>1688</v>
      </c>
      <c r="AD6" s="211">
        <v>1</v>
      </c>
      <c r="AE6" s="213">
        <v>1</v>
      </c>
      <c r="AF6" s="190" t="str">
        <f>"     " &amp; TEXT(AE6,"#0.00%") &amp; " " &amp; "Server" &amp; "(Sagar)" &amp; " " &amp; IF(P6="","",TEXT(P6,"M/D-")) &amp; IF(Q6="","",TEXT(Q6,"M/D")) &amp; " "</f>
        <v xml:space="preserve">     100.00% Server(Sagar) 6/1-6/2 </v>
      </c>
      <c r="AG6" s="191"/>
      <c r="AH6" s="191"/>
      <c r="AI6" s="191"/>
      <c r="AJ6" s="191"/>
      <c r="AK6" s="191"/>
      <c r="AL6" s="191"/>
      <c r="AM6" s="191"/>
      <c r="AN6" s="191"/>
      <c r="AO6" s="191"/>
      <c r="AP6" s="191"/>
      <c r="AQ6" s="191"/>
      <c r="AR6" s="191"/>
      <c r="AS6" s="191"/>
      <c r="AT6" s="191"/>
      <c r="AU6" s="191"/>
      <c r="AV6" s="191"/>
      <c r="AW6" s="191"/>
      <c r="AX6" s="191"/>
      <c r="AY6" s="191"/>
    </row>
    <row r="7" spans="1:164" ht="12" customHeight="1" outlineLevel="1">
      <c r="A7" s="203"/>
      <c r="B7" s="203"/>
      <c r="C7" s="203">
        <v>2</v>
      </c>
      <c r="D7" s="216" t="s">
        <v>1100</v>
      </c>
      <c r="E7" s="298"/>
      <c r="F7" s="297" t="s">
        <v>1598</v>
      </c>
      <c r="G7" s="204"/>
      <c r="H7" s="204"/>
      <c r="I7" s="204"/>
      <c r="J7" s="204"/>
      <c r="K7" s="204"/>
      <c r="L7" s="204"/>
      <c r="M7" s="204"/>
      <c r="N7" s="204"/>
      <c r="O7" s="204"/>
      <c r="P7" s="299">
        <v>45078</v>
      </c>
      <c r="Q7" s="299">
        <v>45079</v>
      </c>
      <c r="R7" s="206"/>
      <c r="S7" s="207">
        <v>2</v>
      </c>
      <c r="T7" s="207">
        <v>2</v>
      </c>
      <c r="U7" s="207">
        <v>2</v>
      </c>
      <c r="V7" s="207">
        <v>2</v>
      </c>
      <c r="W7" s="205"/>
      <c r="X7" s="205"/>
      <c r="Y7" s="208"/>
      <c r="Z7" s="209">
        <v>0</v>
      </c>
      <c r="AA7" s="207"/>
      <c r="AB7" s="206" t="s">
        <v>1685</v>
      </c>
      <c r="AC7" s="210"/>
      <c r="AD7" s="211">
        <v>1</v>
      </c>
      <c r="AE7" s="213">
        <v>1</v>
      </c>
      <c r="AF7" s="190" t="str">
        <f>"     " &amp; TEXT(AE7,"#0.00%") &amp; " " &amp; "iOS" &amp; "(Manish)" &amp; " " &amp; IF(P7="","",TEXT(P7,"M/D-")) &amp; IF(Q7="","",TEXT(Q7,"M/D")) &amp; " "</f>
        <v xml:space="preserve">     100.00% iOS(Manish) 6/1-6/2 </v>
      </c>
      <c r="AG7" s="191"/>
      <c r="AH7" s="191"/>
      <c r="AI7" s="191"/>
      <c r="AJ7" s="191"/>
      <c r="AK7" s="191"/>
      <c r="AL7" s="191"/>
      <c r="AM7" s="191"/>
      <c r="AN7" s="191"/>
      <c r="AO7" s="191"/>
      <c r="AP7" s="191"/>
      <c r="AQ7" s="191"/>
      <c r="AR7" s="191"/>
      <c r="AS7" s="191"/>
      <c r="AT7" s="191"/>
      <c r="AU7" s="191"/>
      <c r="AV7" s="191"/>
      <c r="AW7" s="191"/>
      <c r="AX7" s="191"/>
      <c r="AY7" s="191"/>
    </row>
    <row r="8" spans="1:164" ht="12" customHeight="1" outlineLevel="1">
      <c r="A8" s="203"/>
      <c r="B8" s="203"/>
      <c r="C8" s="203">
        <v>2</v>
      </c>
      <c r="D8" s="216" t="s">
        <v>1102</v>
      </c>
      <c r="E8" s="298"/>
      <c r="F8" s="297" t="s">
        <v>1599</v>
      </c>
      <c r="G8" s="204"/>
      <c r="H8" s="204"/>
      <c r="I8" s="204"/>
      <c r="J8" s="204"/>
      <c r="K8" s="204"/>
      <c r="L8" s="204"/>
      <c r="M8" s="204"/>
      <c r="N8" s="204"/>
      <c r="O8" s="204"/>
      <c r="P8" s="299">
        <v>45078</v>
      </c>
      <c r="Q8" s="299">
        <v>45079</v>
      </c>
      <c r="R8" s="206"/>
      <c r="S8" s="207">
        <v>2</v>
      </c>
      <c r="T8" s="207">
        <v>2</v>
      </c>
      <c r="U8" s="207">
        <v>2</v>
      </c>
      <c r="V8" s="207">
        <v>2</v>
      </c>
      <c r="W8" s="205"/>
      <c r="X8" s="205"/>
      <c r="Y8" s="208"/>
      <c r="Z8" s="209">
        <v>0</v>
      </c>
      <c r="AA8" s="207"/>
      <c r="AB8" s="206" t="s">
        <v>1686</v>
      </c>
      <c r="AC8" s="210"/>
      <c r="AD8" s="211">
        <v>1</v>
      </c>
      <c r="AE8" s="213">
        <v>1</v>
      </c>
      <c r="AF8" s="190" t="str">
        <f>"     " &amp; TEXT(AE8,"#0.00%") &amp; " " &amp; "Android" &amp; "(Sujan)" &amp; " " &amp; IF(P8="","",TEXT(P8,"M/D-")) &amp; IF(Q8="","",TEXT(Q8,"M/D")) &amp; " "</f>
        <v xml:space="preserve">     100.00% Android(Sujan) 6/1-6/2 </v>
      </c>
      <c r="AG8" s="191"/>
      <c r="AH8" s="191"/>
      <c r="AI8" s="191"/>
      <c r="AJ8" s="191"/>
      <c r="AK8" s="191"/>
      <c r="AL8" s="191"/>
      <c r="AM8" s="191"/>
      <c r="AN8" s="191"/>
      <c r="AO8" s="191"/>
      <c r="AP8" s="191"/>
      <c r="AQ8" s="191"/>
      <c r="AR8" s="191"/>
      <c r="AS8" s="191"/>
      <c r="AT8" s="191"/>
      <c r="AU8" s="191"/>
      <c r="AV8" s="191"/>
      <c r="AW8" s="191"/>
      <c r="AX8" s="191"/>
      <c r="AY8" s="191"/>
    </row>
    <row r="9" spans="1:164" ht="12" customHeight="1" outlineLevel="1">
      <c r="A9" s="203"/>
      <c r="B9" s="203"/>
      <c r="C9" s="203">
        <v>2</v>
      </c>
      <c r="D9" s="216" t="s">
        <v>1124</v>
      </c>
      <c r="E9" s="297"/>
      <c r="F9" s="297" t="s">
        <v>1600</v>
      </c>
      <c r="G9" s="204"/>
      <c r="H9" s="204"/>
      <c r="I9" s="204"/>
      <c r="J9" s="204"/>
      <c r="K9" s="204"/>
      <c r="L9" s="204"/>
      <c r="M9" s="204"/>
      <c r="N9" s="204"/>
      <c r="O9" s="204"/>
      <c r="P9" s="299">
        <v>45079</v>
      </c>
      <c r="Q9" s="299">
        <v>45082</v>
      </c>
      <c r="R9" s="206"/>
      <c r="S9" s="207">
        <v>2</v>
      </c>
      <c r="T9" s="207">
        <v>2</v>
      </c>
      <c r="U9" s="207">
        <v>2</v>
      </c>
      <c r="V9" s="207">
        <v>2</v>
      </c>
      <c r="W9" s="205"/>
      <c r="X9" s="205"/>
      <c r="Y9" s="208"/>
      <c r="Z9" s="209">
        <v>0</v>
      </c>
      <c r="AA9" s="207"/>
      <c r="AB9" s="206" t="s">
        <v>1687</v>
      </c>
      <c r="AC9" s="210"/>
      <c r="AD9" s="211">
        <v>1</v>
      </c>
      <c r="AE9" s="213">
        <v>1</v>
      </c>
      <c r="AF9" s="190"/>
      <c r="AG9" s="191" t="str">
        <f>" " &amp; TEXT(AE9,"#0.00%") &amp; " " &amp; "Test in TB" &amp; "(Chetan)" &amp; " " &amp; IF(P9="","",TEXT(P9,"M/D-")) &amp; IF(Q9="","",TEXT(Q9,"M/D")) &amp; " "</f>
        <v xml:space="preserve"> 100.00% Test in TB(Chetan) 6/2-6/5 </v>
      </c>
      <c r="AH9" s="191"/>
      <c r="AI9" s="191"/>
      <c r="AJ9" s="191"/>
      <c r="AK9" s="191"/>
      <c r="AL9" s="191"/>
      <c r="AM9" s="191"/>
      <c r="AN9" s="191"/>
      <c r="AO9" s="191"/>
      <c r="AP9" s="191"/>
      <c r="AQ9" s="191"/>
      <c r="AR9" s="191"/>
      <c r="AS9" s="191"/>
      <c r="AT9" s="191"/>
      <c r="AU9" s="191"/>
      <c r="AV9" s="191"/>
      <c r="AW9" s="191"/>
      <c r="AX9" s="191"/>
      <c r="AY9" s="191"/>
    </row>
    <row r="10" spans="1:164" ht="12" customHeight="1" outlineLevel="1">
      <c r="A10" s="203">
        <v>1</v>
      </c>
      <c r="B10" s="203"/>
      <c r="C10" s="203">
        <v>2</v>
      </c>
      <c r="D10" s="216" t="s">
        <v>1622</v>
      </c>
      <c r="E10" s="297"/>
      <c r="F10" s="297" t="s">
        <v>1601</v>
      </c>
      <c r="G10" s="204"/>
      <c r="H10" s="204"/>
      <c r="I10" s="204"/>
      <c r="J10" s="204"/>
      <c r="K10" s="204"/>
      <c r="L10" s="204"/>
      <c r="M10" s="204"/>
      <c r="N10" s="204"/>
      <c r="O10" s="204"/>
      <c r="P10" s="299">
        <v>45084</v>
      </c>
      <c r="Q10" s="299">
        <v>45084</v>
      </c>
      <c r="R10" s="206"/>
      <c r="S10" s="207">
        <v>0</v>
      </c>
      <c r="T10" s="207">
        <v>0</v>
      </c>
      <c r="U10" s="207">
        <v>1</v>
      </c>
      <c r="V10" s="207">
        <v>1</v>
      </c>
      <c r="W10" s="205"/>
      <c r="X10" s="205"/>
      <c r="Y10" s="208"/>
      <c r="Z10" s="209">
        <v>0</v>
      </c>
      <c r="AA10" s="207"/>
      <c r="AB10" s="206"/>
      <c r="AC10" s="210"/>
      <c r="AD10" s="211">
        <v>1</v>
      </c>
      <c r="AE10" s="213">
        <v>1</v>
      </c>
      <c r="AF10" s="190"/>
      <c r="AG10" s="191" t="str">
        <f>"      " &amp; TEXT(AE10,"#0.00%") &amp; " " &amp; "Test in Live" &amp; " " &amp; IF(P10="","",TEXT(P10,"M/D-")) &amp; IF(Q10="","",TEXT(Q10,"M/D")) &amp; " "</f>
        <v xml:space="preserve">      100.00% Test in Live 6/7-6/7 </v>
      </c>
      <c r="AH10" s="191"/>
      <c r="AI10" s="191"/>
      <c r="AJ10" s="191"/>
      <c r="AK10" s="191"/>
      <c r="AL10" s="191"/>
      <c r="AM10" s="191"/>
      <c r="AN10" s="191"/>
      <c r="AO10" s="191"/>
      <c r="AP10" s="191"/>
      <c r="AQ10" s="191"/>
      <c r="AR10" s="191"/>
      <c r="AS10" s="191"/>
      <c r="AT10" s="191"/>
      <c r="AU10" s="191"/>
      <c r="AV10" s="191"/>
      <c r="AW10" s="191"/>
      <c r="AX10" s="191"/>
      <c r="AY10" s="191"/>
    </row>
    <row r="11" spans="1:164" ht="12" customHeight="1" outlineLevel="1">
      <c r="A11" s="203"/>
      <c r="B11" s="203"/>
      <c r="C11" s="203">
        <v>2</v>
      </c>
      <c r="D11" s="216" t="s">
        <v>1623</v>
      </c>
      <c r="E11" s="297"/>
      <c r="F11" s="297" t="s">
        <v>1602</v>
      </c>
      <c r="G11" s="204"/>
      <c r="H11" s="204"/>
      <c r="I11" s="204"/>
      <c r="J11" s="204"/>
      <c r="K11" s="204"/>
      <c r="L11" s="204"/>
      <c r="M11" s="204"/>
      <c r="N11" s="204"/>
      <c r="O11" s="204"/>
      <c r="P11" s="299">
        <v>45085</v>
      </c>
      <c r="Q11" s="299">
        <v>45085</v>
      </c>
      <c r="R11" s="206"/>
      <c r="S11" s="207">
        <v>1</v>
      </c>
      <c r="T11" s="207">
        <v>1</v>
      </c>
      <c r="U11" s="207">
        <v>1</v>
      </c>
      <c r="V11" s="207">
        <v>1</v>
      </c>
      <c r="W11" s="205"/>
      <c r="X11" s="205"/>
      <c r="Y11" s="208"/>
      <c r="Z11" s="209">
        <v>0</v>
      </c>
      <c r="AA11" s="207"/>
      <c r="AB11" s="206"/>
      <c r="AC11" s="210"/>
      <c r="AD11" s="211">
        <v>1</v>
      </c>
      <c r="AE11" s="213">
        <v>1</v>
      </c>
      <c r="AF11" s="190"/>
      <c r="AG11" s="191" t="str">
        <f>"    " &amp; TEXT(AE11,"#0.00%") &amp; " " &amp; "Service Launch" &amp; " " &amp; IF(P11="","",TEXT(P11,"M/D-")) &amp; IF(Q11="","",TEXT(Q11,"M/D")) &amp; " "</f>
        <v xml:space="preserve">    100.00% Service Launch 6/8-6/8 </v>
      </c>
      <c r="AH11" s="191"/>
      <c r="AI11" s="191"/>
      <c r="AJ11" s="191"/>
      <c r="AK11" s="191"/>
      <c r="AL11" s="191"/>
      <c r="AM11" s="191"/>
      <c r="AN11" s="191"/>
      <c r="AO11" s="191"/>
      <c r="AP11" s="191"/>
      <c r="AQ11" s="191"/>
      <c r="AR11" s="191"/>
      <c r="AS11" s="191"/>
      <c r="AT11" s="191"/>
      <c r="AU11" s="191"/>
      <c r="AV11" s="191"/>
      <c r="AW11" s="191"/>
      <c r="AX11" s="191"/>
      <c r="AY11" s="191"/>
    </row>
    <row r="12" spans="1:164" ht="12" customHeight="1" outlineLevel="1">
      <c r="A12" s="203"/>
      <c r="B12" s="203"/>
      <c r="C12" s="203">
        <v>0</v>
      </c>
      <c r="D12" s="216"/>
      <c r="E12" s="297"/>
      <c r="F12" s="297"/>
      <c r="G12" s="204"/>
      <c r="H12" s="204"/>
      <c r="I12" s="204"/>
      <c r="J12" s="204"/>
      <c r="K12" s="204"/>
      <c r="L12" s="204"/>
      <c r="M12" s="204"/>
      <c r="N12" s="204"/>
      <c r="O12" s="204"/>
      <c r="P12" s="205"/>
      <c r="Q12" s="205"/>
      <c r="R12" s="206"/>
      <c r="S12" s="207"/>
      <c r="T12" s="207"/>
      <c r="U12" s="207">
        <v>0</v>
      </c>
      <c r="V12" s="207">
        <v>0</v>
      </c>
      <c r="W12" s="205"/>
      <c r="X12" s="205"/>
      <c r="Y12" s="208"/>
      <c r="Z12" s="209">
        <v>0</v>
      </c>
      <c r="AA12" s="207"/>
      <c r="AB12" s="206"/>
      <c r="AC12" s="210"/>
      <c r="AD12" s="211"/>
      <c r="AE12" s="218"/>
      <c r="AF12" s="190"/>
      <c r="AG12" s="191"/>
      <c r="AH12" s="191"/>
      <c r="AI12" s="191"/>
      <c r="AJ12" s="191"/>
      <c r="AK12" s="191"/>
      <c r="AL12" s="191"/>
      <c r="AM12" s="191"/>
      <c r="AN12" s="191"/>
      <c r="AO12" s="191"/>
      <c r="AP12" s="191"/>
      <c r="AQ12" s="191"/>
      <c r="AR12" s="191"/>
      <c r="AS12" s="191"/>
      <c r="AT12" s="191"/>
      <c r="AU12" s="191"/>
      <c r="AV12" s="191"/>
      <c r="AW12" s="191"/>
      <c r="AX12" s="191"/>
      <c r="AY12" s="191"/>
    </row>
    <row r="13" spans="1:164" ht="12" customHeight="1">
      <c r="A13" s="203"/>
      <c r="B13" s="203" t="s">
        <v>1487</v>
      </c>
      <c r="C13" s="203">
        <v>1</v>
      </c>
      <c r="D13" s="216" t="s">
        <v>1087</v>
      </c>
      <c r="E13" s="297" t="s">
        <v>1603</v>
      </c>
      <c r="F13" s="297"/>
      <c r="G13" s="204"/>
      <c r="H13" s="204"/>
      <c r="I13" s="204"/>
      <c r="J13" s="204"/>
      <c r="K13" s="204"/>
      <c r="L13" s="204"/>
      <c r="M13" s="204"/>
      <c r="N13" s="204"/>
      <c r="O13" s="204"/>
      <c r="P13" s="205">
        <v>45078</v>
      </c>
      <c r="Q13" s="205">
        <v>45086</v>
      </c>
      <c r="R13" s="206"/>
      <c r="S13" s="207">
        <v>7</v>
      </c>
      <c r="T13" s="207">
        <v>7</v>
      </c>
      <c r="U13" s="207">
        <v>7</v>
      </c>
      <c r="V13" s="207">
        <v>7</v>
      </c>
      <c r="W13" s="205"/>
      <c r="X13" s="205"/>
      <c r="Y13" s="208">
        <v>0</v>
      </c>
      <c r="Z13" s="209">
        <v>0</v>
      </c>
      <c r="AA13" s="207"/>
      <c r="AB13" s="206"/>
      <c r="AC13" s="210"/>
      <c r="AD13" s="211">
        <v>1</v>
      </c>
      <c r="AE13" s="221">
        <v>1</v>
      </c>
      <c r="AF13" s="190"/>
      <c r="AG13" s="191" t="str">
        <f>"     " &amp; TEXT(AE13,"#0.00%") &amp; " " &amp; "[2207-11] Setup AML Solution" &amp; " " &amp; IF(P13="","",TEXT(P13,"M/D-")) &amp; IF(Q13="","",TEXT(Q13,"M/D")) &amp; " "</f>
        <v xml:space="preserve">     100.00% [2207-11] Setup AML Solution 6/1-6/9 </v>
      </c>
      <c r="AH13" s="191"/>
      <c r="AI13" s="191"/>
      <c r="AJ13" s="191"/>
      <c r="AK13" s="191"/>
      <c r="AL13" s="191"/>
      <c r="AM13" s="191"/>
      <c r="AN13" s="191"/>
      <c r="AO13" s="191"/>
      <c r="AP13" s="191"/>
      <c r="AQ13" s="191"/>
      <c r="AR13" s="191"/>
      <c r="AS13" s="191"/>
      <c r="AT13" s="191"/>
      <c r="AU13" s="191"/>
      <c r="AV13" s="191"/>
      <c r="AW13" s="191"/>
      <c r="AX13" s="191"/>
      <c r="AY13" s="191"/>
    </row>
    <row r="14" spans="1:164" ht="12" customHeight="1" outlineLevel="1">
      <c r="A14" s="203"/>
      <c r="B14" s="203"/>
      <c r="C14" s="203">
        <v>2</v>
      </c>
      <c r="D14" s="216" t="s">
        <v>1567</v>
      </c>
      <c r="E14" s="297"/>
      <c r="F14" s="297" t="s">
        <v>1604</v>
      </c>
      <c r="G14" s="204"/>
      <c r="H14" s="204"/>
      <c r="I14" s="204"/>
      <c r="J14" s="204"/>
      <c r="K14" s="204"/>
      <c r="L14" s="204"/>
      <c r="M14" s="204"/>
      <c r="N14" s="204"/>
      <c r="O14" s="204"/>
      <c r="P14" s="299">
        <v>45078</v>
      </c>
      <c r="Q14" s="299">
        <v>45079</v>
      </c>
      <c r="R14" s="206"/>
      <c r="S14" s="207">
        <v>2</v>
      </c>
      <c r="T14" s="207">
        <v>2</v>
      </c>
      <c r="U14" s="207">
        <v>2</v>
      </c>
      <c r="V14" s="207">
        <v>2</v>
      </c>
      <c r="W14" s="205"/>
      <c r="X14" s="205"/>
      <c r="Y14" s="208"/>
      <c r="Z14" s="209">
        <v>0</v>
      </c>
      <c r="AA14" s="207"/>
      <c r="AB14" s="206" t="s">
        <v>1689</v>
      </c>
      <c r="AC14" s="210" t="s">
        <v>1688</v>
      </c>
      <c r="AD14" s="211">
        <v>1</v>
      </c>
      <c r="AE14" s="213">
        <v>1</v>
      </c>
      <c r="AF14" s="190" t="str">
        <f>"     " &amp; TEXT(AE14,"#0.00%") &amp; " " &amp; "Development" &amp; "(Anil)" &amp; " " &amp; IF(P14="","",TEXT(P14,"M/D-")) &amp; IF(Q14="","",TEXT(Q14,"M/D")) &amp; " "</f>
        <v xml:space="preserve">     100.00% Development(Anil) 6/1-6/2 </v>
      </c>
      <c r="AG14" s="191"/>
      <c r="AH14" s="191"/>
      <c r="AI14" s="191"/>
      <c r="AJ14" s="191"/>
      <c r="AK14" s="191"/>
      <c r="AL14" s="191"/>
      <c r="AM14" s="191"/>
      <c r="AN14" s="191"/>
      <c r="AO14" s="191"/>
      <c r="AP14" s="191"/>
      <c r="AQ14" s="191"/>
      <c r="AR14" s="191"/>
      <c r="AS14" s="191"/>
      <c r="AT14" s="191"/>
      <c r="AU14" s="191"/>
      <c r="AV14" s="191"/>
      <c r="AW14" s="191"/>
      <c r="AX14" s="191"/>
      <c r="AY14" s="191"/>
    </row>
    <row r="15" spans="1:164" ht="12" customHeight="1" outlineLevel="1">
      <c r="A15" s="203">
        <v>0</v>
      </c>
      <c r="B15" s="203"/>
      <c r="C15" s="203">
        <v>2</v>
      </c>
      <c r="D15" s="216" t="s">
        <v>1568</v>
      </c>
      <c r="E15" s="297"/>
      <c r="F15" s="297" t="s">
        <v>1600</v>
      </c>
      <c r="G15" s="204"/>
      <c r="H15" s="204"/>
      <c r="I15" s="204"/>
      <c r="J15" s="204"/>
      <c r="K15" s="204"/>
      <c r="L15" s="204"/>
      <c r="M15" s="204"/>
      <c r="N15" s="204"/>
      <c r="O15" s="204"/>
      <c r="P15" s="299">
        <v>45082</v>
      </c>
      <c r="Q15" s="299">
        <v>45084</v>
      </c>
      <c r="R15" s="206"/>
      <c r="S15" s="207">
        <v>3</v>
      </c>
      <c r="T15" s="207">
        <v>3</v>
      </c>
      <c r="U15" s="207">
        <v>3</v>
      </c>
      <c r="V15" s="207">
        <v>3</v>
      </c>
      <c r="W15" s="205"/>
      <c r="X15" s="205"/>
      <c r="Y15" s="208"/>
      <c r="Z15" s="209">
        <v>0</v>
      </c>
      <c r="AA15" s="207"/>
      <c r="AB15" s="206" t="s">
        <v>1690</v>
      </c>
      <c r="AC15" s="210"/>
      <c r="AD15" s="211">
        <v>1</v>
      </c>
      <c r="AE15" s="213">
        <v>1</v>
      </c>
      <c r="AF15" s="190"/>
      <c r="AG15" s="191" t="str">
        <f>"   " &amp; TEXT(AE15,"#0.00%") &amp; " " &amp; "Test in TB" &amp; "(Sapumal)" &amp; " " &amp; IF(P15="","",TEXT(P15,"M/D-")) &amp; IF(Q15="","",TEXT(Q15,"M/D")) &amp; " "</f>
        <v xml:space="preserve">   100.00% Test in TB(Sapumal) 6/5-6/7 </v>
      </c>
      <c r="AH15" s="191"/>
      <c r="AI15" s="191"/>
      <c r="AJ15" s="191"/>
      <c r="AK15" s="191"/>
      <c r="AL15" s="191"/>
      <c r="AM15" s="191"/>
      <c r="AN15" s="191"/>
      <c r="AO15" s="191"/>
      <c r="AP15" s="191"/>
      <c r="AQ15" s="191"/>
      <c r="AR15" s="191"/>
      <c r="AS15" s="191"/>
      <c r="AT15" s="191"/>
      <c r="AU15" s="191"/>
      <c r="AV15" s="191"/>
      <c r="AW15" s="191"/>
      <c r="AX15" s="191"/>
      <c r="AY15" s="191"/>
    </row>
    <row r="16" spans="1:164" ht="12" customHeight="1" outlineLevel="1">
      <c r="A16" s="203"/>
      <c r="B16" s="203"/>
      <c r="C16" s="203">
        <v>2</v>
      </c>
      <c r="D16" s="216" t="s">
        <v>1569</v>
      </c>
      <c r="E16" s="297"/>
      <c r="F16" s="297" t="s">
        <v>1601</v>
      </c>
      <c r="G16" s="204"/>
      <c r="H16" s="204"/>
      <c r="I16" s="204"/>
      <c r="J16" s="204"/>
      <c r="K16" s="204"/>
      <c r="L16" s="204"/>
      <c r="M16" s="204"/>
      <c r="N16" s="204"/>
      <c r="O16" s="204"/>
      <c r="P16" s="299">
        <v>45085</v>
      </c>
      <c r="Q16" s="299">
        <v>45085</v>
      </c>
      <c r="R16" s="206"/>
      <c r="S16" s="207">
        <v>1</v>
      </c>
      <c r="T16" s="207">
        <v>1</v>
      </c>
      <c r="U16" s="207">
        <v>1</v>
      </c>
      <c r="V16" s="207">
        <v>1</v>
      </c>
      <c r="W16" s="205"/>
      <c r="X16" s="205"/>
      <c r="Y16" s="208"/>
      <c r="Z16" s="209">
        <v>0</v>
      </c>
      <c r="AA16" s="207"/>
      <c r="AB16" s="206"/>
      <c r="AC16" s="210"/>
      <c r="AD16" s="211">
        <v>1</v>
      </c>
      <c r="AE16" s="213">
        <v>1</v>
      </c>
      <c r="AF16" s="190"/>
      <c r="AG16" s="191" t="str">
        <f>"    " &amp; TEXT(AE16,"#0.00%") &amp; " " &amp; "Test in Live" &amp; " " &amp; IF(P16="","",TEXT(P16,"M/D-")) &amp; IF(Q16="","",TEXT(Q16,"M/D")) &amp; " "</f>
        <v xml:space="preserve">    100.00% Test in Live 6/8-6/8 </v>
      </c>
      <c r="AH16" s="191"/>
      <c r="AI16" s="191"/>
      <c r="AJ16" s="191"/>
      <c r="AK16" s="191"/>
      <c r="AL16" s="191"/>
      <c r="AM16" s="191"/>
      <c r="AN16" s="191"/>
      <c r="AO16" s="191"/>
      <c r="AP16" s="191"/>
      <c r="AQ16" s="191"/>
      <c r="AR16" s="191"/>
      <c r="AS16" s="191"/>
      <c r="AT16" s="191"/>
      <c r="AU16" s="191"/>
      <c r="AV16" s="191"/>
      <c r="AW16" s="191"/>
      <c r="AX16" s="191"/>
      <c r="AY16" s="191"/>
    </row>
    <row r="17" spans="1:51" ht="12" customHeight="1" outlineLevel="1">
      <c r="A17" s="203"/>
      <c r="B17" s="203"/>
      <c r="C17" s="203">
        <v>2</v>
      </c>
      <c r="D17" s="216" t="s">
        <v>1570</v>
      </c>
      <c r="E17" s="297"/>
      <c r="F17" s="297" t="s">
        <v>1602</v>
      </c>
      <c r="G17" s="204"/>
      <c r="H17" s="204"/>
      <c r="I17" s="204"/>
      <c r="J17" s="204"/>
      <c r="K17" s="204"/>
      <c r="L17" s="204"/>
      <c r="M17" s="204"/>
      <c r="N17" s="204"/>
      <c r="O17" s="204"/>
      <c r="P17" s="299">
        <v>45086</v>
      </c>
      <c r="Q17" s="299">
        <v>45086</v>
      </c>
      <c r="R17" s="206"/>
      <c r="S17" s="207">
        <v>1</v>
      </c>
      <c r="T17" s="207">
        <v>1</v>
      </c>
      <c r="U17" s="207">
        <v>1</v>
      </c>
      <c r="V17" s="207">
        <v>1</v>
      </c>
      <c r="W17" s="205"/>
      <c r="X17" s="205"/>
      <c r="Y17" s="208"/>
      <c r="Z17" s="209">
        <v>0</v>
      </c>
      <c r="AA17" s="207"/>
      <c r="AB17" s="206"/>
      <c r="AC17" s="210"/>
      <c r="AD17" s="211">
        <v>1</v>
      </c>
      <c r="AE17" s="213">
        <v>1</v>
      </c>
      <c r="AF17" s="190"/>
      <c r="AG17" s="191" t="str">
        <f>"     " &amp; TEXT(AE17,"#0.00%") &amp; " " &amp; "Service Launch" &amp; " " &amp; IF(P17="","",TEXT(P17,"M/D-")) &amp; IF(Q17="","",TEXT(Q17,"M/D")) &amp; " "</f>
        <v xml:space="preserve">     100.00% Service Launch 6/9-6/9 </v>
      </c>
      <c r="AH17" s="191"/>
      <c r="AI17" s="191"/>
      <c r="AJ17" s="191"/>
      <c r="AK17" s="191"/>
      <c r="AL17" s="191"/>
      <c r="AM17" s="191"/>
      <c r="AN17" s="191"/>
      <c r="AO17" s="191"/>
      <c r="AP17" s="191"/>
      <c r="AQ17" s="191"/>
      <c r="AR17" s="191"/>
      <c r="AS17" s="191"/>
      <c r="AT17" s="191"/>
      <c r="AU17" s="191"/>
      <c r="AV17" s="191"/>
      <c r="AW17" s="191"/>
      <c r="AX17" s="191"/>
      <c r="AY17" s="191"/>
    </row>
    <row r="18" spans="1:51" ht="12" customHeight="1" outlineLevel="1">
      <c r="A18" s="203"/>
      <c r="B18" s="203"/>
      <c r="C18" s="203">
        <v>0</v>
      </c>
      <c r="D18" s="216"/>
      <c r="E18" s="297"/>
      <c r="F18" s="297"/>
      <c r="G18" s="204"/>
      <c r="H18" s="204"/>
      <c r="I18" s="204"/>
      <c r="J18" s="204"/>
      <c r="K18" s="204"/>
      <c r="L18" s="204"/>
      <c r="M18" s="204"/>
      <c r="N18" s="204"/>
      <c r="O18" s="204"/>
      <c r="P18" s="205"/>
      <c r="Q18" s="205"/>
      <c r="R18" s="206"/>
      <c r="S18" s="207"/>
      <c r="T18" s="207"/>
      <c r="U18" s="207">
        <v>0</v>
      </c>
      <c r="V18" s="207">
        <v>0</v>
      </c>
      <c r="W18" s="205"/>
      <c r="X18" s="205"/>
      <c r="Y18" s="208"/>
      <c r="Z18" s="209">
        <v>0</v>
      </c>
      <c r="AA18" s="207"/>
      <c r="AB18" s="206"/>
      <c r="AC18" s="210"/>
      <c r="AD18" s="211"/>
      <c r="AE18" s="218"/>
      <c r="AF18" s="190"/>
      <c r="AG18" s="191"/>
      <c r="AH18" s="191"/>
      <c r="AI18" s="191"/>
      <c r="AJ18" s="191"/>
      <c r="AK18" s="191"/>
      <c r="AL18" s="191"/>
      <c r="AM18" s="191"/>
      <c r="AN18" s="191"/>
      <c r="AO18" s="191"/>
      <c r="AP18" s="191"/>
      <c r="AQ18" s="191"/>
      <c r="AR18" s="191"/>
      <c r="AS18" s="191"/>
      <c r="AT18" s="191"/>
      <c r="AU18" s="191"/>
      <c r="AV18" s="191"/>
      <c r="AW18" s="191"/>
      <c r="AX18" s="191"/>
      <c r="AY18" s="191"/>
    </row>
    <row r="19" spans="1:51" ht="12" customHeight="1">
      <c r="A19" s="203"/>
      <c r="B19" s="203" t="s">
        <v>1487</v>
      </c>
      <c r="C19" s="203">
        <v>1</v>
      </c>
      <c r="D19" s="216" t="s">
        <v>1104</v>
      </c>
      <c r="E19" s="297" t="s">
        <v>1605</v>
      </c>
      <c r="F19" s="297"/>
      <c r="G19" s="204"/>
      <c r="H19" s="204"/>
      <c r="I19" s="204"/>
      <c r="J19" s="204"/>
      <c r="K19" s="204"/>
      <c r="L19" s="204"/>
      <c r="M19" s="204"/>
      <c r="N19" s="204"/>
      <c r="O19" s="204"/>
      <c r="P19" s="205">
        <v>45078</v>
      </c>
      <c r="Q19" s="205">
        <v>45089</v>
      </c>
      <c r="R19" s="206"/>
      <c r="S19" s="207">
        <v>4</v>
      </c>
      <c r="T19" s="207">
        <v>2</v>
      </c>
      <c r="U19" s="207">
        <v>8</v>
      </c>
      <c r="V19" s="207">
        <v>7</v>
      </c>
      <c r="W19" s="205"/>
      <c r="X19" s="205"/>
      <c r="Y19" s="208">
        <v>0</v>
      </c>
      <c r="Z19" s="209">
        <v>0</v>
      </c>
      <c r="AA19" s="207"/>
      <c r="AB19" s="206"/>
      <c r="AC19" s="210"/>
      <c r="AD19" s="211">
        <v>0.5</v>
      </c>
      <c r="AE19" s="221">
        <v>0.5</v>
      </c>
      <c r="AF19" s="190"/>
      <c r="AG19" s="191" t="str">
        <f>"  " &amp; TEXT(AE19,"#0.00%") &amp; " " &amp; "[2209-05] Show All Limit in Mobile App" &amp; " " &amp; IF(P19="","",TEXT(P19,"M/D-")) &amp; IF(Q19="","",TEXT(Q19,"M/D")) &amp; " "</f>
        <v xml:space="preserve">  50.00% [2209-05] Show All Limit in Mobile App 6/1-6/12 </v>
      </c>
      <c r="AH19" s="191"/>
      <c r="AI19" s="191"/>
      <c r="AJ19" s="191"/>
      <c r="AK19" s="191"/>
      <c r="AL19" s="191"/>
      <c r="AM19" s="191"/>
      <c r="AN19" s="191"/>
      <c r="AO19" s="191"/>
      <c r="AP19" s="191"/>
      <c r="AQ19" s="191"/>
      <c r="AR19" s="191"/>
      <c r="AS19" s="191"/>
      <c r="AT19" s="191"/>
      <c r="AU19" s="191"/>
      <c r="AV19" s="191"/>
      <c r="AW19" s="191"/>
      <c r="AX19" s="191"/>
      <c r="AY19" s="191"/>
    </row>
    <row r="20" spans="1:51" ht="12" customHeight="1" outlineLevel="1">
      <c r="A20" s="203">
        <v>1</v>
      </c>
      <c r="B20" s="203"/>
      <c r="C20" s="203">
        <v>2</v>
      </c>
      <c r="D20" s="216" t="s">
        <v>1624</v>
      </c>
      <c r="E20" s="297"/>
      <c r="F20" s="297" t="s">
        <v>1604</v>
      </c>
      <c r="G20" s="204"/>
      <c r="H20" s="204"/>
      <c r="I20" s="204"/>
      <c r="J20" s="204"/>
      <c r="K20" s="204"/>
      <c r="L20" s="204"/>
      <c r="M20" s="204"/>
      <c r="N20" s="204"/>
      <c r="O20" s="204"/>
      <c r="P20" s="299">
        <v>45078</v>
      </c>
      <c r="Q20" s="299">
        <v>45082</v>
      </c>
      <c r="R20" s="206"/>
      <c r="S20" s="207">
        <v>0</v>
      </c>
      <c r="T20" s="207">
        <v>0</v>
      </c>
      <c r="U20" s="207">
        <v>3</v>
      </c>
      <c r="V20" s="207">
        <v>3</v>
      </c>
      <c r="W20" s="205"/>
      <c r="X20" s="205"/>
      <c r="Y20" s="208"/>
      <c r="Z20" s="209">
        <v>0</v>
      </c>
      <c r="AA20" s="207"/>
      <c r="AB20" s="206" t="s">
        <v>1691</v>
      </c>
      <c r="AC20" s="210"/>
      <c r="AD20" s="211">
        <v>1</v>
      </c>
      <c r="AE20" s="213">
        <v>1</v>
      </c>
      <c r="AF20" s="190" t="str">
        <f>"       " &amp; TEXT(AE20,"#0.00%") &amp; " " &amp; "Development" &amp; "(Pujan)" &amp; " " &amp; IF(P20="","",TEXT(P20,"M/D-")) &amp; IF(Q20="","",TEXT(Q20,"M/D")) &amp; " "</f>
        <v xml:space="preserve">       100.00% Development(Pujan) 6/1-6/5 </v>
      </c>
      <c r="AG20" s="191"/>
      <c r="AH20" s="191"/>
      <c r="AI20" s="191"/>
      <c r="AJ20" s="191"/>
      <c r="AK20" s="191"/>
      <c r="AL20" s="191"/>
      <c r="AM20" s="191"/>
      <c r="AN20" s="191"/>
      <c r="AO20" s="191"/>
      <c r="AP20" s="191"/>
      <c r="AQ20" s="191"/>
      <c r="AR20" s="191"/>
      <c r="AS20" s="191"/>
      <c r="AT20" s="191"/>
      <c r="AU20" s="191"/>
      <c r="AV20" s="191"/>
      <c r="AW20" s="191"/>
      <c r="AX20" s="191"/>
      <c r="AY20" s="191"/>
    </row>
    <row r="21" spans="1:51" ht="12" customHeight="1" outlineLevel="1">
      <c r="A21" s="203"/>
      <c r="B21" s="203"/>
      <c r="C21" s="203">
        <v>2</v>
      </c>
      <c r="D21" s="216" t="s">
        <v>1625</v>
      </c>
      <c r="E21" s="297"/>
      <c r="F21" s="297" t="s">
        <v>1600</v>
      </c>
      <c r="G21" s="204"/>
      <c r="H21" s="204"/>
      <c r="I21" s="204"/>
      <c r="J21" s="204"/>
      <c r="K21" s="204"/>
      <c r="L21" s="204"/>
      <c r="M21" s="204"/>
      <c r="N21" s="204"/>
      <c r="O21" s="204"/>
      <c r="P21" s="299">
        <v>45086</v>
      </c>
      <c r="Q21" s="299">
        <v>45089</v>
      </c>
      <c r="R21" s="206"/>
      <c r="S21" s="207">
        <v>4</v>
      </c>
      <c r="T21" s="207">
        <v>2</v>
      </c>
      <c r="U21" s="207">
        <v>2</v>
      </c>
      <c r="V21" s="207">
        <v>1</v>
      </c>
      <c r="W21" s="205"/>
      <c r="X21" s="205"/>
      <c r="Y21" s="208"/>
      <c r="Z21" s="209">
        <v>0</v>
      </c>
      <c r="AA21" s="207"/>
      <c r="AB21" s="206" t="s">
        <v>1692</v>
      </c>
      <c r="AC21" s="210"/>
      <c r="AD21" s="211">
        <v>0.5</v>
      </c>
      <c r="AE21" s="213">
        <v>0.5</v>
      </c>
      <c r="AF21" s="190"/>
      <c r="AG21" s="191" t="str">
        <f>"      " &amp; TEXT(AE21,"#0.00%") &amp; " " &amp; "Test in TB" &amp; "(Jasurbek, Thav)" &amp; " " &amp; IF(P21="","",TEXT(P21,"M/D-")) &amp; IF(Q21="","",TEXT(Q21,"M/D")) &amp; " "</f>
        <v xml:space="preserve">      50.00% Test in TB(Jasurbek, Thav) 6/9-6/12 </v>
      </c>
      <c r="AH21" s="191"/>
      <c r="AI21" s="191"/>
      <c r="AJ21" s="191"/>
      <c r="AK21" s="191"/>
      <c r="AL21" s="191"/>
      <c r="AM21" s="191"/>
      <c r="AN21" s="191"/>
      <c r="AO21" s="191"/>
      <c r="AP21" s="191"/>
      <c r="AQ21" s="191"/>
      <c r="AR21" s="191"/>
      <c r="AS21" s="191"/>
      <c r="AT21" s="191"/>
      <c r="AU21" s="191"/>
      <c r="AV21" s="191"/>
      <c r="AW21" s="191"/>
      <c r="AX21" s="191"/>
      <c r="AY21" s="191"/>
    </row>
    <row r="22" spans="1:51" ht="12" customHeight="1" outlineLevel="1">
      <c r="A22" s="203"/>
      <c r="B22" s="203"/>
      <c r="C22" s="203">
        <v>2</v>
      </c>
      <c r="D22" s="216" t="s">
        <v>1626</v>
      </c>
      <c r="E22" s="297"/>
      <c r="F22" s="297" t="s">
        <v>1601</v>
      </c>
      <c r="G22" s="204"/>
      <c r="H22" s="204"/>
      <c r="I22" s="204"/>
      <c r="J22" s="204"/>
      <c r="K22" s="204"/>
      <c r="L22" s="204"/>
      <c r="M22" s="204"/>
      <c r="N22" s="204"/>
      <c r="O22" s="204"/>
      <c r="P22" s="205"/>
      <c r="Q22" s="205"/>
      <c r="R22" s="206"/>
      <c r="S22" s="207">
        <v>0</v>
      </c>
      <c r="T22" s="207">
        <v>0</v>
      </c>
      <c r="U22" s="207">
        <v>0</v>
      </c>
      <c r="V22" s="207">
        <v>0</v>
      </c>
      <c r="W22" s="205"/>
      <c r="X22" s="205"/>
      <c r="Y22" s="208">
        <v>0</v>
      </c>
      <c r="Z22" s="209">
        <v>0</v>
      </c>
      <c r="AA22" s="207"/>
      <c r="AB22" s="206"/>
      <c r="AC22" s="210"/>
      <c r="AD22" s="211">
        <v>0</v>
      </c>
      <c r="AE22" s="218">
        <v>0</v>
      </c>
      <c r="AF22" s="190"/>
      <c r="AG22" s="191"/>
      <c r="AH22" s="191"/>
      <c r="AI22" s="191"/>
      <c r="AJ22" s="191"/>
      <c r="AK22" s="191"/>
      <c r="AL22" s="191"/>
      <c r="AM22" s="191"/>
      <c r="AN22" s="191"/>
      <c r="AO22" s="191"/>
      <c r="AP22" s="191"/>
      <c r="AQ22" s="191"/>
      <c r="AR22" s="191"/>
      <c r="AS22" s="191"/>
      <c r="AT22" s="191"/>
      <c r="AU22" s="191"/>
      <c r="AV22" s="191"/>
      <c r="AW22" s="191"/>
      <c r="AX22" s="191"/>
      <c r="AY22" s="191"/>
    </row>
    <row r="23" spans="1:51" ht="12" customHeight="1" outlineLevel="1">
      <c r="A23" s="203"/>
      <c r="B23" s="203"/>
      <c r="C23" s="203">
        <v>2</v>
      </c>
      <c r="D23" s="216" t="s">
        <v>1627</v>
      </c>
      <c r="E23" s="297"/>
      <c r="F23" s="297" t="s">
        <v>1602</v>
      </c>
      <c r="G23" s="204"/>
      <c r="H23" s="204"/>
      <c r="I23" s="204"/>
      <c r="J23" s="204"/>
      <c r="K23" s="204"/>
      <c r="L23" s="204"/>
      <c r="M23" s="204"/>
      <c r="N23" s="204"/>
      <c r="O23" s="204"/>
      <c r="P23" s="205"/>
      <c r="Q23" s="205"/>
      <c r="R23" s="206"/>
      <c r="S23" s="207">
        <v>0</v>
      </c>
      <c r="T23" s="207">
        <v>0</v>
      </c>
      <c r="U23" s="207">
        <v>0</v>
      </c>
      <c r="V23" s="207">
        <v>0</v>
      </c>
      <c r="W23" s="205"/>
      <c r="X23" s="205"/>
      <c r="Y23" s="208">
        <v>0</v>
      </c>
      <c r="Z23" s="209">
        <v>0</v>
      </c>
      <c r="AA23" s="207"/>
      <c r="AB23" s="206"/>
      <c r="AC23" s="210"/>
      <c r="AD23" s="211">
        <v>0</v>
      </c>
      <c r="AE23" s="218">
        <v>0</v>
      </c>
      <c r="AF23" s="190"/>
      <c r="AG23" s="191"/>
      <c r="AH23" s="191"/>
      <c r="AI23" s="191"/>
      <c r="AJ23" s="191"/>
      <c r="AK23" s="191"/>
      <c r="AL23" s="191"/>
      <c r="AM23" s="191"/>
      <c r="AN23" s="191"/>
      <c r="AO23" s="191"/>
      <c r="AP23" s="191"/>
      <c r="AQ23" s="191"/>
      <c r="AR23" s="191"/>
      <c r="AS23" s="191"/>
      <c r="AT23" s="191"/>
      <c r="AU23" s="191"/>
      <c r="AV23" s="191"/>
      <c r="AW23" s="191"/>
      <c r="AX23" s="191"/>
      <c r="AY23" s="191"/>
    </row>
    <row r="24" spans="1:51" ht="12" customHeight="1" outlineLevel="1">
      <c r="A24" s="203"/>
      <c r="B24" s="203"/>
      <c r="C24" s="203">
        <v>0</v>
      </c>
      <c r="D24" s="216"/>
      <c r="E24" s="297"/>
      <c r="F24" s="297"/>
      <c r="G24" s="204"/>
      <c r="H24" s="204"/>
      <c r="I24" s="204"/>
      <c r="J24" s="204"/>
      <c r="K24" s="204"/>
      <c r="L24" s="204"/>
      <c r="M24" s="204"/>
      <c r="N24" s="204"/>
      <c r="O24" s="204"/>
      <c r="P24" s="205"/>
      <c r="Q24" s="205"/>
      <c r="R24" s="206"/>
      <c r="S24" s="207"/>
      <c r="T24" s="207"/>
      <c r="U24" s="207">
        <v>0</v>
      </c>
      <c r="V24" s="207">
        <v>0</v>
      </c>
      <c r="W24" s="205"/>
      <c r="X24" s="205"/>
      <c r="Y24" s="208"/>
      <c r="Z24" s="209">
        <v>0</v>
      </c>
      <c r="AA24" s="207"/>
      <c r="AB24" s="206"/>
      <c r="AC24" s="210"/>
      <c r="AD24" s="211"/>
      <c r="AE24" s="218"/>
      <c r="AF24" s="190"/>
      <c r="AG24" s="191"/>
      <c r="AH24" s="191"/>
      <c r="AI24" s="191"/>
      <c r="AJ24" s="191"/>
      <c r="AK24" s="191"/>
      <c r="AL24" s="191"/>
      <c r="AM24" s="191"/>
      <c r="AN24" s="191"/>
      <c r="AO24" s="191"/>
      <c r="AP24" s="191"/>
      <c r="AQ24" s="191"/>
      <c r="AR24" s="191"/>
      <c r="AS24" s="191"/>
      <c r="AT24" s="191"/>
      <c r="AU24" s="191"/>
      <c r="AV24" s="191"/>
      <c r="AW24" s="191"/>
      <c r="AX24" s="191"/>
      <c r="AY24" s="191"/>
    </row>
    <row r="25" spans="1:51" ht="12" customHeight="1">
      <c r="A25" s="203"/>
      <c r="B25" s="203" t="s">
        <v>1487</v>
      </c>
      <c r="C25" s="203">
        <v>1</v>
      </c>
      <c r="D25" s="216" t="s">
        <v>1105</v>
      </c>
      <c r="E25" s="297" t="s">
        <v>1606</v>
      </c>
      <c r="F25" s="297"/>
      <c r="G25" s="204"/>
      <c r="H25" s="204"/>
      <c r="I25" s="204"/>
      <c r="J25" s="204"/>
      <c r="K25" s="204"/>
      <c r="L25" s="204"/>
      <c r="M25" s="204"/>
      <c r="N25" s="204"/>
      <c r="O25" s="204"/>
      <c r="P25" s="205">
        <v>45078</v>
      </c>
      <c r="Q25" s="205">
        <v>45097</v>
      </c>
      <c r="R25" s="206"/>
      <c r="S25" s="207">
        <v>22</v>
      </c>
      <c r="T25" s="207">
        <v>16</v>
      </c>
      <c r="U25" s="207">
        <v>14</v>
      </c>
      <c r="V25" s="207">
        <v>7</v>
      </c>
      <c r="W25" s="205"/>
      <c r="X25" s="205"/>
      <c r="Y25" s="208">
        <v>0</v>
      </c>
      <c r="Z25" s="209">
        <v>0</v>
      </c>
      <c r="AA25" s="207"/>
      <c r="AB25" s="206"/>
      <c r="AC25" s="210"/>
      <c r="AD25" s="211">
        <v>0.72727272727272729</v>
      </c>
      <c r="AE25" s="215">
        <v>0.69090909090909092</v>
      </c>
      <c r="AF25" s="190"/>
      <c r="AG25" s="191"/>
      <c r="AH25" s="191" t="str">
        <f>"   " &amp; TEXT(AE25,"#0.00%") &amp; " " &amp; "[2207-01] KFTC Self Certification" &amp; " " &amp; IF(P25="","",TEXT(P25,"M/D-")) &amp; IF(Q25="","",TEXT(Q25,"M/D")) &amp; " "</f>
        <v xml:space="preserve">   69.09% [2207-01] KFTC Self Certification 6/1-6/20 </v>
      </c>
      <c r="AI25" s="191"/>
      <c r="AJ25" s="191"/>
      <c r="AK25" s="191"/>
      <c r="AL25" s="191"/>
      <c r="AM25" s="191"/>
      <c r="AN25" s="191"/>
      <c r="AO25" s="191"/>
      <c r="AP25" s="191"/>
      <c r="AQ25" s="191"/>
      <c r="AR25" s="191"/>
      <c r="AS25" s="191"/>
      <c r="AT25" s="191"/>
      <c r="AU25" s="191"/>
      <c r="AV25" s="191"/>
      <c r="AW25" s="191"/>
      <c r="AX25" s="191"/>
      <c r="AY25" s="191"/>
    </row>
    <row r="26" spans="1:51" ht="12" customHeight="1" outlineLevel="1">
      <c r="A26" s="203"/>
      <c r="B26" s="203"/>
      <c r="C26" s="203">
        <v>2</v>
      </c>
      <c r="D26" s="216" t="s">
        <v>1628</v>
      </c>
      <c r="E26" s="297"/>
      <c r="F26" s="297" t="s">
        <v>1597</v>
      </c>
      <c r="G26" s="204"/>
      <c r="H26" s="204"/>
      <c r="I26" s="204"/>
      <c r="J26" s="204"/>
      <c r="K26" s="204"/>
      <c r="L26" s="204"/>
      <c r="M26" s="204"/>
      <c r="N26" s="204"/>
      <c r="O26" s="204"/>
      <c r="P26" s="299">
        <v>45078</v>
      </c>
      <c r="Q26" s="299">
        <v>45079</v>
      </c>
      <c r="R26" s="206"/>
      <c r="S26" s="207">
        <v>2</v>
      </c>
      <c r="T26" s="207">
        <v>2</v>
      </c>
      <c r="U26" s="207">
        <v>2</v>
      </c>
      <c r="V26" s="207">
        <v>2</v>
      </c>
      <c r="W26" s="205"/>
      <c r="X26" s="205"/>
      <c r="Y26" s="208"/>
      <c r="Z26" s="209">
        <v>0</v>
      </c>
      <c r="AA26" s="207"/>
      <c r="AB26" s="206" t="s">
        <v>1693</v>
      </c>
      <c r="AC26" s="210"/>
      <c r="AD26" s="211">
        <v>1</v>
      </c>
      <c r="AE26" s="214">
        <v>0.95</v>
      </c>
      <c r="AF26" s="190" t="str">
        <f>"     " &amp; TEXT(AE26,"#0.00%") &amp; " " &amp; "Server" &amp; "(JY)" &amp; " " &amp; IF(P26="","",TEXT(P26,"M/D-")) &amp; IF(Q26="","",TEXT(Q26,"M/D")) &amp; " "</f>
        <v xml:space="preserve">     95.00% Server(JY) 6/1-6/2 </v>
      </c>
      <c r="AG26" s="191"/>
      <c r="AH26" s="191"/>
      <c r="AI26" s="191"/>
      <c r="AJ26" s="191"/>
      <c r="AK26" s="191"/>
      <c r="AL26" s="191"/>
      <c r="AM26" s="191"/>
      <c r="AN26" s="191"/>
      <c r="AO26" s="191"/>
      <c r="AP26" s="191"/>
      <c r="AQ26" s="191"/>
      <c r="AR26" s="191"/>
      <c r="AS26" s="191"/>
      <c r="AT26" s="191"/>
      <c r="AU26" s="191"/>
      <c r="AV26" s="191"/>
      <c r="AW26" s="191"/>
      <c r="AX26" s="191"/>
      <c r="AY26" s="191"/>
    </row>
    <row r="27" spans="1:51" ht="12" customHeight="1" outlineLevel="1">
      <c r="A27" s="203"/>
      <c r="B27" s="203"/>
      <c r="C27" s="203">
        <v>2</v>
      </c>
      <c r="D27" s="216" t="s">
        <v>1629</v>
      </c>
      <c r="E27" s="297"/>
      <c r="F27" s="297" t="s">
        <v>1598</v>
      </c>
      <c r="G27" s="204"/>
      <c r="H27" s="204"/>
      <c r="I27" s="204"/>
      <c r="J27" s="204"/>
      <c r="K27" s="204"/>
      <c r="L27" s="204"/>
      <c r="M27" s="204"/>
      <c r="N27" s="204"/>
      <c r="O27" s="204"/>
      <c r="P27" s="299">
        <v>45078</v>
      </c>
      <c r="Q27" s="299">
        <v>45079</v>
      </c>
      <c r="R27" s="206"/>
      <c r="S27" s="207">
        <v>2</v>
      </c>
      <c r="T27" s="207">
        <v>2</v>
      </c>
      <c r="U27" s="207">
        <v>2</v>
      </c>
      <c r="V27" s="207">
        <v>2</v>
      </c>
      <c r="W27" s="205"/>
      <c r="X27" s="205"/>
      <c r="Y27" s="208"/>
      <c r="Z27" s="209">
        <v>0</v>
      </c>
      <c r="AA27" s="207"/>
      <c r="AB27" s="206" t="s">
        <v>1685</v>
      </c>
      <c r="AC27" s="210"/>
      <c r="AD27" s="211">
        <v>1</v>
      </c>
      <c r="AE27" s="214">
        <v>0.95</v>
      </c>
      <c r="AF27" s="190" t="str">
        <f>"     " &amp; TEXT(AE27,"#0.00%") &amp; " " &amp; "iOS" &amp; "(Manish)" &amp; " " &amp; IF(P27="","",TEXT(P27,"M/D-")) &amp; IF(Q27="","",TEXT(Q27,"M/D")) &amp; " "</f>
        <v xml:space="preserve">     95.00% iOS(Manish) 6/1-6/2 </v>
      </c>
      <c r="AG27" s="191"/>
      <c r="AH27" s="191"/>
      <c r="AI27" s="191"/>
      <c r="AJ27" s="191"/>
      <c r="AK27" s="191"/>
      <c r="AL27" s="191"/>
      <c r="AM27" s="191"/>
      <c r="AN27" s="191"/>
      <c r="AO27" s="191"/>
      <c r="AP27" s="191"/>
      <c r="AQ27" s="191"/>
      <c r="AR27" s="191"/>
      <c r="AS27" s="191"/>
      <c r="AT27" s="191"/>
      <c r="AU27" s="191"/>
      <c r="AV27" s="191"/>
      <c r="AW27" s="191"/>
      <c r="AX27" s="191"/>
      <c r="AY27" s="191"/>
    </row>
    <row r="28" spans="1:51" ht="12" customHeight="1" outlineLevel="1">
      <c r="A28" s="203"/>
      <c r="B28" s="203"/>
      <c r="C28" s="203">
        <v>2</v>
      </c>
      <c r="D28" s="216" t="s">
        <v>1630</v>
      </c>
      <c r="E28" s="297"/>
      <c r="F28" s="297" t="s">
        <v>1599</v>
      </c>
      <c r="G28" s="204"/>
      <c r="H28" s="204"/>
      <c r="I28" s="204"/>
      <c r="J28" s="204"/>
      <c r="K28" s="204"/>
      <c r="L28" s="204"/>
      <c r="M28" s="204"/>
      <c r="N28" s="204"/>
      <c r="O28" s="204"/>
      <c r="P28" s="299">
        <v>45078</v>
      </c>
      <c r="Q28" s="299">
        <v>45079</v>
      </c>
      <c r="R28" s="206"/>
      <c r="S28" s="207">
        <v>2</v>
      </c>
      <c r="T28" s="207">
        <v>2</v>
      </c>
      <c r="U28" s="207">
        <v>2</v>
      </c>
      <c r="V28" s="207">
        <v>2</v>
      </c>
      <c r="W28" s="205"/>
      <c r="X28" s="205"/>
      <c r="Y28" s="208"/>
      <c r="Z28" s="209">
        <v>0</v>
      </c>
      <c r="AA28" s="207"/>
      <c r="AB28" s="206" t="s">
        <v>1686</v>
      </c>
      <c r="AC28" s="210"/>
      <c r="AD28" s="211">
        <v>1</v>
      </c>
      <c r="AE28" s="214">
        <v>0.95</v>
      </c>
      <c r="AF28" s="190" t="str">
        <f>"     " &amp; TEXT(AE28,"#0.00%") &amp; " " &amp; "Android" &amp; "(Sujan)" &amp; " " &amp; IF(P28="","",TEXT(P28,"M/D-")) &amp; IF(Q28="","",TEXT(Q28,"M/D")) &amp; " "</f>
        <v xml:space="preserve">     95.00% Android(Sujan) 6/1-6/2 </v>
      </c>
      <c r="AG28" s="191"/>
      <c r="AH28" s="191"/>
      <c r="AI28" s="191"/>
      <c r="AJ28" s="191"/>
      <c r="AK28" s="191"/>
      <c r="AL28" s="191"/>
      <c r="AM28" s="191"/>
      <c r="AN28" s="191"/>
      <c r="AO28" s="191"/>
      <c r="AP28" s="191"/>
      <c r="AQ28" s="191"/>
      <c r="AR28" s="191"/>
      <c r="AS28" s="191"/>
      <c r="AT28" s="191"/>
      <c r="AU28" s="191"/>
      <c r="AV28" s="191"/>
      <c r="AW28" s="191"/>
      <c r="AX28" s="191"/>
      <c r="AY28" s="191"/>
    </row>
    <row r="29" spans="1:51" ht="12" customHeight="1" outlineLevel="1">
      <c r="A29" s="203"/>
      <c r="B29" s="203"/>
      <c r="C29" s="203">
        <v>2</v>
      </c>
      <c r="D29" s="216" t="s">
        <v>1631</v>
      </c>
      <c r="E29" s="297"/>
      <c r="F29" s="297" t="s">
        <v>1600</v>
      </c>
      <c r="G29" s="204"/>
      <c r="H29" s="204"/>
      <c r="I29" s="204"/>
      <c r="J29" s="204"/>
      <c r="K29" s="204"/>
      <c r="L29" s="204"/>
      <c r="M29" s="204"/>
      <c r="N29" s="204"/>
      <c r="O29" s="204"/>
      <c r="P29" s="299">
        <v>45082</v>
      </c>
      <c r="Q29" s="299">
        <v>45086</v>
      </c>
      <c r="R29" s="206"/>
      <c r="S29" s="207">
        <v>10</v>
      </c>
      <c r="T29" s="207">
        <v>10</v>
      </c>
      <c r="U29" s="207">
        <v>5</v>
      </c>
      <c r="V29" s="207">
        <v>5</v>
      </c>
      <c r="W29" s="205"/>
      <c r="X29" s="205"/>
      <c r="Y29" s="208"/>
      <c r="Z29" s="209">
        <v>0</v>
      </c>
      <c r="AA29" s="207"/>
      <c r="AB29" s="206" t="s">
        <v>1694</v>
      </c>
      <c r="AC29" s="210"/>
      <c r="AD29" s="211">
        <v>1</v>
      </c>
      <c r="AE29" s="214">
        <v>0.95</v>
      </c>
      <c r="AF29" s="190"/>
      <c r="AG29" s="191" t="str">
        <f>"     " &amp; TEXT(AE29,"#0.00%") &amp; " " &amp; "Test in TB" &amp; "(Pheaktra, Jasurbek)" &amp; " " &amp; IF(P29="","",TEXT(P29,"M/D-")) &amp; IF(Q29="","",TEXT(Q29,"M/D")) &amp; " "</f>
        <v xml:space="preserve">     95.00% Test in TB(Pheaktra, Jasurbek) 6/5-6/9 </v>
      </c>
      <c r="AH29" s="191"/>
      <c r="AI29" s="191"/>
      <c r="AJ29" s="191"/>
      <c r="AK29" s="191"/>
      <c r="AL29" s="191"/>
      <c r="AM29" s="191"/>
      <c r="AN29" s="191"/>
      <c r="AO29" s="191"/>
      <c r="AP29" s="191"/>
      <c r="AQ29" s="191"/>
      <c r="AR29" s="191"/>
      <c r="AS29" s="191"/>
      <c r="AT29" s="191"/>
      <c r="AU29" s="191"/>
      <c r="AV29" s="191"/>
      <c r="AW29" s="191"/>
      <c r="AX29" s="191"/>
      <c r="AY29" s="191"/>
    </row>
    <row r="30" spans="1:51" ht="12" customHeight="1" outlineLevel="1">
      <c r="A30" s="203"/>
      <c r="B30" s="203"/>
      <c r="C30" s="203">
        <v>2</v>
      </c>
      <c r="D30" s="216" t="s">
        <v>1632</v>
      </c>
      <c r="E30" s="297"/>
      <c r="F30" s="297" t="s">
        <v>1601</v>
      </c>
      <c r="G30" s="204"/>
      <c r="H30" s="204"/>
      <c r="I30" s="204"/>
      <c r="J30" s="204"/>
      <c r="K30" s="204"/>
      <c r="L30" s="204"/>
      <c r="M30" s="204"/>
      <c r="N30" s="204"/>
      <c r="O30" s="204"/>
      <c r="P30" s="299">
        <v>45089</v>
      </c>
      <c r="Q30" s="299">
        <v>45093</v>
      </c>
      <c r="R30" s="206"/>
      <c r="S30" s="207">
        <v>5</v>
      </c>
      <c r="T30" s="207">
        <v>0</v>
      </c>
      <c r="U30" s="207">
        <v>5</v>
      </c>
      <c r="V30" s="207">
        <v>0</v>
      </c>
      <c r="W30" s="205"/>
      <c r="X30" s="205"/>
      <c r="Y30" s="208"/>
      <c r="Z30" s="209">
        <v>0</v>
      </c>
      <c r="AA30" s="207"/>
      <c r="AB30" s="206"/>
      <c r="AC30" s="210"/>
      <c r="AD30" s="211">
        <v>0</v>
      </c>
      <c r="AE30" s="213">
        <v>0</v>
      </c>
      <c r="AF30" s="190"/>
      <c r="AG30" s="191"/>
      <c r="AH30" s="191" t="str">
        <f>"" &amp; TEXT(AE30,"#0.00%") &amp; " " &amp; "Test in Live" &amp; " " &amp; IF(P30="","",TEXT(P30,"M/D-")) &amp; IF(Q30="","",TEXT(Q30,"M/D")) &amp; " "</f>
        <v xml:space="preserve">0.00% Test in Live 6/12-6/16 </v>
      </c>
      <c r="AI30" s="191"/>
      <c r="AJ30" s="191"/>
      <c r="AK30" s="191"/>
      <c r="AL30" s="191"/>
      <c r="AM30" s="191"/>
      <c r="AN30" s="191"/>
      <c r="AO30" s="191"/>
      <c r="AP30" s="191"/>
      <c r="AQ30" s="191"/>
      <c r="AR30" s="191"/>
      <c r="AS30" s="191"/>
      <c r="AT30" s="191"/>
      <c r="AU30" s="191"/>
      <c r="AV30" s="191"/>
      <c r="AW30" s="191"/>
      <c r="AX30" s="191"/>
      <c r="AY30" s="191"/>
    </row>
    <row r="31" spans="1:51" ht="12" customHeight="1" outlineLevel="1">
      <c r="A31" s="203"/>
      <c r="B31" s="203"/>
      <c r="C31" s="203">
        <v>2</v>
      </c>
      <c r="D31" s="216" t="s">
        <v>1633</v>
      </c>
      <c r="E31" s="298"/>
      <c r="F31" s="297" t="s">
        <v>1602</v>
      </c>
      <c r="G31" s="204"/>
      <c r="H31" s="204"/>
      <c r="I31" s="204"/>
      <c r="J31" s="204"/>
      <c r="K31" s="204"/>
      <c r="L31" s="204"/>
      <c r="M31" s="204"/>
      <c r="N31" s="204"/>
      <c r="O31" s="204"/>
      <c r="P31" s="299">
        <v>45097</v>
      </c>
      <c r="Q31" s="299">
        <v>45097</v>
      </c>
      <c r="R31" s="206"/>
      <c r="S31" s="207">
        <v>1</v>
      </c>
      <c r="T31" s="207">
        <v>0</v>
      </c>
      <c r="U31" s="207">
        <v>1</v>
      </c>
      <c r="V31" s="207">
        <v>0</v>
      </c>
      <c r="W31" s="205"/>
      <c r="X31" s="205"/>
      <c r="Y31" s="208"/>
      <c r="Z31" s="209">
        <v>0</v>
      </c>
      <c r="AA31" s="207"/>
      <c r="AB31" s="206"/>
      <c r="AC31" s="210"/>
      <c r="AD31" s="211">
        <v>0</v>
      </c>
      <c r="AE31" s="213">
        <v>0</v>
      </c>
      <c r="AF31" s="190"/>
      <c r="AG31" s="191"/>
      <c r="AH31" s="191"/>
      <c r="AI31" s="191" t="str">
        <f>" " &amp; TEXT(AE31,"#0.00%") &amp; " " &amp; "Service Launch" &amp; " " &amp; IF(P31="","",TEXT(P31,"M/D-")) &amp; IF(Q31="","",TEXT(Q31,"M/D")) &amp; " "</f>
        <v xml:space="preserve"> 0.00% Service Launch 6/20-6/20 </v>
      </c>
      <c r="AJ31" s="191"/>
      <c r="AK31" s="191"/>
      <c r="AL31" s="191"/>
      <c r="AM31" s="191"/>
      <c r="AN31" s="191"/>
      <c r="AO31" s="191"/>
      <c r="AP31" s="191"/>
      <c r="AQ31" s="191"/>
      <c r="AR31" s="191"/>
      <c r="AS31" s="191"/>
      <c r="AT31" s="191"/>
      <c r="AU31" s="191"/>
      <c r="AV31" s="191"/>
      <c r="AW31" s="191"/>
      <c r="AX31" s="191"/>
      <c r="AY31" s="191"/>
    </row>
    <row r="32" spans="1:51" ht="12" customHeight="1" outlineLevel="1">
      <c r="A32" s="203"/>
      <c r="B32" s="203"/>
      <c r="C32" s="203">
        <v>0</v>
      </c>
      <c r="D32" s="216"/>
      <c r="E32" s="297"/>
      <c r="F32" s="297"/>
      <c r="G32" s="204"/>
      <c r="H32" s="204"/>
      <c r="I32" s="204"/>
      <c r="J32" s="204"/>
      <c r="K32" s="204"/>
      <c r="L32" s="204"/>
      <c r="M32" s="204"/>
      <c r="N32" s="204"/>
      <c r="O32" s="204"/>
      <c r="P32" s="205"/>
      <c r="Q32" s="205"/>
      <c r="R32" s="206"/>
      <c r="S32" s="207"/>
      <c r="T32" s="207"/>
      <c r="U32" s="207">
        <v>0</v>
      </c>
      <c r="V32" s="207">
        <v>0</v>
      </c>
      <c r="W32" s="205"/>
      <c r="X32" s="205"/>
      <c r="Y32" s="208"/>
      <c r="Z32" s="209">
        <v>0</v>
      </c>
      <c r="AA32" s="207"/>
      <c r="AB32" s="206"/>
      <c r="AC32" s="210"/>
      <c r="AD32" s="211"/>
      <c r="AE32" s="218"/>
      <c r="AF32" s="190"/>
      <c r="AG32" s="191"/>
      <c r="AH32" s="191"/>
      <c r="AI32" s="191"/>
      <c r="AJ32" s="191"/>
      <c r="AK32" s="191"/>
      <c r="AL32" s="191"/>
      <c r="AM32" s="191"/>
      <c r="AN32" s="191"/>
      <c r="AO32" s="191"/>
      <c r="AP32" s="191"/>
      <c r="AQ32" s="191"/>
      <c r="AR32" s="191"/>
      <c r="AS32" s="191"/>
      <c r="AT32" s="191"/>
      <c r="AU32" s="191"/>
      <c r="AV32" s="191"/>
      <c r="AW32" s="191"/>
      <c r="AX32" s="191"/>
      <c r="AY32" s="191"/>
    </row>
    <row r="33" spans="1:51" ht="12" customHeight="1">
      <c r="A33" s="203"/>
      <c r="B33" s="203" t="s">
        <v>1487</v>
      </c>
      <c r="C33" s="203">
        <v>1</v>
      </c>
      <c r="D33" s="216" t="s">
        <v>1106</v>
      </c>
      <c r="E33" s="297" t="s">
        <v>1607</v>
      </c>
      <c r="F33" s="297"/>
      <c r="G33" s="204"/>
      <c r="H33" s="204"/>
      <c r="I33" s="204"/>
      <c r="J33" s="204"/>
      <c r="K33" s="204"/>
      <c r="L33" s="204"/>
      <c r="M33" s="204"/>
      <c r="N33" s="204"/>
      <c r="O33" s="204"/>
      <c r="P33" s="205"/>
      <c r="Q33" s="205"/>
      <c r="R33" s="206"/>
      <c r="S33" s="207">
        <v>0</v>
      </c>
      <c r="T33" s="207">
        <v>0</v>
      </c>
      <c r="U33" s="207">
        <v>0</v>
      </c>
      <c r="V33" s="207">
        <v>0</v>
      </c>
      <c r="W33" s="205"/>
      <c r="X33" s="205"/>
      <c r="Y33" s="208">
        <v>0</v>
      </c>
      <c r="Z33" s="209">
        <v>0</v>
      </c>
      <c r="AA33" s="207"/>
      <c r="AB33" s="206"/>
      <c r="AC33" s="210"/>
      <c r="AD33" s="211">
        <v>0</v>
      </c>
      <c r="AE33" s="218">
        <v>0</v>
      </c>
      <c r="AF33" s="190"/>
      <c r="AG33" s="191"/>
      <c r="AH33" s="191"/>
      <c r="AI33" s="191"/>
      <c r="AJ33" s="191"/>
      <c r="AK33" s="191"/>
      <c r="AL33" s="191"/>
      <c r="AM33" s="191"/>
      <c r="AN33" s="191"/>
      <c r="AO33" s="191"/>
      <c r="AP33" s="191"/>
      <c r="AQ33" s="191"/>
      <c r="AR33" s="191"/>
      <c r="AS33" s="191"/>
      <c r="AT33" s="191"/>
      <c r="AU33" s="191"/>
      <c r="AV33" s="191"/>
      <c r="AW33" s="191"/>
      <c r="AX33" s="191"/>
      <c r="AY33" s="191"/>
    </row>
    <row r="34" spans="1:51" ht="12" customHeight="1" outlineLevel="1">
      <c r="A34" s="203"/>
      <c r="B34" s="203"/>
      <c r="C34" s="203">
        <v>2</v>
      </c>
      <c r="D34" s="216" t="s">
        <v>1634</v>
      </c>
      <c r="E34" s="297"/>
      <c r="F34" s="297" t="s">
        <v>1608</v>
      </c>
      <c r="G34" s="204"/>
      <c r="H34" s="204"/>
      <c r="I34" s="204"/>
      <c r="J34" s="204"/>
      <c r="K34" s="204"/>
      <c r="L34" s="204"/>
      <c r="M34" s="204"/>
      <c r="N34" s="204"/>
      <c r="O34" s="204"/>
      <c r="P34" s="205"/>
      <c r="Q34" s="205"/>
      <c r="R34" s="206"/>
      <c r="S34" s="207">
        <v>0</v>
      </c>
      <c r="T34" s="207">
        <v>0</v>
      </c>
      <c r="U34" s="207">
        <v>0</v>
      </c>
      <c r="V34" s="207">
        <v>0</v>
      </c>
      <c r="W34" s="205"/>
      <c r="X34" s="205"/>
      <c r="Y34" s="208">
        <v>0</v>
      </c>
      <c r="Z34" s="209">
        <v>0</v>
      </c>
      <c r="AA34" s="207"/>
      <c r="AB34" s="206"/>
      <c r="AC34" s="210"/>
      <c r="AD34" s="211">
        <v>0</v>
      </c>
      <c r="AE34" s="218">
        <v>0</v>
      </c>
      <c r="AF34" s="190"/>
      <c r="AG34" s="191"/>
      <c r="AH34" s="191"/>
      <c r="AI34" s="191"/>
      <c r="AJ34" s="191"/>
      <c r="AK34" s="191"/>
      <c r="AL34" s="191"/>
      <c r="AM34" s="191"/>
      <c r="AN34" s="191"/>
      <c r="AO34" s="191"/>
      <c r="AP34" s="191"/>
      <c r="AQ34" s="191"/>
      <c r="AR34" s="191"/>
      <c r="AS34" s="191"/>
      <c r="AT34" s="191"/>
      <c r="AU34" s="191"/>
      <c r="AV34" s="191"/>
      <c r="AW34" s="191"/>
      <c r="AX34" s="191"/>
      <c r="AY34" s="191"/>
    </row>
    <row r="35" spans="1:51" ht="12" customHeight="1" outlineLevel="1">
      <c r="A35" s="203"/>
      <c r="B35" s="203"/>
      <c r="C35" s="203">
        <v>2</v>
      </c>
      <c r="D35" s="216" t="s">
        <v>1635</v>
      </c>
      <c r="E35" s="297"/>
      <c r="F35" s="297" t="s">
        <v>1597</v>
      </c>
      <c r="G35" s="204"/>
      <c r="H35" s="204"/>
      <c r="I35" s="204"/>
      <c r="J35" s="204"/>
      <c r="K35" s="204"/>
      <c r="L35" s="204"/>
      <c r="M35" s="204"/>
      <c r="N35" s="204"/>
      <c r="O35" s="204"/>
      <c r="P35" s="205"/>
      <c r="Q35" s="205"/>
      <c r="R35" s="206"/>
      <c r="S35" s="207">
        <v>0</v>
      </c>
      <c r="T35" s="207">
        <v>0</v>
      </c>
      <c r="U35" s="207">
        <v>0</v>
      </c>
      <c r="V35" s="207">
        <v>0</v>
      </c>
      <c r="W35" s="205"/>
      <c r="X35" s="205"/>
      <c r="Y35" s="208">
        <v>0</v>
      </c>
      <c r="Z35" s="209">
        <v>0</v>
      </c>
      <c r="AA35" s="207"/>
      <c r="AB35" s="206"/>
      <c r="AC35" s="210"/>
      <c r="AD35" s="211">
        <v>0</v>
      </c>
      <c r="AE35" s="218">
        <v>0</v>
      </c>
      <c r="AF35" s="190"/>
      <c r="AG35" s="191"/>
      <c r="AH35" s="191"/>
      <c r="AI35" s="191"/>
      <c r="AJ35" s="191"/>
      <c r="AK35" s="191"/>
      <c r="AL35" s="191"/>
      <c r="AM35" s="191"/>
      <c r="AN35" s="191"/>
      <c r="AO35" s="191"/>
      <c r="AP35" s="191"/>
      <c r="AQ35" s="191"/>
      <c r="AR35" s="191"/>
      <c r="AS35" s="191"/>
      <c r="AT35" s="191"/>
      <c r="AU35" s="191"/>
      <c r="AV35" s="191"/>
      <c r="AW35" s="191"/>
      <c r="AX35" s="191"/>
      <c r="AY35" s="191"/>
    </row>
    <row r="36" spans="1:51" ht="12" customHeight="1" outlineLevel="1">
      <c r="A36" s="203"/>
      <c r="B36" s="203"/>
      <c r="C36" s="203">
        <v>2</v>
      </c>
      <c r="D36" s="216" t="s">
        <v>1636</v>
      </c>
      <c r="E36" s="297"/>
      <c r="F36" s="297" t="s">
        <v>1598</v>
      </c>
      <c r="G36" s="204"/>
      <c r="H36" s="204"/>
      <c r="I36" s="204"/>
      <c r="J36" s="204"/>
      <c r="K36" s="204"/>
      <c r="L36" s="204"/>
      <c r="M36" s="204"/>
      <c r="N36" s="204"/>
      <c r="O36" s="204"/>
      <c r="P36" s="205"/>
      <c r="Q36" s="205"/>
      <c r="R36" s="206"/>
      <c r="S36" s="207">
        <v>0</v>
      </c>
      <c r="T36" s="207">
        <v>0</v>
      </c>
      <c r="U36" s="207">
        <v>0</v>
      </c>
      <c r="V36" s="207">
        <v>0</v>
      </c>
      <c r="W36" s="205"/>
      <c r="X36" s="205"/>
      <c r="Y36" s="208">
        <v>0</v>
      </c>
      <c r="Z36" s="209">
        <v>0</v>
      </c>
      <c r="AA36" s="207"/>
      <c r="AB36" s="206"/>
      <c r="AC36" s="210"/>
      <c r="AD36" s="211">
        <v>0</v>
      </c>
      <c r="AE36" s="218">
        <v>0</v>
      </c>
      <c r="AF36" s="190"/>
      <c r="AG36" s="191"/>
      <c r="AH36" s="191"/>
      <c r="AI36" s="191"/>
      <c r="AJ36" s="191"/>
      <c r="AK36" s="191"/>
      <c r="AL36" s="191"/>
      <c r="AM36" s="191"/>
      <c r="AN36" s="191"/>
      <c r="AO36" s="191"/>
      <c r="AP36" s="191"/>
      <c r="AQ36" s="191"/>
      <c r="AR36" s="191"/>
      <c r="AS36" s="191"/>
      <c r="AT36" s="191"/>
      <c r="AU36" s="191"/>
      <c r="AV36" s="191"/>
      <c r="AW36" s="191"/>
      <c r="AX36" s="191"/>
      <c r="AY36" s="191"/>
    </row>
    <row r="37" spans="1:51" ht="12" customHeight="1" outlineLevel="1">
      <c r="A37" s="203"/>
      <c r="B37" s="203"/>
      <c r="C37" s="203">
        <v>2</v>
      </c>
      <c r="D37" s="216" t="s">
        <v>1637</v>
      </c>
      <c r="E37" s="297"/>
      <c r="F37" s="297" t="s">
        <v>1599</v>
      </c>
      <c r="G37" s="204"/>
      <c r="H37" s="204"/>
      <c r="I37" s="204"/>
      <c r="J37" s="204"/>
      <c r="K37" s="204"/>
      <c r="L37" s="204"/>
      <c r="M37" s="204"/>
      <c r="N37" s="204"/>
      <c r="O37" s="204"/>
      <c r="P37" s="205"/>
      <c r="Q37" s="205"/>
      <c r="R37" s="206"/>
      <c r="S37" s="207">
        <v>0</v>
      </c>
      <c r="T37" s="207">
        <v>0</v>
      </c>
      <c r="U37" s="207">
        <v>0</v>
      </c>
      <c r="V37" s="207">
        <v>0</v>
      </c>
      <c r="W37" s="205"/>
      <c r="X37" s="205"/>
      <c r="Y37" s="208">
        <v>0</v>
      </c>
      <c r="Z37" s="209">
        <v>0</v>
      </c>
      <c r="AA37" s="207"/>
      <c r="AB37" s="206"/>
      <c r="AC37" s="210"/>
      <c r="AD37" s="211">
        <v>0</v>
      </c>
      <c r="AE37" s="218">
        <v>0</v>
      </c>
      <c r="AF37" s="190"/>
      <c r="AG37" s="191"/>
      <c r="AH37" s="191"/>
      <c r="AI37" s="191"/>
      <c r="AJ37" s="191"/>
      <c r="AK37" s="191"/>
      <c r="AL37" s="191"/>
      <c r="AM37" s="191"/>
      <c r="AN37" s="191"/>
      <c r="AO37" s="191"/>
      <c r="AP37" s="191"/>
      <c r="AQ37" s="191"/>
      <c r="AR37" s="191"/>
      <c r="AS37" s="191"/>
      <c r="AT37" s="191"/>
      <c r="AU37" s="191"/>
      <c r="AV37" s="191"/>
      <c r="AW37" s="191"/>
      <c r="AX37" s="191"/>
      <c r="AY37" s="191"/>
    </row>
    <row r="38" spans="1:51" ht="12" customHeight="1" outlineLevel="1">
      <c r="A38" s="203"/>
      <c r="B38" s="203"/>
      <c r="C38" s="203">
        <v>2</v>
      </c>
      <c r="D38" s="216" t="s">
        <v>1638</v>
      </c>
      <c r="E38" s="297"/>
      <c r="F38" s="297" t="s">
        <v>1600</v>
      </c>
      <c r="G38" s="204"/>
      <c r="H38" s="204"/>
      <c r="I38" s="204"/>
      <c r="J38" s="204"/>
      <c r="K38" s="204"/>
      <c r="L38" s="204"/>
      <c r="M38" s="204"/>
      <c r="N38" s="204"/>
      <c r="O38" s="204"/>
      <c r="P38" s="205"/>
      <c r="Q38" s="205"/>
      <c r="R38" s="206"/>
      <c r="S38" s="207">
        <v>0</v>
      </c>
      <c r="T38" s="207">
        <v>0</v>
      </c>
      <c r="U38" s="207">
        <v>0</v>
      </c>
      <c r="V38" s="207">
        <v>0</v>
      </c>
      <c r="W38" s="205"/>
      <c r="X38" s="205"/>
      <c r="Y38" s="208">
        <v>0</v>
      </c>
      <c r="Z38" s="209">
        <v>0</v>
      </c>
      <c r="AA38" s="207"/>
      <c r="AB38" s="206"/>
      <c r="AC38" s="210"/>
      <c r="AD38" s="211">
        <v>0</v>
      </c>
      <c r="AE38" s="218">
        <v>0</v>
      </c>
      <c r="AF38" s="190"/>
      <c r="AG38" s="191"/>
      <c r="AH38" s="191"/>
      <c r="AI38" s="191"/>
      <c r="AJ38" s="191"/>
      <c r="AK38" s="191"/>
      <c r="AL38" s="191"/>
      <c r="AM38" s="191"/>
      <c r="AN38" s="191"/>
      <c r="AO38" s="191"/>
      <c r="AP38" s="191"/>
      <c r="AQ38" s="191"/>
      <c r="AR38" s="191"/>
      <c r="AS38" s="191"/>
      <c r="AT38" s="191"/>
      <c r="AU38" s="191"/>
      <c r="AV38" s="191"/>
      <c r="AW38" s="191"/>
      <c r="AX38" s="191"/>
      <c r="AY38" s="191"/>
    </row>
    <row r="39" spans="1:51" ht="12" customHeight="1" outlineLevel="1">
      <c r="A39" s="203"/>
      <c r="B39" s="203"/>
      <c r="C39" s="203">
        <v>2</v>
      </c>
      <c r="D39" s="216" t="s">
        <v>1639</v>
      </c>
      <c r="E39" s="297"/>
      <c r="F39" s="297" t="s">
        <v>1601</v>
      </c>
      <c r="G39" s="204"/>
      <c r="H39" s="204"/>
      <c r="I39" s="204"/>
      <c r="J39" s="204"/>
      <c r="K39" s="204"/>
      <c r="L39" s="204"/>
      <c r="M39" s="204"/>
      <c r="N39" s="204"/>
      <c r="O39" s="204"/>
      <c r="P39" s="205"/>
      <c r="Q39" s="205"/>
      <c r="R39" s="206"/>
      <c r="S39" s="207">
        <v>0</v>
      </c>
      <c r="T39" s="207">
        <v>0</v>
      </c>
      <c r="U39" s="207">
        <v>0</v>
      </c>
      <c r="V39" s="207">
        <v>0</v>
      </c>
      <c r="W39" s="205"/>
      <c r="X39" s="205"/>
      <c r="Y39" s="208">
        <v>0</v>
      </c>
      <c r="Z39" s="209">
        <v>0</v>
      </c>
      <c r="AA39" s="207"/>
      <c r="AB39" s="206"/>
      <c r="AC39" s="210"/>
      <c r="AD39" s="211">
        <v>0</v>
      </c>
      <c r="AE39" s="218">
        <v>0</v>
      </c>
      <c r="AF39" s="190"/>
      <c r="AG39" s="191"/>
      <c r="AH39" s="191"/>
      <c r="AI39" s="191"/>
      <c r="AJ39" s="191"/>
      <c r="AK39" s="191"/>
      <c r="AL39" s="191"/>
      <c r="AM39" s="191"/>
      <c r="AN39" s="191"/>
      <c r="AO39" s="191"/>
      <c r="AP39" s="191"/>
      <c r="AQ39" s="191"/>
      <c r="AR39" s="191"/>
      <c r="AS39" s="191"/>
      <c r="AT39" s="191"/>
      <c r="AU39" s="191"/>
      <c r="AV39" s="191"/>
      <c r="AW39" s="191"/>
      <c r="AX39" s="191"/>
      <c r="AY39" s="191"/>
    </row>
    <row r="40" spans="1:51" ht="12" customHeight="1" outlineLevel="1">
      <c r="A40" s="203"/>
      <c r="B40" s="203"/>
      <c r="C40" s="203">
        <v>2</v>
      </c>
      <c r="D40" s="216" t="s">
        <v>1640</v>
      </c>
      <c r="E40" s="297"/>
      <c r="F40" s="297" t="s">
        <v>1602</v>
      </c>
      <c r="G40" s="204"/>
      <c r="H40" s="204"/>
      <c r="I40" s="204"/>
      <c r="J40" s="204"/>
      <c r="K40" s="204"/>
      <c r="L40" s="204"/>
      <c r="M40" s="204"/>
      <c r="N40" s="204"/>
      <c r="O40" s="204"/>
      <c r="P40" s="205"/>
      <c r="Q40" s="205"/>
      <c r="R40" s="206"/>
      <c r="S40" s="207">
        <v>0</v>
      </c>
      <c r="T40" s="207">
        <v>0</v>
      </c>
      <c r="U40" s="207">
        <v>0</v>
      </c>
      <c r="V40" s="207">
        <v>0</v>
      </c>
      <c r="W40" s="205"/>
      <c r="X40" s="205"/>
      <c r="Y40" s="208">
        <v>0</v>
      </c>
      <c r="Z40" s="209">
        <v>0</v>
      </c>
      <c r="AA40" s="207"/>
      <c r="AB40" s="206"/>
      <c r="AC40" s="210"/>
      <c r="AD40" s="211">
        <v>0</v>
      </c>
      <c r="AE40" s="218">
        <v>0</v>
      </c>
      <c r="AF40" s="190"/>
      <c r="AG40" s="191"/>
      <c r="AH40" s="191"/>
      <c r="AI40" s="191"/>
      <c r="AJ40" s="191"/>
      <c r="AK40" s="191"/>
      <c r="AL40" s="191"/>
      <c r="AM40" s="191"/>
      <c r="AN40" s="191"/>
      <c r="AO40" s="191"/>
      <c r="AP40" s="191"/>
      <c r="AQ40" s="191"/>
      <c r="AR40" s="191"/>
      <c r="AS40" s="191"/>
      <c r="AT40" s="191"/>
      <c r="AU40" s="191"/>
      <c r="AV40" s="191"/>
      <c r="AW40" s="191"/>
      <c r="AX40" s="191"/>
      <c r="AY40" s="191"/>
    </row>
    <row r="41" spans="1:51" ht="12" customHeight="1" outlineLevel="1">
      <c r="A41" s="203"/>
      <c r="B41" s="203"/>
      <c r="C41" s="203">
        <v>0</v>
      </c>
      <c r="D41" s="216"/>
      <c r="E41" s="297"/>
      <c r="F41" s="297"/>
      <c r="G41" s="204"/>
      <c r="H41" s="204"/>
      <c r="I41" s="204"/>
      <c r="J41" s="204"/>
      <c r="K41" s="204"/>
      <c r="L41" s="204"/>
      <c r="M41" s="204"/>
      <c r="N41" s="204"/>
      <c r="O41" s="204"/>
      <c r="P41" s="205"/>
      <c r="Q41" s="205"/>
      <c r="R41" s="206"/>
      <c r="S41" s="207"/>
      <c r="T41" s="207"/>
      <c r="U41" s="207">
        <v>0</v>
      </c>
      <c r="V41" s="207">
        <v>0</v>
      </c>
      <c r="W41" s="205"/>
      <c r="X41" s="205"/>
      <c r="Y41" s="208"/>
      <c r="Z41" s="209">
        <v>0</v>
      </c>
      <c r="AA41" s="207"/>
      <c r="AB41" s="206"/>
      <c r="AC41" s="210"/>
      <c r="AD41" s="211"/>
      <c r="AE41" s="218"/>
      <c r="AF41" s="190"/>
      <c r="AG41" s="191"/>
      <c r="AH41" s="191"/>
      <c r="AI41" s="191"/>
      <c r="AJ41" s="191"/>
      <c r="AK41" s="191"/>
      <c r="AL41" s="191"/>
      <c r="AM41" s="191"/>
      <c r="AN41" s="191"/>
      <c r="AO41" s="191"/>
      <c r="AP41" s="191"/>
      <c r="AQ41" s="191"/>
      <c r="AR41" s="191"/>
      <c r="AS41" s="191"/>
      <c r="AT41" s="191"/>
      <c r="AU41" s="191"/>
      <c r="AV41" s="191"/>
      <c r="AW41" s="191"/>
      <c r="AX41" s="191"/>
      <c r="AY41" s="191"/>
    </row>
    <row r="42" spans="1:51" ht="12" customHeight="1">
      <c r="A42" s="203"/>
      <c r="B42" s="203" t="s">
        <v>1487</v>
      </c>
      <c r="C42" s="203">
        <v>1</v>
      </c>
      <c r="D42" s="216" t="s">
        <v>1107</v>
      </c>
      <c r="E42" s="297" t="s">
        <v>1609</v>
      </c>
      <c r="F42" s="297"/>
      <c r="G42" s="204"/>
      <c r="H42" s="204"/>
      <c r="I42" s="204"/>
      <c r="J42" s="204"/>
      <c r="K42" s="204"/>
      <c r="L42" s="204"/>
      <c r="M42" s="204"/>
      <c r="N42" s="204"/>
      <c r="O42" s="204"/>
      <c r="P42" s="205">
        <v>45089</v>
      </c>
      <c r="Q42" s="205">
        <v>45121</v>
      </c>
      <c r="R42" s="206"/>
      <c r="S42" s="207">
        <v>25</v>
      </c>
      <c r="T42" s="207">
        <v>0</v>
      </c>
      <c r="U42" s="207">
        <v>25</v>
      </c>
      <c r="V42" s="207">
        <v>0</v>
      </c>
      <c r="W42" s="205"/>
      <c r="X42" s="205"/>
      <c r="Y42" s="208">
        <v>0</v>
      </c>
      <c r="Z42" s="209">
        <v>0</v>
      </c>
      <c r="AA42" s="207"/>
      <c r="AB42" s="206"/>
      <c r="AC42" s="210"/>
      <c r="AD42" s="211">
        <v>0</v>
      </c>
      <c r="AE42" s="221">
        <v>0</v>
      </c>
      <c r="AF42" s="190"/>
      <c r="AG42" s="191"/>
      <c r="AH42" s="191" t="str">
        <f>"" &amp; TEXT(AE42,"#0.00%") &amp; " "</f>
        <v xml:space="preserve">0.00% </v>
      </c>
      <c r="AI42" s="191"/>
      <c r="AJ42" s="191"/>
      <c r="AK42" s="191"/>
      <c r="AL42" s="191" t="str">
        <f>"     " &amp; "[2110-18] Zeropay in Mobile App" &amp; " " &amp; IF(P42="","",TEXT(P42,"M/D-")) &amp; IF(Q42="","",TEXT(Q42,"M/D")) &amp; " "</f>
        <v xml:space="preserve">     [2110-18] Zeropay in Mobile App 6/12-7/14 </v>
      </c>
      <c r="AM42" s="191"/>
      <c r="AN42" s="191"/>
      <c r="AO42" s="191"/>
      <c r="AP42" s="191"/>
      <c r="AQ42" s="191"/>
      <c r="AR42" s="191"/>
      <c r="AS42" s="191"/>
      <c r="AT42" s="191"/>
      <c r="AU42" s="191"/>
      <c r="AV42" s="191"/>
      <c r="AW42" s="191"/>
      <c r="AX42" s="191"/>
      <c r="AY42" s="191"/>
    </row>
    <row r="43" spans="1:51" ht="12" customHeight="1" outlineLevel="1">
      <c r="A43" s="203"/>
      <c r="B43" s="203"/>
      <c r="C43" s="203">
        <v>2</v>
      </c>
      <c r="D43" s="216" t="s">
        <v>1641</v>
      </c>
      <c r="E43" s="297"/>
      <c r="F43" s="297" t="s">
        <v>1604</v>
      </c>
      <c r="G43" s="204"/>
      <c r="H43" s="204"/>
      <c r="I43" s="204"/>
      <c r="J43" s="204"/>
      <c r="K43" s="204"/>
      <c r="L43" s="204"/>
      <c r="M43" s="204"/>
      <c r="N43" s="204"/>
      <c r="O43" s="204"/>
      <c r="P43" s="205"/>
      <c r="Q43" s="205"/>
      <c r="R43" s="206"/>
      <c r="S43" s="207">
        <v>0</v>
      </c>
      <c r="T43" s="207">
        <v>0</v>
      </c>
      <c r="U43" s="207">
        <v>0</v>
      </c>
      <c r="V43" s="207">
        <v>0</v>
      </c>
      <c r="W43" s="205"/>
      <c r="X43" s="205"/>
      <c r="Y43" s="208">
        <v>0</v>
      </c>
      <c r="Z43" s="209">
        <v>0</v>
      </c>
      <c r="AA43" s="207"/>
      <c r="AB43" s="206"/>
      <c r="AC43" s="210"/>
      <c r="AD43" s="211">
        <v>0</v>
      </c>
      <c r="AE43" s="218">
        <v>0</v>
      </c>
      <c r="AF43" s="190"/>
      <c r="AG43" s="191"/>
      <c r="AH43" s="191"/>
      <c r="AI43" s="191"/>
      <c r="AJ43" s="191"/>
      <c r="AK43" s="191"/>
      <c r="AL43" s="191"/>
      <c r="AM43" s="191"/>
      <c r="AN43" s="191"/>
      <c r="AO43" s="191"/>
      <c r="AP43" s="191"/>
      <c r="AQ43" s="191"/>
      <c r="AR43" s="191"/>
      <c r="AS43" s="191"/>
      <c r="AT43" s="191"/>
      <c r="AU43" s="191"/>
      <c r="AV43" s="191"/>
      <c r="AW43" s="191"/>
      <c r="AX43" s="191"/>
      <c r="AY43" s="191"/>
    </row>
    <row r="44" spans="1:51" ht="12" customHeight="1" outlineLevel="1">
      <c r="A44" s="203"/>
      <c r="B44" s="203"/>
      <c r="C44" s="203">
        <v>2</v>
      </c>
      <c r="D44" s="216" t="s">
        <v>1642</v>
      </c>
      <c r="E44" s="298"/>
      <c r="F44" s="297" t="s">
        <v>1600</v>
      </c>
      <c r="G44" s="204"/>
      <c r="H44" s="204"/>
      <c r="I44" s="204"/>
      <c r="J44" s="204"/>
      <c r="K44" s="204"/>
      <c r="L44" s="204"/>
      <c r="M44" s="204"/>
      <c r="N44" s="204"/>
      <c r="O44" s="204"/>
      <c r="P44" s="299">
        <v>45089</v>
      </c>
      <c r="Q44" s="299">
        <v>45107</v>
      </c>
      <c r="R44" s="206"/>
      <c r="S44" s="207">
        <v>15</v>
      </c>
      <c r="T44" s="207">
        <v>0</v>
      </c>
      <c r="U44" s="207">
        <v>15</v>
      </c>
      <c r="V44" s="207">
        <v>0</v>
      </c>
      <c r="W44" s="205"/>
      <c r="X44" s="205"/>
      <c r="Y44" s="208"/>
      <c r="Z44" s="209">
        <v>0</v>
      </c>
      <c r="AA44" s="207"/>
      <c r="AB44" s="206"/>
      <c r="AC44" s="210"/>
      <c r="AD44" s="211">
        <v>0</v>
      </c>
      <c r="AE44" s="213">
        <v>0</v>
      </c>
      <c r="AF44" s="190"/>
      <c r="AG44" s="191"/>
      <c r="AH44" s="191" t="str">
        <f>"" &amp; TEXT(AE44,"#0.00%") &amp; " " &amp; "Test in TB" &amp; " " &amp; IF(P44="","",TEXT(P44,"M/D-")) &amp; IF(Q44="","",TEXT(Q44,"M/D")) &amp; " "</f>
        <v xml:space="preserve">0.00% Test in TB 6/12-6/30 </v>
      </c>
      <c r="AI44" s="191"/>
      <c r="AJ44" s="191"/>
      <c r="AK44" s="191"/>
      <c r="AL44" s="191"/>
      <c r="AM44" s="191"/>
      <c r="AN44" s="191"/>
      <c r="AO44" s="191"/>
      <c r="AP44" s="191"/>
      <c r="AQ44" s="191"/>
      <c r="AR44" s="191"/>
      <c r="AS44" s="191"/>
      <c r="AT44" s="191"/>
      <c r="AU44" s="191"/>
      <c r="AV44" s="191"/>
      <c r="AW44" s="191"/>
      <c r="AX44" s="191"/>
      <c r="AY44" s="191"/>
    </row>
    <row r="45" spans="1:51" ht="12" customHeight="1" outlineLevel="1">
      <c r="A45" s="203"/>
      <c r="B45" s="203"/>
      <c r="C45" s="203">
        <v>2</v>
      </c>
      <c r="D45" s="216" t="s">
        <v>1643</v>
      </c>
      <c r="E45" s="297"/>
      <c r="F45" s="297" t="s">
        <v>1601</v>
      </c>
      <c r="G45" s="204"/>
      <c r="H45" s="204"/>
      <c r="I45" s="204"/>
      <c r="J45" s="204"/>
      <c r="K45" s="204"/>
      <c r="L45" s="204"/>
      <c r="M45" s="204"/>
      <c r="N45" s="204"/>
      <c r="O45" s="204"/>
      <c r="P45" s="299">
        <v>45110</v>
      </c>
      <c r="Q45" s="299">
        <v>45114</v>
      </c>
      <c r="R45" s="206"/>
      <c r="S45" s="207">
        <v>5</v>
      </c>
      <c r="T45" s="207">
        <v>0</v>
      </c>
      <c r="U45" s="207">
        <v>5</v>
      </c>
      <c r="V45" s="207">
        <v>0</v>
      </c>
      <c r="W45" s="205"/>
      <c r="X45" s="205"/>
      <c r="Y45" s="208"/>
      <c r="Z45" s="209">
        <v>0</v>
      </c>
      <c r="AA45" s="207"/>
      <c r="AB45" s="206"/>
      <c r="AC45" s="210"/>
      <c r="AD45" s="211">
        <v>0</v>
      </c>
      <c r="AE45" s="213">
        <v>0</v>
      </c>
      <c r="AF45" s="190"/>
      <c r="AG45" s="191"/>
      <c r="AH45" s="191"/>
      <c r="AI45" s="191"/>
      <c r="AJ45" s="191"/>
      <c r="AK45" s="191" t="str">
        <f>"" &amp; TEXT(AE45,"#0.00%") &amp; " " &amp; "Test in Live" &amp; " " &amp; IF(P45="","",TEXT(P45,"M/D-")) &amp; IF(Q45="","",TEXT(Q45,"M/D")) &amp; " "</f>
        <v xml:space="preserve">0.00% Test in Live 7/3-7/7 </v>
      </c>
      <c r="AL45" s="191"/>
      <c r="AM45" s="191"/>
      <c r="AN45" s="191"/>
      <c r="AO45" s="191"/>
      <c r="AP45" s="191"/>
      <c r="AQ45" s="191"/>
      <c r="AR45" s="191"/>
      <c r="AS45" s="191"/>
      <c r="AT45" s="191"/>
      <c r="AU45" s="191"/>
      <c r="AV45" s="191"/>
      <c r="AW45" s="191"/>
      <c r="AX45" s="191"/>
      <c r="AY45" s="191"/>
    </row>
    <row r="46" spans="1:51" ht="12" customHeight="1" outlineLevel="1">
      <c r="A46" s="203"/>
      <c r="B46" s="203"/>
      <c r="C46" s="203">
        <v>2</v>
      </c>
      <c r="D46" s="216" t="s">
        <v>1644</v>
      </c>
      <c r="E46" s="297"/>
      <c r="F46" s="297" t="s">
        <v>1602</v>
      </c>
      <c r="G46" s="204"/>
      <c r="H46" s="204"/>
      <c r="I46" s="204"/>
      <c r="J46" s="204"/>
      <c r="K46" s="204"/>
      <c r="L46" s="204"/>
      <c r="M46" s="204"/>
      <c r="N46" s="204"/>
      <c r="O46" s="204"/>
      <c r="P46" s="299">
        <v>45117</v>
      </c>
      <c r="Q46" s="299">
        <v>45121</v>
      </c>
      <c r="R46" s="206"/>
      <c r="S46" s="207">
        <v>5</v>
      </c>
      <c r="T46" s="207">
        <v>0</v>
      </c>
      <c r="U46" s="207">
        <v>5</v>
      </c>
      <c r="V46" s="207">
        <v>0</v>
      </c>
      <c r="W46" s="205"/>
      <c r="X46" s="205"/>
      <c r="Y46" s="208"/>
      <c r="Z46" s="209">
        <v>0</v>
      </c>
      <c r="AA46" s="207"/>
      <c r="AB46" s="206"/>
      <c r="AC46" s="210"/>
      <c r="AD46" s="211">
        <v>0</v>
      </c>
      <c r="AE46" s="213">
        <v>0</v>
      </c>
      <c r="AF46" s="190"/>
      <c r="AG46" s="191"/>
      <c r="AH46" s="191"/>
      <c r="AI46" s="191"/>
      <c r="AJ46" s="191"/>
      <c r="AK46" s="191"/>
      <c r="AL46" s="191" t="str">
        <f>"" &amp; TEXT(AE46,"#0.00%") &amp; " " &amp; "Service Launch" &amp; " " &amp; IF(P46="","",TEXT(P46,"M/D-")) &amp; IF(Q46="","",TEXT(Q46,"M/D")) &amp; " "</f>
        <v xml:space="preserve">0.00% Service Launch 7/10-7/14 </v>
      </c>
      <c r="AM46" s="191"/>
      <c r="AN46" s="191"/>
      <c r="AO46" s="191"/>
      <c r="AP46" s="191"/>
      <c r="AQ46" s="191"/>
      <c r="AR46" s="191"/>
      <c r="AS46" s="191"/>
      <c r="AT46" s="191"/>
      <c r="AU46" s="191"/>
      <c r="AV46" s="191"/>
      <c r="AW46" s="191"/>
      <c r="AX46" s="191"/>
      <c r="AY46" s="191"/>
    </row>
    <row r="47" spans="1:51" ht="12" customHeight="1" outlineLevel="1">
      <c r="A47" s="203"/>
      <c r="B47" s="203"/>
      <c r="C47" s="203">
        <v>0</v>
      </c>
      <c r="D47" s="216"/>
      <c r="E47" s="297"/>
      <c r="F47" s="297"/>
      <c r="G47" s="204"/>
      <c r="H47" s="204"/>
      <c r="I47" s="204"/>
      <c r="J47" s="204"/>
      <c r="K47" s="204"/>
      <c r="L47" s="204"/>
      <c r="M47" s="204"/>
      <c r="N47" s="204"/>
      <c r="O47" s="204"/>
      <c r="P47" s="205"/>
      <c r="Q47" s="205"/>
      <c r="R47" s="206"/>
      <c r="S47" s="207"/>
      <c r="T47" s="207"/>
      <c r="U47" s="207">
        <v>0</v>
      </c>
      <c r="V47" s="207">
        <v>0</v>
      </c>
      <c r="W47" s="205"/>
      <c r="X47" s="205"/>
      <c r="Y47" s="208"/>
      <c r="Z47" s="209">
        <v>0</v>
      </c>
      <c r="AA47" s="207"/>
      <c r="AB47" s="206"/>
      <c r="AC47" s="210"/>
      <c r="AD47" s="211"/>
      <c r="AE47" s="218"/>
      <c r="AF47" s="190"/>
      <c r="AG47" s="191"/>
      <c r="AH47" s="191"/>
      <c r="AI47" s="191"/>
      <c r="AJ47" s="191"/>
      <c r="AK47" s="191"/>
      <c r="AL47" s="191"/>
      <c r="AM47" s="191"/>
      <c r="AN47" s="191"/>
      <c r="AO47" s="191"/>
      <c r="AP47" s="191"/>
      <c r="AQ47" s="191"/>
      <c r="AR47" s="191"/>
      <c r="AS47" s="191"/>
      <c r="AT47" s="191"/>
      <c r="AU47" s="191"/>
      <c r="AV47" s="191"/>
      <c r="AW47" s="191"/>
      <c r="AX47" s="191"/>
      <c r="AY47" s="191"/>
    </row>
    <row r="48" spans="1:51" ht="12" customHeight="1">
      <c r="A48" s="203"/>
      <c r="B48" s="203" t="s">
        <v>1487</v>
      </c>
      <c r="C48" s="203">
        <v>1</v>
      </c>
      <c r="D48" s="216" t="s">
        <v>1108</v>
      </c>
      <c r="E48" s="297" t="s">
        <v>1610</v>
      </c>
      <c r="F48" s="297"/>
      <c r="G48" s="204"/>
      <c r="H48" s="204"/>
      <c r="I48" s="204"/>
      <c r="J48" s="204"/>
      <c r="K48" s="204"/>
      <c r="L48" s="204"/>
      <c r="M48" s="204"/>
      <c r="N48" s="204"/>
      <c r="O48" s="204"/>
      <c r="P48" s="205">
        <v>45089</v>
      </c>
      <c r="Q48" s="205">
        <v>45128</v>
      </c>
      <c r="R48" s="206"/>
      <c r="S48" s="207">
        <v>32</v>
      </c>
      <c r="T48" s="207">
        <v>0</v>
      </c>
      <c r="U48" s="207">
        <v>30</v>
      </c>
      <c r="V48" s="207">
        <v>0</v>
      </c>
      <c r="W48" s="205"/>
      <c r="X48" s="205"/>
      <c r="Y48" s="208">
        <v>0</v>
      </c>
      <c r="Z48" s="209">
        <v>0</v>
      </c>
      <c r="AA48" s="207"/>
      <c r="AB48" s="206"/>
      <c r="AC48" s="210"/>
      <c r="AD48" s="211">
        <v>0</v>
      </c>
      <c r="AE48" s="221">
        <v>0</v>
      </c>
      <c r="AF48" s="190"/>
      <c r="AG48" s="191"/>
      <c r="AH48" s="191" t="str">
        <f>"" &amp; TEXT(AE48,"#0.00%") &amp; " "</f>
        <v xml:space="preserve">0.00% </v>
      </c>
      <c r="AI48" s="191"/>
      <c r="AJ48" s="191"/>
      <c r="AK48" s="191"/>
      <c r="AL48" s="191"/>
      <c r="AM48" s="191" t="str">
        <f>"     " &amp; "[2212-16] Double Payments Risk Management" &amp; " " &amp; IF(P48="","",TEXT(P48,"M/D-")) &amp; IF(Q48="","",TEXT(Q48,"M/D")) &amp; " "</f>
        <v xml:space="preserve">     [2212-16] Double Payments Risk Management 6/12-7/21 </v>
      </c>
      <c r="AN48" s="191"/>
      <c r="AO48" s="191"/>
      <c r="AP48" s="191"/>
      <c r="AQ48" s="191"/>
      <c r="AR48" s="191"/>
      <c r="AS48" s="191"/>
      <c r="AT48" s="191"/>
      <c r="AU48" s="191"/>
      <c r="AV48" s="191"/>
      <c r="AW48" s="191"/>
      <c r="AX48" s="191"/>
      <c r="AY48" s="191"/>
    </row>
    <row r="49" spans="1:51" ht="12" customHeight="1" outlineLevel="1">
      <c r="A49" s="203"/>
      <c r="B49" s="203"/>
      <c r="C49" s="203">
        <v>2</v>
      </c>
      <c r="D49" s="216" t="s">
        <v>1645</v>
      </c>
      <c r="E49" s="298"/>
      <c r="F49" s="297" t="s">
        <v>1608</v>
      </c>
      <c r="G49" s="204"/>
      <c r="H49" s="204"/>
      <c r="I49" s="204"/>
      <c r="J49" s="204"/>
      <c r="K49" s="204"/>
      <c r="L49" s="204"/>
      <c r="M49" s="204"/>
      <c r="N49" s="204"/>
      <c r="O49" s="204"/>
      <c r="P49" s="299">
        <v>45089</v>
      </c>
      <c r="Q49" s="299">
        <v>45100</v>
      </c>
      <c r="R49" s="206"/>
      <c r="S49" s="207">
        <v>10</v>
      </c>
      <c r="T49" s="207">
        <v>0</v>
      </c>
      <c r="U49" s="207">
        <v>10</v>
      </c>
      <c r="V49" s="207">
        <v>0</v>
      </c>
      <c r="W49" s="205"/>
      <c r="X49" s="205"/>
      <c r="Y49" s="208"/>
      <c r="Z49" s="209">
        <v>0</v>
      </c>
      <c r="AA49" s="207"/>
      <c r="AB49" s="206"/>
      <c r="AC49" s="210"/>
      <c r="AD49" s="211">
        <v>0</v>
      </c>
      <c r="AE49" s="213">
        <v>0</v>
      </c>
      <c r="AF49" s="190"/>
      <c r="AG49" s="191"/>
      <c r="AH49" s="191" t="str">
        <f>"" &amp; TEXT(AE49,"#0.00%") &amp; " " &amp; "Design" &amp; " " &amp; IF(P49="","",TEXT(P49,"M/D-")) &amp; IF(Q49="","",TEXT(Q49,"M/D")) &amp; " "</f>
        <v xml:space="preserve">0.00% Design 6/12-6/23 </v>
      </c>
      <c r="AI49" s="191"/>
      <c r="AJ49" s="191"/>
      <c r="AK49" s="191"/>
      <c r="AL49" s="191"/>
      <c r="AM49" s="191"/>
      <c r="AN49" s="191"/>
      <c r="AO49" s="191"/>
      <c r="AP49" s="191"/>
      <c r="AQ49" s="191"/>
      <c r="AR49" s="191"/>
      <c r="AS49" s="191"/>
      <c r="AT49" s="191"/>
      <c r="AU49" s="191"/>
      <c r="AV49" s="191"/>
      <c r="AW49" s="191"/>
      <c r="AX49" s="191"/>
      <c r="AY49" s="191"/>
    </row>
    <row r="50" spans="1:51" ht="12" customHeight="1" outlineLevel="1">
      <c r="A50" s="203"/>
      <c r="B50" s="203"/>
      <c r="C50" s="203">
        <v>2</v>
      </c>
      <c r="D50" s="216" t="s">
        <v>1646</v>
      </c>
      <c r="E50" s="297"/>
      <c r="F50" s="297" t="s">
        <v>1597</v>
      </c>
      <c r="G50" s="204"/>
      <c r="H50" s="204"/>
      <c r="I50" s="204"/>
      <c r="J50" s="204"/>
      <c r="K50" s="204"/>
      <c r="L50" s="204"/>
      <c r="M50" s="204"/>
      <c r="N50" s="204"/>
      <c r="O50" s="204"/>
      <c r="P50" s="299">
        <v>45103</v>
      </c>
      <c r="Q50" s="299">
        <v>45107</v>
      </c>
      <c r="R50" s="206"/>
      <c r="S50" s="207">
        <v>5</v>
      </c>
      <c r="T50" s="207">
        <v>0</v>
      </c>
      <c r="U50" s="207">
        <v>5</v>
      </c>
      <c r="V50" s="207">
        <v>0</v>
      </c>
      <c r="W50" s="205"/>
      <c r="X50" s="205"/>
      <c r="Y50" s="208"/>
      <c r="Z50" s="209">
        <v>0</v>
      </c>
      <c r="AA50" s="207"/>
      <c r="AB50" s="206"/>
      <c r="AC50" s="210"/>
      <c r="AD50" s="211">
        <v>0</v>
      </c>
      <c r="AE50" s="213">
        <v>0</v>
      </c>
      <c r="AF50" s="190"/>
      <c r="AG50" s="191"/>
      <c r="AH50" s="191"/>
      <c r="AI50" s="191"/>
      <c r="AJ50" s="191" t="str">
        <f>"" &amp; TEXT(AE50,"#0.00%") &amp; " " &amp; "Server" &amp; " " &amp; IF(P50="","",TEXT(P50,"M/D-")) &amp; IF(Q50="","",TEXT(Q50,"M/D")) &amp; " "</f>
        <v xml:space="preserve">0.00% Server 6/26-6/30 </v>
      </c>
      <c r="AK50" s="191"/>
      <c r="AL50" s="191"/>
      <c r="AM50" s="191"/>
      <c r="AN50" s="191"/>
      <c r="AO50" s="191"/>
      <c r="AP50" s="191"/>
      <c r="AQ50" s="191"/>
      <c r="AR50" s="191"/>
      <c r="AS50" s="191"/>
      <c r="AT50" s="191"/>
      <c r="AU50" s="191"/>
      <c r="AV50" s="191"/>
      <c r="AW50" s="191"/>
      <c r="AX50" s="191"/>
      <c r="AY50" s="191"/>
    </row>
    <row r="51" spans="1:51" ht="12" customHeight="1" outlineLevel="1">
      <c r="A51" s="203"/>
      <c r="B51" s="203"/>
      <c r="C51" s="203">
        <v>2</v>
      </c>
      <c r="D51" s="216" t="s">
        <v>1647</v>
      </c>
      <c r="E51" s="297"/>
      <c r="F51" s="297" t="s">
        <v>1600</v>
      </c>
      <c r="G51" s="204"/>
      <c r="H51" s="204"/>
      <c r="I51" s="204"/>
      <c r="J51" s="204"/>
      <c r="K51" s="204"/>
      <c r="L51" s="204"/>
      <c r="M51" s="204"/>
      <c r="N51" s="204"/>
      <c r="O51" s="204"/>
      <c r="P51" s="299">
        <v>45110</v>
      </c>
      <c r="Q51" s="299">
        <v>45121</v>
      </c>
      <c r="R51" s="206"/>
      <c r="S51" s="207">
        <v>10</v>
      </c>
      <c r="T51" s="207">
        <v>0</v>
      </c>
      <c r="U51" s="207">
        <v>10</v>
      </c>
      <c r="V51" s="207">
        <v>0</v>
      </c>
      <c r="W51" s="205"/>
      <c r="X51" s="205"/>
      <c r="Y51" s="208"/>
      <c r="Z51" s="209">
        <v>0</v>
      </c>
      <c r="AA51" s="207"/>
      <c r="AB51" s="206"/>
      <c r="AC51" s="210"/>
      <c r="AD51" s="211">
        <v>0</v>
      </c>
      <c r="AE51" s="213">
        <v>0</v>
      </c>
      <c r="AF51" s="190"/>
      <c r="AG51" s="191"/>
      <c r="AH51" s="191"/>
      <c r="AI51" s="191"/>
      <c r="AJ51" s="191"/>
      <c r="AK51" s="191" t="str">
        <f>"" &amp; TEXT(AE51,"#0.00%") &amp; " " &amp; "Test in TB" &amp; " " &amp; IF(P51="","",TEXT(P51,"M/D-")) &amp; IF(Q51="","",TEXT(Q51,"M/D")) &amp; " "</f>
        <v xml:space="preserve">0.00% Test in TB 7/3-7/14 </v>
      </c>
      <c r="AL51" s="191"/>
      <c r="AM51" s="191"/>
      <c r="AN51" s="191"/>
      <c r="AO51" s="191"/>
      <c r="AP51" s="191"/>
      <c r="AQ51" s="191"/>
      <c r="AR51" s="191"/>
      <c r="AS51" s="191"/>
      <c r="AT51" s="191"/>
      <c r="AU51" s="191"/>
      <c r="AV51" s="191"/>
      <c r="AW51" s="191"/>
      <c r="AX51" s="191"/>
      <c r="AY51" s="191"/>
    </row>
    <row r="52" spans="1:51" ht="12" customHeight="1" outlineLevel="1">
      <c r="A52" s="203"/>
      <c r="B52" s="203"/>
      <c r="C52" s="203">
        <v>2</v>
      </c>
      <c r="D52" s="216" t="s">
        <v>1648</v>
      </c>
      <c r="E52" s="297"/>
      <c r="F52" s="297" t="s">
        <v>1601</v>
      </c>
      <c r="G52" s="204"/>
      <c r="H52" s="204"/>
      <c r="I52" s="204"/>
      <c r="J52" s="204"/>
      <c r="K52" s="204"/>
      <c r="L52" s="204"/>
      <c r="M52" s="204"/>
      <c r="N52" s="204"/>
      <c r="O52" s="204"/>
      <c r="P52" s="299">
        <v>45124</v>
      </c>
      <c r="Q52" s="299">
        <v>45128</v>
      </c>
      <c r="R52" s="206"/>
      <c r="S52" s="207">
        <v>5</v>
      </c>
      <c r="T52" s="207">
        <v>0</v>
      </c>
      <c r="U52" s="207">
        <v>5</v>
      </c>
      <c r="V52" s="207">
        <v>0</v>
      </c>
      <c r="W52" s="205"/>
      <c r="X52" s="205"/>
      <c r="Y52" s="208"/>
      <c r="Z52" s="209">
        <v>0</v>
      </c>
      <c r="AA52" s="207"/>
      <c r="AB52" s="206"/>
      <c r="AC52" s="210"/>
      <c r="AD52" s="211">
        <v>0</v>
      </c>
      <c r="AE52" s="213">
        <v>0</v>
      </c>
      <c r="AF52" s="190"/>
      <c r="AG52" s="191"/>
      <c r="AH52" s="191"/>
      <c r="AI52" s="191"/>
      <c r="AJ52" s="191"/>
      <c r="AK52" s="191"/>
      <c r="AL52" s="191"/>
      <c r="AM52" s="191" t="str">
        <f>"" &amp; TEXT(AE52,"#0.00%") &amp; " " &amp; "Test in Live" &amp; " " &amp; IF(P52="","",TEXT(P52,"M/D-")) &amp; IF(Q52="","",TEXT(Q52,"M/D")) &amp; " "</f>
        <v xml:space="preserve">0.00% Test in Live 7/17-7/21 </v>
      </c>
      <c r="AN52" s="191"/>
      <c r="AO52" s="191"/>
      <c r="AP52" s="191"/>
      <c r="AQ52" s="191"/>
      <c r="AR52" s="191"/>
      <c r="AS52" s="191"/>
      <c r="AT52" s="191"/>
      <c r="AU52" s="191"/>
      <c r="AV52" s="191"/>
      <c r="AW52" s="191"/>
      <c r="AX52" s="191"/>
      <c r="AY52" s="191"/>
    </row>
    <row r="53" spans="1:51" ht="12" customHeight="1" outlineLevel="1">
      <c r="A53" s="203"/>
      <c r="B53" s="203"/>
      <c r="C53" s="203">
        <v>2</v>
      </c>
      <c r="D53" s="216" t="s">
        <v>1649</v>
      </c>
      <c r="E53" s="298"/>
      <c r="F53" s="297" t="s">
        <v>1602</v>
      </c>
      <c r="G53" s="204"/>
      <c r="H53" s="204"/>
      <c r="I53" s="204"/>
      <c r="J53" s="204"/>
      <c r="K53" s="204"/>
      <c r="L53" s="204"/>
      <c r="M53" s="204"/>
      <c r="N53" s="204"/>
      <c r="O53" s="204"/>
      <c r="P53" s="299">
        <v>45124</v>
      </c>
      <c r="Q53" s="299">
        <v>45125</v>
      </c>
      <c r="R53" s="206"/>
      <c r="S53" s="207">
        <v>2</v>
      </c>
      <c r="T53" s="207">
        <v>0</v>
      </c>
      <c r="U53" s="207">
        <v>2</v>
      </c>
      <c r="V53" s="207">
        <v>0</v>
      </c>
      <c r="W53" s="205"/>
      <c r="X53" s="205"/>
      <c r="Y53" s="208"/>
      <c r="Z53" s="209">
        <v>0</v>
      </c>
      <c r="AA53" s="207"/>
      <c r="AB53" s="206"/>
      <c r="AC53" s="210"/>
      <c r="AD53" s="211">
        <v>0</v>
      </c>
      <c r="AE53" s="213">
        <v>0</v>
      </c>
      <c r="AF53" s="190"/>
      <c r="AG53" s="191"/>
      <c r="AH53" s="191"/>
      <c r="AI53" s="191"/>
      <c r="AJ53" s="191"/>
      <c r="AK53" s="191"/>
      <c r="AL53" s="191"/>
      <c r="AM53" s="191" t="str">
        <f>"" &amp; TEXT(AE53,"#0.00%") &amp; " " &amp; "Service Launch" &amp; " " &amp; IF(P53="","",TEXT(P53,"M/D-")) &amp; IF(Q53="","",TEXT(Q53,"M/D")) &amp; " "</f>
        <v xml:space="preserve">0.00% Service Launch 7/17-7/18 </v>
      </c>
      <c r="AN53" s="191"/>
      <c r="AO53" s="191"/>
      <c r="AP53" s="191"/>
      <c r="AQ53" s="191"/>
      <c r="AR53" s="191"/>
      <c r="AS53" s="191"/>
      <c r="AT53" s="191"/>
      <c r="AU53" s="191"/>
      <c r="AV53" s="191"/>
      <c r="AW53" s="191"/>
      <c r="AX53" s="191"/>
      <c r="AY53" s="191"/>
    </row>
    <row r="54" spans="1:51" ht="12" customHeight="1" outlineLevel="1">
      <c r="A54" s="203"/>
      <c r="B54" s="203"/>
      <c r="C54" s="203">
        <v>0</v>
      </c>
      <c r="D54" s="216"/>
      <c r="E54" s="297"/>
      <c r="F54" s="297"/>
      <c r="G54" s="204"/>
      <c r="H54" s="204"/>
      <c r="I54" s="204"/>
      <c r="J54" s="204"/>
      <c r="K54" s="204"/>
      <c r="L54" s="204"/>
      <c r="M54" s="204"/>
      <c r="N54" s="204"/>
      <c r="O54" s="204"/>
      <c r="P54" s="205"/>
      <c r="Q54" s="205"/>
      <c r="R54" s="206"/>
      <c r="S54" s="207"/>
      <c r="T54" s="207"/>
      <c r="U54" s="207">
        <v>0</v>
      </c>
      <c r="V54" s="207">
        <v>0</v>
      </c>
      <c r="W54" s="205"/>
      <c r="X54" s="205"/>
      <c r="Y54" s="208"/>
      <c r="Z54" s="209">
        <v>0</v>
      </c>
      <c r="AA54" s="207"/>
      <c r="AB54" s="206"/>
      <c r="AC54" s="210"/>
      <c r="AD54" s="211"/>
      <c r="AE54" s="218"/>
      <c r="AF54" s="190"/>
      <c r="AG54" s="191"/>
      <c r="AH54" s="191"/>
      <c r="AI54" s="191"/>
      <c r="AJ54" s="191"/>
      <c r="AK54" s="191"/>
      <c r="AL54" s="191"/>
      <c r="AM54" s="191"/>
      <c r="AN54" s="191"/>
      <c r="AO54" s="191"/>
      <c r="AP54" s="191"/>
      <c r="AQ54" s="191"/>
      <c r="AR54" s="191"/>
      <c r="AS54" s="191"/>
      <c r="AT54" s="191"/>
      <c r="AU54" s="191"/>
      <c r="AV54" s="191"/>
      <c r="AW54" s="191"/>
      <c r="AX54" s="191"/>
      <c r="AY54" s="191"/>
    </row>
    <row r="55" spans="1:51" ht="12" customHeight="1">
      <c r="A55" s="203"/>
      <c r="B55" s="203" t="s">
        <v>1487</v>
      </c>
      <c r="C55" s="203">
        <v>1</v>
      </c>
      <c r="D55" s="216" t="s">
        <v>1109</v>
      </c>
      <c r="E55" s="297" t="s">
        <v>1611</v>
      </c>
      <c r="F55" s="297"/>
      <c r="G55" s="204"/>
      <c r="H55" s="204"/>
      <c r="I55" s="204"/>
      <c r="J55" s="204"/>
      <c r="K55" s="204"/>
      <c r="L55" s="204"/>
      <c r="M55" s="204"/>
      <c r="N55" s="204"/>
      <c r="O55" s="204"/>
      <c r="P55" s="205">
        <v>45078</v>
      </c>
      <c r="Q55" s="205">
        <v>45091</v>
      </c>
      <c r="R55" s="206"/>
      <c r="S55" s="207">
        <v>24</v>
      </c>
      <c r="T55" s="207">
        <v>15</v>
      </c>
      <c r="U55" s="207">
        <v>10</v>
      </c>
      <c r="V55" s="207">
        <v>7</v>
      </c>
      <c r="W55" s="205"/>
      <c r="X55" s="205"/>
      <c r="Y55" s="208">
        <v>0</v>
      </c>
      <c r="Z55" s="209">
        <v>0</v>
      </c>
      <c r="AA55" s="207"/>
      <c r="AB55" s="206"/>
      <c r="AC55" s="210"/>
      <c r="AD55" s="211">
        <v>0.625</v>
      </c>
      <c r="AE55" s="215">
        <v>0</v>
      </c>
      <c r="AF55" s="190" t="str">
        <f>"   " &amp; TEXT(AE55,"#0.00%") &amp; " " &amp; "[2204-02] Change Main Page in Mobile App" &amp; " " &amp; IF(P55="","",TEXT(P55,"M/D-")) &amp; IF(Q55="","",TEXT(Q55,"M/D")) &amp; " "</f>
        <v xml:space="preserve">   0.00% [2204-02] Change Main Page in Mobile App 6/1-6/14 </v>
      </c>
      <c r="AG55" s="191"/>
      <c r="AH55" s="191"/>
      <c r="AI55" s="191"/>
      <c r="AJ55" s="191"/>
      <c r="AK55" s="191"/>
      <c r="AL55" s="191"/>
      <c r="AM55" s="191"/>
      <c r="AN55" s="191"/>
      <c r="AO55" s="191"/>
      <c r="AP55" s="191"/>
      <c r="AQ55" s="191"/>
      <c r="AR55" s="191"/>
      <c r="AS55" s="191"/>
      <c r="AT55" s="191"/>
      <c r="AU55" s="191"/>
      <c r="AV55" s="191"/>
      <c r="AW55" s="191"/>
      <c r="AX55" s="191"/>
      <c r="AY55" s="191"/>
    </row>
    <row r="56" spans="1:51" ht="12" customHeight="1" outlineLevel="1">
      <c r="A56" s="203">
        <v>1</v>
      </c>
      <c r="B56" s="203"/>
      <c r="C56" s="203">
        <v>2</v>
      </c>
      <c r="D56" s="216" t="s">
        <v>1650</v>
      </c>
      <c r="E56" s="297"/>
      <c r="F56" s="297" t="s">
        <v>1608</v>
      </c>
      <c r="G56" s="204"/>
      <c r="H56" s="204"/>
      <c r="I56" s="204"/>
      <c r="J56" s="204"/>
      <c r="K56" s="204"/>
      <c r="L56" s="204"/>
      <c r="M56" s="204"/>
      <c r="N56" s="204"/>
      <c r="O56" s="204"/>
      <c r="P56" s="205">
        <v>45078</v>
      </c>
      <c r="Q56" s="205">
        <v>45079</v>
      </c>
      <c r="R56" s="206"/>
      <c r="S56" s="207">
        <v>0</v>
      </c>
      <c r="T56" s="207">
        <v>0</v>
      </c>
      <c r="U56" s="207">
        <v>2</v>
      </c>
      <c r="V56" s="207">
        <v>2</v>
      </c>
      <c r="W56" s="205"/>
      <c r="X56" s="205"/>
      <c r="Y56" s="208"/>
      <c r="Z56" s="209">
        <v>0</v>
      </c>
      <c r="AA56" s="207"/>
      <c r="AB56" s="206"/>
      <c r="AC56" s="210"/>
      <c r="AD56" s="211">
        <v>1</v>
      </c>
      <c r="AE56" s="214">
        <v>0</v>
      </c>
      <c r="AF56" s="190" t="str">
        <f>"       " &amp; TEXT(AE56,"#0.00%") &amp; " " &amp; "Design" &amp; " " &amp; IF(P56="","",TEXT(P56,"M/D-")) &amp; IF(Q56="","",TEXT(Q56,"M/D")) &amp; " "</f>
        <v xml:space="preserve">       0.00% Design 6/1-6/2 </v>
      </c>
      <c r="AG56" s="191"/>
      <c r="AH56" s="191"/>
      <c r="AI56" s="191"/>
      <c r="AJ56" s="191"/>
      <c r="AK56" s="191"/>
      <c r="AL56" s="191"/>
      <c r="AM56" s="191"/>
      <c r="AN56" s="191"/>
      <c r="AO56" s="191"/>
      <c r="AP56" s="191"/>
      <c r="AQ56" s="191"/>
      <c r="AR56" s="191"/>
      <c r="AS56" s="191"/>
      <c r="AT56" s="191"/>
      <c r="AU56" s="191"/>
      <c r="AV56" s="191"/>
      <c r="AW56" s="191"/>
      <c r="AX56" s="191"/>
      <c r="AY56" s="191"/>
    </row>
    <row r="57" spans="1:51" ht="12" customHeight="1" outlineLevel="1">
      <c r="A57" s="203"/>
      <c r="B57" s="203"/>
      <c r="C57" s="203">
        <v>2</v>
      </c>
      <c r="D57" s="216" t="s">
        <v>1651</v>
      </c>
      <c r="E57" s="297"/>
      <c r="F57" s="297" t="s">
        <v>1599</v>
      </c>
      <c r="G57" s="204"/>
      <c r="H57" s="204"/>
      <c r="I57" s="204"/>
      <c r="J57" s="204"/>
      <c r="K57" s="204"/>
      <c r="L57" s="204"/>
      <c r="M57" s="204"/>
      <c r="N57" s="204"/>
      <c r="O57" s="204"/>
      <c r="P57" s="205">
        <v>45082</v>
      </c>
      <c r="Q57" s="205">
        <v>45091</v>
      </c>
      <c r="R57" s="206"/>
      <c r="S57" s="207">
        <v>8</v>
      </c>
      <c r="T57" s="207">
        <v>5</v>
      </c>
      <c r="U57" s="207">
        <v>8</v>
      </c>
      <c r="V57" s="207">
        <v>5</v>
      </c>
      <c r="W57" s="205"/>
      <c r="X57" s="205"/>
      <c r="Y57" s="208"/>
      <c r="Z57" s="209">
        <v>0</v>
      </c>
      <c r="AA57" s="207"/>
      <c r="AB57" s="206"/>
      <c r="AC57" s="210"/>
      <c r="AD57" s="211">
        <v>0.625</v>
      </c>
      <c r="AE57" s="214">
        <v>0</v>
      </c>
      <c r="AF57" s="190"/>
      <c r="AG57" s="191" t="str">
        <f>"" &amp; TEXT(AE57,"#0.00%") &amp; " " &amp; "Android" &amp; " " &amp; IF(P57="","",TEXT(P57,"M/D-")) &amp; IF(Q57="","",TEXT(Q57,"M/D")) &amp; " "</f>
        <v xml:space="preserve">0.00% Android 6/5-6/14 </v>
      </c>
      <c r="AH57" s="191"/>
      <c r="AI57" s="191"/>
      <c r="AJ57" s="191"/>
      <c r="AK57" s="191"/>
      <c r="AL57" s="191"/>
      <c r="AM57" s="191"/>
      <c r="AN57" s="191"/>
      <c r="AO57" s="191"/>
      <c r="AP57" s="191"/>
      <c r="AQ57" s="191"/>
      <c r="AR57" s="191"/>
      <c r="AS57" s="191"/>
      <c r="AT57" s="191"/>
      <c r="AU57" s="191"/>
      <c r="AV57" s="191"/>
      <c r="AW57" s="191"/>
      <c r="AX57" s="191"/>
      <c r="AY57" s="191"/>
    </row>
    <row r="58" spans="1:51" ht="12" customHeight="1" outlineLevel="1">
      <c r="A58" s="203"/>
      <c r="B58" s="203"/>
      <c r="C58" s="203">
        <v>2</v>
      </c>
      <c r="D58" s="216" t="s">
        <v>1652</v>
      </c>
      <c r="E58" s="298"/>
      <c r="F58" s="297" t="s">
        <v>1598</v>
      </c>
      <c r="G58" s="204"/>
      <c r="H58" s="204"/>
      <c r="I58" s="204"/>
      <c r="J58" s="204"/>
      <c r="K58" s="204"/>
      <c r="L58" s="204"/>
      <c r="M58" s="204"/>
      <c r="N58" s="204"/>
      <c r="O58" s="204"/>
      <c r="P58" s="205">
        <v>45082</v>
      </c>
      <c r="Q58" s="205">
        <v>45091</v>
      </c>
      <c r="R58" s="206"/>
      <c r="S58" s="207">
        <v>8</v>
      </c>
      <c r="T58" s="207">
        <v>5</v>
      </c>
      <c r="U58" s="207">
        <v>8</v>
      </c>
      <c r="V58" s="207">
        <v>5</v>
      </c>
      <c r="W58" s="205"/>
      <c r="X58" s="205"/>
      <c r="Y58" s="208"/>
      <c r="Z58" s="209">
        <v>0</v>
      </c>
      <c r="AA58" s="207"/>
      <c r="AB58" s="206"/>
      <c r="AC58" s="210"/>
      <c r="AD58" s="211">
        <v>0.625</v>
      </c>
      <c r="AE58" s="214">
        <v>0</v>
      </c>
      <c r="AF58" s="190"/>
      <c r="AG58" s="191" t="str">
        <f>"" &amp; TEXT(AE58,"#0.00%") &amp; " " &amp; "iOS" &amp; " " &amp; IF(P58="","",TEXT(P58,"M/D-")) &amp; IF(Q58="","",TEXT(Q58,"M/D")) &amp; " "</f>
        <v xml:space="preserve">0.00% iOS 6/5-6/14 </v>
      </c>
      <c r="AH58" s="191"/>
      <c r="AI58" s="191"/>
      <c r="AJ58" s="191"/>
      <c r="AK58" s="191"/>
      <c r="AL58" s="191"/>
      <c r="AM58" s="191"/>
      <c r="AN58" s="191"/>
      <c r="AO58" s="191"/>
      <c r="AP58" s="191"/>
      <c r="AQ58" s="191"/>
      <c r="AR58" s="191"/>
      <c r="AS58" s="191"/>
      <c r="AT58" s="191"/>
      <c r="AU58" s="191"/>
      <c r="AV58" s="191"/>
      <c r="AW58" s="191"/>
      <c r="AX58" s="191"/>
      <c r="AY58" s="191"/>
    </row>
    <row r="59" spans="1:51" ht="12" customHeight="1" outlineLevel="1">
      <c r="A59" s="203"/>
      <c r="B59" s="203"/>
      <c r="C59" s="203">
        <v>2</v>
      </c>
      <c r="D59" s="216" t="s">
        <v>1653</v>
      </c>
      <c r="E59" s="297"/>
      <c r="F59" s="297" t="s">
        <v>1597</v>
      </c>
      <c r="G59" s="204"/>
      <c r="H59" s="204"/>
      <c r="I59" s="204"/>
      <c r="J59" s="204"/>
      <c r="K59" s="204"/>
      <c r="L59" s="204"/>
      <c r="M59" s="204"/>
      <c r="N59" s="204"/>
      <c r="O59" s="204"/>
      <c r="P59" s="205">
        <v>45082</v>
      </c>
      <c r="Q59" s="205">
        <v>45091</v>
      </c>
      <c r="R59" s="206"/>
      <c r="S59" s="207">
        <v>8</v>
      </c>
      <c r="T59" s="207">
        <v>5</v>
      </c>
      <c r="U59" s="207">
        <v>8</v>
      </c>
      <c r="V59" s="207">
        <v>5</v>
      </c>
      <c r="W59" s="205"/>
      <c r="X59" s="205"/>
      <c r="Y59" s="208"/>
      <c r="Z59" s="209">
        <v>0</v>
      </c>
      <c r="AA59" s="207"/>
      <c r="AB59" s="206"/>
      <c r="AC59" s="210"/>
      <c r="AD59" s="211">
        <v>0.625</v>
      </c>
      <c r="AE59" s="214">
        <v>0</v>
      </c>
      <c r="AF59" s="190"/>
      <c r="AG59" s="191" t="str">
        <f>"" &amp; TEXT(AE59,"#0.00%") &amp; " " &amp; "Server" &amp; " " &amp; IF(P59="","",TEXT(P59,"M/D-")) &amp; IF(Q59="","",TEXT(Q59,"M/D")) &amp; " "</f>
        <v xml:space="preserve">0.00% Server 6/5-6/14 </v>
      </c>
      <c r="AH59" s="191"/>
      <c r="AI59" s="191"/>
      <c r="AJ59" s="191"/>
      <c r="AK59" s="191"/>
      <c r="AL59" s="191"/>
      <c r="AM59" s="191"/>
      <c r="AN59" s="191"/>
      <c r="AO59" s="191"/>
      <c r="AP59" s="191"/>
      <c r="AQ59" s="191"/>
      <c r="AR59" s="191"/>
      <c r="AS59" s="191"/>
      <c r="AT59" s="191"/>
      <c r="AU59" s="191"/>
      <c r="AV59" s="191"/>
      <c r="AW59" s="191"/>
      <c r="AX59" s="191"/>
      <c r="AY59" s="191"/>
    </row>
    <row r="60" spans="1:51" ht="12" customHeight="1" outlineLevel="1">
      <c r="A60" s="203"/>
      <c r="B60" s="203"/>
      <c r="C60" s="203">
        <v>2</v>
      </c>
      <c r="D60" s="216" t="s">
        <v>1654</v>
      </c>
      <c r="E60" s="297"/>
      <c r="F60" s="297" t="s">
        <v>1600</v>
      </c>
      <c r="G60" s="204"/>
      <c r="H60" s="204"/>
      <c r="I60" s="204"/>
      <c r="J60" s="204"/>
      <c r="K60" s="204"/>
      <c r="L60" s="204"/>
      <c r="M60" s="204"/>
      <c r="N60" s="204"/>
      <c r="O60" s="204"/>
      <c r="P60" s="205"/>
      <c r="Q60" s="205"/>
      <c r="R60" s="206"/>
      <c r="S60" s="207">
        <v>0</v>
      </c>
      <c r="T60" s="207">
        <v>0</v>
      </c>
      <c r="U60" s="207"/>
      <c r="V60" s="207"/>
      <c r="W60" s="205"/>
      <c r="X60" s="205"/>
      <c r="Y60" s="208">
        <v>0</v>
      </c>
      <c r="Z60" s="209"/>
      <c r="AA60" s="207"/>
      <c r="AB60" s="206"/>
      <c r="AC60" s="210"/>
      <c r="AD60" s="211">
        <v>0</v>
      </c>
      <c r="AE60" s="218">
        <v>0</v>
      </c>
      <c r="AF60" s="190"/>
      <c r="AG60" s="191"/>
      <c r="AH60" s="191"/>
      <c r="AI60" s="191"/>
      <c r="AJ60" s="191"/>
      <c r="AK60" s="191"/>
      <c r="AL60" s="191"/>
      <c r="AM60" s="191"/>
      <c r="AN60" s="191"/>
      <c r="AO60" s="191"/>
      <c r="AP60" s="191"/>
      <c r="AQ60" s="191"/>
      <c r="AR60" s="191"/>
      <c r="AS60" s="191"/>
      <c r="AT60" s="191"/>
      <c r="AU60" s="191"/>
      <c r="AV60" s="191"/>
      <c r="AW60" s="191"/>
      <c r="AX60" s="191"/>
      <c r="AY60" s="191"/>
    </row>
    <row r="61" spans="1:51" ht="12" customHeight="1" outlineLevel="1">
      <c r="A61" s="203"/>
      <c r="B61" s="203"/>
      <c r="C61" s="203">
        <v>2</v>
      </c>
      <c r="D61" s="216" t="s">
        <v>1655</v>
      </c>
      <c r="E61" s="298"/>
      <c r="F61" s="297" t="s">
        <v>1601</v>
      </c>
      <c r="G61" s="204"/>
      <c r="H61" s="204"/>
      <c r="I61" s="204"/>
      <c r="J61" s="204"/>
      <c r="K61" s="204"/>
      <c r="L61" s="204"/>
      <c r="M61" s="204"/>
      <c r="N61" s="204"/>
      <c r="O61" s="204"/>
      <c r="P61" s="205"/>
      <c r="Q61" s="205"/>
      <c r="R61" s="206"/>
      <c r="S61" s="207">
        <v>0</v>
      </c>
      <c r="T61" s="207">
        <v>0</v>
      </c>
      <c r="U61" s="207"/>
      <c r="V61" s="207"/>
      <c r="W61" s="205"/>
      <c r="X61" s="205"/>
      <c r="Y61" s="208">
        <v>0</v>
      </c>
      <c r="Z61" s="209"/>
      <c r="AA61" s="207"/>
      <c r="AB61" s="206"/>
      <c r="AC61" s="210"/>
      <c r="AD61" s="211">
        <v>0</v>
      </c>
      <c r="AE61" s="218">
        <v>0</v>
      </c>
      <c r="AF61" s="190"/>
      <c r="AG61" s="191"/>
      <c r="AH61" s="191"/>
      <c r="AI61" s="191"/>
      <c r="AJ61" s="191"/>
      <c r="AK61" s="191"/>
      <c r="AL61" s="191"/>
      <c r="AM61" s="191"/>
      <c r="AN61" s="191"/>
      <c r="AO61" s="191"/>
      <c r="AP61" s="191"/>
      <c r="AQ61" s="191"/>
      <c r="AR61" s="191"/>
      <c r="AS61" s="191"/>
      <c r="AT61" s="191"/>
      <c r="AU61" s="191"/>
      <c r="AV61" s="191"/>
      <c r="AW61" s="191"/>
      <c r="AX61" s="191"/>
      <c r="AY61" s="191"/>
    </row>
    <row r="62" spans="1:51" ht="12" customHeight="1" outlineLevel="1">
      <c r="A62" s="203"/>
      <c r="B62" s="203"/>
      <c r="C62" s="203">
        <v>2</v>
      </c>
      <c r="D62" s="216" t="s">
        <v>1656</v>
      </c>
      <c r="E62" s="297"/>
      <c r="F62" s="297" t="s">
        <v>1602</v>
      </c>
      <c r="G62" s="204"/>
      <c r="H62" s="204"/>
      <c r="I62" s="204"/>
      <c r="J62" s="204"/>
      <c r="K62" s="204"/>
      <c r="L62" s="204"/>
      <c r="M62" s="204"/>
      <c r="N62" s="204"/>
      <c r="O62" s="204"/>
      <c r="P62" s="205"/>
      <c r="Q62" s="205"/>
      <c r="R62" s="206"/>
      <c r="S62" s="207">
        <v>0</v>
      </c>
      <c r="T62" s="207">
        <v>0</v>
      </c>
      <c r="U62" s="207"/>
      <c r="V62" s="207"/>
      <c r="W62" s="205"/>
      <c r="X62" s="205"/>
      <c r="Y62" s="208">
        <v>0</v>
      </c>
      <c r="Z62" s="209"/>
      <c r="AA62" s="207"/>
      <c r="AB62" s="206"/>
      <c r="AC62" s="210"/>
      <c r="AD62" s="211">
        <v>0</v>
      </c>
      <c r="AE62" s="218">
        <v>0</v>
      </c>
      <c r="AF62" s="190"/>
      <c r="AG62" s="191"/>
      <c r="AH62" s="191"/>
      <c r="AI62" s="191"/>
      <c r="AJ62" s="191"/>
      <c r="AK62" s="191"/>
      <c r="AL62" s="191"/>
      <c r="AM62" s="191"/>
      <c r="AN62" s="191"/>
      <c r="AO62" s="191"/>
      <c r="AP62" s="191"/>
      <c r="AQ62" s="191"/>
      <c r="AR62" s="191"/>
      <c r="AS62" s="191"/>
      <c r="AT62" s="191"/>
      <c r="AU62" s="191"/>
      <c r="AV62" s="191"/>
      <c r="AW62" s="191"/>
      <c r="AX62" s="191"/>
      <c r="AY62" s="191"/>
    </row>
    <row r="63" spans="1:51" ht="12" customHeight="1" outlineLevel="1">
      <c r="A63" s="203"/>
      <c r="B63" s="203"/>
      <c r="C63" s="203">
        <v>0</v>
      </c>
      <c r="D63" s="204"/>
      <c r="E63" s="297"/>
      <c r="F63" s="297"/>
      <c r="G63" s="204"/>
      <c r="H63" s="204"/>
      <c r="I63" s="204"/>
      <c r="J63" s="204"/>
      <c r="K63" s="204"/>
      <c r="L63" s="204"/>
      <c r="M63" s="204"/>
      <c r="N63" s="204"/>
      <c r="O63" s="204"/>
      <c r="P63" s="205"/>
      <c r="Q63" s="205"/>
      <c r="R63" s="206"/>
      <c r="S63" s="207"/>
      <c r="T63" s="207"/>
      <c r="U63" s="207"/>
      <c r="V63" s="207"/>
      <c r="W63" s="205"/>
      <c r="X63" s="205"/>
      <c r="Y63" s="208"/>
      <c r="Z63" s="209"/>
      <c r="AA63" s="207"/>
      <c r="AB63" s="206"/>
      <c r="AC63" s="210"/>
      <c r="AD63" s="211"/>
      <c r="AE63" s="218"/>
      <c r="AF63" s="190"/>
      <c r="AG63" s="191"/>
      <c r="AH63" s="191"/>
      <c r="AI63" s="191"/>
      <c r="AJ63" s="191"/>
      <c r="AK63" s="191"/>
      <c r="AL63" s="191"/>
      <c r="AM63" s="191"/>
      <c r="AN63" s="191"/>
      <c r="AO63" s="191"/>
      <c r="AP63" s="191"/>
      <c r="AQ63" s="191"/>
      <c r="AR63" s="191"/>
      <c r="AS63" s="191"/>
      <c r="AT63" s="191"/>
      <c r="AU63" s="191"/>
      <c r="AV63" s="191"/>
      <c r="AW63" s="191"/>
      <c r="AX63" s="191"/>
      <c r="AY63" s="191"/>
    </row>
    <row r="64" spans="1:51" ht="12" customHeight="1">
      <c r="A64" s="203"/>
      <c r="B64" s="203" t="s">
        <v>1487</v>
      </c>
      <c r="C64" s="203">
        <v>1</v>
      </c>
      <c r="D64" s="216" t="s">
        <v>1110</v>
      </c>
      <c r="E64" s="297" t="s">
        <v>1612</v>
      </c>
      <c r="F64" s="297"/>
      <c r="G64" s="204"/>
      <c r="H64" s="204"/>
      <c r="I64" s="204"/>
      <c r="J64" s="204"/>
      <c r="K64" s="204"/>
      <c r="L64" s="204"/>
      <c r="M64" s="204"/>
      <c r="N64" s="204"/>
      <c r="O64" s="204"/>
      <c r="P64" s="205"/>
      <c r="Q64" s="205"/>
      <c r="R64" s="206"/>
      <c r="S64" s="207">
        <v>0</v>
      </c>
      <c r="T64" s="207">
        <v>0</v>
      </c>
      <c r="U64" s="207"/>
      <c r="V64" s="207"/>
      <c r="W64" s="205"/>
      <c r="X64" s="205"/>
      <c r="Y64" s="208">
        <v>0</v>
      </c>
      <c r="Z64" s="209"/>
      <c r="AA64" s="207"/>
      <c r="AB64" s="206"/>
      <c r="AC64" s="210"/>
      <c r="AD64" s="211">
        <v>0</v>
      </c>
      <c r="AE64" s="218">
        <v>0</v>
      </c>
      <c r="AF64" s="190"/>
      <c r="AG64" s="191"/>
      <c r="AH64" s="191"/>
      <c r="AI64" s="191"/>
      <c r="AJ64" s="191"/>
      <c r="AK64" s="191"/>
      <c r="AL64" s="191"/>
      <c r="AM64" s="191"/>
      <c r="AN64" s="191"/>
      <c r="AO64" s="191"/>
      <c r="AP64" s="191"/>
      <c r="AQ64" s="191"/>
      <c r="AR64" s="191"/>
      <c r="AS64" s="191"/>
      <c r="AT64" s="191"/>
      <c r="AU64" s="191"/>
      <c r="AV64" s="191"/>
      <c r="AW64" s="191"/>
      <c r="AX64" s="191"/>
      <c r="AY64" s="191"/>
    </row>
    <row r="65" spans="1:51" ht="12" customHeight="1" outlineLevel="1">
      <c r="A65" s="203"/>
      <c r="B65" s="203"/>
      <c r="C65" s="203">
        <v>2</v>
      </c>
      <c r="D65" s="216" t="s">
        <v>1657</v>
      </c>
      <c r="E65" s="297"/>
      <c r="F65" s="297" t="s">
        <v>1608</v>
      </c>
      <c r="G65" s="204"/>
      <c r="H65" s="204"/>
      <c r="I65" s="204"/>
      <c r="J65" s="204"/>
      <c r="K65" s="204"/>
      <c r="L65" s="204"/>
      <c r="M65" s="204"/>
      <c r="N65" s="204"/>
      <c r="O65" s="204"/>
      <c r="P65" s="205"/>
      <c r="Q65" s="205"/>
      <c r="R65" s="206"/>
      <c r="S65" s="207">
        <v>0</v>
      </c>
      <c r="T65" s="207">
        <v>0</v>
      </c>
      <c r="U65" s="207"/>
      <c r="V65" s="207"/>
      <c r="W65" s="205"/>
      <c r="X65" s="205"/>
      <c r="Y65" s="208">
        <v>0</v>
      </c>
      <c r="Z65" s="209"/>
      <c r="AA65" s="207"/>
      <c r="AB65" s="206"/>
      <c r="AC65" s="210"/>
      <c r="AD65" s="211">
        <v>0</v>
      </c>
      <c r="AE65" s="218">
        <v>0</v>
      </c>
      <c r="AF65" s="190"/>
      <c r="AG65" s="191"/>
      <c r="AH65" s="191"/>
      <c r="AI65" s="191"/>
      <c r="AJ65" s="191"/>
      <c r="AK65" s="191"/>
      <c r="AL65" s="191"/>
      <c r="AM65" s="191"/>
      <c r="AN65" s="191"/>
      <c r="AO65" s="191"/>
      <c r="AP65" s="191"/>
      <c r="AQ65" s="191"/>
      <c r="AR65" s="191"/>
      <c r="AS65" s="191"/>
      <c r="AT65" s="191"/>
      <c r="AU65" s="191"/>
      <c r="AV65" s="191"/>
      <c r="AW65" s="191"/>
      <c r="AX65" s="191"/>
      <c r="AY65" s="191"/>
    </row>
    <row r="66" spans="1:51" ht="12" customHeight="1" outlineLevel="1">
      <c r="A66" s="203"/>
      <c r="B66" s="203"/>
      <c r="C66" s="203">
        <v>2</v>
      </c>
      <c r="D66" s="216" t="s">
        <v>1658</v>
      </c>
      <c r="E66" s="297"/>
      <c r="F66" s="297" t="s">
        <v>1597</v>
      </c>
      <c r="G66" s="204"/>
      <c r="H66" s="204"/>
      <c r="I66" s="204"/>
      <c r="J66" s="204"/>
      <c r="K66" s="204"/>
      <c r="L66" s="204"/>
      <c r="M66" s="204"/>
      <c r="N66" s="204"/>
      <c r="O66" s="204"/>
      <c r="P66" s="205"/>
      <c r="Q66" s="205"/>
      <c r="R66" s="206"/>
      <c r="S66" s="207">
        <v>0</v>
      </c>
      <c r="T66" s="207">
        <v>0</v>
      </c>
      <c r="U66" s="207"/>
      <c r="V66" s="207"/>
      <c r="W66" s="205"/>
      <c r="X66" s="205"/>
      <c r="Y66" s="208">
        <v>0</v>
      </c>
      <c r="Z66" s="209"/>
      <c r="AA66" s="207"/>
      <c r="AB66" s="206"/>
      <c r="AC66" s="210"/>
      <c r="AD66" s="211">
        <v>0</v>
      </c>
      <c r="AE66" s="218">
        <v>0</v>
      </c>
      <c r="AF66" s="190"/>
      <c r="AG66" s="191"/>
      <c r="AH66" s="191"/>
      <c r="AI66" s="191"/>
      <c r="AJ66" s="191"/>
      <c r="AK66" s="191"/>
      <c r="AL66" s="191"/>
      <c r="AM66" s="191"/>
      <c r="AN66" s="191"/>
      <c r="AO66" s="191"/>
      <c r="AP66" s="191"/>
      <c r="AQ66" s="191"/>
      <c r="AR66" s="191"/>
      <c r="AS66" s="191"/>
      <c r="AT66" s="191"/>
      <c r="AU66" s="191"/>
      <c r="AV66" s="191"/>
      <c r="AW66" s="191"/>
      <c r="AX66" s="191"/>
      <c r="AY66" s="191"/>
    </row>
    <row r="67" spans="1:51" ht="12" customHeight="1" outlineLevel="1">
      <c r="A67" s="203"/>
      <c r="B67" s="203"/>
      <c r="C67" s="203">
        <v>2</v>
      </c>
      <c r="D67" s="216" t="s">
        <v>1659</v>
      </c>
      <c r="E67" s="297"/>
      <c r="F67" s="297" t="s">
        <v>1598</v>
      </c>
      <c r="G67" s="204"/>
      <c r="H67" s="204"/>
      <c r="I67" s="204"/>
      <c r="J67" s="204"/>
      <c r="K67" s="204"/>
      <c r="L67" s="204"/>
      <c r="M67" s="204"/>
      <c r="N67" s="204"/>
      <c r="O67" s="204"/>
      <c r="P67" s="205"/>
      <c r="Q67" s="205"/>
      <c r="R67" s="206"/>
      <c r="S67" s="207">
        <v>0</v>
      </c>
      <c r="T67" s="207">
        <v>0</v>
      </c>
      <c r="U67" s="207"/>
      <c r="V67" s="207"/>
      <c r="W67" s="205"/>
      <c r="X67" s="205"/>
      <c r="Y67" s="208">
        <v>0</v>
      </c>
      <c r="Z67" s="209"/>
      <c r="AA67" s="207"/>
      <c r="AB67" s="206"/>
      <c r="AC67" s="210"/>
      <c r="AD67" s="211">
        <v>0</v>
      </c>
      <c r="AE67" s="218">
        <v>0</v>
      </c>
      <c r="AF67" s="190"/>
      <c r="AG67" s="191"/>
      <c r="AH67" s="191"/>
      <c r="AI67" s="191"/>
      <c r="AJ67" s="191"/>
      <c r="AK67" s="191"/>
      <c r="AL67" s="191"/>
      <c r="AM67" s="191"/>
      <c r="AN67" s="191"/>
      <c r="AO67" s="191"/>
      <c r="AP67" s="191"/>
      <c r="AQ67" s="191"/>
      <c r="AR67" s="191"/>
      <c r="AS67" s="191"/>
      <c r="AT67" s="191"/>
      <c r="AU67" s="191"/>
      <c r="AV67" s="191"/>
      <c r="AW67" s="191"/>
      <c r="AX67" s="191"/>
      <c r="AY67" s="191"/>
    </row>
    <row r="68" spans="1:51" ht="12" customHeight="1" outlineLevel="1">
      <c r="A68" s="203"/>
      <c r="B68" s="203"/>
      <c r="C68" s="203">
        <v>2</v>
      </c>
      <c r="D68" s="216" t="s">
        <v>1660</v>
      </c>
      <c r="E68" s="297"/>
      <c r="F68" s="297" t="s">
        <v>1599</v>
      </c>
      <c r="G68" s="204"/>
      <c r="H68" s="204"/>
      <c r="I68" s="204"/>
      <c r="J68" s="204"/>
      <c r="K68" s="204"/>
      <c r="L68" s="204"/>
      <c r="M68" s="204"/>
      <c r="N68" s="204"/>
      <c r="O68" s="204"/>
      <c r="P68" s="205"/>
      <c r="Q68" s="205"/>
      <c r="R68" s="206"/>
      <c r="S68" s="207">
        <v>0</v>
      </c>
      <c r="T68" s="207">
        <v>0</v>
      </c>
      <c r="U68" s="207"/>
      <c r="V68" s="207"/>
      <c r="W68" s="205"/>
      <c r="X68" s="205"/>
      <c r="Y68" s="208">
        <v>0</v>
      </c>
      <c r="Z68" s="209"/>
      <c r="AA68" s="207"/>
      <c r="AB68" s="206"/>
      <c r="AC68" s="210"/>
      <c r="AD68" s="211">
        <v>0</v>
      </c>
      <c r="AE68" s="218">
        <v>0</v>
      </c>
      <c r="AF68" s="190"/>
      <c r="AG68" s="191"/>
      <c r="AH68" s="191"/>
      <c r="AI68" s="191"/>
      <c r="AJ68" s="191"/>
      <c r="AK68" s="191"/>
      <c r="AL68" s="191"/>
      <c r="AM68" s="191"/>
      <c r="AN68" s="191"/>
      <c r="AO68" s="191"/>
      <c r="AP68" s="191"/>
      <c r="AQ68" s="191"/>
      <c r="AR68" s="191"/>
      <c r="AS68" s="191"/>
      <c r="AT68" s="191"/>
      <c r="AU68" s="191"/>
      <c r="AV68" s="191"/>
      <c r="AW68" s="191"/>
      <c r="AX68" s="191"/>
      <c r="AY68" s="191"/>
    </row>
    <row r="69" spans="1:51" ht="12" customHeight="1" outlineLevel="1">
      <c r="A69" s="203"/>
      <c r="B69" s="203"/>
      <c r="C69" s="203">
        <v>2</v>
      </c>
      <c r="D69" s="216" t="s">
        <v>1661</v>
      </c>
      <c r="E69" s="297"/>
      <c r="F69" s="297" t="s">
        <v>1600</v>
      </c>
      <c r="G69" s="204"/>
      <c r="H69" s="204"/>
      <c r="I69" s="204"/>
      <c r="J69" s="204"/>
      <c r="K69" s="204"/>
      <c r="L69" s="204"/>
      <c r="M69" s="204"/>
      <c r="N69" s="204"/>
      <c r="O69" s="204"/>
      <c r="P69" s="205"/>
      <c r="Q69" s="205"/>
      <c r="R69" s="206"/>
      <c r="S69" s="207">
        <v>0</v>
      </c>
      <c r="T69" s="207">
        <v>0</v>
      </c>
      <c r="U69" s="207"/>
      <c r="V69" s="207"/>
      <c r="W69" s="205"/>
      <c r="X69" s="205"/>
      <c r="Y69" s="208">
        <v>0</v>
      </c>
      <c r="Z69" s="209"/>
      <c r="AA69" s="207"/>
      <c r="AB69" s="206"/>
      <c r="AC69" s="210"/>
      <c r="AD69" s="211">
        <v>0</v>
      </c>
      <c r="AE69" s="218">
        <v>0</v>
      </c>
      <c r="AF69" s="190"/>
      <c r="AG69" s="191"/>
      <c r="AH69" s="191"/>
      <c r="AI69" s="191"/>
      <c r="AJ69" s="191"/>
      <c r="AK69" s="191"/>
      <c r="AL69" s="191"/>
      <c r="AM69" s="191"/>
      <c r="AN69" s="191"/>
      <c r="AO69" s="191"/>
      <c r="AP69" s="191"/>
      <c r="AQ69" s="191"/>
      <c r="AR69" s="191"/>
      <c r="AS69" s="191"/>
      <c r="AT69" s="191"/>
      <c r="AU69" s="191"/>
      <c r="AV69" s="191"/>
      <c r="AW69" s="191"/>
      <c r="AX69" s="191"/>
      <c r="AY69" s="191"/>
    </row>
    <row r="70" spans="1:51" ht="12" customHeight="1" outlineLevel="1">
      <c r="A70" s="203"/>
      <c r="B70" s="203"/>
      <c r="C70" s="203">
        <v>2</v>
      </c>
      <c r="D70" s="216" t="s">
        <v>1662</v>
      </c>
      <c r="E70" s="297"/>
      <c r="F70" s="297" t="s">
        <v>1601</v>
      </c>
      <c r="G70" s="204"/>
      <c r="H70" s="204"/>
      <c r="I70" s="204"/>
      <c r="J70" s="204"/>
      <c r="K70" s="204"/>
      <c r="L70" s="204"/>
      <c r="M70" s="204"/>
      <c r="N70" s="204"/>
      <c r="O70" s="204"/>
      <c r="P70" s="205"/>
      <c r="Q70" s="205"/>
      <c r="R70" s="206"/>
      <c r="S70" s="207">
        <v>0</v>
      </c>
      <c r="T70" s="207">
        <v>0</v>
      </c>
      <c r="U70" s="207"/>
      <c r="V70" s="207"/>
      <c r="W70" s="205"/>
      <c r="X70" s="205"/>
      <c r="Y70" s="208">
        <v>0</v>
      </c>
      <c r="Z70" s="209"/>
      <c r="AA70" s="207"/>
      <c r="AB70" s="206"/>
      <c r="AC70" s="210"/>
      <c r="AD70" s="211">
        <v>0</v>
      </c>
      <c r="AE70" s="218">
        <v>0</v>
      </c>
      <c r="AF70" s="190"/>
      <c r="AG70" s="191"/>
      <c r="AH70" s="191"/>
      <c r="AI70" s="191"/>
      <c r="AJ70" s="191"/>
      <c r="AK70" s="191"/>
      <c r="AL70" s="191"/>
      <c r="AM70" s="191"/>
      <c r="AN70" s="191"/>
      <c r="AO70" s="191"/>
      <c r="AP70" s="191"/>
      <c r="AQ70" s="191"/>
      <c r="AR70" s="191"/>
      <c r="AS70" s="191"/>
      <c r="AT70" s="191"/>
      <c r="AU70" s="191"/>
      <c r="AV70" s="191"/>
      <c r="AW70" s="191"/>
      <c r="AX70" s="191"/>
      <c r="AY70" s="191"/>
    </row>
    <row r="71" spans="1:51" ht="12" customHeight="1" outlineLevel="1">
      <c r="A71" s="203"/>
      <c r="B71" s="203"/>
      <c r="C71" s="203">
        <v>2</v>
      </c>
      <c r="D71" s="216" t="s">
        <v>1663</v>
      </c>
      <c r="E71" s="297"/>
      <c r="F71" s="297" t="s">
        <v>1602</v>
      </c>
      <c r="G71" s="204"/>
      <c r="H71" s="204"/>
      <c r="I71" s="204"/>
      <c r="J71" s="204"/>
      <c r="K71" s="204"/>
      <c r="L71" s="204"/>
      <c r="M71" s="204"/>
      <c r="N71" s="204"/>
      <c r="O71" s="204"/>
      <c r="P71" s="205"/>
      <c r="Q71" s="205"/>
      <c r="R71" s="206"/>
      <c r="S71" s="207">
        <v>0</v>
      </c>
      <c r="T71" s="207">
        <v>0</v>
      </c>
      <c r="U71" s="207"/>
      <c r="V71" s="207"/>
      <c r="W71" s="205"/>
      <c r="X71" s="205"/>
      <c r="Y71" s="208">
        <v>0</v>
      </c>
      <c r="Z71" s="209"/>
      <c r="AA71" s="207"/>
      <c r="AB71" s="206"/>
      <c r="AC71" s="210"/>
      <c r="AD71" s="211">
        <v>0</v>
      </c>
      <c r="AE71" s="218">
        <v>0</v>
      </c>
      <c r="AF71" s="190"/>
      <c r="AG71" s="191"/>
      <c r="AH71" s="191"/>
      <c r="AI71" s="191"/>
      <c r="AJ71" s="191"/>
      <c r="AK71" s="191"/>
      <c r="AL71" s="191"/>
      <c r="AM71" s="191"/>
      <c r="AN71" s="191"/>
      <c r="AO71" s="191"/>
      <c r="AP71" s="191"/>
      <c r="AQ71" s="191"/>
      <c r="AR71" s="191"/>
      <c r="AS71" s="191"/>
      <c r="AT71" s="191"/>
      <c r="AU71" s="191"/>
      <c r="AV71" s="191"/>
      <c r="AW71" s="191"/>
      <c r="AX71" s="191"/>
      <c r="AY71" s="191"/>
    </row>
    <row r="72" spans="1:51" ht="12" customHeight="1" outlineLevel="1">
      <c r="A72" s="203"/>
      <c r="B72" s="203"/>
      <c r="C72" s="203">
        <v>0</v>
      </c>
      <c r="D72" s="204"/>
      <c r="E72" s="297"/>
      <c r="F72" s="297"/>
      <c r="G72" s="204"/>
      <c r="H72" s="204"/>
      <c r="I72" s="204"/>
      <c r="J72" s="204"/>
      <c r="K72" s="204"/>
      <c r="L72" s="204"/>
      <c r="M72" s="204"/>
      <c r="N72" s="204"/>
      <c r="O72" s="204"/>
      <c r="P72" s="205"/>
      <c r="Q72" s="205"/>
      <c r="R72" s="206"/>
      <c r="S72" s="207"/>
      <c r="T72" s="207"/>
      <c r="U72" s="207"/>
      <c r="V72" s="207"/>
      <c r="W72" s="205"/>
      <c r="X72" s="205"/>
      <c r="Y72" s="208"/>
      <c r="Z72" s="209"/>
      <c r="AA72" s="207"/>
      <c r="AB72" s="206"/>
      <c r="AC72" s="210"/>
      <c r="AD72" s="211"/>
      <c r="AE72" s="218"/>
      <c r="AF72" s="190"/>
      <c r="AG72" s="191"/>
      <c r="AH72" s="191"/>
      <c r="AI72" s="191"/>
      <c r="AJ72" s="191"/>
      <c r="AK72" s="191"/>
      <c r="AL72" s="191"/>
      <c r="AM72" s="191"/>
      <c r="AN72" s="191"/>
      <c r="AO72" s="191"/>
      <c r="AP72" s="191"/>
      <c r="AQ72" s="191"/>
      <c r="AR72" s="191"/>
      <c r="AS72" s="191"/>
      <c r="AT72" s="191"/>
      <c r="AU72" s="191"/>
      <c r="AV72" s="191"/>
      <c r="AW72" s="191"/>
      <c r="AX72" s="191"/>
      <c r="AY72" s="191"/>
    </row>
    <row r="73" spans="1:51" ht="12" customHeight="1">
      <c r="A73" s="203"/>
      <c r="B73" s="203" t="s">
        <v>1487</v>
      </c>
      <c r="C73" s="203">
        <v>1</v>
      </c>
      <c r="D73" s="216" t="s">
        <v>1111</v>
      </c>
      <c r="E73" s="298" t="s">
        <v>1613</v>
      </c>
      <c r="F73" s="297"/>
      <c r="G73" s="204"/>
      <c r="H73" s="204"/>
      <c r="I73" s="204"/>
      <c r="J73" s="204"/>
      <c r="K73" s="204"/>
      <c r="L73" s="204"/>
      <c r="M73" s="204"/>
      <c r="N73" s="204"/>
      <c r="O73" s="204"/>
      <c r="P73" s="205"/>
      <c r="Q73" s="205"/>
      <c r="R73" s="206"/>
      <c r="S73" s="207">
        <v>0</v>
      </c>
      <c r="T73" s="207">
        <v>0</v>
      </c>
      <c r="U73" s="207"/>
      <c r="V73" s="207"/>
      <c r="W73" s="205"/>
      <c r="X73" s="205"/>
      <c r="Y73" s="208">
        <v>0</v>
      </c>
      <c r="Z73" s="209"/>
      <c r="AA73" s="207"/>
      <c r="AB73" s="206"/>
      <c r="AC73" s="210"/>
      <c r="AD73" s="211">
        <v>0</v>
      </c>
      <c r="AE73" s="218">
        <v>0</v>
      </c>
      <c r="AF73" s="190"/>
      <c r="AG73" s="191"/>
      <c r="AH73" s="191"/>
      <c r="AI73" s="191"/>
      <c r="AJ73" s="191"/>
      <c r="AK73" s="191"/>
      <c r="AL73" s="191"/>
      <c r="AM73" s="191"/>
      <c r="AN73" s="191"/>
      <c r="AO73" s="191"/>
      <c r="AP73" s="191"/>
      <c r="AQ73" s="191"/>
      <c r="AR73" s="191"/>
      <c r="AS73" s="191"/>
      <c r="AT73" s="191"/>
      <c r="AU73" s="191"/>
      <c r="AV73" s="191"/>
      <c r="AW73" s="191"/>
      <c r="AX73" s="191"/>
      <c r="AY73" s="191"/>
    </row>
    <row r="74" spans="1:51" ht="12" customHeight="1" outlineLevel="1">
      <c r="A74" s="203"/>
      <c r="B74" s="203"/>
      <c r="C74" s="203">
        <v>2</v>
      </c>
      <c r="D74" s="216" t="s">
        <v>1664</v>
      </c>
      <c r="E74" s="297"/>
      <c r="F74" s="297" t="s">
        <v>1608</v>
      </c>
      <c r="G74" s="204"/>
      <c r="H74" s="204"/>
      <c r="I74" s="204"/>
      <c r="J74" s="204"/>
      <c r="K74" s="204"/>
      <c r="L74" s="204"/>
      <c r="M74" s="204"/>
      <c r="N74" s="204"/>
      <c r="O74" s="204"/>
      <c r="P74" s="205"/>
      <c r="Q74" s="205"/>
      <c r="R74" s="206"/>
      <c r="S74" s="207">
        <v>0</v>
      </c>
      <c r="T74" s="207">
        <v>0</v>
      </c>
      <c r="U74" s="207"/>
      <c r="V74" s="207"/>
      <c r="W74" s="205"/>
      <c r="X74" s="205"/>
      <c r="Y74" s="208">
        <v>0</v>
      </c>
      <c r="Z74" s="209"/>
      <c r="AA74" s="207"/>
      <c r="AB74" s="206"/>
      <c r="AC74" s="210"/>
      <c r="AD74" s="211">
        <v>0</v>
      </c>
      <c r="AE74" s="218">
        <v>0</v>
      </c>
      <c r="AF74" s="190"/>
      <c r="AG74" s="191"/>
      <c r="AH74" s="191"/>
      <c r="AI74" s="191"/>
      <c r="AJ74" s="191"/>
      <c r="AK74" s="191"/>
      <c r="AL74" s="191"/>
      <c r="AM74" s="191"/>
      <c r="AN74" s="191"/>
      <c r="AO74" s="191"/>
      <c r="AP74" s="191"/>
      <c r="AQ74" s="191"/>
      <c r="AR74" s="191"/>
      <c r="AS74" s="191"/>
      <c r="AT74" s="191"/>
      <c r="AU74" s="191"/>
      <c r="AV74" s="191"/>
      <c r="AW74" s="191"/>
      <c r="AX74" s="191"/>
      <c r="AY74" s="191"/>
    </row>
    <row r="75" spans="1:51" ht="12" customHeight="1" outlineLevel="1">
      <c r="A75" s="203"/>
      <c r="B75" s="203"/>
      <c r="C75" s="203">
        <v>2</v>
      </c>
      <c r="D75" s="216" t="s">
        <v>1665</v>
      </c>
      <c r="E75" s="297"/>
      <c r="F75" s="297" t="s">
        <v>1599</v>
      </c>
      <c r="G75" s="204"/>
      <c r="H75" s="204"/>
      <c r="I75" s="204"/>
      <c r="J75" s="204"/>
      <c r="K75" s="204"/>
      <c r="L75" s="204"/>
      <c r="M75" s="204"/>
      <c r="N75" s="204"/>
      <c r="O75" s="204"/>
      <c r="P75" s="205"/>
      <c r="Q75" s="205"/>
      <c r="R75" s="206"/>
      <c r="S75" s="207">
        <v>0</v>
      </c>
      <c r="T75" s="207">
        <v>0</v>
      </c>
      <c r="U75" s="207"/>
      <c r="V75" s="207"/>
      <c r="W75" s="205"/>
      <c r="X75" s="205"/>
      <c r="Y75" s="208">
        <v>0</v>
      </c>
      <c r="Z75" s="209"/>
      <c r="AA75" s="207"/>
      <c r="AB75" s="206"/>
      <c r="AC75" s="210"/>
      <c r="AD75" s="211">
        <v>0</v>
      </c>
      <c r="AE75" s="218">
        <v>0</v>
      </c>
      <c r="AF75" s="190"/>
      <c r="AG75" s="191"/>
      <c r="AH75" s="191"/>
      <c r="AI75" s="191"/>
      <c r="AJ75" s="191"/>
      <c r="AK75" s="191"/>
      <c r="AL75" s="191"/>
      <c r="AM75" s="191"/>
      <c r="AN75" s="191"/>
      <c r="AO75" s="191"/>
      <c r="AP75" s="191"/>
      <c r="AQ75" s="191"/>
      <c r="AR75" s="191"/>
      <c r="AS75" s="191"/>
      <c r="AT75" s="191"/>
      <c r="AU75" s="191"/>
      <c r="AV75" s="191"/>
      <c r="AW75" s="191"/>
      <c r="AX75" s="191"/>
      <c r="AY75" s="191"/>
    </row>
    <row r="76" spans="1:51" ht="12" customHeight="1" outlineLevel="1">
      <c r="A76" s="203"/>
      <c r="B76" s="203"/>
      <c r="C76" s="203">
        <v>2</v>
      </c>
      <c r="D76" s="216" t="s">
        <v>1666</v>
      </c>
      <c r="E76" s="297"/>
      <c r="F76" s="297" t="s">
        <v>1598</v>
      </c>
      <c r="G76" s="204"/>
      <c r="H76" s="204"/>
      <c r="I76" s="204"/>
      <c r="J76" s="204"/>
      <c r="K76" s="204"/>
      <c r="L76" s="204"/>
      <c r="M76" s="204"/>
      <c r="N76" s="204"/>
      <c r="O76" s="204"/>
      <c r="P76" s="205"/>
      <c r="Q76" s="205"/>
      <c r="R76" s="206"/>
      <c r="S76" s="207">
        <v>0</v>
      </c>
      <c r="T76" s="207">
        <v>0</v>
      </c>
      <c r="U76" s="207"/>
      <c r="V76" s="207"/>
      <c r="W76" s="205"/>
      <c r="X76" s="205"/>
      <c r="Y76" s="208">
        <v>0</v>
      </c>
      <c r="Z76" s="209"/>
      <c r="AA76" s="207"/>
      <c r="AB76" s="206"/>
      <c r="AC76" s="210"/>
      <c r="AD76" s="211">
        <v>0</v>
      </c>
      <c r="AE76" s="218">
        <v>0</v>
      </c>
      <c r="AF76" s="190"/>
      <c r="AG76" s="191"/>
      <c r="AH76" s="191"/>
      <c r="AI76" s="191"/>
      <c r="AJ76" s="191"/>
      <c r="AK76" s="191"/>
      <c r="AL76" s="191"/>
      <c r="AM76" s="191"/>
      <c r="AN76" s="191"/>
      <c r="AO76" s="191"/>
      <c r="AP76" s="191"/>
      <c r="AQ76" s="191"/>
      <c r="AR76" s="191"/>
      <c r="AS76" s="191"/>
      <c r="AT76" s="191"/>
      <c r="AU76" s="191"/>
      <c r="AV76" s="191"/>
      <c r="AW76" s="191"/>
      <c r="AX76" s="191"/>
      <c r="AY76" s="191"/>
    </row>
    <row r="77" spans="1:51" ht="12" customHeight="1" outlineLevel="1">
      <c r="A77" s="203"/>
      <c r="B77" s="203"/>
      <c r="C77" s="203">
        <v>2</v>
      </c>
      <c r="D77" s="216" t="s">
        <v>1667</v>
      </c>
      <c r="E77" s="297"/>
      <c r="F77" s="297" t="s">
        <v>1597</v>
      </c>
      <c r="G77" s="204"/>
      <c r="H77" s="204"/>
      <c r="I77" s="204"/>
      <c r="J77" s="204"/>
      <c r="K77" s="204"/>
      <c r="L77" s="204"/>
      <c r="M77" s="204"/>
      <c r="N77" s="204"/>
      <c r="O77" s="204"/>
      <c r="P77" s="205"/>
      <c r="Q77" s="205"/>
      <c r="R77" s="206"/>
      <c r="S77" s="207">
        <v>0</v>
      </c>
      <c r="T77" s="207">
        <v>0</v>
      </c>
      <c r="U77" s="207"/>
      <c r="V77" s="207"/>
      <c r="W77" s="205"/>
      <c r="X77" s="205"/>
      <c r="Y77" s="208">
        <v>0</v>
      </c>
      <c r="Z77" s="209"/>
      <c r="AA77" s="207"/>
      <c r="AB77" s="206"/>
      <c r="AC77" s="210"/>
      <c r="AD77" s="211">
        <v>0</v>
      </c>
      <c r="AE77" s="218">
        <v>0</v>
      </c>
      <c r="AF77" s="190"/>
      <c r="AG77" s="191"/>
      <c r="AH77" s="191"/>
      <c r="AI77" s="191"/>
      <c r="AJ77" s="191"/>
      <c r="AK77" s="191"/>
      <c r="AL77" s="191"/>
      <c r="AM77" s="191"/>
      <c r="AN77" s="191"/>
      <c r="AO77" s="191"/>
      <c r="AP77" s="191"/>
      <c r="AQ77" s="191"/>
      <c r="AR77" s="191"/>
      <c r="AS77" s="191"/>
      <c r="AT77" s="191"/>
      <c r="AU77" s="191"/>
      <c r="AV77" s="191"/>
      <c r="AW77" s="191"/>
      <c r="AX77" s="191"/>
      <c r="AY77" s="191"/>
    </row>
    <row r="78" spans="1:51" ht="12" customHeight="1" outlineLevel="1">
      <c r="A78" s="203"/>
      <c r="B78" s="203"/>
      <c r="C78" s="203">
        <v>2</v>
      </c>
      <c r="D78" s="216" t="s">
        <v>1668</v>
      </c>
      <c r="E78" s="298"/>
      <c r="F78" s="297" t="s">
        <v>1600</v>
      </c>
      <c r="G78" s="204"/>
      <c r="H78" s="204"/>
      <c r="I78" s="204"/>
      <c r="J78" s="204"/>
      <c r="K78" s="204"/>
      <c r="L78" s="204"/>
      <c r="M78" s="204"/>
      <c r="N78" s="204"/>
      <c r="O78" s="204"/>
      <c r="P78" s="205"/>
      <c r="Q78" s="205"/>
      <c r="R78" s="206"/>
      <c r="S78" s="207">
        <v>0</v>
      </c>
      <c r="T78" s="207">
        <v>0</v>
      </c>
      <c r="U78" s="207"/>
      <c r="V78" s="207"/>
      <c r="W78" s="205"/>
      <c r="X78" s="205"/>
      <c r="Y78" s="208">
        <v>0</v>
      </c>
      <c r="Z78" s="209"/>
      <c r="AA78" s="207"/>
      <c r="AB78" s="206"/>
      <c r="AC78" s="210"/>
      <c r="AD78" s="211">
        <v>0</v>
      </c>
      <c r="AE78" s="218">
        <v>0</v>
      </c>
      <c r="AF78" s="190"/>
      <c r="AG78" s="191"/>
      <c r="AH78" s="191"/>
      <c r="AI78" s="191"/>
      <c r="AJ78" s="191"/>
      <c r="AK78" s="191"/>
      <c r="AL78" s="191"/>
      <c r="AM78" s="191"/>
      <c r="AN78" s="191"/>
      <c r="AO78" s="191"/>
      <c r="AP78" s="191"/>
      <c r="AQ78" s="191"/>
      <c r="AR78" s="191"/>
      <c r="AS78" s="191"/>
      <c r="AT78" s="191"/>
      <c r="AU78" s="191"/>
      <c r="AV78" s="191"/>
      <c r="AW78" s="191"/>
      <c r="AX78" s="191"/>
      <c r="AY78" s="191"/>
    </row>
    <row r="79" spans="1:51" ht="12" customHeight="1" outlineLevel="1">
      <c r="A79" s="203"/>
      <c r="B79" s="203"/>
      <c r="C79" s="203">
        <v>2</v>
      </c>
      <c r="D79" s="216" t="s">
        <v>1669</v>
      </c>
      <c r="E79" s="297"/>
      <c r="F79" s="297" t="s">
        <v>1601</v>
      </c>
      <c r="G79" s="204"/>
      <c r="H79" s="204"/>
      <c r="I79" s="204"/>
      <c r="J79" s="204"/>
      <c r="K79" s="204"/>
      <c r="L79" s="204"/>
      <c r="M79" s="204"/>
      <c r="N79" s="204"/>
      <c r="O79" s="204"/>
      <c r="P79" s="205"/>
      <c r="Q79" s="205"/>
      <c r="R79" s="206"/>
      <c r="S79" s="207">
        <v>0</v>
      </c>
      <c r="T79" s="207">
        <v>0</v>
      </c>
      <c r="U79" s="207"/>
      <c r="V79" s="207"/>
      <c r="W79" s="205"/>
      <c r="X79" s="205"/>
      <c r="Y79" s="208">
        <v>0</v>
      </c>
      <c r="Z79" s="209"/>
      <c r="AA79" s="207"/>
      <c r="AB79" s="206"/>
      <c r="AC79" s="210"/>
      <c r="AD79" s="211">
        <v>0</v>
      </c>
      <c r="AE79" s="218">
        <v>0</v>
      </c>
      <c r="AF79" s="190"/>
      <c r="AG79" s="191"/>
      <c r="AH79" s="191"/>
      <c r="AI79" s="191"/>
      <c r="AJ79" s="191"/>
      <c r="AK79" s="191"/>
      <c r="AL79" s="191"/>
      <c r="AM79" s="191"/>
      <c r="AN79" s="191"/>
      <c r="AO79" s="191"/>
      <c r="AP79" s="191"/>
      <c r="AQ79" s="191"/>
      <c r="AR79" s="191"/>
      <c r="AS79" s="191"/>
      <c r="AT79" s="191"/>
      <c r="AU79" s="191"/>
      <c r="AV79" s="191"/>
      <c r="AW79" s="191"/>
      <c r="AX79" s="191"/>
      <c r="AY79" s="191"/>
    </row>
    <row r="80" spans="1:51" ht="12" customHeight="1" outlineLevel="1">
      <c r="A80" s="203"/>
      <c r="B80" s="203"/>
      <c r="C80" s="203">
        <v>2</v>
      </c>
      <c r="D80" s="216" t="s">
        <v>1670</v>
      </c>
      <c r="E80" s="297"/>
      <c r="F80" s="297" t="s">
        <v>1602</v>
      </c>
      <c r="G80" s="204"/>
      <c r="H80" s="204"/>
      <c r="I80" s="204"/>
      <c r="J80" s="204"/>
      <c r="K80" s="204"/>
      <c r="L80" s="204"/>
      <c r="M80" s="204"/>
      <c r="N80" s="204"/>
      <c r="O80" s="204"/>
      <c r="P80" s="205"/>
      <c r="Q80" s="205"/>
      <c r="R80" s="206"/>
      <c r="S80" s="207">
        <v>0</v>
      </c>
      <c r="T80" s="207">
        <v>0</v>
      </c>
      <c r="U80" s="207"/>
      <c r="V80" s="207"/>
      <c r="W80" s="205"/>
      <c r="X80" s="205"/>
      <c r="Y80" s="208">
        <v>0</v>
      </c>
      <c r="Z80" s="209"/>
      <c r="AA80" s="207"/>
      <c r="AB80" s="206"/>
      <c r="AC80" s="210"/>
      <c r="AD80" s="211">
        <v>0</v>
      </c>
      <c r="AE80" s="218">
        <v>0</v>
      </c>
      <c r="AF80" s="190"/>
      <c r="AG80" s="191"/>
      <c r="AH80" s="191"/>
      <c r="AI80" s="191"/>
      <c r="AJ80" s="191"/>
      <c r="AK80" s="191"/>
      <c r="AL80" s="191"/>
      <c r="AM80" s="191"/>
      <c r="AN80" s="191"/>
      <c r="AO80" s="191"/>
      <c r="AP80" s="191"/>
      <c r="AQ80" s="191"/>
      <c r="AR80" s="191"/>
      <c r="AS80" s="191"/>
      <c r="AT80" s="191"/>
      <c r="AU80" s="191"/>
      <c r="AV80" s="191"/>
      <c r="AW80" s="191"/>
      <c r="AX80" s="191"/>
      <c r="AY80" s="191"/>
    </row>
    <row r="81" spans="1:51" ht="12" customHeight="1" outlineLevel="1">
      <c r="A81" s="203"/>
      <c r="B81" s="203"/>
      <c r="C81" s="203">
        <v>0</v>
      </c>
      <c r="D81" s="204"/>
      <c r="E81" s="297"/>
      <c r="F81" s="297"/>
      <c r="G81" s="204"/>
      <c r="H81" s="204"/>
      <c r="I81" s="204"/>
      <c r="J81" s="204"/>
      <c r="K81" s="204"/>
      <c r="L81" s="204"/>
      <c r="M81" s="204"/>
      <c r="N81" s="204"/>
      <c r="O81" s="204"/>
      <c r="P81" s="205"/>
      <c r="Q81" s="205"/>
      <c r="R81" s="206"/>
      <c r="S81" s="207"/>
      <c r="T81" s="207"/>
      <c r="U81" s="207"/>
      <c r="V81" s="207"/>
      <c r="W81" s="205"/>
      <c r="X81" s="205"/>
      <c r="Y81" s="208"/>
      <c r="Z81" s="209"/>
      <c r="AA81" s="207"/>
      <c r="AB81" s="206"/>
      <c r="AC81" s="210"/>
      <c r="AD81" s="211"/>
      <c r="AE81" s="218"/>
      <c r="AF81" s="190"/>
      <c r="AG81" s="191"/>
      <c r="AH81" s="191"/>
      <c r="AI81" s="191"/>
      <c r="AJ81" s="191"/>
      <c r="AK81" s="191"/>
      <c r="AL81" s="191"/>
      <c r="AM81" s="191"/>
      <c r="AN81" s="191"/>
      <c r="AO81" s="191"/>
      <c r="AP81" s="191"/>
      <c r="AQ81" s="191"/>
      <c r="AR81" s="191"/>
      <c r="AS81" s="191"/>
      <c r="AT81" s="191"/>
      <c r="AU81" s="191"/>
      <c r="AV81" s="191"/>
      <c r="AW81" s="191"/>
      <c r="AX81" s="191"/>
      <c r="AY81" s="191"/>
    </row>
    <row r="82" spans="1:51" ht="12" customHeight="1">
      <c r="A82" s="203"/>
      <c r="B82" s="203" t="s">
        <v>1487</v>
      </c>
      <c r="C82" s="203">
        <v>1</v>
      </c>
      <c r="D82" s="216" t="s">
        <v>1112</v>
      </c>
      <c r="E82" s="298" t="s">
        <v>1614</v>
      </c>
      <c r="F82" s="297"/>
      <c r="G82" s="204"/>
      <c r="H82" s="204"/>
      <c r="I82" s="204"/>
      <c r="J82" s="204"/>
      <c r="K82" s="204"/>
      <c r="L82" s="204"/>
      <c r="M82" s="204"/>
      <c r="N82" s="204"/>
      <c r="O82" s="204"/>
      <c r="P82" s="205"/>
      <c r="Q82" s="205"/>
      <c r="R82" s="206"/>
      <c r="S82" s="207">
        <v>0</v>
      </c>
      <c r="T82" s="207">
        <v>0</v>
      </c>
      <c r="U82" s="207"/>
      <c r="V82" s="207"/>
      <c r="W82" s="205"/>
      <c r="X82" s="205"/>
      <c r="Y82" s="208">
        <v>0</v>
      </c>
      <c r="Z82" s="209"/>
      <c r="AA82" s="207"/>
      <c r="AB82" s="206"/>
      <c r="AC82" s="210"/>
      <c r="AD82" s="211">
        <v>0</v>
      </c>
      <c r="AE82" s="218">
        <v>0</v>
      </c>
      <c r="AF82" s="190"/>
      <c r="AG82" s="191"/>
      <c r="AH82" s="191"/>
      <c r="AI82" s="191"/>
      <c r="AJ82" s="191"/>
      <c r="AK82" s="191"/>
      <c r="AL82" s="191"/>
      <c r="AM82" s="191"/>
      <c r="AN82" s="191"/>
      <c r="AO82" s="191"/>
      <c r="AP82" s="191"/>
      <c r="AQ82" s="191"/>
      <c r="AR82" s="191"/>
      <c r="AS82" s="191"/>
      <c r="AT82" s="191"/>
      <c r="AU82" s="191"/>
      <c r="AV82" s="191"/>
      <c r="AW82" s="191"/>
      <c r="AX82" s="191"/>
      <c r="AY82" s="191"/>
    </row>
    <row r="83" spans="1:51" ht="12" customHeight="1" outlineLevel="1">
      <c r="A83" s="203"/>
      <c r="B83" s="203"/>
      <c r="C83" s="203">
        <v>2</v>
      </c>
      <c r="D83" s="216" t="s">
        <v>1671</v>
      </c>
      <c r="E83" s="297"/>
      <c r="F83" s="297" t="s">
        <v>1599</v>
      </c>
      <c r="G83" s="204"/>
      <c r="H83" s="204"/>
      <c r="I83" s="204"/>
      <c r="J83" s="204"/>
      <c r="K83" s="204"/>
      <c r="L83" s="204"/>
      <c r="M83" s="204"/>
      <c r="N83" s="204"/>
      <c r="O83" s="204"/>
      <c r="P83" s="205"/>
      <c r="Q83" s="205"/>
      <c r="R83" s="206"/>
      <c r="S83" s="207">
        <v>0</v>
      </c>
      <c r="T83" s="207">
        <v>0</v>
      </c>
      <c r="U83" s="207"/>
      <c r="V83" s="207"/>
      <c r="W83" s="205"/>
      <c r="X83" s="205"/>
      <c r="Y83" s="208">
        <v>0</v>
      </c>
      <c r="Z83" s="209"/>
      <c r="AA83" s="207"/>
      <c r="AB83" s="206"/>
      <c r="AC83" s="210"/>
      <c r="AD83" s="211">
        <v>0</v>
      </c>
      <c r="AE83" s="218">
        <v>0</v>
      </c>
      <c r="AF83" s="190"/>
      <c r="AG83" s="191"/>
      <c r="AH83" s="191"/>
      <c r="AI83" s="191"/>
      <c r="AJ83" s="191"/>
      <c r="AK83" s="191"/>
      <c r="AL83" s="191"/>
      <c r="AM83" s="191"/>
      <c r="AN83" s="191"/>
      <c r="AO83" s="191"/>
      <c r="AP83" s="191"/>
      <c r="AQ83" s="191"/>
      <c r="AR83" s="191"/>
      <c r="AS83" s="191"/>
      <c r="AT83" s="191"/>
      <c r="AU83" s="191"/>
      <c r="AV83" s="191"/>
      <c r="AW83" s="191"/>
      <c r="AX83" s="191"/>
      <c r="AY83" s="191"/>
    </row>
    <row r="84" spans="1:51" ht="12" customHeight="1" outlineLevel="1">
      <c r="A84" s="203"/>
      <c r="B84" s="203"/>
      <c r="C84" s="203">
        <v>2</v>
      </c>
      <c r="D84" s="216" t="s">
        <v>1672</v>
      </c>
      <c r="E84" s="297"/>
      <c r="F84" s="297" t="s">
        <v>1598</v>
      </c>
      <c r="G84" s="204"/>
      <c r="H84" s="204"/>
      <c r="I84" s="204"/>
      <c r="J84" s="204"/>
      <c r="K84" s="204"/>
      <c r="L84" s="204"/>
      <c r="M84" s="204"/>
      <c r="N84" s="204"/>
      <c r="O84" s="204"/>
      <c r="P84" s="205"/>
      <c r="Q84" s="205"/>
      <c r="R84" s="206"/>
      <c r="S84" s="207">
        <v>0</v>
      </c>
      <c r="T84" s="207">
        <v>0</v>
      </c>
      <c r="U84" s="207"/>
      <c r="V84" s="207"/>
      <c r="W84" s="205"/>
      <c r="X84" s="205"/>
      <c r="Y84" s="208">
        <v>0</v>
      </c>
      <c r="Z84" s="209"/>
      <c r="AA84" s="207"/>
      <c r="AB84" s="206"/>
      <c r="AC84" s="210"/>
      <c r="AD84" s="211">
        <v>0</v>
      </c>
      <c r="AE84" s="218">
        <v>0</v>
      </c>
      <c r="AF84" s="190"/>
      <c r="AG84" s="191"/>
      <c r="AH84" s="191"/>
      <c r="AI84" s="191"/>
      <c r="AJ84" s="191"/>
      <c r="AK84" s="191"/>
      <c r="AL84" s="191"/>
      <c r="AM84" s="191"/>
      <c r="AN84" s="191"/>
      <c r="AO84" s="191"/>
      <c r="AP84" s="191"/>
      <c r="AQ84" s="191"/>
      <c r="AR84" s="191"/>
      <c r="AS84" s="191"/>
      <c r="AT84" s="191"/>
      <c r="AU84" s="191"/>
      <c r="AV84" s="191"/>
      <c r="AW84" s="191"/>
      <c r="AX84" s="191"/>
      <c r="AY84" s="191"/>
    </row>
    <row r="85" spans="1:51" ht="12" customHeight="1" outlineLevel="1">
      <c r="A85" s="203"/>
      <c r="B85" s="203"/>
      <c r="C85" s="203">
        <v>2</v>
      </c>
      <c r="D85" s="216" t="s">
        <v>1673</v>
      </c>
      <c r="E85" s="297"/>
      <c r="F85" s="297" t="s">
        <v>1597</v>
      </c>
      <c r="G85" s="204"/>
      <c r="H85" s="204"/>
      <c r="I85" s="204"/>
      <c r="J85" s="204"/>
      <c r="K85" s="204"/>
      <c r="L85" s="204"/>
      <c r="M85" s="204"/>
      <c r="N85" s="204"/>
      <c r="O85" s="204"/>
      <c r="P85" s="205"/>
      <c r="Q85" s="205"/>
      <c r="R85" s="206"/>
      <c r="S85" s="207">
        <v>0</v>
      </c>
      <c r="T85" s="207">
        <v>0</v>
      </c>
      <c r="U85" s="207"/>
      <c r="V85" s="207"/>
      <c r="W85" s="205"/>
      <c r="X85" s="205"/>
      <c r="Y85" s="208">
        <v>0</v>
      </c>
      <c r="Z85" s="209"/>
      <c r="AA85" s="207"/>
      <c r="AB85" s="206"/>
      <c r="AC85" s="210"/>
      <c r="AD85" s="211">
        <v>0</v>
      </c>
      <c r="AE85" s="218">
        <v>0</v>
      </c>
      <c r="AF85" s="190"/>
      <c r="AG85" s="191"/>
      <c r="AH85" s="191"/>
      <c r="AI85" s="191"/>
      <c r="AJ85" s="191"/>
      <c r="AK85" s="191"/>
      <c r="AL85" s="191"/>
      <c r="AM85" s="191"/>
      <c r="AN85" s="191"/>
      <c r="AO85" s="191"/>
      <c r="AP85" s="191"/>
      <c r="AQ85" s="191"/>
      <c r="AR85" s="191"/>
      <c r="AS85" s="191"/>
      <c r="AT85" s="191"/>
      <c r="AU85" s="191"/>
      <c r="AV85" s="191"/>
      <c r="AW85" s="191"/>
      <c r="AX85" s="191"/>
      <c r="AY85" s="191"/>
    </row>
    <row r="86" spans="1:51" ht="12" customHeight="1" outlineLevel="1">
      <c r="A86" s="203"/>
      <c r="B86" s="203"/>
      <c r="C86" s="203">
        <v>2</v>
      </c>
      <c r="D86" s="216" t="s">
        <v>1674</v>
      </c>
      <c r="E86" s="298"/>
      <c r="F86" s="297" t="s">
        <v>1600</v>
      </c>
      <c r="G86" s="204"/>
      <c r="H86" s="204"/>
      <c r="I86" s="204"/>
      <c r="J86" s="204"/>
      <c r="K86" s="204"/>
      <c r="L86" s="204"/>
      <c r="M86" s="204"/>
      <c r="N86" s="204"/>
      <c r="O86" s="204"/>
      <c r="P86" s="205"/>
      <c r="Q86" s="205"/>
      <c r="R86" s="206"/>
      <c r="S86" s="207">
        <v>0</v>
      </c>
      <c r="T86" s="207">
        <v>0</v>
      </c>
      <c r="U86" s="207"/>
      <c r="V86" s="207"/>
      <c r="W86" s="205"/>
      <c r="X86" s="205"/>
      <c r="Y86" s="208">
        <v>0</v>
      </c>
      <c r="Z86" s="209"/>
      <c r="AA86" s="207"/>
      <c r="AB86" s="206"/>
      <c r="AC86" s="210"/>
      <c r="AD86" s="211">
        <v>0</v>
      </c>
      <c r="AE86" s="218">
        <v>0</v>
      </c>
      <c r="AF86" s="190"/>
      <c r="AG86" s="191"/>
      <c r="AH86" s="191"/>
      <c r="AI86" s="191"/>
      <c r="AJ86" s="191"/>
      <c r="AK86" s="191"/>
      <c r="AL86" s="191"/>
      <c r="AM86" s="191"/>
      <c r="AN86" s="191"/>
      <c r="AO86" s="191"/>
      <c r="AP86" s="191"/>
      <c r="AQ86" s="191"/>
      <c r="AR86" s="191"/>
      <c r="AS86" s="191"/>
      <c r="AT86" s="191"/>
      <c r="AU86" s="191"/>
      <c r="AV86" s="191"/>
      <c r="AW86" s="191"/>
      <c r="AX86" s="191"/>
      <c r="AY86" s="191"/>
    </row>
    <row r="87" spans="1:51" ht="12" customHeight="1" outlineLevel="1">
      <c r="A87" s="203"/>
      <c r="B87" s="203"/>
      <c r="C87" s="203">
        <v>2</v>
      </c>
      <c r="D87" s="216" t="s">
        <v>1675</v>
      </c>
      <c r="E87" s="297"/>
      <c r="F87" s="297" t="s">
        <v>1601</v>
      </c>
      <c r="G87" s="204"/>
      <c r="H87" s="204"/>
      <c r="I87" s="204"/>
      <c r="J87" s="204"/>
      <c r="K87" s="204"/>
      <c r="L87" s="204"/>
      <c r="M87" s="204"/>
      <c r="N87" s="204"/>
      <c r="O87" s="204"/>
      <c r="P87" s="205"/>
      <c r="Q87" s="205"/>
      <c r="R87" s="206"/>
      <c r="S87" s="207">
        <v>0</v>
      </c>
      <c r="T87" s="207">
        <v>0</v>
      </c>
      <c r="U87" s="207"/>
      <c r="V87" s="207"/>
      <c r="W87" s="205"/>
      <c r="X87" s="205"/>
      <c r="Y87" s="208">
        <v>0</v>
      </c>
      <c r="Z87" s="209"/>
      <c r="AA87" s="207"/>
      <c r="AB87" s="206"/>
      <c r="AC87" s="210"/>
      <c r="AD87" s="211">
        <v>0</v>
      </c>
      <c r="AE87" s="218">
        <v>0</v>
      </c>
      <c r="AF87" s="190"/>
      <c r="AG87" s="191"/>
      <c r="AH87" s="191"/>
      <c r="AI87" s="191"/>
      <c r="AJ87" s="191"/>
      <c r="AK87" s="191"/>
      <c r="AL87" s="191"/>
      <c r="AM87" s="191"/>
      <c r="AN87" s="191"/>
      <c r="AO87" s="191"/>
      <c r="AP87" s="191"/>
      <c r="AQ87" s="191"/>
      <c r="AR87" s="191"/>
      <c r="AS87" s="191"/>
      <c r="AT87" s="191"/>
      <c r="AU87" s="191"/>
      <c r="AV87" s="191"/>
      <c r="AW87" s="191"/>
      <c r="AX87" s="191"/>
      <c r="AY87" s="191"/>
    </row>
    <row r="88" spans="1:51" ht="12" customHeight="1" outlineLevel="1">
      <c r="A88" s="203"/>
      <c r="B88" s="203"/>
      <c r="C88" s="203">
        <v>2</v>
      </c>
      <c r="D88" s="216" t="s">
        <v>1676</v>
      </c>
      <c r="E88" s="297"/>
      <c r="F88" s="297" t="s">
        <v>1602</v>
      </c>
      <c r="G88" s="204"/>
      <c r="H88" s="204"/>
      <c r="I88" s="204"/>
      <c r="J88" s="204"/>
      <c r="K88" s="204"/>
      <c r="L88" s="204"/>
      <c r="M88" s="204"/>
      <c r="N88" s="204"/>
      <c r="O88" s="204"/>
      <c r="P88" s="205"/>
      <c r="Q88" s="205"/>
      <c r="R88" s="206"/>
      <c r="S88" s="207">
        <v>0</v>
      </c>
      <c r="T88" s="207">
        <v>0</v>
      </c>
      <c r="U88" s="207"/>
      <c r="V88" s="207"/>
      <c r="W88" s="205"/>
      <c r="X88" s="205"/>
      <c r="Y88" s="208">
        <v>0</v>
      </c>
      <c r="Z88" s="209"/>
      <c r="AA88" s="207"/>
      <c r="AB88" s="206"/>
      <c r="AC88" s="210"/>
      <c r="AD88" s="211">
        <v>0</v>
      </c>
      <c r="AE88" s="218">
        <v>0</v>
      </c>
      <c r="AF88" s="190"/>
      <c r="AG88" s="191"/>
      <c r="AH88" s="191"/>
      <c r="AI88" s="191"/>
      <c r="AJ88" s="191"/>
      <c r="AK88" s="191"/>
      <c r="AL88" s="191"/>
      <c r="AM88" s="191"/>
      <c r="AN88" s="191"/>
      <c r="AO88" s="191"/>
      <c r="AP88" s="191"/>
      <c r="AQ88" s="191"/>
      <c r="AR88" s="191"/>
      <c r="AS88" s="191"/>
      <c r="AT88" s="191"/>
      <c r="AU88" s="191"/>
      <c r="AV88" s="191"/>
      <c r="AW88" s="191"/>
      <c r="AX88" s="191"/>
      <c r="AY88" s="191"/>
    </row>
    <row r="89" spans="1:51" ht="12" customHeight="1" outlineLevel="1">
      <c r="A89" s="203"/>
      <c r="B89" s="203"/>
      <c r="C89" s="203">
        <v>0</v>
      </c>
      <c r="D89" s="204"/>
      <c r="E89" s="297"/>
      <c r="F89" s="297"/>
      <c r="G89" s="204"/>
      <c r="H89" s="204"/>
      <c r="I89" s="204"/>
      <c r="J89" s="204"/>
      <c r="K89" s="204"/>
      <c r="L89" s="204"/>
      <c r="M89" s="204"/>
      <c r="N89" s="204"/>
      <c r="O89" s="204"/>
      <c r="P89" s="205"/>
      <c r="Q89" s="205"/>
      <c r="R89" s="206"/>
      <c r="S89" s="207"/>
      <c r="T89" s="207"/>
      <c r="U89" s="207"/>
      <c r="V89" s="207"/>
      <c r="W89" s="205"/>
      <c r="X89" s="205"/>
      <c r="Y89" s="208"/>
      <c r="Z89" s="209"/>
      <c r="AA89" s="207"/>
      <c r="AB89" s="206"/>
      <c r="AC89" s="210"/>
      <c r="AD89" s="211"/>
      <c r="AE89" s="218"/>
      <c r="AF89" s="190"/>
      <c r="AG89" s="191"/>
      <c r="AH89" s="191"/>
      <c r="AI89" s="191"/>
      <c r="AJ89" s="191"/>
      <c r="AK89" s="191"/>
      <c r="AL89" s="191"/>
      <c r="AM89" s="191"/>
      <c r="AN89" s="191"/>
      <c r="AO89" s="191"/>
      <c r="AP89" s="191"/>
      <c r="AQ89" s="191"/>
      <c r="AR89" s="191"/>
      <c r="AS89" s="191"/>
      <c r="AT89" s="191"/>
      <c r="AU89" s="191"/>
      <c r="AV89" s="191"/>
      <c r="AW89" s="191"/>
      <c r="AX89" s="191"/>
      <c r="AY89" s="191"/>
    </row>
    <row r="90" spans="1:51" ht="12" customHeight="1" outlineLevel="1">
      <c r="A90" s="203"/>
      <c r="B90" s="203"/>
      <c r="C90" s="203">
        <v>0</v>
      </c>
      <c r="D90" s="204"/>
      <c r="E90" s="297"/>
      <c r="F90" s="297"/>
      <c r="G90" s="204"/>
      <c r="H90" s="204"/>
      <c r="I90" s="204"/>
      <c r="J90" s="204"/>
      <c r="K90" s="204"/>
      <c r="L90" s="204"/>
      <c r="M90" s="204"/>
      <c r="N90" s="204"/>
      <c r="O90" s="204"/>
      <c r="P90" s="205"/>
      <c r="Q90" s="205"/>
      <c r="R90" s="206"/>
      <c r="S90" s="207"/>
      <c r="T90" s="207"/>
      <c r="U90" s="207"/>
      <c r="V90" s="207"/>
      <c r="W90" s="205"/>
      <c r="X90" s="205"/>
      <c r="Y90" s="208"/>
      <c r="Z90" s="209"/>
      <c r="AA90" s="207"/>
      <c r="AB90" s="206"/>
      <c r="AC90" s="210"/>
      <c r="AD90" s="211"/>
      <c r="AE90" s="218"/>
      <c r="AF90" s="190"/>
      <c r="AG90" s="191"/>
      <c r="AH90" s="191"/>
      <c r="AI90" s="191"/>
      <c r="AJ90" s="191"/>
      <c r="AK90" s="191"/>
      <c r="AL90" s="191"/>
      <c r="AM90" s="191"/>
      <c r="AN90" s="191"/>
      <c r="AO90" s="191"/>
      <c r="AP90" s="191"/>
      <c r="AQ90" s="191"/>
      <c r="AR90" s="191"/>
      <c r="AS90" s="191"/>
      <c r="AT90" s="191"/>
      <c r="AU90" s="191"/>
      <c r="AV90" s="191"/>
      <c r="AW90" s="191"/>
      <c r="AX90" s="191"/>
      <c r="AY90" s="191"/>
    </row>
    <row r="91" spans="1:51" ht="12" customHeight="1">
      <c r="A91" s="203"/>
      <c r="B91" s="203" t="s">
        <v>1487</v>
      </c>
      <c r="C91" s="203">
        <v>1</v>
      </c>
      <c r="D91" s="216" t="s">
        <v>1113</v>
      </c>
      <c r="E91" s="298" t="s">
        <v>1615</v>
      </c>
      <c r="F91" s="297"/>
      <c r="G91" s="204"/>
      <c r="H91" s="204"/>
      <c r="I91" s="204"/>
      <c r="J91" s="204"/>
      <c r="K91" s="204"/>
      <c r="L91" s="204"/>
      <c r="M91" s="204"/>
      <c r="N91" s="204"/>
      <c r="O91" s="204"/>
      <c r="P91" s="205"/>
      <c r="Q91" s="205"/>
      <c r="R91" s="206"/>
      <c r="S91" s="207">
        <v>0</v>
      </c>
      <c r="T91" s="207">
        <v>0</v>
      </c>
      <c r="U91" s="207"/>
      <c r="V91" s="207"/>
      <c r="W91" s="205"/>
      <c r="X91" s="205"/>
      <c r="Y91" s="208">
        <v>0</v>
      </c>
      <c r="Z91" s="209"/>
      <c r="AA91" s="207"/>
      <c r="AB91" s="206"/>
      <c r="AC91" s="210"/>
      <c r="AD91" s="211">
        <v>0</v>
      </c>
      <c r="AE91" s="218">
        <v>0</v>
      </c>
      <c r="AF91" s="190"/>
      <c r="AG91" s="191"/>
      <c r="AH91" s="191"/>
      <c r="AI91" s="191"/>
      <c r="AJ91" s="191"/>
      <c r="AK91" s="191"/>
      <c r="AL91" s="191"/>
      <c r="AM91" s="191"/>
      <c r="AN91" s="191"/>
      <c r="AO91" s="191"/>
      <c r="AP91" s="191"/>
      <c r="AQ91" s="191"/>
      <c r="AR91" s="191"/>
      <c r="AS91" s="191"/>
      <c r="AT91" s="191"/>
      <c r="AU91" s="191"/>
      <c r="AV91" s="191"/>
      <c r="AW91" s="191"/>
      <c r="AX91" s="191"/>
      <c r="AY91" s="191"/>
    </row>
    <row r="92" spans="1:51" ht="12" customHeight="1" outlineLevel="1">
      <c r="A92" s="203"/>
      <c r="B92" s="203"/>
      <c r="C92" s="203">
        <v>2</v>
      </c>
      <c r="D92" s="216" t="s">
        <v>1677</v>
      </c>
      <c r="E92" s="297"/>
      <c r="F92" s="297" t="s">
        <v>1608</v>
      </c>
      <c r="G92" s="204"/>
      <c r="H92" s="204"/>
      <c r="I92" s="204"/>
      <c r="J92" s="204"/>
      <c r="K92" s="204"/>
      <c r="L92" s="204"/>
      <c r="M92" s="204"/>
      <c r="N92" s="204"/>
      <c r="O92" s="204"/>
      <c r="P92" s="205"/>
      <c r="Q92" s="205"/>
      <c r="R92" s="206"/>
      <c r="S92" s="207">
        <v>0</v>
      </c>
      <c r="T92" s="207">
        <v>0</v>
      </c>
      <c r="U92" s="207"/>
      <c r="V92" s="207"/>
      <c r="W92" s="205"/>
      <c r="X92" s="205"/>
      <c r="Y92" s="208">
        <v>0</v>
      </c>
      <c r="Z92" s="209"/>
      <c r="AA92" s="207"/>
      <c r="AB92" s="206"/>
      <c r="AC92" s="210"/>
      <c r="AD92" s="211">
        <v>0</v>
      </c>
      <c r="AE92" s="218">
        <v>0</v>
      </c>
      <c r="AF92" s="190"/>
      <c r="AG92" s="191"/>
      <c r="AH92" s="191"/>
      <c r="AI92" s="191"/>
      <c r="AJ92" s="191"/>
      <c r="AK92" s="191"/>
      <c r="AL92" s="191"/>
      <c r="AM92" s="191"/>
      <c r="AN92" s="191"/>
      <c r="AO92" s="191"/>
      <c r="AP92" s="191"/>
      <c r="AQ92" s="191"/>
      <c r="AR92" s="191"/>
      <c r="AS92" s="191"/>
      <c r="AT92" s="191"/>
      <c r="AU92" s="191"/>
      <c r="AV92" s="191"/>
      <c r="AW92" s="191"/>
      <c r="AX92" s="191"/>
      <c r="AY92" s="191"/>
    </row>
    <row r="93" spans="1:51" ht="12" customHeight="1" outlineLevel="1">
      <c r="A93" s="203"/>
      <c r="B93" s="203"/>
      <c r="C93" s="203">
        <v>2</v>
      </c>
      <c r="D93" s="216" t="s">
        <v>1678</v>
      </c>
      <c r="E93" s="297"/>
      <c r="F93" s="297" t="s">
        <v>1599</v>
      </c>
      <c r="G93" s="204"/>
      <c r="H93" s="204"/>
      <c r="I93" s="204"/>
      <c r="J93" s="204"/>
      <c r="K93" s="204"/>
      <c r="L93" s="204"/>
      <c r="M93" s="204"/>
      <c r="N93" s="204"/>
      <c r="O93" s="204"/>
      <c r="P93" s="205"/>
      <c r="Q93" s="205"/>
      <c r="R93" s="206"/>
      <c r="S93" s="207">
        <v>0</v>
      </c>
      <c r="T93" s="207">
        <v>0</v>
      </c>
      <c r="U93" s="207"/>
      <c r="V93" s="207"/>
      <c r="W93" s="205"/>
      <c r="X93" s="205"/>
      <c r="Y93" s="208">
        <v>0</v>
      </c>
      <c r="Z93" s="209"/>
      <c r="AA93" s="207"/>
      <c r="AB93" s="206"/>
      <c r="AC93" s="210"/>
      <c r="AD93" s="211">
        <v>0</v>
      </c>
      <c r="AE93" s="218">
        <v>0</v>
      </c>
      <c r="AF93" s="190"/>
      <c r="AG93" s="191"/>
      <c r="AH93" s="191"/>
      <c r="AI93" s="191"/>
      <c r="AJ93" s="191"/>
      <c r="AK93" s="191"/>
      <c r="AL93" s="191"/>
      <c r="AM93" s="191"/>
      <c r="AN93" s="191"/>
      <c r="AO93" s="191"/>
      <c r="AP93" s="191"/>
      <c r="AQ93" s="191"/>
      <c r="AR93" s="191"/>
      <c r="AS93" s="191"/>
      <c r="AT93" s="191"/>
      <c r="AU93" s="191"/>
      <c r="AV93" s="191"/>
      <c r="AW93" s="191"/>
      <c r="AX93" s="191"/>
      <c r="AY93" s="191"/>
    </row>
    <row r="94" spans="1:51" ht="12" customHeight="1" outlineLevel="1">
      <c r="A94" s="203"/>
      <c r="B94" s="203"/>
      <c r="C94" s="203">
        <v>2</v>
      </c>
      <c r="D94" s="216" t="s">
        <v>1679</v>
      </c>
      <c r="E94" s="297"/>
      <c r="F94" s="297" t="s">
        <v>1598</v>
      </c>
      <c r="G94" s="204"/>
      <c r="H94" s="204"/>
      <c r="I94" s="204"/>
      <c r="J94" s="204"/>
      <c r="K94" s="204"/>
      <c r="L94" s="204"/>
      <c r="M94" s="204"/>
      <c r="N94" s="204"/>
      <c r="O94" s="204"/>
      <c r="P94" s="205"/>
      <c r="Q94" s="205"/>
      <c r="R94" s="206"/>
      <c r="S94" s="207">
        <v>0</v>
      </c>
      <c r="T94" s="207">
        <v>0</v>
      </c>
      <c r="U94" s="207"/>
      <c r="V94" s="207"/>
      <c r="W94" s="205"/>
      <c r="X94" s="205"/>
      <c r="Y94" s="208">
        <v>0</v>
      </c>
      <c r="Z94" s="209"/>
      <c r="AA94" s="207"/>
      <c r="AB94" s="206"/>
      <c r="AC94" s="210"/>
      <c r="AD94" s="211">
        <v>0</v>
      </c>
      <c r="AE94" s="218">
        <v>0</v>
      </c>
      <c r="AF94" s="190"/>
      <c r="AG94" s="191"/>
      <c r="AH94" s="191"/>
      <c r="AI94" s="191"/>
      <c r="AJ94" s="191"/>
      <c r="AK94" s="191"/>
      <c r="AL94" s="191"/>
      <c r="AM94" s="191"/>
      <c r="AN94" s="191"/>
      <c r="AO94" s="191"/>
      <c r="AP94" s="191"/>
      <c r="AQ94" s="191"/>
      <c r="AR94" s="191"/>
      <c r="AS94" s="191"/>
      <c r="AT94" s="191"/>
      <c r="AU94" s="191"/>
      <c r="AV94" s="191"/>
      <c r="AW94" s="191"/>
      <c r="AX94" s="191"/>
      <c r="AY94" s="191"/>
    </row>
    <row r="95" spans="1:51" ht="12" customHeight="1" outlineLevel="1">
      <c r="A95" s="203"/>
      <c r="B95" s="203"/>
      <c r="C95" s="203">
        <v>2</v>
      </c>
      <c r="D95" s="216" t="s">
        <v>1680</v>
      </c>
      <c r="E95" s="298"/>
      <c r="F95" s="297" t="s">
        <v>1597</v>
      </c>
      <c r="G95" s="204"/>
      <c r="H95" s="204"/>
      <c r="I95" s="204"/>
      <c r="J95" s="204"/>
      <c r="K95" s="204"/>
      <c r="L95" s="204"/>
      <c r="M95" s="204"/>
      <c r="N95" s="204"/>
      <c r="O95" s="204"/>
      <c r="P95" s="205"/>
      <c r="Q95" s="205"/>
      <c r="R95" s="206"/>
      <c r="S95" s="207">
        <v>0</v>
      </c>
      <c r="T95" s="207">
        <v>0</v>
      </c>
      <c r="U95" s="207"/>
      <c r="V95" s="207"/>
      <c r="W95" s="205"/>
      <c r="X95" s="205"/>
      <c r="Y95" s="208">
        <v>0</v>
      </c>
      <c r="Z95" s="209"/>
      <c r="AA95" s="207"/>
      <c r="AB95" s="206"/>
      <c r="AC95" s="210"/>
      <c r="AD95" s="211">
        <v>0</v>
      </c>
      <c r="AE95" s="218">
        <v>0</v>
      </c>
      <c r="AF95" s="190"/>
      <c r="AG95" s="191"/>
      <c r="AH95" s="191"/>
      <c r="AI95" s="191"/>
      <c r="AJ95" s="191"/>
      <c r="AK95" s="191"/>
      <c r="AL95" s="191"/>
      <c r="AM95" s="191"/>
      <c r="AN95" s="191"/>
      <c r="AO95" s="191"/>
      <c r="AP95" s="191"/>
      <c r="AQ95" s="191"/>
      <c r="AR95" s="191"/>
      <c r="AS95" s="191"/>
      <c r="AT95" s="191"/>
      <c r="AU95" s="191"/>
      <c r="AV95" s="191"/>
      <c r="AW95" s="191"/>
      <c r="AX95" s="191"/>
      <c r="AY95" s="191"/>
    </row>
    <row r="96" spans="1:51" ht="12" customHeight="1" outlineLevel="1">
      <c r="A96" s="203"/>
      <c r="B96" s="203"/>
      <c r="C96" s="203">
        <v>2</v>
      </c>
      <c r="D96" s="216" t="s">
        <v>1681</v>
      </c>
      <c r="E96" s="297"/>
      <c r="F96" s="297" t="s">
        <v>1600</v>
      </c>
      <c r="G96" s="204"/>
      <c r="H96" s="204"/>
      <c r="I96" s="204"/>
      <c r="J96" s="204"/>
      <c r="K96" s="204"/>
      <c r="L96" s="204"/>
      <c r="M96" s="204"/>
      <c r="N96" s="204"/>
      <c r="O96" s="204"/>
      <c r="P96" s="205"/>
      <c r="Q96" s="205"/>
      <c r="R96" s="206"/>
      <c r="S96" s="207">
        <v>0</v>
      </c>
      <c r="T96" s="207">
        <v>0</v>
      </c>
      <c r="U96" s="207"/>
      <c r="V96" s="207"/>
      <c r="W96" s="205"/>
      <c r="X96" s="205"/>
      <c r="Y96" s="208">
        <v>0</v>
      </c>
      <c r="Z96" s="209"/>
      <c r="AA96" s="207"/>
      <c r="AB96" s="206"/>
      <c r="AC96" s="210"/>
      <c r="AD96" s="211">
        <v>0</v>
      </c>
      <c r="AE96" s="218">
        <v>0</v>
      </c>
      <c r="AF96" s="190"/>
      <c r="AG96" s="191"/>
      <c r="AH96" s="191"/>
      <c r="AI96" s="191"/>
      <c r="AJ96" s="191"/>
      <c r="AK96" s="191"/>
      <c r="AL96" s="191"/>
      <c r="AM96" s="191"/>
      <c r="AN96" s="191"/>
      <c r="AO96" s="191"/>
      <c r="AP96" s="191"/>
      <c r="AQ96" s="191"/>
      <c r="AR96" s="191"/>
      <c r="AS96" s="191"/>
      <c r="AT96" s="191"/>
      <c r="AU96" s="191"/>
      <c r="AV96" s="191"/>
      <c r="AW96" s="191"/>
      <c r="AX96" s="191"/>
      <c r="AY96" s="191"/>
    </row>
    <row r="97" spans="1:51" ht="12" customHeight="1" outlineLevel="1">
      <c r="A97" s="203"/>
      <c r="B97" s="203"/>
      <c r="C97" s="203">
        <v>2</v>
      </c>
      <c r="D97" s="216" t="s">
        <v>1682</v>
      </c>
      <c r="E97" s="297"/>
      <c r="F97" s="297" t="s">
        <v>1601</v>
      </c>
      <c r="G97" s="204"/>
      <c r="H97" s="204"/>
      <c r="I97" s="204"/>
      <c r="J97" s="204"/>
      <c r="K97" s="204"/>
      <c r="L97" s="204"/>
      <c r="M97" s="204"/>
      <c r="N97" s="204"/>
      <c r="O97" s="204"/>
      <c r="P97" s="205"/>
      <c r="Q97" s="205"/>
      <c r="R97" s="206"/>
      <c r="S97" s="207">
        <v>0</v>
      </c>
      <c r="T97" s="207">
        <v>0</v>
      </c>
      <c r="U97" s="207"/>
      <c r="V97" s="207"/>
      <c r="W97" s="205"/>
      <c r="X97" s="205"/>
      <c r="Y97" s="208">
        <v>0</v>
      </c>
      <c r="Z97" s="209"/>
      <c r="AA97" s="207"/>
      <c r="AB97" s="206"/>
      <c r="AC97" s="210"/>
      <c r="AD97" s="211">
        <v>0</v>
      </c>
      <c r="AE97" s="218">
        <v>0</v>
      </c>
      <c r="AF97" s="190"/>
      <c r="AG97" s="191"/>
      <c r="AH97" s="191"/>
      <c r="AI97" s="191"/>
      <c r="AJ97" s="191"/>
      <c r="AK97" s="191"/>
      <c r="AL97" s="191"/>
      <c r="AM97" s="191"/>
      <c r="AN97" s="191"/>
      <c r="AO97" s="191"/>
      <c r="AP97" s="191"/>
      <c r="AQ97" s="191"/>
      <c r="AR97" s="191"/>
      <c r="AS97" s="191"/>
      <c r="AT97" s="191"/>
      <c r="AU97" s="191"/>
      <c r="AV97" s="191"/>
      <c r="AW97" s="191"/>
      <c r="AX97" s="191"/>
      <c r="AY97" s="191"/>
    </row>
    <row r="98" spans="1:51" ht="12" customHeight="1" outlineLevel="1">
      <c r="A98" s="203"/>
      <c r="B98" s="203"/>
      <c r="C98" s="203">
        <v>2</v>
      </c>
      <c r="D98" s="216" t="s">
        <v>1683</v>
      </c>
      <c r="E98" s="297"/>
      <c r="F98" s="297" t="s">
        <v>1602</v>
      </c>
      <c r="G98" s="204"/>
      <c r="H98" s="204"/>
      <c r="I98" s="204"/>
      <c r="J98" s="204"/>
      <c r="K98" s="204"/>
      <c r="L98" s="204"/>
      <c r="M98" s="204"/>
      <c r="N98" s="204"/>
      <c r="O98" s="204"/>
      <c r="P98" s="205"/>
      <c r="Q98" s="205"/>
      <c r="R98" s="206"/>
      <c r="S98" s="207">
        <v>0</v>
      </c>
      <c r="T98" s="207">
        <v>0</v>
      </c>
      <c r="U98" s="207"/>
      <c r="V98" s="207"/>
      <c r="W98" s="205"/>
      <c r="X98" s="205"/>
      <c r="Y98" s="208">
        <v>0</v>
      </c>
      <c r="Z98" s="209"/>
      <c r="AA98" s="207"/>
      <c r="AB98" s="206"/>
      <c r="AC98" s="210"/>
      <c r="AD98" s="211">
        <v>0</v>
      </c>
      <c r="AE98" s="218">
        <v>0</v>
      </c>
      <c r="AF98" s="190"/>
      <c r="AG98" s="191"/>
      <c r="AH98" s="191"/>
      <c r="AI98" s="191"/>
      <c r="AJ98" s="191"/>
      <c r="AK98" s="191"/>
      <c r="AL98" s="191"/>
      <c r="AM98" s="191"/>
      <c r="AN98" s="191"/>
      <c r="AO98" s="191"/>
      <c r="AP98" s="191"/>
      <c r="AQ98" s="191"/>
      <c r="AR98" s="191"/>
      <c r="AS98" s="191"/>
      <c r="AT98" s="191"/>
      <c r="AU98" s="191"/>
      <c r="AV98" s="191"/>
      <c r="AW98" s="191"/>
      <c r="AX98" s="191"/>
      <c r="AY98" s="191"/>
    </row>
    <row r="99" spans="1:51" ht="12" customHeight="1" outlineLevel="1">
      <c r="A99" s="203"/>
      <c r="B99" s="203"/>
      <c r="C99" s="203">
        <v>0</v>
      </c>
      <c r="D99" s="204"/>
      <c r="E99" s="298"/>
      <c r="F99" s="297"/>
      <c r="G99" s="204"/>
      <c r="H99" s="204"/>
      <c r="I99" s="204"/>
      <c r="J99" s="204"/>
      <c r="K99" s="204"/>
      <c r="L99" s="204"/>
      <c r="M99" s="204"/>
      <c r="N99" s="204"/>
      <c r="O99" s="204"/>
      <c r="P99" s="205"/>
      <c r="Q99" s="205"/>
      <c r="R99" s="206"/>
      <c r="S99" s="207"/>
      <c r="T99" s="207"/>
      <c r="U99" s="207"/>
      <c r="V99" s="207"/>
      <c r="W99" s="205"/>
      <c r="X99" s="205"/>
      <c r="Y99" s="208"/>
      <c r="Z99" s="209"/>
      <c r="AA99" s="207"/>
      <c r="AB99" s="206"/>
      <c r="AC99" s="210"/>
      <c r="AD99" s="211"/>
      <c r="AE99" s="218"/>
      <c r="AF99" s="190"/>
      <c r="AG99" s="191"/>
      <c r="AH99" s="191"/>
      <c r="AI99" s="191"/>
      <c r="AJ99" s="191"/>
      <c r="AK99" s="191"/>
      <c r="AL99" s="191"/>
      <c r="AM99" s="191"/>
      <c r="AN99" s="191"/>
      <c r="AO99" s="191"/>
      <c r="AP99" s="191"/>
      <c r="AQ99" s="191"/>
      <c r="AR99" s="191"/>
      <c r="AS99" s="191"/>
      <c r="AT99" s="191"/>
      <c r="AU99" s="191"/>
      <c r="AV99" s="191"/>
      <c r="AW99" s="191"/>
      <c r="AX99" s="191"/>
      <c r="AY99" s="191"/>
    </row>
    <row r="100" spans="1:51" ht="12" customHeight="1">
      <c r="A100" s="203"/>
      <c r="B100" s="203"/>
      <c r="C100" s="203">
        <v>1</v>
      </c>
      <c r="D100" s="216" t="s">
        <v>1114</v>
      </c>
      <c r="E100" s="297" t="s">
        <v>1616</v>
      </c>
      <c r="F100" s="297"/>
      <c r="G100" s="204"/>
      <c r="H100" s="204"/>
      <c r="I100" s="204"/>
      <c r="J100" s="204"/>
      <c r="K100" s="204"/>
      <c r="L100" s="204"/>
      <c r="M100" s="204"/>
      <c r="N100" s="204"/>
      <c r="O100" s="204"/>
      <c r="P100" s="205"/>
      <c r="Q100" s="205"/>
      <c r="R100" s="206"/>
      <c r="S100" s="207">
        <v>0</v>
      </c>
      <c r="T100" s="207">
        <v>0</v>
      </c>
      <c r="U100" s="207"/>
      <c r="V100" s="207"/>
      <c r="W100" s="205"/>
      <c r="X100" s="205"/>
      <c r="Y100" s="208">
        <v>0</v>
      </c>
      <c r="Z100" s="209"/>
      <c r="AA100" s="207"/>
      <c r="AB100" s="206"/>
      <c r="AC100" s="210"/>
      <c r="AD100" s="211">
        <v>0</v>
      </c>
      <c r="AE100" s="218">
        <v>0</v>
      </c>
      <c r="AF100" s="190"/>
      <c r="AG100" s="191"/>
      <c r="AH100" s="191"/>
      <c r="AI100" s="191"/>
      <c r="AJ100" s="191"/>
      <c r="AK100" s="191"/>
      <c r="AL100" s="191"/>
      <c r="AM100" s="191"/>
      <c r="AN100" s="191"/>
      <c r="AO100" s="191"/>
      <c r="AP100" s="191"/>
      <c r="AQ100" s="191"/>
      <c r="AR100" s="191"/>
      <c r="AS100" s="191"/>
      <c r="AT100" s="191"/>
      <c r="AU100" s="191"/>
      <c r="AV100" s="191"/>
      <c r="AW100" s="191"/>
      <c r="AX100" s="191"/>
      <c r="AY100" s="191"/>
    </row>
    <row r="101" spans="1:51" ht="12" customHeight="1">
      <c r="A101" s="192"/>
      <c r="B101" s="192"/>
      <c r="C101" s="192"/>
      <c r="D101" s="193"/>
      <c r="E101" s="194"/>
      <c r="F101" s="194"/>
      <c r="G101" s="194"/>
      <c r="H101" s="194"/>
      <c r="I101" s="194"/>
      <c r="J101" s="194"/>
      <c r="K101" s="194"/>
      <c r="L101" s="194"/>
      <c r="M101" s="194"/>
      <c r="N101" s="194"/>
      <c r="O101" s="194"/>
      <c r="P101" s="195"/>
      <c r="Q101" s="195"/>
      <c r="R101" s="196"/>
      <c r="S101" s="197"/>
      <c r="T101" s="197"/>
      <c r="U101" s="197"/>
      <c r="V101" s="197"/>
      <c r="W101" s="195"/>
      <c r="X101" s="195"/>
      <c r="Y101" s="198"/>
      <c r="Z101" s="199"/>
      <c r="AA101" s="197"/>
      <c r="AB101" s="196"/>
      <c r="AC101" s="200"/>
      <c r="AD101" s="201"/>
      <c r="AE101" s="202"/>
      <c r="AF101" s="189"/>
      <c r="AG101" s="189"/>
      <c r="AH101" s="189"/>
      <c r="AI101" s="189"/>
      <c r="AJ101" s="189"/>
      <c r="AK101" s="189"/>
      <c r="AL101" s="189"/>
      <c r="AM101" s="189"/>
      <c r="AN101" s="189"/>
      <c r="AO101" s="189"/>
      <c r="AP101" s="189"/>
      <c r="AQ101" s="189"/>
      <c r="AR101" s="189"/>
      <c r="AS101" s="189"/>
      <c r="AT101" s="189"/>
      <c r="AU101" s="189"/>
      <c r="AV101" s="189"/>
      <c r="AW101" s="189"/>
      <c r="AX101" s="189"/>
      <c r="AY101" s="189"/>
    </row>
  </sheetData>
  <sheetProtection formatCells="0" formatColumns="0" formatRows="0" insertColumns="0" insertRows="0" insertHyperlinks="0" deleteColumns="0" deleteRows="0" sort="0" autoFilter="0" pivotTables="0"/>
  <dataConsolidate/>
  <mergeCells count="33">
    <mergeCell ref="AF3:AI3"/>
    <mergeCell ref="AF2:AI2"/>
    <mergeCell ref="AJ3:AM3"/>
    <mergeCell ref="AJ2:AM2"/>
    <mergeCell ref="AN3:AQ3"/>
    <mergeCell ref="AN2:AQ2"/>
    <mergeCell ref="AR3:AU3"/>
    <mergeCell ref="AR2:AU2"/>
    <mergeCell ref="AV3:AY3"/>
    <mergeCell ref="AV2:AY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100">
    <cfRule type="expression" dxfId="1" priority="2">
      <formula>($B5="G")</formula>
    </cfRule>
    <cfRule type="expression" dxfId="0" priority="1">
      <formula>($AE5=1)</formula>
    </cfRule>
  </conditionalFormatting>
  <hyperlinks>
    <hyperlink ref="AF1:BJ1" r:id="rId1" display="https://xlworks.net/xlgantt-project-scheduler/" xr:uid="{FC9A3430-E97D-4D63-AA98-5F8E26B759B3}"/>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1453</v>
      </c>
      <c r="B1" s="2"/>
      <c r="C1" s="2"/>
      <c r="D1" s="2"/>
      <c r="E1" s="2"/>
      <c r="F1" s="2"/>
      <c r="G1" s="2"/>
      <c r="H1" s="2"/>
      <c r="I1" s="2"/>
      <c r="J1" s="2"/>
      <c r="K1" s="2"/>
      <c r="L1" s="291"/>
      <c r="M1" s="292"/>
      <c r="N1" s="292"/>
      <c r="O1" s="3"/>
      <c r="P1" s="3"/>
      <c r="Q1" s="3"/>
    </row>
    <row r="2" spans="1:17" s="7" customFormat="1" ht="13.8">
      <c r="A2" s="5" t="s">
        <v>1456</v>
      </c>
      <c r="B2" s="6"/>
    </row>
    <row r="3" spans="1:17" s="7" customFormat="1" ht="13.8">
      <c r="A3" s="5" t="s">
        <v>1457</v>
      </c>
      <c r="B3" s="6"/>
    </row>
    <row r="4" spans="1:17" s="7" customFormat="1" ht="13.8">
      <c r="A4" s="293"/>
      <c r="B4" s="293"/>
      <c r="C4" s="8"/>
      <c r="D4" s="9"/>
      <c r="E4" s="9"/>
      <c r="F4" s="9"/>
    </row>
    <row r="5" spans="1:17" s="15" customFormat="1" ht="13.8">
      <c r="A5" s="10"/>
      <c r="B5" s="11"/>
      <c r="C5" s="12"/>
      <c r="D5" s="13"/>
      <c r="E5" s="14"/>
      <c r="F5" s="14"/>
      <c r="G5" s="14"/>
    </row>
    <row r="6" spans="1:17" s="15" customFormat="1" ht="13.8">
      <c r="A6" s="16" t="s">
        <v>1458</v>
      </c>
      <c r="B6" s="17">
        <v>123</v>
      </c>
      <c r="C6" s="15" t="s">
        <v>0</v>
      </c>
      <c r="D6" s="290" t="s">
        <v>1459</v>
      </c>
      <c r="E6" s="290"/>
      <c r="F6" s="290"/>
      <c r="G6" s="290"/>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1460</v>
      </c>
      <c r="B9" s="17">
        <v>49</v>
      </c>
      <c r="C9" s="15" t="s">
        <v>0</v>
      </c>
      <c r="D9" s="289" t="s">
        <v>1461</v>
      </c>
      <c r="E9" s="289"/>
      <c r="F9" s="289"/>
      <c r="G9" s="289"/>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1454</v>
      </c>
      <c r="B12" s="17">
        <v>33.200000000000003</v>
      </c>
      <c r="C12" s="15" t="s">
        <v>0</v>
      </c>
      <c r="D12" s="294" t="s">
        <v>1455</v>
      </c>
      <c r="E12" s="289"/>
      <c r="F12" s="289"/>
      <c r="G12" s="289"/>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1462</v>
      </c>
      <c r="B15" s="17"/>
      <c r="C15" s="15" t="s">
        <v>0</v>
      </c>
      <c r="D15" s="289" t="s">
        <v>1463</v>
      </c>
      <c r="E15" s="289"/>
      <c r="F15" s="289"/>
      <c r="G15" s="289"/>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1464</v>
      </c>
      <c r="B18" s="39">
        <v>0.3983739837398374</v>
      </c>
      <c r="D18" s="289" t="s">
        <v>1465</v>
      </c>
      <c r="E18" s="289"/>
      <c r="F18" s="289"/>
      <c r="G18" s="289"/>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1466</v>
      </c>
      <c r="B21" s="39">
        <v>0.26991869918699191</v>
      </c>
      <c r="D21" s="289" t="s">
        <v>1467</v>
      </c>
      <c r="E21" s="289"/>
      <c r="F21" s="289"/>
      <c r="G21" s="289"/>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1468</v>
      </c>
      <c r="B24" s="49">
        <f>ACTUAL_RATE-PLANNED_RATE</f>
        <v>-0.12845528455284549</v>
      </c>
      <c r="D24" s="290" t="s">
        <v>1469</v>
      </c>
      <c r="E24" s="290"/>
      <c r="F24" s="290"/>
      <c r="G24" s="290"/>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activeCell="A16" sqref="A16"/>
    </sheetView>
  </sheetViews>
  <sheetFormatPr defaultColWidth="9.09765625" defaultRowHeight="14.4" outlineLevelRow="2"/>
  <cols>
    <col min="1" max="1" width="20.59765625" style="136" customWidth="1"/>
    <col min="2" max="2" width="11.69921875" style="136" bestFit="1" customWidth="1"/>
    <col min="3" max="3" width="32.3984375" style="136" bestFit="1" customWidth="1"/>
    <col min="4" max="5" width="10.59765625" style="136" bestFit="1" customWidth="1"/>
    <col min="6" max="6" width="9" style="222" bestFit="1" customWidth="1"/>
    <col min="7" max="9" width="9.19921875" style="92" bestFit="1" customWidth="1"/>
    <col min="10" max="11" width="8.3984375" style="92" bestFit="1" customWidth="1"/>
    <col min="12" max="12" width="8.69921875" style="92" bestFit="1" customWidth="1"/>
    <col min="13" max="16384" width="9.09765625" style="136"/>
  </cols>
  <sheetData>
    <row r="1" spans="1:12" ht="36.9" customHeight="1">
      <c r="A1" s="62" t="s">
        <v>1577</v>
      </c>
    </row>
    <row r="2" spans="1:12">
      <c r="A2" s="136" t="s">
        <v>605</v>
      </c>
    </row>
    <row r="3" spans="1:12">
      <c r="A3" s="136" t="s">
        <v>608</v>
      </c>
    </row>
    <row r="6" spans="1:12" ht="43.2">
      <c r="A6" s="63" t="s">
        <v>1283</v>
      </c>
      <c r="B6" s="91" t="s">
        <v>341</v>
      </c>
      <c r="C6" s="91" t="s">
        <v>1284</v>
      </c>
      <c r="D6" s="91" t="s">
        <v>557</v>
      </c>
      <c r="E6" s="91" t="s">
        <v>558</v>
      </c>
      <c r="F6" s="224" t="s">
        <v>1578</v>
      </c>
      <c r="G6" s="225" t="s">
        <v>1579</v>
      </c>
      <c r="H6" s="225" t="s">
        <v>1580</v>
      </c>
      <c r="I6" s="225" t="s">
        <v>1581</v>
      </c>
      <c r="J6" s="225" t="s">
        <v>771</v>
      </c>
      <c r="K6" s="225" t="s">
        <v>601</v>
      </c>
      <c r="L6" s="226" t="s">
        <v>915</v>
      </c>
    </row>
    <row r="7" spans="1:12" ht="15" outlineLevel="2">
      <c r="A7" s="227" t="s">
        <v>1488</v>
      </c>
      <c r="B7" s="228" t="s">
        <v>1506</v>
      </c>
      <c r="C7" s="227" t="s">
        <v>1507</v>
      </c>
      <c r="D7" s="229">
        <v>44358</v>
      </c>
      <c r="E7" s="229">
        <v>44358</v>
      </c>
      <c r="F7" s="222">
        <v>1</v>
      </c>
      <c r="G7" s="92">
        <v>1</v>
      </c>
      <c r="H7" s="92">
        <v>0</v>
      </c>
      <c r="I7" s="92">
        <v>0</v>
      </c>
      <c r="J7" s="222">
        <v>0</v>
      </c>
      <c r="K7" s="222">
        <v>0</v>
      </c>
      <c r="L7" s="222">
        <f t="shared" ref="L7:L51" si="0">K7-J7</f>
        <v>0</v>
      </c>
    </row>
    <row r="8" spans="1:12" ht="15" outlineLevel="2">
      <c r="A8" s="227" t="s">
        <v>1488</v>
      </c>
      <c r="B8" s="228" t="s">
        <v>1512</v>
      </c>
      <c r="C8" s="227" t="s">
        <v>1513</v>
      </c>
      <c r="D8" s="229">
        <v>44487</v>
      </c>
      <c r="E8" s="229">
        <v>44487</v>
      </c>
      <c r="F8" s="222">
        <v>0</v>
      </c>
      <c r="G8" s="92">
        <v>0</v>
      </c>
      <c r="H8" s="92">
        <v>0</v>
      </c>
      <c r="I8" s="92">
        <v>0</v>
      </c>
      <c r="J8" s="222">
        <v>0</v>
      </c>
      <c r="K8" s="222">
        <v>0</v>
      </c>
      <c r="L8" s="222">
        <f t="shared" si="0"/>
        <v>0</v>
      </c>
    </row>
    <row r="9" spans="1:12" ht="15" outlineLevel="2">
      <c r="A9" s="227" t="s">
        <v>1488</v>
      </c>
      <c r="B9" s="228" t="s">
        <v>1514</v>
      </c>
      <c r="C9" s="227" t="s">
        <v>1515</v>
      </c>
      <c r="D9" s="229">
        <v>44340</v>
      </c>
      <c r="E9" s="229">
        <v>44358</v>
      </c>
      <c r="F9" s="222">
        <v>1</v>
      </c>
      <c r="G9" s="92">
        <v>15</v>
      </c>
      <c r="H9" s="92">
        <v>7</v>
      </c>
      <c r="I9" s="92">
        <v>15</v>
      </c>
      <c r="J9" s="222">
        <v>0.46666666666666667</v>
      </c>
      <c r="K9" s="222">
        <v>1</v>
      </c>
      <c r="L9" s="222">
        <f t="shared" si="0"/>
        <v>0.53333333333333333</v>
      </c>
    </row>
    <row r="10" spans="1:12" ht="15" outlineLevel="2">
      <c r="A10" s="227" t="s">
        <v>1488</v>
      </c>
      <c r="B10" s="228" t="s">
        <v>1517</v>
      </c>
      <c r="C10" s="227" t="s">
        <v>1518</v>
      </c>
      <c r="D10" s="229">
        <v>44346</v>
      </c>
      <c r="E10" s="229">
        <v>44357</v>
      </c>
      <c r="F10" s="222">
        <v>1</v>
      </c>
      <c r="G10" s="92">
        <v>9</v>
      </c>
      <c r="H10" s="92">
        <v>2</v>
      </c>
      <c r="I10" s="92">
        <v>1.8</v>
      </c>
      <c r="J10" s="222">
        <v>0.22222222222222221</v>
      </c>
      <c r="K10" s="222">
        <v>0.2</v>
      </c>
      <c r="L10" s="238">
        <f t="shared" si="0"/>
        <v>-2.2222222222222199E-2</v>
      </c>
    </row>
    <row r="11" spans="1:12" ht="15" outlineLevel="2">
      <c r="A11" s="227" t="s">
        <v>1488</v>
      </c>
      <c r="B11" s="228" t="s">
        <v>1521</v>
      </c>
      <c r="C11" s="227" t="s">
        <v>1522</v>
      </c>
      <c r="D11" s="229">
        <v>44360</v>
      </c>
      <c r="E11" s="229">
        <v>44378</v>
      </c>
      <c r="F11" s="222">
        <v>1</v>
      </c>
      <c r="G11" s="92">
        <v>14</v>
      </c>
      <c r="H11" s="92">
        <v>0</v>
      </c>
      <c r="I11" s="92">
        <v>0</v>
      </c>
      <c r="J11" s="222">
        <v>0</v>
      </c>
      <c r="K11" s="222">
        <v>0</v>
      </c>
      <c r="L11" s="222">
        <f t="shared" si="0"/>
        <v>0</v>
      </c>
    </row>
    <row r="12" spans="1:12" ht="15" outlineLevel="2">
      <c r="A12" s="227" t="s">
        <v>1488</v>
      </c>
      <c r="B12" s="228" t="s">
        <v>1524</v>
      </c>
      <c r="C12" s="227" t="s">
        <v>1525</v>
      </c>
      <c r="D12" s="229">
        <v>44367</v>
      </c>
      <c r="E12" s="229">
        <v>44378</v>
      </c>
      <c r="F12" s="222">
        <v>1</v>
      </c>
      <c r="G12" s="92">
        <v>9</v>
      </c>
      <c r="H12" s="92">
        <v>0</v>
      </c>
      <c r="I12" s="92">
        <v>0</v>
      </c>
      <c r="J12" s="222">
        <v>0</v>
      </c>
      <c r="K12" s="222">
        <v>0</v>
      </c>
      <c r="L12" s="222">
        <f t="shared" si="0"/>
        <v>0</v>
      </c>
    </row>
    <row r="13" spans="1:12" ht="15" outlineLevel="2">
      <c r="A13" s="227" t="s">
        <v>1488</v>
      </c>
      <c r="B13" s="228" t="s">
        <v>1526</v>
      </c>
      <c r="C13" s="227" t="s">
        <v>1527</v>
      </c>
      <c r="D13" s="229">
        <v>44374</v>
      </c>
      <c r="E13" s="229">
        <v>44385</v>
      </c>
      <c r="F13" s="222">
        <v>1</v>
      </c>
      <c r="G13" s="92">
        <v>9</v>
      </c>
      <c r="H13" s="92">
        <v>0</v>
      </c>
      <c r="I13" s="92">
        <v>0</v>
      </c>
      <c r="J13" s="222">
        <v>0</v>
      </c>
      <c r="K13" s="222">
        <v>0</v>
      </c>
      <c r="L13" s="222">
        <f t="shared" si="0"/>
        <v>0</v>
      </c>
    </row>
    <row r="14" spans="1:12" ht="15" outlineLevel="2">
      <c r="A14" s="227" t="s">
        <v>1488</v>
      </c>
      <c r="B14" s="228" t="s">
        <v>1528</v>
      </c>
      <c r="C14" s="227" t="s">
        <v>1529</v>
      </c>
      <c r="D14" s="229">
        <v>44374</v>
      </c>
      <c r="E14" s="229">
        <v>44392</v>
      </c>
      <c r="F14" s="222">
        <v>1</v>
      </c>
      <c r="G14" s="92">
        <v>14</v>
      </c>
      <c r="H14" s="92">
        <v>0</v>
      </c>
      <c r="I14" s="92">
        <v>0</v>
      </c>
      <c r="J14" s="222">
        <v>0</v>
      </c>
      <c r="K14" s="222">
        <v>0</v>
      </c>
      <c r="L14" s="222">
        <f t="shared" si="0"/>
        <v>0</v>
      </c>
    </row>
    <row r="15" spans="1:12" ht="15" outlineLevel="2">
      <c r="A15" s="227" t="s">
        <v>1488</v>
      </c>
      <c r="B15" s="228" t="s">
        <v>1530</v>
      </c>
      <c r="C15" s="227" t="s">
        <v>1531</v>
      </c>
      <c r="D15" s="229">
        <v>44395</v>
      </c>
      <c r="E15" s="229">
        <v>44399</v>
      </c>
      <c r="F15" s="222">
        <v>1</v>
      </c>
      <c r="G15" s="92">
        <v>4</v>
      </c>
      <c r="H15" s="92">
        <v>0</v>
      </c>
      <c r="I15" s="92">
        <v>0</v>
      </c>
      <c r="J15" s="222">
        <v>0</v>
      </c>
      <c r="K15" s="222">
        <v>0</v>
      </c>
      <c r="L15" s="222">
        <f t="shared" si="0"/>
        <v>0</v>
      </c>
    </row>
    <row r="16" spans="1:12" ht="15" outlineLevel="2">
      <c r="A16" s="227" t="s">
        <v>1488</v>
      </c>
      <c r="B16" s="228" t="s">
        <v>1533</v>
      </c>
      <c r="C16" s="227" t="s">
        <v>1534</v>
      </c>
      <c r="D16" s="229">
        <v>44395</v>
      </c>
      <c r="E16" s="229">
        <v>44399</v>
      </c>
      <c r="F16" s="222">
        <v>1</v>
      </c>
      <c r="G16" s="92">
        <v>4</v>
      </c>
      <c r="H16" s="92">
        <v>0</v>
      </c>
      <c r="I16" s="92">
        <v>0</v>
      </c>
      <c r="J16" s="222">
        <v>0</v>
      </c>
      <c r="K16" s="222">
        <v>0</v>
      </c>
      <c r="L16" s="222">
        <f t="shared" si="0"/>
        <v>0</v>
      </c>
    </row>
    <row r="17" spans="1:12" ht="15" outlineLevel="2">
      <c r="A17" s="227" t="s">
        <v>1488</v>
      </c>
      <c r="B17" s="228" t="s">
        <v>1537</v>
      </c>
      <c r="C17" s="227" t="s">
        <v>1538</v>
      </c>
      <c r="D17" s="229">
        <v>44395</v>
      </c>
      <c r="E17" s="229">
        <v>44399</v>
      </c>
      <c r="F17" s="222">
        <v>1</v>
      </c>
      <c r="G17" s="92">
        <v>4</v>
      </c>
      <c r="H17" s="92">
        <v>0</v>
      </c>
      <c r="I17" s="92">
        <v>0</v>
      </c>
      <c r="J17" s="222">
        <v>0</v>
      </c>
      <c r="K17" s="222">
        <v>0</v>
      </c>
      <c r="L17" s="222">
        <f t="shared" si="0"/>
        <v>0</v>
      </c>
    </row>
    <row r="18" spans="1:12" ht="15" outlineLevel="2">
      <c r="A18" s="227" t="s">
        <v>1488</v>
      </c>
      <c r="B18" s="228" t="s">
        <v>1539</v>
      </c>
      <c r="C18" s="227" t="s">
        <v>1540</v>
      </c>
      <c r="D18" s="229">
        <v>44402</v>
      </c>
      <c r="E18" s="229">
        <v>44406</v>
      </c>
      <c r="F18" s="222">
        <v>1</v>
      </c>
      <c r="G18" s="92">
        <v>4</v>
      </c>
      <c r="H18" s="92">
        <v>0</v>
      </c>
      <c r="I18" s="92">
        <v>0</v>
      </c>
      <c r="J18" s="222">
        <v>0</v>
      </c>
      <c r="K18" s="222">
        <v>0</v>
      </c>
      <c r="L18" s="222">
        <f t="shared" si="0"/>
        <v>0</v>
      </c>
    </row>
    <row r="19" spans="1:12" ht="15" outlineLevel="2">
      <c r="A19" s="227" t="s">
        <v>1488</v>
      </c>
      <c r="B19" s="228" t="s">
        <v>1541</v>
      </c>
      <c r="C19" s="227" t="s">
        <v>1542</v>
      </c>
      <c r="D19" s="229">
        <v>44402</v>
      </c>
      <c r="E19" s="229">
        <v>44413</v>
      </c>
      <c r="F19" s="222">
        <v>1</v>
      </c>
      <c r="G19" s="92">
        <v>9</v>
      </c>
      <c r="H19" s="92">
        <v>0</v>
      </c>
      <c r="I19" s="92">
        <v>0</v>
      </c>
      <c r="J19" s="222">
        <v>0</v>
      </c>
      <c r="K19" s="222">
        <v>0</v>
      </c>
      <c r="L19" s="222">
        <f t="shared" si="0"/>
        <v>0</v>
      </c>
    </row>
    <row r="20" spans="1:12" ht="15" outlineLevel="2">
      <c r="A20" s="227" t="s">
        <v>1488</v>
      </c>
      <c r="B20" s="228" t="s">
        <v>1543</v>
      </c>
      <c r="C20" s="227" t="s">
        <v>1544</v>
      </c>
      <c r="D20" s="229">
        <v>44395</v>
      </c>
      <c r="E20" s="229">
        <v>44454</v>
      </c>
      <c r="F20" s="222">
        <v>1</v>
      </c>
      <c r="G20" s="92">
        <v>43</v>
      </c>
      <c r="H20" s="92">
        <v>0</v>
      </c>
      <c r="I20" s="92">
        <v>0</v>
      </c>
      <c r="J20" s="222">
        <v>0</v>
      </c>
      <c r="K20" s="222">
        <v>0</v>
      </c>
      <c r="L20" s="222">
        <f t="shared" si="0"/>
        <v>0</v>
      </c>
    </row>
    <row r="21" spans="1:12" ht="15" outlineLevel="2">
      <c r="A21" s="227" t="s">
        <v>1488</v>
      </c>
      <c r="B21" s="228" t="s">
        <v>1545</v>
      </c>
      <c r="C21" s="227" t="s">
        <v>1546</v>
      </c>
      <c r="D21" s="229">
        <v>44395</v>
      </c>
      <c r="E21" s="229">
        <v>44454</v>
      </c>
      <c r="F21" s="222">
        <v>1</v>
      </c>
      <c r="G21" s="92">
        <v>43</v>
      </c>
      <c r="H21" s="92">
        <v>0</v>
      </c>
      <c r="I21" s="92">
        <v>0</v>
      </c>
      <c r="J21" s="222">
        <v>0</v>
      </c>
      <c r="K21" s="222">
        <v>0</v>
      </c>
      <c r="L21" s="222">
        <f t="shared" si="0"/>
        <v>0</v>
      </c>
    </row>
    <row r="22" spans="1:12" ht="15" outlineLevel="2">
      <c r="A22" s="227" t="s">
        <v>1488</v>
      </c>
      <c r="B22" s="228" t="s">
        <v>1547</v>
      </c>
      <c r="C22" s="227" t="s">
        <v>1548</v>
      </c>
      <c r="D22" s="229">
        <v>44409</v>
      </c>
      <c r="E22" s="229">
        <v>44454</v>
      </c>
      <c r="F22" s="222">
        <v>1</v>
      </c>
      <c r="G22" s="92">
        <v>33</v>
      </c>
      <c r="H22" s="92">
        <v>0</v>
      </c>
      <c r="I22" s="92">
        <v>0</v>
      </c>
      <c r="J22" s="222">
        <v>0</v>
      </c>
      <c r="K22" s="222">
        <v>0</v>
      </c>
      <c r="L22" s="222">
        <f t="shared" si="0"/>
        <v>0</v>
      </c>
    </row>
    <row r="23" spans="1:12" ht="15" outlineLevel="2">
      <c r="A23" s="227" t="s">
        <v>1488</v>
      </c>
      <c r="B23" s="228" t="s">
        <v>1550</v>
      </c>
      <c r="C23" s="227" t="s">
        <v>1551</v>
      </c>
      <c r="D23" s="229">
        <v>44437</v>
      </c>
      <c r="E23" s="229">
        <v>44455</v>
      </c>
      <c r="F23" s="222">
        <v>1</v>
      </c>
      <c r="G23" s="92">
        <v>14</v>
      </c>
      <c r="H23" s="92">
        <v>0</v>
      </c>
      <c r="I23" s="92">
        <v>0</v>
      </c>
      <c r="J23" s="222">
        <v>0</v>
      </c>
      <c r="K23" s="222">
        <v>0</v>
      </c>
      <c r="L23" s="222">
        <f t="shared" si="0"/>
        <v>0</v>
      </c>
    </row>
    <row r="24" spans="1:12" ht="15" outlineLevel="2">
      <c r="A24" s="227" t="s">
        <v>1488</v>
      </c>
      <c r="B24" s="228" t="s">
        <v>1552</v>
      </c>
      <c r="C24" s="227" t="s">
        <v>1553</v>
      </c>
      <c r="D24" s="229">
        <v>44458</v>
      </c>
      <c r="E24" s="229">
        <v>44462</v>
      </c>
      <c r="F24" s="222">
        <v>1</v>
      </c>
      <c r="G24" s="92">
        <v>1</v>
      </c>
      <c r="H24" s="92">
        <v>0</v>
      </c>
      <c r="I24" s="92">
        <v>0</v>
      </c>
      <c r="J24" s="222">
        <v>0</v>
      </c>
      <c r="K24" s="222">
        <v>0</v>
      </c>
      <c r="L24" s="222">
        <f t="shared" si="0"/>
        <v>0</v>
      </c>
    </row>
    <row r="25" spans="1:12" ht="15" outlineLevel="2">
      <c r="A25" s="227" t="s">
        <v>1488</v>
      </c>
      <c r="B25" s="228" t="s">
        <v>1555</v>
      </c>
      <c r="C25" s="227" t="s">
        <v>1556</v>
      </c>
      <c r="D25" s="229">
        <v>44458</v>
      </c>
      <c r="E25" s="229">
        <v>44460</v>
      </c>
      <c r="F25" s="222">
        <v>1</v>
      </c>
      <c r="G25" s="92">
        <v>0</v>
      </c>
      <c r="H25" s="92">
        <v>0</v>
      </c>
      <c r="I25" s="92">
        <v>0</v>
      </c>
      <c r="J25" s="222">
        <v>0</v>
      </c>
      <c r="K25" s="222">
        <v>0</v>
      </c>
      <c r="L25" s="222">
        <f t="shared" si="0"/>
        <v>0</v>
      </c>
    </row>
    <row r="26" spans="1:12" ht="15" outlineLevel="2">
      <c r="A26" s="227" t="s">
        <v>1488</v>
      </c>
      <c r="B26" s="228" t="s">
        <v>1558</v>
      </c>
      <c r="C26" s="227" t="s">
        <v>1559</v>
      </c>
      <c r="D26" s="229">
        <v>44462</v>
      </c>
      <c r="E26" s="229">
        <v>44464</v>
      </c>
      <c r="F26" s="222">
        <v>1</v>
      </c>
      <c r="G26" s="92">
        <v>2</v>
      </c>
      <c r="H26" s="92">
        <v>0</v>
      </c>
      <c r="I26" s="92">
        <v>0</v>
      </c>
      <c r="J26" s="222">
        <v>0</v>
      </c>
      <c r="K26" s="222">
        <v>0</v>
      </c>
      <c r="L26" s="222">
        <f t="shared" si="0"/>
        <v>0</v>
      </c>
    </row>
    <row r="27" spans="1:12" ht="15" outlineLevel="2">
      <c r="A27" s="227" t="s">
        <v>1488</v>
      </c>
      <c r="B27" s="228" t="s">
        <v>1560</v>
      </c>
      <c r="C27" s="227" t="s">
        <v>1561</v>
      </c>
      <c r="D27" s="229">
        <v>44462</v>
      </c>
      <c r="E27" s="229">
        <v>44464</v>
      </c>
      <c r="F27" s="222">
        <v>1</v>
      </c>
      <c r="G27" s="92">
        <v>2</v>
      </c>
      <c r="H27" s="92">
        <v>0</v>
      </c>
      <c r="I27" s="92">
        <v>0</v>
      </c>
      <c r="J27" s="222">
        <v>0</v>
      </c>
      <c r="K27" s="222">
        <v>0</v>
      </c>
      <c r="L27" s="222">
        <f t="shared" si="0"/>
        <v>0</v>
      </c>
    </row>
    <row r="28" spans="1:12" ht="15" outlineLevel="2">
      <c r="A28" s="227" t="s">
        <v>1488</v>
      </c>
      <c r="B28" s="228" t="s">
        <v>1562</v>
      </c>
      <c r="C28" s="227" t="s">
        <v>1563</v>
      </c>
      <c r="D28" s="229">
        <v>44462</v>
      </c>
      <c r="E28" s="229">
        <v>44464</v>
      </c>
      <c r="F28" s="222">
        <v>1</v>
      </c>
      <c r="G28" s="92">
        <v>2</v>
      </c>
      <c r="H28" s="92">
        <v>0</v>
      </c>
      <c r="I28" s="92">
        <v>0</v>
      </c>
      <c r="J28" s="222">
        <v>0</v>
      </c>
      <c r="K28" s="222">
        <v>0</v>
      </c>
      <c r="L28" s="222">
        <f t="shared" si="0"/>
        <v>0</v>
      </c>
    </row>
    <row r="29" spans="1:12" ht="15" outlineLevel="2">
      <c r="A29" s="227" t="s">
        <v>1488</v>
      </c>
      <c r="B29" s="228" t="s">
        <v>1564</v>
      </c>
      <c r="C29" s="227" t="s">
        <v>1565</v>
      </c>
      <c r="D29" s="229">
        <v>44465</v>
      </c>
      <c r="E29" s="229">
        <v>44465</v>
      </c>
      <c r="F29" s="222">
        <v>0</v>
      </c>
      <c r="G29" s="92">
        <v>0</v>
      </c>
      <c r="H29" s="92">
        <v>0</v>
      </c>
      <c r="I29" s="92">
        <v>0</v>
      </c>
      <c r="J29" s="222">
        <v>0</v>
      </c>
      <c r="K29" s="222">
        <v>0</v>
      </c>
      <c r="L29" s="222">
        <f t="shared" si="0"/>
        <v>0</v>
      </c>
    </row>
    <row r="30" spans="1:12" ht="15" outlineLevel="1">
      <c r="A30" s="230" t="s">
        <v>1582</v>
      </c>
      <c r="B30" s="231"/>
      <c r="C30" s="232"/>
      <c r="D30" s="233"/>
      <c r="E30" s="233"/>
      <c r="F30" s="234"/>
      <c r="G30" s="235">
        <f>SUBTOTAL(9,G7:G29)</f>
        <v>236</v>
      </c>
      <c r="H30" s="235">
        <f>SUBTOTAL(9,H7:H29)</f>
        <v>9</v>
      </c>
      <c r="I30" s="235">
        <f>SUBTOTAL(9,I7:I29)</f>
        <v>16.8</v>
      </c>
      <c r="J30" s="234">
        <f>H30/G30</f>
        <v>3.8135593220338986E-2</v>
      </c>
      <c r="K30" s="234">
        <f>I30/G30</f>
        <v>7.1186440677966104E-2</v>
      </c>
      <c r="L30" s="234">
        <f t="shared" si="0"/>
        <v>3.3050847457627118E-2</v>
      </c>
    </row>
    <row r="31" spans="1:12" ht="15" outlineLevel="2">
      <c r="A31" s="227" t="s">
        <v>1338</v>
      </c>
      <c r="B31" s="228" t="s">
        <v>1098</v>
      </c>
      <c r="C31" s="227" t="s">
        <v>1497</v>
      </c>
      <c r="D31" s="229">
        <v>44336</v>
      </c>
      <c r="E31" s="229">
        <v>44337</v>
      </c>
      <c r="F31" s="222">
        <v>1</v>
      </c>
      <c r="G31" s="92">
        <v>2</v>
      </c>
      <c r="H31" s="92">
        <v>2</v>
      </c>
      <c r="I31" s="92">
        <v>2</v>
      </c>
      <c r="J31" s="222">
        <v>1</v>
      </c>
      <c r="K31" s="222">
        <v>1</v>
      </c>
      <c r="L31" s="222">
        <f t="shared" si="0"/>
        <v>0</v>
      </c>
    </row>
    <row r="32" spans="1:12" ht="15" outlineLevel="2">
      <c r="A32" s="227" t="s">
        <v>1338</v>
      </c>
      <c r="B32" s="228" t="s">
        <v>1103</v>
      </c>
      <c r="C32" s="227" t="s">
        <v>1508</v>
      </c>
      <c r="D32" s="229">
        <v>44462</v>
      </c>
      <c r="E32" s="229">
        <v>44466</v>
      </c>
      <c r="F32" s="222">
        <v>1</v>
      </c>
      <c r="G32" s="92">
        <v>3</v>
      </c>
      <c r="H32" s="92">
        <v>0</v>
      </c>
      <c r="I32" s="92">
        <v>0</v>
      </c>
      <c r="J32" s="222">
        <v>0</v>
      </c>
      <c r="K32" s="222">
        <v>0</v>
      </c>
      <c r="L32" s="222">
        <f t="shared" si="0"/>
        <v>0</v>
      </c>
    </row>
    <row r="33" spans="1:12" ht="15" outlineLevel="1">
      <c r="A33" s="230" t="s">
        <v>1583</v>
      </c>
      <c r="B33" s="231"/>
      <c r="C33" s="232"/>
      <c r="D33" s="233"/>
      <c r="E33" s="233"/>
      <c r="F33" s="234"/>
      <c r="G33" s="235">
        <f>SUBTOTAL(9,G31:G32)</f>
        <v>5</v>
      </c>
      <c r="H33" s="235">
        <f>SUBTOTAL(9,H31:H32)</f>
        <v>2</v>
      </c>
      <c r="I33" s="235">
        <f>SUBTOTAL(9,I31:I32)</f>
        <v>2</v>
      </c>
      <c r="J33" s="234">
        <f>H33/G33</f>
        <v>0.4</v>
      </c>
      <c r="K33" s="234">
        <f>I33/G33</f>
        <v>0.4</v>
      </c>
      <c r="L33" s="234">
        <f t="shared" si="0"/>
        <v>0</v>
      </c>
    </row>
    <row r="34" spans="1:12" ht="15" outlineLevel="2">
      <c r="A34" s="227" t="s">
        <v>1372</v>
      </c>
      <c r="B34" s="228" t="s">
        <v>1510</v>
      </c>
      <c r="C34" s="227" t="s">
        <v>1511</v>
      </c>
      <c r="D34" s="229">
        <v>44487</v>
      </c>
      <c r="E34" s="229">
        <v>44487</v>
      </c>
      <c r="F34" s="222">
        <v>1</v>
      </c>
      <c r="G34" s="92">
        <v>1</v>
      </c>
      <c r="H34" s="92">
        <v>0</v>
      </c>
      <c r="I34" s="92">
        <v>0</v>
      </c>
      <c r="J34" s="222">
        <v>0</v>
      </c>
      <c r="K34" s="222">
        <v>0</v>
      </c>
      <c r="L34" s="222">
        <f t="shared" si="0"/>
        <v>0</v>
      </c>
    </row>
    <row r="35" spans="1:12" ht="15" outlineLevel="1">
      <c r="A35" s="230" t="s">
        <v>1584</v>
      </c>
      <c r="B35" s="231"/>
      <c r="C35" s="232"/>
      <c r="D35" s="233"/>
      <c r="E35" s="233"/>
      <c r="F35" s="234"/>
      <c r="G35" s="235">
        <f>SUBTOTAL(9,G34:G34)</f>
        <v>1</v>
      </c>
      <c r="H35" s="235">
        <f>SUBTOTAL(9,H34:H34)</f>
        <v>0</v>
      </c>
      <c r="I35" s="235">
        <f>SUBTOTAL(9,I34:I34)</f>
        <v>0</v>
      </c>
      <c r="J35" s="234">
        <f>H35/G35</f>
        <v>0</v>
      </c>
      <c r="K35" s="234">
        <f>I35/G35</f>
        <v>0</v>
      </c>
      <c r="L35" s="234">
        <f t="shared" si="0"/>
        <v>0</v>
      </c>
    </row>
    <row r="36" spans="1:12" ht="15" outlineLevel="2">
      <c r="A36" s="227" t="s">
        <v>1339</v>
      </c>
      <c r="B36" s="228" t="s">
        <v>1519</v>
      </c>
      <c r="C36" s="227" t="s">
        <v>1520</v>
      </c>
      <c r="D36" s="229">
        <v>44346</v>
      </c>
      <c r="E36" s="229">
        <v>44357</v>
      </c>
      <c r="F36" s="222">
        <v>1.2</v>
      </c>
      <c r="G36" s="92">
        <v>10.8</v>
      </c>
      <c r="H36" s="92">
        <v>2.4</v>
      </c>
      <c r="I36" s="92">
        <v>1.62</v>
      </c>
      <c r="J36" s="222">
        <v>0.22222222222222221</v>
      </c>
      <c r="K36" s="222">
        <v>0.15</v>
      </c>
      <c r="L36" s="238">
        <f t="shared" si="0"/>
        <v>-7.2222222222222215E-2</v>
      </c>
    </row>
    <row r="37" spans="1:12" ht="15" outlineLevel="1">
      <c r="A37" s="230" t="s">
        <v>1585</v>
      </c>
      <c r="B37" s="231"/>
      <c r="C37" s="232"/>
      <c r="D37" s="233"/>
      <c r="E37" s="233"/>
      <c r="F37" s="234"/>
      <c r="G37" s="235">
        <f>SUBTOTAL(9,G36:G36)</f>
        <v>10.8</v>
      </c>
      <c r="H37" s="235">
        <f>SUBTOTAL(9,H36:H36)</f>
        <v>2.4</v>
      </c>
      <c r="I37" s="235">
        <f>SUBTOTAL(9,I36:I36)</f>
        <v>1.62</v>
      </c>
      <c r="J37" s="234">
        <f>H37/G37</f>
        <v>0.22222222222222221</v>
      </c>
      <c r="K37" s="234">
        <f>I37/G37</f>
        <v>0.15</v>
      </c>
      <c r="L37" s="239">
        <f t="shared" si="0"/>
        <v>-7.2222222222222215E-2</v>
      </c>
    </row>
    <row r="38" spans="1:12" ht="15" outlineLevel="2">
      <c r="A38" s="227" t="s">
        <v>1574</v>
      </c>
      <c r="B38" s="228" t="s">
        <v>1101</v>
      </c>
      <c r="C38" s="227" t="s">
        <v>1502</v>
      </c>
      <c r="D38" s="229">
        <v>44361</v>
      </c>
      <c r="E38" s="229">
        <v>44365</v>
      </c>
      <c r="F38" s="222">
        <v>0.2</v>
      </c>
      <c r="G38" s="92">
        <v>1</v>
      </c>
      <c r="H38" s="92">
        <v>0</v>
      </c>
      <c r="I38" s="92">
        <v>0.5</v>
      </c>
      <c r="J38" s="222">
        <v>0</v>
      </c>
      <c r="K38" s="222">
        <v>0.5</v>
      </c>
      <c r="L38" s="222">
        <f t="shared" si="0"/>
        <v>0.5</v>
      </c>
    </row>
    <row r="39" spans="1:12" ht="15" outlineLevel="2">
      <c r="A39" s="227" t="s">
        <v>1574</v>
      </c>
      <c r="B39" s="228" t="s">
        <v>1122</v>
      </c>
      <c r="C39" s="227" t="s">
        <v>1503</v>
      </c>
      <c r="D39" s="229">
        <v>44393</v>
      </c>
      <c r="E39" s="229">
        <v>44393</v>
      </c>
      <c r="F39" s="222">
        <v>0.2</v>
      </c>
      <c r="G39" s="92">
        <v>0.2</v>
      </c>
      <c r="H39" s="92">
        <v>0</v>
      </c>
      <c r="I39" s="92">
        <v>0</v>
      </c>
      <c r="J39" s="222">
        <v>0</v>
      </c>
      <c r="K39" s="222">
        <v>0</v>
      </c>
      <c r="L39" s="222">
        <f t="shared" si="0"/>
        <v>0</v>
      </c>
    </row>
    <row r="40" spans="1:12" ht="15" outlineLevel="2">
      <c r="A40" s="227" t="s">
        <v>1574</v>
      </c>
      <c r="B40" s="228" t="s">
        <v>1504</v>
      </c>
      <c r="C40" s="227" t="s">
        <v>1505</v>
      </c>
      <c r="D40" s="229">
        <v>44429</v>
      </c>
      <c r="E40" s="229">
        <v>44454</v>
      </c>
      <c r="F40" s="222">
        <v>0.2</v>
      </c>
      <c r="G40" s="92">
        <v>3.6</v>
      </c>
      <c r="H40" s="92">
        <v>0</v>
      </c>
      <c r="I40" s="92">
        <v>0</v>
      </c>
      <c r="J40" s="222">
        <v>0</v>
      </c>
      <c r="K40" s="222">
        <v>0</v>
      </c>
      <c r="L40" s="222">
        <f t="shared" si="0"/>
        <v>0</v>
      </c>
    </row>
    <row r="41" spans="1:12" ht="15" outlineLevel="1">
      <c r="A41" s="230" t="s">
        <v>1586</v>
      </c>
      <c r="B41" s="231"/>
      <c r="C41" s="232"/>
      <c r="D41" s="233"/>
      <c r="E41" s="233"/>
      <c r="F41" s="234"/>
      <c r="G41" s="235">
        <f>SUBTOTAL(9,G38:G40)</f>
        <v>4.8</v>
      </c>
      <c r="H41" s="235">
        <f>SUBTOTAL(9,H38:H40)</f>
        <v>0</v>
      </c>
      <c r="I41" s="235">
        <f>SUBTOTAL(9,I38:I40)</f>
        <v>0.5</v>
      </c>
      <c r="J41" s="234">
        <f>H41/G41</f>
        <v>0</v>
      </c>
      <c r="K41" s="234">
        <f>I41/G41</f>
        <v>0.10416666666666667</v>
      </c>
      <c r="L41" s="234">
        <f t="shared" si="0"/>
        <v>0.10416666666666667</v>
      </c>
    </row>
    <row r="42" spans="1:12" ht="15" outlineLevel="2">
      <c r="A42" s="227" t="s">
        <v>1373</v>
      </c>
      <c r="B42" s="228" t="s">
        <v>1510</v>
      </c>
      <c r="C42" s="227" t="s">
        <v>1511</v>
      </c>
      <c r="D42" s="229">
        <v>44487</v>
      </c>
      <c r="E42" s="229">
        <v>44487</v>
      </c>
      <c r="F42" s="222">
        <v>1</v>
      </c>
      <c r="G42" s="92">
        <v>1</v>
      </c>
      <c r="H42" s="92">
        <v>0</v>
      </c>
      <c r="I42" s="92">
        <v>0</v>
      </c>
      <c r="J42" s="222">
        <v>0</v>
      </c>
      <c r="K42" s="222">
        <v>0</v>
      </c>
      <c r="L42" s="222">
        <f t="shared" si="0"/>
        <v>0</v>
      </c>
    </row>
    <row r="43" spans="1:12" ht="15" outlineLevel="1">
      <c r="A43" s="230" t="s">
        <v>1587</v>
      </c>
      <c r="B43" s="231"/>
      <c r="C43" s="232"/>
      <c r="D43" s="233"/>
      <c r="E43" s="233"/>
      <c r="F43" s="234"/>
      <c r="G43" s="235">
        <f>SUBTOTAL(9,G42:G42)</f>
        <v>1</v>
      </c>
      <c r="H43" s="235">
        <f>SUBTOTAL(9,H42:H42)</f>
        <v>0</v>
      </c>
      <c r="I43" s="235">
        <f>SUBTOTAL(9,I42:I42)</f>
        <v>0</v>
      </c>
      <c r="J43" s="234">
        <f>H43/G43</f>
        <v>0</v>
      </c>
      <c r="K43" s="234">
        <f>I43/G43</f>
        <v>0</v>
      </c>
      <c r="L43" s="234">
        <f t="shared" si="0"/>
        <v>0</v>
      </c>
    </row>
    <row r="44" spans="1:12" ht="15" outlineLevel="2">
      <c r="A44" s="227" t="s">
        <v>1334</v>
      </c>
      <c r="B44" s="228" t="s">
        <v>1098</v>
      </c>
      <c r="C44" s="227" t="s">
        <v>1497</v>
      </c>
      <c r="D44" s="229">
        <v>44336</v>
      </c>
      <c r="E44" s="229">
        <v>44337</v>
      </c>
      <c r="F44" s="222">
        <v>1</v>
      </c>
      <c r="G44" s="92">
        <v>2</v>
      </c>
      <c r="H44" s="92">
        <v>2</v>
      </c>
      <c r="I44" s="92">
        <v>2</v>
      </c>
      <c r="J44" s="222">
        <v>1</v>
      </c>
      <c r="K44" s="222">
        <v>1</v>
      </c>
      <c r="L44" s="222">
        <f t="shared" si="0"/>
        <v>0</v>
      </c>
    </row>
    <row r="45" spans="1:12" ht="15" outlineLevel="2">
      <c r="A45" s="227" t="s">
        <v>1334</v>
      </c>
      <c r="B45" s="228" t="s">
        <v>1498</v>
      </c>
      <c r="C45" s="227" t="s">
        <v>1499</v>
      </c>
      <c r="D45" s="229">
        <v>44340</v>
      </c>
      <c r="E45" s="229">
        <v>44346</v>
      </c>
      <c r="F45" s="222">
        <v>1</v>
      </c>
      <c r="G45" s="92">
        <v>5</v>
      </c>
      <c r="H45" s="92">
        <v>5</v>
      </c>
      <c r="I45" s="92">
        <v>4.5</v>
      </c>
      <c r="J45" s="222">
        <v>1</v>
      </c>
      <c r="K45" s="222">
        <v>0.9</v>
      </c>
      <c r="L45" s="238">
        <f t="shared" si="0"/>
        <v>-9.9999999999999978E-2</v>
      </c>
    </row>
    <row r="46" spans="1:12" ht="15" outlineLevel="2">
      <c r="A46" s="227" t="s">
        <v>1334</v>
      </c>
      <c r="B46" s="228" t="s">
        <v>1500</v>
      </c>
      <c r="C46" s="227" t="s">
        <v>1501</v>
      </c>
      <c r="D46" s="229">
        <v>44358</v>
      </c>
      <c r="E46" s="229">
        <v>44358</v>
      </c>
      <c r="F46" s="222">
        <v>0</v>
      </c>
      <c r="G46" s="92">
        <v>0</v>
      </c>
      <c r="H46" s="92">
        <v>0</v>
      </c>
      <c r="I46" s="92">
        <v>0</v>
      </c>
      <c r="J46" s="222">
        <v>0</v>
      </c>
      <c r="K46" s="222">
        <v>0</v>
      </c>
      <c r="L46" s="222">
        <f t="shared" si="0"/>
        <v>0</v>
      </c>
    </row>
    <row r="47" spans="1:12" ht="15" outlineLevel="2">
      <c r="A47" s="227" t="s">
        <v>1334</v>
      </c>
      <c r="B47" s="228" t="s">
        <v>1103</v>
      </c>
      <c r="C47" s="227" t="s">
        <v>1508</v>
      </c>
      <c r="D47" s="229">
        <v>44462</v>
      </c>
      <c r="E47" s="229">
        <v>44466</v>
      </c>
      <c r="F47" s="222">
        <v>1</v>
      </c>
      <c r="G47" s="92">
        <v>3</v>
      </c>
      <c r="H47" s="92">
        <v>0</v>
      </c>
      <c r="I47" s="92">
        <v>0</v>
      </c>
      <c r="J47" s="222">
        <v>0</v>
      </c>
      <c r="K47" s="222">
        <v>0</v>
      </c>
      <c r="L47" s="222">
        <f t="shared" si="0"/>
        <v>0</v>
      </c>
    </row>
    <row r="48" spans="1:12" ht="15" outlineLevel="2">
      <c r="A48" s="227" t="s">
        <v>1334</v>
      </c>
      <c r="B48" s="228" t="s">
        <v>1519</v>
      </c>
      <c r="C48" s="227" t="s">
        <v>1520</v>
      </c>
      <c r="D48" s="229">
        <v>44346</v>
      </c>
      <c r="E48" s="229">
        <v>44357</v>
      </c>
      <c r="F48" s="222">
        <v>0.5</v>
      </c>
      <c r="G48" s="92">
        <v>4.5</v>
      </c>
      <c r="H48" s="92">
        <v>1</v>
      </c>
      <c r="I48" s="92">
        <v>0.67499999999999993</v>
      </c>
      <c r="J48" s="222">
        <v>0.22222222222222221</v>
      </c>
      <c r="K48" s="222">
        <v>0.15</v>
      </c>
      <c r="L48" s="238">
        <f t="shared" si="0"/>
        <v>-7.2222222222222215E-2</v>
      </c>
    </row>
    <row r="49" spans="1:12" ht="15" outlineLevel="1">
      <c r="A49" s="230" t="s">
        <v>1588</v>
      </c>
      <c r="B49" s="231"/>
      <c r="C49" s="232"/>
      <c r="D49" s="233"/>
      <c r="E49" s="233"/>
      <c r="F49" s="234"/>
      <c r="G49" s="235">
        <f>SUBTOTAL(9,G44:G48)</f>
        <v>14.5</v>
      </c>
      <c r="H49" s="235">
        <f>SUBTOTAL(9,H44:H48)</f>
        <v>8</v>
      </c>
      <c r="I49" s="235">
        <f>SUBTOTAL(9,I44:I48)</f>
        <v>7.1749999999999998</v>
      </c>
      <c r="J49" s="234">
        <f>H49/G49</f>
        <v>0.55172413793103448</v>
      </c>
      <c r="K49" s="234">
        <f>I49/G49</f>
        <v>0.49482758620689654</v>
      </c>
      <c r="L49" s="239">
        <f t="shared" si="0"/>
        <v>-5.6896551724137934E-2</v>
      </c>
    </row>
    <row r="50" spans="1:12" ht="15" outlineLevel="2">
      <c r="A50" s="227" t="s">
        <v>739</v>
      </c>
      <c r="B50" s="228" t="s">
        <v>1123</v>
      </c>
      <c r="C50" s="227" t="s">
        <v>1509</v>
      </c>
      <c r="D50" s="229">
        <v>44469</v>
      </c>
      <c r="E50" s="229">
        <v>44487</v>
      </c>
      <c r="F50" s="222">
        <v>1</v>
      </c>
      <c r="G50" s="92">
        <v>13</v>
      </c>
      <c r="H50" s="92">
        <v>0</v>
      </c>
      <c r="I50" s="92">
        <v>0</v>
      </c>
      <c r="J50" s="222">
        <v>0</v>
      </c>
      <c r="K50" s="222">
        <v>0</v>
      </c>
      <c r="L50" s="222">
        <f t="shared" si="0"/>
        <v>0</v>
      </c>
    </row>
    <row r="51" spans="1:12" ht="15" outlineLevel="1">
      <c r="A51" s="230" t="s">
        <v>1589</v>
      </c>
      <c r="B51" s="231"/>
      <c r="C51" s="232"/>
      <c r="D51" s="233"/>
      <c r="E51" s="233"/>
      <c r="F51" s="234"/>
      <c r="G51" s="235">
        <f>SUBTOTAL(9,G50:G50)</f>
        <v>13</v>
      </c>
      <c r="H51" s="235">
        <f>SUBTOTAL(9,H50:H50)</f>
        <v>0</v>
      </c>
      <c r="I51" s="235">
        <f>SUBTOTAL(9,I50:I50)</f>
        <v>0</v>
      </c>
      <c r="J51" s="234">
        <f>H51/G51</f>
        <v>0</v>
      </c>
      <c r="K51" s="234">
        <f>I51/G51</f>
        <v>0</v>
      </c>
      <c r="L51" s="234">
        <f t="shared" si="0"/>
        <v>0</v>
      </c>
    </row>
    <row r="52" spans="1:12" outlineLevel="1">
      <c r="J52" s="222"/>
      <c r="K52" s="222"/>
      <c r="L52" s="222"/>
    </row>
    <row r="53" spans="1:12" outlineLevel="1">
      <c r="A53" s="236" t="s">
        <v>1590</v>
      </c>
      <c r="B53" s="237"/>
      <c r="C53" s="237"/>
      <c r="D53" s="237"/>
      <c r="E53" s="237"/>
      <c r="F53" s="234"/>
      <c r="G53" s="235">
        <f>SUBTOTAL(9,G7:G52)</f>
        <v>286.10000000000002</v>
      </c>
      <c r="H53" s="235">
        <f>SUBTOTAL(9,H7:H52)</f>
        <v>21.4</v>
      </c>
      <c r="I53" s="235">
        <f>SUBTOTAL(9,I7:I52)</f>
        <v>28.095000000000002</v>
      </c>
      <c r="J53" s="234">
        <f>H53/G53</f>
        <v>7.4799021321216352E-2</v>
      </c>
      <c r="K53" s="234">
        <f>I53/G53</f>
        <v>9.8199930094372598E-2</v>
      </c>
      <c r="L53" s="234">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1489</v>
      </c>
      <c r="B1" s="1"/>
      <c r="C1" s="1"/>
      <c r="D1" s="1"/>
      <c r="E1" s="1"/>
      <c r="F1" s="1"/>
      <c r="G1" s="1"/>
      <c r="H1" s="1"/>
    </row>
    <row r="2" spans="1:9" s="65" customFormat="1" ht="78.75" customHeight="1">
      <c r="A2" s="295" t="s">
        <v>1490</v>
      </c>
      <c r="B2" s="295"/>
      <c r="C2" s="295"/>
      <c r="D2" s="295"/>
      <c r="E2" s="295"/>
      <c r="F2" s="295"/>
      <c r="G2" s="295"/>
      <c r="H2" s="295"/>
    </row>
    <row r="3" spans="1:9" s="65" customFormat="1" ht="24.75" customHeight="1">
      <c r="A3" s="296" t="s">
        <v>1491</v>
      </c>
      <c r="B3" s="296"/>
      <c r="D3" s="296" t="s">
        <v>1492</v>
      </c>
      <c r="E3" s="296"/>
      <c r="G3" s="296" t="s">
        <v>1493</v>
      </c>
      <c r="H3" s="296"/>
    </row>
    <row r="4" spans="1:9" s="67" customFormat="1" ht="19.5" customHeight="1">
      <c r="A4" s="66" t="s">
        <v>1494</v>
      </c>
      <c r="B4" s="66" t="s">
        <v>1495</v>
      </c>
      <c r="D4" s="66" t="s">
        <v>1494</v>
      </c>
      <c r="E4" s="66" t="s">
        <v>1495</v>
      </c>
      <c r="G4" s="66" t="s">
        <v>1494</v>
      </c>
      <c r="H4" s="66" t="s">
        <v>1495</v>
      </c>
    </row>
    <row r="5" spans="1:9" s="97" customFormat="1" ht="17.399999999999999">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7.399999999999999">
      <c r="A6" s="95" t="s">
        <v>1129</v>
      </c>
      <c r="B6" s="96">
        <v>43854</v>
      </c>
      <c r="C6" s="97" t="str">
        <f t="shared" si="0"/>
        <v>(금)</v>
      </c>
      <c r="D6" s="98"/>
      <c r="E6" s="99"/>
      <c r="F6" s="97" t="str">
        <f t="shared" si="1"/>
        <v/>
      </c>
      <c r="G6" s="98"/>
      <c r="H6" s="99"/>
      <c r="I6" s="97" t="str">
        <f t="shared" si="2"/>
        <v/>
      </c>
    </row>
    <row r="7" spans="1:9" s="97" customFormat="1" ht="17.399999999999999">
      <c r="A7" s="95" t="s">
        <v>1317</v>
      </c>
      <c r="B7" s="96">
        <v>43857</v>
      </c>
      <c r="C7" s="97" t="str">
        <f t="shared" si="0"/>
        <v>(월)</v>
      </c>
      <c r="D7" s="98"/>
      <c r="E7" s="99"/>
      <c r="F7" s="97" t="str">
        <f t="shared" si="1"/>
        <v/>
      </c>
      <c r="G7" s="98"/>
      <c r="H7" s="99"/>
      <c r="I7" s="97" t="str">
        <f t="shared" si="2"/>
        <v/>
      </c>
    </row>
    <row r="8" spans="1:9" s="97" customFormat="1" ht="17.399999999999999">
      <c r="A8" s="95" t="s">
        <v>1318</v>
      </c>
      <c r="B8" s="96">
        <v>43936</v>
      </c>
      <c r="C8" s="97" t="str">
        <f t="shared" si="0"/>
        <v>(수)</v>
      </c>
      <c r="D8" s="98"/>
      <c r="E8" s="99"/>
      <c r="F8" s="97" t="str">
        <f t="shared" si="1"/>
        <v/>
      </c>
      <c r="G8" s="98"/>
      <c r="H8" s="99"/>
      <c r="I8" s="97" t="str">
        <f t="shared" si="2"/>
        <v/>
      </c>
    </row>
    <row r="9" spans="1:9" s="97" customFormat="1" ht="17.399999999999999">
      <c r="A9" s="95" t="s">
        <v>1319</v>
      </c>
      <c r="B9" s="96">
        <v>43951</v>
      </c>
      <c r="C9" s="97" t="str">
        <f t="shared" si="0"/>
        <v>(목)</v>
      </c>
      <c r="D9" s="98"/>
      <c r="E9" s="99"/>
      <c r="F9" s="97" t="str">
        <f t="shared" si="1"/>
        <v/>
      </c>
      <c r="G9" s="98"/>
      <c r="H9" s="99"/>
      <c r="I9" s="97" t="str">
        <f t="shared" si="2"/>
        <v/>
      </c>
    </row>
    <row r="10" spans="1:9" s="97" customFormat="1" ht="17.399999999999999">
      <c r="A10" s="95" t="s">
        <v>1320</v>
      </c>
      <c r="B10" s="96">
        <v>43956</v>
      </c>
      <c r="C10" s="97" t="str">
        <f t="shared" si="0"/>
        <v>(화)</v>
      </c>
      <c r="D10" s="98"/>
      <c r="E10" s="99"/>
      <c r="F10" s="97" t="str">
        <f t="shared" si="1"/>
        <v/>
      </c>
      <c r="G10" s="98"/>
      <c r="H10" s="99"/>
      <c r="I10" s="97" t="str">
        <f t="shared" si="2"/>
        <v/>
      </c>
    </row>
    <row r="11" spans="1:9" s="97" customFormat="1" ht="17.399999999999999">
      <c r="A11" s="95" t="s">
        <v>1325</v>
      </c>
      <c r="B11" s="96">
        <v>44060</v>
      </c>
      <c r="C11" s="97" t="str">
        <f t="shared" si="0"/>
        <v>(월)</v>
      </c>
      <c r="D11" s="98"/>
      <c r="E11" s="99"/>
      <c r="F11" s="97" t="str">
        <f t="shared" si="1"/>
        <v/>
      </c>
      <c r="G11" s="98"/>
      <c r="H11" s="99"/>
      <c r="I11" s="97" t="str">
        <f t="shared" si="2"/>
        <v/>
      </c>
    </row>
    <row r="12" spans="1:9" s="97" customFormat="1" ht="17.399999999999999">
      <c r="A12" s="95" t="s">
        <v>1321</v>
      </c>
      <c r="B12" s="96">
        <v>44104</v>
      </c>
      <c r="C12" s="97" t="str">
        <f t="shared" si="0"/>
        <v>(수)</v>
      </c>
      <c r="D12" s="98"/>
      <c r="E12" s="99"/>
      <c r="F12" s="97" t="str">
        <f t="shared" si="1"/>
        <v/>
      </c>
      <c r="G12" s="98"/>
      <c r="H12" s="99"/>
      <c r="I12" s="97" t="str">
        <f t="shared" si="2"/>
        <v/>
      </c>
    </row>
    <row r="13" spans="1:9" s="97" customFormat="1" ht="17.399999999999999">
      <c r="A13" s="95" t="s">
        <v>1322</v>
      </c>
      <c r="B13" s="96">
        <v>44105</v>
      </c>
      <c r="C13" s="97" t="str">
        <f t="shared" si="0"/>
        <v>(목)</v>
      </c>
      <c r="D13" s="98"/>
      <c r="E13" s="99"/>
      <c r="F13" s="97" t="str">
        <f t="shared" si="1"/>
        <v/>
      </c>
      <c r="G13" s="98"/>
      <c r="H13" s="99"/>
      <c r="I13" s="97" t="str">
        <f t="shared" si="2"/>
        <v/>
      </c>
    </row>
    <row r="14" spans="1:9" s="97" customFormat="1" ht="17.399999999999999">
      <c r="A14" s="95" t="s">
        <v>1321</v>
      </c>
      <c r="B14" s="96">
        <v>44106</v>
      </c>
      <c r="C14" s="97" t="str">
        <f t="shared" si="0"/>
        <v>(금)</v>
      </c>
      <c r="D14" s="98"/>
      <c r="E14" s="99"/>
      <c r="F14" s="97" t="str">
        <f t="shared" si="1"/>
        <v/>
      </c>
      <c r="G14" s="98"/>
      <c r="H14" s="99"/>
      <c r="I14" s="97" t="str">
        <f t="shared" si="2"/>
        <v/>
      </c>
    </row>
    <row r="15" spans="1:9" s="97" customFormat="1" ht="17.399999999999999">
      <c r="A15" s="95" t="s">
        <v>1323</v>
      </c>
      <c r="B15" s="96">
        <v>44113</v>
      </c>
      <c r="C15" s="97" t="str">
        <f t="shared" si="0"/>
        <v>(금)</v>
      </c>
      <c r="D15" s="98"/>
      <c r="E15" s="99"/>
      <c r="F15" s="97" t="str">
        <f t="shared" si="1"/>
        <v/>
      </c>
      <c r="G15" s="98"/>
      <c r="H15" s="99"/>
      <c r="I15" s="97" t="str">
        <f t="shared" si="2"/>
        <v/>
      </c>
    </row>
    <row r="16" spans="1:9" s="97" customFormat="1" ht="17.399999999999999">
      <c r="A16" s="95" t="s">
        <v>1324</v>
      </c>
      <c r="B16" s="96">
        <v>44190</v>
      </c>
      <c r="C16" s="97" t="str">
        <f t="shared" si="0"/>
        <v>(금)</v>
      </c>
      <c r="D16" s="98"/>
      <c r="E16" s="99"/>
      <c r="F16" s="97" t="str">
        <f t="shared" si="1"/>
        <v/>
      </c>
      <c r="G16" s="98"/>
      <c r="H16" s="99"/>
      <c r="I16" s="97" t="str">
        <f t="shared" si="2"/>
        <v/>
      </c>
    </row>
    <row r="17" spans="1:10" s="97" customFormat="1" ht="17.399999999999999">
      <c r="A17" s="95" t="s">
        <v>1326</v>
      </c>
      <c r="B17" s="96">
        <v>44197</v>
      </c>
      <c r="C17" s="97" t="str">
        <f t="shared" si="0"/>
        <v>(금)</v>
      </c>
      <c r="D17" s="98"/>
      <c r="E17" s="99"/>
      <c r="F17" s="97" t="str">
        <f t="shared" si="1"/>
        <v/>
      </c>
      <c r="G17" s="98"/>
      <c r="H17" s="99"/>
      <c r="I17" s="97" t="str">
        <f t="shared" si="2"/>
        <v/>
      </c>
    </row>
    <row r="18" spans="1:10" s="97" customFormat="1" ht="17.399999999999999">
      <c r="A18" s="95" t="s">
        <v>1327</v>
      </c>
      <c r="B18" s="96">
        <v>44238</v>
      </c>
      <c r="C18" s="97" t="str">
        <f t="shared" si="0"/>
        <v>(목)</v>
      </c>
      <c r="D18" s="98"/>
      <c r="E18" s="99"/>
      <c r="F18" s="97" t="str">
        <f t="shared" si="1"/>
        <v/>
      </c>
      <c r="G18" s="98"/>
      <c r="H18" s="99"/>
      <c r="I18" s="97" t="str">
        <f t="shared" si="2"/>
        <v/>
      </c>
    </row>
    <row r="19" spans="1:10" s="97" customFormat="1" ht="19.2">
      <c r="A19" s="95" t="s">
        <v>1328</v>
      </c>
      <c r="B19" s="96">
        <v>44239</v>
      </c>
      <c r="C19" s="97" t="str">
        <f t="shared" si="0"/>
        <v>(금)</v>
      </c>
      <c r="D19" s="98"/>
      <c r="E19" s="99"/>
      <c r="F19" s="97" t="str">
        <f t="shared" si="1"/>
        <v/>
      </c>
      <c r="G19" s="98"/>
      <c r="H19" s="99"/>
      <c r="I19" s="97" t="str">
        <f t="shared" si="2"/>
        <v/>
      </c>
      <c r="J19" s="100"/>
    </row>
    <row r="20" spans="1:10" s="97" customFormat="1" ht="19.2">
      <c r="A20" s="95" t="s">
        <v>1329</v>
      </c>
      <c r="B20" s="96">
        <v>44256</v>
      </c>
      <c r="C20" s="97" t="str">
        <f t="shared" si="0"/>
        <v>(월)</v>
      </c>
      <c r="D20" s="98"/>
      <c r="E20" s="99"/>
      <c r="F20" s="97" t="str">
        <f t="shared" si="1"/>
        <v/>
      </c>
      <c r="G20" s="98"/>
      <c r="H20" s="99"/>
      <c r="I20" s="97" t="str">
        <f t="shared" si="2"/>
        <v/>
      </c>
      <c r="J20" s="100"/>
    </row>
    <row r="21" spans="1:10" s="97" customFormat="1" ht="17.399999999999999">
      <c r="A21" s="95" t="s">
        <v>1330</v>
      </c>
      <c r="B21" s="96">
        <v>44321</v>
      </c>
      <c r="C21" s="97" t="str">
        <f t="shared" si="0"/>
        <v>(수)</v>
      </c>
      <c r="D21" s="98"/>
      <c r="E21" s="99"/>
      <c r="F21" s="97" t="str">
        <f t="shared" si="1"/>
        <v/>
      </c>
      <c r="G21" s="98"/>
      <c r="H21" s="99"/>
      <c r="I21" s="97" t="str">
        <f t="shared" si="2"/>
        <v/>
      </c>
    </row>
    <row r="22" spans="1:10" s="97" customFormat="1" ht="17.399999999999999">
      <c r="A22" s="95" t="s">
        <v>1331</v>
      </c>
      <c r="B22" s="96">
        <v>44335</v>
      </c>
      <c r="C22" s="97" t="str">
        <f t="shared" si="0"/>
        <v>(수)</v>
      </c>
      <c r="D22" s="98"/>
      <c r="E22" s="99"/>
      <c r="F22" s="97" t="str">
        <f t="shared" si="1"/>
        <v/>
      </c>
      <c r="G22" s="98"/>
      <c r="H22" s="99"/>
      <c r="I22" s="97" t="str">
        <f t="shared" si="2"/>
        <v/>
      </c>
    </row>
    <row r="23" spans="1:10" s="97" customFormat="1" ht="17.399999999999999">
      <c r="A23" s="95" t="s">
        <v>1332</v>
      </c>
      <c r="B23" s="96">
        <v>44459</v>
      </c>
      <c r="C23" s="97" t="str">
        <f t="shared" si="0"/>
        <v>(월)</v>
      </c>
      <c r="D23" s="98"/>
      <c r="E23" s="99"/>
      <c r="F23" s="97" t="str">
        <f t="shared" si="1"/>
        <v/>
      </c>
      <c r="G23" s="98"/>
      <c r="H23" s="99"/>
      <c r="I23" s="97" t="str">
        <f t="shared" si="2"/>
        <v/>
      </c>
    </row>
    <row r="24" spans="1:10" s="97" customFormat="1" ht="17.399999999999999">
      <c r="A24" s="95" t="s">
        <v>1333</v>
      </c>
      <c r="B24" s="96">
        <v>44460</v>
      </c>
      <c r="C24" s="97" t="str">
        <f t="shared" si="0"/>
        <v>(화)</v>
      </c>
      <c r="D24" s="98"/>
      <c r="E24" s="99"/>
      <c r="F24" s="97" t="str">
        <f t="shared" si="1"/>
        <v/>
      </c>
      <c r="G24" s="98"/>
      <c r="H24" s="99"/>
      <c r="I24" s="97" t="str">
        <f t="shared" si="2"/>
        <v/>
      </c>
    </row>
    <row r="25" spans="1:10" s="97" customFormat="1" ht="17.399999999999999">
      <c r="A25" s="95" t="s">
        <v>1332</v>
      </c>
      <c r="B25" s="96">
        <v>44461</v>
      </c>
      <c r="C25" s="97" t="str">
        <f t="shared" si="0"/>
        <v>(수)</v>
      </c>
      <c r="D25" s="98"/>
      <c r="E25" s="99"/>
      <c r="F25" s="97" t="str">
        <f t="shared" si="1"/>
        <v/>
      </c>
      <c r="G25" s="98"/>
      <c r="H25" s="99"/>
      <c r="I25" s="97" t="str">
        <f t="shared" si="2"/>
        <v/>
      </c>
    </row>
    <row r="26" spans="1:10" s="97" customFormat="1" ht="17.399999999999999">
      <c r="A26" s="95"/>
      <c r="B26" s="96"/>
      <c r="C26" s="97" t="str">
        <f t="shared" si="0"/>
        <v/>
      </c>
      <c r="D26" s="98"/>
      <c r="E26" s="99"/>
      <c r="F26" s="97" t="str">
        <f t="shared" si="1"/>
        <v/>
      </c>
      <c r="G26" s="98"/>
      <c r="H26" s="99"/>
      <c r="I26" s="97" t="str">
        <f t="shared" si="2"/>
        <v/>
      </c>
    </row>
    <row r="27" spans="1:10" s="97" customFormat="1" ht="17.399999999999999">
      <c r="A27" s="95"/>
      <c r="B27" s="96"/>
      <c r="C27" s="97" t="str">
        <f t="shared" si="0"/>
        <v/>
      </c>
      <c r="D27" s="98"/>
      <c r="E27" s="99"/>
      <c r="F27" s="97" t="str">
        <f t="shared" si="1"/>
        <v/>
      </c>
      <c r="G27" s="98"/>
      <c r="H27" s="99"/>
      <c r="I27" s="97" t="str">
        <f t="shared" si="2"/>
        <v/>
      </c>
    </row>
    <row r="28" spans="1:10" s="97" customFormat="1" ht="17.399999999999999">
      <c r="A28" s="95"/>
      <c r="B28" s="96"/>
      <c r="C28" s="97" t="str">
        <f t="shared" si="0"/>
        <v/>
      </c>
      <c r="D28" s="98"/>
      <c r="E28" s="99"/>
      <c r="F28" s="97" t="str">
        <f t="shared" si="1"/>
        <v/>
      </c>
      <c r="G28" s="98"/>
      <c r="H28" s="99"/>
      <c r="I28" s="97" t="str">
        <f t="shared" si="2"/>
        <v/>
      </c>
    </row>
    <row r="29" spans="1:10" s="97" customFormat="1" ht="17.399999999999999">
      <c r="A29" s="95"/>
      <c r="B29" s="96"/>
      <c r="C29" s="97" t="str">
        <f t="shared" si="0"/>
        <v/>
      </c>
      <c r="D29" s="98"/>
      <c r="E29" s="99"/>
      <c r="F29" s="97" t="str">
        <f t="shared" si="1"/>
        <v/>
      </c>
      <c r="G29" s="98"/>
      <c r="H29" s="99"/>
      <c r="I29" s="97" t="str">
        <f t="shared" si="2"/>
        <v/>
      </c>
    </row>
    <row r="30" spans="1:10" s="97" customFormat="1" ht="17.399999999999999">
      <c r="A30" s="95"/>
      <c r="B30" s="96"/>
      <c r="C30" s="97" t="str">
        <f t="shared" si="0"/>
        <v/>
      </c>
      <c r="D30" s="98"/>
      <c r="E30" s="99"/>
      <c r="F30" s="97" t="str">
        <f t="shared" si="1"/>
        <v/>
      </c>
      <c r="G30" s="98"/>
      <c r="H30" s="99"/>
      <c r="I30" s="97" t="str">
        <f t="shared" si="2"/>
        <v/>
      </c>
    </row>
    <row r="31" spans="1:10" s="97" customFormat="1" ht="17.399999999999999">
      <c r="A31" s="95"/>
      <c r="B31" s="96"/>
      <c r="C31" s="97" t="str">
        <f t="shared" si="0"/>
        <v/>
      </c>
      <c r="D31" s="98"/>
      <c r="E31" s="99"/>
      <c r="F31" s="97" t="str">
        <f t="shared" si="1"/>
        <v/>
      </c>
      <c r="G31" s="98"/>
      <c r="H31" s="99"/>
      <c r="I31" s="97" t="str">
        <f t="shared" si="2"/>
        <v/>
      </c>
    </row>
    <row r="32" spans="1:10" s="97" customFormat="1" ht="17.399999999999999">
      <c r="A32" s="95"/>
      <c r="B32" s="96"/>
      <c r="C32" s="97" t="str">
        <f t="shared" si="0"/>
        <v/>
      </c>
      <c r="D32" s="98"/>
      <c r="E32" s="99"/>
      <c r="F32" s="97" t="str">
        <f t="shared" si="1"/>
        <v/>
      </c>
      <c r="G32" s="98"/>
      <c r="H32" s="99"/>
      <c r="I32" s="97" t="str">
        <f t="shared" si="2"/>
        <v/>
      </c>
    </row>
    <row r="33" spans="1:9" s="97" customFormat="1" ht="17.399999999999999">
      <c r="A33" s="95"/>
      <c r="B33" s="96"/>
      <c r="C33" s="97" t="str">
        <f t="shared" si="0"/>
        <v/>
      </c>
      <c r="D33" s="98"/>
      <c r="E33" s="99"/>
      <c r="F33" s="97" t="str">
        <f t="shared" si="1"/>
        <v/>
      </c>
      <c r="G33" s="98"/>
      <c r="H33" s="99"/>
      <c r="I33" s="97" t="str">
        <f t="shared" si="2"/>
        <v/>
      </c>
    </row>
    <row r="34" spans="1:9" s="97" customFormat="1" ht="17.399999999999999">
      <c r="A34" s="95"/>
      <c r="B34" s="96"/>
      <c r="C34" s="97" t="str">
        <f t="shared" si="0"/>
        <v/>
      </c>
      <c r="D34" s="98"/>
      <c r="E34" s="99"/>
      <c r="F34" s="97" t="str">
        <f t="shared" si="1"/>
        <v/>
      </c>
      <c r="G34" s="98"/>
      <c r="H34" s="99"/>
      <c r="I34" s="97" t="str">
        <f t="shared" si="2"/>
        <v/>
      </c>
    </row>
    <row r="35" spans="1:9" s="97" customFormat="1" ht="17.399999999999999">
      <c r="A35" s="95"/>
      <c r="B35" s="96"/>
      <c r="C35" s="97" t="str">
        <f t="shared" si="0"/>
        <v/>
      </c>
      <c r="D35" s="98"/>
      <c r="E35" s="99"/>
      <c r="F35" s="97" t="str">
        <f t="shared" si="1"/>
        <v/>
      </c>
      <c r="G35" s="98"/>
      <c r="H35" s="99"/>
      <c r="I35" s="97" t="str">
        <f t="shared" si="2"/>
        <v/>
      </c>
    </row>
    <row r="36" spans="1:9" s="97" customFormat="1" ht="17.399999999999999">
      <c r="A36" s="95"/>
      <c r="B36" s="96"/>
      <c r="C36" s="97" t="str">
        <f t="shared" si="0"/>
        <v/>
      </c>
      <c r="D36" s="98"/>
      <c r="E36" s="99"/>
      <c r="F36" s="97" t="str">
        <f t="shared" si="1"/>
        <v/>
      </c>
      <c r="G36" s="98"/>
      <c r="H36" s="99"/>
      <c r="I36" s="97" t="str">
        <f t="shared" si="2"/>
        <v/>
      </c>
    </row>
    <row r="37" spans="1:9" s="97" customFormat="1" ht="17.399999999999999">
      <c r="A37" s="95"/>
      <c r="B37" s="96"/>
      <c r="C37" s="97" t="str">
        <f t="shared" si="0"/>
        <v/>
      </c>
      <c r="D37" s="98"/>
      <c r="E37" s="99"/>
      <c r="F37" s="97" t="str">
        <f t="shared" si="1"/>
        <v/>
      </c>
      <c r="G37" s="98"/>
      <c r="H37" s="99"/>
      <c r="I37" s="97" t="str">
        <f t="shared" si="2"/>
        <v/>
      </c>
    </row>
    <row r="38" spans="1:9" s="97" customFormat="1" ht="17.399999999999999">
      <c r="A38" s="95"/>
      <c r="B38" s="96"/>
      <c r="C38" s="97" t="str">
        <f t="shared" si="0"/>
        <v/>
      </c>
      <c r="D38" s="98"/>
      <c r="E38" s="99"/>
      <c r="F38" s="97" t="str">
        <f t="shared" si="1"/>
        <v/>
      </c>
      <c r="G38" s="98"/>
      <c r="H38" s="99"/>
      <c r="I38" s="97" t="str">
        <f t="shared" si="2"/>
        <v/>
      </c>
    </row>
    <row r="39" spans="1:9" s="97" customFormat="1" ht="17.399999999999999">
      <c r="A39" s="95"/>
      <c r="B39" s="96"/>
      <c r="C39" s="97" t="str">
        <f t="shared" si="0"/>
        <v/>
      </c>
      <c r="D39" s="98"/>
      <c r="E39" s="99"/>
      <c r="F39" s="97" t="str">
        <f t="shared" si="1"/>
        <v/>
      </c>
      <c r="G39" s="98"/>
      <c r="H39" s="99"/>
      <c r="I39" s="97" t="str">
        <f t="shared" si="2"/>
        <v/>
      </c>
    </row>
    <row r="40" spans="1:9" s="97" customFormat="1" ht="17.399999999999999">
      <c r="A40" s="95"/>
      <c r="B40" s="96"/>
      <c r="C40" s="97" t="str">
        <f t="shared" si="0"/>
        <v/>
      </c>
      <c r="D40" s="98"/>
      <c r="E40" s="99"/>
      <c r="F40" s="97" t="str">
        <f t="shared" si="1"/>
        <v/>
      </c>
      <c r="G40" s="98"/>
      <c r="H40" s="99"/>
      <c r="I40" s="97" t="str">
        <f t="shared" si="2"/>
        <v/>
      </c>
    </row>
    <row r="41" spans="1:9" s="97" customFormat="1" ht="17.399999999999999">
      <c r="A41" s="95"/>
      <c r="B41" s="96"/>
      <c r="C41" s="97" t="str">
        <f t="shared" si="0"/>
        <v/>
      </c>
      <c r="D41" s="98"/>
      <c r="E41" s="99"/>
      <c r="F41" s="97" t="str">
        <f t="shared" si="1"/>
        <v/>
      </c>
      <c r="G41" s="98"/>
      <c r="H41" s="99"/>
      <c r="I41" s="97" t="str">
        <f t="shared" si="2"/>
        <v/>
      </c>
    </row>
    <row r="42" spans="1:9" s="97" customFormat="1" ht="17.399999999999999">
      <c r="A42" s="95"/>
      <c r="B42" s="96"/>
      <c r="C42" s="97" t="str">
        <f t="shared" si="0"/>
        <v/>
      </c>
      <c r="D42" s="98"/>
      <c r="E42" s="99"/>
      <c r="F42" s="97" t="str">
        <f t="shared" si="1"/>
        <v/>
      </c>
      <c r="G42" s="98"/>
      <c r="H42" s="99"/>
      <c r="I42" s="97" t="str">
        <f t="shared" si="2"/>
        <v/>
      </c>
    </row>
    <row r="43" spans="1:9" s="97" customFormat="1" ht="17.399999999999999">
      <c r="A43" s="95"/>
      <c r="B43" s="96"/>
      <c r="C43" s="97" t="str">
        <f t="shared" si="0"/>
        <v/>
      </c>
      <c r="D43" s="98"/>
      <c r="E43" s="99"/>
      <c r="F43" s="97" t="str">
        <f t="shared" si="1"/>
        <v/>
      </c>
      <c r="G43" s="98"/>
      <c r="H43" s="99"/>
      <c r="I43" s="97" t="str">
        <f t="shared" si="2"/>
        <v/>
      </c>
    </row>
    <row r="44" spans="1:9" s="97" customFormat="1" ht="17.399999999999999">
      <c r="A44" s="95"/>
      <c r="B44" s="96"/>
      <c r="C44" s="97" t="str">
        <f t="shared" si="0"/>
        <v/>
      </c>
      <c r="D44" s="98"/>
      <c r="E44" s="99"/>
      <c r="F44" s="97" t="str">
        <f t="shared" si="1"/>
        <v/>
      </c>
      <c r="G44" s="98"/>
      <c r="H44" s="99"/>
      <c r="I44" s="97" t="str">
        <f t="shared" si="2"/>
        <v/>
      </c>
    </row>
    <row r="45" spans="1:9" s="97" customFormat="1" ht="17.399999999999999">
      <c r="A45" s="95"/>
      <c r="B45" s="96"/>
      <c r="C45" s="97" t="str">
        <f t="shared" si="0"/>
        <v/>
      </c>
      <c r="D45" s="98"/>
      <c r="E45" s="99"/>
      <c r="F45" s="97" t="str">
        <f t="shared" si="1"/>
        <v/>
      </c>
      <c r="G45" s="98"/>
      <c r="H45" s="99"/>
      <c r="I45" s="97" t="str">
        <f t="shared" si="2"/>
        <v/>
      </c>
    </row>
    <row r="46" spans="1:9" s="97" customFormat="1" ht="17.399999999999999">
      <c r="A46" s="95"/>
      <c r="B46" s="96"/>
      <c r="C46" s="97" t="str">
        <f t="shared" si="0"/>
        <v/>
      </c>
      <c r="D46" s="98"/>
      <c r="E46" s="99"/>
      <c r="F46" s="97" t="str">
        <f t="shared" si="1"/>
        <v/>
      </c>
      <c r="G46" s="98"/>
      <c r="H46" s="99"/>
      <c r="I46" s="97" t="str">
        <f t="shared" si="2"/>
        <v/>
      </c>
    </row>
    <row r="47" spans="1:9" s="97" customFormat="1" ht="17.399999999999999">
      <c r="A47" s="95"/>
      <c r="B47" s="96"/>
      <c r="C47" s="97" t="str">
        <f t="shared" si="0"/>
        <v/>
      </c>
      <c r="D47" s="98"/>
      <c r="E47" s="99"/>
      <c r="F47" s="97" t="str">
        <f t="shared" si="1"/>
        <v/>
      </c>
      <c r="G47" s="98"/>
      <c r="H47" s="99"/>
      <c r="I47" s="97" t="str">
        <f t="shared" si="2"/>
        <v/>
      </c>
    </row>
    <row r="48" spans="1:9" s="97" customFormat="1" ht="17.399999999999999">
      <c r="A48" s="95"/>
      <c r="B48" s="96"/>
      <c r="C48" s="97" t="str">
        <f t="shared" si="0"/>
        <v/>
      </c>
      <c r="D48" s="98"/>
      <c r="E48" s="99"/>
      <c r="F48" s="97" t="str">
        <f t="shared" si="1"/>
        <v/>
      </c>
      <c r="G48" s="98"/>
      <c r="H48" s="99"/>
      <c r="I48" s="97" t="str">
        <f t="shared" si="2"/>
        <v/>
      </c>
    </row>
    <row r="49" spans="1:9" s="97" customFormat="1" ht="17.399999999999999">
      <c r="A49" s="95"/>
      <c r="B49" s="96"/>
      <c r="C49" s="97" t="str">
        <f t="shared" si="0"/>
        <v/>
      </c>
      <c r="D49" s="98"/>
      <c r="E49" s="99"/>
      <c r="F49" s="97" t="str">
        <f t="shared" si="1"/>
        <v/>
      </c>
      <c r="G49" s="98"/>
      <c r="H49" s="99"/>
      <c r="I49" s="97" t="str">
        <f t="shared" si="2"/>
        <v/>
      </c>
    </row>
    <row r="50" spans="1:9" s="97" customFormat="1" ht="17.399999999999999">
      <c r="A50" s="95"/>
      <c r="B50" s="96"/>
      <c r="C50" s="97" t="str">
        <f t="shared" si="0"/>
        <v/>
      </c>
      <c r="D50" s="98"/>
      <c r="E50" s="99"/>
      <c r="F50" s="97" t="str">
        <f t="shared" si="1"/>
        <v/>
      </c>
      <c r="G50" s="98"/>
      <c r="H50" s="99"/>
      <c r="I50" s="97" t="str">
        <f t="shared" si="2"/>
        <v/>
      </c>
    </row>
    <row r="51" spans="1:9" s="97" customFormat="1" ht="17.399999999999999">
      <c r="A51" s="95"/>
      <c r="B51" s="96"/>
      <c r="C51" s="97" t="str">
        <f t="shared" si="0"/>
        <v/>
      </c>
      <c r="D51" s="98"/>
      <c r="E51" s="99"/>
      <c r="F51" s="97" t="str">
        <f t="shared" si="1"/>
        <v/>
      </c>
      <c r="G51" s="98"/>
      <c r="H51" s="99"/>
      <c r="I51" s="97" t="str">
        <f t="shared" si="2"/>
        <v/>
      </c>
    </row>
    <row r="52" spans="1:9" s="97" customFormat="1" ht="17.399999999999999">
      <c r="A52" s="95"/>
      <c r="B52" s="96"/>
      <c r="C52" s="97" t="str">
        <f t="shared" si="0"/>
        <v/>
      </c>
      <c r="D52" s="98"/>
      <c r="E52" s="99"/>
      <c r="F52" s="97" t="str">
        <f t="shared" si="1"/>
        <v/>
      </c>
      <c r="G52" s="98"/>
      <c r="H52" s="99"/>
      <c r="I52" s="97" t="str">
        <f t="shared" si="2"/>
        <v/>
      </c>
    </row>
    <row r="53" spans="1:9" s="97" customFormat="1" ht="17.399999999999999">
      <c r="A53" s="95"/>
      <c r="B53" s="96"/>
      <c r="C53" s="97" t="str">
        <f t="shared" si="0"/>
        <v/>
      </c>
      <c r="D53" s="98"/>
      <c r="E53" s="99"/>
      <c r="F53" s="97" t="str">
        <f t="shared" si="1"/>
        <v/>
      </c>
      <c r="G53" s="98"/>
      <c r="H53" s="99"/>
      <c r="I53" s="97" t="str">
        <f t="shared" si="2"/>
        <v/>
      </c>
    </row>
    <row r="54" spans="1:9" s="97" customFormat="1" ht="17.399999999999999">
      <c r="A54" s="95"/>
      <c r="B54" s="96"/>
      <c r="C54" s="97" t="str">
        <f t="shared" si="0"/>
        <v/>
      </c>
      <c r="D54" s="98"/>
      <c r="E54" s="99"/>
      <c r="F54" s="97" t="str">
        <f t="shared" si="1"/>
        <v/>
      </c>
      <c r="G54" s="98"/>
      <c r="H54" s="99"/>
      <c r="I54" s="97" t="str">
        <f t="shared" si="2"/>
        <v/>
      </c>
    </row>
    <row r="55" spans="1:9" s="97" customFormat="1" ht="17.399999999999999">
      <c r="A55" s="95"/>
      <c r="B55" s="96"/>
      <c r="C55" s="97" t="str">
        <f t="shared" si="0"/>
        <v/>
      </c>
      <c r="D55" s="98"/>
      <c r="E55" s="99"/>
      <c r="F55" s="97" t="str">
        <f t="shared" si="1"/>
        <v/>
      </c>
      <c r="G55" s="98"/>
      <c r="H55" s="99"/>
      <c r="I55" s="97" t="str">
        <f t="shared" si="2"/>
        <v/>
      </c>
    </row>
    <row r="56" spans="1:9" s="97" customFormat="1" ht="17.399999999999999">
      <c r="A56" s="95"/>
      <c r="B56" s="96"/>
      <c r="C56" s="97" t="str">
        <f t="shared" si="0"/>
        <v/>
      </c>
      <c r="D56" s="98"/>
      <c r="E56" s="99"/>
      <c r="F56" s="97" t="str">
        <f t="shared" si="1"/>
        <v/>
      </c>
      <c r="G56" s="98"/>
      <c r="H56" s="99"/>
      <c r="I56" s="97" t="str">
        <f t="shared" si="2"/>
        <v/>
      </c>
    </row>
    <row r="57" spans="1:9" s="97" customFormat="1" ht="17.399999999999999">
      <c r="A57" s="95"/>
      <c r="B57" s="96"/>
      <c r="C57" s="97" t="str">
        <f t="shared" si="0"/>
        <v/>
      </c>
      <c r="D57" s="98"/>
      <c r="E57" s="99"/>
      <c r="F57" s="97" t="str">
        <f t="shared" si="1"/>
        <v/>
      </c>
      <c r="G57" s="98"/>
      <c r="H57" s="99"/>
      <c r="I57" s="97" t="str">
        <f t="shared" si="2"/>
        <v/>
      </c>
    </row>
    <row r="58" spans="1:9" s="97" customFormat="1" ht="17.399999999999999">
      <c r="A58" s="95"/>
      <c r="B58" s="96"/>
      <c r="C58" s="97" t="str">
        <f t="shared" si="0"/>
        <v/>
      </c>
      <c r="D58" s="98"/>
      <c r="E58" s="99"/>
      <c r="F58" s="97" t="str">
        <f t="shared" si="1"/>
        <v/>
      </c>
      <c r="G58" s="98"/>
      <c r="H58" s="99"/>
      <c r="I58" s="97" t="str">
        <f t="shared" si="2"/>
        <v/>
      </c>
    </row>
    <row r="59" spans="1:9" s="97" customFormat="1" ht="17.399999999999999">
      <c r="A59" s="95"/>
      <c r="B59" s="96"/>
      <c r="C59" s="97" t="str">
        <f t="shared" si="0"/>
        <v/>
      </c>
      <c r="D59" s="98"/>
      <c r="E59" s="99"/>
      <c r="F59" s="97" t="str">
        <f t="shared" si="1"/>
        <v/>
      </c>
      <c r="G59" s="98"/>
      <c r="H59" s="99"/>
      <c r="I59" s="97" t="str">
        <f t="shared" si="2"/>
        <v/>
      </c>
    </row>
    <row r="60" spans="1:9" s="97" customFormat="1" ht="17.399999999999999">
      <c r="A60" s="95"/>
      <c r="B60" s="96"/>
      <c r="C60" s="97" t="str">
        <f t="shared" si="0"/>
        <v/>
      </c>
      <c r="D60" s="98"/>
      <c r="E60" s="99"/>
      <c r="F60" s="97" t="str">
        <f t="shared" si="1"/>
        <v/>
      </c>
      <c r="G60" s="98"/>
      <c r="H60" s="99"/>
      <c r="I60" s="97" t="str">
        <f t="shared" si="2"/>
        <v/>
      </c>
    </row>
    <row r="61" spans="1:9" s="97" customFormat="1" ht="17.399999999999999">
      <c r="A61" s="95"/>
      <c r="B61" s="96"/>
      <c r="C61" s="97" t="str">
        <f t="shared" si="0"/>
        <v/>
      </c>
      <c r="D61" s="98"/>
      <c r="E61" s="99"/>
      <c r="F61" s="97" t="str">
        <f t="shared" si="1"/>
        <v/>
      </c>
      <c r="G61" s="98"/>
      <c r="H61" s="99"/>
      <c r="I61" s="97" t="str">
        <f t="shared" si="2"/>
        <v/>
      </c>
    </row>
    <row r="62" spans="1:9" s="97" customFormat="1" ht="17.399999999999999">
      <c r="A62" s="95"/>
      <c r="B62" s="96"/>
      <c r="C62" s="97" t="str">
        <f t="shared" si="0"/>
        <v/>
      </c>
      <c r="D62" s="98"/>
      <c r="E62" s="99"/>
      <c r="F62" s="97" t="str">
        <f t="shared" si="1"/>
        <v/>
      </c>
      <c r="G62" s="98"/>
      <c r="H62" s="99"/>
      <c r="I62" s="97" t="str">
        <f t="shared" si="2"/>
        <v/>
      </c>
    </row>
    <row r="63" spans="1:9" s="97" customFormat="1" ht="17.399999999999999">
      <c r="A63" s="95"/>
      <c r="B63" s="96"/>
      <c r="C63" s="97" t="str">
        <f t="shared" si="0"/>
        <v/>
      </c>
      <c r="D63" s="98"/>
      <c r="E63" s="99"/>
      <c r="F63" s="97" t="str">
        <f t="shared" si="1"/>
        <v/>
      </c>
      <c r="G63" s="98"/>
      <c r="H63" s="99"/>
      <c r="I63" s="97" t="str">
        <f t="shared" si="2"/>
        <v/>
      </c>
    </row>
    <row r="64" spans="1:9" s="97" customFormat="1" ht="17.399999999999999">
      <c r="A64" s="95"/>
      <c r="B64" s="96"/>
      <c r="C64" s="97" t="str">
        <f t="shared" si="0"/>
        <v/>
      </c>
      <c r="D64" s="98"/>
      <c r="E64" s="99"/>
      <c r="F64" s="97" t="str">
        <f t="shared" si="1"/>
        <v/>
      </c>
      <c r="G64" s="98"/>
      <c r="H64" s="99"/>
      <c r="I64" s="97" t="str">
        <f t="shared" si="2"/>
        <v/>
      </c>
    </row>
    <row r="65" spans="1:9" s="97" customFormat="1" ht="17.399999999999999">
      <c r="A65" s="95"/>
      <c r="B65" s="96"/>
      <c r="C65" s="97" t="str">
        <f t="shared" si="0"/>
        <v/>
      </c>
      <c r="D65" s="98"/>
      <c r="E65" s="99"/>
      <c r="F65" s="97" t="str">
        <f t="shared" si="1"/>
        <v/>
      </c>
      <c r="G65" s="98"/>
      <c r="H65" s="99"/>
      <c r="I65" s="97" t="str">
        <f t="shared" si="2"/>
        <v/>
      </c>
    </row>
    <row r="66" spans="1:9" s="97" customFormat="1" ht="17.399999999999999">
      <c r="A66" s="95"/>
      <c r="B66" s="96"/>
      <c r="C66" s="97" t="str">
        <f t="shared" si="0"/>
        <v/>
      </c>
      <c r="D66" s="98"/>
      <c r="E66" s="99"/>
      <c r="F66" s="97" t="str">
        <f t="shared" si="1"/>
        <v/>
      </c>
      <c r="G66" s="98"/>
      <c r="H66" s="99"/>
      <c r="I66" s="97" t="str">
        <f t="shared" si="2"/>
        <v/>
      </c>
    </row>
    <row r="67" spans="1:9" s="97" customFormat="1" ht="17.399999999999999">
      <c r="A67" s="95"/>
      <c r="B67" s="96"/>
      <c r="C67" s="97" t="str">
        <f t="shared" si="0"/>
        <v/>
      </c>
      <c r="D67" s="98"/>
      <c r="E67" s="99"/>
      <c r="F67" s="97" t="str">
        <f t="shared" si="1"/>
        <v/>
      </c>
      <c r="G67" s="98"/>
      <c r="H67" s="99"/>
      <c r="I67" s="97" t="str">
        <f t="shared" si="2"/>
        <v/>
      </c>
    </row>
    <row r="68" spans="1:9" s="97" customFormat="1" ht="17.399999999999999">
      <c r="A68" s="95"/>
      <c r="B68" s="96"/>
      <c r="C68" s="97" t="str">
        <f t="shared" si="0"/>
        <v/>
      </c>
      <c r="D68" s="98"/>
      <c r="E68" s="99"/>
      <c r="F68" s="97" t="str">
        <f t="shared" si="1"/>
        <v/>
      </c>
      <c r="G68" s="98"/>
      <c r="H68" s="99"/>
      <c r="I68" s="97" t="str">
        <f t="shared" si="2"/>
        <v/>
      </c>
    </row>
    <row r="69" spans="1:9" s="97" customFormat="1" ht="17.399999999999999">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399999999999999">
      <c r="A70" s="95"/>
      <c r="B70" s="96"/>
      <c r="C70" s="97" t="str">
        <f t="shared" si="3"/>
        <v/>
      </c>
      <c r="D70" s="98"/>
      <c r="E70" s="99"/>
      <c r="F70" s="97" t="str">
        <f t="shared" si="4"/>
        <v/>
      </c>
      <c r="G70" s="98"/>
      <c r="H70" s="99"/>
      <c r="I70" s="97" t="str">
        <f t="shared" si="5"/>
        <v/>
      </c>
    </row>
    <row r="71" spans="1:9" s="97" customFormat="1" ht="17.399999999999999">
      <c r="A71" s="95"/>
      <c r="B71" s="96"/>
      <c r="C71" s="97" t="str">
        <f t="shared" si="3"/>
        <v/>
      </c>
      <c r="D71" s="98"/>
      <c r="E71" s="99"/>
      <c r="F71" s="97" t="str">
        <f t="shared" si="4"/>
        <v/>
      </c>
      <c r="G71" s="98"/>
      <c r="H71" s="99"/>
      <c r="I71" s="97" t="str">
        <f t="shared" si="5"/>
        <v/>
      </c>
    </row>
    <row r="72" spans="1:9" s="97" customFormat="1" ht="17.399999999999999">
      <c r="A72" s="95"/>
      <c r="B72" s="96"/>
      <c r="C72" s="97" t="str">
        <f t="shared" si="3"/>
        <v/>
      </c>
      <c r="D72" s="98"/>
      <c r="E72" s="99"/>
      <c r="F72" s="97" t="str">
        <f t="shared" si="4"/>
        <v/>
      </c>
      <c r="G72" s="98"/>
      <c r="H72" s="99"/>
      <c r="I72" s="97" t="str">
        <f t="shared" si="5"/>
        <v/>
      </c>
    </row>
    <row r="73" spans="1:9" s="97" customFormat="1" ht="17.399999999999999">
      <c r="A73" s="95"/>
      <c r="B73" s="96"/>
      <c r="C73" s="97" t="str">
        <f t="shared" si="3"/>
        <v/>
      </c>
      <c r="D73" s="98"/>
      <c r="E73" s="99"/>
      <c r="F73" s="97" t="str">
        <f t="shared" si="4"/>
        <v/>
      </c>
      <c r="G73" s="98"/>
      <c r="H73" s="99"/>
      <c r="I73" s="97" t="str">
        <f t="shared" si="5"/>
        <v/>
      </c>
    </row>
    <row r="74" spans="1:9" s="97" customFormat="1" ht="17.399999999999999">
      <c r="A74" s="95"/>
      <c r="B74" s="96"/>
      <c r="C74" s="97" t="str">
        <f t="shared" si="3"/>
        <v/>
      </c>
      <c r="D74" s="98"/>
      <c r="E74" s="99"/>
      <c r="F74" s="97" t="str">
        <f t="shared" si="4"/>
        <v/>
      </c>
      <c r="G74" s="98"/>
      <c r="H74" s="99"/>
      <c r="I74" s="97" t="str">
        <f t="shared" si="5"/>
        <v/>
      </c>
    </row>
    <row r="75" spans="1:9" s="97" customFormat="1" ht="17.399999999999999">
      <c r="A75" s="95"/>
      <c r="B75" s="96"/>
      <c r="C75" s="97" t="str">
        <f t="shared" si="3"/>
        <v/>
      </c>
      <c r="D75" s="98"/>
      <c r="E75" s="99"/>
      <c r="F75" s="97" t="str">
        <f t="shared" si="4"/>
        <v/>
      </c>
      <c r="G75" s="98"/>
      <c r="H75" s="99"/>
      <c r="I75" s="97" t="str">
        <f t="shared" si="5"/>
        <v/>
      </c>
    </row>
    <row r="76" spans="1:9" s="97" customFormat="1" ht="17.399999999999999">
      <c r="A76" s="95"/>
      <c r="B76" s="96"/>
      <c r="C76" s="97" t="str">
        <f t="shared" si="3"/>
        <v/>
      </c>
      <c r="D76" s="98"/>
      <c r="E76" s="99"/>
      <c r="F76" s="97" t="str">
        <f t="shared" si="4"/>
        <v/>
      </c>
      <c r="G76" s="98"/>
      <c r="H76" s="99"/>
      <c r="I76" s="97" t="str">
        <f t="shared" si="5"/>
        <v/>
      </c>
    </row>
    <row r="77" spans="1:9" s="97" customFormat="1" ht="17.399999999999999">
      <c r="A77" s="95"/>
      <c r="B77" s="96"/>
      <c r="C77" s="97" t="str">
        <f t="shared" si="3"/>
        <v/>
      </c>
      <c r="D77" s="98"/>
      <c r="E77" s="99"/>
      <c r="F77" s="97" t="str">
        <f t="shared" si="4"/>
        <v/>
      </c>
      <c r="G77" s="98"/>
      <c r="H77" s="99"/>
      <c r="I77" s="97" t="str">
        <f t="shared" si="5"/>
        <v/>
      </c>
    </row>
    <row r="78" spans="1:9" s="97" customFormat="1" ht="17.399999999999999">
      <c r="A78" s="95"/>
      <c r="B78" s="96"/>
      <c r="C78" s="97" t="str">
        <f t="shared" si="3"/>
        <v/>
      </c>
      <c r="D78" s="98"/>
      <c r="E78" s="99"/>
      <c r="F78" s="97" t="str">
        <f t="shared" si="4"/>
        <v/>
      </c>
      <c r="G78" s="98"/>
      <c r="H78" s="99"/>
      <c r="I78" s="97" t="str">
        <f t="shared" si="5"/>
        <v/>
      </c>
    </row>
    <row r="79" spans="1:9" s="97" customFormat="1" ht="17.399999999999999">
      <c r="A79" s="95"/>
      <c r="B79" s="96"/>
      <c r="C79" s="97" t="str">
        <f t="shared" si="3"/>
        <v/>
      </c>
      <c r="D79" s="98"/>
      <c r="E79" s="99"/>
      <c r="F79" s="97" t="str">
        <f t="shared" si="4"/>
        <v/>
      </c>
      <c r="G79" s="98"/>
      <c r="H79" s="99"/>
      <c r="I79" s="97" t="str">
        <f t="shared" si="5"/>
        <v/>
      </c>
    </row>
    <row r="80" spans="1:9" s="97" customFormat="1" ht="17.399999999999999">
      <c r="A80" s="95"/>
      <c r="B80" s="96"/>
      <c r="C80" s="97" t="str">
        <f t="shared" si="3"/>
        <v/>
      </c>
      <c r="D80" s="98"/>
      <c r="E80" s="99"/>
      <c r="F80" s="97" t="str">
        <f t="shared" si="4"/>
        <v/>
      </c>
      <c r="G80" s="98"/>
      <c r="H80" s="99"/>
      <c r="I80" s="97" t="str">
        <f t="shared" si="5"/>
        <v/>
      </c>
    </row>
    <row r="81" spans="1:9" s="97" customFormat="1" ht="17.399999999999999">
      <c r="A81" s="95"/>
      <c r="B81" s="96"/>
      <c r="C81" s="97" t="str">
        <f t="shared" si="3"/>
        <v/>
      </c>
      <c r="D81" s="98"/>
      <c r="E81" s="99"/>
      <c r="F81" s="97" t="str">
        <f t="shared" si="4"/>
        <v/>
      </c>
      <c r="G81" s="98"/>
      <c r="H81" s="99"/>
      <c r="I81" s="97" t="str">
        <f t="shared" si="5"/>
        <v/>
      </c>
    </row>
    <row r="82" spans="1:9" s="97" customFormat="1" ht="17.399999999999999">
      <c r="A82" s="95"/>
      <c r="B82" s="96"/>
      <c r="C82" s="97" t="str">
        <f t="shared" si="3"/>
        <v/>
      </c>
      <c r="D82" s="98"/>
      <c r="E82" s="99"/>
      <c r="F82" s="97" t="str">
        <f t="shared" si="4"/>
        <v/>
      </c>
      <c r="G82" s="98"/>
      <c r="H82" s="99"/>
      <c r="I82" s="97" t="str">
        <f t="shared" si="5"/>
        <v/>
      </c>
    </row>
    <row r="83" spans="1:9" s="97" customFormat="1" ht="17.399999999999999">
      <c r="A83" s="95"/>
      <c r="B83" s="96"/>
      <c r="C83" s="97" t="str">
        <f t="shared" si="3"/>
        <v/>
      </c>
      <c r="D83" s="98"/>
      <c r="E83" s="99"/>
      <c r="F83" s="97" t="str">
        <f t="shared" si="4"/>
        <v/>
      </c>
      <c r="G83" s="98"/>
      <c r="H83" s="99"/>
      <c r="I83" s="97" t="str">
        <f t="shared" si="5"/>
        <v/>
      </c>
    </row>
    <row r="84" spans="1:9" s="97" customFormat="1" ht="17.399999999999999">
      <c r="A84" s="95"/>
      <c r="B84" s="96"/>
      <c r="C84" s="97" t="str">
        <f t="shared" si="3"/>
        <v/>
      </c>
      <c r="D84" s="98"/>
      <c r="E84" s="99"/>
      <c r="F84" s="97" t="str">
        <f t="shared" si="4"/>
        <v/>
      </c>
      <c r="G84" s="98"/>
      <c r="H84" s="99"/>
      <c r="I84" s="97" t="str">
        <f t="shared" si="5"/>
        <v/>
      </c>
    </row>
    <row r="85" spans="1:9" s="97" customFormat="1" ht="17.399999999999999">
      <c r="A85" s="95"/>
      <c r="B85" s="96"/>
      <c r="C85" s="97" t="str">
        <f t="shared" si="3"/>
        <v/>
      </c>
      <c r="D85" s="98"/>
      <c r="E85" s="99"/>
      <c r="F85" s="97" t="str">
        <f t="shared" si="4"/>
        <v/>
      </c>
      <c r="G85" s="98"/>
      <c r="H85" s="99"/>
      <c r="I85" s="97" t="str">
        <f t="shared" si="5"/>
        <v/>
      </c>
    </row>
    <row r="86" spans="1:9" s="97" customFormat="1" ht="17.399999999999999">
      <c r="A86" s="95"/>
      <c r="B86" s="96"/>
      <c r="C86" s="97" t="str">
        <f t="shared" si="3"/>
        <v/>
      </c>
      <c r="D86" s="98"/>
      <c r="E86" s="99"/>
      <c r="F86" s="97" t="str">
        <f t="shared" si="4"/>
        <v/>
      </c>
      <c r="G86" s="98"/>
      <c r="H86" s="99"/>
      <c r="I86" s="97" t="str">
        <f t="shared" si="5"/>
        <v/>
      </c>
    </row>
    <row r="87" spans="1:9" s="97" customFormat="1" ht="17.399999999999999">
      <c r="A87" s="95"/>
      <c r="B87" s="96"/>
      <c r="C87" s="97" t="str">
        <f t="shared" si="3"/>
        <v/>
      </c>
      <c r="D87" s="98"/>
      <c r="E87" s="99"/>
      <c r="F87" s="97" t="str">
        <f t="shared" si="4"/>
        <v/>
      </c>
      <c r="G87" s="98"/>
      <c r="H87" s="99"/>
      <c r="I87" s="97" t="str">
        <f t="shared" si="5"/>
        <v/>
      </c>
    </row>
    <row r="88" spans="1:9" s="97" customFormat="1" ht="17.399999999999999">
      <c r="A88" s="95"/>
      <c r="B88" s="96"/>
      <c r="C88" s="97" t="str">
        <f t="shared" si="3"/>
        <v/>
      </c>
      <c r="D88" s="98"/>
      <c r="E88" s="99"/>
      <c r="F88" s="97" t="str">
        <f t="shared" si="4"/>
        <v/>
      </c>
      <c r="G88" s="98"/>
      <c r="H88" s="99"/>
      <c r="I88" s="97" t="str">
        <f t="shared" si="5"/>
        <v/>
      </c>
    </row>
    <row r="89" spans="1:9" s="97" customFormat="1" ht="17.399999999999999">
      <c r="A89" s="95"/>
      <c r="B89" s="96"/>
      <c r="C89" s="97" t="str">
        <f t="shared" si="3"/>
        <v/>
      </c>
      <c r="D89" s="98"/>
      <c r="E89" s="99"/>
      <c r="F89" s="97" t="str">
        <f t="shared" si="4"/>
        <v/>
      </c>
      <c r="G89" s="98"/>
      <c r="H89" s="99"/>
      <c r="I89" s="97" t="str">
        <f t="shared" si="5"/>
        <v/>
      </c>
    </row>
    <row r="90" spans="1:9" s="97" customFormat="1" ht="17.399999999999999">
      <c r="A90" s="95"/>
      <c r="B90" s="96"/>
      <c r="C90" s="97" t="str">
        <f t="shared" si="3"/>
        <v/>
      </c>
      <c r="D90" s="98"/>
      <c r="E90" s="99"/>
      <c r="F90" s="97" t="str">
        <f t="shared" si="4"/>
        <v/>
      </c>
      <c r="G90" s="98"/>
      <c r="H90" s="99"/>
      <c r="I90" s="97" t="str">
        <f t="shared" si="5"/>
        <v/>
      </c>
    </row>
    <row r="91" spans="1:9" s="97" customFormat="1" ht="17.399999999999999">
      <c r="A91" s="95"/>
      <c r="B91" s="96"/>
      <c r="C91" s="97" t="str">
        <f t="shared" si="3"/>
        <v/>
      </c>
      <c r="D91" s="98"/>
      <c r="E91" s="99"/>
      <c r="F91" s="97" t="str">
        <f t="shared" si="4"/>
        <v/>
      </c>
      <c r="G91" s="98"/>
      <c r="H91" s="99"/>
      <c r="I91" s="97" t="str">
        <f t="shared" si="5"/>
        <v/>
      </c>
    </row>
    <row r="92" spans="1:9" s="97" customFormat="1" ht="17.399999999999999">
      <c r="A92" s="95"/>
      <c r="B92" s="96"/>
      <c r="C92" s="97" t="str">
        <f t="shared" si="3"/>
        <v/>
      </c>
      <c r="D92" s="98"/>
      <c r="E92" s="99"/>
      <c r="F92" s="97" t="str">
        <f t="shared" si="4"/>
        <v/>
      </c>
      <c r="G92" s="98"/>
      <c r="H92" s="99"/>
      <c r="I92" s="97" t="str">
        <f t="shared" si="5"/>
        <v/>
      </c>
    </row>
    <row r="93" spans="1:9" s="97" customFormat="1" ht="17.399999999999999">
      <c r="A93" s="95"/>
      <c r="B93" s="96"/>
      <c r="C93" s="97" t="str">
        <f t="shared" si="3"/>
        <v/>
      </c>
      <c r="D93" s="98"/>
      <c r="E93" s="99"/>
      <c r="F93" s="97" t="str">
        <f t="shared" si="4"/>
        <v/>
      </c>
      <c r="G93" s="98"/>
      <c r="H93" s="99"/>
      <c r="I93" s="97" t="str">
        <f t="shared" si="5"/>
        <v/>
      </c>
    </row>
    <row r="94" spans="1:9" s="97" customFormat="1" ht="17.399999999999999">
      <c r="A94" s="95"/>
      <c r="B94" s="96"/>
      <c r="C94" s="97" t="str">
        <f t="shared" si="3"/>
        <v/>
      </c>
      <c r="D94" s="98"/>
      <c r="E94" s="99"/>
      <c r="F94" s="97" t="str">
        <f t="shared" si="4"/>
        <v/>
      </c>
      <c r="G94" s="98"/>
      <c r="H94" s="99"/>
      <c r="I94" s="97" t="str">
        <f t="shared" si="5"/>
        <v/>
      </c>
    </row>
    <row r="95" spans="1:9" s="97" customFormat="1" ht="17.399999999999999">
      <c r="A95" s="95"/>
      <c r="B95" s="96"/>
      <c r="C95" s="97" t="str">
        <f t="shared" si="3"/>
        <v/>
      </c>
      <c r="D95" s="98"/>
      <c r="E95" s="99"/>
      <c r="F95" s="97" t="str">
        <f t="shared" si="4"/>
        <v/>
      </c>
      <c r="G95" s="98"/>
      <c r="H95" s="99"/>
      <c r="I95" s="97" t="str">
        <f t="shared" si="5"/>
        <v/>
      </c>
    </row>
    <row r="96" spans="1:9" s="97" customFormat="1" ht="17.399999999999999">
      <c r="A96" s="95"/>
      <c r="B96" s="96"/>
      <c r="C96" s="97" t="str">
        <f t="shared" si="3"/>
        <v/>
      </c>
      <c r="D96" s="98"/>
      <c r="E96" s="99"/>
      <c r="F96" s="97" t="str">
        <f t="shared" si="4"/>
        <v/>
      </c>
      <c r="G96" s="98"/>
      <c r="H96" s="99"/>
      <c r="I96" s="97" t="str">
        <f t="shared" si="5"/>
        <v/>
      </c>
    </row>
    <row r="97" spans="1:9" s="97" customFormat="1" ht="17.399999999999999">
      <c r="A97" s="95"/>
      <c r="B97" s="96"/>
      <c r="C97" s="97" t="str">
        <f t="shared" si="3"/>
        <v/>
      </c>
      <c r="D97" s="98"/>
      <c r="E97" s="99"/>
      <c r="F97" s="97" t="str">
        <f t="shared" si="4"/>
        <v/>
      </c>
      <c r="G97" s="98"/>
      <c r="H97" s="99"/>
      <c r="I97" s="97" t="str">
        <f t="shared" si="5"/>
        <v/>
      </c>
    </row>
    <row r="98" spans="1:9" s="97" customFormat="1" ht="17.399999999999999">
      <c r="A98" s="95"/>
      <c r="B98" s="96"/>
      <c r="C98" s="97" t="str">
        <f t="shared" si="3"/>
        <v/>
      </c>
      <c r="D98" s="98"/>
      <c r="E98" s="99"/>
      <c r="F98" s="97" t="str">
        <f t="shared" si="4"/>
        <v/>
      </c>
      <c r="G98" s="98"/>
      <c r="H98" s="99"/>
      <c r="I98" s="97" t="str">
        <f t="shared" si="5"/>
        <v/>
      </c>
    </row>
    <row r="99" spans="1:9" s="97" customFormat="1" ht="17.399999999999999">
      <c r="A99" s="95"/>
      <c r="B99" s="96"/>
      <c r="C99" s="97" t="str">
        <f t="shared" si="3"/>
        <v/>
      </c>
      <c r="D99" s="98"/>
      <c r="E99" s="99"/>
      <c r="F99" s="97" t="str">
        <f t="shared" si="4"/>
        <v/>
      </c>
      <c r="G99" s="98"/>
      <c r="H99" s="99"/>
      <c r="I99" s="97" t="str">
        <f t="shared" si="5"/>
        <v/>
      </c>
    </row>
    <row r="100" spans="1:9" s="97" customFormat="1" ht="17.399999999999999">
      <c r="A100" s="95"/>
      <c r="B100" s="96"/>
      <c r="C100" s="97" t="str">
        <f t="shared" si="3"/>
        <v/>
      </c>
      <c r="D100" s="98"/>
      <c r="E100" s="99"/>
      <c r="F100" s="97" t="str">
        <f t="shared" si="4"/>
        <v/>
      </c>
      <c r="G100" s="98"/>
      <c r="H100" s="99"/>
      <c r="I100" s="97" t="str">
        <f t="shared" si="5"/>
        <v/>
      </c>
    </row>
    <row r="101" spans="1:9" s="97" customFormat="1" ht="17.399999999999999">
      <c r="A101" s="95"/>
      <c r="B101" s="96"/>
      <c r="C101" s="97" t="str">
        <f t="shared" si="3"/>
        <v/>
      </c>
      <c r="D101" s="98"/>
      <c r="E101" s="99"/>
      <c r="F101" s="97" t="str">
        <f t="shared" si="4"/>
        <v/>
      </c>
      <c r="G101" s="98"/>
      <c r="H101" s="99"/>
      <c r="I101" s="97" t="str">
        <f t="shared" si="5"/>
        <v/>
      </c>
    </row>
    <row r="102" spans="1:9" s="97" customFormat="1" ht="17.399999999999999">
      <c r="A102" s="95"/>
      <c r="B102" s="96"/>
      <c r="C102" s="97" t="str">
        <f t="shared" si="3"/>
        <v/>
      </c>
      <c r="D102" s="98"/>
      <c r="E102" s="99"/>
      <c r="F102" s="97" t="str">
        <f t="shared" si="4"/>
        <v/>
      </c>
      <c r="G102" s="98"/>
      <c r="H102" s="99"/>
      <c r="I102" s="97" t="str">
        <f t="shared" si="5"/>
        <v/>
      </c>
    </row>
    <row r="103" spans="1:9" s="97" customFormat="1" ht="17.399999999999999">
      <c r="A103" s="95"/>
      <c r="B103" s="96"/>
      <c r="C103" s="97" t="str">
        <f t="shared" si="3"/>
        <v/>
      </c>
      <c r="D103" s="98"/>
      <c r="E103" s="99"/>
      <c r="F103" s="97" t="str">
        <f t="shared" si="4"/>
        <v/>
      </c>
      <c r="G103" s="98"/>
      <c r="H103" s="99"/>
      <c r="I103" s="97" t="str">
        <f t="shared" si="5"/>
        <v/>
      </c>
    </row>
    <row r="104" spans="1:9" s="97" customFormat="1" ht="17.399999999999999">
      <c r="A104" s="95"/>
      <c r="B104" s="96"/>
      <c r="C104" s="97" t="str">
        <f t="shared" si="3"/>
        <v/>
      </c>
      <c r="D104" s="98"/>
      <c r="E104" s="99"/>
      <c r="F104" s="97" t="str">
        <f t="shared" si="4"/>
        <v/>
      </c>
      <c r="G104" s="98"/>
      <c r="H104" s="99"/>
      <c r="I104" s="97" t="str">
        <f t="shared" si="5"/>
        <v/>
      </c>
    </row>
    <row r="105" spans="1:9" s="97" customFormat="1" ht="17.399999999999999">
      <c r="A105" s="95"/>
      <c r="B105" s="96"/>
      <c r="C105" s="97" t="str">
        <f t="shared" si="3"/>
        <v/>
      </c>
      <c r="D105" s="98"/>
      <c r="E105" s="99"/>
      <c r="F105" s="97" t="str">
        <f t="shared" si="4"/>
        <v/>
      </c>
      <c r="G105" s="98"/>
      <c r="H105" s="99"/>
      <c r="I105" s="97" t="str">
        <f t="shared" si="5"/>
        <v/>
      </c>
    </row>
    <row r="106" spans="1:9" s="97" customFormat="1" ht="17.399999999999999">
      <c r="A106" s="95"/>
      <c r="B106" s="96"/>
      <c r="C106" s="97" t="str">
        <f t="shared" si="3"/>
        <v/>
      </c>
      <c r="D106" s="98"/>
      <c r="E106" s="99"/>
      <c r="F106" s="97" t="str">
        <f t="shared" si="4"/>
        <v/>
      </c>
      <c r="G106" s="98"/>
      <c r="H106" s="99"/>
      <c r="I106" s="97" t="str">
        <f t="shared" si="5"/>
        <v/>
      </c>
    </row>
    <row r="107" spans="1:9" s="97" customFormat="1" ht="17.399999999999999">
      <c r="A107" s="95"/>
      <c r="B107" s="96"/>
      <c r="C107" s="97" t="str">
        <f t="shared" si="3"/>
        <v/>
      </c>
      <c r="D107" s="98"/>
      <c r="E107" s="99"/>
      <c r="F107" s="97" t="str">
        <f t="shared" si="4"/>
        <v/>
      </c>
      <c r="G107" s="98"/>
      <c r="H107" s="99"/>
      <c r="I107" s="97" t="str">
        <f t="shared" si="5"/>
        <v/>
      </c>
    </row>
    <row r="108" spans="1:9" s="97" customFormat="1" ht="17.399999999999999">
      <c r="A108" s="95"/>
      <c r="B108" s="96"/>
      <c r="C108" s="97" t="str">
        <f t="shared" si="3"/>
        <v/>
      </c>
      <c r="D108" s="98"/>
      <c r="E108" s="99"/>
      <c r="F108" s="97" t="str">
        <f t="shared" si="4"/>
        <v/>
      </c>
      <c r="G108" s="98"/>
      <c r="H108" s="99"/>
      <c r="I108" s="97" t="str">
        <f t="shared" si="5"/>
        <v/>
      </c>
    </row>
    <row r="109" spans="1:9" s="97" customFormat="1" ht="17.399999999999999">
      <c r="A109" s="95"/>
      <c r="B109" s="96"/>
      <c r="C109" s="97" t="str">
        <f t="shared" si="3"/>
        <v/>
      </c>
      <c r="D109" s="98"/>
      <c r="E109" s="99"/>
      <c r="F109" s="97" t="str">
        <f t="shared" si="4"/>
        <v/>
      </c>
      <c r="G109" s="98"/>
      <c r="H109" s="99"/>
      <c r="I109" s="97" t="str">
        <f t="shared" si="5"/>
        <v/>
      </c>
    </row>
    <row r="110" spans="1:9" s="97" customFormat="1" ht="17.399999999999999">
      <c r="A110" s="95"/>
      <c r="B110" s="96"/>
      <c r="C110" s="97" t="str">
        <f t="shared" si="3"/>
        <v/>
      </c>
      <c r="D110" s="98"/>
      <c r="E110" s="99"/>
      <c r="F110" s="97" t="str">
        <f t="shared" si="4"/>
        <v/>
      </c>
      <c r="G110" s="98"/>
      <c r="H110" s="99"/>
      <c r="I110" s="97" t="str">
        <f t="shared" si="5"/>
        <v/>
      </c>
    </row>
    <row r="111" spans="1:9" s="97" customFormat="1" ht="17.399999999999999">
      <c r="A111" s="95"/>
      <c r="B111" s="96"/>
      <c r="C111" s="97" t="str">
        <f t="shared" si="3"/>
        <v/>
      </c>
      <c r="D111" s="98"/>
      <c r="E111" s="99"/>
      <c r="F111" s="97" t="str">
        <f t="shared" si="4"/>
        <v/>
      </c>
      <c r="G111" s="98"/>
      <c r="H111" s="99"/>
      <c r="I111" s="97" t="str">
        <f t="shared" si="5"/>
        <v/>
      </c>
    </row>
    <row r="112" spans="1:9" s="97" customFormat="1" ht="17.399999999999999">
      <c r="A112" s="95"/>
      <c r="B112" s="96"/>
      <c r="C112" s="97" t="str">
        <f t="shared" si="3"/>
        <v/>
      </c>
      <c r="D112" s="98"/>
      <c r="E112" s="99"/>
      <c r="F112" s="97" t="str">
        <f t="shared" si="4"/>
        <v/>
      </c>
      <c r="G112" s="98"/>
      <c r="H112" s="99"/>
      <c r="I112" s="97" t="str">
        <f t="shared" si="5"/>
        <v/>
      </c>
    </row>
    <row r="113" spans="1:9" s="97" customFormat="1" ht="17.399999999999999">
      <c r="A113" s="95"/>
      <c r="B113" s="96"/>
      <c r="C113" s="97" t="str">
        <f t="shared" si="3"/>
        <v/>
      </c>
      <c r="D113" s="98"/>
      <c r="E113" s="99"/>
      <c r="F113" s="97" t="str">
        <f t="shared" si="4"/>
        <v/>
      </c>
      <c r="G113" s="98"/>
      <c r="H113" s="99"/>
      <c r="I113" s="97" t="str">
        <f t="shared" si="5"/>
        <v/>
      </c>
    </row>
    <row r="114" spans="1:9" s="97" customFormat="1" ht="17.399999999999999">
      <c r="A114" s="95"/>
      <c r="B114" s="96"/>
      <c r="C114" s="97" t="str">
        <f t="shared" si="3"/>
        <v/>
      </c>
      <c r="D114" s="98"/>
      <c r="E114" s="99"/>
      <c r="F114" s="97" t="str">
        <f t="shared" si="4"/>
        <v/>
      </c>
      <c r="G114" s="98"/>
      <c r="H114" s="99"/>
      <c r="I114" s="97" t="str">
        <f t="shared" si="5"/>
        <v/>
      </c>
    </row>
    <row r="115" spans="1:9" s="97" customFormat="1" ht="17.399999999999999">
      <c r="A115" s="95"/>
      <c r="B115" s="96"/>
      <c r="C115" s="97" t="str">
        <f t="shared" si="3"/>
        <v/>
      </c>
      <c r="D115" s="98"/>
      <c r="E115" s="99"/>
      <c r="F115" s="97" t="str">
        <f t="shared" si="4"/>
        <v/>
      </c>
      <c r="G115" s="98"/>
      <c r="H115" s="99"/>
      <c r="I115" s="97" t="str">
        <f t="shared" si="5"/>
        <v/>
      </c>
    </row>
    <row r="116" spans="1:9" s="97" customFormat="1" ht="17.399999999999999">
      <c r="A116" s="95"/>
      <c r="B116" s="96"/>
      <c r="C116" s="97" t="str">
        <f t="shared" si="3"/>
        <v/>
      </c>
      <c r="D116" s="98"/>
      <c r="E116" s="99"/>
      <c r="F116" s="97" t="str">
        <f t="shared" si="4"/>
        <v/>
      </c>
      <c r="G116" s="98"/>
      <c r="H116" s="99"/>
      <c r="I116" s="97" t="str">
        <f t="shared" si="5"/>
        <v/>
      </c>
    </row>
    <row r="117" spans="1:9" s="97" customFormat="1" ht="17.399999999999999">
      <c r="A117" s="95"/>
      <c r="B117" s="96"/>
      <c r="C117" s="97" t="str">
        <f t="shared" si="3"/>
        <v/>
      </c>
      <c r="D117" s="98"/>
      <c r="E117" s="99"/>
      <c r="F117" s="97" t="str">
        <f t="shared" si="4"/>
        <v/>
      </c>
      <c r="G117" s="98"/>
      <c r="H117" s="99"/>
      <c r="I117" s="97" t="str">
        <f t="shared" si="5"/>
        <v/>
      </c>
    </row>
    <row r="118" spans="1:9" s="97" customFormat="1" ht="17.399999999999999">
      <c r="A118" s="95"/>
      <c r="B118" s="96"/>
      <c r="C118" s="97" t="str">
        <f t="shared" si="3"/>
        <v/>
      </c>
      <c r="D118" s="98"/>
      <c r="E118" s="99"/>
      <c r="F118" s="97" t="str">
        <f t="shared" si="4"/>
        <v/>
      </c>
      <c r="G118" s="98"/>
      <c r="H118" s="99"/>
      <c r="I118" s="97" t="str">
        <f t="shared" si="5"/>
        <v/>
      </c>
    </row>
    <row r="119" spans="1:9" s="97" customFormat="1" ht="17.399999999999999">
      <c r="A119" s="95"/>
      <c r="B119" s="96"/>
      <c r="C119" s="97" t="str">
        <f t="shared" si="3"/>
        <v/>
      </c>
      <c r="D119" s="98"/>
      <c r="E119" s="99"/>
      <c r="F119" s="97" t="str">
        <f t="shared" si="4"/>
        <v/>
      </c>
      <c r="G119" s="98"/>
      <c r="H119" s="99"/>
      <c r="I119" s="97" t="str">
        <f t="shared" si="5"/>
        <v/>
      </c>
    </row>
    <row r="120" spans="1:9" s="97" customFormat="1" ht="17.399999999999999">
      <c r="A120" s="95"/>
      <c r="B120" s="96"/>
      <c r="C120" s="97" t="str">
        <f t="shared" si="3"/>
        <v/>
      </c>
      <c r="D120" s="98"/>
      <c r="E120" s="99"/>
      <c r="F120" s="97" t="str">
        <f t="shared" si="4"/>
        <v/>
      </c>
      <c r="G120" s="98"/>
      <c r="H120" s="99"/>
      <c r="I120" s="97" t="str">
        <f t="shared" si="5"/>
        <v/>
      </c>
    </row>
    <row r="121" spans="1:9" s="97" customFormat="1" ht="17.399999999999999">
      <c r="A121" s="95"/>
      <c r="B121" s="96"/>
      <c r="C121" s="97" t="str">
        <f t="shared" si="3"/>
        <v/>
      </c>
      <c r="D121" s="98"/>
      <c r="E121" s="99"/>
      <c r="F121" s="97" t="str">
        <f t="shared" si="4"/>
        <v/>
      </c>
      <c r="G121" s="98"/>
      <c r="H121" s="99"/>
      <c r="I121" s="97" t="str">
        <f t="shared" si="5"/>
        <v/>
      </c>
    </row>
    <row r="122" spans="1:9" s="97" customFormat="1" ht="17.399999999999999">
      <c r="A122" s="95"/>
      <c r="B122" s="96"/>
      <c r="C122" s="97" t="str">
        <f t="shared" si="3"/>
        <v/>
      </c>
      <c r="D122" s="98"/>
      <c r="E122" s="99"/>
      <c r="F122" s="97" t="str">
        <f t="shared" si="4"/>
        <v/>
      </c>
      <c r="G122" s="98"/>
      <c r="H122" s="99"/>
      <c r="I122" s="97" t="str">
        <f t="shared" si="5"/>
        <v/>
      </c>
    </row>
    <row r="123" spans="1:9" s="97" customFormat="1" ht="17.399999999999999">
      <c r="A123" s="95"/>
      <c r="B123" s="101"/>
      <c r="C123" s="97" t="str">
        <f t="shared" si="3"/>
        <v/>
      </c>
      <c r="D123" s="98"/>
      <c r="E123" s="99"/>
      <c r="F123" s="97" t="str">
        <f t="shared" si="4"/>
        <v/>
      </c>
      <c r="G123" s="98"/>
      <c r="H123" s="99"/>
      <c r="I123" s="97" t="str">
        <f t="shared" si="5"/>
        <v/>
      </c>
    </row>
    <row r="124" spans="1:9" s="97" customFormat="1" ht="17.399999999999999">
      <c r="A124" s="95"/>
      <c r="B124" s="96"/>
      <c r="C124" s="97" t="str">
        <f t="shared" si="3"/>
        <v/>
      </c>
      <c r="D124" s="98"/>
      <c r="E124" s="99"/>
      <c r="F124" s="97" t="str">
        <f t="shared" si="4"/>
        <v/>
      </c>
      <c r="G124" s="98"/>
      <c r="H124" s="99"/>
      <c r="I124" s="97" t="str">
        <f t="shared" si="5"/>
        <v/>
      </c>
    </row>
    <row r="125" spans="1:9" s="97" customFormat="1" ht="17.399999999999999">
      <c r="A125" s="95"/>
      <c r="B125" s="96"/>
      <c r="C125" s="97" t="str">
        <f t="shared" si="3"/>
        <v/>
      </c>
      <c r="D125" s="98"/>
      <c r="E125" s="99"/>
      <c r="F125" s="97" t="str">
        <f t="shared" si="4"/>
        <v/>
      </c>
      <c r="G125" s="98"/>
      <c r="H125" s="99"/>
      <c r="I125" s="97" t="str">
        <f t="shared" si="5"/>
        <v/>
      </c>
    </row>
    <row r="126" spans="1:9" s="97" customFormat="1" ht="17.399999999999999">
      <c r="A126" s="95"/>
      <c r="B126" s="96"/>
      <c r="C126" s="97" t="str">
        <f t="shared" si="3"/>
        <v/>
      </c>
      <c r="D126" s="98"/>
      <c r="E126" s="99"/>
      <c r="F126" s="97" t="str">
        <f t="shared" si="4"/>
        <v/>
      </c>
      <c r="G126" s="98"/>
      <c r="H126" s="99"/>
      <c r="I126" s="97" t="str">
        <f t="shared" si="5"/>
        <v/>
      </c>
    </row>
    <row r="127" spans="1:9" s="97" customFormat="1" ht="17.399999999999999">
      <c r="A127" s="95"/>
      <c r="B127" s="96"/>
      <c r="C127" s="97" t="str">
        <f t="shared" si="3"/>
        <v/>
      </c>
      <c r="D127" s="98"/>
      <c r="E127" s="99"/>
      <c r="F127" s="97" t="str">
        <f t="shared" si="4"/>
        <v/>
      </c>
      <c r="G127" s="98"/>
      <c r="H127" s="99"/>
      <c r="I127" s="97" t="str">
        <f t="shared" si="5"/>
        <v/>
      </c>
    </row>
    <row r="128" spans="1:9" s="97" customFormat="1" ht="17.399999999999999">
      <c r="A128" s="95"/>
      <c r="B128" s="96"/>
      <c r="C128" s="97" t="str">
        <f t="shared" si="3"/>
        <v/>
      </c>
      <c r="D128" s="98"/>
      <c r="E128" s="99"/>
      <c r="F128" s="97" t="str">
        <f t="shared" si="4"/>
        <v/>
      </c>
      <c r="G128" s="98"/>
      <c r="H128" s="99"/>
      <c r="I128" s="97" t="str">
        <f t="shared" si="5"/>
        <v/>
      </c>
    </row>
    <row r="129" spans="1:9" s="97" customFormat="1" ht="17.399999999999999">
      <c r="A129" s="95"/>
      <c r="B129" s="96"/>
      <c r="C129" s="97" t="str">
        <f t="shared" si="3"/>
        <v/>
      </c>
      <c r="D129" s="98"/>
      <c r="E129" s="99"/>
      <c r="F129" s="97" t="str">
        <f t="shared" si="4"/>
        <v/>
      </c>
      <c r="G129" s="98"/>
      <c r="H129" s="99"/>
      <c r="I129" s="97" t="str">
        <f t="shared" si="5"/>
        <v/>
      </c>
    </row>
    <row r="130" spans="1:9" s="97" customFormat="1" ht="17.399999999999999">
      <c r="A130" s="95"/>
      <c r="B130" s="96"/>
      <c r="C130" s="97" t="str">
        <f t="shared" si="3"/>
        <v/>
      </c>
      <c r="D130" s="98"/>
      <c r="E130" s="99"/>
      <c r="F130" s="97" t="str">
        <f t="shared" si="4"/>
        <v/>
      </c>
      <c r="G130" s="98"/>
      <c r="H130" s="99"/>
      <c r="I130" s="97" t="str">
        <f t="shared" si="5"/>
        <v/>
      </c>
    </row>
    <row r="131" spans="1:9" s="97" customFormat="1" ht="17.399999999999999">
      <c r="A131" s="95"/>
      <c r="B131" s="96"/>
      <c r="C131" s="97" t="str">
        <f t="shared" si="3"/>
        <v/>
      </c>
      <c r="D131" s="98"/>
      <c r="E131" s="99"/>
      <c r="F131" s="97" t="str">
        <f t="shared" si="4"/>
        <v/>
      </c>
      <c r="G131" s="98"/>
      <c r="H131" s="99"/>
      <c r="I131" s="97" t="str">
        <f t="shared" si="5"/>
        <v/>
      </c>
    </row>
    <row r="132" spans="1:9" s="97" customFormat="1" ht="17.399999999999999">
      <c r="A132" s="95"/>
      <c r="B132" s="96"/>
      <c r="C132" s="97" t="str">
        <f t="shared" si="3"/>
        <v/>
      </c>
      <c r="D132" s="98"/>
      <c r="E132" s="99"/>
      <c r="F132" s="97" t="str">
        <f t="shared" si="4"/>
        <v/>
      </c>
      <c r="G132" s="98"/>
      <c r="H132" s="99"/>
      <c r="I132" s="97" t="str">
        <f t="shared" si="5"/>
        <v/>
      </c>
    </row>
    <row r="133" spans="1:9" s="97" customFormat="1" ht="17.399999999999999">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399999999999999">
      <c r="A134" s="95"/>
      <c r="B134" s="96"/>
      <c r="C134" s="97" t="str">
        <f t="shared" si="6"/>
        <v/>
      </c>
      <c r="D134" s="98"/>
      <c r="E134" s="99"/>
      <c r="F134" s="97" t="str">
        <f t="shared" si="7"/>
        <v/>
      </c>
      <c r="G134" s="98"/>
      <c r="H134" s="99"/>
      <c r="I134" s="97" t="str">
        <f t="shared" si="8"/>
        <v/>
      </c>
    </row>
    <row r="135" spans="1:9" s="97" customFormat="1" ht="17.399999999999999">
      <c r="A135" s="95"/>
      <c r="B135" s="96"/>
      <c r="C135" s="97" t="str">
        <f t="shared" si="6"/>
        <v/>
      </c>
      <c r="D135" s="98"/>
      <c r="E135" s="99"/>
      <c r="F135" s="97" t="str">
        <f t="shared" si="7"/>
        <v/>
      </c>
      <c r="G135" s="98"/>
      <c r="H135" s="99"/>
      <c r="I135" s="97" t="str">
        <f t="shared" si="8"/>
        <v/>
      </c>
    </row>
    <row r="136" spans="1:9" s="97" customFormat="1" ht="17.399999999999999">
      <c r="A136" s="95"/>
      <c r="B136" s="96"/>
      <c r="C136" s="97" t="str">
        <f t="shared" si="6"/>
        <v/>
      </c>
      <c r="D136" s="98"/>
      <c r="E136" s="99"/>
      <c r="F136" s="97" t="str">
        <f t="shared" si="7"/>
        <v/>
      </c>
      <c r="G136" s="98"/>
      <c r="H136" s="99"/>
      <c r="I136" s="97" t="str">
        <f t="shared" si="8"/>
        <v/>
      </c>
    </row>
    <row r="137" spans="1:9" s="97" customFormat="1" ht="17.399999999999999">
      <c r="A137" s="95"/>
      <c r="B137" s="96"/>
      <c r="C137" s="97" t="str">
        <f t="shared" si="6"/>
        <v/>
      </c>
      <c r="D137" s="98"/>
      <c r="E137" s="99"/>
      <c r="F137" s="97" t="str">
        <f t="shared" si="7"/>
        <v/>
      </c>
      <c r="G137" s="98"/>
      <c r="H137" s="99"/>
      <c r="I137" s="97" t="str">
        <f t="shared" si="8"/>
        <v/>
      </c>
    </row>
    <row r="138" spans="1:9" s="97" customFormat="1" ht="17.399999999999999">
      <c r="A138" s="95"/>
      <c r="B138" s="96"/>
      <c r="C138" s="97" t="str">
        <f t="shared" si="6"/>
        <v/>
      </c>
      <c r="D138" s="98"/>
      <c r="E138" s="99"/>
      <c r="F138" s="97" t="str">
        <f t="shared" si="7"/>
        <v/>
      </c>
      <c r="G138" s="98"/>
      <c r="H138" s="99"/>
      <c r="I138" s="97" t="str">
        <f t="shared" si="8"/>
        <v/>
      </c>
    </row>
    <row r="139" spans="1:9" s="97" customFormat="1" ht="17.399999999999999">
      <c r="A139" s="95"/>
      <c r="B139" s="96"/>
      <c r="C139" s="97" t="str">
        <f t="shared" si="6"/>
        <v/>
      </c>
      <c r="D139" s="98"/>
      <c r="E139" s="99"/>
      <c r="F139" s="97" t="str">
        <f t="shared" si="7"/>
        <v/>
      </c>
      <c r="G139" s="98"/>
      <c r="H139" s="99"/>
      <c r="I139" s="97" t="str">
        <f t="shared" si="8"/>
        <v/>
      </c>
    </row>
    <row r="140" spans="1:9" s="97" customFormat="1" ht="17.399999999999999">
      <c r="A140" s="95"/>
      <c r="B140" s="96"/>
      <c r="C140" s="97" t="str">
        <f t="shared" si="6"/>
        <v/>
      </c>
      <c r="D140" s="98"/>
      <c r="E140" s="99"/>
      <c r="F140" s="97" t="str">
        <f t="shared" si="7"/>
        <v/>
      </c>
      <c r="G140" s="98"/>
      <c r="H140" s="99"/>
      <c r="I140" s="97" t="str">
        <f t="shared" si="8"/>
        <v/>
      </c>
    </row>
    <row r="141" spans="1:9" s="97" customFormat="1" ht="17.399999999999999">
      <c r="A141" s="95"/>
      <c r="B141" s="96"/>
      <c r="C141" s="97" t="str">
        <f t="shared" si="6"/>
        <v/>
      </c>
      <c r="D141" s="98"/>
      <c r="E141" s="99"/>
      <c r="F141" s="97" t="str">
        <f t="shared" si="7"/>
        <v/>
      </c>
      <c r="G141" s="98"/>
      <c r="H141" s="99"/>
      <c r="I141" s="97" t="str">
        <f t="shared" si="8"/>
        <v/>
      </c>
    </row>
    <row r="142" spans="1:9" s="97" customFormat="1" ht="17.399999999999999">
      <c r="A142" s="95"/>
      <c r="B142" s="96"/>
      <c r="C142" s="97" t="str">
        <f t="shared" si="6"/>
        <v/>
      </c>
      <c r="D142" s="98"/>
      <c r="E142" s="99"/>
      <c r="F142" s="97" t="str">
        <f t="shared" si="7"/>
        <v/>
      </c>
      <c r="G142" s="98"/>
      <c r="H142" s="99"/>
      <c r="I142" s="97" t="str">
        <f t="shared" si="8"/>
        <v/>
      </c>
    </row>
    <row r="143" spans="1:9" s="97" customFormat="1" ht="17.399999999999999">
      <c r="A143" s="95"/>
      <c r="B143" s="96"/>
      <c r="C143" s="97" t="str">
        <f t="shared" si="6"/>
        <v/>
      </c>
      <c r="D143" s="98"/>
      <c r="E143" s="99"/>
      <c r="F143" s="97" t="str">
        <f t="shared" si="7"/>
        <v/>
      </c>
      <c r="G143" s="98"/>
      <c r="H143" s="99"/>
      <c r="I143" s="97" t="str">
        <f t="shared" si="8"/>
        <v/>
      </c>
    </row>
    <row r="144" spans="1:9" s="97" customFormat="1" ht="17.399999999999999">
      <c r="A144" s="95"/>
      <c r="B144" s="96"/>
      <c r="C144" s="97" t="str">
        <f t="shared" si="6"/>
        <v/>
      </c>
      <c r="D144" s="98"/>
      <c r="E144" s="99"/>
      <c r="F144" s="97" t="str">
        <f t="shared" si="7"/>
        <v/>
      </c>
      <c r="G144" s="98"/>
      <c r="H144" s="99"/>
      <c r="I144" s="97" t="str">
        <f t="shared" si="8"/>
        <v/>
      </c>
    </row>
    <row r="145" spans="1:9" s="97" customFormat="1" ht="17.399999999999999">
      <c r="A145" s="95"/>
      <c r="B145" s="96"/>
      <c r="C145" s="97" t="str">
        <f t="shared" si="6"/>
        <v/>
      </c>
      <c r="D145" s="98"/>
      <c r="E145" s="99"/>
      <c r="F145" s="97" t="str">
        <f t="shared" si="7"/>
        <v/>
      </c>
      <c r="G145" s="98"/>
      <c r="H145" s="99"/>
      <c r="I145" s="97" t="str">
        <f t="shared" si="8"/>
        <v/>
      </c>
    </row>
    <row r="146" spans="1:9" s="97" customFormat="1" ht="17.399999999999999">
      <c r="A146" s="95"/>
      <c r="B146" s="96"/>
      <c r="C146" s="97" t="str">
        <f t="shared" si="6"/>
        <v/>
      </c>
      <c r="D146" s="98"/>
      <c r="E146" s="99"/>
      <c r="F146" s="97" t="str">
        <f t="shared" si="7"/>
        <v/>
      </c>
      <c r="G146" s="98"/>
      <c r="H146" s="99"/>
      <c r="I146" s="97" t="str">
        <f t="shared" si="8"/>
        <v/>
      </c>
    </row>
    <row r="147" spans="1:9" s="97" customFormat="1" ht="17.399999999999999">
      <c r="A147" s="95"/>
      <c r="B147" s="96"/>
      <c r="C147" s="97" t="str">
        <f t="shared" si="6"/>
        <v/>
      </c>
      <c r="D147" s="98"/>
      <c r="E147" s="99"/>
      <c r="F147" s="97" t="str">
        <f t="shared" si="7"/>
        <v/>
      </c>
      <c r="G147" s="98"/>
      <c r="H147" s="99"/>
      <c r="I147" s="97" t="str">
        <f t="shared" si="8"/>
        <v/>
      </c>
    </row>
    <row r="148" spans="1:9" s="97" customFormat="1" ht="17.399999999999999">
      <c r="A148" s="95"/>
      <c r="B148" s="96"/>
      <c r="C148" s="97" t="str">
        <f t="shared" si="6"/>
        <v/>
      </c>
      <c r="D148" s="98"/>
      <c r="E148" s="99"/>
      <c r="F148" s="97" t="str">
        <f t="shared" si="7"/>
        <v/>
      </c>
      <c r="G148" s="98"/>
      <c r="H148" s="99"/>
      <c r="I148" s="97" t="str">
        <f t="shared" si="8"/>
        <v/>
      </c>
    </row>
    <row r="149" spans="1:9" s="97" customFormat="1" ht="17.399999999999999">
      <c r="A149" s="95"/>
      <c r="B149" s="96"/>
      <c r="C149" s="97" t="str">
        <f t="shared" si="6"/>
        <v/>
      </c>
      <c r="D149" s="98"/>
      <c r="E149" s="99"/>
      <c r="F149" s="97" t="str">
        <f t="shared" si="7"/>
        <v/>
      </c>
      <c r="G149" s="98"/>
      <c r="H149" s="99"/>
      <c r="I149" s="97" t="str">
        <f t="shared" si="8"/>
        <v/>
      </c>
    </row>
    <row r="150" spans="1:9" s="97" customFormat="1" ht="17.399999999999999">
      <c r="A150" s="95"/>
      <c r="B150" s="96"/>
      <c r="C150" s="97" t="str">
        <f t="shared" si="6"/>
        <v/>
      </c>
      <c r="D150" s="98"/>
      <c r="E150" s="99"/>
      <c r="F150" s="97" t="str">
        <f t="shared" si="7"/>
        <v/>
      </c>
      <c r="G150" s="98"/>
      <c r="H150" s="99"/>
      <c r="I150" s="97" t="str">
        <f t="shared" si="8"/>
        <v/>
      </c>
    </row>
    <row r="151" spans="1:9" s="97" customFormat="1" ht="17.399999999999999">
      <c r="A151" s="95"/>
      <c r="B151" s="96"/>
      <c r="C151" s="97" t="str">
        <f t="shared" si="6"/>
        <v/>
      </c>
      <c r="D151" s="98"/>
      <c r="E151" s="99"/>
      <c r="F151" s="97" t="str">
        <f t="shared" si="7"/>
        <v/>
      </c>
      <c r="G151" s="98"/>
      <c r="H151" s="99"/>
      <c r="I151" s="97" t="str">
        <f t="shared" si="8"/>
        <v/>
      </c>
    </row>
    <row r="152" spans="1:9" s="97" customFormat="1" ht="17.399999999999999">
      <c r="A152" s="95"/>
      <c r="B152" s="96"/>
      <c r="C152" s="97" t="str">
        <f t="shared" si="6"/>
        <v/>
      </c>
      <c r="D152" s="98"/>
      <c r="E152" s="99"/>
      <c r="F152" s="97" t="str">
        <f t="shared" si="7"/>
        <v/>
      </c>
      <c r="G152" s="98"/>
      <c r="H152" s="99"/>
      <c r="I152" s="97" t="str">
        <f t="shared" si="8"/>
        <v/>
      </c>
    </row>
    <row r="153" spans="1:9" s="97" customFormat="1" ht="17.399999999999999">
      <c r="A153" s="95"/>
      <c r="B153" s="96"/>
      <c r="C153" s="97" t="str">
        <f t="shared" si="6"/>
        <v/>
      </c>
      <c r="D153" s="98"/>
      <c r="E153" s="99"/>
      <c r="F153" s="97" t="str">
        <f t="shared" si="7"/>
        <v/>
      </c>
      <c r="G153" s="98"/>
      <c r="H153" s="99"/>
      <c r="I153" s="97" t="str">
        <f t="shared" si="8"/>
        <v/>
      </c>
    </row>
    <row r="154" spans="1:9" s="97" customFormat="1" ht="17.399999999999999">
      <c r="A154" s="95"/>
      <c r="B154" s="96"/>
      <c r="C154" s="97" t="str">
        <f t="shared" si="6"/>
        <v/>
      </c>
      <c r="D154" s="98"/>
      <c r="E154" s="99"/>
      <c r="F154" s="97" t="str">
        <f t="shared" si="7"/>
        <v/>
      </c>
      <c r="G154" s="98"/>
      <c r="H154" s="99"/>
      <c r="I154" s="97" t="str">
        <f t="shared" si="8"/>
        <v/>
      </c>
    </row>
    <row r="155" spans="1:9" s="97" customFormat="1" ht="17.399999999999999">
      <c r="A155" s="95"/>
      <c r="B155" s="96"/>
      <c r="C155" s="97" t="str">
        <f t="shared" si="6"/>
        <v/>
      </c>
      <c r="D155" s="98"/>
      <c r="E155" s="99"/>
      <c r="F155" s="97" t="str">
        <f t="shared" si="7"/>
        <v/>
      </c>
      <c r="G155" s="98"/>
      <c r="H155" s="99"/>
      <c r="I155" s="97" t="str">
        <f t="shared" si="8"/>
        <v/>
      </c>
    </row>
    <row r="156" spans="1:9" s="97" customFormat="1" ht="17.399999999999999">
      <c r="A156" s="95"/>
      <c r="B156" s="96"/>
      <c r="C156" s="97" t="str">
        <f t="shared" si="6"/>
        <v/>
      </c>
      <c r="D156" s="98"/>
      <c r="E156" s="99"/>
      <c r="F156" s="97" t="str">
        <f t="shared" si="7"/>
        <v/>
      </c>
      <c r="G156" s="98"/>
      <c r="H156" s="99"/>
      <c r="I156" s="97" t="str">
        <f t="shared" si="8"/>
        <v/>
      </c>
    </row>
    <row r="157" spans="1:9" s="97" customFormat="1" ht="17.399999999999999">
      <c r="A157" s="95"/>
      <c r="B157" s="96"/>
      <c r="C157" s="97" t="str">
        <f t="shared" si="6"/>
        <v/>
      </c>
      <c r="D157" s="98"/>
      <c r="E157" s="99"/>
      <c r="F157" s="97" t="str">
        <f t="shared" si="7"/>
        <v/>
      </c>
      <c r="G157" s="98"/>
      <c r="H157" s="99"/>
      <c r="I157" s="97" t="str">
        <f t="shared" si="8"/>
        <v/>
      </c>
    </row>
    <row r="158" spans="1:9" s="97" customFormat="1" ht="17.399999999999999">
      <c r="A158" s="95"/>
      <c r="B158" s="96"/>
      <c r="C158" s="97" t="str">
        <f t="shared" si="6"/>
        <v/>
      </c>
      <c r="D158" s="98"/>
      <c r="E158" s="99"/>
      <c r="F158" s="97" t="str">
        <f t="shared" si="7"/>
        <v/>
      </c>
      <c r="G158" s="98"/>
      <c r="H158" s="99"/>
      <c r="I158" s="97" t="str">
        <f t="shared" si="8"/>
        <v/>
      </c>
    </row>
    <row r="159" spans="1:9" s="97" customFormat="1" ht="17.399999999999999">
      <c r="A159" s="95"/>
      <c r="B159" s="96"/>
      <c r="C159" s="97" t="str">
        <f t="shared" si="6"/>
        <v/>
      </c>
      <c r="D159" s="98"/>
      <c r="E159" s="99"/>
      <c r="F159" s="97" t="str">
        <f t="shared" si="7"/>
        <v/>
      </c>
      <c r="G159" s="98"/>
      <c r="H159" s="99"/>
      <c r="I159" s="97" t="str">
        <f t="shared" si="8"/>
        <v/>
      </c>
    </row>
    <row r="160" spans="1:9" s="97" customFormat="1" ht="17.399999999999999">
      <c r="A160" s="95"/>
      <c r="B160" s="96"/>
      <c r="C160" s="97" t="str">
        <f t="shared" si="6"/>
        <v/>
      </c>
      <c r="D160" s="98"/>
      <c r="E160" s="99"/>
      <c r="F160" s="97" t="str">
        <f t="shared" si="7"/>
        <v/>
      </c>
      <c r="G160" s="98"/>
      <c r="H160" s="99"/>
      <c r="I160" s="97" t="str">
        <f t="shared" si="8"/>
        <v/>
      </c>
    </row>
    <row r="161" spans="1:9" s="97" customFormat="1" ht="17.399999999999999">
      <c r="A161" s="95"/>
      <c r="B161" s="96"/>
      <c r="C161" s="97" t="str">
        <f t="shared" si="6"/>
        <v/>
      </c>
      <c r="D161" s="98"/>
      <c r="E161" s="99"/>
      <c r="F161" s="97" t="str">
        <f t="shared" si="7"/>
        <v/>
      </c>
      <c r="G161" s="98"/>
      <c r="H161" s="99"/>
      <c r="I161" s="97" t="str">
        <f t="shared" si="8"/>
        <v/>
      </c>
    </row>
    <row r="162" spans="1:9" s="97" customFormat="1" ht="17.399999999999999">
      <c r="A162" s="95"/>
      <c r="B162" s="96"/>
      <c r="C162" s="97" t="str">
        <f t="shared" si="6"/>
        <v/>
      </c>
      <c r="D162" s="98"/>
      <c r="E162" s="99"/>
      <c r="F162" s="97" t="str">
        <f t="shared" si="7"/>
        <v/>
      </c>
      <c r="G162" s="98"/>
      <c r="H162" s="99"/>
      <c r="I162" s="97" t="str">
        <f t="shared" si="8"/>
        <v/>
      </c>
    </row>
    <row r="163" spans="1:9" s="97" customFormat="1" ht="17.399999999999999">
      <c r="A163" s="95"/>
      <c r="B163" s="96"/>
      <c r="C163" s="97" t="str">
        <f t="shared" si="6"/>
        <v/>
      </c>
      <c r="D163" s="98"/>
      <c r="E163" s="99"/>
      <c r="F163" s="97" t="str">
        <f t="shared" si="7"/>
        <v/>
      </c>
      <c r="G163" s="98"/>
      <c r="H163" s="99"/>
      <c r="I163" s="97" t="str">
        <f t="shared" si="8"/>
        <v/>
      </c>
    </row>
    <row r="164" spans="1:9" s="97" customFormat="1" ht="17.399999999999999">
      <c r="A164" s="95"/>
      <c r="B164" s="96"/>
      <c r="C164" s="97" t="str">
        <f t="shared" si="6"/>
        <v/>
      </c>
      <c r="D164" s="98"/>
      <c r="E164" s="99"/>
      <c r="F164" s="97" t="str">
        <f t="shared" si="7"/>
        <v/>
      </c>
      <c r="G164" s="98"/>
      <c r="H164" s="99"/>
      <c r="I164" s="97" t="str">
        <f t="shared" si="8"/>
        <v/>
      </c>
    </row>
    <row r="165" spans="1:9" s="97" customFormat="1" ht="17.399999999999999">
      <c r="A165" s="95"/>
      <c r="B165" s="96"/>
      <c r="C165" s="97" t="str">
        <f t="shared" si="6"/>
        <v/>
      </c>
      <c r="D165" s="98"/>
      <c r="E165" s="99"/>
      <c r="F165" s="97" t="str">
        <f t="shared" si="7"/>
        <v/>
      </c>
      <c r="G165" s="98"/>
      <c r="H165" s="99"/>
      <c r="I165" s="97" t="str">
        <f t="shared" si="8"/>
        <v/>
      </c>
    </row>
    <row r="166" spans="1:9" s="97" customFormat="1" ht="17.399999999999999">
      <c r="A166" s="95"/>
      <c r="B166" s="96"/>
      <c r="C166" s="97" t="str">
        <f t="shared" si="6"/>
        <v/>
      </c>
      <c r="D166" s="98"/>
      <c r="E166" s="99"/>
      <c r="F166" s="97" t="str">
        <f t="shared" si="7"/>
        <v/>
      </c>
      <c r="G166" s="98"/>
      <c r="H166" s="99"/>
      <c r="I166" s="97" t="str">
        <f t="shared" si="8"/>
        <v/>
      </c>
    </row>
    <row r="167" spans="1:9" s="97" customFormat="1" ht="17.399999999999999">
      <c r="A167" s="95"/>
      <c r="B167" s="96"/>
      <c r="C167" s="97" t="str">
        <f t="shared" si="6"/>
        <v/>
      </c>
      <c r="D167" s="98"/>
      <c r="E167" s="99"/>
      <c r="F167" s="97" t="str">
        <f t="shared" si="7"/>
        <v/>
      </c>
      <c r="G167" s="98"/>
      <c r="H167" s="99"/>
      <c r="I167" s="97" t="str">
        <f t="shared" si="8"/>
        <v/>
      </c>
    </row>
    <row r="168" spans="1:9" s="97" customFormat="1" ht="17.399999999999999">
      <c r="A168" s="95"/>
      <c r="B168" s="96"/>
      <c r="C168" s="97" t="str">
        <f t="shared" si="6"/>
        <v/>
      </c>
      <c r="D168" s="98"/>
      <c r="E168" s="99"/>
      <c r="F168" s="97" t="str">
        <f t="shared" si="7"/>
        <v/>
      </c>
      <c r="G168" s="98"/>
      <c r="H168" s="99"/>
      <c r="I168" s="97" t="str">
        <f t="shared" si="8"/>
        <v/>
      </c>
    </row>
    <row r="169" spans="1:9" s="97" customFormat="1" ht="17.399999999999999">
      <c r="A169" s="95"/>
      <c r="B169" s="96"/>
      <c r="C169" s="97" t="str">
        <f t="shared" si="6"/>
        <v/>
      </c>
      <c r="D169" s="98"/>
      <c r="E169" s="99"/>
      <c r="F169" s="97" t="str">
        <f t="shared" si="7"/>
        <v/>
      </c>
      <c r="G169" s="98"/>
      <c r="H169" s="99"/>
      <c r="I169" s="97" t="str">
        <f t="shared" si="8"/>
        <v/>
      </c>
    </row>
    <row r="170" spans="1:9" s="97" customFormat="1" ht="17.399999999999999">
      <c r="A170" s="95"/>
      <c r="B170" s="96"/>
      <c r="C170" s="97" t="str">
        <f t="shared" si="6"/>
        <v/>
      </c>
      <c r="D170" s="98"/>
      <c r="E170" s="99"/>
      <c r="F170" s="97" t="str">
        <f t="shared" si="7"/>
        <v/>
      </c>
      <c r="G170" s="98"/>
      <c r="H170" s="99"/>
      <c r="I170" s="97" t="str">
        <f t="shared" si="8"/>
        <v/>
      </c>
    </row>
    <row r="171" spans="1:9" s="97" customFormat="1" ht="17.399999999999999">
      <c r="A171" s="95"/>
      <c r="B171" s="96"/>
      <c r="C171" s="97" t="str">
        <f t="shared" si="6"/>
        <v/>
      </c>
      <c r="D171" s="98"/>
      <c r="E171" s="99"/>
      <c r="F171" s="97" t="str">
        <f t="shared" si="7"/>
        <v/>
      </c>
      <c r="G171" s="98"/>
      <c r="H171" s="99"/>
      <c r="I171" s="97" t="str">
        <f t="shared" si="8"/>
        <v/>
      </c>
    </row>
    <row r="172" spans="1:9" s="97" customFormat="1" ht="17.399999999999999">
      <c r="A172" s="95"/>
      <c r="B172" s="96"/>
      <c r="C172" s="97" t="str">
        <f t="shared" si="6"/>
        <v/>
      </c>
      <c r="D172" s="98"/>
      <c r="E172" s="99"/>
      <c r="F172" s="97" t="str">
        <f t="shared" si="7"/>
        <v/>
      </c>
      <c r="G172" s="98"/>
      <c r="H172" s="99"/>
      <c r="I172" s="97" t="str">
        <f t="shared" si="8"/>
        <v/>
      </c>
    </row>
    <row r="173" spans="1:9" s="97" customFormat="1" ht="17.399999999999999">
      <c r="A173" s="95"/>
      <c r="B173" s="96"/>
      <c r="C173" s="97" t="str">
        <f t="shared" si="6"/>
        <v/>
      </c>
      <c r="D173" s="98"/>
      <c r="E173" s="99"/>
      <c r="F173" s="97" t="str">
        <f t="shared" si="7"/>
        <v/>
      </c>
      <c r="G173" s="98"/>
      <c r="H173" s="99"/>
      <c r="I173" s="97" t="str">
        <f t="shared" si="8"/>
        <v/>
      </c>
    </row>
    <row r="174" spans="1:9" s="97" customFormat="1" ht="17.399999999999999">
      <c r="A174" s="95"/>
      <c r="B174" s="96"/>
      <c r="C174" s="97" t="str">
        <f t="shared" si="6"/>
        <v/>
      </c>
      <c r="D174" s="98"/>
      <c r="E174" s="99"/>
      <c r="F174" s="97" t="str">
        <f t="shared" si="7"/>
        <v/>
      </c>
      <c r="G174" s="98"/>
      <c r="H174" s="99"/>
      <c r="I174" s="97" t="str">
        <f t="shared" si="8"/>
        <v/>
      </c>
    </row>
    <row r="175" spans="1:9" s="97" customFormat="1" ht="17.399999999999999">
      <c r="A175" s="95"/>
      <c r="B175" s="96"/>
      <c r="C175" s="97" t="str">
        <f t="shared" si="6"/>
        <v/>
      </c>
      <c r="D175" s="98"/>
      <c r="E175" s="99"/>
      <c r="F175" s="97" t="str">
        <f t="shared" si="7"/>
        <v/>
      </c>
      <c r="G175" s="98"/>
      <c r="H175" s="99"/>
      <c r="I175" s="97" t="str">
        <f t="shared" si="8"/>
        <v/>
      </c>
    </row>
    <row r="176" spans="1:9" s="97" customFormat="1" ht="17.399999999999999">
      <c r="A176" s="95"/>
      <c r="B176" s="96"/>
      <c r="C176" s="97" t="str">
        <f t="shared" si="6"/>
        <v/>
      </c>
      <c r="D176" s="98"/>
      <c r="E176" s="99"/>
      <c r="F176" s="97" t="str">
        <f t="shared" si="7"/>
        <v/>
      </c>
      <c r="G176" s="98"/>
      <c r="H176" s="99"/>
      <c r="I176" s="97" t="str">
        <f t="shared" si="8"/>
        <v/>
      </c>
    </row>
    <row r="177" spans="1:9" s="97" customFormat="1" ht="17.399999999999999">
      <c r="A177" s="95"/>
      <c r="B177" s="96"/>
      <c r="C177" s="97" t="str">
        <f t="shared" si="6"/>
        <v/>
      </c>
      <c r="D177" s="98"/>
      <c r="E177" s="99"/>
      <c r="F177" s="97" t="str">
        <f t="shared" si="7"/>
        <v/>
      </c>
      <c r="G177" s="98"/>
      <c r="H177" s="99"/>
      <c r="I177" s="97" t="str">
        <f t="shared" si="8"/>
        <v/>
      </c>
    </row>
    <row r="178" spans="1:9" s="97" customFormat="1" ht="17.399999999999999">
      <c r="A178" s="95"/>
      <c r="B178" s="96"/>
      <c r="C178" s="97" t="str">
        <f t="shared" si="6"/>
        <v/>
      </c>
      <c r="D178" s="98"/>
      <c r="E178" s="99"/>
      <c r="F178" s="97" t="str">
        <f t="shared" si="7"/>
        <v/>
      </c>
      <c r="G178" s="98"/>
      <c r="H178" s="99"/>
      <c r="I178" s="97" t="str">
        <f t="shared" si="8"/>
        <v/>
      </c>
    </row>
    <row r="179" spans="1:9" s="97" customFormat="1" ht="17.399999999999999">
      <c r="A179" s="95"/>
      <c r="B179" s="96"/>
      <c r="C179" s="97" t="str">
        <f t="shared" si="6"/>
        <v/>
      </c>
      <c r="D179" s="98"/>
      <c r="E179" s="99"/>
      <c r="F179" s="97" t="str">
        <f t="shared" si="7"/>
        <v/>
      </c>
      <c r="G179" s="98"/>
      <c r="H179" s="99"/>
      <c r="I179" s="97" t="str">
        <f t="shared" si="8"/>
        <v/>
      </c>
    </row>
    <row r="180" spans="1:9" s="97" customFormat="1" ht="17.399999999999999">
      <c r="A180" s="95"/>
      <c r="B180" s="96"/>
      <c r="C180" s="97" t="str">
        <f t="shared" si="6"/>
        <v/>
      </c>
      <c r="D180" s="98"/>
      <c r="E180" s="99"/>
      <c r="F180" s="97" t="str">
        <f t="shared" si="7"/>
        <v/>
      </c>
      <c r="G180" s="98"/>
      <c r="H180" s="99"/>
      <c r="I180" s="97" t="str">
        <f t="shared" si="8"/>
        <v/>
      </c>
    </row>
    <row r="181" spans="1:9" s="97" customFormat="1" ht="17.399999999999999">
      <c r="A181" s="95"/>
      <c r="B181" s="96"/>
      <c r="C181" s="97" t="str">
        <f t="shared" si="6"/>
        <v/>
      </c>
      <c r="D181" s="98"/>
      <c r="E181" s="99"/>
      <c r="F181" s="97" t="str">
        <f t="shared" si="7"/>
        <v/>
      </c>
      <c r="G181" s="98"/>
      <c r="H181" s="99"/>
      <c r="I181" s="97" t="str">
        <f t="shared" si="8"/>
        <v/>
      </c>
    </row>
    <row r="182" spans="1:9" s="97" customFormat="1" ht="17.399999999999999">
      <c r="A182" s="95"/>
      <c r="B182" s="96"/>
      <c r="C182" s="97" t="str">
        <f t="shared" si="6"/>
        <v/>
      </c>
      <c r="D182" s="98"/>
      <c r="E182" s="99"/>
      <c r="F182" s="97" t="str">
        <f t="shared" si="7"/>
        <v/>
      </c>
      <c r="G182" s="98"/>
      <c r="H182" s="99"/>
      <c r="I182" s="97" t="str">
        <f t="shared" si="8"/>
        <v/>
      </c>
    </row>
    <row r="183" spans="1:9" s="97" customFormat="1" ht="17.399999999999999">
      <c r="A183" s="95"/>
      <c r="B183" s="96"/>
      <c r="C183" s="97" t="str">
        <f t="shared" si="6"/>
        <v/>
      </c>
      <c r="D183" s="98"/>
      <c r="E183" s="99"/>
      <c r="F183" s="97" t="str">
        <f t="shared" si="7"/>
        <v/>
      </c>
      <c r="G183" s="98"/>
      <c r="H183" s="99"/>
      <c r="I183" s="97" t="str">
        <f t="shared" si="8"/>
        <v/>
      </c>
    </row>
    <row r="184" spans="1:9" s="97" customFormat="1" ht="17.399999999999999">
      <c r="A184" s="95"/>
      <c r="B184" s="96"/>
      <c r="C184" s="97" t="str">
        <f t="shared" si="6"/>
        <v/>
      </c>
      <c r="D184" s="98"/>
      <c r="E184" s="99"/>
      <c r="F184" s="97" t="str">
        <f t="shared" si="7"/>
        <v/>
      </c>
      <c r="G184" s="98"/>
      <c r="H184" s="99"/>
      <c r="I184" s="97" t="str">
        <f t="shared" si="8"/>
        <v/>
      </c>
    </row>
    <row r="185" spans="1:9" s="97" customFormat="1" ht="17.399999999999999">
      <c r="A185" s="95"/>
      <c r="B185" s="96"/>
      <c r="C185" s="97" t="str">
        <f t="shared" si="6"/>
        <v/>
      </c>
      <c r="D185" s="98"/>
      <c r="E185" s="99"/>
      <c r="F185" s="97" t="str">
        <f t="shared" si="7"/>
        <v/>
      </c>
      <c r="G185" s="98"/>
      <c r="H185" s="99"/>
      <c r="I185" s="97" t="str">
        <f t="shared" si="8"/>
        <v/>
      </c>
    </row>
    <row r="186" spans="1:9" s="97" customFormat="1" ht="17.399999999999999">
      <c r="A186" s="95"/>
      <c r="B186" s="96"/>
      <c r="C186" s="97" t="str">
        <f t="shared" si="6"/>
        <v/>
      </c>
      <c r="D186" s="98"/>
      <c r="E186" s="99"/>
      <c r="F186" s="97" t="str">
        <f t="shared" si="7"/>
        <v/>
      </c>
      <c r="G186" s="98"/>
      <c r="H186" s="99"/>
      <c r="I186" s="97" t="str">
        <f t="shared" si="8"/>
        <v/>
      </c>
    </row>
    <row r="187" spans="1:9" s="97" customFormat="1" ht="17.399999999999999">
      <c r="A187" s="95"/>
      <c r="B187" s="96"/>
      <c r="C187" s="97" t="str">
        <f t="shared" si="6"/>
        <v/>
      </c>
      <c r="D187" s="98"/>
      <c r="E187" s="99"/>
      <c r="F187" s="97" t="str">
        <f t="shared" si="7"/>
        <v/>
      </c>
      <c r="G187" s="98"/>
      <c r="H187" s="99"/>
      <c r="I187" s="97" t="str">
        <f t="shared" si="8"/>
        <v/>
      </c>
    </row>
    <row r="188" spans="1:9" s="97" customFormat="1" ht="17.399999999999999">
      <c r="A188" s="95"/>
      <c r="B188" s="96"/>
      <c r="C188" s="97" t="str">
        <f t="shared" si="6"/>
        <v/>
      </c>
      <c r="D188" s="98"/>
      <c r="E188" s="99"/>
      <c r="F188" s="97" t="str">
        <f t="shared" si="7"/>
        <v/>
      </c>
      <c r="G188" s="98"/>
      <c r="H188" s="99"/>
      <c r="I188" s="97" t="str">
        <f t="shared" si="8"/>
        <v/>
      </c>
    </row>
    <row r="189" spans="1:9" s="97" customFormat="1" ht="17.399999999999999">
      <c r="A189" s="95"/>
      <c r="B189" s="96"/>
      <c r="C189" s="97" t="str">
        <f t="shared" si="6"/>
        <v/>
      </c>
      <c r="D189" s="98"/>
      <c r="E189" s="99"/>
      <c r="F189" s="97" t="str">
        <f t="shared" si="7"/>
        <v/>
      </c>
      <c r="G189" s="98"/>
      <c r="H189" s="99"/>
      <c r="I189" s="97" t="str">
        <f t="shared" si="8"/>
        <v/>
      </c>
    </row>
    <row r="190" spans="1:9" s="97" customFormat="1" ht="17.399999999999999">
      <c r="A190" s="95"/>
      <c r="B190" s="96"/>
      <c r="C190" s="97" t="str">
        <f t="shared" si="6"/>
        <v/>
      </c>
      <c r="D190" s="98"/>
      <c r="E190" s="99"/>
      <c r="F190" s="97" t="str">
        <f t="shared" si="7"/>
        <v/>
      </c>
      <c r="G190" s="98"/>
      <c r="H190" s="99"/>
      <c r="I190" s="97" t="str">
        <f t="shared" si="8"/>
        <v/>
      </c>
    </row>
    <row r="191" spans="1:9" s="97" customFormat="1" ht="17.399999999999999">
      <c r="A191" s="95"/>
      <c r="B191" s="96"/>
      <c r="C191" s="97" t="str">
        <f t="shared" si="6"/>
        <v/>
      </c>
      <c r="D191" s="98"/>
      <c r="E191" s="99"/>
      <c r="F191" s="97" t="str">
        <f t="shared" si="7"/>
        <v/>
      </c>
      <c r="G191" s="98"/>
      <c r="H191" s="99"/>
      <c r="I191" s="97" t="str">
        <f t="shared" si="8"/>
        <v/>
      </c>
    </row>
    <row r="192" spans="1:9" s="97" customFormat="1" ht="17.399999999999999">
      <c r="A192" s="95"/>
      <c r="B192" s="96"/>
      <c r="C192" s="97" t="str">
        <f t="shared" si="6"/>
        <v/>
      </c>
      <c r="D192" s="98"/>
      <c r="E192" s="99"/>
      <c r="F192" s="97" t="str">
        <f t="shared" si="7"/>
        <v/>
      </c>
      <c r="G192" s="98"/>
      <c r="H192" s="99"/>
      <c r="I192" s="97" t="str">
        <f t="shared" si="8"/>
        <v/>
      </c>
    </row>
    <row r="193" spans="1:9" s="97" customFormat="1" ht="17.399999999999999">
      <c r="A193" s="95"/>
      <c r="B193" s="96"/>
      <c r="C193" s="97" t="str">
        <f t="shared" si="6"/>
        <v/>
      </c>
      <c r="D193" s="98"/>
      <c r="E193" s="99"/>
      <c r="F193" s="97" t="str">
        <f t="shared" si="7"/>
        <v/>
      </c>
      <c r="G193" s="98"/>
      <c r="H193" s="99"/>
      <c r="I193" s="97" t="str">
        <f t="shared" si="8"/>
        <v/>
      </c>
    </row>
    <row r="194" spans="1:9" s="97" customFormat="1" ht="17.399999999999999">
      <c r="A194" s="95"/>
      <c r="B194" s="96"/>
      <c r="C194" s="97" t="str">
        <f t="shared" si="6"/>
        <v/>
      </c>
      <c r="D194" s="98"/>
      <c r="E194" s="99"/>
      <c r="F194" s="97" t="str">
        <f t="shared" si="7"/>
        <v/>
      </c>
      <c r="G194" s="98"/>
      <c r="H194" s="99"/>
      <c r="I194" s="97" t="str">
        <f t="shared" si="8"/>
        <v/>
      </c>
    </row>
    <row r="195" spans="1:9" s="97" customFormat="1" ht="17.399999999999999">
      <c r="A195" s="95"/>
      <c r="B195" s="96"/>
      <c r="C195" s="97" t="str">
        <f t="shared" si="6"/>
        <v/>
      </c>
      <c r="D195" s="98"/>
      <c r="E195" s="99"/>
      <c r="F195" s="97" t="str">
        <f t="shared" si="7"/>
        <v/>
      </c>
      <c r="G195" s="98"/>
      <c r="H195" s="99"/>
      <c r="I195" s="97" t="str">
        <f t="shared" si="8"/>
        <v/>
      </c>
    </row>
    <row r="196" spans="1:9" s="97" customFormat="1" ht="17.399999999999999">
      <c r="A196" s="95"/>
      <c r="B196" s="96"/>
      <c r="C196" s="97" t="str">
        <f t="shared" si="6"/>
        <v/>
      </c>
      <c r="D196" s="98"/>
      <c r="E196" s="99"/>
      <c r="F196" s="97" t="str">
        <f t="shared" si="7"/>
        <v/>
      </c>
      <c r="G196" s="98"/>
      <c r="H196" s="99"/>
      <c r="I196" s="97" t="str">
        <f t="shared" si="8"/>
        <v/>
      </c>
    </row>
    <row r="197" spans="1:9" s="97" customFormat="1" ht="17.399999999999999">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399999999999999">
      <c r="A198" s="95"/>
      <c r="B198" s="96"/>
      <c r="C198" s="97" t="str">
        <f t="shared" si="9"/>
        <v/>
      </c>
      <c r="D198" s="98"/>
      <c r="E198" s="99"/>
      <c r="F198" s="97" t="str">
        <f t="shared" si="10"/>
        <v/>
      </c>
      <c r="G198" s="98"/>
      <c r="H198" s="99"/>
      <c r="I198" s="97" t="str">
        <f t="shared" si="11"/>
        <v/>
      </c>
    </row>
    <row r="199" spans="1:9" s="97" customFormat="1" ht="17.399999999999999">
      <c r="A199" s="95"/>
      <c r="B199" s="96"/>
      <c r="C199" s="97" t="str">
        <f t="shared" si="9"/>
        <v/>
      </c>
      <c r="D199" s="98"/>
      <c r="E199" s="99"/>
      <c r="F199" s="97" t="str">
        <f t="shared" si="10"/>
        <v/>
      </c>
      <c r="G199" s="98"/>
      <c r="H199" s="99"/>
      <c r="I199" s="97" t="str">
        <f t="shared" si="11"/>
        <v/>
      </c>
    </row>
    <row r="200" spans="1:9" s="97" customFormat="1" ht="17.399999999999999">
      <c r="A200" s="95"/>
      <c r="B200" s="96"/>
      <c r="C200" s="97" t="str">
        <f t="shared" si="9"/>
        <v/>
      </c>
      <c r="D200" s="98"/>
      <c r="E200" s="99"/>
      <c r="F200" s="97" t="str">
        <f t="shared" si="10"/>
        <v/>
      </c>
      <c r="G200" s="98"/>
      <c r="H200" s="99"/>
      <c r="I200" s="97" t="str">
        <f t="shared" si="11"/>
        <v/>
      </c>
    </row>
    <row r="201" spans="1:9" s="97" customFormat="1" ht="17.399999999999999">
      <c r="A201" s="95"/>
      <c r="B201" s="96"/>
      <c r="C201" s="97" t="str">
        <f t="shared" si="9"/>
        <v/>
      </c>
      <c r="D201" s="98"/>
      <c r="E201" s="99"/>
      <c r="F201" s="97" t="str">
        <f t="shared" si="10"/>
        <v/>
      </c>
      <c r="G201" s="98"/>
      <c r="H201" s="99"/>
      <c r="I201" s="97" t="str">
        <f t="shared" si="11"/>
        <v/>
      </c>
    </row>
    <row r="202" spans="1:9" s="97" customFormat="1" ht="17.399999999999999">
      <c r="A202" s="95"/>
      <c r="B202" s="96"/>
      <c r="C202" s="97" t="str">
        <f t="shared" si="9"/>
        <v/>
      </c>
      <c r="D202" s="98"/>
      <c r="E202" s="99"/>
      <c r="F202" s="97" t="str">
        <f t="shared" si="10"/>
        <v/>
      </c>
      <c r="G202" s="98"/>
      <c r="H202" s="99"/>
      <c r="I202" s="97" t="str">
        <f t="shared" si="11"/>
        <v/>
      </c>
    </row>
    <row r="203" spans="1:9" s="97" customFormat="1" ht="17.399999999999999">
      <c r="A203" s="95"/>
      <c r="B203" s="96"/>
      <c r="C203" s="97" t="str">
        <f t="shared" si="9"/>
        <v/>
      </c>
      <c r="D203" s="98"/>
      <c r="E203" s="99"/>
      <c r="F203" s="97" t="str">
        <f t="shared" si="10"/>
        <v/>
      </c>
      <c r="G203" s="98"/>
      <c r="H203" s="99"/>
      <c r="I203" s="97" t="str">
        <f t="shared" si="11"/>
        <v/>
      </c>
    </row>
    <row r="204" spans="1:9" s="97" customFormat="1" ht="17.399999999999999">
      <c r="A204" s="95"/>
      <c r="B204" s="96"/>
      <c r="C204" s="97" t="str">
        <f t="shared" si="9"/>
        <v/>
      </c>
      <c r="D204" s="98"/>
      <c r="E204" s="99"/>
      <c r="F204" s="97" t="str">
        <f t="shared" si="10"/>
        <v/>
      </c>
      <c r="G204" s="98"/>
      <c r="H204" s="99"/>
      <c r="I204" s="97" t="str">
        <f t="shared" si="11"/>
        <v/>
      </c>
    </row>
    <row r="205" spans="1:9" s="97" customFormat="1" ht="17.399999999999999">
      <c r="A205" s="95"/>
      <c r="B205" s="96"/>
      <c r="C205" s="97" t="str">
        <f t="shared" si="9"/>
        <v/>
      </c>
      <c r="D205" s="98"/>
      <c r="E205" s="99"/>
      <c r="F205" s="97" t="str">
        <f t="shared" si="10"/>
        <v/>
      </c>
      <c r="G205" s="98"/>
      <c r="H205" s="99"/>
      <c r="I205" s="97" t="str">
        <f t="shared" si="11"/>
        <v/>
      </c>
    </row>
    <row r="206" spans="1:9" s="97" customFormat="1" ht="17.399999999999999">
      <c r="A206" s="95"/>
      <c r="B206" s="96"/>
      <c r="C206" s="97" t="str">
        <f t="shared" si="9"/>
        <v/>
      </c>
      <c r="D206" s="98"/>
      <c r="E206" s="99"/>
      <c r="F206" s="97" t="str">
        <f t="shared" si="10"/>
        <v/>
      </c>
      <c r="G206" s="98"/>
      <c r="H206" s="99"/>
      <c r="I206" s="97" t="str">
        <f t="shared" si="11"/>
        <v/>
      </c>
    </row>
    <row r="207" spans="1:9" s="97" customFormat="1" ht="17.399999999999999">
      <c r="A207" s="95"/>
      <c r="B207" s="96"/>
      <c r="C207" s="97" t="str">
        <f t="shared" si="9"/>
        <v/>
      </c>
      <c r="D207" s="98"/>
      <c r="E207" s="99"/>
      <c r="F207" s="97" t="str">
        <f t="shared" si="10"/>
        <v/>
      </c>
      <c r="G207" s="98"/>
      <c r="H207" s="99"/>
      <c r="I207" s="97" t="str">
        <f t="shared" si="11"/>
        <v/>
      </c>
    </row>
    <row r="208" spans="1:9" s="97" customFormat="1" ht="17.399999999999999">
      <c r="A208" s="95"/>
      <c r="B208" s="96"/>
      <c r="C208" s="97" t="str">
        <f t="shared" si="9"/>
        <v/>
      </c>
      <c r="D208" s="98"/>
      <c r="E208" s="99"/>
      <c r="F208" s="97" t="str">
        <f t="shared" si="10"/>
        <v/>
      </c>
      <c r="G208" s="98"/>
      <c r="H208" s="99"/>
      <c r="I208" s="97" t="str">
        <f t="shared" si="11"/>
        <v/>
      </c>
    </row>
    <row r="209" spans="1:9" s="97" customFormat="1" ht="17.399999999999999">
      <c r="A209" s="95"/>
      <c r="B209" s="96"/>
      <c r="C209" s="97" t="str">
        <f t="shared" si="9"/>
        <v/>
      </c>
      <c r="D209" s="98"/>
      <c r="E209" s="99"/>
      <c r="F209" s="97" t="str">
        <f t="shared" si="10"/>
        <v/>
      </c>
      <c r="G209" s="98"/>
      <c r="H209" s="99"/>
      <c r="I209" s="97" t="str">
        <f t="shared" si="11"/>
        <v/>
      </c>
    </row>
    <row r="210" spans="1:9" s="97" customFormat="1" ht="17.399999999999999">
      <c r="A210" s="95"/>
      <c r="B210" s="96"/>
      <c r="C210" s="97" t="str">
        <f t="shared" si="9"/>
        <v/>
      </c>
      <c r="D210" s="98"/>
      <c r="E210" s="99"/>
      <c r="F210" s="97" t="str">
        <f t="shared" si="10"/>
        <v/>
      </c>
      <c r="G210" s="98"/>
      <c r="H210" s="99"/>
      <c r="I210" s="97" t="str">
        <f t="shared" si="11"/>
        <v/>
      </c>
    </row>
    <row r="211" spans="1:9" s="97" customFormat="1" ht="17.399999999999999">
      <c r="A211" s="95"/>
      <c r="B211" s="96"/>
      <c r="C211" s="97" t="str">
        <f t="shared" si="9"/>
        <v/>
      </c>
      <c r="D211" s="98"/>
      <c r="E211" s="99"/>
      <c r="F211" s="97" t="str">
        <f t="shared" si="10"/>
        <v/>
      </c>
      <c r="G211" s="98"/>
      <c r="H211" s="99"/>
      <c r="I211" s="97" t="str">
        <f t="shared" si="11"/>
        <v/>
      </c>
    </row>
    <row r="212" spans="1:9" s="97" customFormat="1" ht="17.399999999999999">
      <c r="A212" s="95"/>
      <c r="B212" s="96"/>
      <c r="C212" s="97" t="str">
        <f t="shared" si="9"/>
        <v/>
      </c>
      <c r="D212" s="98"/>
      <c r="E212" s="99"/>
      <c r="F212" s="97" t="str">
        <f t="shared" si="10"/>
        <v/>
      </c>
      <c r="G212" s="98"/>
      <c r="H212" s="99"/>
      <c r="I212" s="97" t="str">
        <f t="shared" si="11"/>
        <v/>
      </c>
    </row>
    <row r="213" spans="1:9" s="97" customFormat="1" ht="17.399999999999999">
      <c r="A213" s="95"/>
      <c r="B213" s="96"/>
      <c r="C213" s="97" t="str">
        <f t="shared" si="9"/>
        <v/>
      </c>
      <c r="D213" s="98"/>
      <c r="E213" s="99"/>
      <c r="F213" s="97" t="str">
        <f t="shared" si="10"/>
        <v/>
      </c>
      <c r="G213" s="98"/>
      <c r="H213" s="99"/>
      <c r="I213" s="97" t="str">
        <f t="shared" si="11"/>
        <v/>
      </c>
    </row>
    <row r="214" spans="1:9" s="97" customFormat="1" ht="17.399999999999999">
      <c r="A214" s="95"/>
      <c r="B214" s="96"/>
      <c r="C214" s="97" t="str">
        <f t="shared" si="9"/>
        <v/>
      </c>
      <c r="D214" s="98"/>
      <c r="E214" s="99"/>
      <c r="F214" s="97" t="str">
        <f t="shared" si="10"/>
        <v/>
      </c>
      <c r="G214" s="98"/>
      <c r="H214" s="99"/>
      <c r="I214" s="97" t="str">
        <f t="shared" si="11"/>
        <v/>
      </c>
    </row>
    <row r="215" spans="1:9" s="97" customFormat="1" ht="17.399999999999999">
      <c r="A215" s="95"/>
      <c r="B215" s="96"/>
      <c r="C215" s="97" t="str">
        <f t="shared" si="9"/>
        <v/>
      </c>
      <c r="D215" s="98"/>
      <c r="E215" s="99"/>
      <c r="F215" s="97" t="str">
        <f t="shared" si="10"/>
        <v/>
      </c>
      <c r="G215" s="98"/>
      <c r="H215" s="99"/>
      <c r="I215" s="97" t="str">
        <f t="shared" si="11"/>
        <v/>
      </c>
    </row>
    <row r="216" spans="1:9" s="97" customFormat="1" ht="17.399999999999999">
      <c r="A216" s="95"/>
      <c r="B216" s="96"/>
      <c r="C216" s="97" t="str">
        <f t="shared" si="9"/>
        <v/>
      </c>
      <c r="D216" s="98"/>
      <c r="E216" s="99"/>
      <c r="F216" s="97" t="str">
        <f t="shared" si="10"/>
        <v/>
      </c>
      <c r="G216" s="98"/>
      <c r="H216" s="99"/>
      <c r="I216" s="97" t="str">
        <f t="shared" si="11"/>
        <v/>
      </c>
    </row>
    <row r="217" spans="1:9" s="97" customFormat="1" ht="17.399999999999999">
      <c r="A217" s="95"/>
      <c r="B217" s="96"/>
      <c r="C217" s="97" t="str">
        <f t="shared" si="9"/>
        <v/>
      </c>
      <c r="D217" s="98"/>
      <c r="E217" s="99"/>
      <c r="F217" s="97" t="str">
        <f t="shared" si="10"/>
        <v/>
      </c>
      <c r="G217" s="98"/>
      <c r="H217" s="99"/>
      <c r="I217" s="97" t="str">
        <f t="shared" si="11"/>
        <v/>
      </c>
    </row>
    <row r="218" spans="1:9" s="97" customFormat="1" ht="17.399999999999999">
      <c r="A218" s="95"/>
      <c r="B218" s="96"/>
      <c r="C218" s="97" t="str">
        <f t="shared" si="9"/>
        <v/>
      </c>
      <c r="D218" s="98"/>
      <c r="E218" s="99"/>
      <c r="F218" s="97" t="str">
        <f t="shared" si="10"/>
        <v/>
      </c>
      <c r="G218" s="98"/>
      <c r="H218" s="99"/>
      <c r="I218" s="97" t="str">
        <f t="shared" si="11"/>
        <v/>
      </c>
    </row>
    <row r="219" spans="1:9" s="97" customFormat="1" ht="17.399999999999999">
      <c r="A219" s="95"/>
      <c r="B219" s="96"/>
      <c r="C219" s="97" t="str">
        <f t="shared" si="9"/>
        <v/>
      </c>
      <c r="D219" s="98"/>
      <c r="E219" s="99"/>
      <c r="F219" s="97" t="str">
        <f t="shared" si="10"/>
        <v/>
      </c>
      <c r="G219" s="98"/>
      <c r="H219" s="99"/>
      <c r="I219" s="97" t="str">
        <f t="shared" si="11"/>
        <v/>
      </c>
    </row>
    <row r="220" spans="1:9" s="97" customFormat="1" ht="17.399999999999999">
      <c r="A220" s="95"/>
      <c r="B220" s="96"/>
      <c r="C220" s="97" t="str">
        <f t="shared" si="9"/>
        <v/>
      </c>
      <c r="D220" s="98"/>
      <c r="E220" s="99"/>
      <c r="F220" s="97" t="str">
        <f t="shared" si="10"/>
        <v/>
      </c>
      <c r="G220" s="98"/>
      <c r="H220" s="99"/>
      <c r="I220" s="97" t="str">
        <f t="shared" si="11"/>
        <v/>
      </c>
    </row>
    <row r="221" spans="1:9" s="97" customFormat="1" ht="17.399999999999999">
      <c r="A221" s="95"/>
      <c r="B221" s="96"/>
      <c r="C221" s="97" t="str">
        <f t="shared" si="9"/>
        <v/>
      </c>
      <c r="D221" s="98"/>
      <c r="E221" s="99"/>
      <c r="F221" s="97" t="str">
        <f t="shared" si="10"/>
        <v/>
      </c>
      <c r="G221" s="98"/>
      <c r="H221" s="99"/>
      <c r="I221" s="97" t="str">
        <f t="shared" si="11"/>
        <v/>
      </c>
    </row>
    <row r="222" spans="1:9" s="97" customFormat="1" ht="17.399999999999999">
      <c r="A222" s="95"/>
      <c r="B222" s="96"/>
      <c r="C222" s="97" t="str">
        <f t="shared" si="9"/>
        <v/>
      </c>
      <c r="D222" s="98"/>
      <c r="E222" s="99"/>
      <c r="F222" s="97" t="str">
        <f t="shared" si="10"/>
        <v/>
      </c>
      <c r="G222" s="98"/>
      <c r="H222" s="99"/>
      <c r="I222" s="97" t="str">
        <f t="shared" si="11"/>
        <v/>
      </c>
    </row>
    <row r="223" spans="1:9" s="97" customFormat="1" ht="17.399999999999999">
      <c r="A223" s="95"/>
      <c r="B223" s="96"/>
      <c r="C223" s="97" t="str">
        <f t="shared" si="9"/>
        <v/>
      </c>
      <c r="D223" s="98"/>
      <c r="E223" s="99"/>
      <c r="F223" s="97" t="str">
        <f t="shared" si="10"/>
        <v/>
      </c>
      <c r="G223" s="98"/>
      <c r="H223" s="99"/>
      <c r="I223" s="97" t="str">
        <f t="shared" si="11"/>
        <v/>
      </c>
    </row>
    <row r="224" spans="1:9" s="97" customFormat="1" ht="17.399999999999999">
      <c r="A224" s="95"/>
      <c r="B224" s="96"/>
      <c r="C224" s="97" t="str">
        <f t="shared" si="9"/>
        <v/>
      </c>
      <c r="D224" s="98"/>
      <c r="E224" s="99"/>
      <c r="F224" s="97" t="str">
        <f t="shared" si="10"/>
        <v/>
      </c>
      <c r="G224" s="98"/>
      <c r="H224" s="99"/>
      <c r="I224" s="97" t="str">
        <f t="shared" si="11"/>
        <v/>
      </c>
    </row>
    <row r="225" spans="1:9" s="97" customFormat="1" ht="17.399999999999999">
      <c r="A225" s="95"/>
      <c r="B225" s="96"/>
      <c r="C225" s="97" t="str">
        <f t="shared" si="9"/>
        <v/>
      </c>
      <c r="D225" s="98"/>
      <c r="E225" s="99"/>
      <c r="F225" s="97" t="str">
        <f t="shared" si="10"/>
        <v/>
      </c>
      <c r="G225" s="98"/>
      <c r="H225" s="99"/>
      <c r="I225" s="97" t="str">
        <f t="shared" si="11"/>
        <v/>
      </c>
    </row>
    <row r="226" spans="1:9" s="97" customFormat="1" ht="17.399999999999999">
      <c r="A226" s="95"/>
      <c r="B226" s="96"/>
      <c r="C226" s="97" t="str">
        <f t="shared" si="9"/>
        <v/>
      </c>
      <c r="D226" s="98"/>
      <c r="E226" s="99"/>
      <c r="F226" s="97" t="str">
        <f t="shared" si="10"/>
        <v/>
      </c>
      <c r="G226" s="98"/>
      <c r="H226" s="99"/>
      <c r="I226" s="97" t="str">
        <f t="shared" si="11"/>
        <v/>
      </c>
    </row>
    <row r="227" spans="1:9" s="97" customFormat="1" ht="17.399999999999999">
      <c r="A227" s="95"/>
      <c r="B227" s="96"/>
      <c r="C227" s="97" t="str">
        <f t="shared" si="9"/>
        <v/>
      </c>
      <c r="D227" s="98"/>
      <c r="E227" s="99"/>
      <c r="F227" s="97" t="str">
        <f t="shared" si="10"/>
        <v/>
      </c>
      <c r="G227" s="98"/>
      <c r="H227" s="99"/>
      <c r="I227" s="97" t="str">
        <f t="shared" si="11"/>
        <v/>
      </c>
    </row>
    <row r="228" spans="1:9" s="97" customFormat="1" ht="17.399999999999999">
      <c r="A228" s="95"/>
      <c r="B228" s="96"/>
      <c r="C228" s="97" t="str">
        <f t="shared" si="9"/>
        <v/>
      </c>
      <c r="D228" s="98"/>
      <c r="E228" s="99"/>
      <c r="F228" s="97" t="str">
        <f t="shared" si="10"/>
        <v/>
      </c>
      <c r="G228" s="98"/>
      <c r="H228" s="99"/>
      <c r="I228" s="97" t="str">
        <f t="shared" si="11"/>
        <v/>
      </c>
    </row>
    <row r="229" spans="1:9" s="97" customFormat="1" ht="17.399999999999999">
      <c r="A229" s="95"/>
      <c r="B229" s="96"/>
      <c r="C229" s="97" t="str">
        <f t="shared" si="9"/>
        <v/>
      </c>
      <c r="D229" s="98"/>
      <c r="E229" s="99"/>
      <c r="F229" s="97" t="str">
        <f t="shared" si="10"/>
        <v/>
      </c>
      <c r="G229" s="98"/>
      <c r="H229" s="99"/>
      <c r="I229" s="97" t="str">
        <f t="shared" si="11"/>
        <v/>
      </c>
    </row>
    <row r="230" spans="1:9" s="97" customFormat="1" ht="17.399999999999999">
      <c r="A230" s="95"/>
      <c r="B230" s="96"/>
      <c r="C230" s="97" t="str">
        <f t="shared" si="9"/>
        <v/>
      </c>
      <c r="D230" s="98"/>
      <c r="E230" s="99"/>
      <c r="F230" s="97" t="str">
        <f t="shared" si="10"/>
        <v/>
      </c>
      <c r="G230" s="98"/>
      <c r="H230" s="99"/>
      <c r="I230" s="97" t="str">
        <f t="shared" si="11"/>
        <v/>
      </c>
    </row>
    <row r="231" spans="1:9" s="97" customFormat="1" ht="17.399999999999999">
      <c r="A231" s="95"/>
      <c r="B231" s="96"/>
      <c r="C231" s="97" t="str">
        <f t="shared" si="9"/>
        <v/>
      </c>
      <c r="D231" s="98"/>
      <c r="E231" s="99"/>
      <c r="F231" s="97" t="str">
        <f t="shared" si="10"/>
        <v/>
      </c>
      <c r="G231" s="98"/>
      <c r="H231" s="99"/>
      <c r="I231" s="97" t="str">
        <f t="shared" si="11"/>
        <v/>
      </c>
    </row>
    <row r="232" spans="1:9" s="97" customFormat="1" ht="17.399999999999999">
      <c r="A232" s="95"/>
      <c r="B232" s="96"/>
      <c r="C232" s="97" t="str">
        <f t="shared" si="9"/>
        <v/>
      </c>
      <c r="D232" s="98"/>
      <c r="E232" s="99"/>
      <c r="F232" s="97" t="str">
        <f t="shared" si="10"/>
        <v/>
      </c>
      <c r="G232" s="98"/>
      <c r="H232" s="99"/>
      <c r="I232" s="97" t="str">
        <f t="shared" si="11"/>
        <v/>
      </c>
    </row>
    <row r="233" spans="1:9" s="97" customFormat="1" ht="17.399999999999999">
      <c r="A233" s="95"/>
      <c r="B233" s="96"/>
      <c r="C233" s="97" t="str">
        <f t="shared" si="9"/>
        <v/>
      </c>
      <c r="D233" s="98"/>
      <c r="E233" s="99"/>
      <c r="F233" s="97" t="str">
        <f t="shared" si="10"/>
        <v/>
      </c>
      <c r="G233" s="98"/>
      <c r="H233" s="99"/>
      <c r="I233" s="97" t="str">
        <f t="shared" si="11"/>
        <v/>
      </c>
    </row>
    <row r="234" spans="1:9" s="97" customFormat="1" ht="17.399999999999999">
      <c r="A234" s="95"/>
      <c r="B234" s="96"/>
      <c r="C234" s="97" t="str">
        <f t="shared" si="9"/>
        <v/>
      </c>
      <c r="D234" s="98"/>
      <c r="E234" s="99"/>
      <c r="F234" s="97" t="str">
        <f t="shared" si="10"/>
        <v/>
      </c>
      <c r="G234" s="98"/>
      <c r="H234" s="99"/>
      <c r="I234" s="97" t="str">
        <f t="shared" si="11"/>
        <v/>
      </c>
    </row>
    <row r="235" spans="1:9" s="97" customFormat="1" ht="17.399999999999999">
      <c r="A235" s="95"/>
      <c r="B235" s="96"/>
      <c r="C235" s="97" t="str">
        <f t="shared" si="9"/>
        <v/>
      </c>
      <c r="D235" s="98"/>
      <c r="E235" s="99"/>
      <c r="F235" s="97" t="str">
        <f t="shared" si="10"/>
        <v/>
      </c>
      <c r="G235" s="98"/>
      <c r="H235" s="99"/>
      <c r="I235" s="97" t="str">
        <f t="shared" si="11"/>
        <v/>
      </c>
    </row>
    <row r="236" spans="1:9" s="97" customFormat="1" ht="17.399999999999999">
      <c r="A236" s="95"/>
      <c r="B236" s="96"/>
      <c r="C236" s="97" t="str">
        <f t="shared" si="9"/>
        <v/>
      </c>
      <c r="D236" s="98"/>
      <c r="E236" s="99"/>
      <c r="F236" s="97" t="str">
        <f t="shared" si="10"/>
        <v/>
      </c>
      <c r="G236" s="98"/>
      <c r="H236" s="99"/>
      <c r="I236" s="97" t="str">
        <f t="shared" si="11"/>
        <v/>
      </c>
    </row>
    <row r="237" spans="1:9" s="97" customFormat="1" ht="17.399999999999999">
      <c r="A237" s="95"/>
      <c r="B237" s="96"/>
      <c r="C237" s="97" t="str">
        <f t="shared" si="9"/>
        <v/>
      </c>
      <c r="D237" s="98"/>
      <c r="E237" s="99"/>
      <c r="F237" s="97" t="str">
        <f t="shared" si="10"/>
        <v/>
      </c>
      <c r="G237" s="98"/>
      <c r="H237" s="99"/>
      <c r="I237" s="97" t="str">
        <f t="shared" si="11"/>
        <v/>
      </c>
    </row>
    <row r="238" spans="1:9" s="97" customFormat="1" ht="17.399999999999999">
      <c r="A238" s="95"/>
      <c r="B238" s="96"/>
      <c r="C238" s="97" t="str">
        <f t="shared" si="9"/>
        <v/>
      </c>
      <c r="D238" s="98"/>
      <c r="E238" s="99"/>
      <c r="F238" s="97" t="str">
        <f t="shared" si="10"/>
        <v/>
      </c>
      <c r="G238" s="98"/>
      <c r="H238" s="99"/>
      <c r="I238" s="97" t="str">
        <f t="shared" si="11"/>
        <v/>
      </c>
    </row>
    <row r="239" spans="1:9" s="97" customFormat="1" ht="17.399999999999999">
      <c r="A239" s="95"/>
      <c r="B239" s="96"/>
      <c r="C239" s="97" t="str">
        <f t="shared" si="9"/>
        <v/>
      </c>
      <c r="D239" s="98"/>
      <c r="E239" s="99"/>
      <c r="F239" s="97" t="str">
        <f t="shared" si="10"/>
        <v/>
      </c>
      <c r="G239" s="98"/>
      <c r="H239" s="99"/>
      <c r="I239" s="97" t="str">
        <f t="shared" si="11"/>
        <v/>
      </c>
    </row>
    <row r="240" spans="1:9" s="97" customFormat="1" ht="17.399999999999999">
      <c r="A240" s="95"/>
      <c r="B240" s="96"/>
      <c r="C240" s="97" t="str">
        <f t="shared" si="9"/>
        <v/>
      </c>
      <c r="D240" s="98"/>
      <c r="E240" s="99"/>
      <c r="F240" s="97" t="str">
        <f t="shared" si="10"/>
        <v/>
      </c>
      <c r="G240" s="98"/>
      <c r="H240" s="99"/>
      <c r="I240" s="97" t="str">
        <f t="shared" si="11"/>
        <v/>
      </c>
    </row>
    <row r="241" spans="1:9" s="97" customFormat="1" ht="17.399999999999999">
      <c r="A241" s="95"/>
      <c r="B241" s="96"/>
      <c r="C241" s="97" t="str">
        <f t="shared" si="9"/>
        <v/>
      </c>
      <c r="D241" s="98"/>
      <c r="E241" s="99"/>
      <c r="F241" s="97" t="str">
        <f t="shared" si="10"/>
        <v/>
      </c>
      <c r="G241" s="98"/>
      <c r="H241" s="99"/>
      <c r="I241" s="97" t="str">
        <f t="shared" si="11"/>
        <v/>
      </c>
    </row>
    <row r="242" spans="1:9" s="97" customFormat="1" ht="17.399999999999999">
      <c r="A242" s="98"/>
      <c r="B242" s="99"/>
      <c r="C242" s="97" t="str">
        <f t="shared" si="9"/>
        <v/>
      </c>
      <c r="D242" s="98"/>
      <c r="E242" s="99"/>
      <c r="F242" s="97" t="str">
        <f t="shared" si="10"/>
        <v/>
      </c>
      <c r="G242" s="98"/>
      <c r="H242" s="99"/>
      <c r="I242" s="97" t="str">
        <f t="shared" si="11"/>
        <v/>
      </c>
    </row>
    <row r="243" spans="1:9" s="97" customFormat="1" ht="17.399999999999999">
      <c r="A243" s="98"/>
      <c r="B243" s="99"/>
      <c r="C243" s="97" t="str">
        <f t="shared" si="9"/>
        <v/>
      </c>
      <c r="D243" s="98"/>
      <c r="E243" s="99"/>
      <c r="F243" s="97" t="str">
        <f t="shared" si="10"/>
        <v/>
      </c>
      <c r="G243" s="98"/>
      <c r="H243" s="99"/>
      <c r="I243" s="97" t="str">
        <f t="shared" si="11"/>
        <v/>
      </c>
    </row>
    <row r="244" spans="1:9" s="97" customFormat="1" ht="17.399999999999999">
      <c r="A244" s="98"/>
      <c r="B244" s="99"/>
      <c r="C244" s="97" t="str">
        <f t="shared" si="9"/>
        <v/>
      </c>
      <c r="D244" s="98"/>
      <c r="E244" s="99"/>
      <c r="F244" s="97" t="str">
        <f t="shared" si="10"/>
        <v/>
      </c>
      <c r="G244" s="98"/>
      <c r="H244" s="99"/>
      <c r="I244" s="97" t="str">
        <f t="shared" si="11"/>
        <v/>
      </c>
    </row>
    <row r="245" spans="1:9" s="97" customFormat="1" ht="17.399999999999999">
      <c r="A245" s="98"/>
      <c r="B245" s="99"/>
      <c r="C245" s="97" t="str">
        <f t="shared" si="9"/>
        <v/>
      </c>
      <c r="D245" s="98"/>
      <c r="E245" s="99"/>
      <c r="F245" s="97" t="str">
        <f t="shared" si="10"/>
        <v/>
      </c>
      <c r="G245" s="98"/>
      <c r="H245" s="99"/>
      <c r="I245" s="97" t="str">
        <f t="shared" si="11"/>
        <v/>
      </c>
    </row>
    <row r="246" spans="1:9" s="97" customFormat="1" ht="17.399999999999999">
      <c r="A246" s="98"/>
      <c r="B246" s="99"/>
      <c r="C246" s="97" t="str">
        <f t="shared" si="9"/>
        <v/>
      </c>
      <c r="D246" s="98"/>
      <c r="E246" s="99"/>
      <c r="F246" s="97" t="str">
        <f t="shared" si="10"/>
        <v/>
      </c>
      <c r="G246" s="98"/>
      <c r="H246" s="99"/>
      <c r="I246" s="97" t="str">
        <f t="shared" si="11"/>
        <v/>
      </c>
    </row>
    <row r="247" spans="1:9" s="97" customFormat="1" ht="17.399999999999999">
      <c r="A247" s="98"/>
      <c r="B247" s="99"/>
      <c r="C247" s="97" t="str">
        <f t="shared" si="9"/>
        <v/>
      </c>
      <c r="D247" s="98"/>
      <c r="E247" s="99"/>
      <c r="F247" s="97" t="str">
        <f t="shared" si="10"/>
        <v/>
      </c>
      <c r="G247" s="98"/>
      <c r="H247" s="99"/>
      <c r="I247" s="97" t="str">
        <f t="shared" si="11"/>
        <v/>
      </c>
    </row>
    <row r="248" spans="1:9" s="97" customFormat="1" ht="17.399999999999999">
      <c r="A248" s="98"/>
      <c r="B248" s="99"/>
      <c r="C248" s="97" t="str">
        <f t="shared" si="9"/>
        <v/>
      </c>
      <c r="D248" s="98"/>
      <c r="E248" s="99"/>
      <c r="F248" s="97" t="str">
        <f t="shared" si="10"/>
        <v/>
      </c>
      <c r="G248" s="98"/>
      <c r="H248" s="99"/>
      <c r="I248" s="97" t="str">
        <f t="shared" si="11"/>
        <v/>
      </c>
    </row>
    <row r="249" spans="1:9" s="97" customFormat="1" ht="17.399999999999999">
      <c r="A249" s="98"/>
      <c r="B249" s="99"/>
      <c r="C249" s="97" t="str">
        <f t="shared" si="9"/>
        <v/>
      </c>
      <c r="D249" s="98"/>
      <c r="E249" s="99"/>
      <c r="F249" s="97" t="str">
        <f t="shared" si="10"/>
        <v/>
      </c>
      <c r="G249" s="98"/>
      <c r="H249" s="99"/>
      <c r="I249" s="97" t="str">
        <f t="shared" si="11"/>
        <v/>
      </c>
    </row>
    <row r="250" spans="1:9" s="97" customFormat="1" ht="17.399999999999999">
      <c r="A250" s="98"/>
      <c r="B250" s="99"/>
      <c r="C250" s="97" t="str">
        <f t="shared" si="9"/>
        <v/>
      </c>
      <c r="D250" s="98"/>
      <c r="E250" s="99"/>
      <c r="F250" s="97" t="str">
        <f t="shared" si="10"/>
        <v/>
      </c>
      <c r="G250" s="98"/>
      <c r="H250" s="99"/>
      <c r="I250" s="97" t="str">
        <f t="shared" si="11"/>
        <v/>
      </c>
    </row>
    <row r="251" spans="1:9" s="97" customFormat="1" ht="17.399999999999999">
      <c r="A251" s="98"/>
      <c r="B251" s="99"/>
      <c r="C251" s="97" t="str">
        <f t="shared" si="9"/>
        <v/>
      </c>
      <c r="D251" s="98"/>
      <c r="E251" s="99"/>
      <c r="F251" s="97" t="str">
        <f t="shared" si="10"/>
        <v/>
      </c>
      <c r="G251" s="98"/>
      <c r="H251" s="99"/>
      <c r="I251" s="97" t="str">
        <f t="shared" si="11"/>
        <v/>
      </c>
    </row>
    <row r="252" spans="1:9" s="97" customFormat="1" ht="17.399999999999999">
      <c r="A252" s="98"/>
      <c r="B252" s="99"/>
      <c r="C252" s="97" t="str">
        <f t="shared" si="9"/>
        <v/>
      </c>
      <c r="D252" s="98"/>
      <c r="E252" s="99"/>
      <c r="F252" s="97" t="str">
        <f t="shared" si="10"/>
        <v/>
      </c>
      <c r="G252" s="98"/>
      <c r="H252" s="99"/>
      <c r="I252" s="97" t="str">
        <f t="shared" si="11"/>
        <v/>
      </c>
    </row>
    <row r="253" spans="1:9" s="97" customFormat="1" ht="17.399999999999999">
      <c r="A253" s="98"/>
      <c r="B253" s="99"/>
      <c r="C253" s="97" t="str">
        <f t="shared" si="9"/>
        <v/>
      </c>
      <c r="D253" s="98"/>
      <c r="E253" s="99"/>
      <c r="F253" s="97" t="str">
        <f t="shared" si="10"/>
        <v/>
      </c>
      <c r="G253" s="98"/>
      <c r="H253" s="99"/>
      <c r="I253" s="97" t="str">
        <f t="shared" si="11"/>
        <v/>
      </c>
    </row>
    <row r="254" spans="1:9" s="97" customFormat="1" ht="17.399999999999999">
      <c r="A254" s="98"/>
      <c r="B254" s="99"/>
      <c r="C254" s="97" t="str">
        <f t="shared" si="9"/>
        <v/>
      </c>
      <c r="D254" s="98"/>
      <c r="E254" s="99"/>
      <c r="F254" s="97" t="str">
        <f t="shared" si="10"/>
        <v/>
      </c>
      <c r="G254" s="98"/>
      <c r="H254" s="99"/>
      <c r="I254" s="97" t="str">
        <f t="shared" si="11"/>
        <v/>
      </c>
    </row>
    <row r="255" spans="1:9" s="97" customFormat="1" ht="17.399999999999999">
      <c r="A255" s="98"/>
      <c r="B255" s="99"/>
      <c r="C255" s="97" t="str">
        <f t="shared" si="9"/>
        <v/>
      </c>
      <c r="D255" s="98"/>
      <c r="E255" s="99"/>
      <c r="F255" s="97" t="str">
        <f t="shared" si="10"/>
        <v/>
      </c>
      <c r="G255" s="98"/>
      <c r="H255" s="99"/>
      <c r="I255" s="97" t="str">
        <f t="shared" si="11"/>
        <v/>
      </c>
    </row>
    <row r="256" spans="1:9" s="97" customFormat="1" ht="17.399999999999999">
      <c r="A256" s="98"/>
      <c r="B256" s="99"/>
      <c r="C256" s="97" t="str">
        <f t="shared" si="9"/>
        <v/>
      </c>
      <c r="D256" s="98"/>
      <c r="E256" s="99"/>
      <c r="F256" s="97" t="str">
        <f t="shared" si="10"/>
        <v/>
      </c>
      <c r="G256" s="98"/>
      <c r="H256" s="99"/>
      <c r="I256" s="97" t="str">
        <f t="shared" si="11"/>
        <v/>
      </c>
    </row>
    <row r="257" spans="1:9" s="97" customFormat="1" ht="17.399999999999999">
      <c r="A257" s="98"/>
      <c r="B257" s="99"/>
      <c r="C257" s="97" t="str">
        <f t="shared" si="9"/>
        <v/>
      </c>
      <c r="D257" s="98"/>
      <c r="E257" s="99"/>
      <c r="F257" s="97" t="str">
        <f t="shared" si="10"/>
        <v/>
      </c>
      <c r="G257" s="98"/>
      <c r="H257" s="99"/>
      <c r="I257" s="97" t="str">
        <f t="shared" si="11"/>
        <v/>
      </c>
    </row>
    <row r="258" spans="1:9" s="97" customFormat="1" ht="17.399999999999999">
      <c r="A258" s="98"/>
      <c r="B258" s="99"/>
      <c r="C258" s="97" t="str">
        <f t="shared" si="9"/>
        <v/>
      </c>
      <c r="D258" s="98"/>
      <c r="E258" s="99"/>
      <c r="F258" s="97" t="str">
        <f t="shared" si="10"/>
        <v/>
      </c>
      <c r="G258" s="98"/>
      <c r="H258" s="99"/>
      <c r="I258" s="97" t="str">
        <f t="shared" si="11"/>
        <v/>
      </c>
    </row>
    <row r="259" spans="1:9" s="97" customFormat="1" ht="17.399999999999999">
      <c r="A259" s="98"/>
      <c r="B259" s="99"/>
      <c r="C259" s="97" t="str">
        <f t="shared" si="9"/>
        <v/>
      </c>
      <c r="D259" s="98"/>
      <c r="E259" s="99"/>
      <c r="F259" s="97" t="str">
        <f t="shared" si="10"/>
        <v/>
      </c>
      <c r="G259" s="98"/>
      <c r="H259" s="99"/>
      <c r="I259" s="97" t="str">
        <f t="shared" si="11"/>
        <v/>
      </c>
    </row>
    <row r="260" spans="1:9" s="97" customFormat="1" ht="17.399999999999999">
      <c r="A260" s="98"/>
      <c r="B260" s="99"/>
      <c r="C260" s="97" t="str">
        <f t="shared" si="9"/>
        <v/>
      </c>
      <c r="D260" s="98"/>
      <c r="E260" s="99"/>
      <c r="F260" s="97" t="str">
        <f t="shared" si="10"/>
        <v/>
      </c>
      <c r="G260" s="98"/>
      <c r="H260" s="99"/>
      <c r="I260" s="97" t="str">
        <f t="shared" si="11"/>
        <v/>
      </c>
    </row>
    <row r="261" spans="1:9" s="97" customFormat="1" ht="17.399999999999999">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399999999999999">
      <c r="A262" s="98"/>
      <c r="B262" s="99"/>
      <c r="C262" s="97" t="str">
        <f t="shared" si="12"/>
        <v/>
      </c>
      <c r="D262" s="98"/>
      <c r="E262" s="99"/>
      <c r="F262" s="97" t="str">
        <f t="shared" si="13"/>
        <v/>
      </c>
      <c r="G262" s="98"/>
      <c r="H262" s="99"/>
      <c r="I262" s="97" t="str">
        <f t="shared" si="14"/>
        <v/>
      </c>
    </row>
    <row r="263" spans="1:9" s="97" customFormat="1" ht="17.399999999999999">
      <c r="A263" s="98"/>
      <c r="B263" s="99"/>
      <c r="C263" s="97" t="str">
        <f t="shared" si="12"/>
        <v/>
      </c>
      <c r="D263" s="98"/>
      <c r="E263" s="99"/>
      <c r="F263" s="97" t="str">
        <f t="shared" si="13"/>
        <v/>
      </c>
      <c r="G263" s="98"/>
      <c r="H263" s="99"/>
      <c r="I263" s="97" t="str">
        <f t="shared" si="14"/>
        <v/>
      </c>
    </row>
    <row r="264" spans="1:9" s="97" customFormat="1" ht="17.399999999999999">
      <c r="A264" s="98"/>
      <c r="B264" s="99"/>
      <c r="C264" s="97" t="str">
        <f t="shared" si="12"/>
        <v/>
      </c>
      <c r="D264" s="98"/>
      <c r="E264" s="99"/>
      <c r="F264" s="97" t="str">
        <f t="shared" si="13"/>
        <v/>
      </c>
      <c r="G264" s="98"/>
      <c r="H264" s="99"/>
      <c r="I264" s="97" t="str">
        <f t="shared" si="14"/>
        <v/>
      </c>
    </row>
    <row r="265" spans="1:9" s="97" customFormat="1" ht="17.399999999999999">
      <c r="A265" s="98"/>
      <c r="B265" s="99"/>
      <c r="C265" s="97" t="str">
        <f t="shared" si="12"/>
        <v/>
      </c>
      <c r="D265" s="98"/>
      <c r="E265" s="99"/>
      <c r="F265" s="97" t="str">
        <f t="shared" si="13"/>
        <v/>
      </c>
      <c r="G265" s="98"/>
      <c r="H265" s="99"/>
      <c r="I265" s="97" t="str">
        <f t="shared" si="14"/>
        <v/>
      </c>
    </row>
    <row r="266" spans="1:9" s="97" customFormat="1" ht="17.399999999999999">
      <c r="A266" s="98"/>
      <c r="B266" s="99"/>
      <c r="C266" s="97" t="str">
        <f t="shared" si="12"/>
        <v/>
      </c>
      <c r="D266" s="98"/>
      <c r="E266" s="99"/>
      <c r="F266" s="97" t="str">
        <f t="shared" si="13"/>
        <v/>
      </c>
      <c r="G266" s="98"/>
      <c r="H266" s="99"/>
      <c r="I266" s="97" t="str">
        <f t="shared" si="14"/>
        <v/>
      </c>
    </row>
    <row r="267" spans="1:9" s="97" customFormat="1" ht="17.399999999999999">
      <c r="A267" s="98"/>
      <c r="B267" s="99"/>
      <c r="C267" s="97" t="str">
        <f t="shared" si="12"/>
        <v/>
      </c>
      <c r="D267" s="98"/>
      <c r="E267" s="99"/>
      <c r="F267" s="97" t="str">
        <f t="shared" si="13"/>
        <v/>
      </c>
      <c r="G267" s="98"/>
      <c r="H267" s="99"/>
      <c r="I267" s="97" t="str">
        <f t="shared" si="14"/>
        <v/>
      </c>
    </row>
    <row r="268" spans="1:9" s="97" customFormat="1" ht="17.399999999999999">
      <c r="A268" s="98"/>
      <c r="B268" s="99"/>
      <c r="C268" s="97" t="str">
        <f t="shared" si="12"/>
        <v/>
      </c>
      <c r="D268" s="98"/>
      <c r="E268" s="99"/>
      <c r="F268" s="97" t="str">
        <f t="shared" si="13"/>
        <v/>
      </c>
      <c r="G268" s="98"/>
      <c r="H268" s="99"/>
      <c r="I268" s="97" t="str">
        <f t="shared" si="14"/>
        <v/>
      </c>
    </row>
    <row r="269" spans="1:9" s="97" customFormat="1" ht="17.399999999999999">
      <c r="A269" s="98"/>
      <c r="B269" s="99"/>
      <c r="C269" s="97" t="str">
        <f t="shared" si="12"/>
        <v/>
      </c>
      <c r="D269" s="98"/>
      <c r="E269" s="99"/>
      <c r="F269" s="97" t="str">
        <f t="shared" si="13"/>
        <v/>
      </c>
      <c r="G269" s="98"/>
      <c r="H269" s="99"/>
      <c r="I269" s="97" t="str">
        <f t="shared" si="14"/>
        <v/>
      </c>
    </row>
    <row r="270" spans="1:9" s="97" customFormat="1" ht="17.399999999999999">
      <c r="A270" s="98"/>
      <c r="B270" s="99"/>
      <c r="C270" s="97" t="str">
        <f t="shared" si="12"/>
        <v/>
      </c>
      <c r="D270" s="98"/>
      <c r="E270" s="99"/>
      <c r="F270" s="97" t="str">
        <f t="shared" si="13"/>
        <v/>
      </c>
      <c r="G270" s="98"/>
      <c r="H270" s="99"/>
      <c r="I270" s="97" t="str">
        <f t="shared" si="14"/>
        <v/>
      </c>
    </row>
    <row r="271" spans="1:9" s="97" customFormat="1" ht="17.399999999999999">
      <c r="A271" s="98"/>
      <c r="B271" s="99"/>
      <c r="C271" s="97" t="str">
        <f t="shared" si="12"/>
        <v/>
      </c>
      <c r="D271" s="98"/>
      <c r="E271" s="99"/>
      <c r="F271" s="97" t="str">
        <f t="shared" si="13"/>
        <v/>
      </c>
      <c r="G271" s="98"/>
      <c r="H271" s="99"/>
      <c r="I271" s="97" t="str">
        <f t="shared" si="14"/>
        <v/>
      </c>
    </row>
    <row r="272" spans="1:9" s="97" customFormat="1" ht="17.399999999999999">
      <c r="A272" s="98"/>
      <c r="B272" s="99"/>
      <c r="C272" s="97" t="str">
        <f t="shared" si="12"/>
        <v/>
      </c>
      <c r="D272" s="98"/>
      <c r="E272" s="99"/>
      <c r="F272" s="97" t="str">
        <f t="shared" si="13"/>
        <v/>
      </c>
      <c r="G272" s="98"/>
      <c r="H272" s="99"/>
      <c r="I272" s="97" t="str">
        <f t="shared" si="14"/>
        <v/>
      </c>
    </row>
    <row r="273" spans="1:9" s="97" customFormat="1" ht="17.399999999999999">
      <c r="A273" s="98"/>
      <c r="B273" s="99"/>
      <c r="C273" s="97" t="str">
        <f t="shared" si="12"/>
        <v/>
      </c>
      <c r="D273" s="98"/>
      <c r="E273" s="99"/>
      <c r="F273" s="97" t="str">
        <f t="shared" si="13"/>
        <v/>
      </c>
      <c r="G273" s="98"/>
      <c r="H273" s="99"/>
      <c r="I273" s="97" t="str">
        <f t="shared" si="14"/>
        <v/>
      </c>
    </row>
    <row r="274" spans="1:9" s="97" customFormat="1" ht="17.399999999999999">
      <c r="A274" s="98"/>
      <c r="B274" s="99"/>
      <c r="C274" s="97" t="str">
        <f t="shared" si="12"/>
        <v/>
      </c>
      <c r="D274" s="98"/>
      <c r="E274" s="99"/>
      <c r="F274" s="97" t="str">
        <f t="shared" si="13"/>
        <v/>
      </c>
      <c r="G274" s="98"/>
      <c r="H274" s="99"/>
      <c r="I274" s="97" t="str">
        <f t="shared" si="14"/>
        <v/>
      </c>
    </row>
    <row r="275" spans="1:9" s="97" customFormat="1" ht="17.399999999999999">
      <c r="A275" s="98"/>
      <c r="B275" s="99"/>
      <c r="C275" s="97" t="str">
        <f t="shared" si="12"/>
        <v/>
      </c>
      <c r="D275" s="98"/>
      <c r="E275" s="99"/>
      <c r="F275" s="97" t="str">
        <f t="shared" si="13"/>
        <v/>
      </c>
      <c r="G275" s="98"/>
      <c r="H275" s="99"/>
      <c r="I275" s="97" t="str">
        <f t="shared" si="14"/>
        <v/>
      </c>
    </row>
    <row r="276" spans="1:9" s="97" customFormat="1" ht="17.399999999999999">
      <c r="A276" s="98"/>
      <c r="B276" s="99"/>
      <c r="C276" s="97" t="str">
        <f t="shared" si="12"/>
        <v/>
      </c>
      <c r="D276" s="98"/>
      <c r="E276" s="99"/>
      <c r="F276" s="97" t="str">
        <f t="shared" si="13"/>
        <v/>
      </c>
      <c r="G276" s="98"/>
      <c r="H276" s="99"/>
      <c r="I276" s="97" t="str">
        <f t="shared" si="14"/>
        <v/>
      </c>
    </row>
    <row r="277" spans="1:9" s="97" customFormat="1" ht="17.399999999999999">
      <c r="A277" s="98"/>
      <c r="B277" s="99"/>
      <c r="C277" s="97" t="str">
        <f t="shared" si="12"/>
        <v/>
      </c>
      <c r="D277" s="98"/>
      <c r="E277" s="99"/>
      <c r="F277" s="97" t="str">
        <f t="shared" si="13"/>
        <v/>
      </c>
      <c r="G277" s="98"/>
      <c r="H277" s="99"/>
      <c r="I277" s="97" t="str">
        <f t="shared" si="14"/>
        <v/>
      </c>
    </row>
    <row r="278" spans="1:9" s="97" customFormat="1" ht="17.399999999999999">
      <c r="A278" s="98"/>
      <c r="B278" s="99"/>
      <c r="C278" s="97" t="str">
        <f t="shared" si="12"/>
        <v/>
      </c>
      <c r="D278" s="98"/>
      <c r="E278" s="99"/>
      <c r="F278" s="97" t="str">
        <f t="shared" si="13"/>
        <v/>
      </c>
      <c r="G278" s="98"/>
      <c r="H278" s="99"/>
      <c r="I278" s="97" t="str">
        <f t="shared" si="14"/>
        <v/>
      </c>
    </row>
    <row r="279" spans="1:9" s="97" customFormat="1" ht="17.399999999999999">
      <c r="A279" s="98"/>
      <c r="B279" s="99"/>
      <c r="C279" s="97" t="str">
        <f t="shared" si="12"/>
        <v/>
      </c>
      <c r="D279" s="98"/>
      <c r="E279" s="99"/>
      <c r="F279" s="97" t="str">
        <f t="shared" si="13"/>
        <v/>
      </c>
      <c r="G279" s="98"/>
      <c r="H279" s="99"/>
      <c r="I279" s="97" t="str">
        <f t="shared" si="14"/>
        <v/>
      </c>
    </row>
    <row r="280" spans="1:9" s="97" customFormat="1" ht="17.399999999999999">
      <c r="A280" s="98"/>
      <c r="B280" s="99"/>
      <c r="C280" s="97" t="str">
        <f t="shared" si="12"/>
        <v/>
      </c>
      <c r="D280" s="98"/>
      <c r="E280" s="99"/>
      <c r="F280" s="97" t="str">
        <f t="shared" si="13"/>
        <v/>
      </c>
      <c r="G280" s="98"/>
      <c r="H280" s="99"/>
      <c r="I280" s="97" t="str">
        <f t="shared" si="14"/>
        <v/>
      </c>
    </row>
    <row r="281" spans="1:9" s="97" customFormat="1" ht="17.399999999999999">
      <c r="A281" s="98"/>
      <c r="B281" s="99"/>
      <c r="C281" s="97" t="str">
        <f t="shared" si="12"/>
        <v/>
      </c>
      <c r="D281" s="98"/>
      <c r="E281" s="99"/>
      <c r="F281" s="97" t="str">
        <f t="shared" si="13"/>
        <v/>
      </c>
      <c r="G281" s="98"/>
      <c r="H281" s="99"/>
      <c r="I281" s="97" t="str">
        <f t="shared" si="14"/>
        <v/>
      </c>
    </row>
    <row r="282" spans="1:9" s="97" customFormat="1" ht="17.399999999999999">
      <c r="A282" s="98"/>
      <c r="B282" s="99"/>
      <c r="C282" s="97" t="str">
        <f t="shared" si="12"/>
        <v/>
      </c>
      <c r="D282" s="98"/>
      <c r="E282" s="99"/>
      <c r="F282" s="97" t="str">
        <f t="shared" si="13"/>
        <v/>
      </c>
      <c r="G282" s="98"/>
      <c r="H282" s="99"/>
      <c r="I282" s="97" t="str">
        <f t="shared" si="14"/>
        <v/>
      </c>
    </row>
    <row r="283" spans="1:9" s="97" customFormat="1" ht="17.399999999999999">
      <c r="A283" s="98"/>
      <c r="B283" s="99"/>
      <c r="C283" s="97" t="str">
        <f t="shared" si="12"/>
        <v/>
      </c>
      <c r="D283" s="98"/>
      <c r="E283" s="99"/>
      <c r="F283" s="97" t="str">
        <f t="shared" si="13"/>
        <v/>
      </c>
      <c r="G283" s="98"/>
      <c r="H283" s="99"/>
      <c r="I283" s="97" t="str">
        <f t="shared" si="14"/>
        <v/>
      </c>
    </row>
    <row r="284" spans="1:9" s="97" customFormat="1" ht="17.399999999999999">
      <c r="A284" s="98"/>
      <c r="B284" s="99"/>
      <c r="C284" s="97" t="str">
        <f t="shared" si="12"/>
        <v/>
      </c>
      <c r="D284" s="98"/>
      <c r="E284" s="99"/>
      <c r="F284" s="97" t="str">
        <f t="shared" si="13"/>
        <v/>
      </c>
      <c r="G284" s="98"/>
      <c r="H284" s="99"/>
      <c r="I284" s="97" t="str">
        <f t="shared" si="14"/>
        <v/>
      </c>
    </row>
    <row r="285" spans="1:9" s="97" customFormat="1" ht="17.399999999999999">
      <c r="A285" s="98"/>
      <c r="B285" s="99"/>
      <c r="C285" s="97" t="str">
        <f t="shared" si="12"/>
        <v/>
      </c>
      <c r="D285" s="98"/>
      <c r="E285" s="99"/>
      <c r="F285" s="97" t="str">
        <f t="shared" si="13"/>
        <v/>
      </c>
      <c r="G285" s="98"/>
      <c r="H285" s="99"/>
      <c r="I285" s="97" t="str">
        <f t="shared" si="14"/>
        <v/>
      </c>
    </row>
    <row r="286" spans="1:9" s="97" customFormat="1" ht="17.399999999999999">
      <c r="A286" s="98"/>
      <c r="B286" s="99"/>
      <c r="C286" s="97" t="str">
        <f t="shared" si="12"/>
        <v/>
      </c>
      <c r="D286" s="98"/>
      <c r="E286" s="99"/>
      <c r="F286" s="97" t="str">
        <f t="shared" si="13"/>
        <v/>
      </c>
      <c r="G286" s="98"/>
      <c r="H286" s="99"/>
      <c r="I286" s="97" t="str">
        <f t="shared" si="14"/>
        <v/>
      </c>
    </row>
    <row r="287" spans="1:9" s="97" customFormat="1" ht="17.399999999999999">
      <c r="A287" s="98"/>
      <c r="B287" s="99"/>
      <c r="C287" s="97" t="str">
        <f t="shared" si="12"/>
        <v/>
      </c>
      <c r="D287" s="98"/>
      <c r="E287" s="99"/>
      <c r="F287" s="97" t="str">
        <f t="shared" si="13"/>
        <v/>
      </c>
      <c r="G287" s="98"/>
      <c r="H287" s="99"/>
      <c r="I287" s="97" t="str">
        <f t="shared" si="14"/>
        <v/>
      </c>
    </row>
    <row r="288" spans="1:9" s="97" customFormat="1" ht="17.399999999999999">
      <c r="A288" s="98"/>
      <c r="B288" s="99"/>
      <c r="C288" s="97" t="str">
        <f t="shared" si="12"/>
        <v/>
      </c>
      <c r="D288" s="98"/>
      <c r="E288" s="99"/>
      <c r="F288" s="97" t="str">
        <f t="shared" si="13"/>
        <v/>
      </c>
      <c r="G288" s="98"/>
      <c r="H288" s="99"/>
      <c r="I288" s="97" t="str">
        <f t="shared" si="14"/>
        <v/>
      </c>
    </row>
    <row r="289" spans="1:9" s="97" customFormat="1" ht="17.399999999999999">
      <c r="A289" s="98"/>
      <c r="B289" s="99"/>
      <c r="C289" s="97" t="str">
        <f t="shared" si="12"/>
        <v/>
      </c>
      <c r="D289" s="98"/>
      <c r="E289" s="99"/>
      <c r="F289" s="97" t="str">
        <f t="shared" si="13"/>
        <v/>
      </c>
      <c r="G289" s="98"/>
      <c r="H289" s="99"/>
      <c r="I289" s="97" t="str">
        <f t="shared" si="14"/>
        <v/>
      </c>
    </row>
    <row r="290" spans="1:9" s="97" customFormat="1" ht="17.399999999999999">
      <c r="A290" s="98"/>
      <c r="B290" s="99"/>
      <c r="C290" s="97" t="str">
        <f t="shared" si="12"/>
        <v/>
      </c>
      <c r="D290" s="98"/>
      <c r="E290" s="99"/>
      <c r="F290" s="97" t="str">
        <f t="shared" si="13"/>
        <v/>
      </c>
      <c r="G290" s="98"/>
      <c r="H290" s="99"/>
      <c r="I290" s="97" t="str">
        <f t="shared" si="14"/>
        <v/>
      </c>
    </row>
    <row r="291" spans="1:9" s="97" customFormat="1" ht="17.399999999999999">
      <c r="A291" s="98"/>
      <c r="B291" s="99"/>
      <c r="C291" s="97" t="str">
        <f t="shared" si="12"/>
        <v/>
      </c>
      <c r="D291" s="98"/>
      <c r="E291" s="99"/>
      <c r="F291" s="97" t="str">
        <f t="shared" si="13"/>
        <v/>
      </c>
      <c r="G291" s="98"/>
      <c r="H291" s="99"/>
      <c r="I291" s="97" t="str">
        <f t="shared" si="14"/>
        <v/>
      </c>
    </row>
    <row r="292" spans="1:9" s="97" customFormat="1" ht="17.399999999999999">
      <c r="A292" s="98"/>
      <c r="B292" s="99"/>
      <c r="C292" s="97" t="str">
        <f t="shared" si="12"/>
        <v/>
      </c>
      <c r="D292" s="98"/>
      <c r="E292" s="99"/>
      <c r="F292" s="97" t="str">
        <f t="shared" si="13"/>
        <v/>
      </c>
      <c r="G292" s="98"/>
      <c r="H292" s="99"/>
      <c r="I292" s="97" t="str">
        <f t="shared" si="14"/>
        <v/>
      </c>
    </row>
    <row r="293" spans="1:9" s="97" customFormat="1" ht="17.399999999999999">
      <c r="A293" s="98"/>
      <c r="B293" s="99"/>
      <c r="C293" s="97" t="str">
        <f t="shared" si="12"/>
        <v/>
      </c>
      <c r="D293" s="98"/>
      <c r="E293" s="99"/>
      <c r="F293" s="97" t="str">
        <f t="shared" si="13"/>
        <v/>
      </c>
      <c r="G293" s="98"/>
      <c r="H293" s="99"/>
      <c r="I293" s="97" t="str">
        <f t="shared" si="14"/>
        <v/>
      </c>
    </row>
    <row r="294" spans="1:9" s="97" customFormat="1" ht="17.399999999999999">
      <c r="A294" s="98"/>
      <c r="B294" s="99"/>
      <c r="C294" s="97" t="str">
        <f t="shared" si="12"/>
        <v/>
      </c>
      <c r="D294" s="98"/>
      <c r="E294" s="99"/>
      <c r="F294" s="97" t="str">
        <f t="shared" si="13"/>
        <v/>
      </c>
      <c r="G294" s="98"/>
      <c r="H294" s="99"/>
      <c r="I294" s="97" t="str">
        <f t="shared" si="14"/>
        <v/>
      </c>
    </row>
    <row r="295" spans="1:9" s="97" customFormat="1" ht="17.399999999999999">
      <c r="A295" s="98"/>
      <c r="B295" s="99"/>
      <c r="C295" s="97" t="str">
        <f t="shared" si="12"/>
        <v/>
      </c>
      <c r="D295" s="98"/>
      <c r="E295" s="99"/>
      <c r="F295" s="97" t="str">
        <f t="shared" si="13"/>
        <v/>
      </c>
      <c r="G295" s="98"/>
      <c r="H295" s="99"/>
      <c r="I295" s="97" t="str">
        <f t="shared" si="14"/>
        <v/>
      </c>
    </row>
    <row r="296" spans="1:9" s="97" customFormat="1" ht="17.399999999999999">
      <c r="A296" s="98"/>
      <c r="B296" s="99"/>
      <c r="C296" s="97" t="str">
        <f t="shared" si="12"/>
        <v/>
      </c>
      <c r="D296" s="98"/>
      <c r="E296" s="99"/>
      <c r="F296" s="97" t="str">
        <f t="shared" si="13"/>
        <v/>
      </c>
      <c r="G296" s="98"/>
      <c r="H296" s="99"/>
      <c r="I296" s="97" t="str">
        <f t="shared" si="14"/>
        <v/>
      </c>
    </row>
    <row r="297" spans="1:9" s="97" customFormat="1" ht="17.399999999999999">
      <c r="A297" s="98"/>
      <c r="B297" s="99"/>
      <c r="C297" s="97" t="str">
        <f t="shared" si="12"/>
        <v/>
      </c>
      <c r="D297" s="98"/>
      <c r="E297" s="99"/>
      <c r="F297" s="97" t="str">
        <f t="shared" si="13"/>
        <v/>
      </c>
      <c r="G297" s="98"/>
      <c r="H297" s="99"/>
      <c r="I297" s="97" t="str">
        <f t="shared" si="14"/>
        <v/>
      </c>
    </row>
    <row r="298" spans="1:9" s="97" customFormat="1" ht="17.399999999999999">
      <c r="A298" s="98"/>
      <c r="B298" s="99"/>
      <c r="C298" s="97" t="str">
        <f t="shared" si="12"/>
        <v/>
      </c>
      <c r="D298" s="98"/>
      <c r="E298" s="99"/>
      <c r="F298" s="97" t="str">
        <f t="shared" si="13"/>
        <v/>
      </c>
      <c r="G298" s="98"/>
      <c r="H298" s="99"/>
      <c r="I298" s="97" t="str">
        <f t="shared" si="14"/>
        <v/>
      </c>
    </row>
    <row r="299" spans="1:9" s="97" customFormat="1" ht="17.399999999999999">
      <c r="A299" s="98"/>
      <c r="B299" s="99"/>
      <c r="C299" s="97" t="str">
        <f t="shared" si="12"/>
        <v/>
      </c>
      <c r="D299" s="98"/>
      <c r="E299" s="99"/>
      <c r="F299" s="97" t="str">
        <f t="shared" si="13"/>
        <v/>
      </c>
      <c r="G299" s="98"/>
      <c r="H299" s="99"/>
      <c r="I299" s="97" t="str">
        <f t="shared" si="14"/>
        <v/>
      </c>
    </row>
    <row r="300" spans="1:9" s="97" customFormat="1" ht="17.399999999999999">
      <c r="A300" s="98"/>
      <c r="B300" s="99"/>
      <c r="C300" s="97" t="str">
        <f t="shared" si="12"/>
        <v/>
      </c>
      <c r="D300" s="98"/>
      <c r="E300" s="99"/>
      <c r="F300" s="97" t="str">
        <f t="shared" si="13"/>
        <v/>
      </c>
      <c r="G300" s="98"/>
      <c r="H300" s="99"/>
      <c r="I300" s="97" t="str">
        <f t="shared" si="14"/>
        <v/>
      </c>
    </row>
    <row r="301" spans="1:9" s="97" customFormat="1" ht="17.399999999999999">
      <c r="A301" s="98"/>
      <c r="B301" s="99"/>
      <c r="C301" s="97" t="str">
        <f t="shared" si="12"/>
        <v/>
      </c>
      <c r="D301" s="98"/>
      <c r="E301" s="99"/>
      <c r="F301" s="97" t="str">
        <f t="shared" si="13"/>
        <v/>
      </c>
      <c r="G301" s="98"/>
      <c r="H301" s="99"/>
      <c r="I301" s="97" t="str">
        <f t="shared" si="14"/>
        <v/>
      </c>
    </row>
    <row r="302" spans="1:9" s="97" customFormat="1" ht="17.399999999999999">
      <c r="A302" s="98"/>
      <c r="B302" s="102"/>
      <c r="C302" s="97" t="str">
        <f t="shared" si="12"/>
        <v/>
      </c>
      <c r="D302" s="98"/>
      <c r="E302" s="102"/>
      <c r="F302" s="97" t="str">
        <f t="shared" si="13"/>
        <v/>
      </c>
      <c r="G302" s="98"/>
      <c r="H302" s="102"/>
      <c r="I302" s="97" t="str">
        <f t="shared" si="14"/>
        <v/>
      </c>
    </row>
    <row r="303" spans="1:9" s="97" customFormat="1" ht="17.399999999999999">
      <c r="A303" s="98"/>
      <c r="B303" s="102"/>
      <c r="C303" s="97" t="str">
        <f t="shared" si="12"/>
        <v/>
      </c>
      <c r="D303" s="98"/>
      <c r="E303" s="102"/>
      <c r="F303" s="97" t="str">
        <f t="shared" si="13"/>
        <v/>
      </c>
      <c r="G303" s="98"/>
      <c r="H303" s="102"/>
      <c r="I303" s="97" t="str">
        <f t="shared" si="14"/>
        <v/>
      </c>
    </row>
    <row r="304" spans="1:9" s="97" customFormat="1" ht="17.399999999999999">
      <c r="A304" s="98"/>
      <c r="B304" s="102"/>
      <c r="C304" s="97" t="str">
        <f t="shared" si="12"/>
        <v/>
      </c>
      <c r="D304" s="98"/>
      <c r="E304" s="102"/>
      <c r="F304" s="97" t="str">
        <f t="shared" si="13"/>
        <v/>
      </c>
      <c r="G304" s="98"/>
      <c r="H304" s="102"/>
      <c r="I304" s="97" t="str">
        <f t="shared" si="14"/>
        <v/>
      </c>
    </row>
    <row r="305" spans="1:7" s="97" customFormat="1" ht="17.399999999999999">
      <c r="A305" s="97" t="s">
        <v>1496</v>
      </c>
      <c r="D305" s="97" t="s">
        <v>1496</v>
      </c>
      <c r="G305" s="97" t="s">
        <v>1496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1352</v>
      </c>
    </row>
    <row r="2" spans="1:6" ht="92.4">
      <c r="A2" s="87" t="s">
        <v>1341</v>
      </c>
      <c r="B2" s="88">
        <v>1</v>
      </c>
      <c r="C2" s="89" t="s">
        <v>1022</v>
      </c>
      <c r="D2" s="90" t="s">
        <v>501</v>
      </c>
      <c r="E2" s="90" t="s">
        <v>584</v>
      </c>
      <c r="F2" s="90" t="s">
        <v>584</v>
      </c>
    </row>
    <row r="3" spans="1:6" ht="105.6">
      <c r="A3" s="175">
        <v>600</v>
      </c>
      <c r="B3" s="88">
        <v>2</v>
      </c>
      <c r="C3" s="89" t="s">
        <v>1022</v>
      </c>
      <c r="D3" s="90" t="s">
        <v>494</v>
      </c>
      <c r="E3" s="90" t="s">
        <v>585</v>
      </c>
      <c r="F3" s="90" t="s">
        <v>585</v>
      </c>
    </row>
    <row r="4" spans="1:6" ht="66">
      <c r="B4" s="88">
        <v>3</v>
      </c>
      <c r="C4" s="89" t="s">
        <v>1022</v>
      </c>
      <c r="D4" s="90" t="s">
        <v>502</v>
      </c>
      <c r="E4" s="90" t="s">
        <v>586</v>
      </c>
      <c r="F4" s="90" t="s">
        <v>586</v>
      </c>
    </row>
    <row r="5" spans="1:6" ht="66">
      <c r="B5" s="88">
        <v>4</v>
      </c>
      <c r="C5" s="89" t="s">
        <v>1022</v>
      </c>
      <c r="D5" s="90" t="s">
        <v>503</v>
      </c>
      <c r="E5" s="90" t="s">
        <v>587</v>
      </c>
      <c r="F5" s="90" t="s">
        <v>587</v>
      </c>
    </row>
    <row r="6" spans="1:6" ht="66">
      <c r="B6" s="88">
        <v>5</v>
      </c>
      <c r="C6" s="89" t="s">
        <v>1022</v>
      </c>
      <c r="D6" s="90" t="s">
        <v>504</v>
      </c>
      <c r="E6" s="90" t="s">
        <v>588</v>
      </c>
      <c r="F6" s="90" t="s">
        <v>588</v>
      </c>
    </row>
    <row r="7" spans="1:6" ht="52.8">
      <c r="B7" s="88">
        <v>6</v>
      </c>
      <c r="C7" s="89" t="s">
        <v>1022</v>
      </c>
      <c r="D7" s="90" t="s">
        <v>505</v>
      </c>
      <c r="E7" s="90" t="s">
        <v>589</v>
      </c>
      <c r="F7" s="90" t="s">
        <v>589</v>
      </c>
    </row>
    <row r="8" spans="1:6">
      <c r="B8" s="88">
        <v>7</v>
      </c>
      <c r="C8" s="89" t="s">
        <v>1022</v>
      </c>
      <c r="D8" s="90" t="s">
        <v>496</v>
      </c>
      <c r="E8" s="90" t="s">
        <v>590</v>
      </c>
      <c r="F8" s="90" t="s">
        <v>590</v>
      </c>
    </row>
    <row r="9" spans="1:6" ht="52.8">
      <c r="B9" s="88">
        <v>8</v>
      </c>
      <c r="C9" s="89" t="s">
        <v>1229</v>
      </c>
      <c r="D9" s="90" t="s">
        <v>1226</v>
      </c>
      <c r="E9" s="90" t="s">
        <v>1145</v>
      </c>
      <c r="F9" s="90" t="s">
        <v>1145</v>
      </c>
    </row>
    <row r="10" spans="1:6" ht="52.8">
      <c r="B10" s="88">
        <v>9</v>
      </c>
      <c r="C10" s="89" t="s">
        <v>1229</v>
      </c>
      <c r="D10" s="90" t="s">
        <v>1207</v>
      </c>
      <c r="E10" s="90" t="s">
        <v>1169</v>
      </c>
      <c r="F10" s="90" t="s">
        <v>1169</v>
      </c>
    </row>
    <row r="11" spans="1:6" ht="66">
      <c r="B11" s="88">
        <v>10</v>
      </c>
      <c r="C11" s="89" t="s">
        <v>1229</v>
      </c>
      <c r="D11" s="90" t="s">
        <v>1227</v>
      </c>
      <c r="E11" s="90" t="s">
        <v>1209</v>
      </c>
      <c r="F11" s="90" t="s">
        <v>1209</v>
      </c>
    </row>
    <row r="12" spans="1:6" ht="52.8">
      <c r="B12" s="88">
        <v>11</v>
      </c>
      <c r="C12" s="89" t="s">
        <v>1229</v>
      </c>
      <c r="D12" s="90" t="s">
        <v>1212</v>
      </c>
      <c r="E12" s="90" t="s">
        <v>1211</v>
      </c>
      <c r="F12" s="90" t="s">
        <v>1211</v>
      </c>
    </row>
    <row r="13" spans="1:6" ht="92.4">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6.4">
      <c r="B19" s="88">
        <v>106</v>
      </c>
      <c r="D19" s="90" t="s">
        <v>418</v>
      </c>
      <c r="E19" s="90" t="s">
        <v>596</v>
      </c>
      <c r="F19" s="90" t="s">
        <v>596</v>
      </c>
    </row>
    <row r="20" spans="1:6" ht="39.6">
      <c r="B20" s="88">
        <v>107</v>
      </c>
      <c r="D20" s="90" t="s">
        <v>419</v>
      </c>
      <c r="E20" s="90" t="s">
        <v>597</v>
      </c>
      <c r="F20" s="90" t="s">
        <v>597</v>
      </c>
    </row>
    <row r="21" spans="1:6" ht="39.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ht="26.4">
      <c r="B29" s="88">
        <v>116</v>
      </c>
      <c r="D29" s="90" t="s">
        <v>75</v>
      </c>
      <c r="E29" s="90" t="s">
        <v>602</v>
      </c>
      <c r="F29" s="90" t="s">
        <v>602</v>
      </c>
    </row>
    <row r="30" spans="1:6">
      <c r="B30" s="88">
        <v>117</v>
      </c>
      <c r="D30" s="90" t="s">
        <v>76</v>
      </c>
      <c r="E30" s="90" t="s">
        <v>603</v>
      </c>
      <c r="F30" s="90" t="s">
        <v>603</v>
      </c>
    </row>
    <row r="31" spans="1:6" ht="26.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6.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6.4">
      <c r="B38" s="88">
        <v>125</v>
      </c>
      <c r="D38" s="90" t="s">
        <v>1065</v>
      </c>
      <c r="E38" s="90" t="s">
        <v>1066</v>
      </c>
      <c r="F38" s="90" t="s">
        <v>1066</v>
      </c>
    </row>
    <row r="39" spans="2:6" ht="26.4">
      <c r="B39" s="88">
        <v>126</v>
      </c>
      <c r="D39" s="90" t="s">
        <v>1064</v>
      </c>
      <c r="E39" s="90" t="s">
        <v>1063</v>
      </c>
      <c r="F39" s="90" t="s">
        <v>1063</v>
      </c>
    </row>
    <row r="40" spans="2:6" ht="26.4">
      <c r="B40" s="88">
        <v>127</v>
      </c>
      <c r="D40" s="90" t="s">
        <v>80</v>
      </c>
      <c r="E40" s="90" t="s">
        <v>608</v>
      </c>
      <c r="F40" s="90" t="s">
        <v>608</v>
      </c>
    </row>
    <row r="41" spans="2:6" ht="26.4">
      <c r="B41" s="88">
        <v>128</v>
      </c>
      <c r="D41" s="90" t="s">
        <v>81</v>
      </c>
      <c r="E41" s="90" t="s">
        <v>609</v>
      </c>
      <c r="F41" s="90" t="s">
        <v>609</v>
      </c>
    </row>
    <row r="42" spans="2:6" ht="26.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1369</v>
      </c>
      <c r="E46" s="90" t="s">
        <v>613</v>
      </c>
      <c r="F46" s="90" t="s">
        <v>613</v>
      </c>
    </row>
    <row r="47" spans="2:6">
      <c r="B47" s="88">
        <v>134</v>
      </c>
      <c r="D47" s="90" t="s">
        <v>1368</v>
      </c>
      <c r="E47" s="90" t="s">
        <v>614</v>
      </c>
      <c r="F47" s="90" t="s">
        <v>614</v>
      </c>
    </row>
    <row r="48" spans="2:6">
      <c r="B48" s="88">
        <v>135</v>
      </c>
      <c r="D48" s="175" t="s">
        <v>1367</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6.4">
      <c r="B53" s="88">
        <v>140</v>
      </c>
      <c r="D53" s="90" t="s">
        <v>86</v>
      </c>
      <c r="E53" s="90" t="s">
        <v>616</v>
      </c>
      <c r="F53" s="90" t="s">
        <v>616</v>
      </c>
    </row>
    <row r="54" spans="2:6" ht="26.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6.4">
      <c r="B58" s="88">
        <v>145</v>
      </c>
      <c r="D58" s="90" t="s">
        <v>89</v>
      </c>
      <c r="E58" s="90" t="s">
        <v>619</v>
      </c>
      <c r="F58" s="90" t="s">
        <v>619</v>
      </c>
    </row>
    <row r="59" spans="2:6">
      <c r="B59" s="88">
        <v>146</v>
      </c>
      <c r="D59" s="90" t="s">
        <v>90</v>
      </c>
      <c r="E59" s="90" t="s">
        <v>620</v>
      </c>
      <c r="F59" s="90" t="s">
        <v>620</v>
      </c>
    </row>
    <row r="60" spans="2:6" ht="26.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6.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6.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9.6">
      <c r="B95" s="88">
        <v>182</v>
      </c>
      <c r="C95" s="89" t="s">
        <v>1143</v>
      </c>
      <c r="D95" s="90" t="s">
        <v>1228</v>
      </c>
      <c r="E95" s="90" t="s">
        <v>1168</v>
      </c>
      <c r="F95" s="90" t="s">
        <v>1168</v>
      </c>
    </row>
    <row r="96" spans="1:6">
      <c r="B96" s="88">
        <v>183</v>
      </c>
      <c r="D96" s="90" t="s">
        <v>109</v>
      </c>
      <c r="E96" s="90" t="s">
        <v>645</v>
      </c>
      <c r="F96" s="90" t="s">
        <v>645</v>
      </c>
    </row>
    <row r="97" spans="2:6">
      <c r="B97" s="88">
        <v>184</v>
      </c>
      <c r="D97" s="90" t="s">
        <v>1347</v>
      </c>
      <c r="E97" s="90" t="s">
        <v>1358</v>
      </c>
      <c r="F97" s="90" t="s">
        <v>1358</v>
      </c>
    </row>
    <row r="98" spans="2:6">
      <c r="B98" s="88">
        <v>185</v>
      </c>
      <c r="D98" s="90" t="s">
        <v>110</v>
      </c>
      <c r="E98" s="90" t="s">
        <v>646</v>
      </c>
      <c r="F98" s="90" t="s">
        <v>646</v>
      </c>
    </row>
    <row r="99" spans="2:6" ht="26.4">
      <c r="B99" s="88">
        <v>186</v>
      </c>
      <c r="D99" s="90" t="s">
        <v>111</v>
      </c>
      <c r="E99" s="90" t="s">
        <v>647</v>
      </c>
      <c r="F99" s="90" t="s">
        <v>647</v>
      </c>
    </row>
    <row r="100" spans="2:6" ht="26.4">
      <c r="B100" s="88">
        <v>187</v>
      </c>
      <c r="D100" s="90" t="s">
        <v>112</v>
      </c>
      <c r="E100" s="90" t="s">
        <v>648</v>
      </c>
      <c r="F100" s="90" t="s">
        <v>648</v>
      </c>
    </row>
    <row r="101" spans="2:6" ht="26.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6.4">
      <c r="B110" s="88">
        <v>197</v>
      </c>
      <c r="D110" s="90" t="s">
        <v>429</v>
      </c>
      <c r="E110" s="90" t="s">
        <v>654</v>
      </c>
      <c r="F110" s="90" t="s">
        <v>654</v>
      </c>
    </row>
    <row r="111" spans="2:6" ht="26.4">
      <c r="B111" s="88">
        <v>198</v>
      </c>
      <c r="D111" s="90" t="s">
        <v>117</v>
      </c>
      <c r="E111" s="90" t="s">
        <v>655</v>
      </c>
      <c r="F111" s="90" t="s">
        <v>655</v>
      </c>
    </row>
    <row r="112" spans="2:6">
      <c r="B112" s="88">
        <v>199</v>
      </c>
      <c r="D112" s="90" t="s">
        <v>1349</v>
      </c>
      <c r="E112" s="90" t="s">
        <v>1359</v>
      </c>
      <c r="F112" s="90" t="s">
        <v>1359</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6.4">
      <c r="B121" s="88">
        <v>208</v>
      </c>
      <c r="D121" s="90" t="s">
        <v>121</v>
      </c>
      <c r="E121" s="90" t="s">
        <v>659</v>
      </c>
      <c r="F121" s="90" t="s">
        <v>659</v>
      </c>
    </row>
    <row r="122" spans="2:6" ht="26.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1399</v>
      </c>
      <c r="E157" s="90" t="s">
        <v>682</v>
      </c>
      <c r="F157" s="90" t="s">
        <v>682</v>
      </c>
    </row>
    <row r="158" spans="2:6">
      <c r="B158" s="88">
        <v>245</v>
      </c>
      <c r="D158" s="90" t="s">
        <v>1400</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1421</v>
      </c>
      <c r="E166" s="90" t="s">
        <v>1364</v>
      </c>
      <c r="F166" s="90" t="s">
        <v>1364</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6.4">
      <c r="B175" s="88">
        <v>262</v>
      </c>
      <c r="D175" s="90" t="s">
        <v>1071</v>
      </c>
      <c r="E175" s="90" t="s">
        <v>1073</v>
      </c>
      <c r="F175" s="90" t="s">
        <v>1073</v>
      </c>
    </row>
    <row r="176" spans="2:6" ht="26.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6.4">
      <c r="B184" s="88">
        <v>271</v>
      </c>
      <c r="D184" s="90" t="s">
        <v>144</v>
      </c>
      <c r="E184" s="90" t="s">
        <v>697</v>
      </c>
      <c r="F184" s="90" t="s">
        <v>697</v>
      </c>
    </row>
    <row r="185" spans="2:6" ht="39.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6.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1353</v>
      </c>
      <c r="E205" s="90" t="s">
        <v>1354</v>
      </c>
      <c r="F205" s="90" t="s">
        <v>1354</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1385</v>
      </c>
      <c r="E215" s="179" t="s">
        <v>1174</v>
      </c>
      <c r="F215" s="179" t="s">
        <v>1174</v>
      </c>
    </row>
    <row r="216" spans="2:6">
      <c r="B216" s="88">
        <v>303</v>
      </c>
      <c r="C216" s="89" t="s">
        <v>1143</v>
      </c>
      <c r="D216" s="179" t="s">
        <v>1182</v>
      </c>
      <c r="E216" s="179" t="s">
        <v>1144</v>
      </c>
      <c r="F216" s="179" t="s">
        <v>1144</v>
      </c>
    </row>
    <row r="217" spans="2:6">
      <c r="B217" s="88">
        <v>304</v>
      </c>
      <c r="C217" s="89" t="s">
        <v>1143</v>
      </c>
      <c r="D217" s="179" t="s">
        <v>1388</v>
      </c>
      <c r="E217" s="179" t="s">
        <v>1153</v>
      </c>
      <c r="F217" s="179" t="s">
        <v>1153</v>
      </c>
    </row>
    <row r="218" spans="2:6">
      <c r="B218" s="88">
        <v>305</v>
      </c>
      <c r="C218" s="89" t="s">
        <v>1143</v>
      </c>
      <c r="D218" s="179" t="s">
        <v>1224</v>
      </c>
      <c r="E218" s="179" t="s">
        <v>1225</v>
      </c>
      <c r="F218" s="179" t="s">
        <v>1225</v>
      </c>
    </row>
    <row r="219" spans="2:6">
      <c r="B219" s="88">
        <v>305</v>
      </c>
      <c r="C219" s="89" t="s">
        <v>1143</v>
      </c>
      <c r="D219" s="179" t="s">
        <v>1386</v>
      </c>
      <c r="E219" s="179" t="s">
        <v>1387</v>
      </c>
      <c r="F219" s="179" t="s">
        <v>1387</v>
      </c>
    </row>
    <row r="220" spans="2:6">
      <c r="B220" s="88">
        <v>306</v>
      </c>
      <c r="C220" s="89" t="s">
        <v>1143</v>
      </c>
      <c r="D220" s="179" t="s">
        <v>1375</v>
      </c>
      <c r="E220" s="179" t="s">
        <v>1376</v>
      </c>
      <c r="F220" s="179" t="s">
        <v>1376</v>
      </c>
    </row>
    <row r="221" spans="2:6">
      <c r="B221" s="88">
        <v>307</v>
      </c>
      <c r="C221" s="89" t="s">
        <v>1143</v>
      </c>
      <c r="D221" s="179" t="s">
        <v>1377</v>
      </c>
      <c r="E221" s="179" t="s">
        <v>1378</v>
      </c>
      <c r="F221" s="179" t="s">
        <v>1378</v>
      </c>
    </row>
    <row r="222" spans="2:6">
      <c r="B222" s="88">
        <v>308</v>
      </c>
      <c r="C222" s="89" t="s">
        <v>1143</v>
      </c>
      <c r="D222" s="179" t="s">
        <v>1379</v>
      </c>
      <c r="E222" s="179" t="s">
        <v>1380</v>
      </c>
      <c r="F222" s="179" t="s">
        <v>1380</v>
      </c>
    </row>
    <row r="223" spans="2:6">
      <c r="B223" s="88">
        <v>309</v>
      </c>
      <c r="C223" s="89" t="s">
        <v>1143</v>
      </c>
      <c r="D223" s="179" t="s">
        <v>1381</v>
      </c>
      <c r="E223" s="179" t="s">
        <v>1382</v>
      </c>
      <c r="F223" s="179" t="s">
        <v>1382</v>
      </c>
    </row>
    <row r="224" spans="2:6">
      <c r="B224" s="88">
        <v>310</v>
      </c>
      <c r="C224" s="89" t="s">
        <v>1143</v>
      </c>
      <c r="D224" s="179" t="s">
        <v>1383</v>
      </c>
      <c r="E224" s="179" t="s">
        <v>1389</v>
      </c>
      <c r="F224" s="179" t="s">
        <v>1389</v>
      </c>
    </row>
    <row r="225" spans="2:6">
      <c r="B225" s="88">
        <v>311</v>
      </c>
      <c r="C225" s="89" t="s">
        <v>1143</v>
      </c>
      <c r="D225" s="179" t="s">
        <v>1384</v>
      </c>
      <c r="E225" s="179" t="s">
        <v>1390</v>
      </c>
      <c r="F225" s="179" t="s">
        <v>1390</v>
      </c>
    </row>
    <row r="226" spans="2:6">
      <c r="B226" s="88">
        <v>312</v>
      </c>
      <c r="C226" s="89" t="s">
        <v>1143</v>
      </c>
      <c r="D226" s="179" t="s">
        <v>1216</v>
      </c>
      <c r="E226" s="179" t="s">
        <v>1391</v>
      </c>
      <c r="F226" s="179" t="s">
        <v>1391</v>
      </c>
    </row>
    <row r="227" spans="2:6">
      <c r="B227" s="88">
        <v>313</v>
      </c>
      <c r="C227" s="89" t="s">
        <v>1143</v>
      </c>
      <c r="D227" s="179" t="s">
        <v>1217</v>
      </c>
      <c r="E227" s="179" t="s">
        <v>1392</v>
      </c>
      <c r="F227" s="179" t="s">
        <v>1392</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6.4">
      <c r="B233" s="88">
        <v>319</v>
      </c>
      <c r="D233" s="90" t="s">
        <v>162</v>
      </c>
      <c r="E233" s="90" t="s">
        <v>719</v>
      </c>
      <c r="F233" s="90" t="s">
        <v>719</v>
      </c>
    </row>
    <row r="234" spans="2:6" ht="26.4">
      <c r="B234" s="88">
        <v>320</v>
      </c>
      <c r="D234" s="90" t="s">
        <v>163</v>
      </c>
      <c r="E234" s="90" t="s">
        <v>720</v>
      </c>
      <c r="F234" s="90" t="s">
        <v>720</v>
      </c>
    </row>
    <row r="235" spans="2:6" ht="26.4">
      <c r="B235" s="88">
        <v>321</v>
      </c>
      <c r="D235" s="90" t="s">
        <v>164</v>
      </c>
      <c r="E235" s="90" t="s">
        <v>721</v>
      </c>
      <c r="F235" s="90" t="s">
        <v>721</v>
      </c>
    </row>
    <row r="236" spans="2:6" ht="26.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6.4">
      <c r="B247" s="88">
        <v>333</v>
      </c>
      <c r="D247" s="90" t="s">
        <v>170</v>
      </c>
      <c r="E247" s="90" t="s">
        <v>727</v>
      </c>
      <c r="F247" s="90" t="s">
        <v>727</v>
      </c>
    </row>
    <row r="248" spans="2:6" ht="26.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6.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6.4">
      <c r="B262" s="88">
        <v>348</v>
      </c>
      <c r="C262" s="89" t="s">
        <v>1143</v>
      </c>
      <c r="D262" s="90" t="s">
        <v>1190</v>
      </c>
      <c r="E262" s="90" t="s">
        <v>1151</v>
      </c>
      <c r="F262" s="90" t="s">
        <v>1151</v>
      </c>
    </row>
    <row r="263" spans="2:6" ht="26.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6.4">
      <c r="B271" s="88">
        <v>357</v>
      </c>
      <c r="C271" s="89" t="s">
        <v>1143</v>
      </c>
      <c r="D271" s="90" t="s">
        <v>1189</v>
      </c>
      <c r="E271" s="90" t="s">
        <v>1188</v>
      </c>
      <c r="F271" s="90" t="s">
        <v>1188</v>
      </c>
    </row>
    <row r="272" spans="2:6" ht="39.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6.4">
      <c r="B299" s="88">
        <v>385</v>
      </c>
      <c r="D299" s="90" t="s">
        <v>196</v>
      </c>
      <c r="E299" s="90" t="s">
        <v>757</v>
      </c>
      <c r="F299" s="90" t="s">
        <v>757</v>
      </c>
    </row>
    <row r="300" spans="2:6">
      <c r="B300" s="88">
        <v>386</v>
      </c>
      <c r="D300" s="90" t="s">
        <v>1348</v>
      </c>
      <c r="E300" s="90" t="s">
        <v>1360</v>
      </c>
      <c r="F300" s="90" t="s">
        <v>1360</v>
      </c>
    </row>
    <row r="301" spans="2:6" ht="26.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9.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6.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6.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6.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6.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1357</v>
      </c>
      <c r="E372" s="90" t="s">
        <v>1356</v>
      </c>
      <c r="F372" s="90" t="s">
        <v>1356</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6.4">
      <c r="B376" s="88">
        <v>462</v>
      </c>
      <c r="D376" s="90" t="s">
        <v>1340</v>
      </c>
      <c r="E376" s="90" t="s">
        <v>805</v>
      </c>
      <c r="F376" s="90" t="s">
        <v>805</v>
      </c>
    </row>
    <row r="377" spans="2:6" ht="26.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6.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9.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1365</v>
      </c>
      <c r="E390" s="90" t="s">
        <v>1366</v>
      </c>
      <c r="F390" s="90" t="s">
        <v>1366</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6.4">
      <c r="B395" s="88">
        <v>481</v>
      </c>
      <c r="D395" s="90" t="s">
        <v>252</v>
      </c>
      <c r="E395" s="90" t="s">
        <v>816</v>
      </c>
      <c r="F395" s="90" t="s">
        <v>816</v>
      </c>
    </row>
    <row r="396" spans="2:6">
      <c r="B396" s="88">
        <v>482</v>
      </c>
      <c r="D396" s="90" t="s">
        <v>1363</v>
      </c>
      <c r="E396" s="90" t="s">
        <v>1355</v>
      </c>
      <c r="F396" s="90" t="s">
        <v>1355</v>
      </c>
    </row>
    <row r="397" spans="2:6">
      <c r="B397" s="88">
        <v>483</v>
      </c>
      <c r="D397" s="90" t="s">
        <v>1361</v>
      </c>
      <c r="E397" s="90" t="s">
        <v>1350</v>
      </c>
      <c r="F397" s="90" t="s">
        <v>1350</v>
      </c>
    </row>
    <row r="398" spans="2:6">
      <c r="B398" s="88">
        <v>484</v>
      </c>
      <c r="D398" s="90" t="s">
        <v>1362</v>
      </c>
      <c r="E398" s="90" t="s">
        <v>1351</v>
      </c>
      <c r="F398" s="90" t="s">
        <v>1351</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1419</v>
      </c>
      <c r="E406" s="90" t="s">
        <v>1155</v>
      </c>
      <c r="F406" s="90" t="s">
        <v>1155</v>
      </c>
    </row>
    <row r="407" spans="2:6">
      <c r="B407" s="88">
        <v>493</v>
      </c>
      <c r="D407" s="90" t="s">
        <v>257</v>
      </c>
      <c r="E407" s="90" t="s">
        <v>820</v>
      </c>
      <c r="F407" s="90" t="s">
        <v>820</v>
      </c>
    </row>
    <row r="408" spans="2:6" ht="52.8">
      <c r="B408" s="88">
        <v>494</v>
      </c>
      <c r="D408" s="90" t="s">
        <v>258</v>
      </c>
      <c r="E408" s="90" t="s">
        <v>821</v>
      </c>
      <c r="F408" s="90" t="s">
        <v>821</v>
      </c>
    </row>
    <row r="409" spans="2:6">
      <c r="B409" s="88">
        <v>495</v>
      </c>
      <c r="D409" s="90" t="s">
        <v>259</v>
      </c>
      <c r="E409" s="90" t="s">
        <v>822</v>
      </c>
      <c r="F409" s="90" t="s">
        <v>822</v>
      </c>
    </row>
    <row r="410" spans="2:6" ht="26.4">
      <c r="B410" s="88">
        <v>496</v>
      </c>
      <c r="D410" s="90" t="s">
        <v>260</v>
      </c>
      <c r="E410" s="90" t="s">
        <v>823</v>
      </c>
      <c r="F410" s="90" t="s">
        <v>823</v>
      </c>
    </row>
    <row r="411" spans="2:6" ht="26.4">
      <c r="B411" s="88">
        <v>497</v>
      </c>
      <c r="D411" s="90" t="s">
        <v>261</v>
      </c>
      <c r="E411" s="90" t="s">
        <v>824</v>
      </c>
      <c r="F411" s="90" t="s">
        <v>824</v>
      </c>
    </row>
    <row r="412" spans="2:6" ht="26.4">
      <c r="B412" s="88">
        <v>498</v>
      </c>
      <c r="D412" s="90" t="s">
        <v>262</v>
      </c>
      <c r="E412" s="90" t="s">
        <v>825</v>
      </c>
      <c r="F412" s="90" t="s">
        <v>825</v>
      </c>
    </row>
    <row r="413" spans="2:6" ht="26.4">
      <c r="B413" s="88">
        <v>499</v>
      </c>
      <c r="D413" s="90" t="s">
        <v>263</v>
      </c>
      <c r="E413" s="90" t="s">
        <v>826</v>
      </c>
      <c r="F413" s="90" t="s">
        <v>826</v>
      </c>
    </row>
    <row r="414" spans="2:6" ht="26.4">
      <c r="B414" s="88">
        <v>500</v>
      </c>
      <c r="D414" s="90" t="s">
        <v>264</v>
      </c>
      <c r="E414" s="90" t="s">
        <v>827</v>
      </c>
      <c r="F414" s="90" t="s">
        <v>827</v>
      </c>
    </row>
    <row r="415" spans="2:6" ht="26.4">
      <c r="B415" s="88">
        <v>501</v>
      </c>
      <c r="D415" s="90" t="s">
        <v>265</v>
      </c>
      <c r="E415" s="90" t="s">
        <v>828</v>
      </c>
      <c r="F415" s="90" t="s">
        <v>828</v>
      </c>
    </row>
    <row r="416" spans="2:6" ht="26.4">
      <c r="B416" s="88">
        <v>502</v>
      </c>
      <c r="D416" s="90" t="s">
        <v>266</v>
      </c>
      <c r="E416" s="90" t="s">
        <v>829</v>
      </c>
      <c r="F416" s="90" t="s">
        <v>829</v>
      </c>
    </row>
    <row r="417" spans="2:6" ht="26.4">
      <c r="B417" s="88">
        <v>503</v>
      </c>
      <c r="D417" s="90" t="s">
        <v>267</v>
      </c>
      <c r="E417" s="90" t="s">
        <v>830</v>
      </c>
      <c r="F417" s="90" t="s">
        <v>830</v>
      </c>
    </row>
    <row r="418" spans="2:6" ht="26.4">
      <c r="B418" s="88">
        <v>504</v>
      </c>
      <c r="D418" s="90" t="s">
        <v>268</v>
      </c>
      <c r="E418" s="90" t="s">
        <v>831</v>
      </c>
      <c r="F418" s="90" t="s">
        <v>831</v>
      </c>
    </row>
    <row r="419" spans="2:6" ht="26.4">
      <c r="B419" s="88">
        <v>505</v>
      </c>
      <c r="D419" s="90" t="s">
        <v>269</v>
      </c>
      <c r="E419" s="90" t="s">
        <v>832</v>
      </c>
      <c r="F419" s="90" t="s">
        <v>832</v>
      </c>
    </row>
    <row r="420" spans="2:6" ht="26.4">
      <c r="B420" s="88">
        <v>506</v>
      </c>
      <c r="D420" s="90" t="s">
        <v>270</v>
      </c>
      <c r="E420" s="90" t="s">
        <v>833</v>
      </c>
      <c r="F420" s="90" t="s">
        <v>833</v>
      </c>
    </row>
    <row r="421" spans="2:6" ht="26.4">
      <c r="B421" s="88">
        <v>507</v>
      </c>
      <c r="D421" s="90" t="s">
        <v>271</v>
      </c>
      <c r="E421" s="90" t="s">
        <v>834</v>
      </c>
      <c r="F421" s="90" t="s">
        <v>834</v>
      </c>
    </row>
    <row r="422" spans="2:6" ht="26.4">
      <c r="B422" s="88">
        <v>508</v>
      </c>
      <c r="D422" s="90" t="s">
        <v>272</v>
      </c>
      <c r="E422" s="90" t="s">
        <v>835</v>
      </c>
      <c r="F422" s="90" t="s">
        <v>835</v>
      </c>
    </row>
    <row r="423" spans="2:6" ht="26.4">
      <c r="B423" s="88">
        <v>509</v>
      </c>
      <c r="D423" s="90" t="s">
        <v>273</v>
      </c>
      <c r="E423" s="90" t="s">
        <v>836</v>
      </c>
      <c r="F423" s="90" t="s">
        <v>836</v>
      </c>
    </row>
    <row r="424" spans="2:6" ht="26.4">
      <c r="B424" s="88">
        <v>510</v>
      </c>
      <c r="D424" s="90" t="s">
        <v>274</v>
      </c>
      <c r="E424" s="90" t="s">
        <v>837</v>
      </c>
      <c r="F424" s="90" t="s">
        <v>837</v>
      </c>
    </row>
    <row r="425" spans="2:6" ht="26.4">
      <c r="B425" s="88">
        <v>511</v>
      </c>
      <c r="D425" s="90" t="s">
        <v>275</v>
      </c>
      <c r="E425" s="90" t="s">
        <v>838</v>
      </c>
      <c r="F425" s="90" t="s">
        <v>838</v>
      </c>
    </row>
    <row r="426" spans="2:6" ht="26.4">
      <c r="B426" s="88">
        <v>512</v>
      </c>
      <c r="D426" s="90" t="s">
        <v>276</v>
      </c>
      <c r="E426" s="90" t="s">
        <v>839</v>
      </c>
      <c r="F426" s="90" t="s">
        <v>839</v>
      </c>
    </row>
    <row r="427" spans="2:6" ht="26.4">
      <c r="B427" s="88">
        <v>513</v>
      </c>
      <c r="D427" s="90" t="s">
        <v>277</v>
      </c>
      <c r="E427" s="90" t="s">
        <v>840</v>
      </c>
      <c r="F427" s="90" t="s">
        <v>840</v>
      </c>
    </row>
    <row r="428" spans="2:6" ht="26.4">
      <c r="B428" s="88">
        <v>514</v>
      </c>
      <c r="D428" s="90" t="s">
        <v>278</v>
      </c>
      <c r="E428" s="90" t="s">
        <v>841</v>
      </c>
      <c r="F428" s="90" t="s">
        <v>841</v>
      </c>
    </row>
    <row r="429" spans="2:6" ht="26.4">
      <c r="B429" s="88">
        <v>515</v>
      </c>
      <c r="D429" s="90" t="s">
        <v>279</v>
      </c>
      <c r="E429" s="90" t="s">
        <v>842</v>
      </c>
      <c r="F429" s="90" t="s">
        <v>842</v>
      </c>
    </row>
    <row r="430" spans="2:6" ht="26.4">
      <c r="B430" s="88">
        <v>516</v>
      </c>
      <c r="D430" s="90" t="s">
        <v>280</v>
      </c>
      <c r="E430" s="90" t="s">
        <v>843</v>
      </c>
      <c r="F430" s="90" t="s">
        <v>843</v>
      </c>
    </row>
    <row r="431" spans="2:6" ht="26.4">
      <c r="B431" s="88">
        <v>517</v>
      </c>
      <c r="D431" s="90" t="s">
        <v>471</v>
      </c>
      <c r="E431" s="90" t="s">
        <v>844</v>
      </c>
      <c r="F431" s="90" t="s">
        <v>844</v>
      </c>
    </row>
    <row r="432" spans="2:6" ht="26.4">
      <c r="B432" s="88">
        <v>518</v>
      </c>
      <c r="D432" s="90" t="s">
        <v>472</v>
      </c>
      <c r="E432" s="90" t="s">
        <v>844</v>
      </c>
      <c r="F432" s="90" t="s">
        <v>844</v>
      </c>
    </row>
    <row r="433" spans="1:27" ht="26.4">
      <c r="B433" s="88">
        <v>519</v>
      </c>
      <c r="D433" s="90" t="s">
        <v>281</v>
      </c>
      <c r="E433" s="90" t="s">
        <v>845</v>
      </c>
      <c r="F433" s="90" t="s">
        <v>845</v>
      </c>
    </row>
    <row r="434" spans="1:27" ht="26.4">
      <c r="B434" s="88">
        <v>520</v>
      </c>
      <c r="D434" s="90" t="s">
        <v>282</v>
      </c>
      <c r="E434" s="90" t="s">
        <v>846</v>
      </c>
      <c r="F434" s="90" t="s">
        <v>846</v>
      </c>
    </row>
    <row r="435" spans="1:27" ht="26.4">
      <c r="B435" s="88">
        <v>521</v>
      </c>
      <c r="D435" s="90" t="s">
        <v>283</v>
      </c>
      <c r="E435" s="90" t="s">
        <v>847</v>
      </c>
      <c r="F435" s="90" t="s">
        <v>847</v>
      </c>
    </row>
    <row r="436" spans="1:27" ht="26.4">
      <c r="B436" s="88">
        <v>522</v>
      </c>
      <c r="D436" s="90" t="s">
        <v>284</v>
      </c>
      <c r="E436" s="90" t="s">
        <v>848</v>
      </c>
      <c r="F436" s="90" t="s">
        <v>848</v>
      </c>
    </row>
    <row r="437" spans="1:27" ht="26.4">
      <c r="B437" s="88">
        <v>523</v>
      </c>
      <c r="D437" s="90" t="s">
        <v>473</v>
      </c>
      <c r="E437" s="90" t="s">
        <v>849</v>
      </c>
      <c r="F437" s="90" t="s">
        <v>849</v>
      </c>
    </row>
    <row r="438" spans="1:27" s="175" customFormat="1" ht="26.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6.4">
      <c r="B453" s="88">
        <v>539</v>
      </c>
      <c r="D453" s="90" t="s">
        <v>475</v>
      </c>
      <c r="E453" s="90" t="s">
        <v>865</v>
      </c>
      <c r="F453" s="90" t="s">
        <v>865</v>
      </c>
    </row>
    <row r="454" spans="1:27" ht="52.8">
      <c r="A454" s="175"/>
      <c r="B454" s="88">
        <v>540</v>
      </c>
      <c r="C454" s="181" t="s">
        <v>507</v>
      </c>
      <c r="D454" s="175" t="s">
        <v>523</v>
      </c>
      <c r="E454" s="175" t="s">
        <v>866</v>
      </c>
      <c r="F454" s="175" t="s">
        <v>866</v>
      </c>
    </row>
    <row r="455" spans="1:27" ht="52.8">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6.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6.4">
      <c r="B463" s="88">
        <v>549</v>
      </c>
      <c r="D463" s="90" t="s">
        <v>1271</v>
      </c>
      <c r="E463" s="90" t="s">
        <v>1272</v>
      </c>
      <c r="F463" s="90" t="s">
        <v>1272</v>
      </c>
    </row>
    <row r="464" spans="1:27">
      <c r="B464" s="88">
        <v>550</v>
      </c>
      <c r="D464" s="90" t="s">
        <v>1273</v>
      </c>
      <c r="E464" s="90" t="s">
        <v>1274</v>
      </c>
      <c r="F464" s="90" t="s">
        <v>1274</v>
      </c>
    </row>
    <row r="465" spans="2:6" ht="26.4">
      <c r="B465" s="88">
        <v>551</v>
      </c>
      <c r="D465" s="90" t="s">
        <v>306</v>
      </c>
      <c r="E465" s="90" t="s">
        <v>874</v>
      </c>
      <c r="F465" s="90" t="s">
        <v>874</v>
      </c>
    </row>
    <row r="466" spans="2:6">
      <c r="B466" s="88">
        <v>552</v>
      </c>
      <c r="D466" s="90" t="s">
        <v>476</v>
      </c>
      <c r="E466" s="90" t="s">
        <v>875</v>
      </c>
      <c r="F466" s="90" t="s">
        <v>875</v>
      </c>
    </row>
    <row r="467" spans="2:6" ht="26.4">
      <c r="B467" s="88">
        <v>553</v>
      </c>
      <c r="D467" s="90" t="s">
        <v>307</v>
      </c>
      <c r="E467" s="90" t="s">
        <v>876</v>
      </c>
      <c r="F467" s="90" t="s">
        <v>876</v>
      </c>
    </row>
    <row r="468" spans="2:6" ht="26.4">
      <c r="B468" s="88">
        <v>554</v>
      </c>
      <c r="D468" s="90" t="s">
        <v>477</v>
      </c>
      <c r="E468" s="90" t="s">
        <v>877</v>
      </c>
      <c r="F468" s="90" t="s">
        <v>877</v>
      </c>
    </row>
    <row r="469" spans="2:6" ht="26.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6.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9.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9.6">
      <c r="B481" s="88">
        <v>567</v>
      </c>
      <c r="D481" s="90" t="s">
        <v>317</v>
      </c>
      <c r="E481" s="90" t="s">
        <v>888</v>
      </c>
      <c r="F481" s="90" t="s">
        <v>888</v>
      </c>
    </row>
    <row r="482" spans="2:6" ht="26.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6.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9.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9.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6.4">
      <c r="B505" s="88">
        <v>591</v>
      </c>
      <c r="D505" s="90" t="s">
        <v>332</v>
      </c>
      <c r="E505" s="90" t="s">
        <v>908</v>
      </c>
      <c r="F505" s="90" t="s">
        <v>908</v>
      </c>
    </row>
    <row r="506" spans="1:6">
      <c r="B506" s="88">
        <v>592</v>
      </c>
      <c r="D506" s="90" t="s">
        <v>333</v>
      </c>
      <c r="E506" s="90" t="s">
        <v>909</v>
      </c>
      <c r="F506" s="90" t="s">
        <v>909</v>
      </c>
    </row>
    <row r="507" spans="1:6" ht="39.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6.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1344</v>
      </c>
      <c r="E529" s="90" t="s">
        <v>1346</v>
      </c>
      <c r="F529" s="90" t="s">
        <v>1346</v>
      </c>
    </row>
    <row r="530" spans="1:6">
      <c r="B530" s="88">
        <v>616</v>
      </c>
      <c r="D530" s="90" t="s">
        <v>1343</v>
      </c>
      <c r="E530" s="90" t="s">
        <v>1345</v>
      </c>
      <c r="F530" s="90" t="s">
        <v>1345</v>
      </c>
    </row>
    <row r="531" spans="1:6" ht="39.6">
      <c r="B531" s="88">
        <v>617</v>
      </c>
      <c r="C531" s="89" t="s">
        <v>1143</v>
      </c>
      <c r="D531" s="90" t="s">
        <v>1184</v>
      </c>
      <c r="E531" s="90" t="s">
        <v>1147</v>
      </c>
      <c r="F531" s="90" t="s">
        <v>1147</v>
      </c>
    </row>
    <row r="532" spans="1:6" ht="39.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6.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1393</v>
      </c>
      <c r="E546" s="90" t="s">
        <v>1394</v>
      </c>
      <c r="F546" s="90" t="s">
        <v>1394</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6.4">
      <c r="B551" s="88">
        <v>637</v>
      </c>
      <c r="C551" s="89" t="s">
        <v>1143</v>
      </c>
      <c r="D551" s="90" t="s">
        <v>1201</v>
      </c>
      <c r="E551" s="90" t="s">
        <v>1200</v>
      </c>
      <c r="F551" s="90" t="s">
        <v>1200</v>
      </c>
    </row>
    <row r="552" spans="2:6">
      <c r="B552" s="88">
        <v>638</v>
      </c>
      <c r="D552" s="90" t="s">
        <v>357</v>
      </c>
      <c r="E552" s="90" t="s">
        <v>932</v>
      </c>
      <c r="F552" s="90" t="s">
        <v>932</v>
      </c>
    </row>
    <row r="553" spans="2:6" ht="39.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6.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1143</v>
      </c>
      <c r="D565" s="90" t="s">
        <v>1202</v>
      </c>
      <c r="E565" s="90" t="s">
        <v>1165</v>
      </c>
      <c r="F565" s="90" t="s">
        <v>1165</v>
      </c>
    </row>
    <row r="566" spans="2:27" ht="26.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1410</v>
      </c>
      <c r="E576" s="90" t="s">
        <v>1395</v>
      </c>
      <c r="F576" s="90" t="s">
        <v>1395</v>
      </c>
    </row>
    <row r="577" spans="2:6">
      <c r="B577" s="88">
        <v>663</v>
      </c>
      <c r="D577" s="90" t="s">
        <v>1411</v>
      </c>
      <c r="E577" s="90" t="s">
        <v>1396</v>
      </c>
      <c r="F577" s="90" t="s">
        <v>1396</v>
      </c>
    </row>
    <row r="578" spans="2:6">
      <c r="B578" s="88">
        <v>664</v>
      </c>
      <c r="D578" s="90" t="s">
        <v>1397</v>
      </c>
      <c r="E578" s="90" t="s">
        <v>1398</v>
      </c>
      <c r="F578" s="90" t="s">
        <v>1398</v>
      </c>
    </row>
    <row r="579" spans="2:6">
      <c r="B579" s="88">
        <v>665</v>
      </c>
      <c r="D579" s="90" t="s">
        <v>1407</v>
      </c>
      <c r="E579" s="90" t="s">
        <v>1408</v>
      </c>
      <c r="F579" s="90" t="s">
        <v>1408</v>
      </c>
    </row>
    <row r="580" spans="2:6">
      <c r="B580" s="88">
        <v>666</v>
      </c>
      <c r="D580" s="90" t="s">
        <v>1401</v>
      </c>
      <c r="E580" s="90" t="s">
        <v>1404</v>
      </c>
      <c r="F580" s="90" t="s">
        <v>1404</v>
      </c>
    </row>
    <row r="581" spans="2:6">
      <c r="B581" s="88">
        <v>667</v>
      </c>
      <c r="D581" s="90" t="s">
        <v>1402</v>
      </c>
      <c r="E581" s="90" t="s">
        <v>1405</v>
      </c>
      <c r="F581" s="90" t="s">
        <v>1405</v>
      </c>
    </row>
    <row r="582" spans="2:6">
      <c r="B582" s="88">
        <v>667</v>
      </c>
      <c r="D582" s="90" t="s">
        <v>1403</v>
      </c>
      <c r="E582" s="90" t="s">
        <v>1406</v>
      </c>
      <c r="F582" s="90" t="s">
        <v>1406</v>
      </c>
    </row>
    <row r="583" spans="2:6">
      <c r="B583" s="88">
        <v>667</v>
      </c>
      <c r="D583" s="90" t="s">
        <v>1415</v>
      </c>
      <c r="E583" s="90" t="s">
        <v>1414</v>
      </c>
      <c r="F583" s="90" t="s">
        <v>1414</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59765625" defaultRowHeight="14.4"/>
  <cols>
    <col min="1" max="1" width="9.5" style="128" bestFit="1" customWidth="1"/>
    <col min="2" max="2" width="9.69921875" style="128" bestFit="1" customWidth="1"/>
    <col min="3" max="12" width="11.3984375" style="128" bestFit="1" customWidth="1"/>
    <col min="13" max="13" width="31.8984375" style="128" bestFit="1" customWidth="1"/>
    <col min="14" max="14" width="14.59765625" style="128" bestFit="1" customWidth="1"/>
    <col min="15" max="16" width="10.5" style="128" bestFit="1" customWidth="1"/>
    <col min="17" max="17" width="15.5" style="128" bestFit="1" customWidth="1"/>
    <col min="18" max="18" width="17.09765625" style="128" bestFit="1" customWidth="1"/>
    <col min="19" max="19" width="13.19921875" style="128" bestFit="1" customWidth="1"/>
    <col min="20" max="20" width="19.8984375" style="128" bestFit="1" customWidth="1"/>
    <col min="21" max="21" width="14.3984375" style="128" bestFit="1" customWidth="1"/>
    <col min="22" max="22" width="14.09765625" style="129" bestFit="1" customWidth="1"/>
    <col min="23" max="23" width="15.5" style="128" bestFit="1" customWidth="1"/>
    <col min="24" max="24" width="19.3984375" style="130" bestFit="1" customWidth="1"/>
    <col min="25" max="25" width="9.5" style="130" bestFit="1" customWidth="1"/>
    <col min="26" max="26" width="10.8984375" style="130" bestFit="1" customWidth="1"/>
    <col min="27" max="27" width="10.8984375" style="129" bestFit="1" customWidth="1"/>
    <col min="28" max="28" width="12.5" style="129" bestFit="1" customWidth="1"/>
    <col min="29" max="29" width="12.8984375" style="129" bestFit="1" customWidth="1"/>
    <col min="30" max="30" width="15.69921875" style="128" bestFit="1" customWidth="1"/>
    <col min="31" max="32" width="10.59765625" style="128"/>
    <col min="33" max="16384" width="10.59765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1497</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1497</v>
      </c>
      <c r="N3" s="131" t="s">
        <v>1338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1498</v>
      </c>
      <c r="C4" s="131" t="s">
        <v>1023</v>
      </c>
      <c r="D4" s="131" t="s">
        <v>1097</v>
      </c>
      <c r="E4" s="131" t="s">
        <v>1099</v>
      </c>
      <c r="F4" s="131" t="s">
        <v>1498</v>
      </c>
      <c r="M4" s="131" t="s">
        <v>1499</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1498</v>
      </c>
      <c r="C5" s="131" t="s">
        <v>1023</v>
      </c>
      <c r="D5" s="131" t="s">
        <v>1097</v>
      </c>
      <c r="E5" s="131" t="s">
        <v>1099</v>
      </c>
      <c r="F5" s="131" t="s">
        <v>1498</v>
      </c>
      <c r="M5" s="131" t="s">
        <v>1499</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1498</v>
      </c>
      <c r="C6" s="131" t="s">
        <v>1023</v>
      </c>
      <c r="D6" s="131" t="s">
        <v>1097</v>
      </c>
      <c r="E6" s="131" t="s">
        <v>1099</v>
      </c>
      <c r="F6" s="131" t="s">
        <v>1498</v>
      </c>
      <c r="M6" s="131" t="s">
        <v>1499</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1500</v>
      </c>
      <c r="C7" s="131" t="s">
        <v>1023</v>
      </c>
      <c r="D7" s="131" t="s">
        <v>1097</v>
      </c>
      <c r="E7" s="131" t="s">
        <v>1099</v>
      </c>
      <c r="F7" s="131" t="s">
        <v>1500</v>
      </c>
      <c r="M7" s="131" t="s">
        <v>1501</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1502</v>
      </c>
      <c r="N8" s="131" t="s">
        <v>1574</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1502</v>
      </c>
      <c r="N9" s="131" t="s">
        <v>1574</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1502</v>
      </c>
      <c r="N10" s="131" t="s">
        <v>1574</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1502</v>
      </c>
      <c r="N11" s="131" t="s">
        <v>1574</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1502</v>
      </c>
      <c r="N12" s="131" t="s">
        <v>1574</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1503</v>
      </c>
      <c r="N13" s="131" t="s">
        <v>1574</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1504</v>
      </c>
      <c r="C14" s="131" t="s">
        <v>1023</v>
      </c>
      <c r="D14" s="131" t="s">
        <v>1100</v>
      </c>
      <c r="E14" s="131" t="s">
        <v>1504</v>
      </c>
      <c r="M14" s="131" t="s">
        <v>1505</v>
      </c>
      <c r="N14" s="131" t="s">
        <v>1574</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1504</v>
      </c>
      <c r="C15" s="131" t="s">
        <v>1023</v>
      </c>
      <c r="D15" s="131" t="s">
        <v>1100</v>
      </c>
      <c r="E15" s="131" t="s">
        <v>1504</v>
      </c>
      <c r="M15" s="131" t="s">
        <v>1505</v>
      </c>
      <c r="N15" s="131" t="s">
        <v>1574</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1504</v>
      </c>
      <c r="C16" s="131" t="s">
        <v>1023</v>
      </c>
      <c r="D16" s="131" t="s">
        <v>1100</v>
      </c>
      <c r="E16" s="131" t="s">
        <v>1504</v>
      </c>
      <c r="M16" s="131" t="s">
        <v>1505</v>
      </c>
      <c r="N16" s="131" t="s">
        <v>1574</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1504</v>
      </c>
      <c r="C17" s="131" t="s">
        <v>1023</v>
      </c>
      <c r="D17" s="131" t="s">
        <v>1100</v>
      </c>
      <c r="E17" s="131" t="s">
        <v>1504</v>
      </c>
      <c r="M17" s="131" t="s">
        <v>1505</v>
      </c>
      <c r="N17" s="131" t="s">
        <v>1574</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1504</v>
      </c>
      <c r="C18" s="131" t="s">
        <v>1023</v>
      </c>
      <c r="D18" s="131" t="s">
        <v>1100</v>
      </c>
      <c r="E18" s="131" t="s">
        <v>1504</v>
      </c>
      <c r="M18" s="131" t="s">
        <v>1505</v>
      </c>
      <c r="N18" s="131" t="s">
        <v>1574</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1506</v>
      </c>
      <c r="C19" s="131" t="s">
        <v>1023</v>
      </c>
      <c r="D19" s="131" t="s">
        <v>1100</v>
      </c>
      <c r="E19" s="131" t="s">
        <v>1506</v>
      </c>
      <c r="M19" s="131" t="s">
        <v>1507</v>
      </c>
      <c r="N19" s="131" t="s">
        <v>1488</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1508</v>
      </c>
      <c r="N20" s="131" t="s">
        <v>1338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1508</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1508</v>
      </c>
      <c r="N22" s="131" t="s">
        <v>1338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1508</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1509</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1509</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1509</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1509</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1510</v>
      </c>
      <c r="C28" s="131" t="s">
        <v>1023</v>
      </c>
      <c r="D28" s="131" t="s">
        <v>1102</v>
      </c>
      <c r="E28" s="131" t="s">
        <v>1510</v>
      </c>
      <c r="M28" s="131" t="s">
        <v>1511</v>
      </c>
      <c r="N28" s="131" t="s">
        <v>1372</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1510</v>
      </c>
      <c r="C29" s="131" t="s">
        <v>1023</v>
      </c>
      <c r="D29" s="131" t="s">
        <v>1102</v>
      </c>
      <c r="E29" s="131" t="s">
        <v>1510</v>
      </c>
      <c r="M29" s="131" t="s">
        <v>1511</v>
      </c>
      <c r="N29" s="131" t="s">
        <v>1373</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1512</v>
      </c>
      <c r="C30" s="131" t="s">
        <v>1023</v>
      </c>
      <c r="D30" s="131" t="s">
        <v>1102</v>
      </c>
      <c r="E30" s="131" t="s">
        <v>1512</v>
      </c>
      <c r="M30" s="131" t="s">
        <v>1513</v>
      </c>
      <c r="N30" s="131" t="s">
        <v>1488</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1514</v>
      </c>
      <c r="C31" s="131" t="s">
        <v>1087</v>
      </c>
      <c r="D31" s="131" t="s">
        <v>1567</v>
      </c>
      <c r="E31" s="131" t="s">
        <v>1514</v>
      </c>
      <c r="M31" s="131" t="s">
        <v>1515</v>
      </c>
      <c r="N31" s="131" t="s">
        <v>1488</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1514</v>
      </c>
      <c r="C32" s="131" t="s">
        <v>1087</v>
      </c>
      <c r="D32" s="131" t="s">
        <v>1567</v>
      </c>
      <c r="E32" s="131" t="s">
        <v>1514</v>
      </c>
      <c r="M32" s="131" t="s">
        <v>1515</v>
      </c>
      <c r="N32" s="131" t="s">
        <v>1488</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1514</v>
      </c>
      <c r="C33" s="131" t="s">
        <v>1087</v>
      </c>
      <c r="D33" s="131" t="s">
        <v>1567</v>
      </c>
      <c r="E33" s="131" t="s">
        <v>1514</v>
      </c>
      <c r="M33" s="131" t="s">
        <v>1515</v>
      </c>
      <c r="N33" s="131" t="s">
        <v>1488</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1514</v>
      </c>
      <c r="C34" s="131" t="s">
        <v>1087</v>
      </c>
      <c r="D34" s="131" t="s">
        <v>1567</v>
      </c>
      <c r="E34" s="131" t="s">
        <v>1514</v>
      </c>
      <c r="M34" s="131" t="s">
        <v>1515</v>
      </c>
      <c r="N34" s="131" t="s">
        <v>1488</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1517</v>
      </c>
      <c r="C35" s="131" t="s">
        <v>1087</v>
      </c>
      <c r="D35" s="131" t="s">
        <v>1567</v>
      </c>
      <c r="E35" s="131" t="s">
        <v>1516</v>
      </c>
      <c r="F35" s="131" t="s">
        <v>1517</v>
      </c>
      <c r="M35" s="131" t="s">
        <v>1518</v>
      </c>
      <c r="N35" s="131" t="s">
        <v>1488</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1517</v>
      </c>
      <c r="C36" s="131" t="s">
        <v>1087</v>
      </c>
      <c r="D36" s="131" t="s">
        <v>1567</v>
      </c>
      <c r="E36" s="131" t="s">
        <v>1516</v>
      </c>
      <c r="F36" s="131" t="s">
        <v>1517</v>
      </c>
      <c r="M36" s="131" t="s">
        <v>1518</v>
      </c>
      <c r="N36" s="131" t="s">
        <v>1488</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1517</v>
      </c>
      <c r="C37" s="131" t="s">
        <v>1087</v>
      </c>
      <c r="D37" s="131" t="s">
        <v>1567</v>
      </c>
      <c r="E37" s="131" t="s">
        <v>1516</v>
      </c>
      <c r="F37" s="131" t="s">
        <v>1517</v>
      </c>
      <c r="M37" s="131" t="s">
        <v>1518</v>
      </c>
      <c r="N37" s="131" t="s">
        <v>1488</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1517</v>
      </c>
      <c r="C38" s="131" t="s">
        <v>1087</v>
      </c>
      <c r="D38" s="131" t="s">
        <v>1567</v>
      </c>
      <c r="E38" s="131" t="s">
        <v>1516</v>
      </c>
      <c r="F38" s="131" t="s">
        <v>1517</v>
      </c>
      <c r="M38" s="131" t="s">
        <v>1518</v>
      </c>
      <c r="N38" s="131" t="s">
        <v>1488</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1519</v>
      </c>
      <c r="C39" s="131" t="s">
        <v>1087</v>
      </c>
      <c r="D39" s="131" t="s">
        <v>1567</v>
      </c>
      <c r="E39" s="131" t="s">
        <v>1516</v>
      </c>
      <c r="F39" s="131" t="s">
        <v>1519</v>
      </c>
      <c r="M39" s="131" t="s">
        <v>1520</v>
      </c>
      <c r="N39" s="131" t="s">
        <v>1339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1519</v>
      </c>
      <c r="C40" s="131" t="s">
        <v>1087</v>
      </c>
      <c r="D40" s="131" t="s">
        <v>1567</v>
      </c>
      <c r="E40" s="131" t="s">
        <v>1516</v>
      </c>
      <c r="F40" s="131" t="s">
        <v>1519</v>
      </c>
      <c r="M40" s="131" t="s">
        <v>1520</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1519</v>
      </c>
      <c r="C41" s="131" t="s">
        <v>1087</v>
      </c>
      <c r="D41" s="131" t="s">
        <v>1567</v>
      </c>
      <c r="E41" s="131" t="s">
        <v>1516</v>
      </c>
      <c r="F41" s="131" t="s">
        <v>1519</v>
      </c>
      <c r="M41" s="131" t="s">
        <v>1520</v>
      </c>
      <c r="N41" s="131" t="s">
        <v>1339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1519</v>
      </c>
      <c r="C42" s="131" t="s">
        <v>1087</v>
      </c>
      <c r="D42" s="131" t="s">
        <v>1567</v>
      </c>
      <c r="E42" s="131" t="s">
        <v>1516</v>
      </c>
      <c r="F42" s="131" t="s">
        <v>1519</v>
      </c>
      <c r="M42" s="131" t="s">
        <v>1520</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1519</v>
      </c>
      <c r="C43" s="131" t="s">
        <v>1087</v>
      </c>
      <c r="D43" s="131" t="s">
        <v>1567</v>
      </c>
      <c r="E43" s="131" t="s">
        <v>1516</v>
      </c>
      <c r="F43" s="131" t="s">
        <v>1519</v>
      </c>
      <c r="M43" s="131" t="s">
        <v>1520</v>
      </c>
      <c r="N43" s="131" t="s">
        <v>1339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1519</v>
      </c>
      <c r="C44" s="131" t="s">
        <v>1087</v>
      </c>
      <c r="D44" s="131" t="s">
        <v>1567</v>
      </c>
      <c r="E44" s="131" t="s">
        <v>1516</v>
      </c>
      <c r="F44" s="131" t="s">
        <v>1519</v>
      </c>
      <c r="M44" s="131" t="s">
        <v>1520</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1519</v>
      </c>
      <c r="C45" s="131" t="s">
        <v>1087</v>
      </c>
      <c r="D45" s="131" t="s">
        <v>1567</v>
      </c>
      <c r="E45" s="131" t="s">
        <v>1516</v>
      </c>
      <c r="F45" s="131" t="s">
        <v>1519</v>
      </c>
      <c r="M45" s="131" t="s">
        <v>1520</v>
      </c>
      <c r="N45" s="131" t="s">
        <v>1339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1519</v>
      </c>
      <c r="C46" s="131" t="s">
        <v>1087</v>
      </c>
      <c r="D46" s="131" t="s">
        <v>1567</v>
      </c>
      <c r="E46" s="131" t="s">
        <v>1516</v>
      </c>
      <c r="F46" s="131" t="s">
        <v>1519</v>
      </c>
      <c r="M46" s="131" t="s">
        <v>1520</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1521</v>
      </c>
      <c r="C47" s="131" t="s">
        <v>1087</v>
      </c>
      <c r="D47" s="131" t="s">
        <v>1568</v>
      </c>
      <c r="E47" s="131" t="s">
        <v>1521</v>
      </c>
      <c r="M47" s="131" t="s">
        <v>1522</v>
      </c>
      <c r="N47" s="131" t="s">
        <v>1488</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1521</v>
      </c>
      <c r="C48" s="131" t="s">
        <v>1087</v>
      </c>
      <c r="D48" s="131" t="s">
        <v>1568</v>
      </c>
      <c r="E48" s="131" t="s">
        <v>1521</v>
      </c>
      <c r="M48" s="131" t="s">
        <v>1522</v>
      </c>
      <c r="N48" s="131" t="s">
        <v>1488</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1521</v>
      </c>
      <c r="C49" s="131" t="s">
        <v>1087</v>
      </c>
      <c r="D49" s="131" t="s">
        <v>1568</v>
      </c>
      <c r="E49" s="131" t="s">
        <v>1521</v>
      </c>
      <c r="M49" s="131" t="s">
        <v>1522</v>
      </c>
      <c r="N49" s="131" t="s">
        <v>1488</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1524</v>
      </c>
      <c r="C50" s="131" t="s">
        <v>1087</v>
      </c>
      <c r="D50" s="131" t="s">
        <v>1568</v>
      </c>
      <c r="E50" s="131" t="s">
        <v>1523</v>
      </c>
      <c r="F50" s="131" t="s">
        <v>1524</v>
      </c>
      <c r="M50" s="131" t="s">
        <v>1525</v>
      </c>
      <c r="N50" s="131" t="s">
        <v>1488</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1524</v>
      </c>
      <c r="C51" s="131" t="s">
        <v>1087</v>
      </c>
      <c r="D51" s="131" t="s">
        <v>1568</v>
      </c>
      <c r="E51" s="131" t="s">
        <v>1523</v>
      </c>
      <c r="F51" s="131" t="s">
        <v>1524</v>
      </c>
      <c r="M51" s="131" t="s">
        <v>1525</v>
      </c>
      <c r="N51" s="131" t="s">
        <v>1488</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1526</v>
      </c>
      <c r="C52" s="131" t="s">
        <v>1087</v>
      </c>
      <c r="D52" s="131" t="s">
        <v>1568</v>
      </c>
      <c r="E52" s="131" t="s">
        <v>1523</v>
      </c>
      <c r="F52" s="131" t="s">
        <v>1526</v>
      </c>
      <c r="M52" s="131" t="s">
        <v>1527</v>
      </c>
      <c r="N52" s="131" t="s">
        <v>1488</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1526</v>
      </c>
      <c r="C53" s="131" t="s">
        <v>1087</v>
      </c>
      <c r="D53" s="131" t="s">
        <v>1568</v>
      </c>
      <c r="E53" s="131" t="s">
        <v>1523</v>
      </c>
      <c r="F53" s="131" t="s">
        <v>1526</v>
      </c>
      <c r="M53" s="131" t="s">
        <v>1527</v>
      </c>
      <c r="N53" s="131" t="s">
        <v>1488</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1528</v>
      </c>
      <c r="C54" s="131" t="s">
        <v>1087</v>
      </c>
      <c r="D54" s="131" t="s">
        <v>1568</v>
      </c>
      <c r="E54" s="131" t="s">
        <v>1523</v>
      </c>
      <c r="F54" s="131" t="s">
        <v>1528</v>
      </c>
      <c r="M54" s="131" t="s">
        <v>1529</v>
      </c>
      <c r="N54" s="131" t="s">
        <v>1488</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1528</v>
      </c>
      <c r="C55" s="131" t="s">
        <v>1087</v>
      </c>
      <c r="D55" s="131" t="s">
        <v>1568</v>
      </c>
      <c r="E55" s="131" t="s">
        <v>1523</v>
      </c>
      <c r="F55" s="131" t="s">
        <v>1528</v>
      </c>
      <c r="M55" s="131" t="s">
        <v>1529</v>
      </c>
      <c r="N55" s="131" t="s">
        <v>1488</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1528</v>
      </c>
      <c r="C56" s="131" t="s">
        <v>1087</v>
      </c>
      <c r="D56" s="131" t="s">
        <v>1568</v>
      </c>
      <c r="E56" s="131" t="s">
        <v>1523</v>
      </c>
      <c r="F56" s="131" t="s">
        <v>1528</v>
      </c>
      <c r="M56" s="131" t="s">
        <v>1529</v>
      </c>
      <c r="N56" s="131" t="s">
        <v>1488</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1530</v>
      </c>
      <c r="C57" s="131" t="s">
        <v>1087</v>
      </c>
      <c r="D57" s="131" t="s">
        <v>1568</v>
      </c>
      <c r="E57" s="131" t="s">
        <v>1530</v>
      </c>
      <c r="M57" s="131" t="s">
        <v>1531</v>
      </c>
      <c r="N57" s="131" t="s">
        <v>1488</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1533</v>
      </c>
      <c r="C58" s="131" t="s">
        <v>1087</v>
      </c>
      <c r="D58" s="131" t="s">
        <v>1569</v>
      </c>
      <c r="E58" s="131" t="s">
        <v>1532</v>
      </c>
      <c r="F58" s="131" t="s">
        <v>1533</v>
      </c>
      <c r="M58" s="131" t="s">
        <v>1534</v>
      </c>
      <c r="N58" s="131" t="s">
        <v>1488</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1537</v>
      </c>
      <c r="C59" s="131" t="s">
        <v>1087</v>
      </c>
      <c r="D59" s="131" t="s">
        <v>1569</v>
      </c>
      <c r="E59" s="131" t="s">
        <v>1532</v>
      </c>
      <c r="F59" s="131" t="s">
        <v>1535</v>
      </c>
      <c r="G59" s="131" t="s">
        <v>1536</v>
      </c>
      <c r="H59" s="131" t="s">
        <v>1537</v>
      </c>
      <c r="M59" s="131" t="s">
        <v>1538</v>
      </c>
      <c r="N59" s="131" t="s">
        <v>1488</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1539</v>
      </c>
      <c r="C60" s="131" t="s">
        <v>1087</v>
      </c>
      <c r="D60" s="131" t="s">
        <v>1569</v>
      </c>
      <c r="E60" s="131" t="s">
        <v>1532</v>
      </c>
      <c r="F60" s="131" t="s">
        <v>1535</v>
      </c>
      <c r="G60" s="131" t="s">
        <v>1536</v>
      </c>
      <c r="H60" s="131" t="s">
        <v>1539</v>
      </c>
      <c r="M60" s="131" t="s">
        <v>1540</v>
      </c>
      <c r="N60" s="131" t="s">
        <v>1488</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1541</v>
      </c>
      <c r="C61" s="131" t="s">
        <v>1087</v>
      </c>
      <c r="D61" s="131" t="s">
        <v>1569</v>
      </c>
      <c r="E61" s="131" t="s">
        <v>1532</v>
      </c>
      <c r="F61" s="131" t="s">
        <v>1535</v>
      </c>
      <c r="G61" s="131" t="s">
        <v>1536</v>
      </c>
      <c r="H61" s="131" t="s">
        <v>1541</v>
      </c>
      <c r="M61" s="131" t="s">
        <v>1542</v>
      </c>
      <c r="N61" s="131" t="s">
        <v>1488</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1541</v>
      </c>
      <c r="C62" s="131" t="s">
        <v>1087</v>
      </c>
      <c r="D62" s="131" t="s">
        <v>1569</v>
      </c>
      <c r="E62" s="131" t="s">
        <v>1532</v>
      </c>
      <c r="F62" s="131" t="s">
        <v>1535</v>
      </c>
      <c r="G62" s="131" t="s">
        <v>1536</v>
      </c>
      <c r="H62" s="131" t="s">
        <v>1541</v>
      </c>
      <c r="M62" s="131" t="s">
        <v>1542</v>
      </c>
      <c r="N62" s="131" t="s">
        <v>1488</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1543</v>
      </c>
      <c r="C63" s="131" t="s">
        <v>1087</v>
      </c>
      <c r="D63" s="131" t="s">
        <v>1569</v>
      </c>
      <c r="E63" s="131" t="s">
        <v>1532</v>
      </c>
      <c r="F63" s="131" t="s">
        <v>1535</v>
      </c>
      <c r="G63" s="131" t="s">
        <v>1543</v>
      </c>
      <c r="M63" s="131" t="s">
        <v>1544</v>
      </c>
      <c r="N63" s="131" t="s">
        <v>1488</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1543</v>
      </c>
      <c r="C64" s="131" t="s">
        <v>1087</v>
      </c>
      <c r="D64" s="131" t="s">
        <v>1569</v>
      </c>
      <c r="E64" s="131" t="s">
        <v>1532</v>
      </c>
      <c r="F64" s="131" t="s">
        <v>1535</v>
      </c>
      <c r="G64" s="131" t="s">
        <v>1543</v>
      </c>
      <c r="M64" s="131" t="s">
        <v>1544</v>
      </c>
      <c r="N64" s="131" t="s">
        <v>1488</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1543</v>
      </c>
      <c r="C65" s="131" t="s">
        <v>1087</v>
      </c>
      <c r="D65" s="131" t="s">
        <v>1569</v>
      </c>
      <c r="E65" s="131" t="s">
        <v>1532</v>
      </c>
      <c r="F65" s="131" t="s">
        <v>1535</v>
      </c>
      <c r="G65" s="131" t="s">
        <v>1543</v>
      </c>
      <c r="M65" s="131" t="s">
        <v>1544</v>
      </c>
      <c r="N65" s="131" t="s">
        <v>1488</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1543</v>
      </c>
      <c r="C66" s="131" t="s">
        <v>1087</v>
      </c>
      <c r="D66" s="131" t="s">
        <v>1569</v>
      </c>
      <c r="E66" s="131" t="s">
        <v>1532</v>
      </c>
      <c r="F66" s="131" t="s">
        <v>1535</v>
      </c>
      <c r="G66" s="131" t="s">
        <v>1543</v>
      </c>
      <c r="M66" s="131" t="s">
        <v>1544</v>
      </c>
      <c r="N66" s="131" t="s">
        <v>1488</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1543</v>
      </c>
      <c r="C67" s="131" t="s">
        <v>1087</v>
      </c>
      <c r="D67" s="131" t="s">
        <v>1569</v>
      </c>
      <c r="E67" s="131" t="s">
        <v>1532</v>
      </c>
      <c r="F67" s="131" t="s">
        <v>1535</v>
      </c>
      <c r="G67" s="131" t="s">
        <v>1543</v>
      </c>
      <c r="M67" s="131" t="s">
        <v>1544</v>
      </c>
      <c r="N67" s="131" t="s">
        <v>1488</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1543</v>
      </c>
      <c r="C68" s="131" t="s">
        <v>1087</v>
      </c>
      <c r="D68" s="131" t="s">
        <v>1569</v>
      </c>
      <c r="E68" s="131" t="s">
        <v>1532</v>
      </c>
      <c r="F68" s="131" t="s">
        <v>1535</v>
      </c>
      <c r="G68" s="131" t="s">
        <v>1543</v>
      </c>
      <c r="M68" s="131" t="s">
        <v>1544</v>
      </c>
      <c r="N68" s="131" t="s">
        <v>1488</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1543</v>
      </c>
      <c r="C69" s="131" t="s">
        <v>1087</v>
      </c>
      <c r="D69" s="131" t="s">
        <v>1569</v>
      </c>
      <c r="E69" s="131" t="s">
        <v>1532</v>
      </c>
      <c r="F69" s="131" t="s">
        <v>1535</v>
      </c>
      <c r="G69" s="131" t="s">
        <v>1543</v>
      </c>
      <c r="M69" s="131" t="s">
        <v>1544</v>
      </c>
      <c r="N69" s="131" t="s">
        <v>1488</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1543</v>
      </c>
      <c r="C70" s="131" t="s">
        <v>1087</v>
      </c>
      <c r="D70" s="131" t="s">
        <v>1569</v>
      </c>
      <c r="E70" s="131" t="s">
        <v>1532</v>
      </c>
      <c r="F70" s="131" t="s">
        <v>1535</v>
      </c>
      <c r="G70" s="131" t="s">
        <v>1543</v>
      </c>
      <c r="M70" s="131" t="s">
        <v>1544</v>
      </c>
      <c r="N70" s="131" t="s">
        <v>1488</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1543</v>
      </c>
      <c r="C71" s="131" t="s">
        <v>1087</v>
      </c>
      <c r="D71" s="131" t="s">
        <v>1569</v>
      </c>
      <c r="E71" s="131" t="s">
        <v>1532</v>
      </c>
      <c r="F71" s="131" t="s">
        <v>1535</v>
      </c>
      <c r="G71" s="131" t="s">
        <v>1543</v>
      </c>
      <c r="M71" s="131" t="s">
        <v>1544</v>
      </c>
      <c r="N71" s="131" t="s">
        <v>1488</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1545</v>
      </c>
      <c r="C72" s="131" t="s">
        <v>1087</v>
      </c>
      <c r="D72" s="131" t="s">
        <v>1569</v>
      </c>
      <c r="E72" s="131" t="s">
        <v>1532</v>
      </c>
      <c r="F72" s="131" t="s">
        <v>1535</v>
      </c>
      <c r="G72" s="131" t="s">
        <v>1545</v>
      </c>
      <c r="M72" s="131" t="s">
        <v>1546</v>
      </c>
      <c r="N72" s="131" t="s">
        <v>1488</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1545</v>
      </c>
      <c r="C73" s="131" t="s">
        <v>1087</v>
      </c>
      <c r="D73" s="131" t="s">
        <v>1569</v>
      </c>
      <c r="E73" s="131" t="s">
        <v>1532</v>
      </c>
      <c r="F73" s="131" t="s">
        <v>1535</v>
      </c>
      <c r="G73" s="131" t="s">
        <v>1545</v>
      </c>
      <c r="M73" s="131" t="s">
        <v>1546</v>
      </c>
      <c r="N73" s="131" t="s">
        <v>1488</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1545</v>
      </c>
      <c r="C74" s="131" t="s">
        <v>1087</v>
      </c>
      <c r="D74" s="131" t="s">
        <v>1569</v>
      </c>
      <c r="E74" s="131" t="s">
        <v>1532</v>
      </c>
      <c r="F74" s="131" t="s">
        <v>1535</v>
      </c>
      <c r="G74" s="131" t="s">
        <v>1545</v>
      </c>
      <c r="M74" s="131" t="s">
        <v>1546</v>
      </c>
      <c r="N74" s="131" t="s">
        <v>1488</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1545</v>
      </c>
      <c r="C75" s="131" t="s">
        <v>1087</v>
      </c>
      <c r="D75" s="131" t="s">
        <v>1569</v>
      </c>
      <c r="E75" s="131" t="s">
        <v>1532</v>
      </c>
      <c r="F75" s="131" t="s">
        <v>1535</v>
      </c>
      <c r="G75" s="131" t="s">
        <v>1545</v>
      </c>
      <c r="M75" s="131" t="s">
        <v>1546</v>
      </c>
      <c r="N75" s="131" t="s">
        <v>1488</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1545</v>
      </c>
      <c r="C76" s="131" t="s">
        <v>1087</v>
      </c>
      <c r="D76" s="131" t="s">
        <v>1569</v>
      </c>
      <c r="E76" s="131" t="s">
        <v>1532</v>
      </c>
      <c r="F76" s="131" t="s">
        <v>1535</v>
      </c>
      <c r="G76" s="131" t="s">
        <v>1545</v>
      </c>
      <c r="M76" s="131" t="s">
        <v>1546</v>
      </c>
      <c r="N76" s="131" t="s">
        <v>1488</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1545</v>
      </c>
      <c r="C77" s="131" t="s">
        <v>1087</v>
      </c>
      <c r="D77" s="131" t="s">
        <v>1569</v>
      </c>
      <c r="E77" s="131" t="s">
        <v>1532</v>
      </c>
      <c r="F77" s="131" t="s">
        <v>1535</v>
      </c>
      <c r="G77" s="131" t="s">
        <v>1545</v>
      </c>
      <c r="M77" s="131" t="s">
        <v>1546</v>
      </c>
      <c r="N77" s="131" t="s">
        <v>1488</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1545</v>
      </c>
      <c r="C78" s="131" t="s">
        <v>1087</v>
      </c>
      <c r="D78" s="131" t="s">
        <v>1569</v>
      </c>
      <c r="E78" s="131" t="s">
        <v>1532</v>
      </c>
      <c r="F78" s="131" t="s">
        <v>1535</v>
      </c>
      <c r="G78" s="131" t="s">
        <v>1545</v>
      </c>
      <c r="M78" s="131" t="s">
        <v>1546</v>
      </c>
      <c r="N78" s="131" t="s">
        <v>1488</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1545</v>
      </c>
      <c r="C79" s="131" t="s">
        <v>1087</v>
      </c>
      <c r="D79" s="131" t="s">
        <v>1569</v>
      </c>
      <c r="E79" s="131" t="s">
        <v>1532</v>
      </c>
      <c r="F79" s="131" t="s">
        <v>1535</v>
      </c>
      <c r="G79" s="131" t="s">
        <v>1545</v>
      </c>
      <c r="M79" s="131" t="s">
        <v>1546</v>
      </c>
      <c r="N79" s="131" t="s">
        <v>1488</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1545</v>
      </c>
      <c r="C80" s="131" t="s">
        <v>1087</v>
      </c>
      <c r="D80" s="131" t="s">
        <v>1569</v>
      </c>
      <c r="E80" s="131" t="s">
        <v>1532</v>
      </c>
      <c r="F80" s="131" t="s">
        <v>1535</v>
      </c>
      <c r="G80" s="131" t="s">
        <v>1545</v>
      </c>
      <c r="M80" s="131" t="s">
        <v>1546</v>
      </c>
      <c r="N80" s="131" t="s">
        <v>1488</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1547</v>
      </c>
      <c r="C81" s="131" t="s">
        <v>1087</v>
      </c>
      <c r="D81" s="131" t="s">
        <v>1569</v>
      </c>
      <c r="E81" s="131" t="s">
        <v>1532</v>
      </c>
      <c r="F81" s="131" t="s">
        <v>1535</v>
      </c>
      <c r="G81" s="131" t="s">
        <v>1547</v>
      </c>
      <c r="M81" s="131" t="s">
        <v>1548</v>
      </c>
      <c r="N81" s="131" t="s">
        <v>1488</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1547</v>
      </c>
      <c r="C82" s="131" t="s">
        <v>1087</v>
      </c>
      <c r="D82" s="131" t="s">
        <v>1569</v>
      </c>
      <c r="E82" s="131" t="s">
        <v>1532</v>
      </c>
      <c r="F82" s="131" t="s">
        <v>1535</v>
      </c>
      <c r="G82" s="131" t="s">
        <v>1547</v>
      </c>
      <c r="M82" s="131" t="s">
        <v>1548</v>
      </c>
      <c r="N82" s="131" t="s">
        <v>1488</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1547</v>
      </c>
      <c r="C83" s="131" t="s">
        <v>1087</v>
      </c>
      <c r="D83" s="131" t="s">
        <v>1569</v>
      </c>
      <c r="E83" s="131" t="s">
        <v>1532</v>
      </c>
      <c r="F83" s="131" t="s">
        <v>1535</v>
      </c>
      <c r="G83" s="131" t="s">
        <v>1547</v>
      </c>
      <c r="M83" s="131" t="s">
        <v>1548</v>
      </c>
      <c r="N83" s="131" t="s">
        <v>1488</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1547</v>
      </c>
      <c r="C84" s="131" t="s">
        <v>1087</v>
      </c>
      <c r="D84" s="131" t="s">
        <v>1569</v>
      </c>
      <c r="E84" s="131" t="s">
        <v>1532</v>
      </c>
      <c r="F84" s="131" t="s">
        <v>1535</v>
      </c>
      <c r="G84" s="131" t="s">
        <v>1547</v>
      </c>
      <c r="M84" s="131" t="s">
        <v>1548</v>
      </c>
      <c r="N84" s="131" t="s">
        <v>1488</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1547</v>
      </c>
      <c r="C85" s="131" t="s">
        <v>1087</v>
      </c>
      <c r="D85" s="131" t="s">
        <v>1569</v>
      </c>
      <c r="E85" s="131" t="s">
        <v>1532</v>
      </c>
      <c r="F85" s="131" t="s">
        <v>1535</v>
      </c>
      <c r="G85" s="131" t="s">
        <v>1547</v>
      </c>
      <c r="M85" s="131" t="s">
        <v>1548</v>
      </c>
      <c r="N85" s="131" t="s">
        <v>1488</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1547</v>
      </c>
      <c r="C86" s="131" t="s">
        <v>1087</v>
      </c>
      <c r="D86" s="131" t="s">
        <v>1569</v>
      </c>
      <c r="E86" s="131" t="s">
        <v>1532</v>
      </c>
      <c r="F86" s="131" t="s">
        <v>1535</v>
      </c>
      <c r="G86" s="131" t="s">
        <v>1547</v>
      </c>
      <c r="M86" s="131" t="s">
        <v>1548</v>
      </c>
      <c r="N86" s="131" t="s">
        <v>1488</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1547</v>
      </c>
      <c r="C87" s="131" t="s">
        <v>1087</v>
      </c>
      <c r="D87" s="131" t="s">
        <v>1569</v>
      </c>
      <c r="E87" s="131" t="s">
        <v>1532</v>
      </c>
      <c r="F87" s="131" t="s">
        <v>1535</v>
      </c>
      <c r="G87" s="131" t="s">
        <v>1547</v>
      </c>
      <c r="M87" s="131" t="s">
        <v>1548</v>
      </c>
      <c r="N87" s="131" t="s">
        <v>1488</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1550</v>
      </c>
      <c r="C88" s="131" t="s">
        <v>1087</v>
      </c>
      <c r="D88" s="131" t="s">
        <v>1569</v>
      </c>
      <c r="E88" s="131" t="s">
        <v>1549</v>
      </c>
      <c r="F88" s="131" t="s">
        <v>1550</v>
      </c>
      <c r="M88" s="131" t="s">
        <v>1551</v>
      </c>
      <c r="N88" s="131" t="s">
        <v>1488</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1550</v>
      </c>
      <c r="C89" s="131" t="s">
        <v>1087</v>
      </c>
      <c r="D89" s="131" t="s">
        <v>1569</v>
      </c>
      <c r="E89" s="131" t="s">
        <v>1549</v>
      </c>
      <c r="F89" s="131" t="s">
        <v>1550</v>
      </c>
      <c r="M89" s="131" t="s">
        <v>1551</v>
      </c>
      <c r="N89" s="131" t="s">
        <v>1488</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1550</v>
      </c>
      <c r="C90" s="131" t="s">
        <v>1087</v>
      </c>
      <c r="D90" s="131" t="s">
        <v>1569</v>
      </c>
      <c r="E90" s="131" t="s">
        <v>1549</v>
      </c>
      <c r="F90" s="131" t="s">
        <v>1550</v>
      </c>
      <c r="M90" s="131" t="s">
        <v>1551</v>
      </c>
      <c r="N90" s="131" t="s">
        <v>1488</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1552</v>
      </c>
      <c r="C91" s="131" t="s">
        <v>1087</v>
      </c>
      <c r="D91" s="131" t="s">
        <v>1569</v>
      </c>
      <c r="E91" s="131" t="s">
        <v>1549</v>
      </c>
      <c r="F91" s="131" t="s">
        <v>1552</v>
      </c>
      <c r="M91" s="131" t="s">
        <v>1553</v>
      </c>
      <c r="N91" s="131" t="s">
        <v>1488</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1555</v>
      </c>
      <c r="C92" s="131" t="s">
        <v>1087</v>
      </c>
      <c r="D92" s="131" t="s">
        <v>1570</v>
      </c>
      <c r="E92" s="131" t="s">
        <v>1554</v>
      </c>
      <c r="F92" s="131" t="s">
        <v>1555</v>
      </c>
      <c r="M92" s="131" t="s">
        <v>1556</v>
      </c>
      <c r="N92" s="131" t="s">
        <v>1488</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1558</v>
      </c>
      <c r="C93" s="131" t="s">
        <v>1087</v>
      </c>
      <c r="D93" s="131" t="s">
        <v>1570</v>
      </c>
      <c r="E93" s="131" t="s">
        <v>1557</v>
      </c>
      <c r="F93" s="131" t="s">
        <v>1558</v>
      </c>
      <c r="M93" s="131" t="s">
        <v>1559</v>
      </c>
      <c r="N93" s="131" t="s">
        <v>1488</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1560</v>
      </c>
      <c r="C94" s="131" t="s">
        <v>1087</v>
      </c>
      <c r="D94" s="131" t="s">
        <v>1570</v>
      </c>
      <c r="E94" s="131" t="s">
        <v>1557</v>
      </c>
      <c r="F94" s="131" t="s">
        <v>1560</v>
      </c>
      <c r="M94" s="131" t="s">
        <v>1561</v>
      </c>
      <c r="N94" s="131" t="s">
        <v>1488</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1562</v>
      </c>
      <c r="C95" s="131" t="s">
        <v>1087</v>
      </c>
      <c r="D95" s="131" t="s">
        <v>1570</v>
      </c>
      <c r="E95" s="131" t="s">
        <v>1557</v>
      </c>
      <c r="F95" s="131" t="s">
        <v>1562</v>
      </c>
      <c r="M95" s="131" t="s">
        <v>1563</v>
      </c>
      <c r="N95" s="131" t="s">
        <v>1488</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1564</v>
      </c>
      <c r="C96" s="131" t="s">
        <v>1087</v>
      </c>
      <c r="D96" s="131" t="s">
        <v>1570</v>
      </c>
      <c r="E96" s="131" t="s">
        <v>1557</v>
      </c>
      <c r="F96" s="131" t="s">
        <v>1564</v>
      </c>
      <c r="M96" s="131" t="s">
        <v>1565</v>
      </c>
      <c r="N96" s="131" t="s">
        <v>1488</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1413</v>
      </c>
      <c r="J1" s="137" t="s">
        <v>558</v>
      </c>
      <c r="K1" s="137" t="s">
        <v>1309</v>
      </c>
      <c r="L1" s="94" t="s">
        <v>123</v>
      </c>
      <c r="M1" s="94" t="s">
        <v>1412</v>
      </c>
      <c r="N1" s="137" t="s">
        <v>1416</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maxk0</cp:lastModifiedBy>
  <cp:lastPrinted>2021-01-01T13:36:29Z</cp:lastPrinted>
  <dcterms:created xsi:type="dcterms:W3CDTF">2018-02-18T09:45:14Z</dcterms:created>
  <dcterms:modified xsi:type="dcterms:W3CDTF">2023-06-09T09:52:18Z</dcterms:modified>
</cp:coreProperties>
</file>