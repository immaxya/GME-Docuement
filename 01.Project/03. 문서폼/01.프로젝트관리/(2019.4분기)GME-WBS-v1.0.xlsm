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ThisWorkbook"/>
  <mc:AlternateContent xmlns:mc="http://schemas.openxmlformats.org/markup-compatibility/2006">
    <mc:Choice Requires="x15">
      <x15ac:absPath xmlns:x15ac="http://schemas.microsoft.com/office/spreadsheetml/2010/11/ac" url="D:\12.Document\01.Project\00. 스케쥴\01. 2019년\"/>
    </mc:Choice>
  </mc:AlternateContent>
  <xr:revisionPtr revIDLastSave="0" documentId="13_ncr:1_{67ABAC68-B853-4F42-A512-89478CA48ED8}" xr6:coauthVersionLast="45" xr6:coauthVersionMax="45" xr10:uidLastSave="{00000000-0000-0000-0000-000000000000}"/>
  <bookViews>
    <workbookView xWindow="-28920" yWindow="-120" windowWidth="29040" windowHeight="15840"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9"/>
  <externalReferences>
    <externalReference r:id="rId8"/>
  </externalReferences>
  <definedNames>
    <definedName name="_xlnm._FilterDatabase" localSheetId="3" hidden="1">Schedule!$M$3:$AB$320</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S5" i="2" l="1"/>
  <c r="BQ7" i="2"/>
  <c r="BQ8" i="2"/>
  <c r="BR9" i="2"/>
  <c r="BR10" i="2"/>
  <c r="BS11" i="2"/>
  <c r="BR13" i="2"/>
  <c r="BV13" i="2"/>
  <c r="BR14" i="2"/>
  <c r="BS15" i="2"/>
  <c r="BS19" i="2"/>
  <c r="BV20" i="2"/>
  <c r="BT22" i="2"/>
  <c r="BX22" i="2"/>
  <c r="BT23" i="2"/>
  <c r="BX29" i="2"/>
  <c r="BQ67" i="2"/>
  <c r="BT67" i="2"/>
  <c r="BQ68" i="2"/>
  <c r="BR71" i="2"/>
  <c r="BS73" i="2"/>
  <c r="BT74" i="2"/>
  <c r="D29" i="4" l="1"/>
  <c r="E7" i="4"/>
  <c r="H121" i="8"/>
  <c r="D1" i="2"/>
  <c r="F7" i="4" l="1"/>
  <c r="E8" i="4"/>
  <c r="F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9" i="4" l="1"/>
  <c r="E10" i="4" s="1"/>
  <c r="B24" i="3"/>
  <c r="AB1" i="2"/>
  <c r="AB2" i="2"/>
  <c r="F9" i="4" l="1"/>
  <c r="E11" i="4"/>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<sst xmlns="http://schemas.openxmlformats.org/spreadsheetml/2006/main" count="1750" uniqueCount="1279">
  <si>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</si>
  <si>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</si>
  <si>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</si>
  <si>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</si>
  <si>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</si>
  <si>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</si>
  <si>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</si>
  <si>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</si>
  <si>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</si>
  <si>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</si>
  <si>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</si>
  <si>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</si>
  <si>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</si>
  <si>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</si>
  <si>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</si>
  <si>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</si>
  <si>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</si>
  <si>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</si>
  <si>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</si>
  <si>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</si>
  <si>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</si>
  <si>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</si>
  <si>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</si>
  <si>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</si>
  <si>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</si>
  <si>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</si>
  <si>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</si>
  <si>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</si>
  <si>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</si>
  <si>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</si>
  <si>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</si>
  <si>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</si>
  <si>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</si>
  <si>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</si>
  <si>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</si>
  <si>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</si>
  <si>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</si>
  <si>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</si>
  <si>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</si>
  <si>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</si>
  <si>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</si>
  <si>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</si>
  <si>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</si>
  <si>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</si>
  <si>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</si>
  <si>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</si>
  <si>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</si>
  <si>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</si>
  <si>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</si>
  <si>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</si>
  <si>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</si>
  <si>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</si>
  <si>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</si>
  <si>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</si>
  <si>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</si>
  <si>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</si>
  <si>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</si>
  <si>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</si>
  <si>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</si>
  <si>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</si>
  <si>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</si>
  <si>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</si>
  <si>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</si>
  <si>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</si>
  <si>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</si>
  <si>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</si>
  <si>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</si>
  <si>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</si>
  <si>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</si>
  <si>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</si>
  <si>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</si>
  <si>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</si>
  <si>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</si>
  <si>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</si>
  <si>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</si>
  <si>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</si>
  <si>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</si>
  <si>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</si>
  <si>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</si>
  <si>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</si>
  <si>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</si>
  <si>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</si>
  <si>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</si>
  <si>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</si>
  <si>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</si>
  <si>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</si>
  <si>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</si>
  <si>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</si>
  <si>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</si>
  <si>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</si>
  <si>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</si>
  <si>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</si>
  <si>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</si>
  <si>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</si>
  <si>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</si>
  <si>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</si>
  <si>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</si>
  <si>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</si>
  <si>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</si>
  <si>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</si>
  <si>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</si>
  <si>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</si>
  <si>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</si>
  <si>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</si>
  <si>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</si>
  <si>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</si>
  <si>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</si>
  <si>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</si>
  <si>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</si>
  <si>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</si>
  <si>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</si>
  <si>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</si>
  <si>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</si>
  <si>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</si>
  <si>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</si>
  <si>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</si>
  <si>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</si>
  <si>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</si>
  <si>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</si>
  <si>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</si>
  <si>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</si>
  <si>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</si>
  <si>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</si>
  <si>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</si>
  <si>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</si>
  <si>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</si>
  <si>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</si>
  <si>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</si>
  <si>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</si>
  <si>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</si>
  <si>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</si>
  <si>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</si>
  <si>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</si>
  <si>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</si>
  <si>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</si>
  <si>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</si>
  <si>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</si>
  <si>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</si>
  <si>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</si>
  <si>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</si>
  <si>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</si>
  <si>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</si>
  <si>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</si>
  <si>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</si>
  <si>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</si>
  <si>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</si>
  <si>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</si>
  <si>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</si>
  <si>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</si>
  <si>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</si>
  <si>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</si>
  <si>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</si>
  <si>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</si>
  <si>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</si>
  <si>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</si>
  <si>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</si>
  <si>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</si>
  <si>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</si>
  <si>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</si>
  <si>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</si>
  <si>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</si>
  <si>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</si>
  <si>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</si>
  <si>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</si>
  <si>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</si>
  <si>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</si>
  <si>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</si>
  <si>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</si>
  <si>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</si>
  <si>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</si>
  <si>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</si>
  <si>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</si>
  <si>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</si>
  <si>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</si>
  <si>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</si>
  <si>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</si>
  <si>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</si>
  <si>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</si>
  <si>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</si>
  <si>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</si>
  <si>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</si>
  <si>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</si>
  <si>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</si>
  <si>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</si>
  <si>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</si>
  <si>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</si>
  <si>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</si>
  <si>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</si>
  <si>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</si>
  <si>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</si>
  <si>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</si>
  <si>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</si>
  <si>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</si>
  <si>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</si>
  <si>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</si>
  <si>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</si>
  <si>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</si>
  <si>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</si>
  <si>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</si>
  <si>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</si>
  <si>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</si>
  <si>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</si>
  <si>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</si>
  <si>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</si>
  <si>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</si>
  <si>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</si>
  <si>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</si>
  <si>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</si>
  <si>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</si>
  <si>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</si>
  <si>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</si>
  <si>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</si>
  <si>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</si>
  <si>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</si>
  <si>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</si>
  <si>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</si>
  <si>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</si>
  <si>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</si>
  <si>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</si>
  <si>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</si>
  <si>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</si>
  <si>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</si>
  <si>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</si>
  <si>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</si>
  <si>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</si>
  <si>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</si>
  <si>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</si>
  <si>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</si>
  <si>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</si>
  <si>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</si>
  <si>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</si>
  <si>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</si>
  <si>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</si>
  <si>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</si>
  <si>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</si>
  <si>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</si>
  <si>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</si>
  <si>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</si>
  <si>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</si>
  <si>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</si>
  <si>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</si>
  <si>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</si>
  <si>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</si>
  <si>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</si>
  <si>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</si>
  <si>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</si>
  <si>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</si>
  <si>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</si>
  <si>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</si>
  <si>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</si>
  <si>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</si>
  <si>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</si>
  <si>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</si>
  <si>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</si>
  <si>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</si>
  <si>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</si>
  <si>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</si>
  <si>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</si>
  <si>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</si>
  <si>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</si>
  <si>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</si>
  <si>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</si>
  <si>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</si>
  <si>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</si>
  <si>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</si>
  <si>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</si>
  <si>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</si>
  <si>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</si>
  <si>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</si>
  <si>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</si>
  <si>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</si>
  <si>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</si>
  <si>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</si>
  <si>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</si>
  <si>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</si>
  <si>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</si>
  <si>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</si>
  <si>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</si>
  <si>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</si>
  <si>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</si>
  <si>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</si>
  <si>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</si>
  <si>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</si>
  <si>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</si>
  <si>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</si>
  <si>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</si>
  <si>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</si>
  <si>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</si>
  <si>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</si>
  <si>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</si>
  <si>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</si>
  <si>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</si>
  <si>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</si>
  <si>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</si>
  <si>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</si>
  <si>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</si>
  <si>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</si>
  <si>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</si>
  <si>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</si>
  <si>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</si>
  <si>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</si>
  <si>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</si>
  <si>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</si>
  <si>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</si>
  <si>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</si>
  <si>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</si>
  <si>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</si>
  <si>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</si>
  <si>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</si>
  <si>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</si>
  <si>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</si>
  <si>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</si>
  <si>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</si>
  <si>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</si>
  <si>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</si>
  <si>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</si>
  <si>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</si>
  <si>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</si>
  <si>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</si>
  <si>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</si>
  <si>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</si>
  <si>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</si>
  <si>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</si>
  <si>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</si>
  <si>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</si>
  <si>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</si>
  <si>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</si>
  <si>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</si>
  <si>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</si>
  <si>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</si>
  <si>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</si>
  <si>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</si>
  <si>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</si>
  <si>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</si>
  <si>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</si>
  <si>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</si>
  <si>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</si>
  <si>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</si>
  <si>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</si>
  <si>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</si>
  <si>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</si>
  <si>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</si>
  <si>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</si>
  <si>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</si>
  <si>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</si>
  <si>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</si>
  <si>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</si>
  <si>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</si>
  <si>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</si>
  <si>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</si>
  <si>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</si>
  <si>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</si>
  <si>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</si>
  <si>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</si>
  <si>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</si>
  <si>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</si>
  <si>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</si>
  <si>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</si>
  <si>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</si>
  <si>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</si>
  <si>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</si>
  <si>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</si>
  <si>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</si>
  <si>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</si>
  <si>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</si>
  <si>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</si>
  <si>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</si>
  <si>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</si>
  <si>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</si>
  <si>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</si>
  <si>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</si>
  <si>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</si>
  <si>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</si>
  <si>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</si>
  <si>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</si>
  <si>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</si>
  <si>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</si>
  <si>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</si>
  <si>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</si>
  <si>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</si>
  <si>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</si>
  <si>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</si>
  <si>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</si>
  <si>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</si>
  <si>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</si>
  <si>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</si>
  <si>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</si>
  <si>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</si>
  <si>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</si>
  <si>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</si>
  <si>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</si>
  <si>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</si>
  <si>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</si>
  <si>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</si>
  <si>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</si>
  <si>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</si>
  <si>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</si>
  <si>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</si>
  <si>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</si>
  <si>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</si>
  <si>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</si>
  <si>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</si>
  <si>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</si>
  <si>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</si>
  <si>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</si>
  <si>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</si>
  <si>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</si>
  <si>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</si>
  <si>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</si>
  <si>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</si>
  <si>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</si>
  <si>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</si>
  <si>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</si>
  <si>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</si>
  <si>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</si>
  <si>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</si>
  <si>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</si>
  <si>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</si>
  <si>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</si>
  <si>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</si>
  <si>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</si>
  <si>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</si>
  <si>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</si>
  <si>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</si>
  <si>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</si>
  <si>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</si>
  <si>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</si>
  <si>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</si>
  <si>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</si>
  <si>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</si>
  <si>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</si>
  <si>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</si>
  <si>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</si>
  <si>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</si>
  <si>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</si>
  <si>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</si>
  <si>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</si>
  <si>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</si>
  <si>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</si>
  <si>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</si>
  <si>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</si>
  <si>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</si>
  <si>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</si>
  <si>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</si>
  <si>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</si>
  <si>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</si>
  <si>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</si>
  <si>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</si>
  <si>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</si>
  <si>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</si>
  <si>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</si>
  <si>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</si>
  <si>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</si>
  <si>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</si>
  <si>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</si>
  <si>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</si>
  <si>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</si>
  <si>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</si>
  <si>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</si>
  <si>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</si>
  <si>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</si>
  <si>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</si>
  <si>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</si>
  <si>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</si>
  <si>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</si>
  <si>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</si>
  <si>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</si>
  <si>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</si>
  <si>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</si>
  <si>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</si>
  <si>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</si>
  <si>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</si>
  <si>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</si>
  <si>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</si>
  <si>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</si>
  <si>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</si>
  <si>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</si>
  <si>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</si>
  <si>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</si>
  <si>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</si>
  <si>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</si>
  <si>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</si>
  <si>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</si>
  <si>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</si>
  <si>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</si>
  <si>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</si>
  <si>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</si>
  <si>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</si>
  <si>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</si>
  <si>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</si>
  <si>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</si>
  <si>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</si>
  <si>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</si>
  <si>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</si>
  <si>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</si>
  <si>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</si>
  <si>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</si>
  <si>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</si>
  <si>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</si>
  <si>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</si>
  <si>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</si>
  <si>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</si>
  <si>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</si>
  <si>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</si>
  <si>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</si>
  <si>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</si>
  <si>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</si>
  <si>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</si>
  <si>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</si>
  <si>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</si>
  <si>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</si>
  <si>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</si>
  <si>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</si>
  <si>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</si>
  <si>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</si>
  <si>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</si>
  <si>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</si>
  <si>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</si>
  <si>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</si>
  <si>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</si>
  <si>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</si>
  <si>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</si>
  <si>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</si>
  <si>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</si>
  <si>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</si>
  <si>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</si>
  <si>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</si>
  <si>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</si>
  <si>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</si>
  <si>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</si>
  <si>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</si>
  <si>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</si>
  <si>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</si>
  <si>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</si>
  <si>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</si>
  <si>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</si>
  <si>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</si>
  <si>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</si>
  <si>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</si>
  <si>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</si>
  <si>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</si>
  <si>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</si>
  <si>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</si>
  <si>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</si>
  <si>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</si>
  <si>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</si>
  <si>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</si>
  <si>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</si>
  <si>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</si>
  <si>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</si>
  <si>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</si>
  <si>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</si>
  <si>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</si>
  <si>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</si>
  <si>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</si>
  <si>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</si>
  <si>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</si>
  <si>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</si>
  <si>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</si>
  <si>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</si>
  <si>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</si>
  <si>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</si>
  <si>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</si>
  <si>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</si>
  <si>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</si>
  <si>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</si>
  <si>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</si>
  <si>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</si>
  <si>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</si>
  <si>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</si>
  <si>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</si>
  <si>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</si>
  <si>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</si>
  <si>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</si>
  <si>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</si>
  <si>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</si>
  <si>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</si>
  <si>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</si>
  <si>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</si>
  <si>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</si>
  <si>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</si>
  <si>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</si>
  <si>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</si>
  <si>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</si>
  <si>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</si>
  <si>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</si>
  <si>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</si>
  <si>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</si>
  <si>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</si>
  <si>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</si>
  <si>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</si>
  <si>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</si>
  <si>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</si>
  <si>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</si>
  <si>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</si>
  <si>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</si>
  <si>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</si>
  <si>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</si>
  <si>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</si>
  <si>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</si>
  <si>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</si>
  <si>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</si>
  <si>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</si>
  <si>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</si>
  <si>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</si>
  <si>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</si>
  <si>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</si>
  <si>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</si>
  <si>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</si>
  <si>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</si>
  <si>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</si>
  <si>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</si>
  <si>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</si>
  <si>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</si>
  <si>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</si>
  <si>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</si>
  <si>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</si>
  <si>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</si>
  <si>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</si>
  <si>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</si>
  <si>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</si>
  <si>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</si>
  <si>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</si>
  <si>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</si>
  <si>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</si>
  <si>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</si>
  <si>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</si>
  <si>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</si>
  <si>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</si>
  <si>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</si>
  <si>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</si>
  <si>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</si>
  <si>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</si>
  <si>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</si>
  <si>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</si>
  <si>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</si>
  <si>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</si>
  <si>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</si>
  <si>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</si>
  <si>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</si>
  <si>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</si>
  <si>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</si>
  <si>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</si>
  <si>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</si>
  <si>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</si>
  <si>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</si>
  <si>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</si>
  <si>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</si>
  <si>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</si>
  <si>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</si>
  <si>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</si>
  <si>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</si>
  <si>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</si>
  <si>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</si>
  <si>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</si>
  <si>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</si>
  <si>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</si>
  <si>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</si>
  <si>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</si>
  <si>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</si>
  <si>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</si>
  <si>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</si>
  <si>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</si>
  <si>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</si>
  <si>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</si>
  <si>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</si>
  <si>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</si>
  <si>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</si>
  <si>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</si>
  <si>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</si>
  <si>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</si>
  <si>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</si>
  <si>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</si>
  <si>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</si>
  <si>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</si>
  <si>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</si>
  <si>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</si>
  <si>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</si>
  <si>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</si>
  <si>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</si>
  <si>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</si>
  <si>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</si>
  <si>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</si>
  <si>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</si>
  <si>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</si>
  <si>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</si>
  <si>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</si>
  <si>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</si>
  <si>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</si>
  <si>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</si>
  <si>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</si>
  <si>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</si>
  <si>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</si>
  <si>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</si>
  <si>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</si>
  <si>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</si>
  <si>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</si>
  <si>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</si>
  <si>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</si>
  <si>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</si>
  <si>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</si>
  <si>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</si>
  <si>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</si>
  <si>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</si>
  <si>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</si>
  <si>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</si>
  <si>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</si>
  <si>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</si>
  <si>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</si>
  <si>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</si>
  <si>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</si>
  <si>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</si>
  <si>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</si>
  <si>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</si>
  <si>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</si>
  <si>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</si>
  <si>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</si>
  <si>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</si>
  <si>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</si>
  <si>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</si>
  <si>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</si>
  <si>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</si>
  <si>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</si>
  <si>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</si>
  <si>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</si>
  <si>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</si>
  <si>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</si>
  <si>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</si>
  <si>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</si>
  <si>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</si>
  <si>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</si>
  <si>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</si>
  <si>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</si>
  <si>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</si>
  <si>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</si>
  <si>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</si>
  <si>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</si>
  <si>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</si>
  <si>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</si>
  <si>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</si>
  <si>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</si>
  <si>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</si>
  <si>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</si>
  <si>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</si>
  <si>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</si>
  <si>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</si>
  <si>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</si>
  <si>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</si>
  <si>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</si>
  <si>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</si>
  <si>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</si>
  <si>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</si>
  <si>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</si>
  <si>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</si>
  <si>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</si>
  <si>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</si>
  <si>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</si>
  <si>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</si>
  <si>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</si>
  <si>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</si>
  <si>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</si>
  <si>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</si>
  <si>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</si>
  <si>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</si>
  <si>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</si>
  <si>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</si>
  <si>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</si>
  <si>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</si>
  <si>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</si>
  <si>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</si>
  <si>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</si>
  <si>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</si>
  <si>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</si>
  <si>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</si>
  <si>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</si>
  <si>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</si>
  <si>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</si>
  <si>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</si>
  <si>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</si>
  <si>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</si>
  <si>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</si>
  <si>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</si>
  <si>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</si>
  <si>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</si>
  <si>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</si>
  <si>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</si>
  <si>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</si>
  <si>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</si>
  <si>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</si>
  <si>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</si>
  <si>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</si>
  <si>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</si>
  <si>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</si>
  <si>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</si>
  <si>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</si>
  <si>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</si>
  <si>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</si>
  <si>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</si>
  <si>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</si>
  <si>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</si>
  <si>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</si>
  <si>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</si>
  <si>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</si>
  <si>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</si>
  <si>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</si>
  <si>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</si>
  <si>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</si>
  <si>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</si>
  <si>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</si>
  <si>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</si>
  <si>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</si>
  <si>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</si>
  <si>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</si>
  <si>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</si>
  <si>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</si>
  <si>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</si>
  <si>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</si>
  <si>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</si>
  <si>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</si>
  <si>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</si>
  <si>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</si>
  <si>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</si>
  <si>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</si>
  <si>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</si>
  <si>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</si>
  <si>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</si>
  <si>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</si>
  <si>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</si>
  <si>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</si>
  <si>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</si>
  <si>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</si>
  <si>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</si>
  <si>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</si>
  <si>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</si>
  <si>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</si>
  <si>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</si>
  <si>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</si>
  <si>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</si>
  <si>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</si>
  <si>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</si>
  <si>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</si>
  <si>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</si>
  <si>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</si>
  <si>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</si>
  <si>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</si>
  <si>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</si>
  <si>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</si>
  <si>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</si>
  <si>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</si>
  <si>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</si>
  <si>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</si>
  <si>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</si>
  <si>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</si>
  <si>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</si>
  <si>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</si>
  <si>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</si>
  <si>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</si>
  <si>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</si>
  <si>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</si>
  <si>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</si>
  <si>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</si>
  <si>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</si>
  <si>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</si>
  <si>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</si>
  <si>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</si>
  <si>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</si>
  <si>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</si>
  <si>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</si>
  <si>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</si>
  <si>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</si>
  <si>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</si>
  <si>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</si>
  <si>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</si>
  <si>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</si>
  <si>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</si>
  <si>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</si>
  <si>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</si>
  <si>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</si>
  <si>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</si>
  <si>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</si>
  <si>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</si>
  <si>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</si>
  <si>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</si>
  <si>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</si>
  <si>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</si>
  <si>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</si>
  <si>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</si>
  <si>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</si>
  <si>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</si>
  <si>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</si>
  <si>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</si>
  <si>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</si>
  <si>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</si>
  <si>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</si>
  <si>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</si>
  <si>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</si>
  <si>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</si>
  <si>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</si>
  <si>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</si>
  <si>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</si>
  <si>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</si>
  <si>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</si>
  <si>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</si>
  <si>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</si>
  <si>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</si>
  <si>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</si>
  <si>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</si>
  <si>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</si>
  <si>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</si>
  <si>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</si>
  <si>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</si>
  <si>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</si>
  <si>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</si>
  <si>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</si>
  <si>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</si>
  <si>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</si>
  <si>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</si>
  <si>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</si>
  <si>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</si>
  <si>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</si>
  <si>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</si>
  <si>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</si>
  <si>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</si>
  <si>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</si>
  <si>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</si>
  <si>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</si>
  <si>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</si>
  <si>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</si>
  <si>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</si>
  <si>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</si>
  <si>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</si>
  <si>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</si>
  <si>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</si>
  <si>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</si>
  <si>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</si>
  <si>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</si>
  <si>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</si>
  <si>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</si>
  <si>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</si>
  <si>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</si>
  <si>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</si>
  <si>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</si>
  <si>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</si>
  <si>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</si>
  <si>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</si>
  <si>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</si>
  <si>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</si>
  <si>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</si>
  <si>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</si>
  <si>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</si>
  <si>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</si>
  <si>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</si>
  <si>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</si>
  <si>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</si>
  <si>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</si>
  <si>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</si>
  <si>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</si>
  <si>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</si>
  <si>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</si>
  <si>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</si>
  <si>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</si>
  <si>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</si>
  <si>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</si>
  <si>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</si>
  <si>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</si>
  <si>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</si>
  <si>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</si>
  <si>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</si>
  <si>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</si>
  <si>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</si>
  <si>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</si>
  <si>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</si>
  <si>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</si>
  <si>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</si>
  <si>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</si>
  <si>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</si>
  <si>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</si>
  <si>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</si>
  <si>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</si>
  <si>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</si>
  <si>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</si>
  <si>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</si>
  <si>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</si>
  <si>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</si>
  <si>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</si>
  <si>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</si>
  <si>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</si>
  <si>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</si>
  <si>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</si>
  <si>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</si>
  <si>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</si>
  <si>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</si>
  <si>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</si>
  <si>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</si>
  <si>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</si>
  <si>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</si>
  <si>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</si>
  <si>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중간보고</t>
  </si>
  <si>
    <t>UI 설계</t>
  </si>
  <si>
    <t>2.2.2.1</t>
  </si>
  <si>
    <t>Architecture설계</t>
  </si>
  <si>
    <t>2.2.2.2</t>
  </si>
  <si>
    <t>데이터베이스설계</t>
  </si>
  <si>
    <t>2.2.2.3</t>
  </si>
  <si>
    <t>프로그램설계</t>
  </si>
  <si>
    <t>테스트 설계</t>
  </si>
  <si>
    <t>2.3.1.1</t>
  </si>
  <si>
    <t>단위테스트시나리오작성</t>
  </si>
  <si>
    <t>2.3.1.2.1.1</t>
  </si>
  <si>
    <t>프로그램A</t>
  </si>
  <si>
    <t>2.3.1.2.1.2</t>
  </si>
  <si>
    <t>프로그램B</t>
  </si>
  <si>
    <t>2.3.1.2.1.3</t>
  </si>
  <si>
    <t>프로그램C</t>
  </si>
  <si>
    <t>2.3.1.2.2</t>
  </si>
  <si>
    <t>모듈B</t>
  </si>
  <si>
    <t>2.3.1.2.3</t>
  </si>
  <si>
    <t>모듈C</t>
  </si>
  <si>
    <t>2.3.1.2.4</t>
  </si>
  <si>
    <t>모듈D</t>
  </si>
  <si>
    <t>2.3.2.1</t>
  </si>
  <si>
    <t>통합테스트실시</t>
  </si>
  <si>
    <t>2.3.2.2</t>
  </si>
  <si>
    <t>시스템테스트실시</t>
  </si>
  <si>
    <t>2.4.1.1</t>
  </si>
  <si>
    <t>Release 및 Contingency plan수립</t>
  </si>
  <si>
    <t>2.4.2.1</t>
  </si>
  <si>
    <t>데이터베이스구축</t>
  </si>
  <si>
    <t>2.4.2.2</t>
  </si>
  <si>
    <t>소프트웨어설치</t>
  </si>
  <si>
    <t>2.4.2.3</t>
  </si>
  <si>
    <t>인수테스트실시</t>
  </si>
  <si>
    <t>2.4.2.4</t>
  </si>
  <si>
    <t>시스템오픈</t>
  </si>
  <si>
    <t>정길동</t>
  </si>
  <si>
    <t>유아인</t>
  </si>
  <si>
    <t>김아키</t>
  </si>
  <si>
    <t>김디비</t>
  </si>
  <si>
    <t>김프로</t>
  </si>
  <si>
    <t>이개발</t>
  </si>
  <si>
    <t>박개발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</si>
  <si>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</si>
  <si>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</si>
  <si>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</si>
  <si>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</si>
  <si>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</si>
  <si>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</si>
  <si>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</si>
  <si>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</si>
  <si>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</si>
  <si>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</si>
  <si>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</si>
  <si>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</si>
  <si>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</si>
  <si>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</si>
  <si>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</si>
  <si>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</si>
  <si>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</si>
  <si>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</si>
  <si>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</si>
  <si>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</si>
  <si>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</si>
  <si>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</si>
  <si>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2</t>
  </si>
  <si>
    <t>2.1</t>
  </si>
  <si>
    <t>2.2</t>
  </si>
  <si>
    <t>메모장</t>
    <phoneticPr fontId="8" type="noConversion"/>
  </si>
  <si>
    <t>Display font color to the gray for the completed tasks</t>
    <phoneticPr fontId="2" type="noConversion"/>
  </si>
  <si>
    <t>ace</t>
    <phoneticPr fontId="8" type="noConversion"/>
  </si>
  <si>
    <t>txt</t>
    <phoneticPr fontId="8" type="noConversion"/>
  </si>
  <si>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</si>
  <si>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</si>
  <si>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</si>
  <si>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</si>
  <si>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</si>
  <si>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</si>
  <si>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</si>
  <si>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</si>
  <si>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</si>
  <si>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</si>
  <si>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</si>
  <si>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</si>
  <si>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</si>
  <si>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</si>
  <si>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</si>
  <si>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</si>
  <si>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</si>
  <si>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</si>
  <si>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</si>
  <si>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</si>
  <si>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</si>
  <si>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</si>
  <si>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</si>
  <si>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</si>
  <si>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</si>
  <si>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</si>
  <si>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</si>
  <si>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</si>
  <si>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가중치</t>
    <phoneticPr fontId="8" type="noConversion"/>
  </si>
  <si>
    <t>자동지정</t>
    <phoneticPr fontId="8" type="noConversion"/>
  </si>
  <si>
    <t>doc*</t>
    <phoneticPr fontId="8" type="noConversion"/>
  </si>
  <si>
    <t>Auto CAD</t>
    <phoneticPr fontId="8" type="noConversion"/>
  </si>
  <si>
    <t>실적*</t>
    <phoneticPr fontId="8" type="noConversion"/>
  </si>
  <si>
    <t>아크로에디터</t>
    <phoneticPr fontId="8" type="noConversion"/>
  </si>
  <si>
    <t>C:\WINDOWS\system32\notepad.exe</t>
    <phoneticPr fontId="8" type="noConversion"/>
  </si>
  <si>
    <t>비고</t>
    <phoneticPr fontId="8" type="noConversion"/>
  </si>
  <si>
    <t>실제_x000D_
완료일</t>
    <phoneticPr fontId="8" type="noConversion"/>
  </si>
  <si>
    <t>WBS</t>
    <phoneticPr fontId="8" type="noConversion"/>
  </si>
  <si>
    <t>작업*</t>
    <phoneticPr fontId="8" type="noConversion"/>
  </si>
  <si>
    <t>완료일*</t>
    <phoneticPr fontId="8" type="noConversion"/>
  </si>
  <si>
    <t>실제_x000D_
총기간</t>
    <phoneticPr fontId="8" type="noConversion"/>
  </si>
  <si>
    <t>워드</t>
    <phoneticPr fontId="8" type="noConversion"/>
  </si>
  <si>
    <t>xls*</t>
    <phoneticPr fontId="8" type="noConversion"/>
  </si>
  <si>
    <t>cad</t>
    <phoneticPr fontId="8" type="noConversion"/>
  </si>
  <si>
    <t>계획진척율(주별)</t>
  </si>
  <si>
    <t>* 주별로 프로젝트의 계획진적율을 보여줍니다.</t>
  </si>
  <si>
    <t>* "계획진척율" 메뉴를 클릭해야 갱신됨</t>
  </si>
  <si>
    <t>누적_x000D_
Man-Day</t>
  </si>
  <si>
    <t>진척율</t>
  </si>
  <si>
    <t>산출물</t>
    <phoneticPr fontId="8" type="noConversion"/>
  </si>
  <si>
    <t>일정변경관리 하지 않을 때 현재까지 실제로 진행된 작업기간을 표시함(총기간 x 총실적진행율)</t>
    <phoneticPr fontId="8" type="noConversion"/>
  </si>
  <si>
    <t>시작일*</t>
    <phoneticPr fontId="8" type="noConversion"/>
  </si>
  <si>
    <t>총_x000D_
기간</t>
    <phoneticPr fontId="8" type="noConversion"/>
  </si>
  <si>
    <t>계획</t>
    <phoneticPr fontId="8" type="noConversion"/>
  </si>
  <si>
    <t>{"TASK_FIRST_COL":"5","START_ROW":"5","WBS_AREA_LAST_COL":"28"}</t>
    <phoneticPr fontId="8" type="noConversion"/>
  </si>
  <si>
    <t>SCHEDULE_SHEET_POSITION:3545121314151617181920212223242526272829</t>
    <phoneticPr fontId="2" type="noConversion"/>
  </si>
  <si>
    <t>담당</t>
    <phoneticPr fontId="8" type="noConversion"/>
  </si>
  <si>
    <t>wbs_level</t>
    <phoneticPr fontId="8" type="noConversion"/>
  </si>
  <si>
    <t>3</t>
  </si>
  <si>
    <t>3.1</t>
  </si>
  <si>
    <t>TODAY</t>
    <phoneticPr fontId="2" type="noConversion"/>
  </si>
  <si>
    <t>DEFINED</t>
    <phoneticPr fontId="8" type="noConversion"/>
  </si>
  <si>
    <t>파워포인트</t>
    <phoneticPr fontId="8" type="noConversion"/>
  </si>
  <si>
    <t>ppt*</t>
    <phoneticPr fontId="8" type="noConversion"/>
  </si>
  <si>
    <t>엑셀</t>
    <phoneticPr fontId="8" type="noConversion"/>
  </si>
  <si>
    <t>c:\cad\cad\cad.exe</t>
    <phoneticPr fontId="8" type="noConversion"/>
  </si>
  <si>
    <t>c:\ace\aaa.exe</t>
    <phoneticPr fontId="8" type="noConversion"/>
  </si>
  <si>
    <t>E</t>
    <phoneticPr fontId="2" type="noConversion"/>
  </si>
  <si>
    <t>프로젝트 진행율 - 일정변경 관리하지 않을때</t>
    <phoneticPr fontId="8" type="noConversion"/>
  </si>
  <si>
    <t>3.2</t>
  </si>
  <si>
    <t>3.3</t>
  </si>
  <si>
    <t>4</t>
  </si>
  <si>
    <t>5</t>
  </si>
  <si>
    <t>5.1</t>
  </si>
  <si>
    <t>5.2</t>
  </si>
  <si>
    <t>5.3</t>
  </si>
  <si>
    <t>reserved</t>
    <phoneticPr fontId="8" type="noConversion"/>
  </si>
  <si>
    <t>task_group</t>
    <phoneticPr fontId="8" type="noConversion"/>
  </si>
  <si>
    <t>Calendar</t>
    <phoneticPr fontId="8" type="noConversion"/>
  </si>
  <si>
    <t>총_x000D_
작업량</t>
    <phoneticPr fontId="8" type="noConversion"/>
  </si>
  <si>
    <t>계획_x000D_
작업량</t>
    <phoneticPr fontId="8" type="noConversion"/>
  </si>
  <si>
    <t>계획_x000D_
기간</t>
    <phoneticPr fontId="8" type="noConversion"/>
  </si>
  <si>
    <t>실제_x000D_
시작일</t>
    <phoneticPr fontId="8" type="noConversion"/>
  </si>
  <si>
    <t>실제_x000D_
총작업량</t>
    <phoneticPr fontId="8" type="noConversion"/>
  </si>
  <si>
    <t>GME-Project</t>
    <phoneticPr fontId="2" type="noConversion"/>
  </si>
  <si>
    <t>D:\12.Document\01.Project\00. 스케쥴</t>
    <phoneticPr fontId="8" type="noConversion"/>
  </si>
  <si>
    <r>
      <t xml:space="preserve">  XLGantt 2.1.0 </t>
    </r>
    <r>
      <rPr>
        <b/>
        <sz val="14"/>
        <color rgb="FFFF8800"/>
        <rFont val="돋움"/>
        <family val="3"/>
        <charset val="129"/>
      </rPr>
      <t>ⓒ</t>
    </r>
    <r>
      <rPr>
        <b/>
        <sz val="14"/>
        <color rgb="FFFF8800"/>
        <rFont val="Calibri"/>
        <family val="2"/>
      </rPr>
      <t>XLWorks</t>
    </r>
    <phoneticPr fontId="8" type="noConversion"/>
  </si>
  <si>
    <t xml:space="preserve">  주별보기, Zoom 100%</t>
    <phoneticPr fontId="8" type="noConversion"/>
  </si>
  <si>
    <t>2.3</t>
  </si>
  <si>
    <t>2.4</t>
  </si>
  <si>
    <t>2.5</t>
  </si>
  <si>
    <t>2.6</t>
  </si>
  <si>
    <t>2.7</t>
  </si>
  <si>
    <t>3.4</t>
  </si>
  <si>
    <t>3.5</t>
  </si>
  <si>
    <t>3.6</t>
  </si>
  <si>
    <t>3.7</t>
  </si>
  <si>
    <t>4.1</t>
  </si>
  <si>
    <t>4.2</t>
  </si>
  <si>
    <t>4.3</t>
  </si>
  <si>
    <t>4.4</t>
  </si>
  <si>
    <t>4.5</t>
  </si>
  <si>
    <t>4.6</t>
  </si>
  <si>
    <t>4.7</t>
  </si>
  <si>
    <t>5.4</t>
  </si>
  <si>
    <t>5.5</t>
  </si>
  <si>
    <t>5.6</t>
  </si>
  <si>
    <t>5.7</t>
  </si>
  <si>
    <t>Core</t>
  </si>
  <si>
    <t>Online</t>
  </si>
  <si>
    <t>API</t>
  </si>
  <si>
    <t>James,Preyea</t>
  </si>
  <si>
    <t>Test</t>
  </si>
  <si>
    <t>Publish</t>
  </si>
  <si>
    <t>1.1</t>
  </si>
  <si>
    <t>1.2</t>
  </si>
  <si>
    <t>1.3</t>
  </si>
  <si>
    <t>1.4</t>
  </si>
  <si>
    <t>1.5</t>
  </si>
  <si>
    <t>1.6</t>
  </si>
  <si>
    <t>6</t>
  </si>
  <si>
    <t>6.1</t>
  </si>
  <si>
    <t>6.2</t>
  </si>
  <si>
    <t>6.3</t>
  </si>
  <si>
    <t>6.4</t>
  </si>
  <si>
    <t>6.5</t>
  </si>
  <si>
    <t>6.6</t>
  </si>
  <si>
    <t>6.7</t>
  </si>
  <si>
    <t>Design</t>
  </si>
  <si>
    <t>iOS/Android</t>
  </si>
  <si>
    <t>7</t>
  </si>
  <si>
    <t>7.1</t>
  </si>
  <si>
    <t>7.2</t>
  </si>
  <si>
    <t>7.3</t>
  </si>
  <si>
    <t>7.4</t>
  </si>
  <si>
    <t>7.5</t>
  </si>
  <si>
    <t>7.6</t>
  </si>
  <si>
    <t>7.7</t>
  </si>
  <si>
    <t>8</t>
  </si>
  <si>
    <t>8.1</t>
  </si>
  <si>
    <t>8.2</t>
  </si>
  <si>
    <t>8.3</t>
  </si>
  <si>
    <t>8.4</t>
  </si>
  <si>
    <t>8.5</t>
  </si>
  <si>
    <t>8.6</t>
  </si>
  <si>
    <t>8.7</t>
  </si>
  <si>
    <t>9</t>
  </si>
  <si>
    <t>9.1</t>
  </si>
  <si>
    <t>9.2</t>
  </si>
  <si>
    <t>9.3</t>
  </si>
  <si>
    <t>9.4</t>
  </si>
  <si>
    <t>9.5</t>
  </si>
  <si>
    <t>9.6</t>
  </si>
  <si>
    <t>9.7</t>
  </si>
  <si>
    <t>Micro loan</t>
  </si>
  <si>
    <t>Reward/Coupon 2nd Phase</t>
  </si>
  <si>
    <t>10</t>
  </si>
  <si>
    <t>10.1</t>
  </si>
  <si>
    <t>10.2</t>
  </si>
  <si>
    <t>10.3</t>
  </si>
  <si>
    <t>10.4</t>
  </si>
  <si>
    <t>10.5</t>
  </si>
  <si>
    <t>10.6</t>
  </si>
  <si>
    <t>10.7</t>
  </si>
  <si>
    <t>11</t>
  </si>
  <si>
    <t>11.1</t>
  </si>
  <si>
    <t>11.2</t>
  </si>
  <si>
    <t>11.3</t>
  </si>
  <si>
    <t>11.4</t>
  </si>
  <si>
    <t>11.5</t>
  </si>
  <si>
    <t>11.6</t>
  </si>
  <si>
    <t>11.7</t>
  </si>
  <si>
    <t>Open-banking using KFTC</t>
  </si>
  <si>
    <t>Max,Dana</t>
  </si>
  <si>
    <t>Max</t>
  </si>
  <si>
    <t>Easy Remit</t>
  </si>
  <si>
    <t>Auto Remit</t>
  </si>
  <si>
    <t>Electronic finance license</t>
  </si>
  <si>
    <t>Make document</t>
  </si>
  <si>
    <t>Separation of Internal network(HR)</t>
  </si>
  <si>
    <t>DLP and Vaccine solution</t>
  </si>
  <si>
    <t>Development output document</t>
  </si>
  <si>
    <t>Renewal auto debit</t>
  </si>
  <si>
    <t>Powercall 2nd Phase</t>
  </si>
  <si>
    <t>Transaction details lookup using KFTC API</t>
  </si>
  <si>
    <t>Inbound Remittance(Wing)</t>
  </si>
  <si>
    <t>Inbound Remittance(Kyodai)</t>
  </si>
  <si>
    <t>12</t>
  </si>
  <si>
    <t>12.1</t>
  </si>
  <si>
    <t>12.2</t>
  </si>
  <si>
    <t>12.3</t>
  </si>
  <si>
    <t>12.4</t>
  </si>
  <si>
    <t>12.5</t>
  </si>
  <si>
    <t>12.6</t>
  </si>
  <si>
    <t>12.7</t>
  </si>
  <si>
    <t>Inbound Remittance(RIA)</t>
  </si>
  <si>
    <t>Max, Chris</t>
  </si>
  <si>
    <t>Chris</t>
  </si>
  <si>
    <t>Change member registration logic</t>
  </si>
  <si>
    <t>13</t>
  </si>
  <si>
    <t>13.1</t>
  </si>
  <si>
    <t>13.2</t>
  </si>
  <si>
    <t>13.3</t>
  </si>
  <si>
    <t>13.4</t>
  </si>
  <si>
    <t>13.5</t>
  </si>
  <si>
    <t>13.6</t>
  </si>
  <si>
    <t>13.7</t>
  </si>
  <si>
    <t>13.8</t>
  </si>
  <si>
    <t>13.9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</si>
</sst>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47">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
      <sz val="9"/>
      <name val="돋움"/>
      <family val="3"/>
      <charset val="129"/>
    </font>
    <font>
      <sz val="9"/>
      <name val="나눔바른고딕"/>
      <family val="3"/>
      <charset val="129"/>
    </font>
    <font>
      <sz val="9"/>
      <name val="Calibri"/>
      <family val="3"/>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6">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48">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4" xfId="4" applyFont="1" applyFill="1" applyBorder="1" applyAlignment="1" applyProtection="1">
      <alignment vertical="top"/>
      <protection locked="0"/>
    </xf>
    <xf numFmtId="0" fontId="12" fillId="0" borderId="24" xfId="4" quotePrefix="1" applyFont="1" applyFill="1" applyBorder="1" applyAlignment="1" applyProtection="1">
      <alignment horizontal="right" vertical="top"/>
      <protection locked="0"/>
    </xf>
    <xf numFmtId="0" fontId="12" fillId="0" borderId="24" xfId="4" applyFont="1" applyFill="1" applyBorder="1" applyAlignment="1" applyProtection="1">
      <alignment horizontal="left" vertical="top"/>
      <protection locked="0"/>
    </xf>
    <xf numFmtId="14" fontId="12" fillId="0" borderId="24" xfId="4" applyNumberFormat="1" applyFont="1" applyFill="1" applyBorder="1" applyAlignment="1" applyProtection="1">
      <alignment horizontal="center" vertical="top"/>
      <protection locked="0"/>
    </xf>
    <xf numFmtId="0" fontId="12" fillId="0" borderId="24" xfId="4" applyNumberFormat="1" applyFont="1" applyFill="1" applyBorder="1" applyAlignment="1" applyProtection="1">
      <alignment horizontal="left" vertical="top"/>
      <protection locked="0"/>
    </xf>
    <xf numFmtId="176" fontId="12" fillId="0" borderId="24" xfId="4" applyNumberFormat="1" applyFont="1" applyFill="1" applyBorder="1" applyAlignment="1" applyProtection="1">
      <alignment horizontal="center" vertical="top"/>
      <protection locked="0"/>
    </xf>
    <xf numFmtId="0" fontId="12" fillId="0" borderId="24" xfId="4" applyNumberFormat="1" applyFont="1" applyFill="1" applyBorder="1" applyAlignment="1" applyProtection="1">
      <alignment horizontal="center" vertical="top"/>
      <protection locked="0"/>
    </xf>
    <xf numFmtId="177" fontId="12" fillId="0" borderId="24" xfId="4" applyNumberFormat="1" applyFont="1" applyFill="1" applyBorder="1" applyAlignment="1" applyProtection="1">
      <alignment horizontal="center" vertical="top"/>
      <protection locked="0"/>
    </xf>
    <xf numFmtId="1" fontId="12" fillId="0" borderId="24" xfId="4" applyNumberFormat="1" applyFont="1" applyFill="1" applyBorder="1" applyAlignment="1" applyProtection="1">
      <alignment horizontal="center" vertical="top"/>
      <protection locked="0"/>
    </xf>
    <xf numFmtId="179" fontId="12" fillId="0" borderId="24" xfId="4" applyNumberFormat="1" applyFont="1" applyFill="1" applyBorder="1" applyAlignment="1" applyProtection="1">
      <alignment horizontal="center" vertical="top"/>
      <protection locked="0"/>
    </xf>
    <xf numFmtId="14" fontId="12" fillId="0" borderId="24" xfId="4" applyNumberFormat="1" applyFont="1" applyFill="1" applyBorder="1" applyAlignment="1" applyProtection="1">
      <alignment horizontal="left" vertical="top"/>
      <protection locked="0"/>
    </xf>
    <xf numFmtId="10" fontId="12" fillId="0" borderId="24" xfId="6" applyNumberFormat="1" applyFont="1" applyFill="1" applyBorder="1" applyAlignment="1" applyProtection="1">
      <alignment horizontal="right" vertical="top" wrapText="1"/>
      <protection locked="0"/>
    </xf>
    <xf numFmtId="10" fontId="12" fillId="0" borderId="24" xfId="6" applyNumberFormat="1"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5" xfId="4" applyNumberFormat="1" applyFont="1" applyBorder="1"/>
    <xf numFmtId="0" fontId="16" fillId="0" borderId="25"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5" xfId="6" applyNumberFormat="1" applyFont="1" applyBorder="1" applyAlignment="1"/>
    <xf numFmtId="0" fontId="44" fillId="0" borderId="7" xfId="4" applyFont="1" applyFill="1" applyBorder="1" applyAlignment="1" applyProtection="1">
      <alignment horizontal="left" vertical="top"/>
      <protection locked="0"/>
    </xf>
    <xf numFmtId="0" fontId="12" fillId="0" borderId="7" xfId="4" applyFont="1" applyFill="1" applyBorder="1" applyAlignment="1" applyProtection="1">
      <alignment horizontal="left" vertical="center"/>
      <protection locked="0"/>
    </xf>
    <xf numFmtId="0" fontId="45" fillId="0" borderId="7" xfId="4" applyFont="1" applyFill="1" applyBorder="1" applyAlignment="1" applyProtection="1">
      <alignment horizontal="left" vertical="top"/>
      <protection locked="0"/>
    </xf>
    <xf numFmtId="0" fontId="46" fillId="0" borderId="7" xfId="4" applyFont="1" applyFill="1" applyBorder="1" applyAlignment="1" applyProtection="1">
      <alignment horizontal="left" vertical="top"/>
      <protection locked="0"/>
    </xf>
    <xf numFmtId="178" fontId="11" fillId="5" borderId="5" xfId="1" applyNumberFormat="1" applyFont="1" applyFill="1" applyBorder="1" applyAlignment="1">
      <alignment horizontal="left" vertical="center"/>
    </xf>
    <xf numFmtId="178" fontId="11" fillId="5" borderId="6" xfId="1" applyNumberFormat="1" applyFont="1" applyFill="1" applyBorder="1" applyAlignment="1">
      <alignment horizontal="left" vertical="center"/>
    </xf>
    <xf numFmtId="0" fontId="7" fillId="11" borderId="0" xfId="2" applyFont="1" applyFill="1" applyBorder="1" applyAlignment="1">
      <alignment horizontal="left" vertical="center"/>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3"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4" fontId="31" fillId="11" borderId="0" xfId="3" applyNumberFormat="1" applyFont="1" applyFill="1" applyBorder="1" applyAlignment="1">
      <alignment horizontal="center" vertical="center" wrapText="1"/>
    </xf>
    <xf numFmtId="14" fontId="11" fillId="10" borderId="2" xfId="4" applyNumberFormat="1"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178" fontId="11" fillId="5" borderId="4" xfId="1" applyNumberFormat="1" applyFont="1" applyFill="1" applyBorder="1" applyAlignment="1">
      <alignment horizontal="left" vertical="center"/>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6ADF-4377-90DF-586EBFE188BE}"/>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62</xdr:col>
      <xdr:colOff>81643</xdr:colOff>
      <xdr:row>118</xdr:row>
      <xdr:rowOff>30480</xdr:rowOff>
    </xdr:from>
    <xdr:to>
      <xdr:col>62</xdr:col>
      <xdr:colOff>102326</xdr:colOff>
      <xdr:row>118</xdr:row>
      <xdr:rowOff>144780</xdr:rowOff>
    </xdr:to>
    <xdr:sp macro="" textlink="">
      <xdr:nvSpPr>
        <xdr:cNvPr id="416" name="직사각형 415">
          <a:extLst>
            <a:ext uri="{FF2B5EF4-FFF2-40B4-BE49-F238E27FC236}">
              <a16:creationId xmlns:a16="http://schemas.microsoft.com/office/drawing/2014/main" id="{F7F1A6A4-8249-49CE-9E20-56C00C00C25C}"/>
            </a:ext>
          </a:extLst>
        </xdr:cNvPr>
        <xdr:cNvSpPr/>
      </xdr:nvSpPr>
      <xdr:spPr>
        <a:xfrm>
          <a:off x="13616375" y="5853479"/>
          <a:ext cx="1496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62</xdr:col>
      <xdr:colOff>81643</xdr:colOff>
      <xdr:row>118</xdr:row>
      <xdr:rowOff>87630</xdr:rowOff>
    </xdr:from>
    <xdr:to>
      <xdr:col>62</xdr:col>
      <xdr:colOff>81643</xdr:colOff>
      <xdr:row>118</xdr:row>
      <xdr:rowOff>87630</xdr:rowOff>
    </xdr:to>
    <xdr:cxnSp macro="">
      <xdr:nvCxnSpPr>
        <xdr:cNvPr id="417" name="직선 화살표 연결선 416">
          <a:extLst>
            <a:ext uri="{FF2B5EF4-FFF2-40B4-BE49-F238E27FC236}">
              <a16:creationId xmlns:a16="http://schemas.microsoft.com/office/drawing/2014/main" id="{3DEF71E0-102E-4F0B-9C36-E6363565C163}"/>
            </a:ext>
          </a:extLst>
        </xdr:cNvPr>
        <xdr:cNvCxnSpPr/>
      </xdr:nvCxnSpPr>
      <xdr:spPr>
        <a:xfrm>
          <a:off x="13616375" y="5916344"/>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100420</xdr:colOff>
      <xdr:row>117</xdr:row>
      <xdr:rowOff>30480</xdr:rowOff>
    </xdr:from>
    <xdr:to>
      <xdr:col>62</xdr:col>
      <xdr:colOff>19594</xdr:colOff>
      <xdr:row>117</xdr:row>
      <xdr:rowOff>144780</xdr:rowOff>
    </xdr:to>
    <xdr:sp macro="" textlink="">
      <xdr:nvSpPr>
        <xdr:cNvPr id="418" name="직사각형 417">
          <a:extLst>
            <a:ext uri="{FF2B5EF4-FFF2-40B4-BE49-F238E27FC236}">
              <a16:creationId xmlns:a16="http://schemas.microsoft.com/office/drawing/2014/main" id="{B05F08F3-FA9E-4597-A05B-8B554CC97B9D}"/>
            </a:ext>
          </a:extLst>
        </xdr:cNvPr>
        <xdr:cNvSpPr/>
      </xdr:nvSpPr>
      <xdr:spPr>
        <a:xfrm>
          <a:off x="13482898" y="5699613"/>
          <a:ext cx="657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100420</xdr:colOff>
      <xdr:row>117</xdr:row>
      <xdr:rowOff>87630</xdr:rowOff>
    </xdr:from>
    <xdr:to>
      <xdr:col>61</xdr:col>
      <xdr:colOff>100420</xdr:colOff>
      <xdr:row>117</xdr:row>
      <xdr:rowOff>87630</xdr:rowOff>
    </xdr:to>
    <xdr:cxnSp macro="">
      <xdr:nvCxnSpPr>
        <xdr:cNvPr id="419" name="직선 화살표 연결선 418">
          <a:extLst>
            <a:ext uri="{FF2B5EF4-FFF2-40B4-BE49-F238E27FC236}">
              <a16:creationId xmlns:a16="http://schemas.microsoft.com/office/drawing/2014/main" id="{1906A1E3-068F-417E-9B11-607B17E7F5BF}"/>
            </a:ext>
          </a:extLst>
        </xdr:cNvPr>
        <xdr:cNvCxnSpPr/>
      </xdr:nvCxnSpPr>
      <xdr:spPr>
        <a:xfrm>
          <a:off x="13482898" y="5762478"/>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59055</xdr:colOff>
      <xdr:row>116</xdr:row>
      <xdr:rowOff>30480</xdr:rowOff>
    </xdr:from>
    <xdr:to>
      <xdr:col>61</xdr:col>
      <xdr:colOff>100420</xdr:colOff>
      <xdr:row>116</xdr:row>
      <xdr:rowOff>144780</xdr:rowOff>
    </xdr:to>
    <xdr:sp macro="" textlink="">
      <xdr:nvSpPr>
        <xdr:cNvPr id="420" name="직사각형 419">
          <a:extLst>
            <a:ext uri="{FF2B5EF4-FFF2-40B4-BE49-F238E27FC236}">
              <a16:creationId xmlns:a16="http://schemas.microsoft.com/office/drawing/2014/main" id="{721FD70E-17B3-47FA-8217-7AF030FB4674}"/>
            </a:ext>
          </a:extLst>
        </xdr:cNvPr>
        <xdr:cNvSpPr/>
      </xdr:nvSpPr>
      <xdr:spPr>
        <a:xfrm>
          <a:off x="13441533" y="5545748"/>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61</xdr:col>
      <xdr:colOff>59055</xdr:colOff>
      <xdr:row>116</xdr:row>
      <xdr:rowOff>87630</xdr:rowOff>
    </xdr:from>
    <xdr:to>
      <xdr:col>61</xdr:col>
      <xdr:colOff>59055</xdr:colOff>
      <xdr:row>116</xdr:row>
      <xdr:rowOff>87630</xdr:rowOff>
    </xdr:to>
    <xdr:cxnSp macro="">
      <xdr:nvCxnSpPr>
        <xdr:cNvPr id="421" name="직선 화살표 연결선 420">
          <a:extLst>
            <a:ext uri="{FF2B5EF4-FFF2-40B4-BE49-F238E27FC236}">
              <a16:creationId xmlns:a16="http://schemas.microsoft.com/office/drawing/2014/main" id="{C717FF88-38FC-478A-B152-BA6BA212E3F9}"/>
            </a:ext>
          </a:extLst>
        </xdr:cNvPr>
        <xdr:cNvCxnSpPr/>
      </xdr:nvCxnSpPr>
      <xdr:spPr>
        <a:xfrm>
          <a:off x="13441533" y="5608613"/>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98516</xdr:colOff>
      <xdr:row>115</xdr:row>
      <xdr:rowOff>30480</xdr:rowOff>
    </xdr:from>
    <xdr:to>
      <xdr:col>61</xdr:col>
      <xdr:colOff>17689</xdr:colOff>
      <xdr:row>115</xdr:row>
      <xdr:rowOff>144780</xdr:rowOff>
    </xdr:to>
    <xdr:sp macro="" textlink="">
      <xdr:nvSpPr>
        <xdr:cNvPr id="422" name="직사각형 421">
          <a:extLst>
            <a:ext uri="{FF2B5EF4-FFF2-40B4-BE49-F238E27FC236}">
              <a16:creationId xmlns:a16="http://schemas.microsoft.com/office/drawing/2014/main" id="{3CA4D1E6-B9BD-4D32-82C4-D90C0095E54B}"/>
            </a:ext>
          </a:extLst>
        </xdr:cNvPr>
        <xdr:cNvSpPr/>
      </xdr:nvSpPr>
      <xdr:spPr>
        <a:xfrm>
          <a:off x="13334456" y="5391883"/>
          <a:ext cx="733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60</xdr:col>
      <xdr:colOff>98516</xdr:colOff>
      <xdr:row>115</xdr:row>
      <xdr:rowOff>87630</xdr:rowOff>
    </xdr:from>
    <xdr:to>
      <xdr:col>60</xdr:col>
      <xdr:colOff>98516</xdr:colOff>
      <xdr:row>115</xdr:row>
      <xdr:rowOff>87630</xdr:rowOff>
    </xdr:to>
    <xdr:cxnSp macro="">
      <xdr:nvCxnSpPr>
        <xdr:cNvPr id="423" name="직선 화살표 연결선 422">
          <a:extLst>
            <a:ext uri="{FF2B5EF4-FFF2-40B4-BE49-F238E27FC236}">
              <a16:creationId xmlns:a16="http://schemas.microsoft.com/office/drawing/2014/main" id="{D48F8C3F-8B95-41EC-9723-B641DC89EFA9}"/>
            </a:ext>
          </a:extLst>
        </xdr:cNvPr>
        <xdr:cNvCxnSpPr/>
      </xdr:nvCxnSpPr>
      <xdr:spPr>
        <a:xfrm>
          <a:off x="13334456" y="5454748"/>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75927</xdr:colOff>
      <xdr:row>112</xdr:row>
      <xdr:rowOff>30480</xdr:rowOff>
    </xdr:from>
    <xdr:to>
      <xdr:col>60</xdr:col>
      <xdr:colOff>15784</xdr:colOff>
      <xdr:row>112</xdr:row>
      <xdr:rowOff>144780</xdr:rowOff>
    </xdr:to>
    <xdr:sp macro="" textlink="">
      <xdr:nvSpPr>
        <xdr:cNvPr id="424" name="직사각형 423">
          <a:extLst>
            <a:ext uri="{FF2B5EF4-FFF2-40B4-BE49-F238E27FC236}">
              <a16:creationId xmlns:a16="http://schemas.microsoft.com/office/drawing/2014/main" id="{60A94136-651C-4C4E-816A-B93C4A978527}"/>
            </a:ext>
          </a:extLst>
        </xdr:cNvPr>
        <xdr:cNvSpPr/>
      </xdr:nvSpPr>
      <xdr:spPr>
        <a:xfrm>
          <a:off x="13169139" y="4930287"/>
          <a:ext cx="9020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59</xdr:col>
      <xdr:colOff>75927</xdr:colOff>
      <xdr:row>112</xdr:row>
      <xdr:rowOff>87630</xdr:rowOff>
    </xdr:from>
    <xdr:to>
      <xdr:col>60</xdr:col>
      <xdr:colOff>15784</xdr:colOff>
      <xdr:row>112</xdr:row>
      <xdr:rowOff>87630</xdr:rowOff>
    </xdr:to>
    <xdr:cxnSp macro="">
      <xdr:nvCxnSpPr>
        <xdr:cNvPr id="425" name="직선 화살표 연결선 424">
          <a:extLst>
            <a:ext uri="{FF2B5EF4-FFF2-40B4-BE49-F238E27FC236}">
              <a16:creationId xmlns:a16="http://schemas.microsoft.com/office/drawing/2014/main" id="{358C4CCE-C51F-49D1-AF4B-C625DEDD0CE0}"/>
            </a:ext>
          </a:extLst>
        </xdr:cNvPr>
        <xdr:cNvCxnSpPr/>
      </xdr:nvCxnSpPr>
      <xdr:spPr>
        <a:xfrm>
          <a:off x="13169139" y="4993152"/>
          <a:ext cx="902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78105</xdr:colOff>
      <xdr:row>73</xdr:row>
      <xdr:rowOff>30480</xdr:rowOff>
    </xdr:from>
    <xdr:to>
      <xdr:col>72</xdr:col>
      <xdr:colOff>17962</xdr:colOff>
      <xdr:row>73</xdr:row>
      <xdr:rowOff>144780</xdr:rowOff>
    </xdr:to>
    <xdr:sp macro="" textlink="">
      <xdr:nvSpPr>
        <xdr:cNvPr id="6794" name="직사각형 6793">
          <a:extLst>
            <a:ext uri="{FF2B5EF4-FFF2-40B4-BE49-F238E27FC236}">
              <a16:creationId xmlns:a16="http://schemas.microsoft.com/office/drawing/2014/main" id="{2BC807E3-2E28-463E-8F11-673EF58FF0F8}"/>
            </a:ext>
          </a:extLst>
        </xdr:cNvPr>
        <xdr:cNvSpPr/>
      </xdr:nvSpPr>
      <xdr:spPr>
        <a:xfrm>
          <a:off x="14775180" y="11289030"/>
          <a:ext cx="827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78105</xdr:colOff>
      <xdr:row>73</xdr:row>
      <xdr:rowOff>87630</xdr:rowOff>
    </xdr:from>
    <xdr:to>
      <xdr:col>71</xdr:col>
      <xdr:colOff>78105</xdr:colOff>
      <xdr:row>73</xdr:row>
      <xdr:rowOff>87630</xdr:rowOff>
    </xdr:to>
    <xdr:cxnSp macro="">
      <xdr:nvCxnSpPr>
        <xdr:cNvPr id="6795" name="직선 화살표 연결선 6794">
          <a:extLst>
            <a:ext uri="{FF2B5EF4-FFF2-40B4-BE49-F238E27FC236}">
              <a16:creationId xmlns:a16="http://schemas.microsoft.com/office/drawing/2014/main" id="{88C2E060-30DE-4FF3-9799-C18F61FC705D}"/>
            </a:ext>
          </a:extLst>
        </xdr:cNvPr>
        <xdr:cNvCxnSpPr/>
      </xdr:nvCxnSpPr>
      <xdr:spPr>
        <a:xfrm>
          <a:off x="14775180" y="1134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76200</xdr:colOff>
      <xdr:row>72</xdr:row>
      <xdr:rowOff>30480</xdr:rowOff>
    </xdr:from>
    <xdr:to>
      <xdr:col>71</xdr:col>
      <xdr:colOff>36739</xdr:colOff>
      <xdr:row>72</xdr:row>
      <xdr:rowOff>144780</xdr:rowOff>
    </xdr:to>
    <xdr:sp macro="" textlink="">
      <xdr:nvSpPr>
        <xdr:cNvPr id="6796" name="직사각형 6795">
          <a:extLst>
            <a:ext uri="{FF2B5EF4-FFF2-40B4-BE49-F238E27FC236}">
              <a16:creationId xmlns:a16="http://schemas.microsoft.com/office/drawing/2014/main" id="{C7D7E6DD-987A-45DA-888B-FDEF6EA1F86E}"/>
            </a:ext>
          </a:extLst>
        </xdr:cNvPr>
        <xdr:cNvSpPr/>
      </xdr:nvSpPr>
      <xdr:spPr>
        <a:xfrm>
          <a:off x="14630400" y="111366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76200</xdr:colOff>
      <xdr:row>72</xdr:row>
      <xdr:rowOff>87630</xdr:rowOff>
    </xdr:from>
    <xdr:to>
      <xdr:col>70</xdr:col>
      <xdr:colOff>76200</xdr:colOff>
      <xdr:row>72</xdr:row>
      <xdr:rowOff>87630</xdr:rowOff>
    </xdr:to>
    <xdr:cxnSp macro="">
      <xdr:nvCxnSpPr>
        <xdr:cNvPr id="6797" name="직선 화살표 연결선 6796">
          <a:extLst>
            <a:ext uri="{FF2B5EF4-FFF2-40B4-BE49-F238E27FC236}">
              <a16:creationId xmlns:a16="http://schemas.microsoft.com/office/drawing/2014/main" id="{752D7C91-0A2B-4CF3-8439-2B8C8E3E7BFE}"/>
            </a:ext>
          </a:extLst>
        </xdr:cNvPr>
        <xdr:cNvCxnSpPr/>
      </xdr:nvCxnSpPr>
      <xdr:spPr>
        <a:xfrm>
          <a:off x="14630400" y="1119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74295</xdr:colOff>
      <xdr:row>70</xdr:row>
      <xdr:rowOff>30480</xdr:rowOff>
    </xdr:from>
    <xdr:to>
      <xdr:col>70</xdr:col>
      <xdr:colOff>34834</xdr:colOff>
      <xdr:row>70</xdr:row>
      <xdr:rowOff>144780</xdr:rowOff>
    </xdr:to>
    <xdr:sp macro="" textlink="">
      <xdr:nvSpPr>
        <xdr:cNvPr id="6798" name="직사각형 6797">
          <a:extLst>
            <a:ext uri="{FF2B5EF4-FFF2-40B4-BE49-F238E27FC236}">
              <a16:creationId xmlns:a16="http://schemas.microsoft.com/office/drawing/2014/main" id="{69ED8A05-A235-486D-9C85-D3238BDD9FE4}"/>
            </a:ext>
          </a:extLst>
        </xdr:cNvPr>
        <xdr:cNvSpPr/>
      </xdr:nvSpPr>
      <xdr:spPr>
        <a:xfrm>
          <a:off x="14485620" y="10831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74295</xdr:colOff>
      <xdr:row>70</xdr:row>
      <xdr:rowOff>87630</xdr:rowOff>
    </xdr:from>
    <xdr:to>
      <xdr:col>69</xdr:col>
      <xdr:colOff>74295</xdr:colOff>
      <xdr:row>70</xdr:row>
      <xdr:rowOff>87630</xdr:rowOff>
    </xdr:to>
    <xdr:cxnSp macro="">
      <xdr:nvCxnSpPr>
        <xdr:cNvPr id="6799" name="직선 화살표 연결선 6798">
          <a:extLst>
            <a:ext uri="{FF2B5EF4-FFF2-40B4-BE49-F238E27FC236}">
              <a16:creationId xmlns:a16="http://schemas.microsoft.com/office/drawing/2014/main" id="{55B82CF1-F624-40BB-A4A9-B6C8BC65F57D}"/>
            </a:ext>
          </a:extLst>
        </xdr:cNvPr>
        <xdr:cNvCxnSpPr/>
      </xdr:nvCxnSpPr>
      <xdr:spPr>
        <a:xfrm>
          <a:off x="14485620" y="1088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72389</xdr:colOff>
      <xdr:row>67</xdr:row>
      <xdr:rowOff>30480</xdr:rowOff>
    </xdr:from>
    <xdr:to>
      <xdr:col>69</xdr:col>
      <xdr:colOff>32930</xdr:colOff>
      <xdr:row>67</xdr:row>
      <xdr:rowOff>144780</xdr:rowOff>
    </xdr:to>
    <xdr:sp macro="" textlink="">
      <xdr:nvSpPr>
        <xdr:cNvPr id="6800" name="직사각형 6799">
          <a:extLst>
            <a:ext uri="{FF2B5EF4-FFF2-40B4-BE49-F238E27FC236}">
              <a16:creationId xmlns:a16="http://schemas.microsoft.com/office/drawing/2014/main" id="{65CE3940-940B-480D-B5D6-6AF0D5B57203}"/>
            </a:ext>
          </a:extLst>
        </xdr:cNvPr>
        <xdr:cNvSpPr/>
      </xdr:nvSpPr>
      <xdr:spPr>
        <a:xfrm>
          <a:off x="14340839" y="10374630"/>
          <a:ext cx="10341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72389</xdr:colOff>
      <xdr:row>67</xdr:row>
      <xdr:rowOff>87630</xdr:rowOff>
    </xdr:from>
    <xdr:to>
      <xdr:col>68</xdr:col>
      <xdr:colOff>72389</xdr:colOff>
      <xdr:row>67</xdr:row>
      <xdr:rowOff>87630</xdr:rowOff>
    </xdr:to>
    <xdr:cxnSp macro="">
      <xdr:nvCxnSpPr>
        <xdr:cNvPr id="6801" name="직선 화살표 연결선 6800">
          <a:extLst>
            <a:ext uri="{FF2B5EF4-FFF2-40B4-BE49-F238E27FC236}">
              <a16:creationId xmlns:a16="http://schemas.microsoft.com/office/drawing/2014/main" id="{C0C9D1C8-98F0-405E-A459-3E5A5570A565}"/>
            </a:ext>
          </a:extLst>
        </xdr:cNvPr>
        <xdr:cNvCxnSpPr/>
      </xdr:nvCxnSpPr>
      <xdr:spPr>
        <a:xfrm>
          <a:off x="14340839" y="1043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72389</xdr:colOff>
      <xdr:row>66</xdr:row>
      <xdr:rowOff>30480</xdr:rowOff>
    </xdr:from>
    <xdr:to>
      <xdr:col>72</xdr:col>
      <xdr:colOff>17962</xdr:colOff>
      <xdr:row>66</xdr:row>
      <xdr:rowOff>144780</xdr:rowOff>
    </xdr:to>
    <xdr:sp macro="" textlink="">
      <xdr:nvSpPr>
        <xdr:cNvPr id="6802" name="직사각형 6801">
          <a:extLst>
            <a:ext uri="{FF2B5EF4-FFF2-40B4-BE49-F238E27FC236}">
              <a16:creationId xmlns:a16="http://schemas.microsoft.com/office/drawing/2014/main" id="{A4500693-B737-4003-8EF7-807EACB6D11A}"/>
            </a:ext>
          </a:extLst>
        </xdr:cNvPr>
        <xdr:cNvSpPr/>
      </xdr:nvSpPr>
      <xdr:spPr>
        <a:xfrm>
          <a:off x="14340839" y="10222230"/>
          <a:ext cx="517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72389</xdr:colOff>
      <xdr:row>66</xdr:row>
      <xdr:rowOff>87630</xdr:rowOff>
    </xdr:from>
    <xdr:to>
      <xdr:col>68</xdr:col>
      <xdr:colOff>72389</xdr:colOff>
      <xdr:row>66</xdr:row>
      <xdr:rowOff>87630</xdr:rowOff>
    </xdr:to>
    <xdr:cxnSp macro="">
      <xdr:nvCxnSpPr>
        <xdr:cNvPr id="6803" name="직선 화살표 연결선 6802">
          <a:extLst>
            <a:ext uri="{FF2B5EF4-FFF2-40B4-BE49-F238E27FC236}">
              <a16:creationId xmlns:a16="http://schemas.microsoft.com/office/drawing/2014/main" id="{3F7744F8-3F90-49B9-92A7-69A3C6981DEA}"/>
            </a:ext>
          </a:extLst>
        </xdr:cNvPr>
        <xdr:cNvCxnSpPr/>
      </xdr:nvCxnSpPr>
      <xdr:spPr>
        <a:xfrm>
          <a:off x="14340839" y="1027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85725</xdr:colOff>
      <xdr:row>28</xdr:row>
      <xdr:rowOff>30480</xdr:rowOff>
    </xdr:from>
    <xdr:to>
      <xdr:col>76</xdr:col>
      <xdr:colOff>46264</xdr:colOff>
      <xdr:row>28</xdr:row>
      <xdr:rowOff>144780</xdr:rowOff>
    </xdr:to>
    <xdr:sp macro="" textlink="">
      <xdr:nvSpPr>
        <xdr:cNvPr id="6804" name="직사각형 6803">
          <a:extLst>
            <a:ext uri="{FF2B5EF4-FFF2-40B4-BE49-F238E27FC236}">
              <a16:creationId xmlns:a16="http://schemas.microsoft.com/office/drawing/2014/main" id="{83751288-19ED-4980-909A-82FCC54C2253}"/>
            </a:ext>
          </a:extLst>
        </xdr:cNvPr>
        <xdr:cNvSpPr/>
      </xdr:nvSpPr>
      <xdr:spPr>
        <a:xfrm>
          <a:off x="15354300" y="4431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75</xdr:col>
      <xdr:colOff>85725</xdr:colOff>
      <xdr:row>28</xdr:row>
      <xdr:rowOff>87630</xdr:rowOff>
    </xdr:from>
    <xdr:to>
      <xdr:col>75</xdr:col>
      <xdr:colOff>85725</xdr:colOff>
      <xdr:row>28</xdr:row>
      <xdr:rowOff>87630</xdr:rowOff>
    </xdr:to>
    <xdr:cxnSp macro="">
      <xdr:nvCxnSpPr>
        <xdr:cNvPr id="6805" name="직선 화살표 연결선 6804">
          <a:extLst>
            <a:ext uri="{FF2B5EF4-FFF2-40B4-BE49-F238E27FC236}">
              <a16:creationId xmlns:a16="http://schemas.microsoft.com/office/drawing/2014/main" id="{D4819CD8-D4C8-4C3E-9674-65C14484B99F}"/>
            </a:ext>
          </a:extLst>
        </xdr:cNvPr>
        <xdr:cNvCxnSpPr/>
      </xdr:nvCxnSpPr>
      <xdr:spPr>
        <a:xfrm>
          <a:off x="15354300" y="448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78105</xdr:colOff>
      <xdr:row>22</xdr:row>
      <xdr:rowOff>30480</xdr:rowOff>
    </xdr:from>
    <xdr:to>
      <xdr:col>72</xdr:col>
      <xdr:colOff>38644</xdr:colOff>
      <xdr:row>22</xdr:row>
      <xdr:rowOff>144780</xdr:rowOff>
    </xdr:to>
    <xdr:sp macro="" textlink="">
      <xdr:nvSpPr>
        <xdr:cNvPr id="6806" name="직사각형 6805">
          <a:extLst>
            <a:ext uri="{FF2B5EF4-FFF2-40B4-BE49-F238E27FC236}">
              <a16:creationId xmlns:a16="http://schemas.microsoft.com/office/drawing/2014/main" id="{CBCAC0F6-BCF7-4341-AE64-013BA8987F0E}"/>
            </a:ext>
          </a:extLst>
        </xdr:cNvPr>
        <xdr:cNvSpPr/>
      </xdr:nvSpPr>
      <xdr:spPr>
        <a:xfrm>
          <a:off x="14775180" y="35166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78105</xdr:colOff>
      <xdr:row>22</xdr:row>
      <xdr:rowOff>87630</xdr:rowOff>
    </xdr:from>
    <xdr:to>
      <xdr:col>71</xdr:col>
      <xdr:colOff>78105</xdr:colOff>
      <xdr:row>22</xdr:row>
      <xdr:rowOff>87630</xdr:rowOff>
    </xdr:to>
    <xdr:cxnSp macro="">
      <xdr:nvCxnSpPr>
        <xdr:cNvPr id="6807" name="직선 화살표 연결선 6806">
          <a:extLst>
            <a:ext uri="{FF2B5EF4-FFF2-40B4-BE49-F238E27FC236}">
              <a16:creationId xmlns:a16="http://schemas.microsoft.com/office/drawing/2014/main" id="{0311D929-4594-4AB6-AE4D-4D8E54D59695}"/>
            </a:ext>
          </a:extLst>
        </xdr:cNvPr>
        <xdr:cNvCxnSpPr/>
      </xdr:nvCxnSpPr>
      <xdr:spPr>
        <a:xfrm>
          <a:off x="14775180" y="357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78105</xdr:colOff>
      <xdr:row>21</xdr:row>
      <xdr:rowOff>30480</xdr:rowOff>
    </xdr:from>
    <xdr:to>
      <xdr:col>76</xdr:col>
      <xdr:colOff>46264</xdr:colOff>
      <xdr:row>21</xdr:row>
      <xdr:rowOff>144780</xdr:rowOff>
    </xdr:to>
    <xdr:sp macro="" textlink="">
      <xdr:nvSpPr>
        <xdr:cNvPr id="6808" name="직사각형 6807">
          <a:extLst>
            <a:ext uri="{FF2B5EF4-FFF2-40B4-BE49-F238E27FC236}">
              <a16:creationId xmlns:a16="http://schemas.microsoft.com/office/drawing/2014/main" id="{0CE2DDE2-2345-496E-99F8-351D49559562}"/>
            </a:ext>
          </a:extLst>
        </xdr:cNvPr>
        <xdr:cNvSpPr/>
      </xdr:nvSpPr>
      <xdr:spPr>
        <a:xfrm>
          <a:off x="14775180" y="3364230"/>
          <a:ext cx="68253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71</xdr:col>
      <xdr:colOff>78105</xdr:colOff>
      <xdr:row>21</xdr:row>
      <xdr:rowOff>87630</xdr:rowOff>
    </xdr:from>
    <xdr:to>
      <xdr:col>71</xdr:col>
      <xdr:colOff>78105</xdr:colOff>
      <xdr:row>21</xdr:row>
      <xdr:rowOff>87630</xdr:rowOff>
    </xdr:to>
    <xdr:cxnSp macro="">
      <xdr:nvCxnSpPr>
        <xdr:cNvPr id="6809" name="직선 화살표 연결선 6808">
          <a:extLst>
            <a:ext uri="{FF2B5EF4-FFF2-40B4-BE49-F238E27FC236}">
              <a16:creationId xmlns:a16="http://schemas.microsoft.com/office/drawing/2014/main" id="{8908EF72-AADB-4CEF-A62B-9CBF3AFB89CA}"/>
            </a:ext>
          </a:extLst>
        </xdr:cNvPr>
        <xdr:cNvCxnSpPr/>
      </xdr:nvCxnSpPr>
      <xdr:spPr>
        <a:xfrm>
          <a:off x="14775180" y="342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81914</xdr:colOff>
      <xdr:row>19</xdr:row>
      <xdr:rowOff>30480</xdr:rowOff>
    </xdr:from>
    <xdr:to>
      <xdr:col>74</xdr:col>
      <xdr:colOff>42455</xdr:colOff>
      <xdr:row>19</xdr:row>
      <xdr:rowOff>144780</xdr:rowOff>
    </xdr:to>
    <xdr:sp macro="" textlink="">
      <xdr:nvSpPr>
        <xdr:cNvPr id="6810" name="직사각형 6809">
          <a:extLst>
            <a:ext uri="{FF2B5EF4-FFF2-40B4-BE49-F238E27FC236}">
              <a16:creationId xmlns:a16="http://schemas.microsoft.com/office/drawing/2014/main" id="{1A96B49C-9946-462E-8266-4CBEB17EBD95}"/>
            </a:ext>
          </a:extLst>
        </xdr:cNvPr>
        <xdr:cNvSpPr/>
      </xdr:nvSpPr>
      <xdr:spPr>
        <a:xfrm>
          <a:off x="15064739" y="3059430"/>
          <a:ext cx="10341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73</xdr:col>
      <xdr:colOff>81914</xdr:colOff>
      <xdr:row>19</xdr:row>
      <xdr:rowOff>87630</xdr:rowOff>
    </xdr:from>
    <xdr:to>
      <xdr:col>73</xdr:col>
      <xdr:colOff>81914</xdr:colOff>
      <xdr:row>19</xdr:row>
      <xdr:rowOff>87630</xdr:rowOff>
    </xdr:to>
    <xdr:cxnSp macro="">
      <xdr:nvCxnSpPr>
        <xdr:cNvPr id="6811" name="직선 화살표 연결선 6810">
          <a:extLst>
            <a:ext uri="{FF2B5EF4-FFF2-40B4-BE49-F238E27FC236}">
              <a16:creationId xmlns:a16="http://schemas.microsoft.com/office/drawing/2014/main" id="{649DD8CB-C54F-4B8E-95A1-D311F90FF413}"/>
            </a:ext>
          </a:extLst>
        </xdr:cNvPr>
        <xdr:cNvCxnSpPr/>
      </xdr:nvCxnSpPr>
      <xdr:spPr>
        <a:xfrm>
          <a:off x="15064739"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76200</xdr:colOff>
      <xdr:row>18</xdr:row>
      <xdr:rowOff>30480</xdr:rowOff>
    </xdr:from>
    <xdr:to>
      <xdr:col>71</xdr:col>
      <xdr:colOff>36739</xdr:colOff>
      <xdr:row>18</xdr:row>
      <xdr:rowOff>144780</xdr:rowOff>
    </xdr:to>
    <xdr:sp macro="" textlink="">
      <xdr:nvSpPr>
        <xdr:cNvPr id="6812" name="직사각형 6811">
          <a:extLst>
            <a:ext uri="{FF2B5EF4-FFF2-40B4-BE49-F238E27FC236}">
              <a16:creationId xmlns:a16="http://schemas.microsoft.com/office/drawing/2014/main" id="{7BA8AA0B-85BC-414F-AB12-C543FB4854DC}"/>
            </a:ext>
          </a:extLst>
        </xdr:cNvPr>
        <xdr:cNvSpPr/>
      </xdr:nvSpPr>
      <xdr:spPr>
        <a:xfrm>
          <a:off x="14630400" y="2907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76200</xdr:colOff>
      <xdr:row>18</xdr:row>
      <xdr:rowOff>87630</xdr:rowOff>
    </xdr:from>
    <xdr:to>
      <xdr:col>70</xdr:col>
      <xdr:colOff>76200</xdr:colOff>
      <xdr:row>18</xdr:row>
      <xdr:rowOff>87630</xdr:rowOff>
    </xdr:to>
    <xdr:cxnSp macro="">
      <xdr:nvCxnSpPr>
        <xdr:cNvPr id="6813" name="직선 화살표 연결선 6812">
          <a:extLst>
            <a:ext uri="{FF2B5EF4-FFF2-40B4-BE49-F238E27FC236}">
              <a16:creationId xmlns:a16="http://schemas.microsoft.com/office/drawing/2014/main" id="{1427D63B-C88C-4741-A658-2317C6E94F51}"/>
            </a:ext>
          </a:extLst>
        </xdr:cNvPr>
        <xdr:cNvCxnSpPr/>
      </xdr:nvCxnSpPr>
      <xdr:spPr>
        <a:xfrm>
          <a:off x="14630400"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138249</xdr:colOff>
      <xdr:row>14</xdr:row>
      <xdr:rowOff>30480</xdr:rowOff>
    </xdr:from>
    <xdr:to>
      <xdr:col>71</xdr:col>
      <xdr:colOff>36739</xdr:colOff>
      <xdr:row>14</xdr:row>
      <xdr:rowOff>144780</xdr:rowOff>
    </xdr:to>
    <xdr:sp macro="" textlink="">
      <xdr:nvSpPr>
        <xdr:cNvPr id="6814" name="직사각형 6813">
          <a:extLst>
            <a:ext uri="{FF2B5EF4-FFF2-40B4-BE49-F238E27FC236}">
              <a16:creationId xmlns:a16="http://schemas.microsoft.com/office/drawing/2014/main" id="{BD786C1E-7054-48D9-90D2-7B955126B8DD}"/>
            </a:ext>
          </a:extLst>
        </xdr:cNvPr>
        <xdr:cNvSpPr/>
      </xdr:nvSpPr>
      <xdr:spPr>
        <a:xfrm>
          <a:off x="14692449" y="2297430"/>
          <a:ext cx="4136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138249</xdr:colOff>
      <xdr:row>14</xdr:row>
      <xdr:rowOff>87630</xdr:rowOff>
    </xdr:from>
    <xdr:to>
      <xdr:col>70</xdr:col>
      <xdr:colOff>138249</xdr:colOff>
      <xdr:row>14</xdr:row>
      <xdr:rowOff>87630</xdr:rowOff>
    </xdr:to>
    <xdr:cxnSp macro="">
      <xdr:nvCxnSpPr>
        <xdr:cNvPr id="6815" name="직선 화살표 연결선 6814">
          <a:extLst>
            <a:ext uri="{FF2B5EF4-FFF2-40B4-BE49-F238E27FC236}">
              <a16:creationId xmlns:a16="http://schemas.microsoft.com/office/drawing/2014/main" id="{6CB8CA7A-5A46-4179-9E4A-0D05F3B24DEE}"/>
            </a:ext>
          </a:extLst>
        </xdr:cNvPr>
        <xdr:cNvCxnSpPr/>
      </xdr:nvCxnSpPr>
      <xdr:spPr>
        <a:xfrm>
          <a:off x="14692449"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74295</xdr:colOff>
      <xdr:row>13</xdr:row>
      <xdr:rowOff>30480</xdr:rowOff>
    </xdr:from>
    <xdr:to>
      <xdr:col>70</xdr:col>
      <xdr:colOff>34834</xdr:colOff>
      <xdr:row>13</xdr:row>
      <xdr:rowOff>144780</xdr:rowOff>
    </xdr:to>
    <xdr:sp macro="" textlink="">
      <xdr:nvSpPr>
        <xdr:cNvPr id="6816" name="직사각형 6815">
          <a:extLst>
            <a:ext uri="{FF2B5EF4-FFF2-40B4-BE49-F238E27FC236}">
              <a16:creationId xmlns:a16="http://schemas.microsoft.com/office/drawing/2014/main" id="{E57321BF-5655-481A-97D0-9A173ECA1A99}"/>
            </a:ext>
          </a:extLst>
        </xdr:cNvPr>
        <xdr:cNvSpPr/>
      </xdr:nvSpPr>
      <xdr:spPr>
        <a:xfrm>
          <a:off x="14485620" y="21450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74295</xdr:colOff>
      <xdr:row>13</xdr:row>
      <xdr:rowOff>87630</xdr:rowOff>
    </xdr:from>
    <xdr:to>
      <xdr:col>69</xdr:col>
      <xdr:colOff>74295</xdr:colOff>
      <xdr:row>13</xdr:row>
      <xdr:rowOff>87630</xdr:rowOff>
    </xdr:to>
    <xdr:cxnSp macro="">
      <xdr:nvCxnSpPr>
        <xdr:cNvPr id="6817" name="직선 화살표 연결선 6816">
          <a:extLst>
            <a:ext uri="{FF2B5EF4-FFF2-40B4-BE49-F238E27FC236}">
              <a16:creationId xmlns:a16="http://schemas.microsoft.com/office/drawing/2014/main" id="{1689F021-AFD8-410E-A89E-530980670F1C}"/>
            </a:ext>
          </a:extLst>
        </xdr:cNvPr>
        <xdr:cNvCxnSpPr/>
      </xdr:nvCxnSpPr>
      <xdr:spPr>
        <a:xfrm>
          <a:off x="14485620"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74295</xdr:colOff>
      <xdr:row>12</xdr:row>
      <xdr:rowOff>30480</xdr:rowOff>
    </xdr:from>
    <xdr:to>
      <xdr:col>74</xdr:col>
      <xdr:colOff>42455</xdr:colOff>
      <xdr:row>12</xdr:row>
      <xdr:rowOff>144780</xdr:rowOff>
    </xdr:to>
    <xdr:sp macro="" textlink="">
      <xdr:nvSpPr>
        <xdr:cNvPr id="6818" name="직사각형 6817">
          <a:extLst>
            <a:ext uri="{FF2B5EF4-FFF2-40B4-BE49-F238E27FC236}">
              <a16:creationId xmlns:a16="http://schemas.microsoft.com/office/drawing/2014/main" id="{BDA9474A-50BE-4F80-86B9-74239B1A7625}"/>
            </a:ext>
          </a:extLst>
        </xdr:cNvPr>
        <xdr:cNvSpPr/>
      </xdr:nvSpPr>
      <xdr:spPr>
        <a:xfrm>
          <a:off x="14485620" y="1992630"/>
          <a:ext cx="68253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74295</xdr:colOff>
      <xdr:row>12</xdr:row>
      <xdr:rowOff>87630</xdr:rowOff>
    </xdr:from>
    <xdr:to>
      <xdr:col>69</xdr:col>
      <xdr:colOff>74295</xdr:colOff>
      <xdr:row>12</xdr:row>
      <xdr:rowOff>87630</xdr:rowOff>
    </xdr:to>
    <xdr:cxnSp macro="">
      <xdr:nvCxnSpPr>
        <xdr:cNvPr id="6819" name="직선 화살표 연결선 6818">
          <a:extLst>
            <a:ext uri="{FF2B5EF4-FFF2-40B4-BE49-F238E27FC236}">
              <a16:creationId xmlns:a16="http://schemas.microsoft.com/office/drawing/2014/main" id="{A2F0A0B0-9CDB-4413-8117-B14B76D60EC6}"/>
            </a:ext>
          </a:extLst>
        </xdr:cNvPr>
        <xdr:cNvCxnSpPr/>
      </xdr:nvCxnSpPr>
      <xdr:spPr>
        <a:xfrm>
          <a:off x="14485620"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70</xdr:col>
      <xdr:colOff>76200</xdr:colOff>
      <xdr:row>10</xdr:row>
      <xdr:rowOff>30480</xdr:rowOff>
    </xdr:from>
    <xdr:to>
      <xdr:col>70</xdr:col>
      <xdr:colOff>138249</xdr:colOff>
      <xdr:row>10</xdr:row>
      <xdr:rowOff>144780</xdr:rowOff>
    </xdr:to>
    <xdr:sp macro="" textlink="">
      <xdr:nvSpPr>
        <xdr:cNvPr id="6820" name="직사각형 6819">
          <a:extLst>
            <a:ext uri="{FF2B5EF4-FFF2-40B4-BE49-F238E27FC236}">
              <a16:creationId xmlns:a16="http://schemas.microsoft.com/office/drawing/2014/main" id="{DD36BB54-3445-4B9F-BB7F-6F4AED241181}"/>
            </a:ext>
          </a:extLst>
        </xdr:cNvPr>
        <xdr:cNvSpPr/>
      </xdr:nvSpPr>
      <xdr:spPr>
        <a:xfrm>
          <a:off x="14630400" y="1687830"/>
          <a:ext cx="62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70</xdr:col>
      <xdr:colOff>76200</xdr:colOff>
      <xdr:row>10</xdr:row>
      <xdr:rowOff>87630</xdr:rowOff>
    </xdr:from>
    <xdr:to>
      <xdr:col>70</xdr:col>
      <xdr:colOff>138249</xdr:colOff>
      <xdr:row>10</xdr:row>
      <xdr:rowOff>87630</xdr:rowOff>
    </xdr:to>
    <xdr:cxnSp macro="">
      <xdr:nvCxnSpPr>
        <xdr:cNvPr id="6821" name="직선 화살표 연결선 6820">
          <a:extLst>
            <a:ext uri="{FF2B5EF4-FFF2-40B4-BE49-F238E27FC236}">
              <a16:creationId xmlns:a16="http://schemas.microsoft.com/office/drawing/2014/main" id="{C5239097-62FA-45AB-970A-ED670E60FF9B}"/>
            </a:ext>
          </a:extLst>
        </xdr:cNvPr>
        <xdr:cNvCxnSpPr/>
      </xdr:nvCxnSpPr>
      <xdr:spPr>
        <a:xfrm>
          <a:off x="14630400" y="17449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74295</xdr:colOff>
      <xdr:row>9</xdr:row>
      <xdr:rowOff>30480</xdr:rowOff>
    </xdr:from>
    <xdr:to>
      <xdr:col>70</xdr:col>
      <xdr:colOff>34834</xdr:colOff>
      <xdr:row>9</xdr:row>
      <xdr:rowOff>144780</xdr:rowOff>
    </xdr:to>
    <xdr:sp macro="" textlink="">
      <xdr:nvSpPr>
        <xdr:cNvPr id="6822" name="직사각형 6821">
          <a:extLst>
            <a:ext uri="{FF2B5EF4-FFF2-40B4-BE49-F238E27FC236}">
              <a16:creationId xmlns:a16="http://schemas.microsoft.com/office/drawing/2014/main" id="{5C8D262B-1B38-4220-90E5-EDC69ACF65A4}"/>
            </a:ext>
          </a:extLst>
        </xdr:cNvPr>
        <xdr:cNvSpPr/>
      </xdr:nvSpPr>
      <xdr:spPr>
        <a:xfrm>
          <a:off x="14485620" y="15354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74295</xdr:colOff>
      <xdr:row>9</xdr:row>
      <xdr:rowOff>87630</xdr:rowOff>
    </xdr:from>
    <xdr:to>
      <xdr:col>70</xdr:col>
      <xdr:colOff>34834</xdr:colOff>
      <xdr:row>9</xdr:row>
      <xdr:rowOff>87630</xdr:rowOff>
    </xdr:to>
    <xdr:cxnSp macro="">
      <xdr:nvCxnSpPr>
        <xdr:cNvPr id="6823" name="직선 화살표 연결선 6822">
          <a:extLst>
            <a:ext uri="{FF2B5EF4-FFF2-40B4-BE49-F238E27FC236}">
              <a16:creationId xmlns:a16="http://schemas.microsoft.com/office/drawing/2014/main" id="{3D49B051-B31B-436A-879A-908EC9736ED5}"/>
            </a:ext>
          </a:extLst>
        </xdr:cNvPr>
        <xdr:cNvCxnSpPr/>
      </xdr:nvCxnSpPr>
      <xdr:spPr>
        <a:xfrm>
          <a:off x="14485620" y="1592580"/>
          <a:ext cx="1034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74295</xdr:colOff>
      <xdr:row>8</xdr:row>
      <xdr:rowOff>30480</xdr:rowOff>
    </xdr:from>
    <xdr:to>
      <xdr:col>69</xdr:col>
      <xdr:colOff>115661</xdr:colOff>
      <xdr:row>8</xdr:row>
      <xdr:rowOff>144780</xdr:rowOff>
    </xdr:to>
    <xdr:sp macro="" textlink="">
      <xdr:nvSpPr>
        <xdr:cNvPr id="6824" name="직사각형 6823">
          <a:extLst>
            <a:ext uri="{FF2B5EF4-FFF2-40B4-BE49-F238E27FC236}">
              <a16:creationId xmlns:a16="http://schemas.microsoft.com/office/drawing/2014/main" id="{0A74C76F-9FAD-4B42-A18B-242F78E2C47D}"/>
            </a:ext>
          </a:extLst>
        </xdr:cNvPr>
        <xdr:cNvSpPr/>
      </xdr:nvSpPr>
      <xdr:spPr>
        <a:xfrm>
          <a:off x="14485620" y="13830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69</xdr:col>
      <xdr:colOff>74295</xdr:colOff>
      <xdr:row>8</xdr:row>
      <xdr:rowOff>87630</xdr:rowOff>
    </xdr:from>
    <xdr:to>
      <xdr:col>69</xdr:col>
      <xdr:colOff>115661</xdr:colOff>
      <xdr:row>8</xdr:row>
      <xdr:rowOff>87630</xdr:rowOff>
    </xdr:to>
    <xdr:cxnSp macro="">
      <xdr:nvCxnSpPr>
        <xdr:cNvPr id="6825" name="직선 화살표 연결선 6824">
          <a:extLst>
            <a:ext uri="{FF2B5EF4-FFF2-40B4-BE49-F238E27FC236}">
              <a16:creationId xmlns:a16="http://schemas.microsoft.com/office/drawing/2014/main" id="{C94B853F-3333-4756-B352-BFEF7F49DDAF}"/>
            </a:ext>
          </a:extLst>
        </xdr:cNvPr>
        <xdr:cNvCxnSpPr/>
      </xdr:nvCxnSpPr>
      <xdr:spPr>
        <a:xfrm>
          <a:off x="14485620" y="14401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72389</xdr:colOff>
      <xdr:row>7</xdr:row>
      <xdr:rowOff>30480</xdr:rowOff>
    </xdr:from>
    <xdr:to>
      <xdr:col>69</xdr:col>
      <xdr:colOff>32930</xdr:colOff>
      <xdr:row>7</xdr:row>
      <xdr:rowOff>144780</xdr:rowOff>
    </xdr:to>
    <xdr:sp macro="" textlink="">
      <xdr:nvSpPr>
        <xdr:cNvPr id="6826" name="직사각형 6825">
          <a:extLst>
            <a:ext uri="{FF2B5EF4-FFF2-40B4-BE49-F238E27FC236}">
              <a16:creationId xmlns:a16="http://schemas.microsoft.com/office/drawing/2014/main" id="{5634948E-96D3-4969-99F4-DEC92888D43F}"/>
            </a:ext>
          </a:extLst>
        </xdr:cNvPr>
        <xdr:cNvSpPr/>
      </xdr:nvSpPr>
      <xdr:spPr>
        <a:xfrm>
          <a:off x="14340839" y="1230630"/>
          <a:ext cx="10341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72389</xdr:colOff>
      <xdr:row>7</xdr:row>
      <xdr:rowOff>87630</xdr:rowOff>
    </xdr:from>
    <xdr:to>
      <xdr:col>69</xdr:col>
      <xdr:colOff>32930</xdr:colOff>
      <xdr:row>7</xdr:row>
      <xdr:rowOff>87630</xdr:rowOff>
    </xdr:to>
    <xdr:cxnSp macro="">
      <xdr:nvCxnSpPr>
        <xdr:cNvPr id="6827" name="직선 화살표 연결선 6826">
          <a:extLst>
            <a:ext uri="{FF2B5EF4-FFF2-40B4-BE49-F238E27FC236}">
              <a16:creationId xmlns:a16="http://schemas.microsoft.com/office/drawing/2014/main" id="{9EC4B1BE-873E-465B-8CD0-0126F3FFB732}"/>
            </a:ext>
          </a:extLst>
        </xdr:cNvPr>
        <xdr:cNvCxnSpPr/>
      </xdr:nvCxnSpPr>
      <xdr:spPr>
        <a:xfrm>
          <a:off x="14340839" y="1287780"/>
          <a:ext cx="10341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72389</xdr:colOff>
      <xdr:row>6</xdr:row>
      <xdr:rowOff>30480</xdr:rowOff>
    </xdr:from>
    <xdr:to>
      <xdr:col>69</xdr:col>
      <xdr:colOff>32930</xdr:colOff>
      <xdr:row>6</xdr:row>
      <xdr:rowOff>144780</xdr:rowOff>
    </xdr:to>
    <xdr:sp macro="" textlink="">
      <xdr:nvSpPr>
        <xdr:cNvPr id="6828" name="직사각형 6827">
          <a:extLst>
            <a:ext uri="{FF2B5EF4-FFF2-40B4-BE49-F238E27FC236}">
              <a16:creationId xmlns:a16="http://schemas.microsoft.com/office/drawing/2014/main" id="{49D06D03-3E4A-4E9A-A70C-522DAAF0B643}"/>
            </a:ext>
          </a:extLst>
        </xdr:cNvPr>
        <xdr:cNvSpPr/>
      </xdr:nvSpPr>
      <xdr:spPr>
        <a:xfrm>
          <a:off x="14340839" y="1078230"/>
          <a:ext cx="10341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72389</xdr:colOff>
      <xdr:row>6</xdr:row>
      <xdr:rowOff>87630</xdr:rowOff>
    </xdr:from>
    <xdr:to>
      <xdr:col>69</xdr:col>
      <xdr:colOff>32930</xdr:colOff>
      <xdr:row>6</xdr:row>
      <xdr:rowOff>87630</xdr:rowOff>
    </xdr:to>
    <xdr:cxnSp macro="">
      <xdr:nvCxnSpPr>
        <xdr:cNvPr id="6829" name="직선 화살표 연결선 6828">
          <a:extLst>
            <a:ext uri="{FF2B5EF4-FFF2-40B4-BE49-F238E27FC236}">
              <a16:creationId xmlns:a16="http://schemas.microsoft.com/office/drawing/2014/main" id="{54337C22-3070-4640-B42C-AE585B790F3E}"/>
            </a:ext>
          </a:extLst>
        </xdr:cNvPr>
        <xdr:cNvCxnSpPr/>
      </xdr:nvCxnSpPr>
      <xdr:spPr>
        <a:xfrm>
          <a:off x="14340839" y="1135380"/>
          <a:ext cx="10341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68</xdr:col>
      <xdr:colOff>72389</xdr:colOff>
      <xdr:row>4</xdr:row>
      <xdr:rowOff>30480</xdr:rowOff>
    </xdr:from>
    <xdr:to>
      <xdr:col>70</xdr:col>
      <xdr:colOff>138249</xdr:colOff>
      <xdr:row>4</xdr:row>
      <xdr:rowOff>144780</xdr:rowOff>
    </xdr:to>
    <xdr:sp macro="" textlink="">
      <xdr:nvSpPr>
        <xdr:cNvPr id="6830" name="직사각형 6829">
          <a:extLst>
            <a:ext uri="{FF2B5EF4-FFF2-40B4-BE49-F238E27FC236}">
              <a16:creationId xmlns:a16="http://schemas.microsoft.com/office/drawing/2014/main" id="{131098E0-A111-4844-99E0-413032E895B3}"/>
            </a:ext>
          </a:extLst>
        </xdr:cNvPr>
        <xdr:cNvSpPr/>
      </xdr:nvSpPr>
      <xdr:spPr>
        <a:xfrm>
          <a:off x="14340839" y="773430"/>
          <a:ext cx="35161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68</xdr:col>
      <xdr:colOff>72389</xdr:colOff>
      <xdr:row>4</xdr:row>
      <xdr:rowOff>87630</xdr:rowOff>
    </xdr:from>
    <xdr:to>
      <xdr:col>70</xdr:col>
      <xdr:colOff>138249</xdr:colOff>
      <xdr:row>4</xdr:row>
      <xdr:rowOff>87630</xdr:rowOff>
    </xdr:to>
    <xdr:cxnSp macro="">
      <xdr:nvCxnSpPr>
        <xdr:cNvPr id="6831" name="직선 화살표 연결선 6830">
          <a:extLst>
            <a:ext uri="{FF2B5EF4-FFF2-40B4-BE49-F238E27FC236}">
              <a16:creationId xmlns:a16="http://schemas.microsoft.com/office/drawing/2014/main" id="{B44CAF2A-D63C-4A84-910B-87E2FBFF372C}"/>
            </a:ext>
          </a:extLst>
        </xdr:cNvPr>
        <xdr:cNvCxnSpPr/>
      </xdr:nvCxnSpPr>
      <xdr:spPr>
        <a:xfrm>
          <a:off x="14340839" y="830580"/>
          <a:ext cx="3516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989</v>
      </c>
      <c r="C8" s="101" t="s">
        <v>1124</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1154</v>
      </c>
      <c r="D11" s="99" t="s">
        <v>26</v>
      </c>
      <c r="E11" s="108">
        <v>1</v>
      </c>
      <c r="F11" s="109" t="s">
        <v>27</v>
      </c>
      <c r="G11" s="110">
        <v>43466</v>
      </c>
      <c r="H11" s="109" t="s">
        <v>28</v>
      </c>
      <c r="I11" s="110">
        <v>43830</v>
      </c>
      <c r="J11" s="102" t="s">
        <v>418</v>
      </c>
      <c r="K11" s="102" t="s">
        <v>1125</v>
      </c>
      <c r="L11" s="102" t="s">
        <v>415</v>
      </c>
      <c r="M11" s="102">
        <v>0</v>
      </c>
      <c r="N11" s="107" t="s">
        <v>29</v>
      </c>
      <c r="O11" s="99">
        <v>0</v>
      </c>
      <c r="P11" s="99" t="s">
        <v>30</v>
      </c>
      <c r="Q11" s="107" t="s">
        <v>1130</v>
      </c>
      <c r="R11" s="102" t="s">
        <v>420</v>
      </c>
      <c r="S11" s="102">
        <v>2</v>
      </c>
      <c r="T11" s="102" t="s">
        <v>425</v>
      </c>
      <c r="U11" s="102">
        <v>0</v>
      </c>
      <c r="V11" s="102" t="s">
        <v>426</v>
      </c>
      <c r="W11" s="102">
        <v>0</v>
      </c>
      <c r="X11" s="102" t="s">
        <v>430</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985</v>
      </c>
      <c r="AE12" s="102">
        <v>1</v>
      </c>
    </row>
    <row r="13" spans="1:64">
      <c r="A13" s="101" t="s">
        <v>402</v>
      </c>
      <c r="B13" s="107" t="s">
        <v>31</v>
      </c>
      <c r="C13" s="99">
        <v>1</v>
      </c>
      <c r="D13" s="107" t="s">
        <v>32</v>
      </c>
      <c r="E13" s="99" t="s">
        <v>1131</v>
      </c>
      <c r="F13" s="99" t="s">
        <v>33</v>
      </c>
      <c r="G13" s="109" t="s">
        <v>1155</v>
      </c>
      <c r="H13" s="109" t="s">
        <v>34</v>
      </c>
      <c r="I13" s="102" t="s">
        <v>1044</v>
      </c>
    </row>
    <row r="14" spans="1:64">
      <c r="A14" s="101" t="s">
        <v>403</v>
      </c>
      <c r="B14" s="108" t="s">
        <v>35</v>
      </c>
      <c r="C14" s="108" t="s">
        <v>1132</v>
      </c>
      <c r="D14" s="108" t="s">
        <v>36</v>
      </c>
      <c r="E14" s="108" t="s">
        <v>1133</v>
      </c>
      <c r="F14" s="108" t="s">
        <v>37</v>
      </c>
      <c r="G14" s="108" t="s">
        <v>1099</v>
      </c>
      <c r="H14" s="108" t="s">
        <v>38</v>
      </c>
      <c r="I14" s="108" t="b">
        <v>0</v>
      </c>
      <c r="J14" s="108" t="s">
        <v>39</v>
      </c>
      <c r="K14" s="108" t="s">
        <v>1111</v>
      </c>
      <c r="L14" s="108" t="s">
        <v>40</v>
      </c>
      <c r="M14" s="108" t="s">
        <v>1100</v>
      </c>
      <c r="N14" s="108" t="s">
        <v>41</v>
      </c>
      <c r="O14" s="108" t="s">
        <v>1099</v>
      </c>
      <c r="P14" s="108" t="s">
        <v>42</v>
      </c>
      <c r="Q14" s="108" t="b">
        <v>0</v>
      </c>
      <c r="R14" s="108" t="s">
        <v>43</v>
      </c>
      <c r="S14" s="108" t="s">
        <v>1134</v>
      </c>
      <c r="T14" s="108" t="s">
        <v>44</v>
      </c>
      <c r="U14" s="108" t="s">
        <v>1112</v>
      </c>
      <c r="V14" s="108" t="s">
        <v>45</v>
      </c>
      <c r="W14" s="108" t="s">
        <v>1099</v>
      </c>
      <c r="X14" s="108" t="s">
        <v>46</v>
      </c>
      <c r="Y14" s="108" t="b">
        <v>1</v>
      </c>
      <c r="Z14" s="108" t="s">
        <v>47</v>
      </c>
      <c r="AA14" s="108" t="s">
        <v>1101</v>
      </c>
      <c r="AB14" s="108" t="s">
        <v>48</v>
      </c>
      <c r="AC14" s="108" t="s">
        <v>1113</v>
      </c>
      <c r="AD14" s="108" t="s">
        <v>49</v>
      </c>
      <c r="AE14" s="108" t="s">
        <v>1135</v>
      </c>
      <c r="AF14" s="108" t="s">
        <v>50</v>
      </c>
      <c r="AG14" s="108" t="b">
        <v>1</v>
      </c>
      <c r="AH14" s="108" t="s">
        <v>51</v>
      </c>
      <c r="AI14" s="108" t="s">
        <v>1103</v>
      </c>
      <c r="AJ14" s="108" t="s">
        <v>52</v>
      </c>
      <c r="AK14" s="108" t="s">
        <v>1068</v>
      </c>
      <c r="AL14" s="108" t="s">
        <v>53</v>
      </c>
      <c r="AM14" s="108" t="s">
        <v>1136</v>
      </c>
      <c r="AN14" s="108" t="s">
        <v>54</v>
      </c>
      <c r="AO14" s="108" t="b">
        <v>0</v>
      </c>
      <c r="AP14" s="108" t="s">
        <v>55</v>
      </c>
      <c r="AQ14" s="108" t="s">
        <v>1066</v>
      </c>
      <c r="AR14" s="108" t="s">
        <v>56</v>
      </c>
      <c r="AS14" s="108" t="s">
        <v>1069</v>
      </c>
      <c r="AT14" s="108" t="s">
        <v>57</v>
      </c>
      <c r="AU14" s="108" t="s">
        <v>1104</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1070</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931</v>
      </c>
      <c r="B1" s="124" t="s">
        <v>932</v>
      </c>
      <c r="C1" s="125" t="s">
        <v>933</v>
      </c>
      <c r="D1" s="125" t="s">
        <v>67</v>
      </c>
      <c r="E1" s="125" t="s">
        <v>68</v>
      </c>
    </row>
    <row r="2" spans="1:5" ht="79.2">
      <c r="A2" s="126" t="s">
        <v>1137</v>
      </c>
      <c r="B2" s="139">
        <v>1</v>
      </c>
      <c r="D2" s="127" t="s">
        <v>934</v>
      </c>
      <c r="E2" s="140" t="s">
        <v>610</v>
      </c>
    </row>
    <row r="3" spans="1:5" ht="112.5" customHeight="1">
      <c r="A3" s="128">
        <v>450</v>
      </c>
      <c r="B3" s="139">
        <v>2</v>
      </c>
      <c r="D3" s="127" t="s">
        <v>537</v>
      </c>
      <c r="E3" s="140" t="s">
        <v>935</v>
      </c>
    </row>
    <row r="4" spans="1:5" ht="52.8">
      <c r="B4" s="139">
        <v>3</v>
      </c>
      <c r="D4" s="127" t="s">
        <v>936</v>
      </c>
      <c r="E4" s="140" t="s">
        <v>611</v>
      </c>
    </row>
    <row r="5" spans="1:5" ht="52.8">
      <c r="B5" s="139">
        <v>4</v>
      </c>
      <c r="D5" s="127" t="s">
        <v>937</v>
      </c>
      <c r="E5" s="140" t="s">
        <v>612</v>
      </c>
    </row>
    <row r="6" spans="1:5" ht="52.8">
      <c r="B6" s="139">
        <v>5</v>
      </c>
      <c r="D6" s="127" t="s">
        <v>938</v>
      </c>
      <c r="E6" s="140" t="s">
        <v>613</v>
      </c>
    </row>
    <row r="7" spans="1:5" ht="39.6">
      <c r="B7" s="139">
        <v>6</v>
      </c>
      <c r="D7" s="127" t="s">
        <v>939</v>
      </c>
      <c r="E7" s="140" t="s">
        <v>614</v>
      </c>
    </row>
    <row r="8" spans="1:5">
      <c r="B8" s="139">
        <v>7</v>
      </c>
      <c r="D8" s="127" t="s">
        <v>925</v>
      </c>
      <c r="E8" s="140" t="s">
        <v>940</v>
      </c>
    </row>
    <row r="9" spans="1:5">
      <c r="B9" s="139">
        <v>101</v>
      </c>
      <c r="D9" s="127" t="s">
        <v>69</v>
      </c>
      <c r="E9" s="140" t="s">
        <v>615</v>
      </c>
    </row>
    <row r="10" spans="1:5">
      <c r="B10" s="139">
        <v>102</v>
      </c>
      <c r="D10" s="127" t="s">
        <v>70</v>
      </c>
      <c r="E10" s="140" t="s">
        <v>616</v>
      </c>
    </row>
    <row r="11" spans="1:5">
      <c r="B11" s="139">
        <v>103</v>
      </c>
      <c r="D11" s="127" t="s">
        <v>71</v>
      </c>
      <c r="E11" s="140" t="s">
        <v>617</v>
      </c>
    </row>
    <row r="12" spans="1:5">
      <c r="B12" s="139">
        <v>104</v>
      </c>
      <c r="D12" s="127" t="s">
        <v>72</v>
      </c>
      <c r="E12" s="140" t="s">
        <v>618</v>
      </c>
    </row>
    <row r="13" spans="1:5">
      <c r="B13" s="139">
        <v>105</v>
      </c>
      <c r="D13" s="127" t="s">
        <v>73</v>
      </c>
      <c r="E13" s="140" t="s">
        <v>619</v>
      </c>
    </row>
    <row r="14" spans="1:5">
      <c r="B14" s="139">
        <v>106</v>
      </c>
      <c r="D14" s="127" t="s">
        <v>455</v>
      </c>
      <c r="E14" s="140" t="s">
        <v>620</v>
      </c>
    </row>
    <row r="15" spans="1:5" ht="26.4">
      <c r="B15" s="139">
        <v>107</v>
      </c>
      <c r="D15" s="127" t="s">
        <v>456</v>
      </c>
      <c r="E15" s="140" t="s">
        <v>621</v>
      </c>
    </row>
    <row r="16" spans="1:5" ht="39.6">
      <c r="B16" s="139">
        <v>108</v>
      </c>
      <c r="D16" s="127" t="s">
        <v>457</v>
      </c>
      <c r="E16" s="140" t="s">
        <v>622</v>
      </c>
    </row>
    <row r="17" spans="1:6">
      <c r="B17" s="139">
        <v>109</v>
      </c>
      <c r="D17" s="127" t="s">
        <v>74</v>
      </c>
      <c r="E17" s="140" t="s">
        <v>540</v>
      </c>
    </row>
    <row r="18" spans="1:6">
      <c r="B18" s="139">
        <v>110</v>
      </c>
      <c r="D18" s="127" t="s">
        <v>75</v>
      </c>
      <c r="E18" s="140" t="s">
        <v>623</v>
      </c>
    </row>
    <row r="19" spans="1:6">
      <c r="B19" s="139">
        <v>111</v>
      </c>
      <c r="D19" s="127" t="s">
        <v>76</v>
      </c>
      <c r="E19" s="140" t="s">
        <v>624</v>
      </c>
    </row>
    <row r="20" spans="1:6">
      <c r="A20" s="129"/>
      <c r="B20" s="139">
        <v>112</v>
      </c>
      <c r="C20" s="138" t="s">
        <v>941</v>
      </c>
      <c r="D20" s="128" t="s">
        <v>942</v>
      </c>
      <c r="E20" s="128" t="s">
        <v>538</v>
      </c>
      <c r="F20" s="130"/>
    </row>
    <row r="21" spans="1:6">
      <c r="B21" s="139">
        <v>113</v>
      </c>
      <c r="D21" s="127" t="s">
        <v>77</v>
      </c>
      <c r="E21" s="140" t="s">
        <v>541</v>
      </c>
    </row>
    <row r="22" spans="1:6">
      <c r="B22" s="139">
        <v>114</v>
      </c>
      <c r="D22" s="127" t="s">
        <v>78</v>
      </c>
      <c r="E22" s="140" t="s">
        <v>625</v>
      </c>
    </row>
    <row r="23" spans="1:6">
      <c r="B23" s="139">
        <v>115</v>
      </c>
      <c r="D23" s="127" t="s">
        <v>79</v>
      </c>
      <c r="E23" s="140" t="s">
        <v>626</v>
      </c>
    </row>
    <row r="24" spans="1:6" ht="26.4">
      <c r="B24" s="139">
        <v>116</v>
      </c>
      <c r="D24" s="127" t="s">
        <v>458</v>
      </c>
      <c r="E24" s="140" t="s">
        <v>627</v>
      </c>
    </row>
    <row r="25" spans="1:6">
      <c r="B25" s="139">
        <v>117</v>
      </c>
      <c r="D25" s="127" t="s">
        <v>459</v>
      </c>
      <c r="E25" s="140" t="s">
        <v>628</v>
      </c>
    </row>
    <row r="26" spans="1:6" ht="26.4">
      <c r="B26" s="139">
        <v>118</v>
      </c>
      <c r="D26" s="127" t="s">
        <v>80</v>
      </c>
      <c r="E26" s="140" t="s">
        <v>629</v>
      </c>
    </row>
    <row r="27" spans="1:6">
      <c r="B27" s="139">
        <v>119</v>
      </c>
      <c r="D27" s="127" t="s">
        <v>81</v>
      </c>
      <c r="E27" s="140" t="s">
        <v>630</v>
      </c>
    </row>
    <row r="28" spans="1:6">
      <c r="B28" s="139">
        <v>120</v>
      </c>
      <c r="D28" s="127" t="s">
        <v>453</v>
      </c>
      <c r="E28" s="140" t="s">
        <v>631</v>
      </c>
    </row>
    <row r="29" spans="1:6">
      <c r="B29" s="139">
        <v>121</v>
      </c>
      <c r="D29" s="127" t="s">
        <v>82</v>
      </c>
      <c r="E29" s="140" t="s">
        <v>632</v>
      </c>
    </row>
    <row r="30" spans="1:6">
      <c r="B30" s="139">
        <v>122</v>
      </c>
      <c r="D30" s="127" t="s">
        <v>83</v>
      </c>
      <c r="E30" s="140" t="s">
        <v>633</v>
      </c>
    </row>
    <row r="31" spans="1:6">
      <c r="B31" s="139">
        <v>123</v>
      </c>
      <c r="D31" s="127" t="s">
        <v>84</v>
      </c>
      <c r="E31" s="140" t="s">
        <v>634</v>
      </c>
    </row>
    <row r="32" spans="1:6">
      <c r="B32" s="139">
        <v>124</v>
      </c>
      <c r="D32" s="127" t="s">
        <v>85</v>
      </c>
      <c r="E32" s="140" t="s">
        <v>635</v>
      </c>
    </row>
    <row r="33" spans="2:5" ht="26.4">
      <c r="B33" s="139">
        <v>125</v>
      </c>
      <c r="D33" s="127" t="s">
        <v>454</v>
      </c>
      <c r="E33" s="140" t="s">
        <v>636</v>
      </c>
    </row>
    <row r="34" spans="2:5">
      <c r="B34" s="139">
        <v>126</v>
      </c>
      <c r="D34" s="127" t="s">
        <v>86</v>
      </c>
      <c r="E34" s="140" t="s">
        <v>637</v>
      </c>
    </row>
    <row r="35" spans="2:5">
      <c r="B35" s="139">
        <v>127</v>
      </c>
      <c r="D35" s="127" t="s">
        <v>87</v>
      </c>
      <c r="E35" s="140" t="s">
        <v>638</v>
      </c>
    </row>
    <row r="36" spans="2:5">
      <c r="B36" s="139">
        <v>128</v>
      </c>
      <c r="D36" s="127" t="s">
        <v>460</v>
      </c>
      <c r="E36" s="140" t="s">
        <v>639</v>
      </c>
    </row>
    <row r="37" spans="2:5">
      <c r="B37" s="139">
        <v>129</v>
      </c>
      <c r="D37" s="127" t="s">
        <v>88</v>
      </c>
      <c r="E37" s="140" t="s">
        <v>640</v>
      </c>
    </row>
    <row r="38" spans="2:5">
      <c r="B38" s="139">
        <v>130</v>
      </c>
      <c r="D38" s="127" t="s">
        <v>89</v>
      </c>
      <c r="E38" s="140" t="s">
        <v>542</v>
      </c>
    </row>
    <row r="39" spans="2:5">
      <c r="B39" s="139">
        <v>131</v>
      </c>
      <c r="D39" s="127" t="s">
        <v>90</v>
      </c>
      <c r="E39" s="140" t="s">
        <v>543</v>
      </c>
    </row>
    <row r="40" spans="2:5">
      <c r="B40" s="139">
        <v>132</v>
      </c>
      <c r="D40" s="132" t="s">
        <v>461</v>
      </c>
      <c r="E40" s="133">
        <v>43435</v>
      </c>
    </row>
    <row r="41" spans="2:5">
      <c r="B41" s="139">
        <v>133</v>
      </c>
      <c r="D41" s="132" t="s">
        <v>461</v>
      </c>
      <c r="E41" s="133">
        <v>43435</v>
      </c>
    </row>
    <row r="42" spans="2:5">
      <c r="B42" s="139">
        <v>134</v>
      </c>
      <c r="D42" s="132" t="s">
        <v>462</v>
      </c>
      <c r="E42" s="133">
        <v>43465</v>
      </c>
    </row>
    <row r="43" spans="2:5">
      <c r="B43" s="139">
        <v>135</v>
      </c>
      <c r="D43" s="132" t="s">
        <v>462</v>
      </c>
      <c r="E43" s="133">
        <v>43465</v>
      </c>
    </row>
    <row r="44" spans="2:5">
      <c r="B44" s="139">
        <v>136</v>
      </c>
      <c r="D44" s="127" t="s">
        <v>91</v>
      </c>
      <c r="E44" s="140" t="s">
        <v>91</v>
      </c>
    </row>
    <row r="45" spans="2:5">
      <c r="B45" s="139">
        <v>137</v>
      </c>
      <c r="D45" s="127" t="s">
        <v>92</v>
      </c>
      <c r="E45" s="140" t="s">
        <v>641</v>
      </c>
    </row>
    <row r="46" spans="2:5">
      <c r="B46" s="139">
        <v>138</v>
      </c>
      <c r="C46" s="136" t="s">
        <v>943</v>
      </c>
      <c r="D46" s="127" t="s">
        <v>944</v>
      </c>
      <c r="E46" s="166" t="s">
        <v>945</v>
      </c>
    </row>
    <row r="47" spans="2:5">
      <c r="B47" s="139">
        <v>139</v>
      </c>
      <c r="D47" s="127" t="s">
        <v>93</v>
      </c>
      <c r="E47" s="140" t="s">
        <v>642</v>
      </c>
    </row>
    <row r="48" spans="2:5">
      <c r="B48" s="139">
        <v>140</v>
      </c>
      <c r="D48" s="127" t="s">
        <v>94</v>
      </c>
      <c r="E48" s="140" t="s">
        <v>643</v>
      </c>
    </row>
    <row r="49" spans="1:6">
      <c r="B49" s="139">
        <v>141</v>
      </c>
      <c r="D49" s="127" t="s">
        <v>463</v>
      </c>
      <c r="E49" s="140" t="s">
        <v>544</v>
      </c>
    </row>
    <row r="50" spans="1:6">
      <c r="B50" s="139">
        <v>142</v>
      </c>
      <c r="D50" s="127" t="s">
        <v>95</v>
      </c>
      <c r="E50" s="140" t="s">
        <v>545</v>
      </c>
    </row>
    <row r="51" spans="1:6">
      <c r="B51" s="139">
        <v>143</v>
      </c>
      <c r="D51" s="127" t="s">
        <v>96</v>
      </c>
      <c r="E51" s="140" t="s">
        <v>644</v>
      </c>
    </row>
    <row r="52" spans="1:6">
      <c r="B52" s="139">
        <v>144</v>
      </c>
      <c r="D52" s="127" t="s">
        <v>97</v>
      </c>
      <c r="E52" s="140" t="s">
        <v>645</v>
      </c>
    </row>
    <row r="53" spans="1:6">
      <c r="B53" s="139">
        <v>145</v>
      </c>
      <c r="D53" s="127" t="s">
        <v>98</v>
      </c>
      <c r="E53" s="140" t="s">
        <v>646</v>
      </c>
    </row>
    <row r="54" spans="1:6">
      <c r="B54" s="139">
        <v>146</v>
      </c>
      <c r="D54" s="127" t="s">
        <v>99</v>
      </c>
      <c r="E54" s="140" t="s">
        <v>647</v>
      </c>
    </row>
    <row r="55" spans="1:6">
      <c r="B55" s="139">
        <v>147</v>
      </c>
      <c r="D55" s="127" t="s">
        <v>464</v>
      </c>
      <c r="E55" s="140" t="s">
        <v>546</v>
      </c>
    </row>
    <row r="56" spans="1:6">
      <c r="B56" s="139">
        <v>148</v>
      </c>
      <c r="D56" s="127" t="s">
        <v>100</v>
      </c>
      <c r="E56" s="140" t="s">
        <v>547</v>
      </c>
    </row>
    <row r="57" spans="1:6">
      <c r="B57" s="139">
        <v>149</v>
      </c>
      <c r="D57" s="127" t="s">
        <v>101</v>
      </c>
      <c r="E57" s="140" t="s">
        <v>648</v>
      </c>
    </row>
    <row r="58" spans="1:6">
      <c r="B58" s="139">
        <v>150</v>
      </c>
      <c r="D58" s="127" t="s">
        <v>102</v>
      </c>
      <c r="E58" s="140" t="s">
        <v>649</v>
      </c>
    </row>
    <row r="59" spans="1:6">
      <c r="B59" s="139">
        <v>151</v>
      </c>
      <c r="D59" s="127" t="s">
        <v>103</v>
      </c>
      <c r="E59" s="140" t="s">
        <v>650</v>
      </c>
    </row>
    <row r="60" spans="1:6">
      <c r="B60" s="139">
        <v>152</v>
      </c>
      <c r="D60" s="127" t="s">
        <v>465</v>
      </c>
      <c r="E60" s="140" t="s">
        <v>651</v>
      </c>
    </row>
    <row r="61" spans="1:6">
      <c r="A61" s="131"/>
      <c r="B61" s="139">
        <v>153</v>
      </c>
      <c r="C61" s="138" t="s">
        <v>532</v>
      </c>
      <c r="D61" s="128" t="s">
        <v>946</v>
      </c>
      <c r="E61" s="128" t="s">
        <v>947</v>
      </c>
      <c r="F61" s="130"/>
    </row>
    <row r="62" spans="1:6" ht="14.4">
      <c r="B62" s="139">
        <v>154</v>
      </c>
      <c r="D62" s="127" t="s">
        <v>104</v>
      </c>
      <c r="E62" s="168" t="s">
        <v>929</v>
      </c>
    </row>
    <row r="63" spans="1:6" ht="14.4">
      <c r="B63" s="139">
        <v>155</v>
      </c>
      <c r="D63" s="127" t="s">
        <v>105</v>
      </c>
      <c r="E63" s="168" t="s">
        <v>948</v>
      </c>
    </row>
    <row r="64" spans="1:6">
      <c r="A64" s="131"/>
      <c r="B64" s="139">
        <v>156</v>
      </c>
      <c r="C64" s="138" t="s">
        <v>949</v>
      </c>
      <c r="D64" s="128" t="s">
        <v>950</v>
      </c>
      <c r="E64" s="128" t="s">
        <v>951</v>
      </c>
      <c r="F64" s="130"/>
    </row>
    <row r="65" spans="1:6">
      <c r="A65" s="131"/>
      <c r="B65" s="139">
        <v>157</v>
      </c>
      <c r="C65" s="138" t="s">
        <v>532</v>
      </c>
      <c r="D65" s="128" t="s">
        <v>952</v>
      </c>
      <c r="E65" s="128" t="s">
        <v>953</v>
      </c>
      <c r="F65" s="130"/>
    </row>
    <row r="66" spans="1:6">
      <c r="A66" s="131"/>
      <c r="B66" s="139">
        <v>158</v>
      </c>
      <c r="C66" s="138" t="s">
        <v>532</v>
      </c>
      <c r="D66" s="128" t="s">
        <v>954</v>
      </c>
      <c r="E66" s="128" t="s">
        <v>955</v>
      </c>
      <c r="F66" s="130"/>
    </row>
    <row r="67" spans="1:6">
      <c r="A67" s="131"/>
      <c r="B67" s="139">
        <v>159</v>
      </c>
      <c r="C67" s="138" t="s">
        <v>949</v>
      </c>
      <c r="D67" s="128" t="s">
        <v>926</v>
      </c>
      <c r="E67" s="128" t="s">
        <v>956</v>
      </c>
      <c r="F67" s="130"/>
    </row>
    <row r="68" spans="1:6">
      <c r="B68" s="139">
        <v>160</v>
      </c>
      <c r="D68" s="127" t="s">
        <v>106</v>
      </c>
      <c r="E68" s="140" t="s">
        <v>957</v>
      </c>
    </row>
    <row r="69" spans="1:6">
      <c r="B69" s="139">
        <v>161</v>
      </c>
      <c r="D69" s="127" t="s">
        <v>107</v>
      </c>
      <c r="E69" s="140" t="s">
        <v>958</v>
      </c>
    </row>
    <row r="70" spans="1:6">
      <c r="B70" s="139">
        <v>162</v>
      </c>
      <c r="D70" s="127" t="s">
        <v>959</v>
      </c>
      <c r="E70" s="140" t="s">
        <v>927</v>
      </c>
    </row>
    <row r="71" spans="1:6">
      <c r="B71" s="139">
        <v>163</v>
      </c>
      <c r="D71" s="127" t="s">
        <v>108</v>
      </c>
      <c r="E71" s="140" t="s">
        <v>960</v>
      </c>
    </row>
    <row r="72" spans="1:6">
      <c r="B72" s="139">
        <v>164</v>
      </c>
      <c r="D72" s="127" t="s">
        <v>109</v>
      </c>
      <c r="E72" s="140" t="s">
        <v>652</v>
      </c>
    </row>
    <row r="73" spans="1:6">
      <c r="B73" s="139">
        <v>165</v>
      </c>
      <c r="D73" s="127" t="s">
        <v>110</v>
      </c>
      <c r="E73" s="140" t="s">
        <v>653</v>
      </c>
    </row>
    <row r="74" spans="1:6">
      <c r="B74" s="139">
        <v>166</v>
      </c>
      <c r="D74" s="127" t="s">
        <v>111</v>
      </c>
      <c r="E74" s="140" t="s">
        <v>654</v>
      </c>
    </row>
    <row r="75" spans="1:6" ht="26.4">
      <c r="B75" s="139">
        <v>167</v>
      </c>
      <c r="D75" s="127" t="s">
        <v>112</v>
      </c>
      <c r="E75" s="140" t="s">
        <v>655</v>
      </c>
    </row>
    <row r="76" spans="1:6">
      <c r="B76" s="139">
        <v>168</v>
      </c>
      <c r="D76" s="127" t="s">
        <v>113</v>
      </c>
      <c r="E76" s="140" t="s">
        <v>656</v>
      </c>
    </row>
    <row r="77" spans="1:6">
      <c r="B77" s="139">
        <v>169</v>
      </c>
      <c r="D77" s="127" t="s">
        <v>114</v>
      </c>
      <c r="E77" s="140" t="s">
        <v>657</v>
      </c>
    </row>
    <row r="78" spans="1:6">
      <c r="B78" s="139">
        <v>170</v>
      </c>
      <c r="D78" s="127" t="s">
        <v>115</v>
      </c>
      <c r="E78" s="140" t="s">
        <v>658</v>
      </c>
    </row>
    <row r="79" spans="1:6">
      <c r="B79" s="139">
        <v>171</v>
      </c>
      <c r="D79" s="127" t="s">
        <v>466</v>
      </c>
      <c r="E79" s="140" t="s">
        <v>659</v>
      </c>
    </row>
    <row r="80" spans="1:6">
      <c r="B80" s="139">
        <v>172</v>
      </c>
      <c r="D80" s="127" t="s">
        <v>116</v>
      </c>
      <c r="E80" s="140" t="s">
        <v>660</v>
      </c>
    </row>
    <row r="81" spans="2:5">
      <c r="B81" s="139">
        <v>173</v>
      </c>
      <c r="D81" s="127" t="s">
        <v>117</v>
      </c>
      <c r="E81" s="140" t="s">
        <v>661</v>
      </c>
    </row>
    <row r="82" spans="2:5">
      <c r="B82" s="139">
        <v>174</v>
      </c>
      <c r="D82" s="127" t="s">
        <v>118</v>
      </c>
      <c r="E82" s="140" t="s">
        <v>662</v>
      </c>
    </row>
    <row r="83" spans="2:5">
      <c r="B83" s="139">
        <v>175</v>
      </c>
      <c r="D83" s="127" t="s">
        <v>119</v>
      </c>
      <c r="E83" s="140" t="s">
        <v>663</v>
      </c>
    </row>
    <row r="84" spans="2:5">
      <c r="B84" s="139">
        <v>176</v>
      </c>
      <c r="D84" s="127" t="s">
        <v>120</v>
      </c>
      <c r="E84" s="140" t="s">
        <v>664</v>
      </c>
    </row>
    <row r="85" spans="2:5">
      <c r="B85" s="139">
        <v>177</v>
      </c>
      <c r="D85" s="127" t="s">
        <v>121</v>
      </c>
      <c r="E85" s="140" t="s">
        <v>548</v>
      </c>
    </row>
    <row r="86" spans="2:5">
      <c r="B86" s="139">
        <v>178</v>
      </c>
      <c r="D86" s="127" t="s">
        <v>122</v>
      </c>
      <c r="E86" s="140" t="s">
        <v>549</v>
      </c>
    </row>
    <row r="87" spans="2:5">
      <c r="B87" s="139">
        <v>179</v>
      </c>
      <c r="D87" s="127" t="s">
        <v>123</v>
      </c>
      <c r="E87" s="140" t="s">
        <v>665</v>
      </c>
    </row>
    <row r="88" spans="2:5">
      <c r="B88" s="139">
        <v>180</v>
      </c>
      <c r="D88" s="127" t="s">
        <v>467</v>
      </c>
      <c r="E88" s="140" t="s">
        <v>666</v>
      </c>
    </row>
    <row r="89" spans="2:5" ht="26.4">
      <c r="B89" s="139">
        <v>181</v>
      </c>
      <c r="D89" s="127" t="s">
        <v>468</v>
      </c>
      <c r="E89" s="140" t="s">
        <v>667</v>
      </c>
    </row>
    <row r="90" spans="2:5" ht="26.4">
      <c r="B90" s="139">
        <v>182</v>
      </c>
      <c r="D90" s="127" t="s">
        <v>124</v>
      </c>
      <c r="E90" s="140" t="s">
        <v>668</v>
      </c>
    </row>
    <row r="91" spans="2:5">
      <c r="B91" s="139">
        <v>183</v>
      </c>
      <c r="D91" s="127" t="s">
        <v>125</v>
      </c>
      <c r="E91" s="140" t="s">
        <v>126</v>
      </c>
    </row>
    <row r="92" spans="2:5">
      <c r="B92" s="139">
        <v>184</v>
      </c>
      <c r="D92" s="127" t="s">
        <v>469</v>
      </c>
      <c r="E92" s="140" t="s">
        <v>550</v>
      </c>
    </row>
    <row r="93" spans="2:5">
      <c r="B93" s="139">
        <v>185</v>
      </c>
      <c r="D93" s="127" t="s">
        <v>470</v>
      </c>
      <c r="E93" s="140" t="s">
        <v>551</v>
      </c>
    </row>
    <row r="94" spans="2:5">
      <c r="B94" s="139">
        <v>186</v>
      </c>
      <c r="D94" s="127" t="s">
        <v>471</v>
      </c>
      <c r="E94" s="140" t="s">
        <v>961</v>
      </c>
    </row>
    <row r="95" spans="2:5">
      <c r="B95" s="139">
        <v>187</v>
      </c>
      <c r="D95" s="127" t="s">
        <v>127</v>
      </c>
      <c r="E95" s="140" t="s">
        <v>669</v>
      </c>
    </row>
    <row r="96" spans="2:5" ht="26.4">
      <c r="B96" s="139">
        <v>188</v>
      </c>
      <c r="D96" s="127" t="s">
        <v>128</v>
      </c>
      <c r="E96" s="140" t="s">
        <v>670</v>
      </c>
    </row>
    <row r="97" spans="2:5" ht="26.4">
      <c r="B97" s="139">
        <v>189</v>
      </c>
      <c r="D97" s="127" t="s">
        <v>129</v>
      </c>
      <c r="E97" s="140" t="s">
        <v>671</v>
      </c>
    </row>
    <row r="98" spans="2:5">
      <c r="B98" s="139">
        <v>190</v>
      </c>
      <c r="D98" s="127" t="s">
        <v>130</v>
      </c>
      <c r="E98" s="140" t="s">
        <v>130</v>
      </c>
    </row>
    <row r="99" spans="2:5">
      <c r="B99" s="139">
        <v>191</v>
      </c>
      <c r="D99" s="127" t="s">
        <v>131</v>
      </c>
      <c r="E99" s="140" t="s">
        <v>552</v>
      </c>
    </row>
    <row r="100" spans="2:5">
      <c r="B100" s="139">
        <v>192</v>
      </c>
      <c r="D100" s="127" t="s">
        <v>132</v>
      </c>
      <c r="E100" s="140" t="s">
        <v>553</v>
      </c>
    </row>
    <row r="101" spans="2:5">
      <c r="B101" s="139">
        <v>193</v>
      </c>
      <c r="D101" s="127" t="s">
        <v>133</v>
      </c>
      <c r="E101" s="140" t="s">
        <v>554</v>
      </c>
    </row>
    <row r="102" spans="2:5">
      <c r="B102" s="139">
        <v>194</v>
      </c>
      <c r="D102" s="127" t="s">
        <v>472</v>
      </c>
      <c r="E102" s="140" t="s">
        <v>672</v>
      </c>
    </row>
    <row r="103" spans="2:5">
      <c r="B103" s="139">
        <v>195</v>
      </c>
      <c r="D103" s="127" t="s">
        <v>134</v>
      </c>
      <c r="E103" s="140" t="s">
        <v>673</v>
      </c>
    </row>
    <row r="104" spans="2:5">
      <c r="B104" s="139">
        <v>196</v>
      </c>
      <c r="D104" s="127" t="s">
        <v>473</v>
      </c>
      <c r="E104" s="140" t="s">
        <v>674</v>
      </c>
    </row>
    <row r="105" spans="2:5">
      <c r="B105" s="139">
        <v>197</v>
      </c>
      <c r="D105" s="127" t="s">
        <v>135</v>
      </c>
      <c r="E105" s="140" t="s">
        <v>675</v>
      </c>
    </row>
    <row r="106" spans="2:5">
      <c r="B106" s="139">
        <v>198</v>
      </c>
      <c r="D106" s="127" t="s">
        <v>136</v>
      </c>
      <c r="E106" s="140" t="s">
        <v>676</v>
      </c>
    </row>
    <row r="107" spans="2:5">
      <c r="B107" s="139">
        <v>199</v>
      </c>
      <c r="D107" s="127" t="s">
        <v>137</v>
      </c>
      <c r="E107" s="140" t="s">
        <v>677</v>
      </c>
    </row>
    <row r="108" spans="2:5">
      <c r="B108" s="139">
        <v>200</v>
      </c>
      <c r="D108" s="127" t="s">
        <v>474</v>
      </c>
      <c r="E108" s="140" t="s">
        <v>678</v>
      </c>
    </row>
    <row r="109" spans="2:5">
      <c r="B109" s="139">
        <v>201</v>
      </c>
      <c r="D109" s="127" t="s">
        <v>138</v>
      </c>
      <c r="E109" s="140" t="s">
        <v>679</v>
      </c>
    </row>
    <row r="110" spans="2:5">
      <c r="B110" s="139">
        <v>202</v>
      </c>
      <c r="D110" s="127" t="s">
        <v>139</v>
      </c>
      <c r="E110" s="140" t="s">
        <v>680</v>
      </c>
    </row>
    <row r="111" spans="2:5">
      <c r="B111" s="139">
        <v>203</v>
      </c>
      <c r="D111" s="127" t="s">
        <v>140</v>
      </c>
      <c r="E111" s="140" t="s">
        <v>555</v>
      </c>
    </row>
    <row r="112" spans="2:5">
      <c r="B112" s="139">
        <v>204</v>
      </c>
      <c r="D112" s="127" t="s">
        <v>475</v>
      </c>
      <c r="E112" s="140" t="s">
        <v>556</v>
      </c>
    </row>
    <row r="113" spans="2:5">
      <c r="B113" s="139">
        <v>205</v>
      </c>
      <c r="D113" s="127" t="s">
        <v>476</v>
      </c>
      <c r="E113" s="140" t="s">
        <v>557</v>
      </c>
    </row>
    <row r="114" spans="2:5">
      <c r="B114" s="139">
        <v>206</v>
      </c>
      <c r="D114" s="127" t="s">
        <v>477</v>
      </c>
      <c r="E114" s="140" t="s">
        <v>681</v>
      </c>
    </row>
    <row r="115" spans="2:5">
      <c r="B115" s="139">
        <v>207</v>
      </c>
      <c r="D115" s="127" t="s">
        <v>478</v>
      </c>
      <c r="E115" s="140" t="s">
        <v>558</v>
      </c>
    </row>
    <row r="116" spans="2:5">
      <c r="B116" s="139">
        <v>208</v>
      </c>
      <c r="D116" s="127" t="s">
        <v>479</v>
      </c>
      <c r="E116" s="140" t="s">
        <v>559</v>
      </c>
    </row>
    <row r="117" spans="2:5">
      <c r="B117" s="139">
        <v>209</v>
      </c>
      <c r="D117" s="127" t="s">
        <v>141</v>
      </c>
      <c r="E117" s="140" t="s">
        <v>682</v>
      </c>
    </row>
    <row r="118" spans="2:5">
      <c r="B118" s="139">
        <v>210</v>
      </c>
      <c r="D118" s="127" t="s">
        <v>480</v>
      </c>
      <c r="E118" s="140" t="s">
        <v>683</v>
      </c>
    </row>
    <row r="119" spans="2:5">
      <c r="B119" s="139">
        <v>211</v>
      </c>
      <c r="D119" s="127" t="s">
        <v>142</v>
      </c>
      <c r="E119" s="140" t="s">
        <v>560</v>
      </c>
    </row>
    <row r="120" spans="2:5">
      <c r="B120" s="139">
        <v>212</v>
      </c>
      <c r="D120" s="127" t="s">
        <v>143</v>
      </c>
      <c r="E120" s="140" t="s">
        <v>684</v>
      </c>
    </row>
    <row r="121" spans="2:5">
      <c r="B121" s="139">
        <v>213</v>
      </c>
      <c r="D121" s="127" t="s">
        <v>144</v>
      </c>
      <c r="E121" s="140" t="s">
        <v>685</v>
      </c>
    </row>
    <row r="122" spans="2:5">
      <c r="B122" s="139">
        <v>214</v>
      </c>
      <c r="D122" s="127" t="s">
        <v>481</v>
      </c>
      <c r="E122" s="140" t="s">
        <v>686</v>
      </c>
    </row>
    <row r="123" spans="2:5">
      <c r="B123" s="139">
        <v>215</v>
      </c>
      <c r="D123" s="127" t="s">
        <v>482</v>
      </c>
      <c r="E123" s="140" t="s">
        <v>687</v>
      </c>
    </row>
    <row r="124" spans="2:5">
      <c r="B124" s="139">
        <v>216</v>
      </c>
      <c r="D124" s="127" t="s">
        <v>1067</v>
      </c>
      <c r="E124" s="140" t="s">
        <v>688</v>
      </c>
    </row>
    <row r="125" spans="2:5">
      <c r="B125" s="139">
        <v>217</v>
      </c>
      <c r="D125" s="127" t="s">
        <v>483</v>
      </c>
      <c r="E125" s="140" t="s">
        <v>689</v>
      </c>
    </row>
    <row r="126" spans="2:5">
      <c r="B126" s="139">
        <v>218</v>
      </c>
      <c r="D126" s="127" t="s">
        <v>484</v>
      </c>
      <c r="E126" s="140" t="s">
        <v>690</v>
      </c>
    </row>
    <row r="127" spans="2:5">
      <c r="B127" s="139">
        <v>219</v>
      </c>
      <c r="D127" s="127" t="s">
        <v>485</v>
      </c>
      <c r="E127" s="140" t="s">
        <v>691</v>
      </c>
    </row>
    <row r="128" spans="2:5">
      <c r="B128" s="139">
        <v>220</v>
      </c>
      <c r="D128" s="127" t="s">
        <v>486</v>
      </c>
      <c r="E128" s="140" t="s">
        <v>692</v>
      </c>
    </row>
    <row r="129" spans="2:5">
      <c r="B129" s="139">
        <v>221</v>
      </c>
      <c r="D129" s="127" t="s">
        <v>145</v>
      </c>
      <c r="E129" s="140" t="s">
        <v>693</v>
      </c>
    </row>
    <row r="130" spans="2:5">
      <c r="B130" s="139">
        <v>222</v>
      </c>
      <c r="D130" s="127" t="s">
        <v>146</v>
      </c>
      <c r="E130" s="140" t="s">
        <v>694</v>
      </c>
    </row>
    <row r="131" spans="2:5">
      <c r="B131" s="139">
        <v>223</v>
      </c>
      <c r="D131" s="127" t="s">
        <v>147</v>
      </c>
      <c r="E131" s="140" t="s">
        <v>695</v>
      </c>
    </row>
    <row r="132" spans="2:5">
      <c r="B132" s="139">
        <v>224</v>
      </c>
      <c r="D132" s="127" t="s">
        <v>148</v>
      </c>
      <c r="E132" s="140" t="s">
        <v>696</v>
      </c>
    </row>
    <row r="133" spans="2:5">
      <c r="B133" s="139">
        <v>225</v>
      </c>
      <c r="D133" s="127" t="s">
        <v>487</v>
      </c>
      <c r="E133" s="140" t="s">
        <v>697</v>
      </c>
    </row>
    <row r="134" spans="2:5">
      <c r="B134" s="139">
        <v>226</v>
      </c>
      <c r="D134" s="127" t="s">
        <v>488</v>
      </c>
      <c r="E134" s="140" t="s">
        <v>698</v>
      </c>
    </row>
    <row r="135" spans="2:5">
      <c r="B135" s="139">
        <v>227</v>
      </c>
      <c r="D135" s="127" t="s">
        <v>489</v>
      </c>
      <c r="E135" s="140" t="s">
        <v>699</v>
      </c>
    </row>
    <row r="136" spans="2:5">
      <c r="B136" s="139">
        <v>228</v>
      </c>
      <c r="D136" s="127" t="s">
        <v>149</v>
      </c>
      <c r="E136" s="140" t="s">
        <v>700</v>
      </c>
    </row>
    <row r="137" spans="2:5">
      <c r="B137" s="139">
        <v>229</v>
      </c>
      <c r="D137" s="127" t="s">
        <v>150</v>
      </c>
      <c r="E137" s="140" t="s">
        <v>701</v>
      </c>
    </row>
    <row r="138" spans="2:5">
      <c r="B138" s="139">
        <v>230</v>
      </c>
      <c r="D138" s="127" t="s">
        <v>490</v>
      </c>
      <c r="E138" s="140" t="s">
        <v>561</v>
      </c>
    </row>
    <row r="139" spans="2:5">
      <c r="B139" s="139">
        <v>231</v>
      </c>
      <c r="D139" s="127" t="s">
        <v>151</v>
      </c>
      <c r="E139" s="140" t="s">
        <v>702</v>
      </c>
    </row>
    <row r="140" spans="2:5" ht="39.6">
      <c r="B140" s="139">
        <v>232</v>
      </c>
      <c r="D140" s="127" t="s">
        <v>152</v>
      </c>
      <c r="E140" s="140" t="s">
        <v>703</v>
      </c>
    </row>
    <row r="141" spans="2:5">
      <c r="B141" s="139">
        <v>233</v>
      </c>
      <c r="D141" s="127" t="s">
        <v>153</v>
      </c>
      <c r="E141" s="140" t="s">
        <v>704</v>
      </c>
    </row>
    <row r="142" spans="2:5">
      <c r="B142" s="139">
        <v>234</v>
      </c>
      <c r="D142" s="127" t="s">
        <v>154</v>
      </c>
      <c r="E142" s="140" t="s">
        <v>962</v>
      </c>
    </row>
    <row r="143" spans="2:5">
      <c r="B143" s="139">
        <v>235</v>
      </c>
      <c r="D143" s="127" t="s">
        <v>155</v>
      </c>
      <c r="E143" s="140" t="s">
        <v>562</v>
      </c>
    </row>
    <row r="144" spans="2:5">
      <c r="B144" s="139">
        <v>236</v>
      </c>
      <c r="D144" s="127" t="s">
        <v>156</v>
      </c>
      <c r="E144" s="140" t="s">
        <v>705</v>
      </c>
    </row>
    <row r="145" spans="2:5">
      <c r="B145" s="139">
        <v>237</v>
      </c>
      <c r="D145" s="127" t="s">
        <v>157</v>
      </c>
      <c r="E145" s="140" t="s">
        <v>563</v>
      </c>
    </row>
    <row r="146" spans="2:5">
      <c r="B146" s="139">
        <v>238</v>
      </c>
      <c r="D146" s="127" t="s">
        <v>158</v>
      </c>
      <c r="E146" s="140" t="s">
        <v>706</v>
      </c>
    </row>
    <row r="147" spans="2:5">
      <c r="B147" s="139">
        <v>239</v>
      </c>
      <c r="D147" s="127" t="s">
        <v>159</v>
      </c>
      <c r="E147" s="140" t="s">
        <v>707</v>
      </c>
    </row>
    <row r="148" spans="2:5">
      <c r="B148" s="139">
        <v>240</v>
      </c>
      <c r="D148" s="127" t="s">
        <v>160</v>
      </c>
      <c r="E148" s="140" t="s">
        <v>564</v>
      </c>
    </row>
    <row r="149" spans="2:5">
      <c r="B149" s="139">
        <v>241</v>
      </c>
      <c r="D149" s="127" t="s">
        <v>161</v>
      </c>
      <c r="E149" s="140" t="s">
        <v>565</v>
      </c>
    </row>
    <row r="150" spans="2:5">
      <c r="B150" s="139">
        <v>242</v>
      </c>
      <c r="D150" s="127" t="s">
        <v>162</v>
      </c>
      <c r="E150" s="140" t="s">
        <v>708</v>
      </c>
    </row>
    <row r="151" spans="2:5">
      <c r="B151" s="139">
        <v>243</v>
      </c>
      <c r="D151" s="127" t="s">
        <v>163</v>
      </c>
      <c r="E151" s="140" t="s">
        <v>709</v>
      </c>
    </row>
    <row r="152" spans="2:5">
      <c r="B152" s="139">
        <v>244</v>
      </c>
      <c r="D152" s="127" t="s">
        <v>164</v>
      </c>
      <c r="E152" s="140" t="s">
        <v>710</v>
      </c>
    </row>
    <row r="153" spans="2:5">
      <c r="B153" s="139">
        <v>245</v>
      </c>
      <c r="D153" s="127" t="s">
        <v>491</v>
      </c>
      <c r="E153" s="140" t="s">
        <v>711</v>
      </c>
    </row>
    <row r="154" spans="2:5">
      <c r="B154" s="139">
        <v>246</v>
      </c>
      <c r="D154" s="127" t="s">
        <v>165</v>
      </c>
      <c r="E154" s="140" t="s">
        <v>712</v>
      </c>
    </row>
    <row r="155" spans="2:5">
      <c r="B155" s="139">
        <v>247</v>
      </c>
      <c r="D155" s="127" t="s">
        <v>166</v>
      </c>
      <c r="E155" s="140" t="s">
        <v>566</v>
      </c>
    </row>
    <row r="156" spans="2:5">
      <c r="B156" s="139">
        <v>248</v>
      </c>
      <c r="D156" s="127" t="s">
        <v>167</v>
      </c>
      <c r="E156" s="140" t="s">
        <v>713</v>
      </c>
    </row>
    <row r="157" spans="2:5">
      <c r="B157" s="139">
        <v>249</v>
      </c>
      <c r="D157" s="127" t="s">
        <v>492</v>
      </c>
      <c r="E157" s="140" t="s">
        <v>714</v>
      </c>
    </row>
    <row r="158" spans="2:5">
      <c r="B158" s="139">
        <v>250</v>
      </c>
      <c r="D158" s="127" t="s">
        <v>493</v>
      </c>
      <c r="E158" s="140" t="s">
        <v>715</v>
      </c>
    </row>
    <row r="159" spans="2:5">
      <c r="B159" s="139">
        <v>251</v>
      </c>
      <c r="D159" s="127" t="s">
        <v>494</v>
      </c>
      <c r="E159" s="140" t="s">
        <v>716</v>
      </c>
    </row>
    <row r="160" spans="2:5">
      <c r="B160" s="139">
        <v>252</v>
      </c>
      <c r="D160" s="127" t="s">
        <v>495</v>
      </c>
      <c r="E160" s="140" t="s">
        <v>717</v>
      </c>
    </row>
    <row r="161" spans="2:5">
      <c r="B161" s="139">
        <v>253</v>
      </c>
      <c r="D161" s="127" t="s">
        <v>168</v>
      </c>
      <c r="E161" s="140" t="s">
        <v>963</v>
      </c>
    </row>
    <row r="162" spans="2:5" ht="26.4">
      <c r="B162" s="139">
        <v>254</v>
      </c>
      <c r="D162" s="127" t="s">
        <v>169</v>
      </c>
      <c r="E162" s="140" t="s">
        <v>718</v>
      </c>
    </row>
    <row r="163" spans="2:5" ht="26.4">
      <c r="B163" s="139">
        <v>255</v>
      </c>
      <c r="D163" s="127" t="s">
        <v>170</v>
      </c>
      <c r="E163" s="140" t="s">
        <v>719</v>
      </c>
    </row>
    <row r="164" spans="2:5" ht="26.4">
      <c r="B164" s="139">
        <v>256</v>
      </c>
      <c r="D164" s="127" t="s">
        <v>171</v>
      </c>
      <c r="E164" s="140" t="s">
        <v>720</v>
      </c>
    </row>
    <row r="165" spans="2:5">
      <c r="B165" s="139">
        <v>257</v>
      </c>
      <c r="D165" s="127" t="s">
        <v>172</v>
      </c>
      <c r="E165" s="140" t="s">
        <v>567</v>
      </c>
    </row>
    <row r="166" spans="2:5">
      <c r="B166" s="139">
        <v>258</v>
      </c>
      <c r="D166" s="127" t="s">
        <v>173</v>
      </c>
      <c r="E166" s="140" t="s">
        <v>721</v>
      </c>
    </row>
    <row r="167" spans="2:5">
      <c r="B167" s="139">
        <v>259</v>
      </c>
      <c r="D167" s="127" t="s">
        <v>174</v>
      </c>
      <c r="E167" s="140" t="s">
        <v>722</v>
      </c>
    </row>
    <row r="168" spans="2:5">
      <c r="B168" s="139">
        <v>260</v>
      </c>
      <c r="D168" s="127" t="s">
        <v>175</v>
      </c>
      <c r="E168" s="140" t="s">
        <v>723</v>
      </c>
    </row>
    <row r="169" spans="2:5">
      <c r="B169" s="139">
        <v>261</v>
      </c>
      <c r="D169" s="127" t="s">
        <v>176</v>
      </c>
      <c r="E169" s="140" t="s">
        <v>724</v>
      </c>
    </row>
    <row r="170" spans="2:5" ht="26.4">
      <c r="B170" s="139">
        <v>262</v>
      </c>
      <c r="D170" s="127" t="s">
        <v>177</v>
      </c>
      <c r="E170" s="140" t="s">
        <v>725</v>
      </c>
    </row>
    <row r="171" spans="2:5">
      <c r="B171" s="139">
        <v>263</v>
      </c>
      <c r="D171" s="127" t="s">
        <v>178</v>
      </c>
      <c r="E171" s="140" t="s">
        <v>726</v>
      </c>
    </row>
    <row r="172" spans="2:5">
      <c r="B172" s="139">
        <v>264</v>
      </c>
      <c r="D172" s="127" t="s">
        <v>179</v>
      </c>
      <c r="E172" s="140" t="s">
        <v>727</v>
      </c>
    </row>
    <row r="173" spans="2:5">
      <c r="B173" s="139">
        <v>265</v>
      </c>
      <c r="D173" s="127" t="s">
        <v>180</v>
      </c>
      <c r="E173" s="140" t="s">
        <v>728</v>
      </c>
    </row>
    <row r="174" spans="2:5">
      <c r="B174" s="139">
        <v>266</v>
      </c>
      <c r="D174" s="127" t="s">
        <v>181</v>
      </c>
      <c r="E174" s="140" t="s">
        <v>729</v>
      </c>
    </row>
    <row r="175" spans="2:5">
      <c r="B175" s="139">
        <v>267</v>
      </c>
      <c r="D175" s="127" t="s">
        <v>182</v>
      </c>
      <c r="E175" s="140" t="s">
        <v>730</v>
      </c>
    </row>
    <row r="176" spans="2:5">
      <c r="B176" s="139">
        <v>268</v>
      </c>
      <c r="D176" s="127" t="s">
        <v>183</v>
      </c>
      <c r="E176" s="140" t="s">
        <v>731</v>
      </c>
    </row>
    <row r="177" spans="2:5">
      <c r="B177" s="139">
        <v>269</v>
      </c>
      <c r="D177" s="127" t="s">
        <v>496</v>
      </c>
      <c r="E177" s="140" t="s">
        <v>732</v>
      </c>
    </row>
    <row r="178" spans="2:5">
      <c r="B178" s="139">
        <v>270</v>
      </c>
      <c r="D178" s="127" t="s">
        <v>184</v>
      </c>
      <c r="E178" s="140" t="s">
        <v>733</v>
      </c>
    </row>
    <row r="179" spans="2:5">
      <c r="B179" s="139">
        <v>271</v>
      </c>
      <c r="D179" s="127" t="s">
        <v>497</v>
      </c>
      <c r="E179" s="140" t="s">
        <v>568</v>
      </c>
    </row>
    <row r="180" spans="2:5" ht="26.4">
      <c r="B180" s="139">
        <v>272</v>
      </c>
      <c r="D180" s="127" t="s">
        <v>185</v>
      </c>
    </row>
    <row r="181" spans="2:5">
      <c r="B181" s="139">
        <v>273</v>
      </c>
      <c r="D181" s="127" t="s">
        <v>186</v>
      </c>
      <c r="E181" s="140" t="s">
        <v>734</v>
      </c>
    </row>
    <row r="182" spans="2:5">
      <c r="B182" s="139">
        <v>274</v>
      </c>
      <c r="D182" s="127" t="s">
        <v>187</v>
      </c>
      <c r="E182" s="140" t="s">
        <v>569</v>
      </c>
    </row>
    <row r="183" spans="2:5">
      <c r="B183" s="139">
        <v>275</v>
      </c>
      <c r="D183" s="127" t="s">
        <v>188</v>
      </c>
      <c r="E183" s="140" t="s">
        <v>570</v>
      </c>
    </row>
    <row r="184" spans="2:5">
      <c r="B184" s="139">
        <v>276</v>
      </c>
      <c r="D184" s="127" t="s">
        <v>189</v>
      </c>
      <c r="E184" s="140" t="s">
        <v>964</v>
      </c>
    </row>
    <row r="185" spans="2:5">
      <c r="B185" s="139">
        <v>277</v>
      </c>
      <c r="D185" s="127" t="s">
        <v>498</v>
      </c>
      <c r="E185" s="140" t="s">
        <v>571</v>
      </c>
    </row>
    <row r="186" spans="2:5">
      <c r="B186" s="139">
        <v>278</v>
      </c>
      <c r="D186" s="127" t="s">
        <v>190</v>
      </c>
      <c r="E186" s="140" t="s">
        <v>572</v>
      </c>
    </row>
    <row r="187" spans="2:5">
      <c r="B187" s="139">
        <v>279</v>
      </c>
      <c r="D187" s="127" t="s">
        <v>191</v>
      </c>
      <c r="E187" s="140" t="s">
        <v>735</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965</v>
      </c>
    </row>
    <row r="192" spans="2:5">
      <c r="B192" s="139">
        <v>284</v>
      </c>
      <c r="D192" s="127" t="s">
        <v>195</v>
      </c>
      <c r="E192" s="140" t="s">
        <v>736</v>
      </c>
    </row>
    <row r="193" spans="2:5">
      <c r="B193" s="139">
        <v>285</v>
      </c>
      <c r="D193" s="127" t="s">
        <v>196</v>
      </c>
      <c r="E193" s="140" t="s">
        <v>573</v>
      </c>
    </row>
    <row r="194" spans="2:5">
      <c r="B194" s="139">
        <v>286</v>
      </c>
      <c r="D194" s="127" t="s">
        <v>499</v>
      </c>
      <c r="E194" s="140" t="s">
        <v>574</v>
      </c>
    </row>
    <row r="195" spans="2:5">
      <c r="B195" s="139">
        <v>287</v>
      </c>
      <c r="D195" s="127" t="s">
        <v>500</v>
      </c>
      <c r="E195" s="140" t="s">
        <v>575</v>
      </c>
    </row>
    <row r="196" spans="2:5">
      <c r="B196" s="139">
        <v>288</v>
      </c>
      <c r="D196" s="127" t="s">
        <v>501</v>
      </c>
      <c r="E196" s="140" t="s">
        <v>574</v>
      </c>
    </row>
    <row r="197" spans="2:5">
      <c r="B197" s="139">
        <v>289</v>
      </c>
      <c r="D197" s="127" t="s">
        <v>197</v>
      </c>
      <c r="E197" s="140" t="s">
        <v>576</v>
      </c>
    </row>
    <row r="198" spans="2:5">
      <c r="B198" s="139">
        <v>290</v>
      </c>
      <c r="D198" s="127" t="s">
        <v>502</v>
      </c>
      <c r="E198" s="140" t="s">
        <v>737</v>
      </c>
    </row>
    <row r="199" spans="2:5">
      <c r="B199" s="139">
        <v>291</v>
      </c>
      <c r="D199" s="127" t="s">
        <v>198</v>
      </c>
      <c r="E199" s="140" t="s">
        <v>738</v>
      </c>
    </row>
    <row r="200" spans="2:5">
      <c r="B200" s="139">
        <v>292</v>
      </c>
      <c r="D200" s="127" t="s">
        <v>533</v>
      </c>
      <c r="E200" s="140" t="s">
        <v>739</v>
      </c>
    </row>
    <row r="201" spans="2:5">
      <c r="B201" s="139">
        <v>293</v>
      </c>
      <c r="D201" s="127" t="s">
        <v>534</v>
      </c>
      <c r="E201" s="140" t="s">
        <v>966</v>
      </c>
    </row>
    <row r="202" spans="2:5">
      <c r="B202" s="139">
        <v>294</v>
      </c>
      <c r="D202" s="127" t="s">
        <v>199</v>
      </c>
      <c r="E202" s="140" t="s">
        <v>577</v>
      </c>
    </row>
    <row r="203" spans="2:5">
      <c r="B203" s="139">
        <v>295</v>
      </c>
      <c r="D203" s="127" t="s">
        <v>503</v>
      </c>
      <c r="E203" s="140" t="s">
        <v>578</v>
      </c>
    </row>
    <row r="204" spans="2:5">
      <c r="B204" s="139">
        <v>296</v>
      </c>
      <c r="D204" s="127" t="s">
        <v>200</v>
      </c>
      <c r="E204" s="140" t="s">
        <v>740</v>
      </c>
    </row>
    <row r="205" spans="2:5">
      <c r="B205" s="139">
        <v>297</v>
      </c>
      <c r="D205" s="127" t="s">
        <v>201</v>
      </c>
      <c r="E205" s="140" t="s">
        <v>741</v>
      </c>
    </row>
    <row r="206" spans="2:5">
      <c r="B206" s="139">
        <v>298</v>
      </c>
      <c r="D206" s="127" t="s">
        <v>202</v>
      </c>
      <c r="E206" s="140" t="s">
        <v>579</v>
      </c>
    </row>
    <row r="207" spans="2:5" ht="26.4">
      <c r="B207" s="139">
        <v>299</v>
      </c>
      <c r="D207" s="127" t="s">
        <v>203</v>
      </c>
      <c r="E207" s="140" t="s">
        <v>742</v>
      </c>
    </row>
    <row r="208" spans="2:5" ht="26.4">
      <c r="B208" s="139">
        <v>300</v>
      </c>
      <c r="D208" s="127" t="s">
        <v>535</v>
      </c>
      <c r="E208" s="140" t="s">
        <v>743</v>
      </c>
    </row>
    <row r="209" spans="2:5">
      <c r="B209" s="139">
        <v>301</v>
      </c>
      <c r="D209" s="127" t="s">
        <v>536</v>
      </c>
      <c r="E209" s="140" t="s">
        <v>967</v>
      </c>
    </row>
    <row r="210" spans="2:5">
      <c r="B210" s="139">
        <v>302</v>
      </c>
      <c r="D210" s="127" t="s">
        <v>504</v>
      </c>
      <c r="E210" s="140" t="s">
        <v>968</v>
      </c>
    </row>
    <row r="211" spans="2:5">
      <c r="B211" s="139">
        <v>303</v>
      </c>
      <c r="D211" s="127" t="s">
        <v>204</v>
      </c>
      <c r="E211" s="140" t="s">
        <v>744</v>
      </c>
    </row>
    <row r="212" spans="2:5">
      <c r="B212" s="139">
        <v>304</v>
      </c>
      <c r="D212" s="127" t="s">
        <v>505</v>
      </c>
      <c r="E212" s="140" t="s">
        <v>745</v>
      </c>
    </row>
    <row r="213" spans="2:5">
      <c r="B213" s="139">
        <v>305</v>
      </c>
      <c r="D213" s="127" t="s">
        <v>506</v>
      </c>
      <c r="E213" s="140" t="s">
        <v>580</v>
      </c>
    </row>
    <row r="214" spans="2:5">
      <c r="B214" s="139">
        <v>306</v>
      </c>
      <c r="D214" s="127" t="s">
        <v>205</v>
      </c>
      <c r="E214" s="140" t="s">
        <v>746</v>
      </c>
    </row>
    <row r="215" spans="2:5">
      <c r="B215" s="139">
        <v>307</v>
      </c>
      <c r="D215" s="127" t="s">
        <v>206</v>
      </c>
      <c r="E215" s="140" t="s">
        <v>581</v>
      </c>
    </row>
    <row r="216" spans="2:5">
      <c r="B216" s="139">
        <v>308</v>
      </c>
      <c r="D216" s="127" t="s">
        <v>507</v>
      </c>
      <c r="E216" s="140" t="s">
        <v>747</v>
      </c>
    </row>
    <row r="217" spans="2:5">
      <c r="B217" s="139">
        <v>309</v>
      </c>
      <c r="D217" s="127" t="s">
        <v>207</v>
      </c>
      <c r="E217" s="140" t="s">
        <v>748</v>
      </c>
    </row>
    <row r="218" spans="2:5">
      <c r="B218" s="139">
        <v>310</v>
      </c>
      <c r="D218" s="127" t="s">
        <v>208</v>
      </c>
      <c r="E218" s="140" t="s">
        <v>749</v>
      </c>
    </row>
    <row r="219" spans="2:5" ht="26.4">
      <c r="B219" s="139">
        <v>311</v>
      </c>
      <c r="D219" s="127" t="s">
        <v>209</v>
      </c>
      <c r="E219" s="140" t="s">
        <v>750</v>
      </c>
    </row>
    <row r="220" spans="2:5">
      <c r="B220" s="139">
        <v>312</v>
      </c>
      <c r="D220" s="127" t="s">
        <v>210</v>
      </c>
      <c r="E220" s="140" t="s">
        <v>751</v>
      </c>
    </row>
    <row r="221" spans="2:5">
      <c r="B221" s="139">
        <v>313</v>
      </c>
      <c r="C221" s="136" t="s">
        <v>943</v>
      </c>
      <c r="D221" s="127" t="s">
        <v>969</v>
      </c>
      <c r="E221" s="166" t="s">
        <v>970</v>
      </c>
    </row>
    <row r="222" spans="2:5">
      <c r="B222" s="139">
        <v>314</v>
      </c>
      <c r="D222" s="127" t="s">
        <v>211</v>
      </c>
      <c r="E222" s="140" t="s">
        <v>971</v>
      </c>
    </row>
    <row r="223" spans="2:5">
      <c r="B223" s="139">
        <v>315</v>
      </c>
      <c r="D223" s="127" t="s">
        <v>212</v>
      </c>
      <c r="E223" s="140" t="s">
        <v>752</v>
      </c>
    </row>
    <row r="224" spans="2:5">
      <c r="B224" s="139">
        <v>316</v>
      </c>
      <c r="D224" s="127" t="s">
        <v>213</v>
      </c>
      <c r="E224" s="140" t="s">
        <v>753</v>
      </c>
    </row>
    <row r="225" spans="1:6">
      <c r="B225" s="139">
        <v>317</v>
      </c>
      <c r="D225" s="127" t="s">
        <v>214</v>
      </c>
      <c r="E225" s="140" t="s">
        <v>754</v>
      </c>
    </row>
    <row r="226" spans="1:6">
      <c r="B226" s="139">
        <v>318</v>
      </c>
      <c r="D226" s="127" t="s">
        <v>215</v>
      </c>
      <c r="E226" s="140" t="s">
        <v>582</v>
      </c>
    </row>
    <row r="227" spans="1:6">
      <c r="B227" s="139">
        <v>319</v>
      </c>
      <c r="D227" s="127" t="s">
        <v>508</v>
      </c>
      <c r="E227" s="140" t="s">
        <v>755</v>
      </c>
    </row>
    <row r="228" spans="1:6">
      <c r="B228" s="139">
        <v>320</v>
      </c>
      <c r="D228" s="127" t="s">
        <v>216</v>
      </c>
      <c r="E228" s="140" t="s">
        <v>756</v>
      </c>
    </row>
    <row r="229" spans="1:6" ht="39.6">
      <c r="B229" s="139">
        <v>321</v>
      </c>
      <c r="D229" s="127" t="s">
        <v>217</v>
      </c>
      <c r="E229" s="140" t="s">
        <v>757</v>
      </c>
    </row>
    <row r="230" spans="1:6">
      <c r="B230" s="139">
        <v>322</v>
      </c>
      <c r="D230" s="127" t="s">
        <v>218</v>
      </c>
      <c r="E230" s="140" t="s">
        <v>758</v>
      </c>
    </row>
    <row r="231" spans="1:6" ht="26.4">
      <c r="B231" s="139">
        <v>323</v>
      </c>
      <c r="D231" s="127" t="s">
        <v>219</v>
      </c>
      <c r="E231" s="140" t="s">
        <v>759</v>
      </c>
    </row>
    <row r="232" spans="1:6">
      <c r="A232" s="129"/>
      <c r="B232" s="139">
        <v>324</v>
      </c>
      <c r="C232" s="138" t="s">
        <v>532</v>
      </c>
      <c r="D232" s="128" t="s">
        <v>972</v>
      </c>
      <c r="E232" s="128" t="s">
        <v>539</v>
      </c>
      <c r="F232" s="130"/>
    </row>
    <row r="233" spans="1:6">
      <c r="A233" s="129"/>
      <c r="B233" s="139">
        <v>325</v>
      </c>
      <c r="C233" s="138" t="s">
        <v>532</v>
      </c>
      <c r="D233" s="128" t="s">
        <v>973</v>
      </c>
      <c r="E233" s="128" t="s">
        <v>922</v>
      </c>
      <c r="F233" s="130"/>
    </row>
    <row r="234" spans="1:6">
      <c r="A234" s="129"/>
      <c r="B234" s="139">
        <v>326</v>
      </c>
      <c r="C234" s="138" t="s">
        <v>941</v>
      </c>
      <c r="D234" s="128" t="s">
        <v>974</v>
      </c>
      <c r="E234" s="128" t="s">
        <v>975</v>
      </c>
      <c r="F234" s="130"/>
    </row>
    <row r="235" spans="1:6">
      <c r="B235" s="139">
        <v>327</v>
      </c>
      <c r="D235" s="127" t="s">
        <v>220</v>
      </c>
      <c r="E235" s="140" t="s">
        <v>583</v>
      </c>
    </row>
    <row r="236" spans="1:6" ht="14.4">
      <c r="B236" s="139">
        <v>328</v>
      </c>
      <c r="D236" s="127" t="s">
        <v>221</v>
      </c>
      <c r="E236" s="168" t="s">
        <v>928</v>
      </c>
    </row>
    <row r="237" spans="1:6">
      <c r="B237" s="139">
        <v>329</v>
      </c>
      <c r="D237" s="127" t="s">
        <v>222</v>
      </c>
      <c r="E237" s="140" t="s">
        <v>760</v>
      </c>
    </row>
    <row r="238" spans="1:6">
      <c r="B238" s="139">
        <v>330</v>
      </c>
      <c r="D238" s="127" t="s">
        <v>223</v>
      </c>
      <c r="E238" s="140" t="s">
        <v>761</v>
      </c>
    </row>
    <row r="239" spans="1:6">
      <c r="B239" s="139">
        <v>331</v>
      </c>
      <c r="D239" s="127" t="s">
        <v>224</v>
      </c>
      <c r="E239" s="140" t="s">
        <v>762</v>
      </c>
    </row>
    <row r="240" spans="1:6">
      <c r="B240" s="139">
        <v>332</v>
      </c>
      <c r="D240" s="127" t="s">
        <v>225</v>
      </c>
      <c r="E240" s="140" t="s">
        <v>763</v>
      </c>
    </row>
    <row r="241" spans="2:5">
      <c r="B241" s="139">
        <v>333</v>
      </c>
      <c r="D241" s="127" t="s">
        <v>226</v>
      </c>
      <c r="E241" s="140" t="s">
        <v>764</v>
      </c>
    </row>
    <row r="242" spans="2:5">
      <c r="B242" s="139">
        <v>334</v>
      </c>
      <c r="D242" s="127" t="s">
        <v>227</v>
      </c>
      <c r="E242" s="140" t="s">
        <v>765</v>
      </c>
    </row>
    <row r="243" spans="2:5">
      <c r="B243" s="139">
        <v>335</v>
      </c>
      <c r="D243" s="127" t="s">
        <v>228</v>
      </c>
      <c r="E243" s="140" t="s">
        <v>766</v>
      </c>
    </row>
    <row r="244" spans="2:5">
      <c r="B244" s="139">
        <v>336</v>
      </c>
      <c r="D244" s="127" t="s">
        <v>229</v>
      </c>
      <c r="E244" s="140" t="s">
        <v>584</v>
      </c>
    </row>
    <row r="245" spans="2:5">
      <c r="B245" s="139">
        <v>337</v>
      </c>
      <c r="D245" s="127" t="s">
        <v>230</v>
      </c>
      <c r="E245" s="140" t="s">
        <v>767</v>
      </c>
    </row>
    <row r="246" spans="2:5">
      <c r="B246" s="139">
        <v>338</v>
      </c>
      <c r="D246" s="127" t="s">
        <v>231</v>
      </c>
      <c r="E246" s="140" t="s">
        <v>585</v>
      </c>
    </row>
    <row r="247" spans="2:5">
      <c r="B247" s="139">
        <v>339</v>
      </c>
      <c r="D247" s="127" t="s">
        <v>232</v>
      </c>
      <c r="E247" s="140" t="s">
        <v>768</v>
      </c>
    </row>
    <row r="248" spans="2:5">
      <c r="B248" s="139">
        <v>340</v>
      </c>
      <c r="D248" s="127" t="s">
        <v>233</v>
      </c>
      <c r="E248" s="140" t="s">
        <v>586</v>
      </c>
    </row>
    <row r="249" spans="2:5">
      <c r="B249" s="139">
        <v>341</v>
      </c>
      <c r="D249" s="127" t="s">
        <v>234</v>
      </c>
      <c r="E249" s="140" t="s">
        <v>769</v>
      </c>
    </row>
    <row r="250" spans="2:5">
      <c r="B250" s="139">
        <v>342</v>
      </c>
      <c r="D250" s="127" t="s">
        <v>235</v>
      </c>
      <c r="E250" s="140" t="s">
        <v>587</v>
      </c>
    </row>
    <row r="251" spans="2:5">
      <c r="B251" s="139">
        <v>343</v>
      </c>
      <c r="D251" s="127" t="s">
        <v>236</v>
      </c>
      <c r="E251" s="140" t="s">
        <v>770</v>
      </c>
    </row>
    <row r="252" spans="2:5">
      <c r="B252" s="139">
        <v>344</v>
      </c>
      <c r="D252" s="127" t="s">
        <v>237</v>
      </c>
      <c r="E252" s="140" t="s">
        <v>588</v>
      </c>
    </row>
    <row r="253" spans="2:5">
      <c r="B253" s="139">
        <v>345</v>
      </c>
      <c r="D253" s="127" t="s">
        <v>238</v>
      </c>
      <c r="E253" s="140" t="s">
        <v>771</v>
      </c>
    </row>
    <row r="254" spans="2:5">
      <c r="B254" s="139">
        <v>346</v>
      </c>
      <c r="D254" s="127" t="s">
        <v>239</v>
      </c>
      <c r="E254" s="140" t="s">
        <v>772</v>
      </c>
    </row>
    <row r="255" spans="2:5">
      <c r="B255" s="139">
        <v>347</v>
      </c>
      <c r="D255" s="127" t="s">
        <v>509</v>
      </c>
      <c r="E255" s="140" t="s">
        <v>509</v>
      </c>
    </row>
    <row r="256" spans="2:5">
      <c r="B256" s="139">
        <v>348</v>
      </c>
      <c r="D256" s="127" t="s">
        <v>240</v>
      </c>
      <c r="E256" s="140" t="s">
        <v>589</v>
      </c>
    </row>
    <row r="257" spans="2:5" ht="26.4">
      <c r="B257" s="139">
        <v>349</v>
      </c>
      <c r="D257" s="127" t="s">
        <v>241</v>
      </c>
      <c r="E257" s="140" t="s">
        <v>773</v>
      </c>
    </row>
    <row r="258" spans="2:5">
      <c r="B258" s="139">
        <v>350</v>
      </c>
      <c r="D258" s="127" t="s">
        <v>242</v>
      </c>
      <c r="E258" s="140" t="s">
        <v>774</v>
      </c>
    </row>
    <row r="259" spans="2:5" ht="26.4">
      <c r="B259" s="139">
        <v>351</v>
      </c>
      <c r="D259" s="127" t="s">
        <v>243</v>
      </c>
      <c r="E259" s="140" t="s">
        <v>775</v>
      </c>
    </row>
    <row r="260" spans="2:5" ht="13.8">
      <c r="B260" s="139">
        <v>352</v>
      </c>
      <c r="D260" s="134" t="s">
        <v>976</v>
      </c>
      <c r="E260" s="167" t="s">
        <v>977</v>
      </c>
    </row>
    <row r="261" spans="2:5">
      <c r="B261" s="139">
        <v>353</v>
      </c>
      <c r="D261" s="127" t="s">
        <v>510</v>
      </c>
      <c r="E261" s="140" t="s">
        <v>590</v>
      </c>
    </row>
    <row r="262" spans="2:5">
      <c r="B262" s="139">
        <v>354</v>
      </c>
      <c r="D262" s="127" t="s">
        <v>244</v>
      </c>
      <c r="E262" s="140" t="s">
        <v>776</v>
      </c>
    </row>
    <row r="263" spans="2:5">
      <c r="B263" s="139">
        <v>355</v>
      </c>
      <c r="D263" s="127" t="s">
        <v>511</v>
      </c>
      <c r="E263" s="140" t="s">
        <v>777</v>
      </c>
    </row>
    <row r="264" spans="2:5">
      <c r="B264" s="139">
        <v>356</v>
      </c>
      <c r="D264" s="127" t="s">
        <v>245</v>
      </c>
      <c r="E264" s="140" t="s">
        <v>591</v>
      </c>
    </row>
    <row r="265" spans="2:5">
      <c r="B265" s="139">
        <v>357</v>
      </c>
      <c r="D265" s="127" t="s">
        <v>246</v>
      </c>
      <c r="E265" s="140" t="s">
        <v>592</v>
      </c>
    </row>
    <row r="266" spans="2:5">
      <c r="B266" s="139">
        <v>358</v>
      </c>
      <c r="D266" s="127" t="s">
        <v>247</v>
      </c>
      <c r="E266" s="140" t="s">
        <v>778</v>
      </c>
    </row>
    <row r="267" spans="2:5">
      <c r="B267" s="139">
        <v>359</v>
      </c>
      <c r="D267" s="127" t="s">
        <v>248</v>
      </c>
      <c r="E267" s="140" t="s">
        <v>779</v>
      </c>
    </row>
    <row r="268" spans="2:5">
      <c r="B268" s="139">
        <v>360</v>
      </c>
      <c r="D268" s="127" t="s">
        <v>249</v>
      </c>
      <c r="E268" s="140" t="s">
        <v>780</v>
      </c>
    </row>
    <row r="269" spans="2:5">
      <c r="B269" s="139">
        <v>361</v>
      </c>
      <c r="D269" s="127" t="s">
        <v>250</v>
      </c>
    </row>
    <row r="270" spans="2:5">
      <c r="B270" s="139">
        <v>362</v>
      </c>
      <c r="D270" s="127" t="s">
        <v>512</v>
      </c>
      <c r="E270" s="140" t="s">
        <v>781</v>
      </c>
    </row>
    <row r="271" spans="2:5" ht="26.4">
      <c r="B271" s="139">
        <v>363</v>
      </c>
      <c r="D271" s="127" t="s">
        <v>513</v>
      </c>
      <c r="E271" s="140" t="s">
        <v>782</v>
      </c>
    </row>
    <row r="272" spans="2:5" ht="26.4">
      <c r="B272" s="139">
        <v>364</v>
      </c>
      <c r="D272" s="127" t="s">
        <v>251</v>
      </c>
      <c r="E272" s="140" t="s">
        <v>783</v>
      </c>
    </row>
    <row r="273" spans="2:5">
      <c r="B273" s="139">
        <v>365</v>
      </c>
      <c r="D273" s="127" t="s">
        <v>252</v>
      </c>
      <c r="E273" s="140" t="s">
        <v>784</v>
      </c>
    </row>
    <row r="274" spans="2:5">
      <c r="B274" s="139">
        <v>366</v>
      </c>
      <c r="D274" s="127" t="s">
        <v>253</v>
      </c>
      <c r="E274" s="140" t="s">
        <v>785</v>
      </c>
    </row>
    <row r="275" spans="2:5">
      <c r="B275" s="139">
        <v>367</v>
      </c>
      <c r="D275" s="127" t="s">
        <v>254</v>
      </c>
      <c r="E275" s="140" t="s">
        <v>593</v>
      </c>
    </row>
    <row r="276" spans="2:5">
      <c r="B276" s="139">
        <v>368</v>
      </c>
      <c r="D276" s="127" t="s">
        <v>255</v>
      </c>
      <c r="E276" s="140" t="s">
        <v>594</v>
      </c>
    </row>
    <row r="277" spans="2:5">
      <c r="B277" s="139">
        <v>369</v>
      </c>
      <c r="D277" s="127" t="s">
        <v>256</v>
      </c>
      <c r="E277" s="140" t="s">
        <v>786</v>
      </c>
    </row>
    <row r="278" spans="2:5">
      <c r="B278" s="139">
        <v>370</v>
      </c>
      <c r="D278" s="127" t="s">
        <v>257</v>
      </c>
      <c r="E278" s="140" t="s">
        <v>595</v>
      </c>
    </row>
    <row r="279" spans="2:5">
      <c r="B279" s="139">
        <v>371</v>
      </c>
      <c r="D279" s="127" t="s">
        <v>258</v>
      </c>
      <c r="E279" s="140" t="s">
        <v>787</v>
      </c>
    </row>
    <row r="280" spans="2:5">
      <c r="B280" s="139">
        <v>372</v>
      </c>
      <c r="D280" s="127" t="s">
        <v>259</v>
      </c>
      <c r="E280" s="140" t="s">
        <v>596</v>
      </c>
    </row>
    <row r="281" spans="2:5">
      <c r="B281" s="139">
        <v>373</v>
      </c>
      <c r="D281" s="127" t="s">
        <v>260</v>
      </c>
      <c r="E281" s="140" t="s">
        <v>597</v>
      </c>
    </row>
    <row r="282" spans="2:5">
      <c r="B282" s="139">
        <v>374</v>
      </c>
      <c r="D282" s="127" t="s">
        <v>261</v>
      </c>
      <c r="E282" s="140" t="s">
        <v>788</v>
      </c>
    </row>
    <row r="283" spans="2:5">
      <c r="B283" s="139">
        <v>375</v>
      </c>
      <c r="D283" s="127" t="s">
        <v>262</v>
      </c>
      <c r="E283" s="140" t="s">
        <v>789</v>
      </c>
    </row>
    <row r="284" spans="2:5">
      <c r="B284" s="139">
        <v>376</v>
      </c>
      <c r="D284" s="127" t="s">
        <v>263</v>
      </c>
      <c r="E284" s="140" t="s">
        <v>790</v>
      </c>
    </row>
    <row r="285" spans="2:5">
      <c r="B285" s="139">
        <v>377</v>
      </c>
      <c r="D285" s="127" t="s">
        <v>264</v>
      </c>
      <c r="E285" s="140" t="s">
        <v>791</v>
      </c>
    </row>
    <row r="286" spans="2:5">
      <c r="B286" s="139">
        <v>378</v>
      </c>
      <c r="D286" s="127" t="s">
        <v>265</v>
      </c>
      <c r="E286" s="140" t="s">
        <v>598</v>
      </c>
    </row>
    <row r="287" spans="2:5">
      <c r="B287" s="139">
        <v>379</v>
      </c>
      <c r="D287" s="127" t="s">
        <v>266</v>
      </c>
      <c r="E287" s="140" t="s">
        <v>978</v>
      </c>
    </row>
    <row r="288" spans="2:5">
      <c r="B288" s="139">
        <v>380</v>
      </c>
      <c r="D288" s="127" t="s">
        <v>267</v>
      </c>
      <c r="E288" s="140" t="s">
        <v>792</v>
      </c>
    </row>
    <row r="289" spans="2:5">
      <c r="B289" s="139">
        <v>381</v>
      </c>
      <c r="D289" s="127" t="s">
        <v>268</v>
      </c>
      <c r="E289" s="140" t="s">
        <v>599</v>
      </c>
    </row>
    <row r="290" spans="2:5" ht="39.6">
      <c r="B290" s="139">
        <v>382</v>
      </c>
      <c r="D290" s="127" t="s">
        <v>269</v>
      </c>
      <c r="E290" s="140" t="s">
        <v>793</v>
      </c>
    </row>
    <row r="291" spans="2:5">
      <c r="B291" s="139">
        <v>383</v>
      </c>
      <c r="D291" s="127" t="s">
        <v>270</v>
      </c>
      <c r="E291" s="140" t="s">
        <v>794</v>
      </c>
    </row>
    <row r="292" spans="2:5" ht="26.4">
      <c r="B292" s="139">
        <v>384</v>
      </c>
      <c r="D292" s="127" t="s">
        <v>271</v>
      </c>
      <c r="E292" s="140" t="s">
        <v>795</v>
      </c>
    </row>
    <row r="293" spans="2:5">
      <c r="B293" s="139">
        <v>385</v>
      </c>
      <c r="D293" s="127" t="s">
        <v>272</v>
      </c>
      <c r="E293" s="140" t="s">
        <v>796</v>
      </c>
    </row>
    <row r="294" spans="2:5" ht="26.4">
      <c r="B294" s="139">
        <v>386</v>
      </c>
      <c r="D294" s="127" t="s">
        <v>273</v>
      </c>
      <c r="E294" s="140" t="s">
        <v>797</v>
      </c>
    </row>
    <row r="295" spans="2:5" ht="26.4">
      <c r="B295" s="139">
        <v>387</v>
      </c>
      <c r="D295" s="127" t="s">
        <v>274</v>
      </c>
      <c r="E295" s="140" t="s">
        <v>798</v>
      </c>
    </row>
    <row r="296" spans="2:5" ht="26.4">
      <c r="B296" s="139">
        <v>388</v>
      </c>
      <c r="D296" s="127" t="s">
        <v>275</v>
      </c>
      <c r="E296" s="140" t="s">
        <v>799</v>
      </c>
    </row>
    <row r="297" spans="2:5" ht="26.4">
      <c r="B297" s="139">
        <v>389</v>
      </c>
      <c r="D297" s="127" t="s">
        <v>276</v>
      </c>
      <c r="E297" s="140" t="s">
        <v>800</v>
      </c>
    </row>
    <row r="298" spans="2:5" ht="26.4">
      <c r="B298" s="139">
        <v>390</v>
      </c>
      <c r="D298" s="127" t="s">
        <v>277</v>
      </c>
      <c r="E298" s="140" t="s">
        <v>801</v>
      </c>
    </row>
    <row r="299" spans="2:5" ht="26.4">
      <c r="B299" s="139">
        <v>391</v>
      </c>
      <c r="D299" s="127" t="s">
        <v>278</v>
      </c>
      <c r="E299" s="140" t="s">
        <v>802</v>
      </c>
    </row>
    <row r="300" spans="2:5" ht="26.4">
      <c r="B300" s="139">
        <v>392</v>
      </c>
      <c r="D300" s="127" t="s">
        <v>279</v>
      </c>
      <c r="E300" s="140" t="s">
        <v>803</v>
      </c>
    </row>
    <row r="301" spans="2:5" ht="26.4">
      <c r="B301" s="139">
        <v>393</v>
      </c>
      <c r="D301" s="127" t="s">
        <v>280</v>
      </c>
      <c r="E301" s="140" t="s">
        <v>804</v>
      </c>
    </row>
    <row r="302" spans="2:5" ht="26.4">
      <c r="B302" s="139">
        <v>394</v>
      </c>
      <c r="D302" s="127" t="s">
        <v>281</v>
      </c>
      <c r="E302" s="140" t="s">
        <v>805</v>
      </c>
    </row>
    <row r="303" spans="2:5" ht="26.4">
      <c r="B303" s="139">
        <v>395</v>
      </c>
      <c r="D303" s="127" t="s">
        <v>282</v>
      </c>
      <c r="E303" s="140" t="s">
        <v>806</v>
      </c>
    </row>
    <row r="304" spans="2:5" ht="26.4">
      <c r="B304" s="139">
        <v>396</v>
      </c>
      <c r="D304" s="127" t="s">
        <v>283</v>
      </c>
      <c r="E304" s="140" t="s">
        <v>807</v>
      </c>
    </row>
    <row r="305" spans="2:5" ht="26.4">
      <c r="B305" s="139">
        <v>397</v>
      </c>
      <c r="D305" s="127" t="s">
        <v>284</v>
      </c>
      <c r="E305" s="140" t="s">
        <v>808</v>
      </c>
    </row>
    <row r="306" spans="2:5" ht="26.4">
      <c r="B306" s="139">
        <v>398</v>
      </c>
      <c r="D306" s="127" t="s">
        <v>285</v>
      </c>
      <c r="E306" s="140" t="s">
        <v>809</v>
      </c>
    </row>
    <row r="307" spans="2:5" ht="26.4">
      <c r="B307" s="139">
        <v>399</v>
      </c>
      <c r="D307" s="127" t="s">
        <v>286</v>
      </c>
      <c r="E307" s="140" t="s">
        <v>810</v>
      </c>
    </row>
    <row r="308" spans="2:5" ht="26.4">
      <c r="B308" s="139">
        <v>400</v>
      </c>
      <c r="D308" s="127" t="s">
        <v>287</v>
      </c>
      <c r="E308" s="140" t="s">
        <v>811</v>
      </c>
    </row>
    <row r="309" spans="2:5" ht="26.4">
      <c r="B309" s="139">
        <v>401</v>
      </c>
      <c r="D309" s="127" t="s">
        <v>288</v>
      </c>
      <c r="E309" s="140" t="s">
        <v>812</v>
      </c>
    </row>
    <row r="310" spans="2:5" ht="26.4">
      <c r="B310" s="139">
        <v>402</v>
      </c>
      <c r="D310" s="127" t="s">
        <v>289</v>
      </c>
      <c r="E310" s="140" t="s">
        <v>813</v>
      </c>
    </row>
    <row r="311" spans="2:5" ht="26.4">
      <c r="B311" s="139">
        <v>403</v>
      </c>
      <c r="D311" s="127" t="s">
        <v>290</v>
      </c>
      <c r="E311" s="140" t="s">
        <v>814</v>
      </c>
    </row>
    <row r="312" spans="2:5" ht="26.4">
      <c r="B312" s="139">
        <v>404</v>
      </c>
      <c r="D312" s="127" t="s">
        <v>291</v>
      </c>
      <c r="E312" s="140" t="s">
        <v>815</v>
      </c>
    </row>
    <row r="313" spans="2:5">
      <c r="B313" s="139">
        <v>405</v>
      </c>
      <c r="D313" s="127" t="s">
        <v>514</v>
      </c>
      <c r="E313" s="140" t="s">
        <v>816</v>
      </c>
    </row>
    <row r="314" spans="2:5">
      <c r="B314" s="139">
        <v>406</v>
      </c>
      <c r="D314" s="127" t="s">
        <v>515</v>
      </c>
      <c r="E314" s="140" t="s">
        <v>816</v>
      </c>
    </row>
    <row r="315" spans="2:5">
      <c r="B315" s="139">
        <v>407</v>
      </c>
      <c r="D315" s="127" t="s">
        <v>292</v>
      </c>
      <c r="E315" s="140" t="s">
        <v>817</v>
      </c>
    </row>
    <row r="316" spans="2:5" ht="26.4">
      <c r="B316" s="139">
        <v>408</v>
      </c>
      <c r="D316" s="127" t="s">
        <v>293</v>
      </c>
      <c r="E316" s="140" t="s">
        <v>818</v>
      </c>
    </row>
    <row r="317" spans="2:5">
      <c r="B317" s="139">
        <v>409</v>
      </c>
      <c r="D317" s="127" t="s">
        <v>294</v>
      </c>
      <c r="E317" s="140" t="s">
        <v>819</v>
      </c>
    </row>
    <row r="318" spans="2:5" ht="26.4">
      <c r="B318" s="139">
        <v>410</v>
      </c>
      <c r="D318" s="127" t="s">
        <v>295</v>
      </c>
      <c r="E318" s="140" t="s">
        <v>820</v>
      </c>
    </row>
    <row r="319" spans="2:5">
      <c r="B319" s="139">
        <v>411</v>
      </c>
      <c r="D319" s="127" t="s">
        <v>516</v>
      </c>
      <c r="E319" s="140" t="s">
        <v>821</v>
      </c>
    </row>
    <row r="320" spans="2:5" ht="26.4">
      <c r="B320" s="139">
        <v>412</v>
      </c>
      <c r="D320" s="127" t="s">
        <v>517</v>
      </c>
      <c r="E320" s="140" t="s">
        <v>822</v>
      </c>
    </row>
    <row r="321" spans="1:6">
      <c r="B321" s="139">
        <v>413</v>
      </c>
      <c r="D321" s="127" t="s">
        <v>296</v>
      </c>
      <c r="E321" s="140" t="s">
        <v>823</v>
      </c>
    </row>
    <row r="322" spans="1:6" ht="26.4">
      <c r="B322" s="139">
        <v>414</v>
      </c>
      <c r="D322" s="127" t="s">
        <v>297</v>
      </c>
      <c r="E322" s="140" t="s">
        <v>824</v>
      </c>
    </row>
    <row r="323" spans="1:6">
      <c r="B323" s="139">
        <v>415</v>
      </c>
      <c r="D323" s="127" t="s">
        <v>298</v>
      </c>
      <c r="E323" s="140" t="s">
        <v>825</v>
      </c>
    </row>
    <row r="324" spans="1:6" ht="39.6">
      <c r="B324" s="139">
        <v>416</v>
      </c>
      <c r="D324" s="127" t="s">
        <v>299</v>
      </c>
      <c r="E324" s="140" t="s">
        <v>826</v>
      </c>
    </row>
    <row r="325" spans="1:6">
      <c r="B325" s="139">
        <v>417</v>
      </c>
      <c r="D325" s="127" t="s">
        <v>300</v>
      </c>
      <c r="E325" s="140" t="s">
        <v>827</v>
      </c>
    </row>
    <row r="326" spans="1:6" ht="26.4">
      <c r="B326" s="139">
        <v>418</v>
      </c>
      <c r="D326" s="127" t="s">
        <v>301</v>
      </c>
      <c r="E326" s="140" t="s">
        <v>828</v>
      </c>
    </row>
    <row r="327" spans="1:6" ht="26.4">
      <c r="B327" s="139">
        <v>419</v>
      </c>
      <c r="D327" s="127" t="s">
        <v>302</v>
      </c>
      <c r="E327" s="140" t="s">
        <v>829</v>
      </c>
    </row>
    <row r="328" spans="1:6" ht="26.4">
      <c r="B328" s="139">
        <v>420</v>
      </c>
      <c r="D328" s="127" t="s">
        <v>303</v>
      </c>
      <c r="E328" s="140" t="s">
        <v>830</v>
      </c>
    </row>
    <row r="329" spans="1:6">
      <c r="B329" s="139">
        <v>421</v>
      </c>
      <c r="D329" s="127" t="s">
        <v>304</v>
      </c>
      <c r="E329" s="140" t="s">
        <v>831</v>
      </c>
    </row>
    <row r="330" spans="1:6">
      <c r="B330" s="139">
        <v>422</v>
      </c>
      <c r="D330" s="127" t="s">
        <v>305</v>
      </c>
      <c r="E330" s="140" t="s">
        <v>832</v>
      </c>
    </row>
    <row r="331" spans="1:6">
      <c r="B331" s="139">
        <v>423</v>
      </c>
      <c r="D331" s="127" t="s">
        <v>306</v>
      </c>
      <c r="E331" s="140" t="s">
        <v>833</v>
      </c>
    </row>
    <row r="332" spans="1:6">
      <c r="B332" s="139">
        <v>424</v>
      </c>
      <c r="D332" s="127" t="s">
        <v>307</v>
      </c>
      <c r="E332" s="140" t="s">
        <v>834</v>
      </c>
    </row>
    <row r="333" spans="1:6">
      <c r="B333" s="139">
        <v>425</v>
      </c>
      <c r="D333" s="127" t="s">
        <v>308</v>
      </c>
      <c r="E333" s="140" t="s">
        <v>835</v>
      </c>
    </row>
    <row r="334" spans="1:6">
      <c r="B334" s="139">
        <v>426</v>
      </c>
      <c r="D334" s="127" t="s">
        <v>309</v>
      </c>
      <c r="E334" s="140" t="s">
        <v>836</v>
      </c>
    </row>
    <row r="335" spans="1:6">
      <c r="B335" s="139">
        <v>427</v>
      </c>
      <c r="D335" s="127" t="s">
        <v>518</v>
      </c>
      <c r="E335" s="140" t="s">
        <v>837</v>
      </c>
    </row>
    <row r="336" spans="1:6" ht="43.2">
      <c r="A336" s="134"/>
      <c r="B336" s="139">
        <v>428</v>
      </c>
      <c r="C336" s="137" t="s">
        <v>943</v>
      </c>
      <c r="D336" s="134" t="s">
        <v>979</v>
      </c>
      <c r="E336" s="134" t="s">
        <v>980</v>
      </c>
      <c r="F336" s="135"/>
    </row>
    <row r="337" spans="2:5" ht="39.6">
      <c r="B337" s="139">
        <v>429</v>
      </c>
      <c r="D337" s="127" t="s">
        <v>310</v>
      </c>
      <c r="E337" s="140" t="s">
        <v>838</v>
      </c>
    </row>
    <row r="338" spans="2:5">
      <c r="B338" s="139">
        <v>430</v>
      </c>
      <c r="D338" s="127" t="s">
        <v>311</v>
      </c>
      <c r="E338" s="140" t="s">
        <v>839</v>
      </c>
    </row>
    <row r="339" spans="2:5">
      <c r="B339" s="139">
        <v>431</v>
      </c>
      <c r="D339" s="127" t="s">
        <v>312</v>
      </c>
      <c r="E339" s="140" t="s">
        <v>840</v>
      </c>
    </row>
    <row r="340" spans="2:5">
      <c r="B340" s="139">
        <v>432</v>
      </c>
      <c r="D340" s="127" t="s">
        <v>313</v>
      </c>
      <c r="E340" s="140" t="s">
        <v>841</v>
      </c>
    </row>
    <row r="341" spans="2:5" ht="26.4">
      <c r="B341" s="139">
        <v>433</v>
      </c>
      <c r="D341" s="127" t="s">
        <v>314</v>
      </c>
      <c r="E341" s="140" t="s">
        <v>842</v>
      </c>
    </row>
    <row r="342" spans="2:5">
      <c r="B342" s="139">
        <v>434</v>
      </c>
      <c r="D342" s="127" t="s">
        <v>315</v>
      </c>
      <c r="E342" s="140" t="s">
        <v>843</v>
      </c>
    </row>
    <row r="343" spans="2:5">
      <c r="B343" s="139">
        <v>435</v>
      </c>
      <c r="D343" s="127" t="s">
        <v>316</v>
      </c>
      <c r="E343" s="140" t="s">
        <v>844</v>
      </c>
    </row>
    <row r="344" spans="2:5">
      <c r="B344" s="139">
        <v>436</v>
      </c>
      <c r="D344" s="127" t="s">
        <v>317</v>
      </c>
      <c r="E344" s="140" t="s">
        <v>845</v>
      </c>
    </row>
    <row r="345" spans="2:5">
      <c r="B345" s="139">
        <v>437</v>
      </c>
      <c r="D345" s="127" t="s">
        <v>318</v>
      </c>
      <c r="E345" s="140" t="s">
        <v>846</v>
      </c>
    </row>
    <row r="346" spans="2:5">
      <c r="B346" s="139">
        <v>438</v>
      </c>
      <c r="D346" s="127" t="s">
        <v>519</v>
      </c>
      <c r="E346" s="140" t="s">
        <v>847</v>
      </c>
    </row>
    <row r="347" spans="2:5">
      <c r="B347" s="139">
        <v>439</v>
      </c>
      <c r="D347" s="127" t="s">
        <v>319</v>
      </c>
      <c r="E347" s="140" t="s">
        <v>848</v>
      </c>
    </row>
    <row r="348" spans="2:5">
      <c r="B348" s="139">
        <v>440</v>
      </c>
      <c r="D348" s="127" t="s">
        <v>520</v>
      </c>
      <c r="E348" s="140" t="s">
        <v>849</v>
      </c>
    </row>
    <row r="349" spans="2:5" ht="26.4">
      <c r="B349" s="139">
        <v>441</v>
      </c>
      <c r="D349" s="127" t="s">
        <v>320</v>
      </c>
      <c r="E349" s="140" t="s">
        <v>850</v>
      </c>
    </row>
    <row r="350" spans="2:5">
      <c r="B350" s="139">
        <v>442</v>
      </c>
      <c r="D350" s="127" t="s">
        <v>321</v>
      </c>
      <c r="E350" s="140" t="s">
        <v>851</v>
      </c>
    </row>
    <row r="351" spans="2:5">
      <c r="B351" s="139">
        <v>443</v>
      </c>
      <c r="D351" s="127" t="s">
        <v>322</v>
      </c>
      <c r="E351" s="140" t="s">
        <v>852</v>
      </c>
    </row>
    <row r="352" spans="2:5">
      <c r="B352" s="139">
        <v>444</v>
      </c>
      <c r="D352" s="127" t="s">
        <v>323</v>
      </c>
      <c r="E352" s="140" t="s">
        <v>853</v>
      </c>
    </row>
    <row r="353" spans="2:5" ht="39.6">
      <c r="B353" s="139">
        <v>445</v>
      </c>
      <c r="D353" s="127" t="s">
        <v>390</v>
      </c>
      <c r="E353" s="140" t="s">
        <v>854</v>
      </c>
    </row>
    <row r="354" spans="2:5">
      <c r="B354" s="139">
        <v>446</v>
      </c>
      <c r="D354" s="127" t="s">
        <v>324</v>
      </c>
      <c r="E354" s="140" t="s">
        <v>855</v>
      </c>
    </row>
    <row r="355" spans="2:5">
      <c r="B355" s="139">
        <v>447</v>
      </c>
      <c r="D355" s="127" t="s">
        <v>325</v>
      </c>
      <c r="E355" s="140" t="s">
        <v>856</v>
      </c>
    </row>
    <row r="356" spans="2:5">
      <c r="B356" s="139">
        <v>448</v>
      </c>
      <c r="D356" s="127" t="s">
        <v>326</v>
      </c>
      <c r="E356" s="140" t="s">
        <v>857</v>
      </c>
    </row>
    <row r="357" spans="2:5">
      <c r="B357" s="139">
        <v>449</v>
      </c>
      <c r="D357" s="127" t="s">
        <v>327</v>
      </c>
      <c r="E357" s="140" t="s">
        <v>858</v>
      </c>
    </row>
    <row r="358" spans="2:5">
      <c r="B358" s="139">
        <v>450</v>
      </c>
      <c r="D358" s="127" t="s">
        <v>328</v>
      </c>
      <c r="E358" s="140" t="s">
        <v>859</v>
      </c>
    </row>
    <row r="359" spans="2:5" ht="26.4">
      <c r="B359" s="139">
        <v>451</v>
      </c>
      <c r="D359" s="127" t="s">
        <v>329</v>
      </c>
      <c r="E359" s="140" t="s">
        <v>860</v>
      </c>
    </row>
    <row r="360" spans="2:5">
      <c r="B360" s="139">
        <v>452</v>
      </c>
      <c r="D360" s="127" t="s">
        <v>330</v>
      </c>
      <c r="E360" s="140" t="s">
        <v>861</v>
      </c>
    </row>
    <row r="361" spans="2:5">
      <c r="B361" s="139">
        <v>453</v>
      </c>
      <c r="D361" s="127" t="s">
        <v>331</v>
      </c>
      <c r="E361" s="140" t="s">
        <v>862</v>
      </c>
    </row>
    <row r="362" spans="2:5">
      <c r="B362" s="139">
        <v>454</v>
      </c>
      <c r="D362" s="127" t="s">
        <v>332</v>
      </c>
      <c r="E362" s="140" t="s">
        <v>863</v>
      </c>
    </row>
    <row r="363" spans="2:5" ht="26.4">
      <c r="B363" s="139">
        <v>455</v>
      </c>
      <c r="D363" s="127" t="s">
        <v>521</v>
      </c>
      <c r="E363" s="140" t="s">
        <v>864</v>
      </c>
    </row>
    <row r="364" spans="2:5">
      <c r="B364" s="139">
        <v>456</v>
      </c>
      <c r="D364" s="127" t="s">
        <v>333</v>
      </c>
      <c r="E364" s="140" t="s">
        <v>600</v>
      </c>
    </row>
    <row r="365" spans="2:5">
      <c r="B365" s="139">
        <v>457</v>
      </c>
      <c r="D365" s="127" t="s">
        <v>334</v>
      </c>
      <c r="E365" s="140" t="s">
        <v>865</v>
      </c>
    </row>
    <row r="366" spans="2:5">
      <c r="B366" s="139">
        <v>458</v>
      </c>
      <c r="D366" s="127" t="s">
        <v>335</v>
      </c>
      <c r="E366" s="140" t="s">
        <v>866</v>
      </c>
    </row>
    <row r="367" spans="2:5">
      <c r="B367" s="139">
        <v>459</v>
      </c>
      <c r="D367" s="127" t="s">
        <v>522</v>
      </c>
      <c r="E367" s="140" t="s">
        <v>867</v>
      </c>
    </row>
    <row r="368" spans="2:5" ht="26.4">
      <c r="B368" s="139">
        <v>460</v>
      </c>
      <c r="D368" s="127" t="s">
        <v>523</v>
      </c>
      <c r="E368" s="140" t="s">
        <v>868</v>
      </c>
    </row>
    <row r="369" spans="1:6">
      <c r="B369" s="139">
        <v>461</v>
      </c>
      <c r="D369" s="127" t="s">
        <v>336</v>
      </c>
      <c r="E369" s="140" t="s">
        <v>601</v>
      </c>
    </row>
    <row r="370" spans="1:6">
      <c r="B370" s="139">
        <v>462</v>
      </c>
      <c r="D370" s="127" t="s">
        <v>337</v>
      </c>
      <c r="E370" s="140" t="s">
        <v>869</v>
      </c>
    </row>
    <row r="371" spans="1:6">
      <c r="B371" s="139">
        <v>463</v>
      </c>
      <c r="D371" s="127" t="s">
        <v>338</v>
      </c>
      <c r="E371" s="140" t="s">
        <v>870</v>
      </c>
    </row>
    <row r="372" spans="1:6" ht="39.6">
      <c r="B372" s="139">
        <v>464</v>
      </c>
      <c r="D372" s="127" t="s">
        <v>339</v>
      </c>
      <c r="E372" s="140" t="s">
        <v>871</v>
      </c>
    </row>
    <row r="373" spans="1:6">
      <c r="B373" s="139">
        <v>465</v>
      </c>
      <c r="D373" s="127" t="s">
        <v>340</v>
      </c>
      <c r="E373" s="140" t="s">
        <v>872</v>
      </c>
    </row>
    <row r="374" spans="1:6">
      <c r="A374" s="129"/>
      <c r="B374" s="139">
        <v>466</v>
      </c>
      <c r="C374" s="138" t="s">
        <v>532</v>
      </c>
      <c r="D374" s="128" t="s">
        <v>923</v>
      </c>
      <c r="E374" s="128" t="s">
        <v>981</v>
      </c>
      <c r="F374" s="130"/>
    </row>
    <row r="375" spans="1:6">
      <c r="A375" s="129"/>
      <c r="B375" s="139">
        <v>467</v>
      </c>
      <c r="C375" s="138" t="s">
        <v>532</v>
      </c>
      <c r="D375" s="128" t="s">
        <v>982</v>
      </c>
      <c r="E375" s="128" t="s">
        <v>924</v>
      </c>
      <c r="F375" s="130"/>
    </row>
    <row r="376" spans="1:6" ht="14.4">
      <c r="B376" s="139">
        <v>468</v>
      </c>
      <c r="D376" s="127" t="s">
        <v>341</v>
      </c>
      <c r="E376" s="168" t="s">
        <v>930</v>
      </c>
    </row>
    <row r="377" spans="1:6">
      <c r="B377" s="139">
        <v>469</v>
      </c>
      <c r="D377" s="127" t="s">
        <v>342</v>
      </c>
      <c r="E377" s="140" t="s">
        <v>873</v>
      </c>
    </row>
    <row r="378" spans="1:6">
      <c r="B378" s="139">
        <v>470</v>
      </c>
      <c r="D378" s="127" t="s">
        <v>343</v>
      </c>
      <c r="E378" s="140" t="s">
        <v>602</v>
      </c>
    </row>
    <row r="379" spans="1:6" ht="26.4">
      <c r="B379" s="139">
        <v>471</v>
      </c>
      <c r="D379" s="127" t="s">
        <v>344</v>
      </c>
      <c r="E379" s="140" t="s">
        <v>874</v>
      </c>
    </row>
    <row r="380" spans="1:6">
      <c r="B380" s="139">
        <v>472</v>
      </c>
      <c r="D380" s="127" t="s">
        <v>345</v>
      </c>
      <c r="E380" s="140" t="s">
        <v>603</v>
      </c>
    </row>
    <row r="381" spans="1:6" ht="26.4">
      <c r="B381" s="139">
        <v>473</v>
      </c>
      <c r="D381" s="127" t="s">
        <v>346</v>
      </c>
      <c r="E381" s="140" t="s">
        <v>875</v>
      </c>
    </row>
    <row r="382" spans="1:6">
      <c r="B382" s="139">
        <v>474</v>
      </c>
      <c r="D382" s="127" t="s">
        <v>347</v>
      </c>
      <c r="E382" s="140" t="s">
        <v>604</v>
      </c>
    </row>
    <row r="383" spans="1:6">
      <c r="B383" s="139">
        <v>475</v>
      </c>
      <c r="D383" s="127" t="s">
        <v>348</v>
      </c>
      <c r="E383" s="140" t="s">
        <v>876</v>
      </c>
    </row>
    <row r="384" spans="1:6">
      <c r="B384" s="139">
        <v>476</v>
      </c>
      <c r="D384" s="127" t="s">
        <v>349</v>
      </c>
      <c r="E384" s="140" t="s">
        <v>877</v>
      </c>
    </row>
    <row r="385" spans="2:5">
      <c r="B385" s="139">
        <v>477</v>
      </c>
      <c r="D385" s="127" t="s">
        <v>350</v>
      </c>
      <c r="E385" s="140" t="s">
        <v>878</v>
      </c>
    </row>
    <row r="386" spans="2:5">
      <c r="B386" s="139">
        <v>478</v>
      </c>
      <c r="D386" s="127" t="s">
        <v>351</v>
      </c>
      <c r="E386" s="140" t="s">
        <v>879</v>
      </c>
    </row>
    <row r="387" spans="2:5">
      <c r="B387" s="139">
        <v>479</v>
      </c>
      <c r="D387" s="127" t="s">
        <v>352</v>
      </c>
      <c r="E387" s="140" t="s">
        <v>880</v>
      </c>
    </row>
    <row r="388" spans="2:5">
      <c r="B388" s="139">
        <v>480</v>
      </c>
      <c r="D388" s="127" t="s">
        <v>353</v>
      </c>
      <c r="E388" s="140" t="s">
        <v>353</v>
      </c>
    </row>
    <row r="389" spans="2:5">
      <c r="B389" s="139">
        <v>481</v>
      </c>
      <c r="D389" s="127" t="s">
        <v>524</v>
      </c>
      <c r="E389" s="140" t="s">
        <v>881</v>
      </c>
    </row>
    <row r="390" spans="2:5" ht="26.4">
      <c r="B390" s="139">
        <v>482</v>
      </c>
      <c r="D390" s="127" t="s">
        <v>354</v>
      </c>
      <c r="E390" s="140" t="s">
        <v>882</v>
      </c>
    </row>
    <row r="391" spans="2:5">
      <c r="B391" s="139">
        <v>483</v>
      </c>
      <c r="D391" s="127" t="s">
        <v>355</v>
      </c>
      <c r="E391" s="140" t="s">
        <v>355</v>
      </c>
    </row>
    <row r="392" spans="2:5">
      <c r="B392" s="139">
        <v>484</v>
      </c>
      <c r="D392" s="127" t="s">
        <v>525</v>
      </c>
    </row>
    <row r="393" spans="2:5">
      <c r="B393" s="139">
        <v>485</v>
      </c>
      <c r="D393" s="127" t="s">
        <v>356</v>
      </c>
      <c r="E393" s="140" t="s">
        <v>605</v>
      </c>
    </row>
    <row r="394" spans="2:5">
      <c r="B394" s="139">
        <v>486</v>
      </c>
      <c r="D394" s="127" t="s">
        <v>526</v>
      </c>
      <c r="E394" s="140" t="s">
        <v>606</v>
      </c>
    </row>
    <row r="395" spans="2:5">
      <c r="B395" s="139">
        <v>487</v>
      </c>
      <c r="D395" s="127" t="s">
        <v>527</v>
      </c>
      <c r="E395" s="140" t="s">
        <v>607</v>
      </c>
    </row>
    <row r="396" spans="2:5">
      <c r="B396" s="139">
        <v>488</v>
      </c>
      <c r="D396" s="127" t="s">
        <v>528</v>
      </c>
      <c r="E396" s="140" t="s">
        <v>606</v>
      </c>
    </row>
    <row r="397" spans="2:5">
      <c r="B397" s="139">
        <v>489</v>
      </c>
      <c r="D397" s="127" t="s">
        <v>357</v>
      </c>
      <c r="E397" s="140" t="s">
        <v>608</v>
      </c>
    </row>
    <row r="398" spans="2:5">
      <c r="B398" s="139">
        <v>490</v>
      </c>
      <c r="D398" s="127" t="s">
        <v>358</v>
      </c>
      <c r="E398" s="140" t="s">
        <v>883</v>
      </c>
    </row>
    <row r="399" spans="2:5">
      <c r="B399" s="139">
        <v>491</v>
      </c>
      <c r="D399" s="127" t="s">
        <v>359</v>
      </c>
      <c r="E399" s="140" t="s">
        <v>884</v>
      </c>
    </row>
    <row r="400" spans="2:5">
      <c r="B400" s="139">
        <v>492</v>
      </c>
      <c r="D400" s="127" t="s">
        <v>360</v>
      </c>
      <c r="E400" s="140" t="s">
        <v>609</v>
      </c>
    </row>
    <row r="401" spans="1:6">
      <c r="B401" s="139">
        <v>493</v>
      </c>
      <c r="D401" s="127" t="s">
        <v>361</v>
      </c>
    </row>
    <row r="402" spans="1:6">
      <c r="B402" s="139">
        <v>494</v>
      </c>
      <c r="D402" s="127" t="s">
        <v>362</v>
      </c>
    </row>
    <row r="403" spans="1:6">
      <c r="B403" s="139">
        <v>495</v>
      </c>
      <c r="D403" s="127" t="s">
        <v>363</v>
      </c>
      <c r="E403" s="140" t="s">
        <v>885</v>
      </c>
    </row>
    <row r="404" spans="1:6">
      <c r="B404" s="139">
        <v>496</v>
      </c>
      <c r="D404" s="127" t="s">
        <v>529</v>
      </c>
      <c r="E404" s="140" t="s">
        <v>886</v>
      </c>
    </row>
    <row r="405" spans="1:6">
      <c r="B405" s="139">
        <v>497</v>
      </c>
      <c r="D405" s="127" t="s">
        <v>364</v>
      </c>
      <c r="E405" s="140" t="s">
        <v>887</v>
      </c>
    </row>
    <row r="406" spans="1:6">
      <c r="B406" s="139">
        <v>498</v>
      </c>
      <c r="D406" s="127" t="s">
        <v>452</v>
      </c>
      <c r="E406" s="140" t="s">
        <v>888</v>
      </c>
    </row>
    <row r="407" spans="1:6">
      <c r="B407" s="139">
        <v>499</v>
      </c>
      <c r="D407" s="127" t="s">
        <v>365</v>
      </c>
      <c r="E407" s="140" t="s">
        <v>887</v>
      </c>
    </row>
    <row r="408" spans="1:6" ht="28.8">
      <c r="A408" s="134"/>
      <c r="B408" s="139">
        <v>500</v>
      </c>
      <c r="C408" s="134"/>
      <c r="D408" s="134" t="s">
        <v>983</v>
      </c>
      <c r="E408" s="134" t="s">
        <v>984</v>
      </c>
      <c r="F408" s="135"/>
    </row>
    <row r="409" spans="1:6">
      <c r="B409" s="139">
        <v>501</v>
      </c>
      <c r="D409" s="127" t="s">
        <v>366</v>
      </c>
      <c r="E409" s="140" t="s">
        <v>366</v>
      </c>
    </row>
    <row r="410" spans="1:6">
      <c r="B410" s="139">
        <v>502</v>
      </c>
      <c r="D410" s="127" t="s">
        <v>367</v>
      </c>
      <c r="E410" s="140" t="s">
        <v>889</v>
      </c>
    </row>
    <row r="411" spans="1:6">
      <c r="B411" s="139">
        <v>503</v>
      </c>
      <c r="D411" s="127" t="s">
        <v>368</v>
      </c>
      <c r="E411" s="140" t="s">
        <v>890</v>
      </c>
    </row>
    <row r="412" spans="1:6">
      <c r="B412" s="139">
        <v>504</v>
      </c>
      <c r="D412" s="127" t="s">
        <v>530</v>
      </c>
      <c r="E412" s="140" t="s">
        <v>891</v>
      </c>
    </row>
    <row r="413" spans="1:6">
      <c r="B413" s="139">
        <v>505</v>
      </c>
      <c r="D413" s="127" t="s">
        <v>369</v>
      </c>
      <c r="E413" s="140" t="s">
        <v>892</v>
      </c>
    </row>
    <row r="414" spans="1:6">
      <c r="B414" s="139">
        <v>506</v>
      </c>
      <c r="D414" s="127" t="s">
        <v>370</v>
      </c>
      <c r="E414" s="140" t="s">
        <v>893</v>
      </c>
    </row>
    <row r="415" spans="1:6">
      <c r="B415" s="139">
        <v>507</v>
      </c>
      <c r="D415" s="127" t="s">
        <v>371</v>
      </c>
      <c r="E415" s="140" t="s">
        <v>894</v>
      </c>
    </row>
    <row r="416" spans="1:6">
      <c r="B416" s="139">
        <v>508</v>
      </c>
      <c r="D416" s="127" t="s">
        <v>531</v>
      </c>
      <c r="E416" s="140" t="s">
        <v>895</v>
      </c>
    </row>
    <row r="417" spans="1:6" ht="26.4">
      <c r="B417" s="139">
        <v>509</v>
      </c>
      <c r="D417" s="127" t="s">
        <v>372</v>
      </c>
      <c r="E417" s="140" t="s">
        <v>896</v>
      </c>
    </row>
    <row r="418" spans="1:6">
      <c r="B418" s="139">
        <v>510</v>
      </c>
      <c r="D418" s="127" t="s">
        <v>373</v>
      </c>
      <c r="E418" s="140" t="s">
        <v>894</v>
      </c>
    </row>
    <row r="419" spans="1:6">
      <c r="B419" s="139">
        <v>511</v>
      </c>
      <c r="D419" s="127" t="s">
        <v>374</v>
      </c>
      <c r="E419" s="140" t="s">
        <v>897</v>
      </c>
    </row>
    <row r="420" spans="1:6">
      <c r="B420" s="139">
        <v>512</v>
      </c>
      <c r="D420" s="127" t="s">
        <v>375</v>
      </c>
      <c r="E420" s="140" t="s">
        <v>898</v>
      </c>
    </row>
    <row r="421" spans="1:6">
      <c r="B421" s="139">
        <v>513</v>
      </c>
      <c r="D421" s="127" t="s">
        <v>376</v>
      </c>
      <c r="E421" s="140" t="s">
        <v>899</v>
      </c>
    </row>
    <row r="422" spans="1:6" s="134" customFormat="1" ht="13.8">
      <c r="A422" s="126"/>
      <c r="B422" s="139">
        <v>514</v>
      </c>
      <c r="C422" s="136"/>
      <c r="D422" s="127" t="s">
        <v>377</v>
      </c>
      <c r="E422" s="140" t="s">
        <v>900</v>
      </c>
      <c r="F422" s="126"/>
    </row>
    <row r="423" spans="1:6" s="134" customFormat="1" ht="13.8">
      <c r="A423" s="126"/>
      <c r="B423" s="139">
        <v>515</v>
      </c>
      <c r="C423" s="136"/>
      <c r="D423" s="127" t="s">
        <v>378</v>
      </c>
      <c r="E423" s="140" t="s">
        <v>901</v>
      </c>
      <c r="F423" s="126"/>
    </row>
    <row r="424" spans="1:6" s="129" customFormat="1">
      <c r="A424" s="126"/>
      <c r="B424" s="139">
        <v>516</v>
      </c>
      <c r="C424" s="136"/>
      <c r="D424" s="127" t="s">
        <v>379</v>
      </c>
      <c r="E424" s="140" t="s">
        <v>893</v>
      </c>
      <c r="F424" s="126"/>
    </row>
    <row r="425" spans="1:6" s="129" customFormat="1" ht="26.4">
      <c r="A425" s="126"/>
      <c r="B425" s="139">
        <v>517</v>
      </c>
      <c r="C425" s="136"/>
      <c r="D425" s="127" t="s">
        <v>380</v>
      </c>
      <c r="E425" s="140" t="s">
        <v>902</v>
      </c>
      <c r="F425" s="126"/>
    </row>
    <row r="426" spans="1:6" s="129" customFormat="1" ht="39.6">
      <c r="A426" s="126"/>
      <c r="B426" s="139">
        <v>518</v>
      </c>
      <c r="C426" s="136"/>
      <c r="D426" s="127" t="s">
        <v>381</v>
      </c>
      <c r="E426" s="140" t="s">
        <v>903</v>
      </c>
      <c r="F426" s="126"/>
    </row>
    <row r="427" spans="1:6" s="129" customFormat="1">
      <c r="A427" s="126"/>
      <c r="B427" s="139">
        <v>519</v>
      </c>
      <c r="C427" s="136"/>
      <c r="D427" s="127" t="s">
        <v>382</v>
      </c>
      <c r="E427" s="140" t="s">
        <v>904</v>
      </c>
      <c r="F427" s="126"/>
    </row>
    <row r="428" spans="1:6" s="129" customFormat="1" ht="39.6">
      <c r="A428" s="126"/>
      <c r="B428" s="139">
        <v>520</v>
      </c>
      <c r="C428" s="136"/>
      <c r="D428" s="127" t="s">
        <v>383</v>
      </c>
      <c r="E428" s="140" t="s">
        <v>905</v>
      </c>
      <c r="F428" s="126"/>
    </row>
    <row r="429" spans="1:6" s="129" customFormat="1">
      <c r="A429" s="126"/>
      <c r="B429" s="139">
        <v>521</v>
      </c>
      <c r="C429" s="136"/>
      <c r="D429" s="127" t="s">
        <v>384</v>
      </c>
      <c r="E429" s="140" t="s">
        <v>906</v>
      </c>
      <c r="F429" s="126"/>
    </row>
    <row r="430" spans="1:6" s="129" customFormat="1">
      <c r="A430" s="126"/>
      <c r="B430" s="139">
        <v>522</v>
      </c>
      <c r="C430" s="136"/>
      <c r="D430" s="127" t="s">
        <v>385</v>
      </c>
      <c r="E430" s="140" t="s">
        <v>907</v>
      </c>
      <c r="F430" s="126"/>
    </row>
    <row r="431" spans="1:6" s="129" customFormat="1">
      <c r="A431" s="126"/>
      <c r="B431" s="139">
        <v>523</v>
      </c>
      <c r="C431" s="136"/>
      <c r="D431" s="127" t="s">
        <v>386</v>
      </c>
      <c r="E431" s="140" t="s">
        <v>908</v>
      </c>
      <c r="F431" s="126"/>
    </row>
    <row r="432" spans="1:6" s="129" customFormat="1">
      <c r="A432" s="126"/>
      <c r="B432" s="139">
        <v>524</v>
      </c>
      <c r="C432" s="136"/>
      <c r="D432" s="127" t="s">
        <v>387</v>
      </c>
      <c r="E432" s="140" t="s">
        <v>909</v>
      </c>
      <c r="F432" s="126"/>
    </row>
    <row r="433" spans="1:6" s="129" customFormat="1">
      <c r="A433" s="126"/>
      <c r="B433" s="139">
        <v>525</v>
      </c>
      <c r="C433" s="136"/>
      <c r="D433" s="127" t="s">
        <v>388</v>
      </c>
      <c r="E433" s="140" t="s">
        <v>910</v>
      </c>
      <c r="F433" s="126"/>
    </row>
    <row r="434" spans="1:6" s="129" customFormat="1">
      <c r="A434" s="126"/>
      <c r="B434" s="139">
        <v>526</v>
      </c>
      <c r="C434" s="136"/>
      <c r="D434" s="127" t="s">
        <v>389</v>
      </c>
      <c r="E434" s="140" t="s">
        <v>911</v>
      </c>
      <c r="F434" s="126"/>
    </row>
    <row r="435" spans="1:6">
      <c r="B435" s="139">
        <v>527</v>
      </c>
      <c r="D435" s="127" t="s">
        <v>986</v>
      </c>
      <c r="E435" s="140" t="s">
        <v>996</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987</v>
      </c>
      <c r="B2" s="94" t="s">
        <v>0</v>
      </c>
      <c r="C2" s="95" t="s">
        <v>990</v>
      </c>
      <c r="D2" s="95">
        <v>43375</v>
      </c>
      <c r="E2" s="96">
        <v>43376</v>
      </c>
      <c r="F2" s="95">
        <v>43375</v>
      </c>
      <c r="G2" s="95">
        <v>43379</v>
      </c>
      <c r="H2" s="92">
        <v>1</v>
      </c>
    </row>
    <row r="3" spans="1:8">
      <c r="A3" s="93" t="s">
        <v>449</v>
      </c>
      <c r="B3" s="94" t="s">
        <v>427</v>
      </c>
      <c r="C3" s="95" t="s">
        <v>990</v>
      </c>
      <c r="D3" s="95">
        <v>43379</v>
      </c>
      <c r="E3" s="96">
        <v>43385</v>
      </c>
      <c r="F3" s="95">
        <v>43375</v>
      </c>
      <c r="G3" s="95">
        <v>43379</v>
      </c>
      <c r="H3" s="92">
        <v>0</v>
      </c>
    </row>
    <row r="4" spans="1:8">
      <c r="A4" s="93" t="s">
        <v>449</v>
      </c>
      <c r="B4" s="94" t="s">
        <v>427</v>
      </c>
      <c r="C4" s="95" t="s">
        <v>988</v>
      </c>
      <c r="D4" s="95">
        <v>43379</v>
      </c>
      <c r="E4" s="96">
        <v>43385</v>
      </c>
      <c r="F4" s="95">
        <v>43375</v>
      </c>
      <c r="G4" s="95">
        <v>43379</v>
      </c>
      <c r="H4" s="92">
        <v>0</v>
      </c>
    </row>
    <row r="5" spans="1:8">
      <c r="A5" s="93" t="s">
        <v>449</v>
      </c>
      <c r="B5" s="94" t="s">
        <v>427</v>
      </c>
      <c r="C5" s="95" t="s">
        <v>1041</v>
      </c>
      <c r="D5" s="95">
        <v>43379</v>
      </c>
      <c r="E5" s="96">
        <v>43385</v>
      </c>
      <c r="F5" s="95">
        <v>43375</v>
      </c>
      <c r="G5" s="95">
        <v>43379</v>
      </c>
      <c r="H5" s="92">
        <v>0</v>
      </c>
    </row>
    <row r="6" spans="1:8">
      <c r="A6" s="93" t="s">
        <v>449</v>
      </c>
      <c r="B6" s="94" t="s">
        <v>427</v>
      </c>
      <c r="C6" s="95" t="s">
        <v>990</v>
      </c>
      <c r="D6" s="95">
        <v>43379</v>
      </c>
      <c r="E6" s="96">
        <v>43385</v>
      </c>
      <c r="F6" s="95">
        <v>43380</v>
      </c>
      <c r="G6" s="95">
        <v>43386</v>
      </c>
      <c r="H6" s="92">
        <v>1.3333333333333333</v>
      </c>
    </row>
    <row r="7" spans="1:8">
      <c r="A7" s="93" t="s">
        <v>449</v>
      </c>
      <c r="B7" s="94" t="s">
        <v>427</v>
      </c>
      <c r="C7" s="95" t="s">
        <v>988</v>
      </c>
      <c r="D7" s="95">
        <v>43379</v>
      </c>
      <c r="E7" s="96">
        <v>43385</v>
      </c>
      <c r="F7" s="95">
        <v>43380</v>
      </c>
      <c r="G7" s="95">
        <v>43386</v>
      </c>
      <c r="H7" s="92">
        <v>1.3333333333333333</v>
      </c>
    </row>
    <row r="8" spans="1:8">
      <c r="A8" s="93" t="s">
        <v>449</v>
      </c>
      <c r="B8" s="94" t="s">
        <v>427</v>
      </c>
      <c r="C8" s="95" t="s">
        <v>1041</v>
      </c>
      <c r="D8" s="95">
        <v>43379</v>
      </c>
      <c r="E8" s="96">
        <v>43385</v>
      </c>
      <c r="F8" s="95">
        <v>43380</v>
      </c>
      <c r="G8" s="95">
        <v>43386</v>
      </c>
      <c r="H8" s="92">
        <v>1.3333333333333333</v>
      </c>
    </row>
    <row r="9" spans="1:8">
      <c r="A9" s="93" t="s">
        <v>450</v>
      </c>
      <c r="B9" s="94" t="s">
        <v>438</v>
      </c>
      <c r="C9" s="95" t="s">
        <v>990</v>
      </c>
      <c r="D9" s="95">
        <v>43397</v>
      </c>
      <c r="E9" s="96">
        <v>43397</v>
      </c>
      <c r="F9" s="95">
        <v>43394</v>
      </c>
      <c r="G9" s="95">
        <v>43400</v>
      </c>
      <c r="H9" s="92">
        <v>1</v>
      </c>
    </row>
    <row r="10" spans="1:8">
      <c r="A10" s="93" t="s">
        <v>431</v>
      </c>
      <c r="B10" s="94" t="s">
        <v>439</v>
      </c>
      <c r="C10" s="95" t="s">
        <v>988</v>
      </c>
      <c r="D10" s="95">
        <v>43400</v>
      </c>
      <c r="E10" s="96">
        <v>43404</v>
      </c>
      <c r="F10" s="95">
        <v>43394</v>
      </c>
      <c r="G10" s="95">
        <v>43400</v>
      </c>
      <c r="H10" s="92">
        <v>0</v>
      </c>
    </row>
    <row r="11" spans="1:8">
      <c r="A11" s="93" t="s">
        <v>431</v>
      </c>
      <c r="B11" s="94" t="s">
        <v>439</v>
      </c>
      <c r="C11" s="95" t="s">
        <v>988</v>
      </c>
      <c r="D11" s="95">
        <v>43400</v>
      </c>
      <c r="E11" s="96">
        <v>43404</v>
      </c>
      <c r="F11" s="95">
        <v>43401</v>
      </c>
      <c r="G11" s="95">
        <v>43407</v>
      </c>
      <c r="H11" s="92">
        <v>3</v>
      </c>
    </row>
    <row r="12" spans="1:8">
      <c r="A12" s="93" t="s">
        <v>432</v>
      </c>
      <c r="B12" s="94" t="s">
        <v>440</v>
      </c>
      <c r="C12" s="95" t="s">
        <v>988</v>
      </c>
      <c r="D12" s="95">
        <v>43432</v>
      </c>
      <c r="E12" s="96">
        <v>43432</v>
      </c>
      <c r="F12" s="95">
        <v>43429</v>
      </c>
      <c r="G12" s="95">
        <v>43435</v>
      </c>
      <c r="H12" s="92">
        <v>1</v>
      </c>
    </row>
    <row r="13" spans="1:8">
      <c r="A13" s="93" t="s">
        <v>433</v>
      </c>
      <c r="B13" s="94" t="s">
        <v>441</v>
      </c>
      <c r="C13" s="95" t="s">
        <v>1087</v>
      </c>
      <c r="D13" s="95">
        <v>43468</v>
      </c>
      <c r="E13" s="96">
        <v>43493</v>
      </c>
      <c r="F13" s="95">
        <v>43464</v>
      </c>
      <c r="G13" s="95">
        <v>43470</v>
      </c>
      <c r="H13" s="92">
        <v>2</v>
      </c>
    </row>
    <row r="14" spans="1:8">
      <c r="A14" s="93" t="s">
        <v>433</v>
      </c>
      <c r="B14" s="94" t="s">
        <v>441</v>
      </c>
      <c r="C14" s="95" t="s">
        <v>1087</v>
      </c>
      <c r="D14" s="95">
        <v>43468</v>
      </c>
      <c r="E14" s="96">
        <v>43493</v>
      </c>
      <c r="F14" s="95">
        <v>43471</v>
      </c>
      <c r="G14" s="95">
        <v>43477</v>
      </c>
      <c r="H14" s="92">
        <v>5</v>
      </c>
    </row>
    <row r="15" spans="1:8">
      <c r="A15" s="93" t="s">
        <v>433</v>
      </c>
      <c r="B15" s="94" t="s">
        <v>441</v>
      </c>
      <c r="C15" s="95" t="s">
        <v>1087</v>
      </c>
      <c r="D15" s="95">
        <v>43468</v>
      </c>
      <c r="E15" s="96">
        <v>43493</v>
      </c>
      <c r="F15" s="95">
        <v>43478</v>
      </c>
      <c r="G15" s="95">
        <v>43484</v>
      </c>
      <c r="H15" s="92">
        <v>5</v>
      </c>
    </row>
    <row r="16" spans="1:8">
      <c r="A16" s="93" t="s">
        <v>433</v>
      </c>
      <c r="B16" s="94" t="s">
        <v>441</v>
      </c>
      <c r="C16" s="95" t="s">
        <v>1087</v>
      </c>
      <c r="D16" s="95">
        <v>43468</v>
      </c>
      <c r="E16" s="96">
        <v>43493</v>
      </c>
      <c r="F16" s="95">
        <v>43485</v>
      </c>
      <c r="G16" s="95">
        <v>43491</v>
      </c>
      <c r="H16" s="92">
        <v>5</v>
      </c>
    </row>
    <row r="17" spans="1:8">
      <c r="A17" s="93" t="s">
        <v>433</v>
      </c>
      <c r="B17" s="94" t="s">
        <v>441</v>
      </c>
      <c r="C17" s="95" t="s">
        <v>1087</v>
      </c>
      <c r="D17" s="95">
        <v>43468</v>
      </c>
      <c r="E17" s="96">
        <v>43493</v>
      </c>
      <c r="F17" s="95">
        <v>43492</v>
      </c>
      <c r="G17" s="95">
        <v>43498</v>
      </c>
      <c r="H17" s="92">
        <v>1</v>
      </c>
    </row>
    <row r="18" spans="1:8">
      <c r="A18" s="93" t="s">
        <v>434</v>
      </c>
      <c r="B18" s="94" t="s">
        <v>997</v>
      </c>
      <c r="C18" s="95" t="s">
        <v>1087</v>
      </c>
      <c r="D18" s="95">
        <v>43397</v>
      </c>
      <c r="E18" s="96">
        <v>43397</v>
      </c>
      <c r="F18" s="95">
        <v>43394</v>
      </c>
      <c r="G18" s="95">
        <v>43400</v>
      </c>
      <c r="H18" s="92">
        <v>1</v>
      </c>
    </row>
    <row r="19" spans="1:8">
      <c r="A19" s="93" t="s">
        <v>435</v>
      </c>
      <c r="B19" s="94" t="s">
        <v>442</v>
      </c>
      <c r="C19" s="95" t="s">
        <v>990</v>
      </c>
      <c r="D19" s="95">
        <v>43501</v>
      </c>
      <c r="E19" s="96">
        <v>43505</v>
      </c>
      <c r="F19" s="95">
        <v>43499</v>
      </c>
      <c r="G19" s="95">
        <v>43505</v>
      </c>
      <c r="H19" s="92">
        <v>2</v>
      </c>
    </row>
    <row r="20" spans="1:8">
      <c r="A20" s="93" t="s">
        <v>436</v>
      </c>
      <c r="B20" s="94" t="s">
        <v>443</v>
      </c>
      <c r="C20" s="95" t="s">
        <v>990</v>
      </c>
      <c r="D20" s="95">
        <v>43508</v>
      </c>
      <c r="E20" s="96">
        <v>43526</v>
      </c>
      <c r="F20" s="95">
        <v>43506</v>
      </c>
      <c r="G20" s="95">
        <v>43512</v>
      </c>
      <c r="H20" s="92">
        <v>4</v>
      </c>
    </row>
    <row r="21" spans="1:8">
      <c r="A21" s="93" t="s">
        <v>436</v>
      </c>
      <c r="B21" s="94" t="s">
        <v>443</v>
      </c>
      <c r="C21" s="95" t="s">
        <v>990</v>
      </c>
      <c r="D21" s="95">
        <v>43508</v>
      </c>
      <c r="E21" s="96">
        <v>43526</v>
      </c>
      <c r="F21" s="95">
        <v>43513</v>
      </c>
      <c r="G21" s="95">
        <v>43519</v>
      </c>
      <c r="H21" s="92">
        <v>5</v>
      </c>
    </row>
    <row r="22" spans="1:8">
      <c r="A22" s="93" t="s">
        <v>436</v>
      </c>
      <c r="B22" s="94" t="s">
        <v>443</v>
      </c>
      <c r="C22" s="95" t="s">
        <v>990</v>
      </c>
      <c r="D22" s="95">
        <v>43508</v>
      </c>
      <c r="E22" s="96">
        <v>43526</v>
      </c>
      <c r="F22" s="95">
        <v>43520</v>
      </c>
      <c r="G22" s="95">
        <v>43526</v>
      </c>
      <c r="H22" s="92">
        <v>4</v>
      </c>
    </row>
    <row r="23" spans="1:8">
      <c r="A23" s="93" t="s">
        <v>437</v>
      </c>
      <c r="B23" s="94" t="s">
        <v>444</v>
      </c>
      <c r="C23" s="95" t="s">
        <v>990</v>
      </c>
      <c r="D23" s="95">
        <v>43526</v>
      </c>
      <c r="E23" s="96">
        <v>43526</v>
      </c>
      <c r="F23" s="95">
        <v>43520</v>
      </c>
      <c r="G23" s="95">
        <v>43526</v>
      </c>
      <c r="H23" s="92">
        <v>0</v>
      </c>
    </row>
    <row r="24" spans="1:8">
      <c r="A24" s="93" t="s">
        <v>451</v>
      </c>
      <c r="B24" s="94" t="s">
        <v>445</v>
      </c>
      <c r="C24" s="95" t="s">
        <v>990</v>
      </c>
      <c r="D24" s="95">
        <v>43526</v>
      </c>
      <c r="E24" s="96">
        <v>43526</v>
      </c>
      <c r="F24" s="95">
        <v>43520</v>
      </c>
      <c r="G24" s="95">
        <v>43526</v>
      </c>
      <c r="H24" s="92">
        <v>0</v>
      </c>
    </row>
    <row r="25" spans="1:8">
      <c r="A25" s="93" t="s">
        <v>991</v>
      </c>
      <c r="B25" s="94" t="s">
        <v>446</v>
      </c>
      <c r="C25" s="95" t="s">
        <v>1042</v>
      </c>
      <c r="D25" s="95">
        <v>43379</v>
      </c>
      <c r="E25" s="96">
        <v>43397</v>
      </c>
      <c r="F25" s="95">
        <v>43375</v>
      </c>
      <c r="G25" s="95">
        <v>43379</v>
      </c>
      <c r="H25" s="92">
        <v>0</v>
      </c>
    </row>
    <row r="26" spans="1:8">
      <c r="A26" s="93" t="s">
        <v>991</v>
      </c>
      <c r="B26" s="94" t="s">
        <v>446</v>
      </c>
      <c r="C26" s="95" t="s">
        <v>1034</v>
      </c>
      <c r="D26" s="95">
        <v>43379</v>
      </c>
      <c r="E26" s="96">
        <v>43397</v>
      </c>
      <c r="F26" s="95">
        <v>43375</v>
      </c>
      <c r="G26" s="95">
        <v>43379</v>
      </c>
      <c r="H26" s="92">
        <v>0</v>
      </c>
    </row>
    <row r="27" spans="1:8">
      <c r="A27" s="93" t="s">
        <v>991</v>
      </c>
      <c r="B27" s="94" t="s">
        <v>446</v>
      </c>
      <c r="C27" s="95" t="s">
        <v>1043</v>
      </c>
      <c r="D27" s="95">
        <v>43379</v>
      </c>
      <c r="E27" s="96">
        <v>43397</v>
      </c>
      <c r="F27" s="95">
        <v>43375</v>
      </c>
      <c r="G27" s="95">
        <v>43379</v>
      </c>
      <c r="H27" s="92">
        <v>0</v>
      </c>
    </row>
    <row r="28" spans="1:8">
      <c r="A28" s="93" t="s">
        <v>991</v>
      </c>
      <c r="B28" s="94" t="s">
        <v>446</v>
      </c>
      <c r="C28" s="95" t="s">
        <v>1042</v>
      </c>
      <c r="D28" s="95">
        <v>43379</v>
      </c>
      <c r="E28" s="96">
        <v>43397</v>
      </c>
      <c r="F28" s="95">
        <v>43380</v>
      </c>
      <c r="G28" s="95">
        <v>43386</v>
      </c>
      <c r="H28" s="92">
        <v>1.3333333333333333</v>
      </c>
    </row>
    <row r="29" spans="1:8">
      <c r="A29" s="93" t="s">
        <v>991</v>
      </c>
      <c r="B29" s="94" t="s">
        <v>446</v>
      </c>
      <c r="C29" s="95" t="s">
        <v>1034</v>
      </c>
      <c r="D29" s="95">
        <v>43379</v>
      </c>
      <c r="E29" s="96">
        <v>43397</v>
      </c>
      <c r="F29" s="95">
        <v>43380</v>
      </c>
      <c r="G29" s="95">
        <v>43386</v>
      </c>
      <c r="H29" s="92">
        <v>1.3333333333333333</v>
      </c>
    </row>
    <row r="30" spans="1:8">
      <c r="A30" s="93" t="s">
        <v>991</v>
      </c>
      <c r="B30" s="94" t="s">
        <v>446</v>
      </c>
      <c r="C30" s="95" t="s">
        <v>1043</v>
      </c>
      <c r="D30" s="95">
        <v>43379</v>
      </c>
      <c r="E30" s="96">
        <v>43397</v>
      </c>
      <c r="F30" s="95">
        <v>43380</v>
      </c>
      <c r="G30" s="95">
        <v>43386</v>
      </c>
      <c r="H30" s="92">
        <v>1.3333333333333333</v>
      </c>
    </row>
    <row r="31" spans="1:8">
      <c r="A31" s="93" t="s">
        <v>991</v>
      </c>
      <c r="B31" s="94" t="s">
        <v>446</v>
      </c>
      <c r="C31" s="95" t="s">
        <v>1042</v>
      </c>
      <c r="D31" s="95">
        <v>43379</v>
      </c>
      <c r="E31" s="96">
        <v>43397</v>
      </c>
      <c r="F31" s="95">
        <v>43387</v>
      </c>
      <c r="G31" s="95">
        <v>43393</v>
      </c>
      <c r="H31" s="92">
        <v>1.6666666666666667</v>
      </c>
    </row>
    <row r="32" spans="1:8">
      <c r="A32" s="93" t="s">
        <v>991</v>
      </c>
      <c r="B32" s="94" t="s">
        <v>446</v>
      </c>
      <c r="C32" s="95" t="s">
        <v>1034</v>
      </c>
      <c r="D32" s="95">
        <v>43379</v>
      </c>
      <c r="E32" s="96">
        <v>43397</v>
      </c>
      <c r="F32" s="95">
        <v>43387</v>
      </c>
      <c r="G32" s="95">
        <v>43393</v>
      </c>
      <c r="H32" s="92">
        <v>1.6666666666666667</v>
      </c>
    </row>
    <row r="33" spans="1:8">
      <c r="A33" s="93" t="s">
        <v>991</v>
      </c>
      <c r="B33" s="94" t="s">
        <v>446</v>
      </c>
      <c r="C33" s="95" t="s">
        <v>1043</v>
      </c>
      <c r="D33" s="95">
        <v>43379</v>
      </c>
      <c r="E33" s="96">
        <v>43397</v>
      </c>
      <c r="F33" s="95">
        <v>43387</v>
      </c>
      <c r="G33" s="95">
        <v>43393</v>
      </c>
      <c r="H33" s="92">
        <v>1.6666666666666667</v>
      </c>
    </row>
    <row r="34" spans="1:8">
      <c r="A34" s="93" t="s">
        <v>991</v>
      </c>
      <c r="B34" s="94" t="s">
        <v>446</v>
      </c>
      <c r="C34" s="95" t="s">
        <v>1042</v>
      </c>
      <c r="D34" s="95">
        <v>43379</v>
      </c>
      <c r="E34" s="96">
        <v>43397</v>
      </c>
      <c r="F34" s="95">
        <v>43394</v>
      </c>
      <c r="G34" s="95">
        <v>43400</v>
      </c>
      <c r="H34" s="92">
        <v>1</v>
      </c>
    </row>
    <row r="35" spans="1:8">
      <c r="A35" s="93" t="s">
        <v>991</v>
      </c>
      <c r="B35" s="94" t="s">
        <v>446</v>
      </c>
      <c r="C35" s="95" t="s">
        <v>1034</v>
      </c>
      <c r="D35" s="95">
        <v>43379</v>
      </c>
      <c r="E35" s="96">
        <v>43397</v>
      </c>
      <c r="F35" s="95">
        <v>43394</v>
      </c>
      <c r="G35" s="95">
        <v>43400</v>
      </c>
      <c r="H35" s="92">
        <v>1</v>
      </c>
    </row>
    <row r="36" spans="1:8">
      <c r="A36" s="93" t="s">
        <v>991</v>
      </c>
      <c r="B36" s="94" t="s">
        <v>446</v>
      </c>
      <c r="C36" s="95" t="s">
        <v>1043</v>
      </c>
      <c r="D36" s="95">
        <v>43379</v>
      </c>
      <c r="E36" s="96">
        <v>43397</v>
      </c>
      <c r="F36" s="95">
        <v>43394</v>
      </c>
      <c r="G36" s="95">
        <v>43400</v>
      </c>
      <c r="H36" s="92">
        <v>1</v>
      </c>
    </row>
    <row r="37" spans="1:8">
      <c r="A37" s="93" t="s">
        <v>992</v>
      </c>
      <c r="B37" s="94" t="s">
        <v>447</v>
      </c>
      <c r="C37" s="95" t="s">
        <v>1034</v>
      </c>
      <c r="D37" s="95">
        <v>43385</v>
      </c>
      <c r="E37" s="96">
        <v>43396</v>
      </c>
      <c r="F37" s="95">
        <v>43380</v>
      </c>
      <c r="G37" s="95">
        <v>43386</v>
      </c>
      <c r="H37" s="92">
        <v>1</v>
      </c>
    </row>
    <row r="38" spans="1:8">
      <c r="A38" s="93" t="s">
        <v>992</v>
      </c>
      <c r="B38" s="94" t="s">
        <v>447</v>
      </c>
      <c r="C38" s="95" t="s">
        <v>1034</v>
      </c>
      <c r="D38" s="95">
        <v>43385</v>
      </c>
      <c r="E38" s="96">
        <v>43396</v>
      </c>
      <c r="F38" s="95">
        <v>43387</v>
      </c>
      <c r="G38" s="95">
        <v>43393</v>
      </c>
      <c r="H38" s="92">
        <v>5</v>
      </c>
    </row>
    <row r="39" spans="1:8">
      <c r="A39" s="93" t="s">
        <v>992</v>
      </c>
      <c r="B39" s="94" t="s">
        <v>447</v>
      </c>
      <c r="C39" s="95" t="s">
        <v>1034</v>
      </c>
      <c r="D39" s="95">
        <v>43385</v>
      </c>
      <c r="E39" s="96">
        <v>43396</v>
      </c>
      <c r="F39" s="95">
        <v>43394</v>
      </c>
      <c r="G39" s="95">
        <v>43400</v>
      </c>
      <c r="H39" s="92">
        <v>2</v>
      </c>
    </row>
    <row r="40" spans="1:8">
      <c r="A40" s="93" t="s">
        <v>993</v>
      </c>
      <c r="B40" s="94" t="s">
        <v>448</v>
      </c>
      <c r="C40" s="95" t="s">
        <v>1034</v>
      </c>
      <c r="D40" s="95">
        <v>43385</v>
      </c>
      <c r="E40" s="96">
        <v>43396</v>
      </c>
      <c r="F40" s="95">
        <v>43380</v>
      </c>
      <c r="G40" s="95">
        <v>43386</v>
      </c>
      <c r="H40" s="92">
        <v>1</v>
      </c>
    </row>
    <row r="41" spans="1:8">
      <c r="A41" s="93" t="s">
        <v>993</v>
      </c>
      <c r="B41" s="94" t="s">
        <v>448</v>
      </c>
      <c r="C41" s="95" t="s">
        <v>1034</v>
      </c>
      <c r="D41" s="95">
        <v>43385</v>
      </c>
      <c r="E41" s="96">
        <v>43396</v>
      </c>
      <c r="F41" s="95">
        <v>43387</v>
      </c>
      <c r="G41" s="95">
        <v>43393</v>
      </c>
      <c r="H41" s="92">
        <v>5</v>
      </c>
    </row>
    <row r="42" spans="1:8">
      <c r="A42" s="93" t="s">
        <v>993</v>
      </c>
      <c r="B42" s="94" t="s">
        <v>448</v>
      </c>
      <c r="C42" s="95" t="s">
        <v>1034</v>
      </c>
      <c r="D42" s="95">
        <v>43385</v>
      </c>
      <c r="E42" s="96">
        <v>43396</v>
      </c>
      <c r="F42" s="95">
        <v>43394</v>
      </c>
      <c r="G42" s="95">
        <v>43400</v>
      </c>
      <c r="H42" s="92">
        <v>2</v>
      </c>
    </row>
    <row r="43" spans="1:8">
      <c r="A43" s="93" t="s">
        <v>994</v>
      </c>
      <c r="B43" s="94" t="s">
        <v>998</v>
      </c>
      <c r="C43" s="95" t="s">
        <v>1035</v>
      </c>
      <c r="D43" s="95">
        <v>43399</v>
      </c>
      <c r="E43" s="96">
        <v>43417</v>
      </c>
      <c r="F43" s="95">
        <v>43394</v>
      </c>
      <c r="G43" s="95">
        <v>43400</v>
      </c>
      <c r="H43" s="92">
        <v>1</v>
      </c>
    </row>
    <row r="44" spans="1:8">
      <c r="A44" s="93" t="s">
        <v>994</v>
      </c>
      <c r="B44" s="94" t="s">
        <v>998</v>
      </c>
      <c r="C44" s="95" t="s">
        <v>1035</v>
      </c>
      <c r="D44" s="95">
        <v>43399</v>
      </c>
      <c r="E44" s="96">
        <v>43417</v>
      </c>
      <c r="F44" s="95">
        <v>43401</v>
      </c>
      <c r="G44" s="95">
        <v>43407</v>
      </c>
      <c r="H44" s="92">
        <v>5</v>
      </c>
    </row>
    <row r="45" spans="1:8">
      <c r="A45" s="93" t="s">
        <v>994</v>
      </c>
      <c r="B45" s="94" t="s">
        <v>998</v>
      </c>
      <c r="C45" s="95" t="s">
        <v>1035</v>
      </c>
      <c r="D45" s="95">
        <v>43399</v>
      </c>
      <c r="E45" s="96">
        <v>43417</v>
      </c>
      <c r="F45" s="95">
        <v>43408</v>
      </c>
      <c r="G45" s="95">
        <v>43414</v>
      </c>
      <c r="H45" s="92">
        <v>5</v>
      </c>
    </row>
    <row r="46" spans="1:8">
      <c r="A46" s="93" t="s">
        <v>994</v>
      </c>
      <c r="B46" s="94" t="s">
        <v>998</v>
      </c>
      <c r="C46" s="95" t="s">
        <v>1035</v>
      </c>
      <c r="D46" s="95">
        <v>43399</v>
      </c>
      <c r="E46" s="96">
        <v>43417</v>
      </c>
      <c r="F46" s="95">
        <v>43415</v>
      </c>
      <c r="G46" s="95">
        <v>43421</v>
      </c>
      <c r="H46" s="92">
        <v>2</v>
      </c>
    </row>
    <row r="47" spans="1:8">
      <c r="A47" s="93" t="s">
        <v>999</v>
      </c>
      <c r="B47" s="94" t="s">
        <v>1000</v>
      </c>
      <c r="C47" s="95" t="s">
        <v>1036</v>
      </c>
      <c r="D47" s="95">
        <v>43406</v>
      </c>
      <c r="E47" s="96">
        <v>43417</v>
      </c>
      <c r="F47" s="95">
        <v>43401</v>
      </c>
      <c r="G47" s="95">
        <v>43407</v>
      </c>
      <c r="H47" s="92">
        <v>1</v>
      </c>
    </row>
    <row r="48" spans="1:8">
      <c r="A48" s="93" t="s">
        <v>999</v>
      </c>
      <c r="B48" s="94" t="s">
        <v>1000</v>
      </c>
      <c r="C48" s="95" t="s">
        <v>1036</v>
      </c>
      <c r="D48" s="95">
        <v>43406</v>
      </c>
      <c r="E48" s="96">
        <v>43417</v>
      </c>
      <c r="F48" s="95">
        <v>43408</v>
      </c>
      <c r="G48" s="95">
        <v>43414</v>
      </c>
      <c r="H48" s="92">
        <v>5</v>
      </c>
    </row>
    <row r="49" spans="1:8">
      <c r="A49" s="93" t="s">
        <v>999</v>
      </c>
      <c r="B49" s="94" t="s">
        <v>1000</v>
      </c>
      <c r="C49" s="95" t="s">
        <v>1036</v>
      </c>
      <c r="D49" s="95">
        <v>43406</v>
      </c>
      <c r="E49" s="96">
        <v>43417</v>
      </c>
      <c r="F49" s="95">
        <v>43415</v>
      </c>
      <c r="G49" s="95">
        <v>43421</v>
      </c>
      <c r="H49" s="92">
        <v>2</v>
      </c>
    </row>
    <row r="50" spans="1:8">
      <c r="A50" s="93" t="s">
        <v>1001</v>
      </c>
      <c r="B50" s="94" t="s">
        <v>1002</v>
      </c>
      <c r="C50" s="95" t="s">
        <v>1037</v>
      </c>
      <c r="D50" s="95">
        <v>43413</v>
      </c>
      <c r="E50" s="96">
        <v>43424</v>
      </c>
      <c r="F50" s="95">
        <v>43408</v>
      </c>
      <c r="G50" s="95">
        <v>43414</v>
      </c>
      <c r="H50" s="92">
        <v>1</v>
      </c>
    </row>
    <row r="51" spans="1:8">
      <c r="A51" s="93" t="s">
        <v>1001</v>
      </c>
      <c r="B51" s="94" t="s">
        <v>1002</v>
      </c>
      <c r="C51" s="95" t="s">
        <v>1037</v>
      </c>
      <c r="D51" s="95">
        <v>43413</v>
      </c>
      <c r="E51" s="96">
        <v>43424</v>
      </c>
      <c r="F51" s="95">
        <v>43415</v>
      </c>
      <c r="G51" s="95">
        <v>43421</v>
      </c>
      <c r="H51" s="92">
        <v>5</v>
      </c>
    </row>
    <row r="52" spans="1:8">
      <c r="A52" s="93" t="s">
        <v>1001</v>
      </c>
      <c r="B52" s="94" t="s">
        <v>1002</v>
      </c>
      <c r="C52" s="95" t="s">
        <v>1037</v>
      </c>
      <c r="D52" s="95">
        <v>43413</v>
      </c>
      <c r="E52" s="96">
        <v>43424</v>
      </c>
      <c r="F52" s="95">
        <v>43422</v>
      </c>
      <c r="G52" s="95">
        <v>43428</v>
      </c>
      <c r="H52" s="92">
        <v>2</v>
      </c>
    </row>
    <row r="53" spans="1:8">
      <c r="A53" s="93" t="s">
        <v>1003</v>
      </c>
      <c r="B53" s="94" t="s">
        <v>1004</v>
      </c>
      <c r="C53" s="95" t="s">
        <v>1038</v>
      </c>
      <c r="D53" s="95">
        <v>43413</v>
      </c>
      <c r="E53" s="96">
        <v>43431</v>
      </c>
      <c r="F53" s="95">
        <v>43408</v>
      </c>
      <c r="G53" s="95">
        <v>43414</v>
      </c>
      <c r="H53" s="92">
        <v>1</v>
      </c>
    </row>
    <row r="54" spans="1:8">
      <c r="A54" s="93" t="s">
        <v>1003</v>
      </c>
      <c r="B54" s="94" t="s">
        <v>1004</v>
      </c>
      <c r="C54" s="95" t="s">
        <v>1038</v>
      </c>
      <c r="D54" s="95">
        <v>43413</v>
      </c>
      <c r="E54" s="96">
        <v>43431</v>
      </c>
      <c r="F54" s="95">
        <v>43415</v>
      </c>
      <c r="G54" s="95">
        <v>43421</v>
      </c>
      <c r="H54" s="92">
        <v>5</v>
      </c>
    </row>
    <row r="55" spans="1:8">
      <c r="A55" s="93" t="s">
        <v>1003</v>
      </c>
      <c r="B55" s="94" t="s">
        <v>1004</v>
      </c>
      <c r="C55" s="95" t="s">
        <v>1038</v>
      </c>
      <c r="D55" s="95">
        <v>43413</v>
      </c>
      <c r="E55" s="96">
        <v>43431</v>
      </c>
      <c r="F55" s="95">
        <v>43422</v>
      </c>
      <c r="G55" s="95">
        <v>43428</v>
      </c>
      <c r="H55" s="92">
        <v>5</v>
      </c>
    </row>
    <row r="56" spans="1:8">
      <c r="A56" s="93" t="s">
        <v>1003</v>
      </c>
      <c r="B56" s="94" t="s">
        <v>1004</v>
      </c>
      <c r="C56" s="95" t="s">
        <v>1038</v>
      </c>
      <c r="D56" s="95">
        <v>43413</v>
      </c>
      <c r="E56" s="96">
        <v>43431</v>
      </c>
      <c r="F56" s="95">
        <v>43429</v>
      </c>
      <c r="G56" s="95">
        <v>43435</v>
      </c>
      <c r="H56" s="92">
        <v>2</v>
      </c>
    </row>
    <row r="57" spans="1:8">
      <c r="A57" s="93" t="s">
        <v>995</v>
      </c>
      <c r="B57" s="94" t="s">
        <v>1005</v>
      </c>
      <c r="C57" s="95" t="s">
        <v>1038</v>
      </c>
      <c r="D57" s="95">
        <v>43434</v>
      </c>
      <c r="E57" s="96">
        <v>43438</v>
      </c>
      <c r="F57" s="95">
        <v>43429</v>
      </c>
      <c r="G57" s="95">
        <v>43435</v>
      </c>
      <c r="H57" s="92">
        <v>1</v>
      </c>
    </row>
    <row r="58" spans="1:8">
      <c r="A58" s="93" t="s">
        <v>995</v>
      </c>
      <c r="B58" s="94" t="s">
        <v>1005</v>
      </c>
      <c r="C58" s="95" t="s">
        <v>1038</v>
      </c>
      <c r="D58" s="95">
        <v>43434</v>
      </c>
      <c r="E58" s="96">
        <v>43438</v>
      </c>
      <c r="F58" s="95">
        <v>43436</v>
      </c>
      <c r="G58" s="95">
        <v>43442</v>
      </c>
      <c r="H58" s="92">
        <v>2</v>
      </c>
    </row>
    <row r="59" spans="1:8">
      <c r="A59" s="93" t="s">
        <v>1006</v>
      </c>
      <c r="B59" s="94" t="s">
        <v>1007</v>
      </c>
      <c r="C59" s="95" t="s">
        <v>1038</v>
      </c>
      <c r="D59" s="95">
        <v>43434</v>
      </c>
      <c r="E59" s="96">
        <v>43438</v>
      </c>
      <c r="F59" s="95">
        <v>43429</v>
      </c>
      <c r="G59" s="95">
        <v>43435</v>
      </c>
      <c r="H59" s="92">
        <v>1</v>
      </c>
    </row>
    <row r="60" spans="1:8">
      <c r="A60" s="93" t="s">
        <v>1006</v>
      </c>
      <c r="B60" s="94" t="s">
        <v>1007</v>
      </c>
      <c r="C60" s="95" t="s">
        <v>1038</v>
      </c>
      <c r="D60" s="95">
        <v>43434</v>
      </c>
      <c r="E60" s="96">
        <v>43438</v>
      </c>
      <c r="F60" s="95">
        <v>43436</v>
      </c>
      <c r="G60" s="95">
        <v>43442</v>
      </c>
      <c r="H60" s="92">
        <v>2</v>
      </c>
    </row>
    <row r="61" spans="1:8">
      <c r="A61" s="93" t="s">
        <v>1008</v>
      </c>
      <c r="B61" s="94" t="s">
        <v>1009</v>
      </c>
      <c r="C61" s="95" t="s">
        <v>1039</v>
      </c>
      <c r="D61" s="95">
        <v>43434</v>
      </c>
      <c r="E61" s="96">
        <v>43438</v>
      </c>
      <c r="F61" s="95">
        <v>43429</v>
      </c>
      <c r="G61" s="95">
        <v>43435</v>
      </c>
      <c r="H61" s="92">
        <v>1</v>
      </c>
    </row>
    <row r="62" spans="1:8">
      <c r="A62" s="93" t="s">
        <v>1008</v>
      </c>
      <c r="B62" s="94" t="s">
        <v>1009</v>
      </c>
      <c r="C62" s="95" t="s">
        <v>1039</v>
      </c>
      <c r="D62" s="95">
        <v>43434</v>
      </c>
      <c r="E62" s="96">
        <v>43438</v>
      </c>
      <c r="F62" s="95">
        <v>43436</v>
      </c>
      <c r="G62" s="95">
        <v>43442</v>
      </c>
      <c r="H62" s="92">
        <v>2</v>
      </c>
    </row>
    <row r="63" spans="1:8">
      <c r="A63" s="93" t="s">
        <v>1010</v>
      </c>
      <c r="B63" s="94" t="s">
        <v>1011</v>
      </c>
      <c r="C63" s="95" t="s">
        <v>1040</v>
      </c>
      <c r="D63" s="95">
        <v>43441</v>
      </c>
      <c r="E63" s="96">
        <v>43445</v>
      </c>
      <c r="F63" s="95">
        <v>43436</v>
      </c>
      <c r="G63" s="95">
        <v>43442</v>
      </c>
      <c r="H63" s="92">
        <v>1</v>
      </c>
    </row>
    <row r="64" spans="1:8">
      <c r="A64" s="93" t="s">
        <v>1010</v>
      </c>
      <c r="B64" s="94" t="s">
        <v>1011</v>
      </c>
      <c r="C64" s="95" t="s">
        <v>1040</v>
      </c>
      <c r="D64" s="95">
        <v>43441</v>
      </c>
      <c r="E64" s="96">
        <v>43445</v>
      </c>
      <c r="F64" s="95">
        <v>43443</v>
      </c>
      <c r="G64" s="95">
        <v>43449</v>
      </c>
      <c r="H64" s="92">
        <v>2</v>
      </c>
    </row>
    <row r="65" spans="1:8">
      <c r="A65" s="93" t="s">
        <v>1012</v>
      </c>
      <c r="B65" s="94" t="s">
        <v>1013</v>
      </c>
      <c r="C65" s="95" t="s">
        <v>1040</v>
      </c>
      <c r="D65" s="95">
        <v>43441</v>
      </c>
      <c r="E65" s="96">
        <v>43452</v>
      </c>
      <c r="F65" s="95">
        <v>43436</v>
      </c>
      <c r="G65" s="95">
        <v>43442</v>
      </c>
      <c r="H65" s="92">
        <v>1</v>
      </c>
    </row>
    <row r="66" spans="1:8">
      <c r="A66" s="93" t="s">
        <v>1012</v>
      </c>
      <c r="B66" s="94" t="s">
        <v>1013</v>
      </c>
      <c r="C66" s="95" t="s">
        <v>1040</v>
      </c>
      <c r="D66" s="95">
        <v>43441</v>
      </c>
      <c r="E66" s="96">
        <v>43452</v>
      </c>
      <c r="F66" s="95">
        <v>43443</v>
      </c>
      <c r="G66" s="95">
        <v>43449</v>
      </c>
      <c r="H66" s="92">
        <v>5</v>
      </c>
    </row>
    <row r="67" spans="1:8">
      <c r="A67" s="93" t="s">
        <v>1012</v>
      </c>
      <c r="B67" s="94" t="s">
        <v>1013</v>
      </c>
      <c r="C67" s="95" t="s">
        <v>1040</v>
      </c>
      <c r="D67" s="95">
        <v>43441</v>
      </c>
      <c r="E67" s="96">
        <v>43452</v>
      </c>
      <c r="F67" s="95">
        <v>43450</v>
      </c>
      <c r="G67" s="95">
        <v>43456</v>
      </c>
      <c r="H67" s="92">
        <v>2</v>
      </c>
    </row>
    <row r="68" spans="1:8">
      <c r="A68" s="93" t="s">
        <v>1014</v>
      </c>
      <c r="B68" s="94" t="s">
        <v>1015</v>
      </c>
      <c r="C68" s="95" t="s">
        <v>1039</v>
      </c>
      <c r="D68" s="95">
        <v>43434</v>
      </c>
      <c r="E68" s="96">
        <v>43493</v>
      </c>
      <c r="F68" s="95">
        <v>43429</v>
      </c>
      <c r="G68" s="95">
        <v>43435</v>
      </c>
      <c r="H68" s="92">
        <v>0.5</v>
      </c>
    </row>
    <row r="69" spans="1:8">
      <c r="A69" s="93" t="s">
        <v>1014</v>
      </c>
      <c r="B69" s="94" t="s">
        <v>1015</v>
      </c>
      <c r="C69" s="95" t="s">
        <v>1040</v>
      </c>
      <c r="D69" s="95">
        <v>43434</v>
      </c>
      <c r="E69" s="96">
        <v>43493</v>
      </c>
      <c r="F69" s="95">
        <v>43429</v>
      </c>
      <c r="G69" s="95">
        <v>43435</v>
      </c>
      <c r="H69" s="92">
        <v>0.5</v>
      </c>
    </row>
    <row r="70" spans="1:8">
      <c r="A70" s="93" t="s">
        <v>1014</v>
      </c>
      <c r="B70" s="94" t="s">
        <v>1015</v>
      </c>
      <c r="C70" s="95" t="s">
        <v>1039</v>
      </c>
      <c r="D70" s="95">
        <v>43434</v>
      </c>
      <c r="E70" s="96">
        <v>43493</v>
      </c>
      <c r="F70" s="95">
        <v>43436</v>
      </c>
      <c r="G70" s="95">
        <v>43442</v>
      </c>
      <c r="H70" s="92">
        <v>2.5</v>
      </c>
    </row>
    <row r="71" spans="1:8">
      <c r="A71" s="93" t="s">
        <v>1014</v>
      </c>
      <c r="B71" s="94" t="s">
        <v>1015</v>
      </c>
      <c r="C71" s="95" t="s">
        <v>1040</v>
      </c>
      <c r="D71" s="95">
        <v>43434</v>
      </c>
      <c r="E71" s="96">
        <v>43493</v>
      </c>
      <c r="F71" s="95">
        <v>43436</v>
      </c>
      <c r="G71" s="95">
        <v>43442</v>
      </c>
      <c r="H71" s="92">
        <v>2.5</v>
      </c>
    </row>
    <row r="72" spans="1:8">
      <c r="A72" s="93" t="s">
        <v>1014</v>
      </c>
      <c r="B72" s="94" t="s">
        <v>1015</v>
      </c>
      <c r="C72" s="95" t="s">
        <v>1039</v>
      </c>
      <c r="D72" s="95">
        <v>43434</v>
      </c>
      <c r="E72" s="96">
        <v>43493</v>
      </c>
      <c r="F72" s="95">
        <v>43443</v>
      </c>
      <c r="G72" s="95">
        <v>43449</v>
      </c>
      <c r="H72" s="92">
        <v>2.5</v>
      </c>
    </row>
    <row r="73" spans="1:8">
      <c r="A73" s="93" t="s">
        <v>1014</v>
      </c>
      <c r="B73" s="94" t="s">
        <v>1015</v>
      </c>
      <c r="C73" s="95" t="s">
        <v>1040</v>
      </c>
      <c r="D73" s="95">
        <v>43434</v>
      </c>
      <c r="E73" s="96">
        <v>43493</v>
      </c>
      <c r="F73" s="95">
        <v>43443</v>
      </c>
      <c r="G73" s="95">
        <v>43449</v>
      </c>
      <c r="H73" s="92">
        <v>2.5</v>
      </c>
    </row>
    <row r="74" spans="1:8">
      <c r="A74" s="93" t="s">
        <v>1014</v>
      </c>
      <c r="B74" s="94" t="s">
        <v>1015</v>
      </c>
      <c r="C74" s="95" t="s">
        <v>1039</v>
      </c>
      <c r="D74" s="95">
        <v>43434</v>
      </c>
      <c r="E74" s="96">
        <v>43493</v>
      </c>
      <c r="F74" s="95">
        <v>43450</v>
      </c>
      <c r="G74" s="95">
        <v>43456</v>
      </c>
      <c r="H74" s="92">
        <v>2.5</v>
      </c>
    </row>
    <row r="75" spans="1:8">
      <c r="A75" s="93" t="s">
        <v>1014</v>
      </c>
      <c r="B75" s="94" t="s">
        <v>1015</v>
      </c>
      <c r="C75" s="95" t="s">
        <v>1040</v>
      </c>
      <c r="D75" s="95">
        <v>43434</v>
      </c>
      <c r="E75" s="96">
        <v>43493</v>
      </c>
      <c r="F75" s="95">
        <v>43450</v>
      </c>
      <c r="G75" s="95">
        <v>43456</v>
      </c>
      <c r="H75" s="92">
        <v>2.5</v>
      </c>
    </row>
    <row r="76" spans="1:8">
      <c r="A76" s="93" t="s">
        <v>1014</v>
      </c>
      <c r="B76" s="94" t="s">
        <v>1015</v>
      </c>
      <c r="C76" s="95" t="s">
        <v>1039</v>
      </c>
      <c r="D76" s="95">
        <v>43434</v>
      </c>
      <c r="E76" s="96">
        <v>43493</v>
      </c>
      <c r="F76" s="95">
        <v>43457</v>
      </c>
      <c r="G76" s="95">
        <v>43463</v>
      </c>
      <c r="H76" s="92">
        <v>2</v>
      </c>
    </row>
    <row r="77" spans="1:8">
      <c r="A77" s="93" t="s">
        <v>1014</v>
      </c>
      <c r="B77" s="94" t="s">
        <v>1015</v>
      </c>
      <c r="C77" s="95" t="s">
        <v>1040</v>
      </c>
      <c r="D77" s="95">
        <v>43434</v>
      </c>
      <c r="E77" s="96">
        <v>43493</v>
      </c>
      <c r="F77" s="95">
        <v>43457</v>
      </c>
      <c r="G77" s="95">
        <v>43463</v>
      </c>
      <c r="H77" s="92">
        <v>2</v>
      </c>
    </row>
    <row r="78" spans="1:8">
      <c r="A78" s="93" t="s">
        <v>1014</v>
      </c>
      <c r="B78" s="94" t="s">
        <v>1015</v>
      </c>
      <c r="C78" s="95" t="s">
        <v>1039</v>
      </c>
      <c r="D78" s="95">
        <v>43434</v>
      </c>
      <c r="E78" s="96">
        <v>43493</v>
      </c>
      <c r="F78" s="95">
        <v>43464</v>
      </c>
      <c r="G78" s="95">
        <v>43470</v>
      </c>
      <c r="H78" s="92">
        <v>2</v>
      </c>
    </row>
    <row r="79" spans="1:8">
      <c r="A79" s="93" t="s">
        <v>1014</v>
      </c>
      <c r="B79" s="94" t="s">
        <v>1015</v>
      </c>
      <c r="C79" s="95" t="s">
        <v>1040</v>
      </c>
      <c r="D79" s="95">
        <v>43434</v>
      </c>
      <c r="E79" s="96">
        <v>43493</v>
      </c>
      <c r="F79" s="95">
        <v>43464</v>
      </c>
      <c r="G79" s="95">
        <v>43470</v>
      </c>
      <c r="H79" s="92">
        <v>2</v>
      </c>
    </row>
    <row r="80" spans="1:8">
      <c r="A80" s="93" t="s">
        <v>1014</v>
      </c>
      <c r="B80" s="94" t="s">
        <v>1015</v>
      </c>
      <c r="C80" s="95" t="s">
        <v>1039</v>
      </c>
      <c r="D80" s="95">
        <v>43434</v>
      </c>
      <c r="E80" s="96">
        <v>43493</v>
      </c>
      <c r="F80" s="95">
        <v>43471</v>
      </c>
      <c r="G80" s="95">
        <v>43477</v>
      </c>
      <c r="H80" s="92">
        <v>2.5</v>
      </c>
    </row>
    <row r="81" spans="1:8">
      <c r="A81" s="93" t="s">
        <v>1014</v>
      </c>
      <c r="B81" s="94" t="s">
        <v>1015</v>
      </c>
      <c r="C81" s="95" t="s">
        <v>1040</v>
      </c>
      <c r="D81" s="95">
        <v>43434</v>
      </c>
      <c r="E81" s="96">
        <v>43493</v>
      </c>
      <c r="F81" s="95">
        <v>43471</v>
      </c>
      <c r="G81" s="95">
        <v>43477</v>
      </c>
      <c r="H81" s="92">
        <v>2.5</v>
      </c>
    </row>
    <row r="82" spans="1:8">
      <c r="A82" s="93" t="s">
        <v>1014</v>
      </c>
      <c r="B82" s="94" t="s">
        <v>1015</v>
      </c>
      <c r="C82" s="95" t="s">
        <v>1039</v>
      </c>
      <c r="D82" s="95">
        <v>43434</v>
      </c>
      <c r="E82" s="96">
        <v>43493</v>
      </c>
      <c r="F82" s="95">
        <v>43478</v>
      </c>
      <c r="G82" s="95">
        <v>43484</v>
      </c>
      <c r="H82" s="92">
        <v>2.5</v>
      </c>
    </row>
    <row r="83" spans="1:8">
      <c r="A83" s="93" t="s">
        <v>1014</v>
      </c>
      <c r="B83" s="94" t="s">
        <v>1015</v>
      </c>
      <c r="C83" s="95" t="s">
        <v>1040</v>
      </c>
      <c r="D83" s="95">
        <v>43434</v>
      </c>
      <c r="E83" s="96">
        <v>43493</v>
      </c>
      <c r="F83" s="95">
        <v>43478</v>
      </c>
      <c r="G83" s="95">
        <v>43484</v>
      </c>
      <c r="H83" s="92">
        <v>2.5</v>
      </c>
    </row>
    <row r="84" spans="1:8">
      <c r="A84" s="93" t="s">
        <v>1014</v>
      </c>
      <c r="B84" s="94" t="s">
        <v>1015</v>
      </c>
      <c r="C84" s="95" t="s">
        <v>1039</v>
      </c>
      <c r="D84" s="95">
        <v>43434</v>
      </c>
      <c r="E84" s="96">
        <v>43493</v>
      </c>
      <c r="F84" s="95">
        <v>43485</v>
      </c>
      <c r="G84" s="95">
        <v>43491</v>
      </c>
      <c r="H84" s="92">
        <v>2.5</v>
      </c>
    </row>
    <row r="85" spans="1:8">
      <c r="A85" s="93" t="s">
        <v>1014</v>
      </c>
      <c r="B85" s="94" t="s">
        <v>1015</v>
      </c>
      <c r="C85" s="95" t="s">
        <v>1040</v>
      </c>
      <c r="D85" s="95">
        <v>43434</v>
      </c>
      <c r="E85" s="96">
        <v>43493</v>
      </c>
      <c r="F85" s="95">
        <v>43485</v>
      </c>
      <c r="G85" s="95">
        <v>43491</v>
      </c>
      <c r="H85" s="92">
        <v>2.5</v>
      </c>
    </row>
    <row r="86" spans="1:8">
      <c r="A86" s="93" t="s">
        <v>1014</v>
      </c>
      <c r="B86" s="94" t="s">
        <v>1015</v>
      </c>
      <c r="C86" s="95" t="s">
        <v>1039</v>
      </c>
      <c r="D86" s="95">
        <v>43434</v>
      </c>
      <c r="E86" s="96">
        <v>43493</v>
      </c>
      <c r="F86" s="95">
        <v>43492</v>
      </c>
      <c r="G86" s="95">
        <v>43498</v>
      </c>
      <c r="H86" s="92">
        <v>0.5</v>
      </c>
    </row>
    <row r="87" spans="1:8">
      <c r="A87" s="93" t="s">
        <v>1014</v>
      </c>
      <c r="B87" s="94" t="s">
        <v>1015</v>
      </c>
      <c r="C87" s="95" t="s">
        <v>1040</v>
      </c>
      <c r="D87" s="95">
        <v>43434</v>
      </c>
      <c r="E87" s="96">
        <v>43493</v>
      </c>
      <c r="F87" s="95">
        <v>43492</v>
      </c>
      <c r="G87" s="95">
        <v>43498</v>
      </c>
      <c r="H87" s="92">
        <v>0.5</v>
      </c>
    </row>
    <row r="88" spans="1:8">
      <c r="A88" s="93" t="s">
        <v>1016</v>
      </c>
      <c r="B88" s="94" t="s">
        <v>1017</v>
      </c>
      <c r="C88" s="95" t="s">
        <v>1039</v>
      </c>
      <c r="D88" s="95">
        <v>43434</v>
      </c>
      <c r="E88" s="96">
        <v>43493</v>
      </c>
      <c r="F88" s="95">
        <v>43429</v>
      </c>
      <c r="G88" s="95">
        <v>43435</v>
      </c>
      <c r="H88" s="92">
        <v>1</v>
      </c>
    </row>
    <row r="89" spans="1:8">
      <c r="A89" s="93" t="s">
        <v>1016</v>
      </c>
      <c r="B89" s="94" t="s">
        <v>1017</v>
      </c>
      <c r="C89" s="95" t="s">
        <v>1039</v>
      </c>
      <c r="D89" s="95">
        <v>43434</v>
      </c>
      <c r="E89" s="96">
        <v>43493</v>
      </c>
      <c r="F89" s="95">
        <v>43436</v>
      </c>
      <c r="G89" s="95">
        <v>43442</v>
      </c>
      <c r="H89" s="92">
        <v>5</v>
      </c>
    </row>
    <row r="90" spans="1:8">
      <c r="A90" s="93" t="s">
        <v>1016</v>
      </c>
      <c r="B90" s="94" t="s">
        <v>1017</v>
      </c>
      <c r="C90" s="95" t="s">
        <v>1039</v>
      </c>
      <c r="D90" s="95">
        <v>43434</v>
      </c>
      <c r="E90" s="96">
        <v>43493</v>
      </c>
      <c r="F90" s="95">
        <v>43443</v>
      </c>
      <c r="G90" s="95">
        <v>43449</v>
      </c>
      <c r="H90" s="92">
        <v>5</v>
      </c>
    </row>
    <row r="91" spans="1:8">
      <c r="A91" s="93" t="s">
        <v>1016</v>
      </c>
      <c r="B91" s="94" t="s">
        <v>1017</v>
      </c>
      <c r="C91" s="95" t="s">
        <v>1039</v>
      </c>
      <c r="D91" s="95">
        <v>43434</v>
      </c>
      <c r="E91" s="96">
        <v>43493</v>
      </c>
      <c r="F91" s="95">
        <v>43450</v>
      </c>
      <c r="G91" s="95">
        <v>43456</v>
      </c>
      <c r="H91" s="92">
        <v>5</v>
      </c>
    </row>
    <row r="92" spans="1:8">
      <c r="A92" s="93" t="s">
        <v>1016</v>
      </c>
      <c r="B92" s="94" t="s">
        <v>1017</v>
      </c>
      <c r="C92" s="95" t="s">
        <v>1039</v>
      </c>
      <c r="D92" s="95">
        <v>43434</v>
      </c>
      <c r="E92" s="96">
        <v>43493</v>
      </c>
      <c r="F92" s="95">
        <v>43457</v>
      </c>
      <c r="G92" s="95">
        <v>43463</v>
      </c>
      <c r="H92" s="92">
        <v>4</v>
      </c>
    </row>
    <row r="93" spans="1:8">
      <c r="A93" s="93" t="s">
        <v>1016</v>
      </c>
      <c r="B93" s="94" t="s">
        <v>1017</v>
      </c>
      <c r="C93" s="95" t="s">
        <v>1039</v>
      </c>
      <c r="D93" s="95">
        <v>43434</v>
      </c>
      <c r="E93" s="96">
        <v>43493</v>
      </c>
      <c r="F93" s="95">
        <v>43464</v>
      </c>
      <c r="G93" s="95">
        <v>43470</v>
      </c>
      <c r="H93" s="92">
        <v>4</v>
      </c>
    </row>
    <row r="94" spans="1:8">
      <c r="A94" s="93" t="s">
        <v>1016</v>
      </c>
      <c r="B94" s="94" t="s">
        <v>1017</v>
      </c>
      <c r="C94" s="95" t="s">
        <v>1039</v>
      </c>
      <c r="D94" s="95">
        <v>43434</v>
      </c>
      <c r="E94" s="96">
        <v>43493</v>
      </c>
      <c r="F94" s="95">
        <v>43471</v>
      </c>
      <c r="G94" s="95">
        <v>43477</v>
      </c>
      <c r="H94" s="92">
        <v>5</v>
      </c>
    </row>
    <row r="95" spans="1:8">
      <c r="A95" s="93" t="s">
        <v>1016</v>
      </c>
      <c r="B95" s="94" t="s">
        <v>1017</v>
      </c>
      <c r="C95" s="95" t="s">
        <v>1039</v>
      </c>
      <c r="D95" s="95">
        <v>43434</v>
      </c>
      <c r="E95" s="96">
        <v>43493</v>
      </c>
      <c r="F95" s="95">
        <v>43478</v>
      </c>
      <c r="G95" s="95">
        <v>43484</v>
      </c>
      <c r="H95" s="92">
        <v>5</v>
      </c>
    </row>
    <row r="96" spans="1:8">
      <c r="A96" s="93" t="s">
        <v>1016</v>
      </c>
      <c r="B96" s="94" t="s">
        <v>1017</v>
      </c>
      <c r="C96" s="95" t="s">
        <v>1039</v>
      </c>
      <c r="D96" s="95">
        <v>43434</v>
      </c>
      <c r="E96" s="96">
        <v>43493</v>
      </c>
      <c r="F96" s="95">
        <v>43485</v>
      </c>
      <c r="G96" s="95">
        <v>43491</v>
      </c>
      <c r="H96" s="92">
        <v>5</v>
      </c>
    </row>
    <row r="97" spans="1:8">
      <c r="A97" s="93" t="s">
        <v>1016</v>
      </c>
      <c r="B97" s="94" t="s">
        <v>1017</v>
      </c>
      <c r="C97" s="95" t="s">
        <v>1039</v>
      </c>
      <c r="D97" s="95">
        <v>43434</v>
      </c>
      <c r="E97" s="96">
        <v>43493</v>
      </c>
      <c r="F97" s="95">
        <v>43492</v>
      </c>
      <c r="G97" s="95">
        <v>43498</v>
      </c>
      <c r="H97" s="92">
        <v>1</v>
      </c>
    </row>
    <row r="98" spans="1:8">
      <c r="A98" s="93" t="s">
        <v>1018</v>
      </c>
      <c r="B98" s="94" t="s">
        <v>1019</v>
      </c>
      <c r="C98" s="95" t="s">
        <v>1040</v>
      </c>
      <c r="D98" s="95">
        <v>43448</v>
      </c>
      <c r="E98" s="96">
        <v>43493</v>
      </c>
      <c r="F98" s="95">
        <v>43443</v>
      </c>
      <c r="G98" s="95">
        <v>43449</v>
      </c>
      <c r="H98" s="92">
        <v>1</v>
      </c>
    </row>
    <row r="99" spans="1:8">
      <c r="A99" s="93" t="s">
        <v>1018</v>
      </c>
      <c r="B99" s="94" t="s">
        <v>1019</v>
      </c>
      <c r="C99" s="95" t="s">
        <v>1040</v>
      </c>
      <c r="D99" s="95">
        <v>43448</v>
      </c>
      <c r="E99" s="96">
        <v>43493</v>
      </c>
      <c r="F99" s="95">
        <v>43450</v>
      </c>
      <c r="G99" s="95">
        <v>43456</v>
      </c>
      <c r="H99" s="92">
        <v>5</v>
      </c>
    </row>
    <row r="100" spans="1:8">
      <c r="A100" s="93" t="s">
        <v>1018</v>
      </c>
      <c r="B100" s="94" t="s">
        <v>1019</v>
      </c>
      <c r="C100" s="95" t="s">
        <v>1040</v>
      </c>
      <c r="D100" s="95">
        <v>43448</v>
      </c>
      <c r="E100" s="96">
        <v>43493</v>
      </c>
      <c r="F100" s="95">
        <v>43457</v>
      </c>
      <c r="G100" s="95">
        <v>43463</v>
      </c>
      <c r="H100" s="92">
        <v>4</v>
      </c>
    </row>
    <row r="101" spans="1:8">
      <c r="A101" s="93" t="s">
        <v>1018</v>
      </c>
      <c r="B101" s="94" t="s">
        <v>1019</v>
      </c>
      <c r="C101" s="95" t="s">
        <v>1040</v>
      </c>
      <c r="D101" s="95">
        <v>43448</v>
      </c>
      <c r="E101" s="96">
        <v>43493</v>
      </c>
      <c r="F101" s="95">
        <v>43464</v>
      </c>
      <c r="G101" s="95">
        <v>43470</v>
      </c>
      <c r="H101" s="92">
        <v>4</v>
      </c>
    </row>
    <row r="102" spans="1:8">
      <c r="A102" s="93" t="s">
        <v>1018</v>
      </c>
      <c r="B102" s="94" t="s">
        <v>1019</v>
      </c>
      <c r="C102" s="95" t="s">
        <v>1040</v>
      </c>
      <c r="D102" s="95">
        <v>43448</v>
      </c>
      <c r="E102" s="96">
        <v>43493</v>
      </c>
      <c r="F102" s="95">
        <v>43471</v>
      </c>
      <c r="G102" s="95">
        <v>43477</v>
      </c>
      <c r="H102" s="92">
        <v>5</v>
      </c>
    </row>
    <row r="103" spans="1:8">
      <c r="A103" s="93" t="s">
        <v>1018</v>
      </c>
      <c r="B103" s="94" t="s">
        <v>1019</v>
      </c>
      <c r="C103" s="95" t="s">
        <v>1040</v>
      </c>
      <c r="D103" s="95">
        <v>43448</v>
      </c>
      <c r="E103" s="96">
        <v>43493</v>
      </c>
      <c r="F103" s="95">
        <v>43478</v>
      </c>
      <c r="G103" s="95">
        <v>43484</v>
      </c>
      <c r="H103" s="92">
        <v>5</v>
      </c>
    </row>
    <row r="104" spans="1:8">
      <c r="A104" s="93" t="s">
        <v>1018</v>
      </c>
      <c r="B104" s="94" t="s">
        <v>1019</v>
      </c>
      <c r="C104" s="95" t="s">
        <v>1040</v>
      </c>
      <c r="D104" s="95">
        <v>43448</v>
      </c>
      <c r="E104" s="96">
        <v>43493</v>
      </c>
      <c r="F104" s="95">
        <v>43485</v>
      </c>
      <c r="G104" s="95">
        <v>43491</v>
      </c>
      <c r="H104" s="92">
        <v>5</v>
      </c>
    </row>
    <row r="105" spans="1:8">
      <c r="A105" s="93" t="s">
        <v>1018</v>
      </c>
      <c r="B105" s="94" t="s">
        <v>1019</v>
      </c>
      <c r="C105" s="95" t="s">
        <v>1040</v>
      </c>
      <c r="D105" s="95">
        <v>43448</v>
      </c>
      <c r="E105" s="96">
        <v>43493</v>
      </c>
      <c r="F105" s="95">
        <v>43492</v>
      </c>
      <c r="G105" s="95">
        <v>43498</v>
      </c>
      <c r="H105" s="92">
        <v>1</v>
      </c>
    </row>
    <row r="106" spans="1:8">
      <c r="A106" s="93" t="s">
        <v>1020</v>
      </c>
      <c r="B106" s="94" t="s">
        <v>1021</v>
      </c>
      <c r="C106" s="95" t="s">
        <v>1038</v>
      </c>
      <c r="D106" s="95">
        <v>43476</v>
      </c>
      <c r="E106" s="96">
        <v>43494</v>
      </c>
      <c r="F106" s="95">
        <v>43471</v>
      </c>
      <c r="G106" s="95">
        <v>43477</v>
      </c>
      <c r="H106" s="92">
        <v>1</v>
      </c>
    </row>
    <row r="107" spans="1:8">
      <c r="A107" s="93" t="s">
        <v>1020</v>
      </c>
      <c r="B107" s="94" t="s">
        <v>1021</v>
      </c>
      <c r="C107" s="95" t="s">
        <v>1038</v>
      </c>
      <c r="D107" s="95">
        <v>43476</v>
      </c>
      <c r="E107" s="96">
        <v>43494</v>
      </c>
      <c r="F107" s="95">
        <v>43478</v>
      </c>
      <c r="G107" s="95">
        <v>43484</v>
      </c>
      <c r="H107" s="92">
        <v>5</v>
      </c>
    </row>
    <row r="108" spans="1:8">
      <c r="A108" s="93" t="s">
        <v>1020</v>
      </c>
      <c r="B108" s="94" t="s">
        <v>1021</v>
      </c>
      <c r="C108" s="95" t="s">
        <v>1038</v>
      </c>
      <c r="D108" s="95">
        <v>43476</v>
      </c>
      <c r="E108" s="96">
        <v>43494</v>
      </c>
      <c r="F108" s="95">
        <v>43485</v>
      </c>
      <c r="G108" s="95">
        <v>43491</v>
      </c>
      <c r="H108" s="92">
        <v>5</v>
      </c>
    </row>
    <row r="109" spans="1:8">
      <c r="A109" s="93" t="s">
        <v>1020</v>
      </c>
      <c r="B109" s="94" t="s">
        <v>1021</v>
      </c>
      <c r="C109" s="95" t="s">
        <v>1038</v>
      </c>
      <c r="D109" s="95">
        <v>43476</v>
      </c>
      <c r="E109" s="96">
        <v>43494</v>
      </c>
      <c r="F109" s="95">
        <v>43492</v>
      </c>
      <c r="G109" s="95">
        <v>43498</v>
      </c>
      <c r="H109" s="92">
        <v>2</v>
      </c>
    </row>
    <row r="110" spans="1:8">
      <c r="A110" s="93" t="s">
        <v>1022</v>
      </c>
      <c r="B110" s="94" t="s">
        <v>1023</v>
      </c>
      <c r="C110" s="95" t="s">
        <v>1038</v>
      </c>
      <c r="D110" s="95">
        <v>43497</v>
      </c>
      <c r="E110" s="96">
        <v>43501</v>
      </c>
      <c r="F110" s="95">
        <v>43492</v>
      </c>
      <c r="G110" s="95">
        <v>43498</v>
      </c>
      <c r="H110" s="92">
        <v>1</v>
      </c>
    </row>
    <row r="111" spans="1:8">
      <c r="A111" s="93" t="s">
        <v>1022</v>
      </c>
      <c r="B111" s="94" t="s">
        <v>1023</v>
      </c>
      <c r="C111" s="95" t="s">
        <v>1038</v>
      </c>
      <c r="D111" s="95">
        <v>43497</v>
      </c>
      <c r="E111" s="96">
        <v>43501</v>
      </c>
      <c r="F111" s="95">
        <v>43499</v>
      </c>
      <c r="G111" s="95">
        <v>43505</v>
      </c>
      <c r="H111" s="92">
        <v>0</v>
      </c>
    </row>
    <row r="112" spans="1:8">
      <c r="A112" s="93" t="s">
        <v>1024</v>
      </c>
      <c r="B112" s="94" t="s">
        <v>1025</v>
      </c>
      <c r="C112" s="95" t="s">
        <v>1038</v>
      </c>
      <c r="D112" s="95">
        <v>43497</v>
      </c>
      <c r="E112" s="96">
        <v>43499</v>
      </c>
      <c r="F112" s="95">
        <v>43492</v>
      </c>
      <c r="G112" s="95">
        <v>43498</v>
      </c>
      <c r="H112" s="92">
        <v>1</v>
      </c>
    </row>
    <row r="113" spans="1:8">
      <c r="A113" s="93" t="s">
        <v>1024</v>
      </c>
      <c r="B113" s="94" t="s">
        <v>1025</v>
      </c>
      <c r="C113" s="95" t="s">
        <v>1038</v>
      </c>
      <c r="D113" s="95">
        <v>43497</v>
      </c>
      <c r="E113" s="96">
        <v>43499</v>
      </c>
      <c r="F113" s="95">
        <v>43499</v>
      </c>
      <c r="G113" s="95">
        <v>43505</v>
      </c>
      <c r="H113" s="92">
        <v>0</v>
      </c>
    </row>
    <row r="114" spans="1:8">
      <c r="A114" s="93" t="s">
        <v>1026</v>
      </c>
      <c r="B114" s="94" t="s">
        <v>1027</v>
      </c>
      <c r="C114" s="95" t="s">
        <v>1038</v>
      </c>
      <c r="D114" s="95">
        <v>43501</v>
      </c>
      <c r="E114" s="96">
        <v>43503</v>
      </c>
      <c r="F114" s="95">
        <v>43499</v>
      </c>
      <c r="G114" s="95">
        <v>43505</v>
      </c>
      <c r="H114" s="92">
        <v>0.5</v>
      </c>
    </row>
    <row r="115" spans="1:8">
      <c r="A115" s="93" t="s">
        <v>1026</v>
      </c>
      <c r="B115" s="94" t="s">
        <v>1027</v>
      </c>
      <c r="C115" s="95" t="s">
        <v>1037</v>
      </c>
      <c r="D115" s="95">
        <v>43501</v>
      </c>
      <c r="E115" s="96">
        <v>43503</v>
      </c>
      <c r="F115" s="95">
        <v>43499</v>
      </c>
      <c r="G115" s="95">
        <v>43505</v>
      </c>
      <c r="H115" s="92">
        <v>0.5</v>
      </c>
    </row>
    <row r="116" spans="1:8">
      <c r="A116" s="93" t="s">
        <v>1028</v>
      </c>
      <c r="B116" s="94" t="s">
        <v>1029</v>
      </c>
      <c r="C116" s="95" t="s">
        <v>1038</v>
      </c>
      <c r="D116" s="95">
        <v>43501</v>
      </c>
      <c r="E116" s="96">
        <v>43503</v>
      </c>
      <c r="F116" s="95">
        <v>43499</v>
      </c>
      <c r="G116" s="95">
        <v>43505</v>
      </c>
      <c r="H116" s="92">
        <v>0.5</v>
      </c>
    </row>
    <row r="117" spans="1:8">
      <c r="A117" s="93" t="s">
        <v>1028</v>
      </c>
      <c r="B117" s="94" t="s">
        <v>1029</v>
      </c>
      <c r="C117" s="95" t="s">
        <v>1039</v>
      </c>
      <c r="D117" s="95">
        <v>43501</v>
      </c>
      <c r="E117" s="96">
        <v>43503</v>
      </c>
      <c r="F117" s="95">
        <v>43499</v>
      </c>
      <c r="G117" s="95">
        <v>43505</v>
      </c>
      <c r="H117" s="92">
        <v>0.5</v>
      </c>
    </row>
    <row r="118" spans="1:8">
      <c r="A118" s="93" t="s">
        <v>1030</v>
      </c>
      <c r="B118" s="94" t="s">
        <v>1031</v>
      </c>
      <c r="C118" s="95" t="s">
        <v>1038</v>
      </c>
      <c r="D118" s="95">
        <v>43501</v>
      </c>
      <c r="E118" s="96">
        <v>43503</v>
      </c>
      <c r="F118" s="95">
        <v>43499</v>
      </c>
      <c r="G118" s="95">
        <v>43505</v>
      </c>
      <c r="H118" s="92">
        <v>0.5</v>
      </c>
    </row>
    <row r="119" spans="1:8">
      <c r="A119" s="93" t="s">
        <v>1030</v>
      </c>
      <c r="B119" s="94" t="s">
        <v>1031</v>
      </c>
      <c r="C119" s="95" t="s">
        <v>1039</v>
      </c>
      <c r="D119" s="95">
        <v>43501</v>
      </c>
      <c r="E119" s="96">
        <v>43503</v>
      </c>
      <c r="F119" s="95">
        <v>43499</v>
      </c>
      <c r="G119" s="95">
        <v>43505</v>
      </c>
      <c r="H119" s="92">
        <v>0.5</v>
      </c>
    </row>
    <row r="120" spans="1:8">
      <c r="A120" s="93" t="s">
        <v>1032</v>
      </c>
      <c r="B120" s="94" t="s">
        <v>1033</v>
      </c>
      <c r="C120" s="95" t="s">
        <v>1038</v>
      </c>
      <c r="D120" s="95">
        <v>43504</v>
      </c>
      <c r="E120" s="96">
        <v>43504</v>
      </c>
      <c r="F120" s="95">
        <v>43499</v>
      </c>
      <c r="G120" s="95">
        <v>43505</v>
      </c>
      <c r="H120" s="92">
        <v>1</v>
      </c>
    </row>
    <row r="121" spans="1:8">
      <c r="G121" s="92" t="s">
        <v>4</v>
      </c>
      <c r="H121" s="92">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OI365"/>
  <sheetViews>
    <sheetView tabSelected="1" zoomScale="130" zoomScaleNormal="130" zoomScalePageLayoutView="55" workbookViewId="0">
      <pane ySplit="4" topLeftCell="A35" activePane="bottomLeft" state="frozen"/>
      <selection activeCell="E5" sqref="E5"/>
      <selection pane="bottomLeft" activeCell="D5" sqref="D5"/>
    </sheetView>
  </sheetViews>
  <sheetFormatPr defaultColWidth="10" defaultRowHeight="12" outlineLevelRow="1"/>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399" width="1.8984375" style="114" customWidth="1"/>
    <col min="400" max="16384" width="10" style="114"/>
  </cols>
  <sheetData>
    <row r="1" spans="1:399" s="158" customFormat="1" ht="19.95" customHeight="1">
      <c r="A1" s="141"/>
      <c r="B1" s="151"/>
      <c r="C1" s="142"/>
      <c r="D1" s="143" t="str">
        <f ca="1">xlgantt.ProjectName()</f>
        <v>GME-Project</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2019-01-01~2019-12-31 [계획:65.08% 실적:28.57%]</v>
      </c>
      <c r="AC1" s="220" t="s">
        <v>1156</v>
      </c>
      <c r="AD1" s="220"/>
      <c r="AE1" s="220"/>
      <c r="AF1" s="220"/>
      <c r="AG1" s="220"/>
      <c r="AH1" s="220"/>
      <c r="AI1" s="220"/>
      <c r="AJ1" s="220"/>
      <c r="AK1" s="220"/>
      <c r="AL1" s="220"/>
      <c r="AM1" s="220"/>
      <c r="AN1" s="220"/>
      <c r="AO1" s="220"/>
      <c r="AP1" s="220"/>
      <c r="AQ1" s="220"/>
      <c r="AR1" s="220"/>
      <c r="AS1" s="220"/>
      <c r="AT1" s="220"/>
      <c r="AU1" s="220"/>
      <c r="AV1" s="220"/>
      <c r="AW1" s="220"/>
      <c r="AX1" s="220"/>
      <c r="AY1" s="220"/>
      <c r="AZ1" s="220"/>
      <c r="BA1" s="220"/>
      <c r="BB1" s="220"/>
      <c r="BC1" s="220"/>
      <c r="BD1" s="220"/>
      <c r="BE1" s="220"/>
      <c r="BF1" s="220"/>
      <c r="BG1" s="220"/>
      <c r="BH1" s="220"/>
      <c r="BI1" s="220"/>
      <c r="BJ1" s="220"/>
      <c r="BK1" s="220"/>
      <c r="BL1" s="220"/>
      <c r="BM1" s="220"/>
      <c r="BN1" s="220"/>
      <c r="BO1" s="220"/>
      <c r="BP1" s="220"/>
      <c r="BQ1" s="220"/>
      <c r="BR1" s="220"/>
      <c r="BS1" s="220"/>
      <c r="BT1" s="220"/>
      <c r="BU1" s="220"/>
      <c r="BV1" s="220"/>
      <c r="BW1" s="220"/>
      <c r="BX1" s="220"/>
      <c r="BY1" s="220"/>
      <c r="BZ1" s="220"/>
      <c r="CA1" s="220"/>
    </row>
    <row r="2" spans="1:399" s="158" customFormat="1" ht="15" customHeight="1">
      <c r="A2" s="159"/>
      <c r="B2" s="159"/>
      <c r="C2" s="160"/>
      <c r="D2" s="230"/>
      <c r="E2" s="230"/>
      <c r="F2" s="230"/>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1157</v>
      </c>
    </row>
    <row r="3" spans="1:399" s="1" customFormat="1" ht="19.95" customHeight="1">
      <c r="A3" s="221" t="s">
        <v>1146</v>
      </c>
      <c r="B3" s="223" t="s">
        <v>1147</v>
      </c>
      <c r="C3" s="225" t="s">
        <v>1127</v>
      </c>
      <c r="D3" s="226" t="s">
        <v>1107</v>
      </c>
      <c r="E3" s="227" t="s">
        <v>1108</v>
      </c>
      <c r="F3" s="228"/>
      <c r="G3" s="228"/>
      <c r="H3" s="228"/>
      <c r="I3" s="228"/>
      <c r="J3" s="228"/>
      <c r="K3" s="229"/>
      <c r="L3" s="231" t="s">
        <v>1105</v>
      </c>
      <c r="M3" s="231" t="s">
        <v>1121</v>
      </c>
      <c r="N3" s="231" t="s">
        <v>1109</v>
      </c>
      <c r="O3" s="232" t="s">
        <v>1148</v>
      </c>
      <c r="P3" s="233" t="s">
        <v>1149</v>
      </c>
      <c r="Q3" s="233" t="s">
        <v>1150</v>
      </c>
      <c r="R3" s="233" t="s">
        <v>1122</v>
      </c>
      <c r="S3" s="233" t="s">
        <v>1151</v>
      </c>
      <c r="T3" s="236" t="s">
        <v>1152</v>
      </c>
      <c r="U3" s="236" t="s">
        <v>1106</v>
      </c>
      <c r="V3" s="237" t="s">
        <v>1153</v>
      </c>
      <c r="W3" s="238" t="s">
        <v>1110</v>
      </c>
      <c r="X3" s="239" t="s">
        <v>1098</v>
      </c>
      <c r="Y3" s="231" t="s">
        <v>1126</v>
      </c>
      <c r="Z3" s="223" t="s">
        <v>1119</v>
      </c>
      <c r="AA3" s="240" t="s">
        <v>1123</v>
      </c>
      <c r="AB3" s="235" t="s">
        <v>1102</v>
      </c>
      <c r="AC3" s="234">
        <v>43465</v>
      </c>
      <c r="AD3" s="218"/>
      <c r="AE3" s="218"/>
      <c r="AF3" s="218"/>
      <c r="AG3" s="218">
        <v>43493</v>
      </c>
      <c r="AH3" s="218"/>
      <c r="AI3" s="218"/>
      <c r="AJ3" s="218"/>
      <c r="AK3" s="218">
        <v>43521</v>
      </c>
      <c r="AL3" s="218"/>
      <c r="AM3" s="218"/>
      <c r="AN3" s="218"/>
      <c r="AO3" s="218">
        <v>43549</v>
      </c>
      <c r="AP3" s="218"/>
      <c r="AQ3" s="218"/>
      <c r="AR3" s="218"/>
      <c r="AS3" s="218">
        <v>43577</v>
      </c>
      <c r="AT3" s="218"/>
      <c r="AU3" s="218"/>
      <c r="AV3" s="218"/>
      <c r="AW3" s="218">
        <v>43605</v>
      </c>
      <c r="AX3" s="218"/>
      <c r="AY3" s="218"/>
      <c r="AZ3" s="218"/>
      <c r="BA3" s="218">
        <v>43633</v>
      </c>
      <c r="BB3" s="218"/>
      <c r="BC3" s="218"/>
      <c r="BD3" s="218"/>
      <c r="BE3" s="218">
        <v>43661</v>
      </c>
      <c r="BF3" s="218"/>
      <c r="BG3" s="218"/>
      <c r="BH3" s="218"/>
      <c r="BI3" s="218">
        <v>43689</v>
      </c>
      <c r="BJ3" s="218"/>
      <c r="BK3" s="218"/>
      <c r="BL3" s="218"/>
      <c r="BM3" s="218">
        <v>43717</v>
      </c>
      <c r="BN3" s="218"/>
      <c r="BO3" s="218"/>
      <c r="BP3" s="218"/>
      <c r="BQ3" s="218">
        <v>43745</v>
      </c>
      <c r="BR3" s="218"/>
      <c r="BS3" s="218"/>
      <c r="BT3" s="218"/>
      <c r="BU3" s="218">
        <v>43773</v>
      </c>
      <c r="BV3" s="218"/>
      <c r="BW3" s="218"/>
      <c r="BX3" s="218"/>
      <c r="BY3" s="218">
        <v>43801</v>
      </c>
      <c r="BZ3" s="218"/>
      <c r="CA3" s="218"/>
      <c r="CB3" s="218"/>
      <c r="CC3" s="218">
        <v>43829</v>
      </c>
      <c r="CD3" s="218"/>
      <c r="CE3" s="218"/>
      <c r="CF3" s="219"/>
    </row>
    <row r="4" spans="1:399" s="2" customFormat="1" ht="4.95" customHeight="1">
      <c r="A4" s="222"/>
      <c r="B4" s="224"/>
      <c r="C4" s="221"/>
      <c r="D4" s="226"/>
      <c r="E4" s="227"/>
      <c r="F4" s="228"/>
      <c r="G4" s="228"/>
      <c r="H4" s="228"/>
      <c r="I4" s="228"/>
      <c r="J4" s="228"/>
      <c r="K4" s="229"/>
      <c r="L4" s="231"/>
      <c r="M4" s="231"/>
      <c r="N4" s="231"/>
      <c r="O4" s="232"/>
      <c r="P4" s="233"/>
      <c r="Q4" s="233"/>
      <c r="R4" s="233"/>
      <c r="S4" s="233"/>
      <c r="T4" s="231"/>
      <c r="U4" s="231"/>
      <c r="V4" s="237"/>
      <c r="W4" s="238"/>
      <c r="X4" s="239"/>
      <c r="Y4" s="231"/>
      <c r="Z4" s="223"/>
      <c r="AA4" s="240"/>
      <c r="AB4" s="235"/>
      <c r="AC4" s="112">
        <v>43465</v>
      </c>
      <c r="AD4" s="113">
        <v>43472</v>
      </c>
      <c r="AE4" s="113">
        <v>43479</v>
      </c>
      <c r="AF4" s="113">
        <v>43486</v>
      </c>
      <c r="AG4" s="113">
        <v>43493</v>
      </c>
      <c r="AH4" s="113">
        <v>43500</v>
      </c>
      <c r="AI4" s="113">
        <v>43507</v>
      </c>
      <c r="AJ4" s="113">
        <v>43514</v>
      </c>
      <c r="AK4" s="113">
        <v>43521</v>
      </c>
      <c r="AL4" s="113">
        <v>43528</v>
      </c>
      <c r="AM4" s="113">
        <v>43535</v>
      </c>
      <c r="AN4" s="113">
        <v>43542</v>
      </c>
      <c r="AO4" s="113">
        <v>43549</v>
      </c>
      <c r="AP4" s="113">
        <v>43556</v>
      </c>
      <c r="AQ4" s="113">
        <v>43563</v>
      </c>
      <c r="AR4" s="113">
        <v>43570</v>
      </c>
      <c r="AS4" s="113">
        <v>43577</v>
      </c>
      <c r="AT4" s="113">
        <v>43584</v>
      </c>
      <c r="AU4" s="113">
        <v>43591</v>
      </c>
      <c r="AV4" s="113">
        <v>43598</v>
      </c>
      <c r="AW4" s="113">
        <v>43605</v>
      </c>
      <c r="AX4" s="113">
        <v>43612</v>
      </c>
      <c r="AY4" s="113">
        <v>43619</v>
      </c>
      <c r="AZ4" s="113">
        <v>43626</v>
      </c>
      <c r="BA4" s="113">
        <v>43633</v>
      </c>
      <c r="BB4" s="113">
        <v>43640</v>
      </c>
      <c r="BC4" s="113">
        <v>43647</v>
      </c>
      <c r="BD4" s="113">
        <v>43654</v>
      </c>
      <c r="BE4" s="113">
        <v>43661</v>
      </c>
      <c r="BF4" s="113">
        <v>43668</v>
      </c>
      <c r="BG4" s="113">
        <v>43675</v>
      </c>
      <c r="BH4" s="113">
        <v>43682</v>
      </c>
      <c r="BI4" s="113">
        <v>43689</v>
      </c>
      <c r="BJ4" s="113">
        <v>43696</v>
      </c>
      <c r="BK4" s="113">
        <v>43703</v>
      </c>
      <c r="BL4" s="113">
        <v>43710</v>
      </c>
      <c r="BM4" s="113">
        <v>43717</v>
      </c>
      <c r="BN4" s="113">
        <v>43724</v>
      </c>
      <c r="BO4" s="113">
        <v>43731</v>
      </c>
      <c r="BP4" s="113">
        <v>43738</v>
      </c>
      <c r="BQ4" s="113">
        <v>43745</v>
      </c>
      <c r="BR4" s="113">
        <v>43752</v>
      </c>
      <c r="BS4" s="113">
        <v>43759</v>
      </c>
      <c r="BT4" s="113">
        <v>43766</v>
      </c>
      <c r="BU4" s="113">
        <v>43773</v>
      </c>
      <c r="BV4" s="113">
        <v>43780</v>
      </c>
      <c r="BW4" s="113">
        <v>43787</v>
      </c>
      <c r="BX4" s="113">
        <v>43794</v>
      </c>
      <c r="BY4" s="113">
        <v>43801</v>
      </c>
      <c r="BZ4" s="113">
        <v>43808</v>
      </c>
      <c r="CA4" s="113">
        <v>43815</v>
      </c>
      <c r="CB4" s="113">
        <v>43822</v>
      </c>
      <c r="CC4" s="113">
        <v>43829</v>
      </c>
      <c r="CD4" s="113"/>
      <c r="CE4" s="113"/>
      <c r="CF4" s="115"/>
      <c r="CG4" s="121"/>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c r="DW4" s="122"/>
      <c r="DX4" s="122"/>
      <c r="DY4" s="122"/>
      <c r="DZ4" s="122"/>
      <c r="EA4" s="122"/>
      <c r="EB4" s="122"/>
      <c r="EC4" s="122"/>
      <c r="ED4" s="122"/>
      <c r="EE4" s="122"/>
      <c r="EF4" s="122"/>
      <c r="EG4" s="122"/>
      <c r="EH4" s="122"/>
      <c r="EI4" s="122"/>
      <c r="EJ4" s="122"/>
      <c r="EK4" s="122"/>
      <c r="EL4" s="122"/>
      <c r="EM4" s="122"/>
      <c r="EN4" s="122"/>
      <c r="EO4" s="122"/>
      <c r="EP4" s="122"/>
      <c r="EQ4" s="122"/>
      <c r="ER4" s="122"/>
      <c r="ES4" s="122"/>
      <c r="ET4" s="122"/>
      <c r="EU4" s="122"/>
      <c r="EV4" s="122"/>
      <c r="EW4" s="122"/>
      <c r="EX4" s="122"/>
      <c r="EY4" s="122"/>
      <c r="EZ4" s="122"/>
      <c r="FA4" s="122"/>
      <c r="FB4" s="122"/>
      <c r="FC4" s="122"/>
      <c r="FD4" s="122"/>
      <c r="FE4" s="122"/>
      <c r="FF4" s="122"/>
      <c r="FG4" s="122"/>
      <c r="FH4" s="122"/>
      <c r="FI4" s="122"/>
      <c r="FJ4" s="122"/>
      <c r="FK4" s="122"/>
      <c r="FL4" s="122"/>
      <c r="FM4" s="122"/>
      <c r="FN4" s="122"/>
      <c r="FO4" s="122"/>
      <c r="FP4" s="122"/>
      <c r="FQ4" s="122"/>
      <c r="FR4" s="122"/>
      <c r="FS4" s="122"/>
      <c r="FT4" s="122"/>
      <c r="FU4" s="122"/>
      <c r="FV4" s="122"/>
      <c r="FW4" s="122"/>
      <c r="FX4" s="122"/>
      <c r="FY4" s="122"/>
      <c r="FZ4" s="122"/>
      <c r="GA4" s="122"/>
      <c r="GB4" s="122"/>
      <c r="GC4" s="122"/>
      <c r="GD4" s="122"/>
      <c r="GE4" s="122"/>
      <c r="GF4" s="122"/>
      <c r="GG4" s="122"/>
      <c r="GH4" s="122"/>
      <c r="GI4" s="122"/>
      <c r="GJ4" s="122"/>
      <c r="GK4" s="122"/>
      <c r="GL4" s="122"/>
      <c r="GM4" s="122"/>
      <c r="GN4" s="122"/>
      <c r="GO4" s="122"/>
      <c r="GP4" s="122"/>
      <c r="GQ4" s="122"/>
      <c r="GR4" s="122"/>
      <c r="GS4" s="122"/>
      <c r="GT4" s="122"/>
      <c r="GU4" s="122"/>
      <c r="GV4" s="122"/>
      <c r="GW4" s="122"/>
      <c r="GX4" s="122"/>
      <c r="GY4" s="122"/>
      <c r="GZ4" s="122"/>
      <c r="HA4" s="122"/>
      <c r="HB4" s="122"/>
      <c r="HC4" s="122"/>
      <c r="HD4" s="122"/>
      <c r="HE4" s="122"/>
      <c r="HF4" s="122"/>
      <c r="HG4" s="122"/>
      <c r="HH4" s="122"/>
      <c r="HI4" s="122"/>
      <c r="HJ4" s="122"/>
      <c r="HK4" s="122"/>
      <c r="HL4" s="122"/>
      <c r="HM4" s="122"/>
      <c r="HN4" s="122"/>
      <c r="HO4" s="122"/>
      <c r="HP4" s="122"/>
      <c r="HQ4" s="122"/>
      <c r="HR4" s="122"/>
      <c r="HS4" s="122"/>
      <c r="HT4" s="122"/>
      <c r="HU4" s="122"/>
      <c r="HV4" s="122"/>
      <c r="HW4" s="122"/>
      <c r="HX4" s="122"/>
      <c r="HY4" s="122"/>
      <c r="HZ4" s="122"/>
      <c r="IA4" s="122"/>
      <c r="IB4" s="122"/>
      <c r="IC4" s="122"/>
      <c r="ID4" s="122"/>
      <c r="IE4" s="122"/>
      <c r="IF4" s="122"/>
      <c r="IG4" s="122"/>
      <c r="IH4" s="122"/>
      <c r="II4" s="122"/>
      <c r="IJ4" s="122"/>
      <c r="IK4" s="122"/>
      <c r="IL4" s="122"/>
      <c r="IM4" s="122"/>
      <c r="IN4" s="122"/>
      <c r="IO4" s="122"/>
      <c r="IP4" s="122"/>
      <c r="IQ4" s="122"/>
      <c r="IR4" s="122"/>
      <c r="IS4" s="122"/>
      <c r="IT4" s="122"/>
      <c r="IU4" s="122"/>
      <c r="IV4" s="122"/>
      <c r="IW4" s="122"/>
      <c r="IX4" s="122"/>
      <c r="IY4" s="122"/>
      <c r="IZ4" s="122"/>
      <c r="JA4" s="122"/>
      <c r="JB4" s="122"/>
      <c r="JC4" s="122"/>
      <c r="JD4" s="122"/>
      <c r="JE4" s="122"/>
      <c r="JF4" s="122"/>
      <c r="JG4" s="122"/>
      <c r="JH4" s="122"/>
      <c r="JI4" s="122"/>
      <c r="JJ4" s="122"/>
      <c r="JK4" s="122"/>
      <c r="JL4" s="122"/>
      <c r="JM4" s="122"/>
      <c r="JN4" s="122"/>
      <c r="JO4" s="122"/>
      <c r="JP4" s="122"/>
      <c r="JQ4" s="122"/>
      <c r="JR4" s="122"/>
      <c r="JS4" s="122"/>
      <c r="JT4" s="122"/>
      <c r="JU4" s="122"/>
      <c r="JV4" s="122"/>
      <c r="JW4" s="122"/>
      <c r="JX4" s="122"/>
      <c r="JY4" s="122"/>
      <c r="JZ4" s="122"/>
      <c r="KA4" s="122"/>
      <c r="KB4" s="122"/>
      <c r="KC4" s="122"/>
      <c r="KD4" s="122"/>
      <c r="KE4" s="122"/>
      <c r="KF4" s="122"/>
      <c r="KG4" s="122"/>
      <c r="KH4" s="122"/>
      <c r="KI4" s="122"/>
      <c r="KJ4" s="122"/>
      <c r="KK4" s="122"/>
      <c r="KL4" s="122"/>
      <c r="KM4" s="122"/>
      <c r="KN4" s="122"/>
      <c r="KO4" s="122"/>
      <c r="KP4" s="122"/>
      <c r="KQ4" s="122"/>
      <c r="KR4" s="122"/>
      <c r="KS4" s="122"/>
      <c r="KT4" s="122"/>
      <c r="KU4" s="122"/>
      <c r="KV4" s="122"/>
      <c r="KW4" s="122"/>
      <c r="KX4" s="122"/>
      <c r="KY4" s="122"/>
      <c r="KZ4" s="122"/>
      <c r="LA4" s="122"/>
      <c r="LB4" s="122"/>
      <c r="LC4" s="122"/>
      <c r="LD4" s="122"/>
      <c r="LE4" s="122"/>
      <c r="LF4" s="122"/>
      <c r="LG4" s="122"/>
      <c r="LH4" s="122"/>
      <c r="LI4" s="122"/>
      <c r="LJ4" s="122"/>
      <c r="LK4" s="122"/>
      <c r="LL4" s="122"/>
      <c r="LM4" s="122"/>
      <c r="LN4" s="122"/>
      <c r="LO4" s="122"/>
      <c r="LP4" s="122"/>
      <c r="LQ4" s="122"/>
      <c r="LR4" s="122"/>
      <c r="LS4" s="122"/>
      <c r="LT4" s="122"/>
      <c r="LU4" s="122"/>
      <c r="LV4" s="122"/>
      <c r="LW4" s="122"/>
      <c r="LX4" s="122"/>
      <c r="LY4" s="122"/>
      <c r="LZ4" s="122"/>
      <c r="MA4" s="122"/>
      <c r="MB4" s="122"/>
      <c r="MC4" s="122"/>
      <c r="MD4" s="122"/>
      <c r="ME4" s="122"/>
      <c r="MF4" s="122"/>
      <c r="MG4" s="122"/>
      <c r="MH4" s="122"/>
      <c r="MI4" s="122"/>
      <c r="MJ4" s="122"/>
      <c r="MK4" s="122"/>
      <c r="ML4" s="122"/>
      <c r="MM4" s="122"/>
      <c r="MN4" s="122"/>
      <c r="MO4" s="122"/>
      <c r="MP4" s="122"/>
      <c r="MQ4" s="122"/>
      <c r="MR4" s="122"/>
      <c r="MS4" s="122"/>
      <c r="MT4" s="122"/>
      <c r="MU4" s="122"/>
      <c r="MV4" s="122"/>
      <c r="MW4" s="122"/>
      <c r="MX4" s="122"/>
      <c r="MY4" s="122"/>
      <c r="MZ4" s="122"/>
      <c r="NA4" s="122"/>
      <c r="NB4" s="122"/>
      <c r="NC4" s="122"/>
      <c r="ND4" s="122"/>
      <c r="NE4" s="122"/>
      <c r="NF4" s="122"/>
      <c r="NG4" s="122"/>
      <c r="NH4" s="122"/>
      <c r="NI4" s="122"/>
      <c r="NJ4" s="122"/>
      <c r="NK4" s="122"/>
      <c r="NL4" s="122"/>
      <c r="NM4" s="122"/>
      <c r="NN4" s="122"/>
      <c r="NO4" s="122"/>
      <c r="NP4" s="122"/>
      <c r="NQ4" s="122"/>
      <c r="NR4" s="122"/>
      <c r="NS4" s="122"/>
      <c r="NT4" s="122"/>
      <c r="NU4" s="122"/>
      <c r="NV4" s="122"/>
      <c r="NW4" s="122"/>
      <c r="NX4" s="122"/>
      <c r="NY4" s="122"/>
      <c r="NZ4" s="122"/>
      <c r="OA4" s="122"/>
      <c r="OB4" s="122"/>
      <c r="OC4" s="122"/>
      <c r="OD4" s="122"/>
      <c r="OE4" s="122"/>
      <c r="OF4" s="122"/>
      <c r="OG4" s="122"/>
      <c r="OH4" s="122"/>
      <c r="OI4" s="122"/>
    </row>
    <row r="5" spans="1:399">
      <c r="A5" s="116"/>
      <c r="B5" s="116" t="s">
        <v>1061</v>
      </c>
      <c r="C5" s="116">
        <v>1</v>
      </c>
      <c r="D5" s="3" t="s">
        <v>1062</v>
      </c>
      <c r="E5" s="217" t="s">
        <v>1242</v>
      </c>
      <c r="F5" s="183"/>
      <c r="G5" s="183"/>
      <c r="H5" s="183"/>
      <c r="I5" s="183"/>
      <c r="J5" s="183"/>
      <c r="K5" s="183"/>
      <c r="L5" s="183"/>
      <c r="M5" s="184">
        <v>43745</v>
      </c>
      <c r="N5" s="184">
        <v>43761</v>
      </c>
      <c r="O5" s="185"/>
      <c r="P5" s="186">
        <v>18</v>
      </c>
      <c r="Q5" s="186">
        <v>18</v>
      </c>
      <c r="R5" s="187">
        <v>12</v>
      </c>
      <c r="S5" s="187">
        <v>12</v>
      </c>
      <c r="T5" s="184"/>
      <c r="U5" s="184"/>
      <c r="V5" s="188">
        <v>0</v>
      </c>
      <c r="W5" s="189">
        <v>0</v>
      </c>
      <c r="X5" s="190"/>
      <c r="Y5" s="185"/>
      <c r="Z5" s="191"/>
      <c r="AA5" s="97">
        <v>1</v>
      </c>
      <c r="AB5" s="192">
        <v>1</v>
      </c>
      <c r="AC5" s="123"/>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t="str">
        <f>"   " &amp; TEXT(AB5,"#0.00%") &amp; " " &amp; "Open-banking using KFTC" &amp; " " &amp; IF(M5="","",TEXT(M5,"M/D-")) &amp; IF(N5="","",TEXT(N5,"M/D")) &amp; " "</f>
        <v xml:space="preserve">   100.00% Open-banking using KFTC 10/7-10/23 </v>
      </c>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c r="GH5" s="4"/>
      <c r="GI5" s="4"/>
      <c r="GJ5" s="4"/>
      <c r="GK5" s="4"/>
      <c r="GL5" s="4"/>
      <c r="GM5" s="4"/>
      <c r="GN5" s="4"/>
      <c r="GO5" s="4"/>
      <c r="GP5" s="4"/>
      <c r="GQ5" s="4"/>
      <c r="GR5" s="4"/>
      <c r="GS5" s="4"/>
      <c r="GT5" s="4"/>
      <c r="GU5" s="4"/>
      <c r="GV5" s="4"/>
      <c r="GW5" s="4"/>
      <c r="GX5" s="4"/>
      <c r="GY5" s="4"/>
      <c r="GZ5" s="4"/>
      <c r="HA5" s="4"/>
      <c r="HB5" s="4"/>
      <c r="HC5" s="4"/>
      <c r="HD5" s="4"/>
      <c r="HE5" s="4"/>
      <c r="HF5" s="4"/>
      <c r="HG5" s="4"/>
      <c r="HH5" s="4"/>
      <c r="HI5" s="4"/>
      <c r="HJ5" s="4"/>
      <c r="HK5" s="4"/>
      <c r="HL5" s="4"/>
      <c r="HM5" s="4"/>
      <c r="HN5" s="4"/>
      <c r="HO5" s="4"/>
      <c r="HP5" s="4"/>
      <c r="HQ5" s="4"/>
      <c r="HR5" s="4"/>
      <c r="HS5" s="4"/>
      <c r="HT5" s="4"/>
      <c r="HU5" s="4"/>
      <c r="HV5" s="4"/>
      <c r="HW5" s="4"/>
      <c r="HX5" s="4"/>
      <c r="HY5" s="4"/>
      <c r="HZ5" s="4"/>
      <c r="IA5" s="4"/>
      <c r="IB5" s="4"/>
      <c r="IC5" s="4"/>
      <c r="ID5" s="4"/>
      <c r="IE5" s="4"/>
      <c r="IF5" s="4"/>
      <c r="IG5" s="4"/>
      <c r="IH5" s="4"/>
      <c r="II5" s="4"/>
      <c r="IJ5" s="4"/>
      <c r="IK5" s="4"/>
      <c r="IL5" s="4"/>
      <c r="IM5" s="4"/>
      <c r="IN5" s="4"/>
      <c r="IO5" s="4"/>
      <c r="IP5" s="4"/>
      <c r="IQ5" s="4"/>
      <c r="IR5" s="4"/>
      <c r="IS5" s="4"/>
      <c r="IT5" s="4"/>
      <c r="IU5" s="4"/>
      <c r="IV5" s="4"/>
      <c r="IW5" s="4"/>
      <c r="IX5" s="4"/>
      <c r="IY5" s="4"/>
      <c r="IZ5" s="4"/>
      <c r="JA5" s="4"/>
      <c r="JB5" s="4"/>
      <c r="JC5" s="4"/>
      <c r="JD5" s="4"/>
      <c r="JE5" s="4"/>
      <c r="JF5" s="4"/>
      <c r="JG5" s="4"/>
      <c r="JH5" s="4"/>
      <c r="JI5" s="4"/>
      <c r="JJ5" s="4"/>
      <c r="JK5" s="4"/>
      <c r="JL5" s="4"/>
      <c r="JM5" s="4"/>
      <c r="JN5" s="4"/>
      <c r="JO5" s="4"/>
      <c r="JP5" s="4"/>
      <c r="JQ5" s="4"/>
      <c r="JR5" s="4"/>
      <c r="JS5" s="4"/>
      <c r="JT5" s="4"/>
      <c r="JU5" s="4"/>
      <c r="JV5" s="4"/>
      <c r="JW5" s="4"/>
      <c r="JX5" s="4"/>
      <c r="JY5" s="4"/>
      <c r="JZ5" s="4"/>
      <c r="KA5" s="4"/>
      <c r="KB5" s="4"/>
      <c r="KC5" s="4"/>
      <c r="KD5" s="4"/>
      <c r="KE5" s="4"/>
      <c r="KF5" s="4"/>
      <c r="KG5" s="4"/>
      <c r="KH5" s="4"/>
      <c r="KI5" s="4"/>
      <c r="KJ5" s="4"/>
      <c r="KK5" s="4"/>
      <c r="KL5" s="4"/>
      <c r="KM5" s="4"/>
      <c r="KN5" s="4"/>
      <c r="KO5" s="4"/>
      <c r="KP5" s="4"/>
      <c r="KQ5" s="4"/>
      <c r="KR5" s="4"/>
      <c r="KS5" s="4"/>
      <c r="KT5" s="4"/>
      <c r="KU5" s="4"/>
      <c r="KV5" s="4"/>
      <c r="KW5" s="4"/>
      <c r="KX5" s="4"/>
      <c r="KY5" s="4"/>
      <c r="KZ5" s="4"/>
      <c r="LA5" s="4"/>
      <c r="LB5" s="4"/>
      <c r="LC5" s="4"/>
      <c r="LD5" s="4"/>
      <c r="LE5" s="4"/>
      <c r="LF5" s="4"/>
      <c r="LG5" s="4"/>
      <c r="LH5" s="4"/>
      <c r="LI5" s="4"/>
      <c r="LJ5" s="4"/>
      <c r="LK5" s="4"/>
      <c r="LL5" s="4"/>
      <c r="LM5" s="4"/>
      <c r="LN5" s="4"/>
      <c r="LO5" s="4"/>
      <c r="LP5" s="4"/>
      <c r="LQ5" s="4"/>
      <c r="LR5" s="4"/>
      <c r="LS5" s="4"/>
      <c r="LT5" s="4"/>
      <c r="LU5" s="4"/>
      <c r="LV5" s="4"/>
      <c r="LW5" s="4"/>
      <c r="LX5" s="4"/>
      <c r="LY5" s="4"/>
      <c r="LZ5" s="4"/>
      <c r="MA5" s="4"/>
      <c r="MB5" s="4"/>
      <c r="MC5" s="4"/>
      <c r="MD5" s="4"/>
      <c r="ME5" s="4"/>
      <c r="MF5" s="4"/>
      <c r="MG5" s="4"/>
      <c r="MH5" s="4"/>
      <c r="MI5" s="4"/>
      <c r="MJ5" s="4"/>
      <c r="MK5" s="4"/>
      <c r="ML5" s="4"/>
      <c r="MM5" s="4"/>
      <c r="MN5" s="4"/>
      <c r="MO5" s="4"/>
      <c r="MP5" s="4"/>
      <c r="MQ5" s="4"/>
      <c r="MR5" s="4"/>
      <c r="MS5" s="4"/>
      <c r="MT5" s="4"/>
      <c r="MU5" s="4"/>
      <c r="MV5" s="4"/>
      <c r="MW5" s="4"/>
      <c r="MX5" s="4"/>
      <c r="MY5" s="4"/>
      <c r="MZ5" s="4"/>
      <c r="NA5" s="4"/>
      <c r="NB5" s="4"/>
      <c r="NC5" s="4"/>
      <c r="ND5" s="4"/>
      <c r="NE5" s="4"/>
      <c r="NF5" s="4"/>
      <c r="NG5" s="4"/>
      <c r="NH5" s="4"/>
      <c r="NI5" s="4"/>
      <c r="NJ5" s="4"/>
      <c r="NK5" s="4"/>
      <c r="NL5" s="4"/>
      <c r="NM5" s="4"/>
      <c r="NN5" s="4"/>
      <c r="NO5" s="4"/>
      <c r="NP5" s="4"/>
      <c r="NQ5" s="4"/>
      <c r="NR5" s="4"/>
      <c r="NS5" s="4"/>
      <c r="NT5" s="4"/>
      <c r="NU5" s="4"/>
      <c r="NV5" s="4"/>
      <c r="NW5" s="4"/>
      <c r="NX5" s="4"/>
      <c r="NY5" s="4"/>
      <c r="NZ5" s="4"/>
      <c r="OA5" s="4"/>
      <c r="OB5" s="4"/>
      <c r="OC5" s="4"/>
      <c r="OD5" s="4"/>
      <c r="OE5" s="4"/>
      <c r="OF5" s="4"/>
      <c r="OG5" s="4"/>
      <c r="OH5" s="4"/>
      <c r="OI5" s="4"/>
    </row>
    <row r="6" spans="1:399" outlineLevel="1">
      <c r="A6" s="116"/>
      <c r="B6" s="116"/>
      <c r="C6" s="116">
        <v>2</v>
      </c>
      <c r="D6" s="3" t="s">
        <v>1184</v>
      </c>
      <c r="E6" s="183"/>
      <c r="F6" s="183" t="s">
        <v>1178</v>
      </c>
      <c r="G6" s="183"/>
      <c r="H6" s="183"/>
      <c r="I6" s="183"/>
      <c r="J6" s="183"/>
      <c r="K6" s="183"/>
      <c r="L6" s="183"/>
      <c r="M6" s="184"/>
      <c r="N6" s="184"/>
      <c r="O6" s="185"/>
      <c r="P6" s="186">
        <v>0</v>
      </c>
      <c r="Q6" s="186">
        <v>0</v>
      </c>
      <c r="R6" s="187">
        <v>0</v>
      </c>
      <c r="S6" s="187">
        <v>0</v>
      </c>
      <c r="T6" s="184"/>
      <c r="U6" s="184"/>
      <c r="V6" s="188">
        <v>0</v>
      </c>
      <c r="W6" s="189">
        <v>0</v>
      </c>
      <c r="X6" s="190">
        <v>1</v>
      </c>
      <c r="Y6" s="185"/>
      <c r="Z6" s="191"/>
      <c r="AA6" s="97">
        <v>0</v>
      </c>
      <c r="AB6" s="192">
        <v>0</v>
      </c>
      <c r="AC6" s="123"/>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c r="GH6" s="4"/>
      <c r="GI6" s="4"/>
      <c r="GJ6" s="4"/>
      <c r="GK6" s="4"/>
      <c r="GL6" s="4"/>
      <c r="GM6" s="4"/>
      <c r="GN6" s="4"/>
      <c r="GO6" s="4"/>
      <c r="GP6" s="4"/>
      <c r="GQ6" s="4"/>
      <c r="GR6" s="4"/>
      <c r="GS6" s="4"/>
      <c r="GT6" s="4"/>
      <c r="GU6" s="4"/>
      <c r="GV6" s="4"/>
      <c r="GW6" s="4"/>
      <c r="GX6" s="4"/>
      <c r="GY6" s="4"/>
      <c r="GZ6" s="4"/>
      <c r="HA6" s="4"/>
      <c r="HB6" s="4"/>
      <c r="HC6" s="4"/>
      <c r="HD6" s="4"/>
      <c r="HE6" s="4"/>
      <c r="HF6" s="4"/>
      <c r="HG6" s="4"/>
      <c r="HH6" s="4"/>
      <c r="HI6" s="4"/>
      <c r="HJ6" s="4"/>
      <c r="HK6" s="4"/>
      <c r="HL6" s="4"/>
      <c r="HM6" s="4"/>
      <c r="HN6" s="4"/>
      <c r="HO6" s="4"/>
      <c r="HP6" s="4"/>
      <c r="HQ6" s="4"/>
      <c r="HR6" s="4"/>
      <c r="HS6" s="4"/>
      <c r="HT6" s="4"/>
      <c r="HU6" s="4"/>
      <c r="HV6" s="4"/>
      <c r="HW6" s="4"/>
      <c r="HX6" s="4"/>
      <c r="HY6" s="4"/>
      <c r="HZ6" s="4"/>
      <c r="IA6" s="4"/>
      <c r="IB6" s="4"/>
      <c r="IC6" s="4"/>
      <c r="ID6" s="4"/>
      <c r="IE6" s="4"/>
      <c r="IF6" s="4"/>
      <c r="IG6" s="4"/>
      <c r="IH6" s="4"/>
      <c r="II6" s="4"/>
      <c r="IJ6" s="4"/>
      <c r="IK6" s="4"/>
      <c r="IL6" s="4"/>
      <c r="IM6" s="4"/>
      <c r="IN6" s="4"/>
      <c r="IO6" s="4"/>
      <c r="IP6" s="4"/>
      <c r="IQ6" s="4"/>
      <c r="IR6" s="4"/>
      <c r="IS6" s="4"/>
      <c r="IT6" s="4"/>
      <c r="IU6" s="4"/>
      <c r="IV6" s="4"/>
      <c r="IW6" s="4"/>
      <c r="IX6" s="4"/>
      <c r="IY6" s="4"/>
      <c r="IZ6" s="4"/>
      <c r="JA6" s="4"/>
      <c r="JB6" s="4"/>
      <c r="JC6" s="4"/>
      <c r="JD6" s="4"/>
      <c r="JE6" s="4"/>
      <c r="JF6" s="4"/>
      <c r="JG6" s="4"/>
      <c r="JH6" s="4"/>
      <c r="JI6" s="4"/>
      <c r="JJ6" s="4"/>
      <c r="JK6" s="4"/>
      <c r="JL6" s="4"/>
      <c r="JM6" s="4"/>
      <c r="JN6" s="4"/>
      <c r="JO6" s="4"/>
      <c r="JP6" s="4"/>
      <c r="JQ6" s="4"/>
      <c r="JR6" s="4"/>
      <c r="JS6" s="4"/>
      <c r="JT6" s="4"/>
      <c r="JU6" s="4"/>
      <c r="JV6" s="4"/>
      <c r="JW6" s="4"/>
      <c r="JX6" s="4"/>
      <c r="JY6" s="4"/>
      <c r="JZ6" s="4"/>
      <c r="KA6" s="4"/>
      <c r="KB6" s="4"/>
      <c r="KC6" s="4"/>
      <c r="KD6" s="4"/>
      <c r="KE6" s="4"/>
      <c r="KF6" s="4"/>
      <c r="KG6" s="4"/>
      <c r="KH6" s="4"/>
      <c r="KI6" s="4"/>
      <c r="KJ6" s="4"/>
      <c r="KK6" s="4"/>
      <c r="KL6" s="4"/>
      <c r="KM6" s="4"/>
      <c r="KN6" s="4"/>
      <c r="KO6" s="4"/>
      <c r="KP6" s="4"/>
      <c r="KQ6" s="4"/>
      <c r="KR6" s="4"/>
      <c r="KS6" s="4"/>
      <c r="KT6" s="4"/>
      <c r="KU6" s="4"/>
      <c r="KV6" s="4"/>
      <c r="KW6" s="4"/>
      <c r="KX6" s="4"/>
      <c r="KY6" s="4"/>
      <c r="KZ6" s="4"/>
      <c r="LA6" s="4"/>
      <c r="LB6" s="4"/>
      <c r="LC6" s="4"/>
      <c r="LD6" s="4"/>
      <c r="LE6" s="4"/>
      <c r="LF6" s="4"/>
      <c r="LG6" s="4"/>
      <c r="LH6" s="4"/>
      <c r="LI6" s="4"/>
      <c r="LJ6" s="4"/>
      <c r="LK6" s="4"/>
      <c r="LL6" s="4"/>
      <c r="LM6" s="4"/>
      <c r="LN6" s="4"/>
      <c r="LO6" s="4"/>
      <c r="LP6" s="4"/>
      <c r="LQ6" s="4"/>
      <c r="LR6" s="4"/>
      <c r="LS6" s="4"/>
      <c r="LT6" s="4"/>
      <c r="LU6" s="4"/>
      <c r="LV6" s="4"/>
      <c r="LW6" s="4"/>
      <c r="LX6" s="4"/>
      <c r="LY6" s="4"/>
      <c r="LZ6" s="4"/>
      <c r="MA6" s="4"/>
      <c r="MB6" s="4"/>
      <c r="MC6" s="4"/>
      <c r="MD6" s="4"/>
      <c r="ME6" s="4"/>
      <c r="MF6" s="4"/>
      <c r="MG6" s="4"/>
      <c r="MH6" s="4"/>
      <c r="MI6" s="4"/>
      <c r="MJ6" s="4"/>
      <c r="MK6" s="4"/>
      <c r="ML6" s="4"/>
      <c r="MM6" s="4"/>
      <c r="MN6" s="4"/>
      <c r="MO6" s="4"/>
      <c r="MP6" s="4"/>
      <c r="MQ6" s="4"/>
      <c r="MR6" s="4"/>
      <c r="MS6" s="4"/>
      <c r="MT6" s="4"/>
      <c r="MU6" s="4"/>
      <c r="MV6" s="4"/>
      <c r="MW6" s="4"/>
      <c r="MX6" s="4"/>
      <c r="MY6" s="4"/>
      <c r="MZ6" s="4"/>
      <c r="NA6" s="4"/>
      <c r="NB6" s="4"/>
      <c r="NC6" s="4"/>
      <c r="ND6" s="4"/>
      <c r="NE6" s="4"/>
      <c r="NF6" s="4"/>
      <c r="NG6" s="4"/>
      <c r="NH6" s="4"/>
      <c r="NI6" s="4"/>
      <c r="NJ6" s="4"/>
      <c r="NK6" s="4"/>
      <c r="NL6" s="4"/>
      <c r="NM6" s="4"/>
      <c r="NN6" s="4"/>
      <c r="NO6" s="4"/>
      <c r="NP6" s="4"/>
      <c r="NQ6" s="4"/>
      <c r="NR6" s="4"/>
      <c r="NS6" s="4"/>
      <c r="NT6" s="4"/>
      <c r="NU6" s="4"/>
      <c r="NV6" s="4"/>
      <c r="NW6" s="4"/>
      <c r="NX6" s="4"/>
      <c r="NY6" s="4"/>
      <c r="NZ6" s="4"/>
      <c r="OA6" s="4"/>
      <c r="OB6" s="4"/>
      <c r="OC6" s="4"/>
      <c r="OD6" s="4"/>
      <c r="OE6" s="4"/>
      <c r="OF6" s="4"/>
      <c r="OG6" s="4"/>
      <c r="OH6" s="4"/>
      <c r="OI6" s="4"/>
    </row>
    <row r="7" spans="1:399" outlineLevel="1">
      <c r="A7" s="116"/>
      <c r="B7" s="116"/>
      <c r="C7" s="116">
        <v>2</v>
      </c>
      <c r="D7" s="3" t="s">
        <v>1185</v>
      </c>
      <c r="E7" s="183"/>
      <c r="F7" s="183" t="s">
        <v>1179</v>
      </c>
      <c r="G7" s="183"/>
      <c r="H7" s="183"/>
      <c r="I7" s="183"/>
      <c r="J7" s="183"/>
      <c r="K7" s="183"/>
      <c r="L7" s="183"/>
      <c r="M7" s="184">
        <v>43745</v>
      </c>
      <c r="N7" s="184">
        <v>43749</v>
      </c>
      <c r="O7" s="185"/>
      <c r="P7" s="186">
        <v>4</v>
      </c>
      <c r="Q7" s="186">
        <v>4</v>
      </c>
      <c r="R7" s="187">
        <v>4</v>
      </c>
      <c r="S7" s="187">
        <v>4</v>
      </c>
      <c r="T7" s="184"/>
      <c r="U7" s="184"/>
      <c r="V7" s="188"/>
      <c r="W7" s="189">
        <v>0</v>
      </c>
      <c r="X7" s="190">
        <v>1</v>
      </c>
      <c r="Y7" s="185" t="s">
        <v>1243</v>
      </c>
      <c r="Z7" s="191"/>
      <c r="AA7" s="97">
        <v>1</v>
      </c>
      <c r="AB7" s="192">
        <v>1</v>
      </c>
      <c r="AC7" s="123"/>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t="str">
        <f>"     " &amp; TEXT(AB7,"#0.00%") &amp; " " &amp; "Online" &amp; "(Max,Dana)" &amp; " " &amp; IF(M7="","",TEXT(M7,"M/D-")) &amp; IF(N7="","",TEXT(N7,"M/D")) &amp; " "</f>
        <v xml:space="preserve">     100.00% Online(Max,Dana) 10/7-10/11 </v>
      </c>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c r="JC7" s="4"/>
      <c r="JD7" s="4"/>
      <c r="JE7" s="4"/>
      <c r="JF7" s="4"/>
      <c r="JG7" s="4"/>
      <c r="JH7" s="4"/>
      <c r="JI7" s="4"/>
      <c r="JJ7" s="4"/>
      <c r="JK7" s="4"/>
      <c r="JL7" s="4"/>
      <c r="JM7" s="4"/>
      <c r="JN7" s="4"/>
      <c r="JO7" s="4"/>
      <c r="JP7" s="4"/>
      <c r="JQ7" s="4"/>
      <c r="JR7" s="4"/>
      <c r="JS7" s="4"/>
      <c r="JT7" s="4"/>
      <c r="JU7" s="4"/>
      <c r="JV7" s="4"/>
      <c r="JW7" s="4"/>
      <c r="JX7" s="4"/>
      <c r="JY7" s="4"/>
      <c r="JZ7" s="4"/>
      <c r="KA7" s="4"/>
      <c r="KB7" s="4"/>
      <c r="KC7" s="4"/>
      <c r="KD7" s="4"/>
      <c r="KE7" s="4"/>
      <c r="KF7" s="4"/>
      <c r="KG7" s="4"/>
      <c r="KH7" s="4"/>
      <c r="KI7" s="4"/>
      <c r="KJ7" s="4"/>
      <c r="KK7" s="4"/>
      <c r="KL7" s="4"/>
      <c r="KM7" s="4"/>
      <c r="KN7" s="4"/>
      <c r="KO7" s="4"/>
      <c r="KP7" s="4"/>
      <c r="KQ7" s="4"/>
      <c r="KR7" s="4"/>
      <c r="KS7" s="4"/>
      <c r="KT7" s="4"/>
      <c r="KU7" s="4"/>
      <c r="KV7" s="4"/>
      <c r="KW7" s="4"/>
      <c r="KX7" s="4"/>
      <c r="KY7" s="4"/>
      <c r="KZ7" s="4"/>
      <c r="LA7" s="4"/>
      <c r="LB7" s="4"/>
      <c r="LC7" s="4"/>
      <c r="LD7" s="4"/>
      <c r="LE7" s="4"/>
      <c r="LF7" s="4"/>
      <c r="LG7" s="4"/>
      <c r="LH7" s="4"/>
      <c r="LI7" s="4"/>
      <c r="LJ7" s="4"/>
      <c r="LK7" s="4"/>
      <c r="LL7" s="4"/>
      <c r="LM7" s="4"/>
      <c r="LN7" s="4"/>
      <c r="LO7" s="4"/>
      <c r="LP7" s="4"/>
      <c r="LQ7" s="4"/>
      <c r="LR7" s="4"/>
      <c r="LS7" s="4"/>
      <c r="LT7" s="4"/>
      <c r="LU7" s="4"/>
      <c r="LV7" s="4"/>
      <c r="LW7" s="4"/>
      <c r="LX7" s="4"/>
      <c r="LY7" s="4"/>
      <c r="LZ7" s="4"/>
      <c r="MA7" s="4"/>
      <c r="MB7" s="4"/>
      <c r="MC7" s="4"/>
      <c r="MD7" s="4"/>
      <c r="ME7" s="4"/>
      <c r="MF7" s="4"/>
      <c r="MG7" s="4"/>
      <c r="MH7" s="4"/>
      <c r="MI7" s="4"/>
      <c r="MJ7" s="4"/>
      <c r="MK7" s="4"/>
      <c r="ML7" s="4"/>
      <c r="MM7" s="4"/>
      <c r="MN7" s="4"/>
      <c r="MO7" s="4"/>
      <c r="MP7" s="4"/>
      <c r="MQ7" s="4"/>
      <c r="MR7" s="4"/>
      <c r="MS7" s="4"/>
      <c r="MT7" s="4"/>
      <c r="MU7" s="4"/>
      <c r="MV7" s="4"/>
      <c r="MW7" s="4"/>
      <c r="MX7" s="4"/>
      <c r="MY7" s="4"/>
      <c r="MZ7" s="4"/>
      <c r="NA7" s="4"/>
      <c r="NB7" s="4"/>
      <c r="NC7" s="4"/>
      <c r="ND7" s="4"/>
      <c r="NE7" s="4"/>
      <c r="NF7" s="4"/>
      <c r="NG7" s="4"/>
      <c r="NH7" s="4"/>
      <c r="NI7" s="4"/>
      <c r="NJ7" s="4"/>
      <c r="NK7" s="4"/>
      <c r="NL7" s="4"/>
      <c r="NM7" s="4"/>
      <c r="NN7" s="4"/>
      <c r="NO7" s="4"/>
      <c r="NP7" s="4"/>
      <c r="NQ7" s="4"/>
      <c r="NR7" s="4"/>
      <c r="NS7" s="4"/>
      <c r="NT7" s="4"/>
      <c r="NU7" s="4"/>
      <c r="NV7" s="4"/>
      <c r="NW7" s="4"/>
      <c r="NX7" s="4"/>
      <c r="NY7" s="4"/>
      <c r="NZ7" s="4"/>
      <c r="OA7" s="4"/>
      <c r="OB7" s="4"/>
      <c r="OC7" s="4"/>
      <c r="OD7" s="4"/>
      <c r="OE7" s="4"/>
      <c r="OF7" s="4"/>
      <c r="OG7" s="4"/>
      <c r="OH7" s="4"/>
      <c r="OI7" s="4"/>
    </row>
    <row r="8" spans="1:399" outlineLevel="1">
      <c r="A8" s="116"/>
      <c r="B8" s="116"/>
      <c r="C8" s="116">
        <v>2</v>
      </c>
      <c r="D8" s="3" t="s">
        <v>1186</v>
      </c>
      <c r="E8" s="183"/>
      <c r="F8" s="183" t="s">
        <v>1180</v>
      </c>
      <c r="G8" s="183"/>
      <c r="H8" s="183"/>
      <c r="I8" s="183"/>
      <c r="J8" s="183"/>
      <c r="K8" s="183"/>
      <c r="L8" s="183"/>
      <c r="M8" s="184">
        <v>43745</v>
      </c>
      <c r="N8" s="184">
        <v>43749</v>
      </c>
      <c r="O8" s="185"/>
      <c r="P8" s="186">
        <v>4</v>
      </c>
      <c r="Q8" s="186">
        <v>4</v>
      </c>
      <c r="R8" s="187">
        <v>4</v>
      </c>
      <c r="S8" s="187">
        <v>4</v>
      </c>
      <c r="T8" s="184"/>
      <c r="U8" s="184"/>
      <c r="V8" s="188"/>
      <c r="W8" s="189">
        <v>0</v>
      </c>
      <c r="X8" s="190">
        <v>1</v>
      </c>
      <c r="Y8" s="185" t="s">
        <v>1243</v>
      </c>
      <c r="Z8" s="191"/>
      <c r="AA8" s="97">
        <v>1</v>
      </c>
      <c r="AB8" s="192">
        <v>1</v>
      </c>
      <c r="AC8" s="123"/>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t="str">
        <f>"     " &amp; TEXT(AB8,"#0.00%") &amp; " " &amp; "API" &amp; "(Max,Dana)" &amp; " " &amp; IF(M8="","",TEXT(M8,"M/D-")) &amp; IF(N8="","",TEXT(N8,"M/D")) &amp; " "</f>
        <v xml:space="preserve">     100.00% API(Max,Dana) 10/7-10/11 </v>
      </c>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c r="GH8" s="4"/>
      <c r="GI8" s="4"/>
      <c r="GJ8" s="4"/>
      <c r="GK8" s="4"/>
      <c r="GL8" s="4"/>
      <c r="GM8" s="4"/>
      <c r="GN8" s="4"/>
      <c r="GO8" s="4"/>
      <c r="GP8" s="4"/>
      <c r="GQ8" s="4"/>
      <c r="GR8" s="4"/>
      <c r="GS8" s="4"/>
      <c r="GT8" s="4"/>
      <c r="GU8" s="4"/>
      <c r="GV8" s="4"/>
      <c r="GW8" s="4"/>
      <c r="GX8" s="4"/>
      <c r="GY8" s="4"/>
      <c r="GZ8" s="4"/>
      <c r="HA8" s="4"/>
      <c r="HB8" s="4"/>
      <c r="HC8" s="4"/>
      <c r="HD8" s="4"/>
      <c r="HE8" s="4"/>
      <c r="HF8" s="4"/>
      <c r="HG8" s="4"/>
      <c r="HH8" s="4"/>
      <c r="HI8" s="4"/>
      <c r="HJ8" s="4"/>
      <c r="HK8" s="4"/>
      <c r="HL8" s="4"/>
      <c r="HM8" s="4"/>
      <c r="HN8" s="4"/>
      <c r="HO8" s="4"/>
      <c r="HP8" s="4"/>
      <c r="HQ8" s="4"/>
      <c r="HR8" s="4"/>
      <c r="HS8" s="4"/>
      <c r="HT8" s="4"/>
      <c r="HU8" s="4"/>
      <c r="HV8" s="4"/>
      <c r="HW8" s="4"/>
      <c r="HX8" s="4"/>
      <c r="HY8" s="4"/>
      <c r="HZ8" s="4"/>
      <c r="IA8" s="4"/>
      <c r="IB8" s="4"/>
      <c r="IC8" s="4"/>
      <c r="ID8" s="4"/>
      <c r="IE8" s="4"/>
      <c r="IF8" s="4"/>
      <c r="IG8" s="4"/>
      <c r="IH8" s="4"/>
      <c r="II8" s="4"/>
      <c r="IJ8" s="4"/>
      <c r="IK8" s="4"/>
      <c r="IL8" s="4"/>
      <c r="IM8" s="4"/>
      <c r="IN8" s="4"/>
      <c r="IO8" s="4"/>
      <c r="IP8" s="4"/>
      <c r="IQ8" s="4"/>
      <c r="IR8" s="4"/>
      <c r="IS8" s="4"/>
      <c r="IT8" s="4"/>
      <c r="IU8" s="4"/>
      <c r="IV8" s="4"/>
      <c r="IW8" s="4"/>
      <c r="IX8" s="4"/>
      <c r="IY8" s="4"/>
      <c r="IZ8" s="4"/>
      <c r="JA8" s="4"/>
      <c r="JB8" s="4"/>
      <c r="JC8" s="4"/>
      <c r="JD8" s="4"/>
      <c r="JE8" s="4"/>
      <c r="JF8" s="4"/>
      <c r="JG8" s="4"/>
      <c r="JH8" s="4"/>
      <c r="JI8" s="4"/>
      <c r="JJ8" s="4"/>
      <c r="JK8" s="4"/>
      <c r="JL8" s="4"/>
      <c r="JM8" s="4"/>
      <c r="JN8" s="4"/>
      <c r="JO8" s="4"/>
      <c r="JP8" s="4"/>
      <c r="JQ8" s="4"/>
      <c r="JR8" s="4"/>
      <c r="JS8" s="4"/>
      <c r="JT8" s="4"/>
      <c r="JU8" s="4"/>
      <c r="JV8" s="4"/>
      <c r="JW8" s="4"/>
      <c r="JX8" s="4"/>
      <c r="JY8" s="4"/>
      <c r="JZ8" s="4"/>
      <c r="KA8" s="4"/>
      <c r="KB8" s="4"/>
      <c r="KC8" s="4"/>
      <c r="KD8" s="4"/>
      <c r="KE8" s="4"/>
      <c r="KF8" s="4"/>
      <c r="KG8" s="4"/>
      <c r="KH8" s="4"/>
      <c r="KI8" s="4"/>
      <c r="KJ8" s="4"/>
      <c r="KK8" s="4"/>
      <c r="KL8" s="4"/>
      <c r="KM8" s="4"/>
      <c r="KN8" s="4"/>
      <c r="KO8" s="4"/>
      <c r="KP8" s="4"/>
      <c r="KQ8" s="4"/>
      <c r="KR8" s="4"/>
      <c r="KS8" s="4"/>
      <c r="KT8" s="4"/>
      <c r="KU8" s="4"/>
      <c r="KV8" s="4"/>
      <c r="KW8" s="4"/>
      <c r="KX8" s="4"/>
      <c r="KY8" s="4"/>
      <c r="KZ8" s="4"/>
      <c r="LA8" s="4"/>
      <c r="LB8" s="4"/>
      <c r="LC8" s="4"/>
      <c r="LD8" s="4"/>
      <c r="LE8" s="4"/>
      <c r="LF8" s="4"/>
      <c r="LG8" s="4"/>
      <c r="LH8" s="4"/>
      <c r="LI8" s="4"/>
      <c r="LJ8" s="4"/>
      <c r="LK8" s="4"/>
      <c r="LL8" s="4"/>
      <c r="LM8" s="4"/>
      <c r="LN8" s="4"/>
      <c r="LO8" s="4"/>
      <c r="LP8" s="4"/>
      <c r="LQ8" s="4"/>
      <c r="LR8" s="4"/>
      <c r="LS8" s="4"/>
      <c r="LT8" s="4"/>
      <c r="LU8" s="4"/>
      <c r="LV8" s="4"/>
      <c r="LW8" s="4"/>
      <c r="LX8" s="4"/>
      <c r="LY8" s="4"/>
      <c r="LZ8" s="4"/>
      <c r="MA8" s="4"/>
      <c r="MB8" s="4"/>
      <c r="MC8" s="4"/>
      <c r="MD8" s="4"/>
      <c r="ME8" s="4"/>
      <c r="MF8" s="4"/>
      <c r="MG8" s="4"/>
      <c r="MH8" s="4"/>
      <c r="MI8" s="4"/>
      <c r="MJ8" s="4"/>
      <c r="MK8" s="4"/>
      <c r="ML8" s="4"/>
      <c r="MM8" s="4"/>
      <c r="MN8" s="4"/>
      <c r="MO8" s="4"/>
      <c r="MP8" s="4"/>
      <c r="MQ8" s="4"/>
      <c r="MR8" s="4"/>
      <c r="MS8" s="4"/>
      <c r="MT8" s="4"/>
      <c r="MU8" s="4"/>
      <c r="MV8" s="4"/>
      <c r="MW8" s="4"/>
      <c r="MX8" s="4"/>
      <c r="MY8" s="4"/>
      <c r="MZ8" s="4"/>
      <c r="NA8" s="4"/>
      <c r="NB8" s="4"/>
      <c r="NC8" s="4"/>
      <c r="ND8" s="4"/>
      <c r="NE8" s="4"/>
      <c r="NF8" s="4"/>
      <c r="NG8" s="4"/>
      <c r="NH8" s="4"/>
      <c r="NI8" s="4"/>
      <c r="NJ8" s="4"/>
      <c r="NK8" s="4"/>
      <c r="NL8" s="4"/>
      <c r="NM8" s="4"/>
      <c r="NN8" s="4"/>
      <c r="NO8" s="4"/>
      <c r="NP8" s="4"/>
      <c r="NQ8" s="4"/>
      <c r="NR8" s="4"/>
      <c r="NS8" s="4"/>
      <c r="NT8" s="4"/>
      <c r="NU8" s="4"/>
      <c r="NV8" s="4"/>
      <c r="NW8" s="4"/>
      <c r="NX8" s="4"/>
      <c r="NY8" s="4"/>
      <c r="NZ8" s="4"/>
      <c r="OA8" s="4"/>
      <c r="OB8" s="4"/>
      <c r="OC8" s="4"/>
      <c r="OD8" s="4"/>
      <c r="OE8" s="4"/>
      <c r="OF8" s="4"/>
      <c r="OG8" s="4"/>
      <c r="OH8" s="4"/>
      <c r="OI8" s="4"/>
    </row>
    <row r="9" spans="1:399" outlineLevel="1">
      <c r="A9" s="116"/>
      <c r="B9" s="116"/>
      <c r="C9" s="116">
        <v>2</v>
      </c>
      <c r="D9" s="3" t="s">
        <v>1187</v>
      </c>
      <c r="E9" s="183"/>
      <c r="F9" s="183" t="s">
        <v>1199</v>
      </c>
      <c r="G9" s="183"/>
      <c r="H9" s="183"/>
      <c r="I9" s="183"/>
      <c r="J9" s="183"/>
      <c r="K9" s="183"/>
      <c r="L9" s="183"/>
      <c r="M9" s="184">
        <v>43752</v>
      </c>
      <c r="N9" s="184">
        <v>43753</v>
      </c>
      <c r="O9" s="185"/>
      <c r="P9" s="186">
        <v>2</v>
      </c>
      <c r="Q9" s="186">
        <v>2</v>
      </c>
      <c r="R9" s="187">
        <v>2</v>
      </c>
      <c r="S9" s="187">
        <v>2</v>
      </c>
      <c r="T9" s="184"/>
      <c r="U9" s="184"/>
      <c r="V9" s="188"/>
      <c r="W9" s="189">
        <v>0</v>
      </c>
      <c r="X9" s="190">
        <v>1</v>
      </c>
      <c r="Y9" s="185" t="s">
        <v>1181</v>
      </c>
      <c r="Z9" s="191"/>
      <c r="AA9" s="97">
        <v>1</v>
      </c>
      <c r="AB9" s="192">
        <v>1</v>
      </c>
      <c r="AC9" s="123"/>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t="str">
        <f>"  " &amp; TEXT(AB9,"#0.00%") &amp; " " &amp; "iOS/Android" &amp; "(James,Preyea)" &amp; " " &amp; IF(M9="","",TEXT(M9,"M/D-")) &amp; IF(N9="","",TEXT(N9,"M/D")) &amp; " "</f>
        <v xml:space="preserve">  100.00% iOS/Android(James,Preyea) 10/14-10/15 </v>
      </c>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c r="FF9" s="4"/>
      <c r="FG9" s="4"/>
      <c r="FH9" s="4"/>
      <c r="FI9" s="4"/>
      <c r="FJ9" s="4"/>
      <c r="FK9" s="4"/>
      <c r="FL9" s="4"/>
      <c r="FM9" s="4"/>
      <c r="FN9" s="4"/>
      <c r="FO9" s="4"/>
      <c r="FP9" s="4"/>
      <c r="FQ9" s="4"/>
      <c r="FR9" s="4"/>
      <c r="FS9" s="4"/>
      <c r="FT9" s="4"/>
      <c r="FU9" s="4"/>
      <c r="FV9" s="4"/>
      <c r="FW9" s="4"/>
      <c r="FX9" s="4"/>
      <c r="FY9" s="4"/>
      <c r="FZ9" s="4"/>
      <c r="GA9" s="4"/>
      <c r="GB9" s="4"/>
      <c r="GC9" s="4"/>
      <c r="GD9" s="4"/>
      <c r="GE9" s="4"/>
      <c r="GF9" s="4"/>
      <c r="GG9" s="4"/>
      <c r="GH9" s="4"/>
      <c r="GI9" s="4"/>
      <c r="GJ9" s="4"/>
      <c r="GK9" s="4"/>
      <c r="GL9" s="4"/>
      <c r="GM9" s="4"/>
      <c r="GN9" s="4"/>
      <c r="GO9" s="4"/>
      <c r="GP9" s="4"/>
      <c r="GQ9" s="4"/>
      <c r="GR9" s="4"/>
      <c r="GS9" s="4"/>
      <c r="GT9" s="4"/>
      <c r="GU9" s="4"/>
      <c r="GV9" s="4"/>
      <c r="GW9" s="4"/>
      <c r="GX9" s="4"/>
      <c r="GY9" s="4"/>
      <c r="GZ9" s="4"/>
      <c r="HA9" s="4"/>
      <c r="HB9" s="4"/>
      <c r="HC9" s="4"/>
      <c r="HD9" s="4"/>
      <c r="HE9" s="4"/>
      <c r="HF9" s="4"/>
      <c r="HG9" s="4"/>
      <c r="HH9" s="4"/>
      <c r="HI9" s="4"/>
      <c r="HJ9" s="4"/>
      <c r="HK9" s="4"/>
      <c r="HL9" s="4"/>
      <c r="HM9" s="4"/>
      <c r="HN9" s="4"/>
      <c r="HO9" s="4"/>
      <c r="HP9" s="4"/>
      <c r="HQ9" s="4"/>
      <c r="HR9" s="4"/>
      <c r="HS9" s="4"/>
      <c r="HT9" s="4"/>
      <c r="HU9" s="4"/>
      <c r="HV9" s="4"/>
      <c r="HW9" s="4"/>
      <c r="HX9" s="4"/>
      <c r="HY9" s="4"/>
      <c r="HZ9" s="4"/>
      <c r="IA9" s="4"/>
      <c r="IB9" s="4"/>
      <c r="IC9" s="4"/>
      <c r="ID9" s="4"/>
      <c r="IE9" s="4"/>
      <c r="IF9" s="4"/>
      <c r="IG9" s="4"/>
      <c r="IH9" s="4"/>
      <c r="II9" s="4"/>
      <c r="IJ9" s="4"/>
      <c r="IK9" s="4"/>
      <c r="IL9" s="4"/>
      <c r="IM9" s="4"/>
      <c r="IN9" s="4"/>
      <c r="IO9" s="4"/>
      <c r="IP9" s="4"/>
      <c r="IQ9" s="4"/>
      <c r="IR9" s="4"/>
      <c r="IS9" s="4"/>
      <c r="IT9" s="4"/>
      <c r="IU9" s="4"/>
      <c r="IV9" s="4"/>
      <c r="IW9" s="4"/>
      <c r="IX9" s="4"/>
      <c r="IY9" s="4"/>
      <c r="IZ9" s="4"/>
      <c r="JA9" s="4"/>
      <c r="JB9" s="4"/>
      <c r="JC9" s="4"/>
      <c r="JD9" s="4"/>
      <c r="JE9" s="4"/>
      <c r="JF9" s="4"/>
      <c r="JG9" s="4"/>
      <c r="JH9" s="4"/>
      <c r="JI9" s="4"/>
      <c r="JJ9" s="4"/>
      <c r="JK9" s="4"/>
      <c r="JL9" s="4"/>
      <c r="JM9" s="4"/>
      <c r="JN9" s="4"/>
      <c r="JO9" s="4"/>
      <c r="JP9" s="4"/>
      <c r="JQ9" s="4"/>
      <c r="JR9" s="4"/>
      <c r="JS9" s="4"/>
      <c r="JT9" s="4"/>
      <c r="JU9" s="4"/>
      <c r="JV9" s="4"/>
      <c r="JW9" s="4"/>
      <c r="JX9" s="4"/>
      <c r="JY9" s="4"/>
      <c r="JZ9" s="4"/>
      <c r="KA9" s="4"/>
      <c r="KB9" s="4"/>
      <c r="KC9" s="4"/>
      <c r="KD9" s="4"/>
      <c r="KE9" s="4"/>
      <c r="KF9" s="4"/>
      <c r="KG9" s="4"/>
      <c r="KH9" s="4"/>
      <c r="KI9" s="4"/>
      <c r="KJ9" s="4"/>
      <c r="KK9" s="4"/>
      <c r="KL9" s="4"/>
      <c r="KM9" s="4"/>
      <c r="KN9" s="4"/>
      <c r="KO9" s="4"/>
      <c r="KP9" s="4"/>
      <c r="KQ9" s="4"/>
      <c r="KR9" s="4"/>
      <c r="KS9" s="4"/>
      <c r="KT9" s="4"/>
      <c r="KU9" s="4"/>
      <c r="KV9" s="4"/>
      <c r="KW9" s="4"/>
      <c r="KX9" s="4"/>
      <c r="KY9" s="4"/>
      <c r="KZ9" s="4"/>
      <c r="LA9" s="4"/>
      <c r="LB9" s="4"/>
      <c r="LC9" s="4"/>
      <c r="LD9" s="4"/>
      <c r="LE9" s="4"/>
      <c r="LF9" s="4"/>
      <c r="LG9" s="4"/>
      <c r="LH9" s="4"/>
      <c r="LI9" s="4"/>
      <c r="LJ9" s="4"/>
      <c r="LK9" s="4"/>
      <c r="LL9" s="4"/>
      <c r="LM9" s="4"/>
      <c r="LN9" s="4"/>
      <c r="LO9" s="4"/>
      <c r="LP9" s="4"/>
      <c r="LQ9" s="4"/>
      <c r="LR9" s="4"/>
      <c r="LS9" s="4"/>
      <c r="LT9" s="4"/>
      <c r="LU9" s="4"/>
      <c r="LV9" s="4"/>
      <c r="LW9" s="4"/>
      <c r="LX9" s="4"/>
      <c r="LY9" s="4"/>
      <c r="LZ9" s="4"/>
      <c r="MA9" s="4"/>
      <c r="MB9" s="4"/>
      <c r="MC9" s="4"/>
      <c r="MD9" s="4"/>
      <c r="ME9" s="4"/>
      <c r="MF9" s="4"/>
      <c r="MG9" s="4"/>
      <c r="MH9" s="4"/>
      <c r="MI9" s="4"/>
      <c r="MJ9" s="4"/>
      <c r="MK9" s="4"/>
      <c r="ML9" s="4"/>
      <c r="MM9" s="4"/>
      <c r="MN9" s="4"/>
      <c r="MO9" s="4"/>
      <c r="MP9" s="4"/>
      <c r="MQ9" s="4"/>
      <c r="MR9" s="4"/>
      <c r="MS9" s="4"/>
      <c r="MT9" s="4"/>
      <c r="MU9" s="4"/>
      <c r="MV9" s="4"/>
      <c r="MW9" s="4"/>
      <c r="MX9" s="4"/>
      <c r="MY9" s="4"/>
      <c r="MZ9" s="4"/>
      <c r="NA9" s="4"/>
      <c r="NB9" s="4"/>
      <c r="NC9" s="4"/>
      <c r="ND9" s="4"/>
      <c r="NE9" s="4"/>
      <c r="NF9" s="4"/>
      <c r="NG9" s="4"/>
      <c r="NH9" s="4"/>
      <c r="NI9" s="4"/>
      <c r="NJ9" s="4"/>
      <c r="NK9" s="4"/>
      <c r="NL9" s="4"/>
      <c r="NM9" s="4"/>
      <c r="NN9" s="4"/>
      <c r="NO9" s="4"/>
      <c r="NP9" s="4"/>
      <c r="NQ9" s="4"/>
      <c r="NR9" s="4"/>
      <c r="NS9" s="4"/>
      <c r="NT9" s="4"/>
      <c r="NU9" s="4"/>
      <c r="NV9" s="4"/>
      <c r="NW9" s="4"/>
      <c r="NX9" s="4"/>
      <c r="NY9" s="4"/>
      <c r="NZ9" s="4"/>
      <c r="OA9" s="4"/>
      <c r="OB9" s="4"/>
      <c r="OC9" s="4"/>
      <c r="OD9" s="4"/>
      <c r="OE9" s="4"/>
      <c r="OF9" s="4"/>
      <c r="OG9" s="4"/>
      <c r="OH9" s="4"/>
      <c r="OI9" s="4"/>
    </row>
    <row r="10" spans="1:399" outlineLevel="1">
      <c r="A10" s="116"/>
      <c r="B10" s="116"/>
      <c r="C10" s="116">
        <v>2</v>
      </c>
      <c r="D10" s="3" t="s">
        <v>1188</v>
      </c>
      <c r="E10" s="183"/>
      <c r="F10" s="183" t="s">
        <v>1182</v>
      </c>
      <c r="G10" s="183"/>
      <c r="H10" s="183"/>
      <c r="I10" s="183"/>
      <c r="J10" s="183"/>
      <c r="K10" s="183"/>
      <c r="L10" s="183"/>
      <c r="M10" s="184">
        <v>43752</v>
      </c>
      <c r="N10" s="184">
        <v>43756</v>
      </c>
      <c r="O10" s="185"/>
      <c r="P10" s="186">
        <v>5</v>
      </c>
      <c r="Q10" s="186">
        <v>5</v>
      </c>
      <c r="R10" s="187">
        <v>5</v>
      </c>
      <c r="S10" s="187">
        <v>5</v>
      </c>
      <c r="T10" s="184"/>
      <c r="U10" s="184"/>
      <c r="V10" s="188"/>
      <c r="W10" s="189">
        <v>0</v>
      </c>
      <c r="X10" s="190">
        <v>1</v>
      </c>
      <c r="Y10" s="185" t="s">
        <v>1243</v>
      </c>
      <c r="Z10" s="191"/>
      <c r="AA10" s="97">
        <v>1</v>
      </c>
      <c r="AB10" s="192">
        <v>1</v>
      </c>
      <c r="AC10" s="123"/>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t="str">
        <f>"     " &amp; TEXT(AB10,"#0.00%") &amp; " " &amp; "Test" &amp; "(Max,Dana)" &amp; " " &amp; IF(M10="","",TEXT(M10,"M/D-")) &amp; IF(N10="","",TEXT(N10,"M/D")) &amp; " "</f>
        <v xml:space="preserve">     100.00% Test(Max,Dana) 10/14-10/18 </v>
      </c>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c r="FF10" s="4"/>
      <c r="FG10" s="4"/>
      <c r="FH10" s="4"/>
      <c r="FI10" s="4"/>
      <c r="FJ10" s="4"/>
      <c r="FK10" s="4"/>
      <c r="FL10" s="4"/>
      <c r="FM10" s="4"/>
      <c r="FN10" s="4"/>
      <c r="FO10" s="4"/>
      <c r="FP10" s="4"/>
      <c r="FQ10" s="4"/>
      <c r="FR10" s="4"/>
      <c r="FS10" s="4"/>
      <c r="FT10" s="4"/>
      <c r="FU10" s="4"/>
      <c r="FV10" s="4"/>
      <c r="FW10" s="4"/>
      <c r="FX10" s="4"/>
      <c r="FY10" s="4"/>
      <c r="FZ10" s="4"/>
      <c r="GA10" s="4"/>
      <c r="GB10" s="4"/>
      <c r="GC10" s="4"/>
      <c r="GD10" s="4"/>
      <c r="GE10" s="4"/>
      <c r="GF10" s="4"/>
      <c r="GG10" s="4"/>
      <c r="GH10" s="4"/>
      <c r="GI10" s="4"/>
      <c r="GJ10" s="4"/>
      <c r="GK10" s="4"/>
      <c r="GL10" s="4"/>
      <c r="GM10" s="4"/>
      <c r="GN10" s="4"/>
      <c r="GO10" s="4"/>
      <c r="GP10" s="4"/>
      <c r="GQ10" s="4"/>
      <c r="GR10" s="4"/>
      <c r="GS10" s="4"/>
      <c r="GT10" s="4"/>
      <c r="GU10" s="4"/>
      <c r="GV10" s="4"/>
      <c r="GW10" s="4"/>
      <c r="GX10" s="4"/>
      <c r="GY10" s="4"/>
      <c r="GZ10" s="4"/>
      <c r="HA10" s="4"/>
      <c r="HB10" s="4"/>
      <c r="HC10" s="4"/>
      <c r="HD10" s="4"/>
      <c r="HE10" s="4"/>
      <c r="HF10" s="4"/>
      <c r="HG10" s="4"/>
      <c r="HH10" s="4"/>
      <c r="HI10" s="4"/>
      <c r="HJ10" s="4"/>
      <c r="HK10" s="4"/>
      <c r="HL10" s="4"/>
      <c r="HM10" s="4"/>
      <c r="HN10" s="4"/>
      <c r="HO10" s="4"/>
      <c r="HP10" s="4"/>
      <c r="HQ10" s="4"/>
      <c r="HR10" s="4"/>
      <c r="HS10" s="4"/>
      <c r="HT10" s="4"/>
      <c r="HU10" s="4"/>
      <c r="HV10" s="4"/>
      <c r="HW10" s="4"/>
      <c r="HX10" s="4"/>
      <c r="HY10" s="4"/>
      <c r="HZ10" s="4"/>
      <c r="IA10" s="4"/>
      <c r="IB10" s="4"/>
      <c r="IC10" s="4"/>
      <c r="ID10" s="4"/>
      <c r="IE10" s="4"/>
      <c r="IF10" s="4"/>
      <c r="IG10" s="4"/>
      <c r="IH10" s="4"/>
      <c r="II10" s="4"/>
      <c r="IJ10" s="4"/>
      <c r="IK10" s="4"/>
      <c r="IL10" s="4"/>
      <c r="IM10" s="4"/>
      <c r="IN10" s="4"/>
      <c r="IO10" s="4"/>
      <c r="IP10" s="4"/>
      <c r="IQ10" s="4"/>
      <c r="IR10" s="4"/>
      <c r="IS10" s="4"/>
      <c r="IT10" s="4"/>
      <c r="IU10" s="4"/>
      <c r="IV10" s="4"/>
      <c r="IW10" s="4"/>
      <c r="IX10" s="4"/>
      <c r="IY10" s="4"/>
      <c r="IZ10" s="4"/>
      <c r="JA10" s="4"/>
      <c r="JB10" s="4"/>
      <c r="JC10" s="4"/>
      <c r="JD10" s="4"/>
      <c r="JE10" s="4"/>
      <c r="JF10" s="4"/>
      <c r="JG10" s="4"/>
      <c r="JH10" s="4"/>
      <c r="JI10" s="4"/>
      <c r="JJ10" s="4"/>
      <c r="JK10" s="4"/>
      <c r="JL10" s="4"/>
      <c r="JM10" s="4"/>
      <c r="JN10" s="4"/>
      <c r="JO10" s="4"/>
      <c r="JP10" s="4"/>
      <c r="JQ10" s="4"/>
      <c r="JR10" s="4"/>
      <c r="JS10" s="4"/>
      <c r="JT10" s="4"/>
      <c r="JU10" s="4"/>
      <c r="JV10" s="4"/>
      <c r="JW10" s="4"/>
      <c r="JX10" s="4"/>
      <c r="JY10" s="4"/>
      <c r="JZ10" s="4"/>
      <c r="KA10" s="4"/>
      <c r="KB10" s="4"/>
      <c r="KC10" s="4"/>
      <c r="KD10" s="4"/>
      <c r="KE10" s="4"/>
      <c r="KF10" s="4"/>
      <c r="KG10" s="4"/>
      <c r="KH10" s="4"/>
      <c r="KI10" s="4"/>
      <c r="KJ10" s="4"/>
      <c r="KK10" s="4"/>
      <c r="KL10" s="4"/>
      <c r="KM10" s="4"/>
      <c r="KN10" s="4"/>
      <c r="KO10" s="4"/>
      <c r="KP10" s="4"/>
      <c r="KQ10" s="4"/>
      <c r="KR10" s="4"/>
      <c r="KS10" s="4"/>
      <c r="KT10" s="4"/>
      <c r="KU10" s="4"/>
      <c r="KV10" s="4"/>
      <c r="KW10" s="4"/>
      <c r="KX10" s="4"/>
      <c r="KY10" s="4"/>
      <c r="KZ10" s="4"/>
      <c r="LA10" s="4"/>
      <c r="LB10" s="4"/>
      <c r="LC10" s="4"/>
      <c r="LD10" s="4"/>
      <c r="LE10" s="4"/>
      <c r="LF10" s="4"/>
      <c r="LG10" s="4"/>
      <c r="LH10" s="4"/>
      <c r="LI10" s="4"/>
      <c r="LJ10" s="4"/>
      <c r="LK10" s="4"/>
      <c r="LL10" s="4"/>
      <c r="LM10" s="4"/>
      <c r="LN10" s="4"/>
      <c r="LO10" s="4"/>
      <c r="LP10" s="4"/>
      <c r="LQ10" s="4"/>
      <c r="LR10" s="4"/>
      <c r="LS10" s="4"/>
      <c r="LT10" s="4"/>
      <c r="LU10" s="4"/>
      <c r="LV10" s="4"/>
      <c r="LW10" s="4"/>
      <c r="LX10" s="4"/>
      <c r="LY10" s="4"/>
      <c r="LZ10" s="4"/>
      <c r="MA10" s="4"/>
      <c r="MB10" s="4"/>
      <c r="MC10" s="4"/>
      <c r="MD10" s="4"/>
      <c r="ME10" s="4"/>
      <c r="MF10" s="4"/>
      <c r="MG10" s="4"/>
      <c r="MH10" s="4"/>
      <c r="MI10" s="4"/>
      <c r="MJ10" s="4"/>
      <c r="MK10" s="4"/>
      <c r="ML10" s="4"/>
      <c r="MM10" s="4"/>
      <c r="MN10" s="4"/>
      <c r="MO10" s="4"/>
      <c r="MP10" s="4"/>
      <c r="MQ10" s="4"/>
      <c r="MR10" s="4"/>
      <c r="MS10" s="4"/>
      <c r="MT10" s="4"/>
      <c r="MU10" s="4"/>
      <c r="MV10" s="4"/>
      <c r="MW10" s="4"/>
      <c r="MX10" s="4"/>
      <c r="MY10" s="4"/>
      <c r="MZ10" s="4"/>
      <c r="NA10" s="4"/>
      <c r="NB10" s="4"/>
      <c r="NC10" s="4"/>
      <c r="ND10" s="4"/>
      <c r="NE10" s="4"/>
      <c r="NF10" s="4"/>
      <c r="NG10" s="4"/>
      <c r="NH10" s="4"/>
      <c r="NI10" s="4"/>
      <c r="NJ10" s="4"/>
      <c r="NK10" s="4"/>
      <c r="NL10" s="4"/>
      <c r="NM10" s="4"/>
      <c r="NN10" s="4"/>
      <c r="NO10" s="4"/>
      <c r="NP10" s="4"/>
      <c r="NQ10" s="4"/>
      <c r="NR10" s="4"/>
      <c r="NS10" s="4"/>
      <c r="NT10" s="4"/>
      <c r="NU10" s="4"/>
      <c r="NV10" s="4"/>
      <c r="NW10" s="4"/>
      <c r="NX10" s="4"/>
      <c r="NY10" s="4"/>
      <c r="NZ10" s="4"/>
      <c r="OA10" s="4"/>
      <c r="OB10" s="4"/>
      <c r="OC10" s="4"/>
      <c r="OD10" s="4"/>
      <c r="OE10" s="4"/>
      <c r="OF10" s="4"/>
      <c r="OG10" s="4"/>
      <c r="OH10" s="4"/>
      <c r="OI10" s="4"/>
    </row>
    <row r="11" spans="1:399" outlineLevel="1">
      <c r="A11" s="116"/>
      <c r="B11" s="116"/>
      <c r="C11" s="116">
        <v>2</v>
      </c>
      <c r="D11" s="3" t="s">
        <v>1189</v>
      </c>
      <c r="E11" s="183"/>
      <c r="F11" s="183" t="s">
        <v>1183</v>
      </c>
      <c r="G11" s="183"/>
      <c r="H11" s="183"/>
      <c r="I11" s="183"/>
      <c r="J11" s="183"/>
      <c r="K11" s="183"/>
      <c r="L11" s="183"/>
      <c r="M11" s="184">
        <v>43759</v>
      </c>
      <c r="N11" s="184">
        <v>43761</v>
      </c>
      <c r="O11" s="185"/>
      <c r="P11" s="186">
        <v>3</v>
      </c>
      <c r="Q11" s="186">
        <v>3</v>
      </c>
      <c r="R11" s="187">
        <v>3</v>
      </c>
      <c r="S11" s="187">
        <v>3</v>
      </c>
      <c r="T11" s="184"/>
      <c r="U11" s="184"/>
      <c r="V11" s="188"/>
      <c r="W11" s="189">
        <v>0</v>
      </c>
      <c r="X11" s="190">
        <v>1</v>
      </c>
      <c r="Y11" s="185" t="s">
        <v>1244</v>
      </c>
      <c r="Z11" s="191"/>
      <c r="AA11" s="97">
        <v>1</v>
      </c>
      <c r="AB11" s="192">
        <v>1</v>
      </c>
      <c r="AC11" s="123"/>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t="str">
        <f>"   " &amp; TEXT(AB11,"#0.00%") &amp; " " &amp; "Publish" &amp; "(Max)" &amp; " " &amp; IF(M11="","",TEXT(M11,"M/D-")) &amp; IF(N11="","",TEXT(N11,"M/D")) &amp; " "</f>
        <v xml:space="preserve">   100.00% Publish(Max) 10/21-10/23 </v>
      </c>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c r="GH11" s="4"/>
      <c r="GI11" s="4"/>
      <c r="GJ11" s="4"/>
      <c r="GK11" s="4"/>
      <c r="GL11" s="4"/>
      <c r="GM11" s="4"/>
      <c r="GN11" s="4"/>
      <c r="GO11" s="4"/>
      <c r="GP11" s="4"/>
      <c r="GQ11" s="4"/>
      <c r="GR11" s="4"/>
      <c r="GS11" s="4"/>
      <c r="GT11" s="4"/>
      <c r="GU11" s="4"/>
      <c r="GV11" s="4"/>
      <c r="GW11" s="4"/>
      <c r="GX11" s="4"/>
      <c r="GY11" s="4"/>
      <c r="GZ11" s="4"/>
      <c r="HA11" s="4"/>
      <c r="HB11" s="4"/>
      <c r="HC11" s="4"/>
      <c r="HD11" s="4"/>
      <c r="HE11" s="4"/>
      <c r="HF11" s="4"/>
      <c r="HG11" s="4"/>
      <c r="HH11" s="4"/>
      <c r="HI11" s="4"/>
      <c r="HJ11" s="4"/>
      <c r="HK11" s="4"/>
      <c r="HL11" s="4"/>
      <c r="HM11" s="4"/>
      <c r="HN11" s="4"/>
      <c r="HO11" s="4"/>
      <c r="HP11" s="4"/>
      <c r="HQ11" s="4"/>
      <c r="HR11" s="4"/>
      <c r="HS11" s="4"/>
      <c r="HT11" s="4"/>
      <c r="HU11" s="4"/>
      <c r="HV11" s="4"/>
      <c r="HW11" s="4"/>
      <c r="HX11" s="4"/>
      <c r="HY11" s="4"/>
      <c r="HZ11" s="4"/>
      <c r="IA11" s="4"/>
      <c r="IB11" s="4"/>
      <c r="IC11" s="4"/>
      <c r="ID11" s="4"/>
      <c r="IE11" s="4"/>
      <c r="IF11" s="4"/>
      <c r="IG11" s="4"/>
      <c r="IH11" s="4"/>
      <c r="II11" s="4"/>
      <c r="IJ11" s="4"/>
      <c r="IK11" s="4"/>
      <c r="IL11" s="4"/>
      <c r="IM11" s="4"/>
      <c r="IN11" s="4"/>
      <c r="IO11" s="4"/>
      <c r="IP11" s="4"/>
      <c r="IQ11" s="4"/>
      <c r="IR11" s="4"/>
      <c r="IS11" s="4"/>
      <c r="IT11" s="4"/>
      <c r="IU11" s="4"/>
      <c r="IV11" s="4"/>
      <c r="IW11" s="4"/>
      <c r="IX11" s="4"/>
      <c r="IY11" s="4"/>
      <c r="IZ11" s="4"/>
      <c r="JA11" s="4"/>
      <c r="JB11" s="4"/>
      <c r="JC11" s="4"/>
      <c r="JD11" s="4"/>
      <c r="JE11" s="4"/>
      <c r="JF11" s="4"/>
      <c r="JG11" s="4"/>
      <c r="JH11" s="4"/>
      <c r="JI11" s="4"/>
      <c r="JJ11" s="4"/>
      <c r="JK11" s="4"/>
      <c r="JL11" s="4"/>
      <c r="JM11" s="4"/>
      <c r="JN11" s="4"/>
      <c r="JO11" s="4"/>
      <c r="JP11" s="4"/>
      <c r="JQ11" s="4"/>
      <c r="JR11" s="4"/>
      <c r="JS11" s="4"/>
      <c r="JT11" s="4"/>
      <c r="JU11" s="4"/>
      <c r="JV11" s="4"/>
      <c r="JW11" s="4"/>
      <c r="JX11" s="4"/>
      <c r="JY11" s="4"/>
      <c r="JZ11" s="4"/>
      <c r="KA11" s="4"/>
      <c r="KB11" s="4"/>
      <c r="KC11" s="4"/>
      <c r="KD11" s="4"/>
      <c r="KE11" s="4"/>
      <c r="KF11" s="4"/>
      <c r="KG11" s="4"/>
      <c r="KH11" s="4"/>
      <c r="KI11" s="4"/>
      <c r="KJ11" s="4"/>
      <c r="KK11" s="4"/>
      <c r="KL11" s="4"/>
      <c r="KM11" s="4"/>
      <c r="KN11" s="4"/>
      <c r="KO11" s="4"/>
      <c r="KP11" s="4"/>
      <c r="KQ11" s="4"/>
      <c r="KR11" s="4"/>
      <c r="KS11" s="4"/>
      <c r="KT11" s="4"/>
      <c r="KU11" s="4"/>
      <c r="KV11" s="4"/>
      <c r="KW11" s="4"/>
      <c r="KX11" s="4"/>
      <c r="KY11" s="4"/>
      <c r="KZ11" s="4"/>
      <c r="LA11" s="4"/>
      <c r="LB11" s="4"/>
      <c r="LC11" s="4"/>
      <c r="LD11" s="4"/>
      <c r="LE11" s="4"/>
      <c r="LF11" s="4"/>
      <c r="LG11" s="4"/>
      <c r="LH11" s="4"/>
      <c r="LI11" s="4"/>
      <c r="LJ11" s="4"/>
      <c r="LK11" s="4"/>
      <c r="LL11" s="4"/>
      <c r="LM11" s="4"/>
      <c r="LN11" s="4"/>
      <c r="LO11" s="4"/>
      <c r="LP11" s="4"/>
      <c r="LQ11" s="4"/>
      <c r="LR11" s="4"/>
      <c r="LS11" s="4"/>
      <c r="LT11" s="4"/>
      <c r="LU11" s="4"/>
      <c r="LV11" s="4"/>
      <c r="LW11" s="4"/>
      <c r="LX11" s="4"/>
      <c r="LY11" s="4"/>
      <c r="LZ11" s="4"/>
      <c r="MA11" s="4"/>
      <c r="MB11" s="4"/>
      <c r="MC11" s="4"/>
      <c r="MD11" s="4"/>
      <c r="ME11" s="4"/>
      <c r="MF11" s="4"/>
      <c r="MG11" s="4"/>
      <c r="MH11" s="4"/>
      <c r="MI11" s="4"/>
      <c r="MJ11" s="4"/>
      <c r="MK11" s="4"/>
      <c r="ML11" s="4"/>
      <c r="MM11" s="4"/>
      <c r="MN11" s="4"/>
      <c r="MO11" s="4"/>
      <c r="MP11" s="4"/>
      <c r="MQ11" s="4"/>
      <c r="MR11" s="4"/>
      <c r="MS11" s="4"/>
      <c r="MT11" s="4"/>
      <c r="MU11" s="4"/>
      <c r="MV11" s="4"/>
      <c r="MW11" s="4"/>
      <c r="MX11" s="4"/>
      <c r="MY11" s="4"/>
      <c r="MZ11" s="4"/>
      <c r="NA11" s="4"/>
      <c r="NB11" s="4"/>
      <c r="NC11" s="4"/>
      <c r="ND11" s="4"/>
      <c r="NE11" s="4"/>
      <c r="NF11" s="4"/>
      <c r="NG11" s="4"/>
      <c r="NH11" s="4"/>
      <c r="NI11" s="4"/>
      <c r="NJ11" s="4"/>
      <c r="NK11" s="4"/>
      <c r="NL11" s="4"/>
      <c r="NM11" s="4"/>
      <c r="NN11" s="4"/>
      <c r="NO11" s="4"/>
      <c r="NP11" s="4"/>
      <c r="NQ11" s="4"/>
      <c r="NR11" s="4"/>
      <c r="NS11" s="4"/>
      <c r="NT11" s="4"/>
      <c r="NU11" s="4"/>
      <c r="NV11" s="4"/>
      <c r="NW11" s="4"/>
      <c r="NX11" s="4"/>
      <c r="NY11" s="4"/>
      <c r="NZ11" s="4"/>
      <c r="OA11" s="4"/>
      <c r="OB11" s="4"/>
      <c r="OC11" s="4"/>
      <c r="OD11" s="4"/>
      <c r="OE11" s="4"/>
      <c r="OF11" s="4"/>
      <c r="OG11" s="4"/>
      <c r="OH11" s="4"/>
      <c r="OI11" s="4"/>
    </row>
    <row r="12" spans="1:399" outlineLevel="1">
      <c r="A12" s="116"/>
      <c r="B12" s="116"/>
      <c r="C12" s="116">
        <v>0</v>
      </c>
      <c r="D12" s="3"/>
      <c r="E12" s="183"/>
      <c r="F12" s="183"/>
      <c r="G12" s="183"/>
      <c r="H12" s="183"/>
      <c r="I12" s="183"/>
      <c r="J12" s="183"/>
      <c r="K12" s="183"/>
      <c r="L12" s="183"/>
      <c r="M12" s="184"/>
      <c r="N12" s="184"/>
      <c r="O12" s="185"/>
      <c r="P12" s="186"/>
      <c r="Q12" s="186"/>
      <c r="R12" s="187">
        <v>0</v>
      </c>
      <c r="S12" s="187">
        <v>0</v>
      </c>
      <c r="T12" s="184"/>
      <c r="U12" s="184"/>
      <c r="V12" s="188"/>
      <c r="W12" s="189">
        <v>0</v>
      </c>
      <c r="X12" s="190"/>
      <c r="Y12" s="185"/>
      <c r="Z12" s="191"/>
      <c r="AA12" s="97"/>
      <c r="AB12" s="192"/>
      <c r="AC12" s="123"/>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c r="GH12" s="4"/>
      <c r="GI12" s="4"/>
      <c r="GJ12" s="4"/>
      <c r="GK12" s="4"/>
      <c r="GL12" s="4"/>
      <c r="GM12" s="4"/>
      <c r="GN12" s="4"/>
      <c r="GO12" s="4"/>
      <c r="GP12" s="4"/>
      <c r="GQ12" s="4"/>
      <c r="GR12" s="4"/>
      <c r="GS12" s="4"/>
      <c r="GT12" s="4"/>
      <c r="GU12" s="4"/>
      <c r="GV12" s="4"/>
      <c r="GW12" s="4"/>
      <c r="GX12" s="4"/>
      <c r="GY12" s="4"/>
      <c r="GZ12" s="4"/>
      <c r="HA12" s="4"/>
      <c r="HB12" s="4"/>
      <c r="HC12" s="4"/>
      <c r="HD12" s="4"/>
      <c r="HE12" s="4"/>
      <c r="HF12" s="4"/>
      <c r="HG12" s="4"/>
      <c r="HH12" s="4"/>
      <c r="HI12" s="4"/>
      <c r="HJ12" s="4"/>
      <c r="HK12" s="4"/>
      <c r="HL12" s="4"/>
      <c r="HM12" s="4"/>
      <c r="HN12" s="4"/>
      <c r="HO12" s="4"/>
      <c r="HP12" s="4"/>
      <c r="HQ12" s="4"/>
      <c r="HR12" s="4"/>
      <c r="HS12" s="4"/>
      <c r="HT12" s="4"/>
      <c r="HU12" s="4"/>
      <c r="HV12" s="4"/>
      <c r="HW12" s="4"/>
      <c r="HX12" s="4"/>
      <c r="HY12" s="4"/>
      <c r="HZ12" s="4"/>
      <c r="IA12" s="4"/>
      <c r="IB12" s="4"/>
      <c r="IC12" s="4"/>
      <c r="ID12" s="4"/>
      <c r="IE12" s="4"/>
      <c r="IF12" s="4"/>
      <c r="IG12" s="4"/>
      <c r="IH12" s="4"/>
      <c r="II12" s="4"/>
      <c r="IJ12" s="4"/>
      <c r="IK12" s="4"/>
      <c r="IL12" s="4"/>
      <c r="IM12" s="4"/>
      <c r="IN12" s="4"/>
      <c r="IO12" s="4"/>
      <c r="IP12" s="4"/>
      <c r="IQ12" s="4"/>
      <c r="IR12" s="4"/>
      <c r="IS12" s="4"/>
      <c r="IT12" s="4"/>
      <c r="IU12" s="4"/>
      <c r="IV12" s="4"/>
      <c r="IW12" s="4"/>
      <c r="IX12" s="4"/>
      <c r="IY12" s="4"/>
      <c r="IZ12" s="4"/>
      <c r="JA12" s="4"/>
      <c r="JB12" s="4"/>
      <c r="JC12" s="4"/>
      <c r="JD12" s="4"/>
      <c r="JE12" s="4"/>
      <c r="JF12" s="4"/>
      <c r="JG12" s="4"/>
      <c r="JH12" s="4"/>
      <c r="JI12" s="4"/>
      <c r="JJ12" s="4"/>
      <c r="JK12" s="4"/>
      <c r="JL12" s="4"/>
      <c r="JM12" s="4"/>
      <c r="JN12" s="4"/>
      <c r="JO12" s="4"/>
      <c r="JP12" s="4"/>
      <c r="JQ12" s="4"/>
      <c r="JR12" s="4"/>
      <c r="JS12" s="4"/>
      <c r="JT12" s="4"/>
      <c r="JU12" s="4"/>
      <c r="JV12" s="4"/>
      <c r="JW12" s="4"/>
      <c r="JX12" s="4"/>
      <c r="JY12" s="4"/>
      <c r="JZ12" s="4"/>
      <c r="KA12" s="4"/>
      <c r="KB12" s="4"/>
      <c r="KC12" s="4"/>
      <c r="KD12" s="4"/>
      <c r="KE12" s="4"/>
      <c r="KF12" s="4"/>
      <c r="KG12" s="4"/>
      <c r="KH12" s="4"/>
      <c r="KI12" s="4"/>
      <c r="KJ12" s="4"/>
      <c r="KK12" s="4"/>
      <c r="KL12" s="4"/>
      <c r="KM12" s="4"/>
      <c r="KN12" s="4"/>
      <c r="KO12" s="4"/>
      <c r="KP12" s="4"/>
      <c r="KQ12" s="4"/>
      <c r="KR12" s="4"/>
      <c r="KS12" s="4"/>
      <c r="KT12" s="4"/>
      <c r="KU12" s="4"/>
      <c r="KV12" s="4"/>
      <c r="KW12" s="4"/>
      <c r="KX12" s="4"/>
      <c r="KY12" s="4"/>
      <c r="KZ12" s="4"/>
      <c r="LA12" s="4"/>
      <c r="LB12" s="4"/>
      <c r="LC12" s="4"/>
      <c r="LD12" s="4"/>
      <c r="LE12" s="4"/>
      <c r="LF12" s="4"/>
      <c r="LG12" s="4"/>
      <c r="LH12" s="4"/>
      <c r="LI12" s="4"/>
      <c r="LJ12" s="4"/>
      <c r="LK12" s="4"/>
      <c r="LL12" s="4"/>
      <c r="LM12" s="4"/>
      <c r="LN12" s="4"/>
      <c r="LO12" s="4"/>
      <c r="LP12" s="4"/>
      <c r="LQ12" s="4"/>
      <c r="LR12" s="4"/>
      <c r="LS12" s="4"/>
      <c r="LT12" s="4"/>
      <c r="LU12" s="4"/>
      <c r="LV12" s="4"/>
      <c r="LW12" s="4"/>
      <c r="LX12" s="4"/>
      <c r="LY12" s="4"/>
      <c r="LZ12" s="4"/>
      <c r="MA12" s="4"/>
      <c r="MB12" s="4"/>
      <c r="MC12" s="4"/>
      <c r="MD12" s="4"/>
      <c r="ME12" s="4"/>
      <c r="MF12" s="4"/>
      <c r="MG12" s="4"/>
      <c r="MH12" s="4"/>
      <c r="MI12" s="4"/>
      <c r="MJ12" s="4"/>
      <c r="MK12" s="4"/>
      <c r="ML12" s="4"/>
      <c r="MM12" s="4"/>
      <c r="MN12" s="4"/>
      <c r="MO12" s="4"/>
      <c r="MP12" s="4"/>
      <c r="MQ12" s="4"/>
      <c r="MR12" s="4"/>
      <c r="MS12" s="4"/>
      <c r="MT12" s="4"/>
      <c r="MU12" s="4"/>
      <c r="MV12" s="4"/>
      <c r="MW12" s="4"/>
      <c r="MX12" s="4"/>
      <c r="MY12" s="4"/>
      <c r="MZ12" s="4"/>
      <c r="NA12" s="4"/>
      <c r="NB12" s="4"/>
      <c r="NC12" s="4"/>
      <c r="ND12" s="4"/>
      <c r="NE12" s="4"/>
      <c r="NF12" s="4"/>
      <c r="NG12" s="4"/>
      <c r="NH12" s="4"/>
      <c r="NI12" s="4"/>
      <c r="NJ12" s="4"/>
      <c r="NK12" s="4"/>
      <c r="NL12" s="4"/>
      <c r="NM12" s="4"/>
      <c r="NN12" s="4"/>
      <c r="NO12" s="4"/>
      <c r="NP12" s="4"/>
      <c r="NQ12" s="4"/>
      <c r="NR12" s="4"/>
      <c r="NS12" s="4"/>
      <c r="NT12" s="4"/>
      <c r="NU12" s="4"/>
      <c r="NV12" s="4"/>
      <c r="NW12" s="4"/>
      <c r="NX12" s="4"/>
      <c r="NY12" s="4"/>
      <c r="NZ12" s="4"/>
      <c r="OA12" s="4"/>
      <c r="OB12" s="4"/>
      <c r="OC12" s="4"/>
      <c r="OD12" s="4"/>
      <c r="OE12" s="4"/>
      <c r="OF12" s="4"/>
      <c r="OG12" s="4"/>
      <c r="OH12" s="4"/>
      <c r="OI12" s="4"/>
    </row>
    <row r="13" spans="1:399">
      <c r="A13" s="116"/>
      <c r="B13" s="116" t="s">
        <v>1061</v>
      </c>
      <c r="C13" s="116">
        <v>1</v>
      </c>
      <c r="D13" s="3" t="s">
        <v>1063</v>
      </c>
      <c r="E13" s="217" t="s">
        <v>1245</v>
      </c>
      <c r="F13" s="183"/>
      <c r="G13" s="183"/>
      <c r="H13" s="183"/>
      <c r="I13" s="183"/>
      <c r="J13" s="183"/>
      <c r="K13" s="183"/>
      <c r="L13" s="183"/>
      <c r="M13" s="184">
        <v>43752</v>
      </c>
      <c r="N13" s="184">
        <v>43784</v>
      </c>
      <c r="O13" s="185"/>
      <c r="P13" s="186">
        <v>17</v>
      </c>
      <c r="Q13" s="186">
        <v>10</v>
      </c>
      <c r="R13" s="187">
        <v>25</v>
      </c>
      <c r="S13" s="187">
        <v>9</v>
      </c>
      <c r="T13" s="184"/>
      <c r="U13" s="184"/>
      <c r="V13" s="188">
        <v>0</v>
      </c>
      <c r="W13" s="189">
        <v>0</v>
      </c>
      <c r="X13" s="190"/>
      <c r="Y13" s="185"/>
      <c r="Z13" s="191"/>
      <c r="AA13" s="97">
        <v>0.58823529411764708</v>
      </c>
      <c r="AB13" s="192">
        <v>0</v>
      </c>
      <c r="AC13" s="123"/>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t="str">
        <f>"" &amp; TEXT(AB13,"#0.00%") &amp; " "</f>
        <v xml:space="preserve">0.00% </v>
      </c>
      <c r="BS13" s="4"/>
      <c r="BT13" s="4"/>
      <c r="BU13" s="4"/>
      <c r="BV13" s="4" t="str">
        <f>"     " &amp; "Easy Remit" &amp; " " &amp; IF(M13="","",TEXT(M13,"M/D-")) &amp; IF(N13="","",TEXT(N13,"M/D")) &amp; " "</f>
        <v xml:space="preserve">     Easy Remit 10/14-11/15 </v>
      </c>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c r="FF13" s="4"/>
      <c r="FG13" s="4"/>
      <c r="FH13" s="4"/>
      <c r="FI13" s="4"/>
      <c r="FJ13" s="4"/>
      <c r="FK13" s="4"/>
      <c r="FL13" s="4"/>
      <c r="FM13" s="4"/>
      <c r="FN13" s="4"/>
      <c r="FO13" s="4"/>
      <c r="FP13" s="4"/>
      <c r="FQ13" s="4"/>
      <c r="FR13" s="4"/>
      <c r="FS13" s="4"/>
      <c r="FT13" s="4"/>
      <c r="FU13" s="4"/>
      <c r="FV13" s="4"/>
      <c r="FW13" s="4"/>
      <c r="FX13" s="4"/>
      <c r="FY13" s="4"/>
      <c r="FZ13" s="4"/>
      <c r="GA13" s="4"/>
      <c r="GB13" s="4"/>
      <c r="GC13" s="4"/>
      <c r="GD13" s="4"/>
      <c r="GE13" s="4"/>
      <c r="GF13" s="4"/>
      <c r="GG13" s="4"/>
      <c r="GH13" s="4"/>
      <c r="GI13" s="4"/>
      <c r="GJ13" s="4"/>
      <c r="GK13" s="4"/>
      <c r="GL13" s="4"/>
      <c r="GM13" s="4"/>
      <c r="GN13" s="4"/>
      <c r="GO13" s="4"/>
      <c r="GP13" s="4"/>
      <c r="GQ13" s="4"/>
      <c r="GR13" s="4"/>
      <c r="GS13" s="4"/>
      <c r="GT13" s="4"/>
      <c r="GU13" s="4"/>
      <c r="GV13" s="4"/>
      <c r="GW13" s="4"/>
      <c r="GX13" s="4"/>
      <c r="GY13" s="4"/>
      <c r="GZ13" s="4"/>
      <c r="HA13" s="4"/>
      <c r="HB13" s="4"/>
      <c r="HC13" s="4"/>
      <c r="HD13" s="4"/>
      <c r="HE13" s="4"/>
      <c r="HF13" s="4"/>
      <c r="HG13" s="4"/>
      <c r="HH13" s="4"/>
      <c r="HI13" s="4"/>
      <c r="HJ13" s="4"/>
      <c r="HK13" s="4"/>
      <c r="HL13" s="4"/>
      <c r="HM13" s="4"/>
      <c r="HN13" s="4"/>
      <c r="HO13" s="4"/>
      <c r="HP13" s="4"/>
      <c r="HQ13" s="4"/>
      <c r="HR13" s="4"/>
      <c r="HS13" s="4"/>
      <c r="HT13" s="4"/>
      <c r="HU13" s="4"/>
      <c r="HV13" s="4"/>
      <c r="HW13" s="4"/>
      <c r="HX13" s="4"/>
      <c r="HY13" s="4"/>
      <c r="HZ13" s="4"/>
      <c r="IA13" s="4"/>
      <c r="IB13" s="4"/>
      <c r="IC13" s="4"/>
      <c r="ID13" s="4"/>
      <c r="IE13" s="4"/>
      <c r="IF13" s="4"/>
      <c r="IG13" s="4"/>
      <c r="IH13" s="4"/>
      <c r="II13" s="4"/>
      <c r="IJ13" s="4"/>
      <c r="IK13" s="4"/>
      <c r="IL13" s="4"/>
      <c r="IM13" s="4"/>
      <c r="IN13" s="4"/>
      <c r="IO13" s="4"/>
      <c r="IP13" s="4"/>
      <c r="IQ13" s="4"/>
      <c r="IR13" s="4"/>
      <c r="IS13" s="4"/>
      <c r="IT13" s="4"/>
      <c r="IU13" s="4"/>
      <c r="IV13" s="4"/>
      <c r="IW13" s="4"/>
      <c r="IX13" s="4"/>
      <c r="IY13" s="4"/>
      <c r="IZ13" s="4"/>
      <c r="JA13" s="4"/>
      <c r="JB13" s="4"/>
      <c r="JC13" s="4"/>
      <c r="JD13" s="4"/>
      <c r="JE13" s="4"/>
      <c r="JF13" s="4"/>
      <c r="JG13" s="4"/>
      <c r="JH13" s="4"/>
      <c r="JI13" s="4"/>
      <c r="JJ13" s="4"/>
      <c r="JK13" s="4"/>
      <c r="JL13" s="4"/>
      <c r="JM13" s="4"/>
      <c r="JN13" s="4"/>
      <c r="JO13" s="4"/>
      <c r="JP13" s="4"/>
      <c r="JQ13" s="4"/>
      <c r="JR13" s="4"/>
      <c r="JS13" s="4"/>
      <c r="JT13" s="4"/>
      <c r="JU13" s="4"/>
      <c r="JV13" s="4"/>
      <c r="JW13" s="4"/>
      <c r="JX13" s="4"/>
      <c r="JY13" s="4"/>
      <c r="JZ13" s="4"/>
      <c r="KA13" s="4"/>
      <c r="KB13" s="4"/>
      <c r="KC13" s="4"/>
      <c r="KD13" s="4"/>
      <c r="KE13" s="4"/>
      <c r="KF13" s="4"/>
      <c r="KG13" s="4"/>
      <c r="KH13" s="4"/>
      <c r="KI13" s="4"/>
      <c r="KJ13" s="4"/>
      <c r="KK13" s="4"/>
      <c r="KL13" s="4"/>
      <c r="KM13" s="4"/>
      <c r="KN13" s="4"/>
      <c r="KO13" s="4"/>
      <c r="KP13" s="4"/>
      <c r="KQ13" s="4"/>
      <c r="KR13" s="4"/>
      <c r="KS13" s="4"/>
      <c r="KT13" s="4"/>
      <c r="KU13" s="4"/>
      <c r="KV13" s="4"/>
      <c r="KW13" s="4"/>
      <c r="KX13" s="4"/>
      <c r="KY13" s="4"/>
      <c r="KZ13" s="4"/>
      <c r="LA13" s="4"/>
      <c r="LB13" s="4"/>
      <c r="LC13" s="4"/>
      <c r="LD13" s="4"/>
      <c r="LE13" s="4"/>
      <c r="LF13" s="4"/>
      <c r="LG13" s="4"/>
      <c r="LH13" s="4"/>
      <c r="LI13" s="4"/>
      <c r="LJ13" s="4"/>
      <c r="LK13" s="4"/>
      <c r="LL13" s="4"/>
      <c r="LM13" s="4"/>
      <c r="LN13" s="4"/>
      <c r="LO13" s="4"/>
      <c r="LP13" s="4"/>
      <c r="LQ13" s="4"/>
      <c r="LR13" s="4"/>
      <c r="LS13" s="4"/>
      <c r="LT13" s="4"/>
      <c r="LU13" s="4"/>
      <c r="LV13" s="4"/>
      <c r="LW13" s="4"/>
      <c r="LX13" s="4"/>
      <c r="LY13" s="4"/>
      <c r="LZ13" s="4"/>
      <c r="MA13" s="4"/>
      <c r="MB13" s="4"/>
      <c r="MC13" s="4"/>
      <c r="MD13" s="4"/>
      <c r="ME13" s="4"/>
      <c r="MF13" s="4"/>
      <c r="MG13" s="4"/>
      <c r="MH13" s="4"/>
      <c r="MI13" s="4"/>
      <c r="MJ13" s="4"/>
      <c r="MK13" s="4"/>
      <c r="ML13" s="4"/>
      <c r="MM13" s="4"/>
      <c r="MN13" s="4"/>
      <c r="MO13" s="4"/>
      <c r="MP13" s="4"/>
      <c r="MQ13" s="4"/>
      <c r="MR13" s="4"/>
      <c r="MS13" s="4"/>
      <c r="MT13" s="4"/>
      <c r="MU13" s="4"/>
      <c r="MV13" s="4"/>
      <c r="MW13" s="4"/>
      <c r="MX13" s="4"/>
      <c r="MY13" s="4"/>
      <c r="MZ13" s="4"/>
      <c r="NA13" s="4"/>
      <c r="NB13" s="4"/>
      <c r="NC13" s="4"/>
      <c r="ND13" s="4"/>
      <c r="NE13" s="4"/>
      <c r="NF13" s="4"/>
      <c r="NG13" s="4"/>
      <c r="NH13" s="4"/>
      <c r="NI13" s="4"/>
      <c r="NJ13" s="4"/>
      <c r="NK13" s="4"/>
      <c r="NL13" s="4"/>
      <c r="NM13" s="4"/>
      <c r="NN13" s="4"/>
      <c r="NO13" s="4"/>
      <c r="NP13" s="4"/>
      <c r="NQ13" s="4"/>
      <c r="NR13" s="4"/>
      <c r="NS13" s="4"/>
      <c r="NT13" s="4"/>
      <c r="NU13" s="4"/>
      <c r="NV13" s="4"/>
      <c r="NW13" s="4"/>
      <c r="NX13" s="4"/>
      <c r="NY13" s="4"/>
      <c r="NZ13" s="4"/>
      <c r="OA13" s="4"/>
      <c r="OB13" s="4"/>
      <c r="OC13" s="4"/>
      <c r="OD13" s="4"/>
      <c r="OE13" s="4"/>
      <c r="OF13" s="4"/>
      <c r="OG13" s="4"/>
      <c r="OH13" s="4"/>
      <c r="OI13" s="4"/>
    </row>
    <row r="14" spans="1:399" outlineLevel="1">
      <c r="A14" s="116"/>
      <c r="B14" s="116"/>
      <c r="C14" s="116">
        <v>2</v>
      </c>
      <c r="D14" s="3" t="s">
        <v>1064</v>
      </c>
      <c r="E14" s="183"/>
      <c r="F14" s="183" t="s">
        <v>1198</v>
      </c>
      <c r="G14" s="183"/>
      <c r="H14" s="183"/>
      <c r="I14" s="183"/>
      <c r="J14" s="183"/>
      <c r="K14" s="183"/>
      <c r="L14" s="183"/>
      <c r="M14" s="184">
        <v>43752</v>
      </c>
      <c r="N14" s="184">
        <v>43756</v>
      </c>
      <c r="O14" s="185"/>
      <c r="P14" s="186">
        <v>5</v>
      </c>
      <c r="Q14" s="186">
        <v>5</v>
      </c>
      <c r="R14" s="187">
        <v>5</v>
      </c>
      <c r="S14" s="187">
        <v>5</v>
      </c>
      <c r="T14" s="184"/>
      <c r="U14" s="184"/>
      <c r="V14" s="188"/>
      <c r="W14" s="189">
        <v>0</v>
      </c>
      <c r="X14" s="190">
        <v>1</v>
      </c>
      <c r="Y14" s="185" t="s">
        <v>1244</v>
      </c>
      <c r="Z14" s="191"/>
      <c r="AA14" s="97">
        <v>1</v>
      </c>
      <c r="AB14" s="192">
        <v>0</v>
      </c>
      <c r="AC14" s="123"/>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t="str">
        <f>"" &amp; TEXT(AB14,"#0.00%") &amp; " " &amp; "Design" &amp; "(Max)" &amp; " " &amp; IF(M14="","",TEXT(M14,"M/D-")) &amp; IF(N14="","",TEXT(N14,"M/D")) &amp; " "</f>
        <v xml:space="preserve">0.00% Design(Max) 10/14-10/18 </v>
      </c>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c r="FF14" s="4"/>
      <c r="FG14" s="4"/>
      <c r="FH14" s="4"/>
      <c r="FI14" s="4"/>
      <c r="FJ14" s="4"/>
      <c r="FK14" s="4"/>
      <c r="FL14" s="4"/>
      <c r="FM14" s="4"/>
      <c r="FN14" s="4"/>
      <c r="FO14" s="4"/>
      <c r="FP14" s="4"/>
      <c r="FQ14" s="4"/>
      <c r="FR14" s="4"/>
      <c r="FS14" s="4"/>
      <c r="FT14" s="4"/>
      <c r="FU14" s="4"/>
      <c r="FV14" s="4"/>
      <c r="FW14" s="4"/>
      <c r="FX14" s="4"/>
      <c r="FY14" s="4"/>
      <c r="FZ14" s="4"/>
      <c r="GA14" s="4"/>
      <c r="GB14" s="4"/>
      <c r="GC14" s="4"/>
      <c r="GD14" s="4"/>
      <c r="GE14" s="4"/>
      <c r="GF14" s="4"/>
      <c r="GG14" s="4"/>
      <c r="GH14" s="4"/>
      <c r="GI14" s="4"/>
      <c r="GJ14" s="4"/>
      <c r="GK14" s="4"/>
      <c r="GL14" s="4"/>
      <c r="GM14" s="4"/>
      <c r="GN14" s="4"/>
      <c r="GO14" s="4"/>
      <c r="GP14" s="4"/>
      <c r="GQ14" s="4"/>
      <c r="GR14" s="4"/>
      <c r="GS14" s="4"/>
      <c r="GT14" s="4"/>
      <c r="GU14" s="4"/>
      <c r="GV14" s="4"/>
      <c r="GW14" s="4"/>
      <c r="GX14" s="4"/>
      <c r="GY14" s="4"/>
      <c r="GZ14" s="4"/>
      <c r="HA14" s="4"/>
      <c r="HB14" s="4"/>
      <c r="HC14" s="4"/>
      <c r="HD14" s="4"/>
      <c r="HE14" s="4"/>
      <c r="HF14" s="4"/>
      <c r="HG14" s="4"/>
      <c r="HH14" s="4"/>
      <c r="HI14" s="4"/>
      <c r="HJ14" s="4"/>
      <c r="HK14" s="4"/>
      <c r="HL14" s="4"/>
      <c r="HM14" s="4"/>
      <c r="HN14" s="4"/>
      <c r="HO14" s="4"/>
      <c r="HP14" s="4"/>
      <c r="HQ14" s="4"/>
      <c r="HR14" s="4"/>
      <c r="HS14" s="4"/>
      <c r="HT14" s="4"/>
      <c r="HU14" s="4"/>
      <c r="HV14" s="4"/>
      <c r="HW14" s="4"/>
      <c r="HX14" s="4"/>
      <c r="HY14" s="4"/>
      <c r="HZ14" s="4"/>
      <c r="IA14" s="4"/>
      <c r="IB14" s="4"/>
      <c r="IC14" s="4"/>
      <c r="ID14" s="4"/>
      <c r="IE14" s="4"/>
      <c r="IF14" s="4"/>
      <c r="IG14" s="4"/>
      <c r="IH14" s="4"/>
      <c r="II14" s="4"/>
      <c r="IJ14" s="4"/>
      <c r="IK14" s="4"/>
      <c r="IL14" s="4"/>
      <c r="IM14" s="4"/>
      <c r="IN14" s="4"/>
      <c r="IO14" s="4"/>
      <c r="IP14" s="4"/>
      <c r="IQ14" s="4"/>
      <c r="IR14" s="4"/>
      <c r="IS14" s="4"/>
      <c r="IT14" s="4"/>
      <c r="IU14" s="4"/>
      <c r="IV14" s="4"/>
      <c r="IW14" s="4"/>
      <c r="IX14" s="4"/>
      <c r="IY14" s="4"/>
      <c r="IZ14" s="4"/>
      <c r="JA14" s="4"/>
      <c r="JB14" s="4"/>
      <c r="JC14" s="4"/>
      <c r="JD14" s="4"/>
      <c r="JE14" s="4"/>
      <c r="JF14" s="4"/>
      <c r="JG14" s="4"/>
      <c r="JH14" s="4"/>
      <c r="JI14" s="4"/>
      <c r="JJ14" s="4"/>
      <c r="JK14" s="4"/>
      <c r="JL14" s="4"/>
      <c r="JM14" s="4"/>
      <c r="JN14" s="4"/>
      <c r="JO14" s="4"/>
      <c r="JP14" s="4"/>
      <c r="JQ14" s="4"/>
      <c r="JR14" s="4"/>
      <c r="JS14" s="4"/>
      <c r="JT14" s="4"/>
      <c r="JU14" s="4"/>
      <c r="JV14" s="4"/>
      <c r="JW14" s="4"/>
      <c r="JX14" s="4"/>
      <c r="JY14" s="4"/>
      <c r="JZ14" s="4"/>
      <c r="KA14" s="4"/>
      <c r="KB14" s="4"/>
      <c r="KC14" s="4"/>
      <c r="KD14" s="4"/>
      <c r="KE14" s="4"/>
      <c r="KF14" s="4"/>
      <c r="KG14" s="4"/>
      <c r="KH14" s="4"/>
      <c r="KI14" s="4"/>
      <c r="KJ14" s="4"/>
      <c r="KK14" s="4"/>
      <c r="KL14" s="4"/>
      <c r="KM14" s="4"/>
      <c r="KN14" s="4"/>
      <c r="KO14" s="4"/>
      <c r="KP14" s="4"/>
      <c r="KQ14" s="4"/>
      <c r="KR14" s="4"/>
      <c r="KS14" s="4"/>
      <c r="KT14" s="4"/>
      <c r="KU14" s="4"/>
      <c r="KV14" s="4"/>
      <c r="KW14" s="4"/>
      <c r="KX14" s="4"/>
      <c r="KY14" s="4"/>
      <c r="KZ14" s="4"/>
      <c r="LA14" s="4"/>
      <c r="LB14" s="4"/>
      <c r="LC14" s="4"/>
      <c r="LD14" s="4"/>
      <c r="LE14" s="4"/>
      <c r="LF14" s="4"/>
      <c r="LG14" s="4"/>
      <c r="LH14" s="4"/>
      <c r="LI14" s="4"/>
      <c r="LJ14" s="4"/>
      <c r="LK14" s="4"/>
      <c r="LL14" s="4"/>
      <c r="LM14" s="4"/>
      <c r="LN14" s="4"/>
      <c r="LO14" s="4"/>
      <c r="LP14" s="4"/>
      <c r="LQ14" s="4"/>
      <c r="LR14" s="4"/>
      <c r="LS14" s="4"/>
      <c r="LT14" s="4"/>
      <c r="LU14" s="4"/>
      <c r="LV14" s="4"/>
      <c r="LW14" s="4"/>
      <c r="LX14" s="4"/>
      <c r="LY14" s="4"/>
      <c r="LZ14" s="4"/>
      <c r="MA14" s="4"/>
      <c r="MB14" s="4"/>
      <c r="MC14" s="4"/>
      <c r="MD14" s="4"/>
      <c r="ME14" s="4"/>
      <c r="MF14" s="4"/>
      <c r="MG14" s="4"/>
      <c r="MH14" s="4"/>
      <c r="MI14" s="4"/>
      <c r="MJ14" s="4"/>
      <c r="MK14" s="4"/>
      <c r="ML14" s="4"/>
      <c r="MM14" s="4"/>
      <c r="MN14" s="4"/>
      <c r="MO14" s="4"/>
      <c r="MP14" s="4"/>
      <c r="MQ14" s="4"/>
      <c r="MR14" s="4"/>
      <c r="MS14" s="4"/>
      <c r="MT14" s="4"/>
      <c r="MU14" s="4"/>
      <c r="MV14" s="4"/>
      <c r="MW14" s="4"/>
      <c r="MX14" s="4"/>
      <c r="MY14" s="4"/>
      <c r="MZ14" s="4"/>
      <c r="NA14" s="4"/>
      <c r="NB14" s="4"/>
      <c r="NC14" s="4"/>
      <c r="ND14" s="4"/>
      <c r="NE14" s="4"/>
      <c r="NF14" s="4"/>
      <c r="NG14" s="4"/>
      <c r="NH14" s="4"/>
      <c r="NI14" s="4"/>
      <c r="NJ14" s="4"/>
      <c r="NK14" s="4"/>
      <c r="NL14" s="4"/>
      <c r="NM14" s="4"/>
      <c r="NN14" s="4"/>
      <c r="NO14" s="4"/>
      <c r="NP14" s="4"/>
      <c r="NQ14" s="4"/>
      <c r="NR14" s="4"/>
      <c r="NS14" s="4"/>
      <c r="NT14" s="4"/>
      <c r="NU14" s="4"/>
      <c r="NV14" s="4"/>
      <c r="NW14" s="4"/>
      <c r="NX14" s="4"/>
      <c r="NY14" s="4"/>
      <c r="NZ14" s="4"/>
      <c r="OA14" s="4"/>
      <c r="OB14" s="4"/>
      <c r="OC14" s="4"/>
      <c r="OD14" s="4"/>
      <c r="OE14" s="4"/>
      <c r="OF14" s="4"/>
      <c r="OG14" s="4"/>
      <c r="OH14" s="4"/>
      <c r="OI14" s="4"/>
    </row>
    <row r="15" spans="1:399" outlineLevel="1">
      <c r="A15" s="116"/>
      <c r="B15" s="116"/>
      <c r="C15" s="116">
        <v>2</v>
      </c>
      <c r="D15" s="3" t="s">
        <v>1065</v>
      </c>
      <c r="E15" s="183"/>
      <c r="F15" s="183" t="s">
        <v>1178</v>
      </c>
      <c r="G15" s="183"/>
      <c r="H15" s="183"/>
      <c r="I15" s="183"/>
      <c r="J15" s="183"/>
      <c r="K15" s="183"/>
      <c r="L15" s="183"/>
      <c r="M15" s="184">
        <v>43762</v>
      </c>
      <c r="N15" s="184">
        <v>43763</v>
      </c>
      <c r="O15" s="185"/>
      <c r="P15" s="186">
        <v>2</v>
      </c>
      <c r="Q15" s="186">
        <v>1</v>
      </c>
      <c r="R15" s="187">
        <v>2</v>
      </c>
      <c r="S15" s="187">
        <v>1</v>
      </c>
      <c r="T15" s="184"/>
      <c r="U15" s="184"/>
      <c r="V15" s="188"/>
      <c r="W15" s="189">
        <v>0</v>
      </c>
      <c r="X15" s="190">
        <v>1</v>
      </c>
      <c r="Y15" s="185"/>
      <c r="Z15" s="191"/>
      <c r="AA15" s="97">
        <v>0.5</v>
      </c>
      <c r="AB15" s="192">
        <v>0</v>
      </c>
      <c r="AC15" s="123"/>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t="str">
        <f>"   " &amp; TEXT(AB15,"#0.00%") &amp; " " &amp; "Core" &amp; " " &amp; IF(M15="","",TEXT(M15,"M/D-")) &amp; IF(N15="","",TEXT(N15,"M/D")) &amp; " "</f>
        <v xml:space="preserve">   0.00% Core 10/24-10/25 </v>
      </c>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c r="FF15" s="4"/>
      <c r="FG15" s="4"/>
      <c r="FH15" s="4"/>
      <c r="FI15" s="4"/>
      <c r="FJ15" s="4"/>
      <c r="FK15" s="4"/>
      <c r="FL15" s="4"/>
      <c r="FM15" s="4"/>
      <c r="FN15" s="4"/>
      <c r="FO15" s="4"/>
      <c r="FP15" s="4"/>
      <c r="FQ15" s="4"/>
      <c r="FR15" s="4"/>
      <c r="FS15" s="4"/>
      <c r="FT15" s="4"/>
      <c r="FU15" s="4"/>
      <c r="FV15" s="4"/>
      <c r="FW15" s="4"/>
      <c r="FX15" s="4"/>
      <c r="FY15" s="4"/>
      <c r="FZ15" s="4"/>
      <c r="GA15" s="4"/>
      <c r="GB15" s="4"/>
      <c r="GC15" s="4"/>
      <c r="GD15" s="4"/>
      <c r="GE15" s="4"/>
      <c r="GF15" s="4"/>
      <c r="GG15" s="4"/>
      <c r="GH15" s="4"/>
      <c r="GI15" s="4"/>
      <c r="GJ15" s="4"/>
      <c r="GK15" s="4"/>
      <c r="GL15" s="4"/>
      <c r="GM15" s="4"/>
      <c r="GN15" s="4"/>
      <c r="GO15" s="4"/>
      <c r="GP15" s="4"/>
      <c r="GQ15" s="4"/>
      <c r="GR15" s="4"/>
      <c r="GS15" s="4"/>
      <c r="GT15" s="4"/>
      <c r="GU15" s="4"/>
      <c r="GV15" s="4"/>
      <c r="GW15" s="4"/>
      <c r="GX15" s="4"/>
      <c r="GY15" s="4"/>
      <c r="GZ15" s="4"/>
      <c r="HA15" s="4"/>
      <c r="HB15" s="4"/>
      <c r="HC15" s="4"/>
      <c r="HD15" s="4"/>
      <c r="HE15" s="4"/>
      <c r="HF15" s="4"/>
      <c r="HG15" s="4"/>
      <c r="HH15" s="4"/>
      <c r="HI15" s="4"/>
      <c r="HJ15" s="4"/>
      <c r="HK15" s="4"/>
      <c r="HL15" s="4"/>
      <c r="HM15" s="4"/>
      <c r="HN15" s="4"/>
      <c r="HO15" s="4"/>
      <c r="HP15" s="4"/>
      <c r="HQ15" s="4"/>
      <c r="HR15" s="4"/>
      <c r="HS15" s="4"/>
      <c r="HT15" s="4"/>
      <c r="HU15" s="4"/>
      <c r="HV15" s="4"/>
      <c r="HW15" s="4"/>
      <c r="HX15" s="4"/>
      <c r="HY15" s="4"/>
      <c r="HZ15" s="4"/>
      <c r="IA15" s="4"/>
      <c r="IB15" s="4"/>
      <c r="IC15" s="4"/>
      <c r="ID15" s="4"/>
      <c r="IE15" s="4"/>
      <c r="IF15" s="4"/>
      <c r="IG15" s="4"/>
      <c r="IH15" s="4"/>
      <c r="II15" s="4"/>
      <c r="IJ15" s="4"/>
      <c r="IK15" s="4"/>
      <c r="IL15" s="4"/>
      <c r="IM15" s="4"/>
      <c r="IN15" s="4"/>
      <c r="IO15" s="4"/>
      <c r="IP15" s="4"/>
      <c r="IQ15" s="4"/>
      <c r="IR15" s="4"/>
      <c r="IS15" s="4"/>
      <c r="IT15" s="4"/>
      <c r="IU15" s="4"/>
      <c r="IV15" s="4"/>
      <c r="IW15" s="4"/>
      <c r="IX15" s="4"/>
      <c r="IY15" s="4"/>
      <c r="IZ15" s="4"/>
      <c r="JA15" s="4"/>
      <c r="JB15" s="4"/>
      <c r="JC15" s="4"/>
      <c r="JD15" s="4"/>
      <c r="JE15" s="4"/>
      <c r="JF15" s="4"/>
      <c r="JG15" s="4"/>
      <c r="JH15" s="4"/>
      <c r="JI15" s="4"/>
      <c r="JJ15" s="4"/>
      <c r="JK15" s="4"/>
      <c r="JL15" s="4"/>
      <c r="JM15" s="4"/>
      <c r="JN15" s="4"/>
      <c r="JO15" s="4"/>
      <c r="JP15" s="4"/>
      <c r="JQ15" s="4"/>
      <c r="JR15" s="4"/>
      <c r="JS15" s="4"/>
      <c r="JT15" s="4"/>
      <c r="JU15" s="4"/>
      <c r="JV15" s="4"/>
      <c r="JW15" s="4"/>
      <c r="JX15" s="4"/>
      <c r="JY15" s="4"/>
      <c r="JZ15" s="4"/>
      <c r="KA15" s="4"/>
      <c r="KB15" s="4"/>
      <c r="KC15" s="4"/>
      <c r="KD15" s="4"/>
      <c r="KE15" s="4"/>
      <c r="KF15" s="4"/>
      <c r="KG15" s="4"/>
      <c r="KH15" s="4"/>
      <c r="KI15" s="4"/>
      <c r="KJ15" s="4"/>
      <c r="KK15" s="4"/>
      <c r="KL15" s="4"/>
      <c r="KM15" s="4"/>
      <c r="KN15" s="4"/>
      <c r="KO15" s="4"/>
      <c r="KP15" s="4"/>
      <c r="KQ15" s="4"/>
      <c r="KR15" s="4"/>
      <c r="KS15" s="4"/>
      <c r="KT15" s="4"/>
      <c r="KU15" s="4"/>
      <c r="KV15" s="4"/>
      <c r="KW15" s="4"/>
      <c r="KX15" s="4"/>
      <c r="KY15" s="4"/>
      <c r="KZ15" s="4"/>
      <c r="LA15" s="4"/>
      <c r="LB15" s="4"/>
      <c r="LC15" s="4"/>
      <c r="LD15" s="4"/>
      <c r="LE15" s="4"/>
      <c r="LF15" s="4"/>
      <c r="LG15" s="4"/>
      <c r="LH15" s="4"/>
      <c r="LI15" s="4"/>
      <c r="LJ15" s="4"/>
      <c r="LK15" s="4"/>
      <c r="LL15" s="4"/>
      <c r="LM15" s="4"/>
      <c r="LN15" s="4"/>
      <c r="LO15" s="4"/>
      <c r="LP15" s="4"/>
      <c r="LQ15" s="4"/>
      <c r="LR15" s="4"/>
      <c r="LS15" s="4"/>
      <c r="LT15" s="4"/>
      <c r="LU15" s="4"/>
      <c r="LV15" s="4"/>
      <c r="LW15" s="4"/>
      <c r="LX15" s="4"/>
      <c r="LY15" s="4"/>
      <c r="LZ15" s="4"/>
      <c r="MA15" s="4"/>
      <c r="MB15" s="4"/>
      <c r="MC15" s="4"/>
      <c r="MD15" s="4"/>
      <c r="ME15" s="4"/>
      <c r="MF15" s="4"/>
      <c r="MG15" s="4"/>
      <c r="MH15" s="4"/>
      <c r="MI15" s="4"/>
      <c r="MJ15" s="4"/>
      <c r="MK15" s="4"/>
      <c r="ML15" s="4"/>
      <c r="MM15" s="4"/>
      <c r="MN15" s="4"/>
      <c r="MO15" s="4"/>
      <c r="MP15" s="4"/>
      <c r="MQ15" s="4"/>
      <c r="MR15" s="4"/>
      <c r="MS15" s="4"/>
      <c r="MT15" s="4"/>
      <c r="MU15" s="4"/>
      <c r="MV15" s="4"/>
      <c r="MW15" s="4"/>
      <c r="MX15" s="4"/>
      <c r="MY15" s="4"/>
      <c r="MZ15" s="4"/>
      <c r="NA15" s="4"/>
      <c r="NB15" s="4"/>
      <c r="NC15" s="4"/>
      <c r="ND15" s="4"/>
      <c r="NE15" s="4"/>
      <c r="NF15" s="4"/>
      <c r="NG15" s="4"/>
      <c r="NH15" s="4"/>
      <c r="NI15" s="4"/>
      <c r="NJ15" s="4"/>
      <c r="NK15" s="4"/>
      <c r="NL15" s="4"/>
      <c r="NM15" s="4"/>
      <c r="NN15" s="4"/>
      <c r="NO15" s="4"/>
      <c r="NP15" s="4"/>
      <c r="NQ15" s="4"/>
      <c r="NR15" s="4"/>
      <c r="NS15" s="4"/>
      <c r="NT15" s="4"/>
      <c r="NU15" s="4"/>
      <c r="NV15" s="4"/>
      <c r="NW15" s="4"/>
      <c r="NX15" s="4"/>
      <c r="NY15" s="4"/>
      <c r="NZ15" s="4"/>
      <c r="OA15" s="4"/>
      <c r="OB15" s="4"/>
      <c r="OC15" s="4"/>
      <c r="OD15" s="4"/>
      <c r="OE15" s="4"/>
      <c r="OF15" s="4"/>
      <c r="OG15" s="4"/>
      <c r="OH15" s="4"/>
      <c r="OI15" s="4"/>
    </row>
    <row r="16" spans="1:399" outlineLevel="1">
      <c r="A16" s="116"/>
      <c r="B16" s="116"/>
      <c r="C16" s="116">
        <v>2</v>
      </c>
      <c r="D16" s="3" t="s">
        <v>1158</v>
      </c>
      <c r="E16" s="183"/>
      <c r="F16" s="183" t="s">
        <v>1179</v>
      </c>
      <c r="G16" s="183"/>
      <c r="H16" s="183"/>
      <c r="I16" s="183"/>
      <c r="J16" s="183"/>
      <c r="K16" s="183"/>
      <c r="L16" s="183"/>
      <c r="M16" s="184"/>
      <c r="N16" s="184"/>
      <c r="O16" s="185"/>
      <c r="P16" s="186">
        <v>0</v>
      </c>
      <c r="Q16" s="186">
        <v>0</v>
      </c>
      <c r="R16" s="187">
        <v>0</v>
      </c>
      <c r="S16" s="187">
        <v>0</v>
      </c>
      <c r="T16" s="184"/>
      <c r="U16" s="184"/>
      <c r="V16" s="188">
        <v>0</v>
      </c>
      <c r="W16" s="189">
        <v>0</v>
      </c>
      <c r="X16" s="190"/>
      <c r="Y16" s="185"/>
      <c r="Z16" s="191"/>
      <c r="AA16" s="97">
        <v>0</v>
      </c>
      <c r="AB16" s="192">
        <v>0</v>
      </c>
      <c r="AC16" s="123"/>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c r="FF16" s="4"/>
      <c r="FG16" s="4"/>
      <c r="FH16" s="4"/>
      <c r="FI16" s="4"/>
      <c r="FJ16" s="4"/>
      <c r="FK16" s="4"/>
      <c r="FL16" s="4"/>
      <c r="FM16" s="4"/>
      <c r="FN16" s="4"/>
      <c r="FO16" s="4"/>
      <c r="FP16" s="4"/>
      <c r="FQ16" s="4"/>
      <c r="FR16" s="4"/>
      <c r="FS16" s="4"/>
      <c r="FT16" s="4"/>
      <c r="FU16" s="4"/>
      <c r="FV16" s="4"/>
      <c r="FW16" s="4"/>
      <c r="FX16" s="4"/>
      <c r="FY16" s="4"/>
      <c r="FZ16" s="4"/>
      <c r="GA16" s="4"/>
      <c r="GB16" s="4"/>
      <c r="GC16" s="4"/>
      <c r="GD16" s="4"/>
      <c r="GE16" s="4"/>
      <c r="GF16" s="4"/>
      <c r="GG16" s="4"/>
      <c r="GH16" s="4"/>
      <c r="GI16" s="4"/>
      <c r="GJ16" s="4"/>
      <c r="GK16" s="4"/>
      <c r="GL16" s="4"/>
      <c r="GM16" s="4"/>
      <c r="GN16" s="4"/>
      <c r="GO16" s="4"/>
      <c r="GP16" s="4"/>
      <c r="GQ16" s="4"/>
      <c r="GR16" s="4"/>
      <c r="GS16" s="4"/>
      <c r="GT16" s="4"/>
      <c r="GU16" s="4"/>
      <c r="GV16" s="4"/>
      <c r="GW16" s="4"/>
      <c r="GX16" s="4"/>
      <c r="GY16" s="4"/>
      <c r="GZ16" s="4"/>
      <c r="HA16" s="4"/>
      <c r="HB16" s="4"/>
      <c r="HC16" s="4"/>
      <c r="HD16" s="4"/>
      <c r="HE16" s="4"/>
      <c r="HF16" s="4"/>
      <c r="HG16" s="4"/>
      <c r="HH16" s="4"/>
      <c r="HI16" s="4"/>
      <c r="HJ16" s="4"/>
      <c r="HK16" s="4"/>
      <c r="HL16" s="4"/>
      <c r="HM16" s="4"/>
      <c r="HN16" s="4"/>
      <c r="HO16" s="4"/>
      <c r="HP16" s="4"/>
      <c r="HQ16" s="4"/>
      <c r="HR16" s="4"/>
      <c r="HS16" s="4"/>
      <c r="HT16" s="4"/>
      <c r="HU16" s="4"/>
      <c r="HV16" s="4"/>
      <c r="HW16" s="4"/>
      <c r="HX16" s="4"/>
      <c r="HY16" s="4"/>
      <c r="HZ16" s="4"/>
      <c r="IA16" s="4"/>
      <c r="IB16" s="4"/>
      <c r="IC16" s="4"/>
      <c r="ID16" s="4"/>
      <c r="IE16" s="4"/>
      <c r="IF16" s="4"/>
      <c r="IG16" s="4"/>
      <c r="IH16" s="4"/>
      <c r="II16" s="4"/>
      <c r="IJ16" s="4"/>
      <c r="IK16" s="4"/>
      <c r="IL16" s="4"/>
      <c r="IM16" s="4"/>
      <c r="IN16" s="4"/>
      <c r="IO16" s="4"/>
      <c r="IP16" s="4"/>
      <c r="IQ16" s="4"/>
      <c r="IR16" s="4"/>
      <c r="IS16" s="4"/>
      <c r="IT16" s="4"/>
      <c r="IU16" s="4"/>
      <c r="IV16" s="4"/>
      <c r="IW16" s="4"/>
      <c r="IX16" s="4"/>
      <c r="IY16" s="4"/>
      <c r="IZ16" s="4"/>
      <c r="JA16" s="4"/>
      <c r="JB16" s="4"/>
      <c r="JC16" s="4"/>
      <c r="JD16" s="4"/>
      <c r="JE16" s="4"/>
      <c r="JF16" s="4"/>
      <c r="JG16" s="4"/>
      <c r="JH16" s="4"/>
      <c r="JI16" s="4"/>
      <c r="JJ16" s="4"/>
      <c r="JK16" s="4"/>
      <c r="JL16" s="4"/>
      <c r="JM16" s="4"/>
      <c r="JN16" s="4"/>
      <c r="JO16" s="4"/>
      <c r="JP16" s="4"/>
      <c r="JQ16" s="4"/>
      <c r="JR16" s="4"/>
      <c r="JS16" s="4"/>
      <c r="JT16" s="4"/>
      <c r="JU16" s="4"/>
      <c r="JV16" s="4"/>
      <c r="JW16" s="4"/>
      <c r="JX16" s="4"/>
      <c r="JY16" s="4"/>
      <c r="JZ16" s="4"/>
      <c r="KA16" s="4"/>
      <c r="KB16" s="4"/>
      <c r="KC16" s="4"/>
      <c r="KD16" s="4"/>
      <c r="KE16" s="4"/>
      <c r="KF16" s="4"/>
      <c r="KG16" s="4"/>
      <c r="KH16" s="4"/>
      <c r="KI16" s="4"/>
      <c r="KJ16" s="4"/>
      <c r="KK16" s="4"/>
      <c r="KL16" s="4"/>
      <c r="KM16" s="4"/>
      <c r="KN16" s="4"/>
      <c r="KO16" s="4"/>
      <c r="KP16" s="4"/>
      <c r="KQ16" s="4"/>
      <c r="KR16" s="4"/>
      <c r="KS16" s="4"/>
      <c r="KT16" s="4"/>
      <c r="KU16" s="4"/>
      <c r="KV16" s="4"/>
      <c r="KW16" s="4"/>
      <c r="KX16" s="4"/>
      <c r="KY16" s="4"/>
      <c r="KZ16" s="4"/>
      <c r="LA16" s="4"/>
      <c r="LB16" s="4"/>
      <c r="LC16" s="4"/>
      <c r="LD16" s="4"/>
      <c r="LE16" s="4"/>
      <c r="LF16" s="4"/>
      <c r="LG16" s="4"/>
      <c r="LH16" s="4"/>
      <c r="LI16" s="4"/>
      <c r="LJ16" s="4"/>
      <c r="LK16" s="4"/>
      <c r="LL16" s="4"/>
      <c r="LM16" s="4"/>
      <c r="LN16" s="4"/>
      <c r="LO16" s="4"/>
      <c r="LP16" s="4"/>
      <c r="LQ16" s="4"/>
      <c r="LR16" s="4"/>
      <c r="LS16" s="4"/>
      <c r="LT16" s="4"/>
      <c r="LU16" s="4"/>
      <c r="LV16" s="4"/>
      <c r="LW16" s="4"/>
      <c r="LX16" s="4"/>
      <c r="LY16" s="4"/>
      <c r="LZ16" s="4"/>
      <c r="MA16" s="4"/>
      <c r="MB16" s="4"/>
      <c r="MC16" s="4"/>
      <c r="MD16" s="4"/>
      <c r="ME16" s="4"/>
      <c r="MF16" s="4"/>
      <c r="MG16" s="4"/>
      <c r="MH16" s="4"/>
      <c r="MI16" s="4"/>
      <c r="MJ16" s="4"/>
      <c r="MK16" s="4"/>
      <c r="ML16" s="4"/>
      <c r="MM16" s="4"/>
      <c r="MN16" s="4"/>
      <c r="MO16" s="4"/>
      <c r="MP16" s="4"/>
      <c r="MQ16" s="4"/>
      <c r="MR16" s="4"/>
      <c r="MS16" s="4"/>
      <c r="MT16" s="4"/>
      <c r="MU16" s="4"/>
      <c r="MV16" s="4"/>
      <c r="MW16" s="4"/>
      <c r="MX16" s="4"/>
      <c r="MY16" s="4"/>
      <c r="MZ16" s="4"/>
      <c r="NA16" s="4"/>
      <c r="NB16" s="4"/>
      <c r="NC16" s="4"/>
      <c r="ND16" s="4"/>
      <c r="NE16" s="4"/>
      <c r="NF16" s="4"/>
      <c r="NG16" s="4"/>
      <c r="NH16" s="4"/>
      <c r="NI16" s="4"/>
      <c r="NJ16" s="4"/>
      <c r="NK16" s="4"/>
      <c r="NL16" s="4"/>
      <c r="NM16" s="4"/>
      <c r="NN16" s="4"/>
      <c r="NO16" s="4"/>
      <c r="NP16" s="4"/>
      <c r="NQ16" s="4"/>
      <c r="NR16" s="4"/>
      <c r="NS16" s="4"/>
      <c r="NT16" s="4"/>
      <c r="NU16" s="4"/>
      <c r="NV16" s="4"/>
      <c r="NW16" s="4"/>
      <c r="NX16" s="4"/>
      <c r="NY16" s="4"/>
      <c r="NZ16" s="4"/>
      <c r="OA16" s="4"/>
      <c r="OB16" s="4"/>
      <c r="OC16" s="4"/>
      <c r="OD16" s="4"/>
      <c r="OE16" s="4"/>
      <c r="OF16" s="4"/>
      <c r="OG16" s="4"/>
      <c r="OH16" s="4"/>
      <c r="OI16" s="4"/>
    </row>
    <row r="17" spans="1:399" outlineLevel="1">
      <c r="A17" s="116"/>
      <c r="B17" s="116"/>
      <c r="C17" s="116">
        <v>2</v>
      </c>
      <c r="D17" s="3" t="s">
        <v>1159</v>
      </c>
      <c r="E17" s="183"/>
      <c r="F17" s="183" t="s">
        <v>1180</v>
      </c>
      <c r="G17" s="183"/>
      <c r="H17" s="183"/>
      <c r="I17" s="183"/>
      <c r="J17" s="183"/>
      <c r="K17" s="183"/>
      <c r="L17" s="183"/>
      <c r="M17" s="184"/>
      <c r="N17" s="184"/>
      <c r="O17" s="185"/>
      <c r="P17" s="186">
        <v>0</v>
      </c>
      <c r="Q17" s="186">
        <v>0</v>
      </c>
      <c r="R17" s="187">
        <v>0</v>
      </c>
      <c r="S17" s="187">
        <v>0</v>
      </c>
      <c r="T17" s="184"/>
      <c r="U17" s="184"/>
      <c r="V17" s="188">
        <v>0</v>
      </c>
      <c r="W17" s="189">
        <v>0</v>
      </c>
      <c r="X17" s="190">
        <v>1</v>
      </c>
      <c r="Y17" s="185"/>
      <c r="Z17" s="191"/>
      <c r="AA17" s="97">
        <v>0</v>
      </c>
      <c r="AB17" s="192">
        <v>0</v>
      </c>
      <c r="AC17" s="123"/>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c r="FF17" s="4"/>
      <c r="FG17" s="4"/>
      <c r="FH17" s="4"/>
      <c r="FI17" s="4"/>
      <c r="FJ17" s="4"/>
      <c r="FK17" s="4"/>
      <c r="FL17" s="4"/>
      <c r="FM17" s="4"/>
      <c r="FN17" s="4"/>
      <c r="FO17" s="4"/>
      <c r="FP17" s="4"/>
      <c r="FQ17" s="4"/>
      <c r="FR17" s="4"/>
      <c r="FS17" s="4"/>
      <c r="FT17" s="4"/>
      <c r="FU17" s="4"/>
      <c r="FV17" s="4"/>
      <c r="FW17" s="4"/>
      <c r="FX17" s="4"/>
      <c r="FY17" s="4"/>
      <c r="FZ17" s="4"/>
      <c r="GA17" s="4"/>
      <c r="GB17" s="4"/>
      <c r="GC17" s="4"/>
      <c r="GD17" s="4"/>
      <c r="GE17" s="4"/>
      <c r="GF17" s="4"/>
      <c r="GG17" s="4"/>
      <c r="GH17" s="4"/>
      <c r="GI17" s="4"/>
      <c r="GJ17" s="4"/>
      <c r="GK17" s="4"/>
      <c r="GL17" s="4"/>
      <c r="GM17" s="4"/>
      <c r="GN17" s="4"/>
      <c r="GO17" s="4"/>
      <c r="GP17" s="4"/>
      <c r="GQ17" s="4"/>
      <c r="GR17" s="4"/>
      <c r="GS17" s="4"/>
      <c r="GT17" s="4"/>
      <c r="GU17" s="4"/>
      <c r="GV17" s="4"/>
      <c r="GW17" s="4"/>
      <c r="GX17" s="4"/>
      <c r="GY17" s="4"/>
      <c r="GZ17" s="4"/>
      <c r="HA17" s="4"/>
      <c r="HB17" s="4"/>
      <c r="HC17" s="4"/>
      <c r="HD17" s="4"/>
      <c r="HE17" s="4"/>
      <c r="HF17" s="4"/>
      <c r="HG17" s="4"/>
      <c r="HH17" s="4"/>
      <c r="HI17" s="4"/>
      <c r="HJ17" s="4"/>
      <c r="HK17" s="4"/>
      <c r="HL17" s="4"/>
      <c r="HM17" s="4"/>
      <c r="HN17" s="4"/>
      <c r="HO17" s="4"/>
      <c r="HP17" s="4"/>
      <c r="HQ17" s="4"/>
      <c r="HR17" s="4"/>
      <c r="HS17" s="4"/>
      <c r="HT17" s="4"/>
      <c r="HU17" s="4"/>
      <c r="HV17" s="4"/>
      <c r="HW17" s="4"/>
      <c r="HX17" s="4"/>
      <c r="HY17" s="4"/>
      <c r="HZ17" s="4"/>
      <c r="IA17" s="4"/>
      <c r="IB17" s="4"/>
      <c r="IC17" s="4"/>
      <c r="ID17" s="4"/>
      <c r="IE17" s="4"/>
      <c r="IF17" s="4"/>
      <c r="IG17" s="4"/>
      <c r="IH17" s="4"/>
      <c r="II17" s="4"/>
      <c r="IJ17" s="4"/>
      <c r="IK17" s="4"/>
      <c r="IL17" s="4"/>
      <c r="IM17" s="4"/>
      <c r="IN17" s="4"/>
      <c r="IO17" s="4"/>
      <c r="IP17" s="4"/>
      <c r="IQ17" s="4"/>
      <c r="IR17" s="4"/>
      <c r="IS17" s="4"/>
      <c r="IT17" s="4"/>
      <c r="IU17" s="4"/>
      <c r="IV17" s="4"/>
      <c r="IW17" s="4"/>
      <c r="IX17" s="4"/>
      <c r="IY17" s="4"/>
      <c r="IZ17" s="4"/>
      <c r="JA17" s="4"/>
      <c r="JB17" s="4"/>
      <c r="JC17" s="4"/>
      <c r="JD17" s="4"/>
      <c r="JE17" s="4"/>
      <c r="JF17" s="4"/>
      <c r="JG17" s="4"/>
      <c r="JH17" s="4"/>
      <c r="JI17" s="4"/>
      <c r="JJ17" s="4"/>
      <c r="JK17" s="4"/>
      <c r="JL17" s="4"/>
      <c r="JM17" s="4"/>
      <c r="JN17" s="4"/>
      <c r="JO17" s="4"/>
      <c r="JP17" s="4"/>
      <c r="JQ17" s="4"/>
      <c r="JR17" s="4"/>
      <c r="JS17" s="4"/>
      <c r="JT17" s="4"/>
      <c r="JU17" s="4"/>
      <c r="JV17" s="4"/>
      <c r="JW17" s="4"/>
      <c r="JX17" s="4"/>
      <c r="JY17" s="4"/>
      <c r="JZ17" s="4"/>
      <c r="KA17" s="4"/>
      <c r="KB17" s="4"/>
      <c r="KC17" s="4"/>
      <c r="KD17" s="4"/>
      <c r="KE17" s="4"/>
      <c r="KF17" s="4"/>
      <c r="KG17" s="4"/>
      <c r="KH17" s="4"/>
      <c r="KI17" s="4"/>
      <c r="KJ17" s="4"/>
      <c r="KK17" s="4"/>
      <c r="KL17" s="4"/>
      <c r="KM17" s="4"/>
      <c r="KN17" s="4"/>
      <c r="KO17" s="4"/>
      <c r="KP17" s="4"/>
      <c r="KQ17" s="4"/>
      <c r="KR17" s="4"/>
      <c r="KS17" s="4"/>
      <c r="KT17" s="4"/>
      <c r="KU17" s="4"/>
      <c r="KV17" s="4"/>
      <c r="KW17" s="4"/>
      <c r="KX17" s="4"/>
      <c r="KY17" s="4"/>
      <c r="KZ17" s="4"/>
      <c r="LA17" s="4"/>
      <c r="LB17" s="4"/>
      <c r="LC17" s="4"/>
      <c r="LD17" s="4"/>
      <c r="LE17" s="4"/>
      <c r="LF17" s="4"/>
      <c r="LG17" s="4"/>
      <c r="LH17" s="4"/>
      <c r="LI17" s="4"/>
      <c r="LJ17" s="4"/>
      <c r="LK17" s="4"/>
      <c r="LL17" s="4"/>
      <c r="LM17" s="4"/>
      <c r="LN17" s="4"/>
      <c r="LO17" s="4"/>
      <c r="LP17" s="4"/>
      <c r="LQ17" s="4"/>
      <c r="LR17" s="4"/>
      <c r="LS17" s="4"/>
      <c r="LT17" s="4"/>
      <c r="LU17" s="4"/>
      <c r="LV17" s="4"/>
      <c r="LW17" s="4"/>
      <c r="LX17" s="4"/>
      <c r="LY17" s="4"/>
      <c r="LZ17" s="4"/>
      <c r="MA17" s="4"/>
      <c r="MB17" s="4"/>
      <c r="MC17" s="4"/>
      <c r="MD17" s="4"/>
      <c r="ME17" s="4"/>
      <c r="MF17" s="4"/>
      <c r="MG17" s="4"/>
      <c r="MH17" s="4"/>
      <c r="MI17" s="4"/>
      <c r="MJ17" s="4"/>
      <c r="MK17" s="4"/>
      <c r="ML17" s="4"/>
      <c r="MM17" s="4"/>
      <c r="MN17" s="4"/>
      <c r="MO17" s="4"/>
      <c r="MP17" s="4"/>
      <c r="MQ17" s="4"/>
      <c r="MR17" s="4"/>
      <c r="MS17" s="4"/>
      <c r="MT17" s="4"/>
      <c r="MU17" s="4"/>
      <c r="MV17" s="4"/>
      <c r="MW17" s="4"/>
      <c r="MX17" s="4"/>
      <c r="MY17" s="4"/>
      <c r="MZ17" s="4"/>
      <c r="NA17" s="4"/>
      <c r="NB17" s="4"/>
      <c r="NC17" s="4"/>
      <c r="ND17" s="4"/>
      <c r="NE17" s="4"/>
      <c r="NF17" s="4"/>
      <c r="NG17" s="4"/>
      <c r="NH17" s="4"/>
      <c r="NI17" s="4"/>
      <c r="NJ17" s="4"/>
      <c r="NK17" s="4"/>
      <c r="NL17" s="4"/>
      <c r="NM17" s="4"/>
      <c r="NN17" s="4"/>
      <c r="NO17" s="4"/>
      <c r="NP17" s="4"/>
      <c r="NQ17" s="4"/>
      <c r="NR17" s="4"/>
      <c r="NS17" s="4"/>
      <c r="NT17" s="4"/>
      <c r="NU17" s="4"/>
      <c r="NV17" s="4"/>
      <c r="NW17" s="4"/>
      <c r="NX17" s="4"/>
      <c r="NY17" s="4"/>
      <c r="NZ17" s="4"/>
      <c r="OA17" s="4"/>
      <c r="OB17" s="4"/>
      <c r="OC17" s="4"/>
      <c r="OD17" s="4"/>
      <c r="OE17" s="4"/>
      <c r="OF17" s="4"/>
      <c r="OG17" s="4"/>
      <c r="OH17" s="4"/>
      <c r="OI17" s="4"/>
    </row>
    <row r="18" spans="1:399" outlineLevel="1">
      <c r="A18" s="116"/>
      <c r="B18" s="116"/>
      <c r="C18" s="116">
        <v>2</v>
      </c>
      <c r="D18" s="3" t="s">
        <v>1160</v>
      </c>
      <c r="E18" s="183"/>
      <c r="F18" s="183" t="s">
        <v>1199</v>
      </c>
      <c r="G18" s="183"/>
      <c r="H18" s="183"/>
      <c r="I18" s="183"/>
      <c r="J18" s="183"/>
      <c r="K18" s="183"/>
      <c r="L18" s="183"/>
      <c r="M18" s="184"/>
      <c r="N18" s="184"/>
      <c r="O18" s="185"/>
      <c r="P18" s="186">
        <v>0</v>
      </c>
      <c r="Q18" s="186">
        <v>0</v>
      </c>
      <c r="R18" s="187">
        <v>0</v>
      </c>
      <c r="S18" s="187">
        <v>0</v>
      </c>
      <c r="T18" s="184"/>
      <c r="U18" s="184"/>
      <c r="V18" s="188">
        <v>0</v>
      </c>
      <c r="W18" s="189">
        <v>0</v>
      </c>
      <c r="X18" s="190">
        <v>1</v>
      </c>
      <c r="Y18" s="185"/>
      <c r="Z18" s="191"/>
      <c r="AA18" s="97">
        <v>0</v>
      </c>
      <c r="AB18" s="192">
        <v>0</v>
      </c>
      <c r="AC18" s="123"/>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c r="FF18" s="4"/>
      <c r="FG18" s="4"/>
      <c r="FH18" s="4"/>
      <c r="FI18" s="4"/>
      <c r="FJ18" s="4"/>
      <c r="FK18" s="4"/>
      <c r="FL18" s="4"/>
      <c r="FM18" s="4"/>
      <c r="FN18" s="4"/>
      <c r="FO18" s="4"/>
      <c r="FP18" s="4"/>
      <c r="FQ18" s="4"/>
      <c r="FR18" s="4"/>
      <c r="FS18" s="4"/>
      <c r="FT18" s="4"/>
      <c r="FU18" s="4"/>
      <c r="FV18" s="4"/>
      <c r="FW18" s="4"/>
      <c r="FX18" s="4"/>
      <c r="FY18" s="4"/>
      <c r="FZ18" s="4"/>
      <c r="GA18" s="4"/>
      <c r="GB18" s="4"/>
      <c r="GC18" s="4"/>
      <c r="GD18" s="4"/>
      <c r="GE18" s="4"/>
      <c r="GF18" s="4"/>
      <c r="GG18" s="4"/>
      <c r="GH18" s="4"/>
      <c r="GI18" s="4"/>
      <c r="GJ18" s="4"/>
      <c r="GK18" s="4"/>
      <c r="GL18" s="4"/>
      <c r="GM18" s="4"/>
      <c r="GN18" s="4"/>
      <c r="GO18" s="4"/>
      <c r="GP18" s="4"/>
      <c r="GQ18" s="4"/>
      <c r="GR18" s="4"/>
      <c r="GS18" s="4"/>
      <c r="GT18" s="4"/>
      <c r="GU18" s="4"/>
      <c r="GV18" s="4"/>
      <c r="GW18" s="4"/>
      <c r="GX18" s="4"/>
      <c r="GY18" s="4"/>
      <c r="GZ18" s="4"/>
      <c r="HA18" s="4"/>
      <c r="HB18" s="4"/>
      <c r="HC18" s="4"/>
      <c r="HD18" s="4"/>
      <c r="HE18" s="4"/>
      <c r="HF18" s="4"/>
      <c r="HG18" s="4"/>
      <c r="HH18" s="4"/>
      <c r="HI18" s="4"/>
      <c r="HJ18" s="4"/>
      <c r="HK18" s="4"/>
      <c r="HL18" s="4"/>
      <c r="HM18" s="4"/>
      <c r="HN18" s="4"/>
      <c r="HO18" s="4"/>
      <c r="HP18" s="4"/>
      <c r="HQ18" s="4"/>
      <c r="HR18" s="4"/>
      <c r="HS18" s="4"/>
      <c r="HT18" s="4"/>
      <c r="HU18" s="4"/>
      <c r="HV18" s="4"/>
      <c r="HW18" s="4"/>
      <c r="HX18" s="4"/>
      <c r="HY18" s="4"/>
      <c r="HZ18" s="4"/>
      <c r="IA18" s="4"/>
      <c r="IB18" s="4"/>
      <c r="IC18" s="4"/>
      <c r="ID18" s="4"/>
      <c r="IE18" s="4"/>
      <c r="IF18" s="4"/>
      <c r="IG18" s="4"/>
      <c r="IH18" s="4"/>
      <c r="II18" s="4"/>
      <c r="IJ18" s="4"/>
      <c r="IK18" s="4"/>
      <c r="IL18" s="4"/>
      <c r="IM18" s="4"/>
      <c r="IN18" s="4"/>
      <c r="IO18" s="4"/>
      <c r="IP18" s="4"/>
      <c r="IQ18" s="4"/>
      <c r="IR18" s="4"/>
      <c r="IS18" s="4"/>
      <c r="IT18" s="4"/>
      <c r="IU18" s="4"/>
      <c r="IV18" s="4"/>
      <c r="IW18" s="4"/>
      <c r="IX18" s="4"/>
      <c r="IY18" s="4"/>
      <c r="IZ18" s="4"/>
      <c r="JA18" s="4"/>
      <c r="JB18" s="4"/>
      <c r="JC18" s="4"/>
      <c r="JD18" s="4"/>
      <c r="JE18" s="4"/>
      <c r="JF18" s="4"/>
      <c r="JG18" s="4"/>
      <c r="JH18" s="4"/>
      <c r="JI18" s="4"/>
      <c r="JJ18" s="4"/>
      <c r="JK18" s="4"/>
      <c r="JL18" s="4"/>
      <c r="JM18" s="4"/>
      <c r="JN18" s="4"/>
      <c r="JO18" s="4"/>
      <c r="JP18" s="4"/>
      <c r="JQ18" s="4"/>
      <c r="JR18" s="4"/>
      <c r="JS18" s="4"/>
      <c r="JT18" s="4"/>
      <c r="JU18" s="4"/>
      <c r="JV18" s="4"/>
      <c r="JW18" s="4"/>
      <c r="JX18" s="4"/>
      <c r="JY18" s="4"/>
      <c r="JZ18" s="4"/>
      <c r="KA18" s="4"/>
      <c r="KB18" s="4"/>
      <c r="KC18" s="4"/>
      <c r="KD18" s="4"/>
      <c r="KE18" s="4"/>
      <c r="KF18" s="4"/>
      <c r="KG18" s="4"/>
      <c r="KH18" s="4"/>
      <c r="KI18" s="4"/>
      <c r="KJ18" s="4"/>
      <c r="KK18" s="4"/>
      <c r="KL18" s="4"/>
      <c r="KM18" s="4"/>
      <c r="KN18" s="4"/>
      <c r="KO18" s="4"/>
      <c r="KP18" s="4"/>
      <c r="KQ18" s="4"/>
      <c r="KR18" s="4"/>
      <c r="KS18" s="4"/>
      <c r="KT18" s="4"/>
      <c r="KU18" s="4"/>
      <c r="KV18" s="4"/>
      <c r="KW18" s="4"/>
      <c r="KX18" s="4"/>
      <c r="KY18" s="4"/>
      <c r="KZ18" s="4"/>
      <c r="LA18" s="4"/>
      <c r="LB18" s="4"/>
      <c r="LC18" s="4"/>
      <c r="LD18" s="4"/>
      <c r="LE18" s="4"/>
      <c r="LF18" s="4"/>
      <c r="LG18" s="4"/>
      <c r="LH18" s="4"/>
      <c r="LI18" s="4"/>
      <c r="LJ18" s="4"/>
      <c r="LK18" s="4"/>
      <c r="LL18" s="4"/>
      <c r="LM18" s="4"/>
      <c r="LN18" s="4"/>
      <c r="LO18" s="4"/>
      <c r="LP18" s="4"/>
      <c r="LQ18" s="4"/>
      <c r="LR18" s="4"/>
      <c r="LS18" s="4"/>
      <c r="LT18" s="4"/>
      <c r="LU18" s="4"/>
      <c r="LV18" s="4"/>
      <c r="LW18" s="4"/>
      <c r="LX18" s="4"/>
      <c r="LY18" s="4"/>
      <c r="LZ18" s="4"/>
      <c r="MA18" s="4"/>
      <c r="MB18" s="4"/>
      <c r="MC18" s="4"/>
      <c r="MD18" s="4"/>
      <c r="ME18" s="4"/>
      <c r="MF18" s="4"/>
      <c r="MG18" s="4"/>
      <c r="MH18" s="4"/>
      <c r="MI18" s="4"/>
      <c r="MJ18" s="4"/>
      <c r="MK18" s="4"/>
      <c r="ML18" s="4"/>
      <c r="MM18" s="4"/>
      <c r="MN18" s="4"/>
      <c r="MO18" s="4"/>
      <c r="MP18" s="4"/>
      <c r="MQ18" s="4"/>
      <c r="MR18" s="4"/>
      <c r="MS18" s="4"/>
      <c r="MT18" s="4"/>
      <c r="MU18" s="4"/>
      <c r="MV18" s="4"/>
      <c r="MW18" s="4"/>
      <c r="MX18" s="4"/>
      <c r="MY18" s="4"/>
      <c r="MZ18" s="4"/>
      <c r="NA18" s="4"/>
      <c r="NB18" s="4"/>
      <c r="NC18" s="4"/>
      <c r="ND18" s="4"/>
      <c r="NE18" s="4"/>
      <c r="NF18" s="4"/>
      <c r="NG18" s="4"/>
      <c r="NH18" s="4"/>
      <c r="NI18" s="4"/>
      <c r="NJ18" s="4"/>
      <c r="NK18" s="4"/>
      <c r="NL18" s="4"/>
      <c r="NM18" s="4"/>
      <c r="NN18" s="4"/>
      <c r="NO18" s="4"/>
      <c r="NP18" s="4"/>
      <c r="NQ18" s="4"/>
      <c r="NR18" s="4"/>
      <c r="NS18" s="4"/>
      <c r="NT18" s="4"/>
      <c r="NU18" s="4"/>
      <c r="NV18" s="4"/>
      <c r="NW18" s="4"/>
      <c r="NX18" s="4"/>
      <c r="NY18" s="4"/>
      <c r="NZ18" s="4"/>
      <c r="OA18" s="4"/>
      <c r="OB18" s="4"/>
      <c r="OC18" s="4"/>
      <c r="OD18" s="4"/>
      <c r="OE18" s="4"/>
      <c r="OF18" s="4"/>
      <c r="OG18" s="4"/>
      <c r="OH18" s="4"/>
      <c r="OI18" s="4"/>
    </row>
    <row r="19" spans="1:399" outlineLevel="1">
      <c r="A19" s="116"/>
      <c r="B19" s="116"/>
      <c r="C19" s="116">
        <v>2</v>
      </c>
      <c r="D19" s="3" t="s">
        <v>1161</v>
      </c>
      <c r="E19" s="183"/>
      <c r="F19" s="183" t="s">
        <v>1182</v>
      </c>
      <c r="G19" s="183"/>
      <c r="H19" s="183"/>
      <c r="I19" s="183"/>
      <c r="J19" s="183"/>
      <c r="K19" s="183"/>
      <c r="L19" s="183"/>
      <c r="M19" s="184">
        <v>43759</v>
      </c>
      <c r="N19" s="184">
        <v>43763</v>
      </c>
      <c r="O19" s="185"/>
      <c r="P19" s="186">
        <v>5</v>
      </c>
      <c r="Q19" s="186">
        <v>4</v>
      </c>
      <c r="R19" s="187">
        <v>5</v>
      </c>
      <c r="S19" s="187">
        <v>4</v>
      </c>
      <c r="T19" s="184"/>
      <c r="U19" s="184"/>
      <c r="V19" s="188"/>
      <c r="W19" s="189">
        <v>0</v>
      </c>
      <c r="X19" s="190">
        <v>1</v>
      </c>
      <c r="Y19" s="185"/>
      <c r="Z19" s="191"/>
      <c r="AA19" s="97">
        <v>0.8</v>
      </c>
      <c r="AB19" s="192">
        <v>0</v>
      </c>
      <c r="AC19" s="123"/>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t="str">
        <f>"" &amp; TEXT(AB19,"#0.00%") &amp; " " &amp; "Test" &amp; " " &amp; IF(M19="","",TEXT(M19,"M/D-")) &amp; IF(N19="","",TEXT(N19,"M/D")) &amp; " "</f>
        <v xml:space="preserve">0.00% Test 10/21-10/25 </v>
      </c>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c r="FF19" s="4"/>
      <c r="FG19" s="4"/>
      <c r="FH19" s="4"/>
      <c r="FI19" s="4"/>
      <c r="FJ19" s="4"/>
      <c r="FK19" s="4"/>
      <c r="FL19" s="4"/>
      <c r="FM19" s="4"/>
      <c r="FN19" s="4"/>
      <c r="FO19" s="4"/>
      <c r="FP19" s="4"/>
      <c r="FQ19" s="4"/>
      <c r="FR19" s="4"/>
      <c r="FS19" s="4"/>
      <c r="FT19" s="4"/>
      <c r="FU19" s="4"/>
      <c r="FV19" s="4"/>
      <c r="FW19" s="4"/>
      <c r="FX19" s="4"/>
      <c r="FY19" s="4"/>
      <c r="FZ19" s="4"/>
      <c r="GA19" s="4"/>
      <c r="GB19" s="4"/>
      <c r="GC19" s="4"/>
      <c r="GD19" s="4"/>
      <c r="GE19" s="4"/>
      <c r="GF19" s="4"/>
      <c r="GG19" s="4"/>
      <c r="GH19" s="4"/>
      <c r="GI19" s="4"/>
      <c r="GJ19" s="4"/>
      <c r="GK19" s="4"/>
      <c r="GL19" s="4"/>
      <c r="GM19" s="4"/>
      <c r="GN19" s="4"/>
      <c r="GO19" s="4"/>
      <c r="GP19" s="4"/>
      <c r="GQ19" s="4"/>
      <c r="GR19" s="4"/>
      <c r="GS19" s="4"/>
      <c r="GT19" s="4"/>
      <c r="GU19" s="4"/>
      <c r="GV19" s="4"/>
      <c r="GW19" s="4"/>
      <c r="GX19" s="4"/>
      <c r="GY19" s="4"/>
      <c r="GZ19" s="4"/>
      <c r="HA19" s="4"/>
      <c r="HB19" s="4"/>
      <c r="HC19" s="4"/>
      <c r="HD19" s="4"/>
      <c r="HE19" s="4"/>
      <c r="HF19" s="4"/>
      <c r="HG19" s="4"/>
      <c r="HH19" s="4"/>
      <c r="HI19" s="4"/>
      <c r="HJ19" s="4"/>
      <c r="HK19" s="4"/>
      <c r="HL19" s="4"/>
      <c r="HM19" s="4"/>
      <c r="HN19" s="4"/>
      <c r="HO19" s="4"/>
      <c r="HP19" s="4"/>
      <c r="HQ19" s="4"/>
      <c r="HR19" s="4"/>
      <c r="HS19" s="4"/>
      <c r="HT19" s="4"/>
      <c r="HU19" s="4"/>
      <c r="HV19" s="4"/>
      <c r="HW19" s="4"/>
      <c r="HX19" s="4"/>
      <c r="HY19" s="4"/>
      <c r="HZ19" s="4"/>
      <c r="IA19" s="4"/>
      <c r="IB19" s="4"/>
      <c r="IC19" s="4"/>
      <c r="ID19" s="4"/>
      <c r="IE19" s="4"/>
      <c r="IF19" s="4"/>
      <c r="IG19" s="4"/>
      <c r="IH19" s="4"/>
      <c r="II19" s="4"/>
      <c r="IJ19" s="4"/>
      <c r="IK19" s="4"/>
      <c r="IL19" s="4"/>
      <c r="IM19" s="4"/>
      <c r="IN19" s="4"/>
      <c r="IO19" s="4"/>
      <c r="IP19" s="4"/>
      <c r="IQ19" s="4"/>
      <c r="IR19" s="4"/>
      <c r="IS19" s="4"/>
      <c r="IT19" s="4"/>
      <c r="IU19" s="4"/>
      <c r="IV19" s="4"/>
      <c r="IW19" s="4"/>
      <c r="IX19" s="4"/>
      <c r="IY19" s="4"/>
      <c r="IZ19" s="4"/>
      <c r="JA19" s="4"/>
      <c r="JB19" s="4"/>
      <c r="JC19" s="4"/>
      <c r="JD19" s="4"/>
      <c r="JE19" s="4"/>
      <c r="JF19" s="4"/>
      <c r="JG19" s="4"/>
      <c r="JH19" s="4"/>
      <c r="JI19" s="4"/>
      <c r="JJ19" s="4"/>
      <c r="JK19" s="4"/>
      <c r="JL19" s="4"/>
      <c r="JM19" s="4"/>
      <c r="JN19" s="4"/>
      <c r="JO19" s="4"/>
      <c r="JP19" s="4"/>
      <c r="JQ19" s="4"/>
      <c r="JR19" s="4"/>
      <c r="JS19" s="4"/>
      <c r="JT19" s="4"/>
      <c r="JU19" s="4"/>
      <c r="JV19" s="4"/>
      <c r="JW19" s="4"/>
      <c r="JX19" s="4"/>
      <c r="JY19" s="4"/>
      <c r="JZ19" s="4"/>
      <c r="KA19" s="4"/>
      <c r="KB19" s="4"/>
      <c r="KC19" s="4"/>
      <c r="KD19" s="4"/>
      <c r="KE19" s="4"/>
      <c r="KF19" s="4"/>
      <c r="KG19" s="4"/>
      <c r="KH19" s="4"/>
      <c r="KI19" s="4"/>
      <c r="KJ19" s="4"/>
      <c r="KK19" s="4"/>
      <c r="KL19" s="4"/>
      <c r="KM19" s="4"/>
      <c r="KN19" s="4"/>
      <c r="KO19" s="4"/>
      <c r="KP19" s="4"/>
      <c r="KQ19" s="4"/>
      <c r="KR19" s="4"/>
      <c r="KS19" s="4"/>
      <c r="KT19" s="4"/>
      <c r="KU19" s="4"/>
      <c r="KV19" s="4"/>
      <c r="KW19" s="4"/>
      <c r="KX19" s="4"/>
      <c r="KY19" s="4"/>
      <c r="KZ19" s="4"/>
      <c r="LA19" s="4"/>
      <c r="LB19" s="4"/>
      <c r="LC19" s="4"/>
      <c r="LD19" s="4"/>
      <c r="LE19" s="4"/>
      <c r="LF19" s="4"/>
      <c r="LG19" s="4"/>
      <c r="LH19" s="4"/>
      <c r="LI19" s="4"/>
      <c r="LJ19" s="4"/>
      <c r="LK19" s="4"/>
      <c r="LL19" s="4"/>
      <c r="LM19" s="4"/>
      <c r="LN19" s="4"/>
      <c r="LO19" s="4"/>
      <c r="LP19" s="4"/>
      <c r="LQ19" s="4"/>
      <c r="LR19" s="4"/>
      <c r="LS19" s="4"/>
      <c r="LT19" s="4"/>
      <c r="LU19" s="4"/>
      <c r="LV19" s="4"/>
      <c r="LW19" s="4"/>
      <c r="LX19" s="4"/>
      <c r="LY19" s="4"/>
      <c r="LZ19" s="4"/>
      <c r="MA19" s="4"/>
      <c r="MB19" s="4"/>
      <c r="MC19" s="4"/>
      <c r="MD19" s="4"/>
      <c r="ME19" s="4"/>
      <c r="MF19" s="4"/>
      <c r="MG19" s="4"/>
      <c r="MH19" s="4"/>
      <c r="MI19" s="4"/>
      <c r="MJ19" s="4"/>
      <c r="MK19" s="4"/>
      <c r="ML19" s="4"/>
      <c r="MM19" s="4"/>
      <c r="MN19" s="4"/>
      <c r="MO19" s="4"/>
      <c r="MP19" s="4"/>
      <c r="MQ19" s="4"/>
      <c r="MR19" s="4"/>
      <c r="MS19" s="4"/>
      <c r="MT19" s="4"/>
      <c r="MU19" s="4"/>
      <c r="MV19" s="4"/>
      <c r="MW19" s="4"/>
      <c r="MX19" s="4"/>
      <c r="MY19" s="4"/>
      <c r="MZ19" s="4"/>
      <c r="NA19" s="4"/>
      <c r="NB19" s="4"/>
      <c r="NC19" s="4"/>
      <c r="ND19" s="4"/>
      <c r="NE19" s="4"/>
      <c r="NF19" s="4"/>
      <c r="NG19" s="4"/>
      <c r="NH19" s="4"/>
      <c r="NI19" s="4"/>
      <c r="NJ19" s="4"/>
      <c r="NK19" s="4"/>
      <c r="NL19" s="4"/>
      <c r="NM19" s="4"/>
      <c r="NN19" s="4"/>
      <c r="NO19" s="4"/>
      <c r="NP19" s="4"/>
      <c r="NQ19" s="4"/>
      <c r="NR19" s="4"/>
      <c r="NS19" s="4"/>
      <c r="NT19" s="4"/>
      <c r="NU19" s="4"/>
      <c r="NV19" s="4"/>
      <c r="NW19" s="4"/>
      <c r="NX19" s="4"/>
      <c r="NY19" s="4"/>
      <c r="NZ19" s="4"/>
      <c r="OA19" s="4"/>
      <c r="OB19" s="4"/>
      <c r="OC19" s="4"/>
      <c r="OD19" s="4"/>
      <c r="OE19" s="4"/>
      <c r="OF19" s="4"/>
      <c r="OG19" s="4"/>
      <c r="OH19" s="4"/>
      <c r="OI19" s="4"/>
    </row>
    <row r="20" spans="1:399" outlineLevel="1">
      <c r="A20" s="116"/>
      <c r="B20" s="116"/>
      <c r="C20" s="116">
        <v>2</v>
      </c>
      <c r="D20" s="3" t="s">
        <v>1162</v>
      </c>
      <c r="E20" s="183"/>
      <c r="F20" s="183" t="s">
        <v>1183</v>
      </c>
      <c r="G20" s="183"/>
      <c r="H20" s="183"/>
      <c r="I20" s="183"/>
      <c r="J20" s="183"/>
      <c r="K20" s="183"/>
      <c r="L20" s="183"/>
      <c r="M20" s="184">
        <v>43780</v>
      </c>
      <c r="N20" s="184">
        <v>43784</v>
      </c>
      <c r="O20" s="185"/>
      <c r="P20" s="186">
        <v>5</v>
      </c>
      <c r="Q20" s="186">
        <v>0</v>
      </c>
      <c r="R20" s="187">
        <v>5</v>
      </c>
      <c r="S20" s="187">
        <v>0</v>
      </c>
      <c r="T20" s="184"/>
      <c r="U20" s="184"/>
      <c r="V20" s="188"/>
      <c r="W20" s="189">
        <v>0</v>
      </c>
      <c r="X20" s="190">
        <v>1</v>
      </c>
      <c r="Y20" s="185"/>
      <c r="Z20" s="191"/>
      <c r="AA20" s="97">
        <v>0</v>
      </c>
      <c r="AB20" s="192">
        <v>0</v>
      </c>
      <c r="AC20" s="123"/>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t="str">
        <f>"" &amp; TEXT(AB20,"#0.00%") &amp; " " &amp; "Publish" &amp; " " &amp; IF(M20="","",TEXT(M20,"M/D-")) &amp; IF(N20="","",TEXT(N20,"M/D")) &amp; " "</f>
        <v xml:space="preserve">0.00% Publish 11/11-11/15 </v>
      </c>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c r="FF20" s="4"/>
      <c r="FG20" s="4"/>
      <c r="FH20" s="4"/>
      <c r="FI20" s="4"/>
      <c r="FJ20" s="4"/>
      <c r="FK20" s="4"/>
      <c r="FL20" s="4"/>
      <c r="FM20" s="4"/>
      <c r="FN20" s="4"/>
      <c r="FO20" s="4"/>
      <c r="FP20" s="4"/>
      <c r="FQ20" s="4"/>
      <c r="FR20" s="4"/>
      <c r="FS20" s="4"/>
      <c r="FT20" s="4"/>
      <c r="FU20" s="4"/>
      <c r="FV20" s="4"/>
      <c r="FW20" s="4"/>
      <c r="FX20" s="4"/>
      <c r="FY20" s="4"/>
      <c r="FZ20" s="4"/>
      <c r="GA20" s="4"/>
      <c r="GB20" s="4"/>
      <c r="GC20" s="4"/>
      <c r="GD20" s="4"/>
      <c r="GE20" s="4"/>
      <c r="GF20" s="4"/>
      <c r="GG20" s="4"/>
      <c r="GH20" s="4"/>
      <c r="GI20" s="4"/>
      <c r="GJ20" s="4"/>
      <c r="GK20" s="4"/>
      <c r="GL20" s="4"/>
      <c r="GM20" s="4"/>
      <c r="GN20" s="4"/>
      <c r="GO20" s="4"/>
      <c r="GP20" s="4"/>
      <c r="GQ20" s="4"/>
      <c r="GR20" s="4"/>
      <c r="GS20" s="4"/>
      <c r="GT20" s="4"/>
      <c r="GU20" s="4"/>
      <c r="GV20" s="4"/>
      <c r="GW20" s="4"/>
      <c r="GX20" s="4"/>
      <c r="GY20" s="4"/>
      <c r="GZ20" s="4"/>
      <c r="HA20" s="4"/>
      <c r="HB20" s="4"/>
      <c r="HC20" s="4"/>
      <c r="HD20" s="4"/>
      <c r="HE20" s="4"/>
      <c r="HF20" s="4"/>
      <c r="HG20" s="4"/>
      <c r="HH20" s="4"/>
      <c r="HI20" s="4"/>
      <c r="HJ20" s="4"/>
      <c r="HK20" s="4"/>
      <c r="HL20" s="4"/>
      <c r="HM20" s="4"/>
      <c r="HN20" s="4"/>
      <c r="HO20" s="4"/>
      <c r="HP20" s="4"/>
      <c r="HQ20" s="4"/>
      <c r="HR20" s="4"/>
      <c r="HS20" s="4"/>
      <c r="HT20" s="4"/>
      <c r="HU20" s="4"/>
      <c r="HV20" s="4"/>
      <c r="HW20" s="4"/>
      <c r="HX20" s="4"/>
      <c r="HY20" s="4"/>
      <c r="HZ20" s="4"/>
      <c r="IA20" s="4"/>
      <c r="IB20" s="4"/>
      <c r="IC20" s="4"/>
      <c r="ID20" s="4"/>
      <c r="IE20" s="4"/>
      <c r="IF20" s="4"/>
      <c r="IG20" s="4"/>
      <c r="IH20" s="4"/>
      <c r="II20" s="4"/>
      <c r="IJ20" s="4"/>
      <c r="IK20" s="4"/>
      <c r="IL20" s="4"/>
      <c r="IM20" s="4"/>
      <c r="IN20" s="4"/>
      <c r="IO20" s="4"/>
      <c r="IP20" s="4"/>
      <c r="IQ20" s="4"/>
      <c r="IR20" s="4"/>
      <c r="IS20" s="4"/>
      <c r="IT20" s="4"/>
      <c r="IU20" s="4"/>
      <c r="IV20" s="4"/>
      <c r="IW20" s="4"/>
      <c r="IX20" s="4"/>
      <c r="IY20" s="4"/>
      <c r="IZ20" s="4"/>
      <c r="JA20" s="4"/>
      <c r="JB20" s="4"/>
      <c r="JC20" s="4"/>
      <c r="JD20" s="4"/>
      <c r="JE20" s="4"/>
      <c r="JF20" s="4"/>
      <c r="JG20" s="4"/>
      <c r="JH20" s="4"/>
      <c r="JI20" s="4"/>
      <c r="JJ20" s="4"/>
      <c r="JK20" s="4"/>
      <c r="JL20" s="4"/>
      <c r="JM20" s="4"/>
      <c r="JN20" s="4"/>
      <c r="JO20" s="4"/>
      <c r="JP20" s="4"/>
      <c r="JQ20" s="4"/>
      <c r="JR20" s="4"/>
      <c r="JS20" s="4"/>
      <c r="JT20" s="4"/>
      <c r="JU20" s="4"/>
      <c r="JV20" s="4"/>
      <c r="JW20" s="4"/>
      <c r="JX20" s="4"/>
      <c r="JY20" s="4"/>
      <c r="JZ20" s="4"/>
      <c r="KA20" s="4"/>
      <c r="KB20" s="4"/>
      <c r="KC20" s="4"/>
      <c r="KD20" s="4"/>
      <c r="KE20" s="4"/>
      <c r="KF20" s="4"/>
      <c r="KG20" s="4"/>
      <c r="KH20" s="4"/>
      <c r="KI20" s="4"/>
      <c r="KJ20" s="4"/>
      <c r="KK20" s="4"/>
      <c r="KL20" s="4"/>
      <c r="KM20" s="4"/>
      <c r="KN20" s="4"/>
      <c r="KO20" s="4"/>
      <c r="KP20" s="4"/>
      <c r="KQ20" s="4"/>
      <c r="KR20" s="4"/>
      <c r="KS20" s="4"/>
      <c r="KT20" s="4"/>
      <c r="KU20" s="4"/>
      <c r="KV20" s="4"/>
      <c r="KW20" s="4"/>
      <c r="KX20" s="4"/>
      <c r="KY20" s="4"/>
      <c r="KZ20" s="4"/>
      <c r="LA20" s="4"/>
      <c r="LB20" s="4"/>
      <c r="LC20" s="4"/>
      <c r="LD20" s="4"/>
      <c r="LE20" s="4"/>
      <c r="LF20" s="4"/>
      <c r="LG20" s="4"/>
      <c r="LH20" s="4"/>
      <c r="LI20" s="4"/>
      <c r="LJ20" s="4"/>
      <c r="LK20" s="4"/>
      <c r="LL20" s="4"/>
      <c r="LM20" s="4"/>
      <c r="LN20" s="4"/>
      <c r="LO20" s="4"/>
      <c r="LP20" s="4"/>
      <c r="LQ20" s="4"/>
      <c r="LR20" s="4"/>
      <c r="LS20" s="4"/>
      <c r="LT20" s="4"/>
      <c r="LU20" s="4"/>
      <c r="LV20" s="4"/>
      <c r="LW20" s="4"/>
      <c r="LX20" s="4"/>
      <c r="LY20" s="4"/>
      <c r="LZ20" s="4"/>
      <c r="MA20" s="4"/>
      <c r="MB20" s="4"/>
      <c r="MC20" s="4"/>
      <c r="MD20" s="4"/>
      <c r="ME20" s="4"/>
      <c r="MF20" s="4"/>
      <c r="MG20" s="4"/>
      <c r="MH20" s="4"/>
      <c r="MI20" s="4"/>
      <c r="MJ20" s="4"/>
      <c r="MK20" s="4"/>
      <c r="ML20" s="4"/>
      <c r="MM20" s="4"/>
      <c r="MN20" s="4"/>
      <c r="MO20" s="4"/>
      <c r="MP20" s="4"/>
      <c r="MQ20" s="4"/>
      <c r="MR20" s="4"/>
      <c r="MS20" s="4"/>
      <c r="MT20" s="4"/>
      <c r="MU20" s="4"/>
      <c r="MV20" s="4"/>
      <c r="MW20" s="4"/>
      <c r="MX20" s="4"/>
      <c r="MY20" s="4"/>
      <c r="MZ20" s="4"/>
      <c r="NA20" s="4"/>
      <c r="NB20" s="4"/>
      <c r="NC20" s="4"/>
      <c r="ND20" s="4"/>
      <c r="NE20" s="4"/>
      <c r="NF20" s="4"/>
      <c r="NG20" s="4"/>
      <c r="NH20" s="4"/>
      <c r="NI20" s="4"/>
      <c r="NJ20" s="4"/>
      <c r="NK20" s="4"/>
      <c r="NL20" s="4"/>
      <c r="NM20" s="4"/>
      <c r="NN20" s="4"/>
      <c r="NO20" s="4"/>
      <c r="NP20" s="4"/>
      <c r="NQ20" s="4"/>
      <c r="NR20" s="4"/>
      <c r="NS20" s="4"/>
      <c r="NT20" s="4"/>
      <c r="NU20" s="4"/>
      <c r="NV20" s="4"/>
      <c r="NW20" s="4"/>
      <c r="NX20" s="4"/>
      <c r="NY20" s="4"/>
      <c r="NZ20" s="4"/>
      <c r="OA20" s="4"/>
      <c r="OB20" s="4"/>
      <c r="OC20" s="4"/>
      <c r="OD20" s="4"/>
      <c r="OE20" s="4"/>
      <c r="OF20" s="4"/>
      <c r="OG20" s="4"/>
      <c r="OH20" s="4"/>
      <c r="OI20" s="4"/>
    </row>
    <row r="21" spans="1:399" outlineLevel="1">
      <c r="A21" s="116"/>
      <c r="B21" s="116"/>
      <c r="C21" s="116">
        <v>0</v>
      </c>
      <c r="D21" s="3"/>
      <c r="E21" s="183"/>
      <c r="F21" s="183"/>
      <c r="G21" s="183"/>
      <c r="H21" s="183"/>
      <c r="I21" s="183"/>
      <c r="J21" s="183"/>
      <c r="K21" s="183"/>
      <c r="L21" s="183"/>
      <c r="M21" s="184"/>
      <c r="N21" s="184"/>
      <c r="O21" s="185"/>
      <c r="P21" s="186"/>
      <c r="Q21" s="186"/>
      <c r="R21" s="187">
        <v>0</v>
      </c>
      <c r="S21" s="187">
        <v>0</v>
      </c>
      <c r="T21" s="184"/>
      <c r="U21" s="184"/>
      <c r="V21" s="188"/>
      <c r="W21" s="189">
        <v>0</v>
      </c>
      <c r="X21" s="190"/>
      <c r="Y21" s="185"/>
      <c r="Z21" s="191"/>
      <c r="AA21" s="97"/>
      <c r="AB21" s="192"/>
      <c r="AC21" s="123"/>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c r="FF21" s="4"/>
      <c r="FG21" s="4"/>
      <c r="FH21" s="4"/>
      <c r="FI21" s="4"/>
      <c r="FJ21" s="4"/>
      <c r="FK21" s="4"/>
      <c r="FL21" s="4"/>
      <c r="FM21" s="4"/>
      <c r="FN21" s="4"/>
      <c r="FO21" s="4"/>
      <c r="FP21" s="4"/>
      <c r="FQ21" s="4"/>
      <c r="FR21" s="4"/>
      <c r="FS21" s="4"/>
      <c r="FT21" s="4"/>
      <c r="FU21" s="4"/>
      <c r="FV21" s="4"/>
      <c r="FW21" s="4"/>
      <c r="FX21" s="4"/>
      <c r="FY21" s="4"/>
      <c r="FZ21" s="4"/>
      <c r="GA21" s="4"/>
      <c r="GB21" s="4"/>
      <c r="GC21" s="4"/>
      <c r="GD21" s="4"/>
      <c r="GE21" s="4"/>
      <c r="GF21" s="4"/>
      <c r="GG21" s="4"/>
      <c r="GH21" s="4"/>
      <c r="GI21" s="4"/>
      <c r="GJ21" s="4"/>
      <c r="GK21" s="4"/>
      <c r="GL21" s="4"/>
      <c r="GM21" s="4"/>
      <c r="GN21" s="4"/>
      <c r="GO21" s="4"/>
      <c r="GP21" s="4"/>
      <c r="GQ21" s="4"/>
      <c r="GR21" s="4"/>
      <c r="GS21" s="4"/>
      <c r="GT21" s="4"/>
      <c r="GU21" s="4"/>
      <c r="GV21" s="4"/>
      <c r="GW21" s="4"/>
      <c r="GX21" s="4"/>
      <c r="GY21" s="4"/>
      <c r="GZ21" s="4"/>
      <c r="HA21" s="4"/>
      <c r="HB21" s="4"/>
      <c r="HC21" s="4"/>
      <c r="HD21" s="4"/>
      <c r="HE21" s="4"/>
      <c r="HF21" s="4"/>
      <c r="HG21" s="4"/>
      <c r="HH21" s="4"/>
      <c r="HI21" s="4"/>
      <c r="HJ21" s="4"/>
      <c r="HK21" s="4"/>
      <c r="HL21" s="4"/>
      <c r="HM21" s="4"/>
      <c r="HN21" s="4"/>
      <c r="HO21" s="4"/>
      <c r="HP21" s="4"/>
      <c r="HQ21" s="4"/>
      <c r="HR21" s="4"/>
      <c r="HS21" s="4"/>
      <c r="HT21" s="4"/>
      <c r="HU21" s="4"/>
      <c r="HV21" s="4"/>
      <c r="HW21" s="4"/>
      <c r="HX21" s="4"/>
      <c r="HY21" s="4"/>
      <c r="HZ21" s="4"/>
      <c r="IA21" s="4"/>
      <c r="IB21" s="4"/>
      <c r="IC21" s="4"/>
      <c r="ID21" s="4"/>
      <c r="IE21" s="4"/>
      <c r="IF21" s="4"/>
      <c r="IG21" s="4"/>
      <c r="IH21" s="4"/>
      <c r="II21" s="4"/>
      <c r="IJ21" s="4"/>
      <c r="IK21" s="4"/>
      <c r="IL21" s="4"/>
      <c r="IM21" s="4"/>
      <c r="IN21" s="4"/>
      <c r="IO21" s="4"/>
      <c r="IP21" s="4"/>
      <c r="IQ21" s="4"/>
      <c r="IR21" s="4"/>
      <c r="IS21" s="4"/>
      <c r="IT21" s="4"/>
      <c r="IU21" s="4"/>
      <c r="IV21" s="4"/>
      <c r="IW21" s="4"/>
      <c r="IX21" s="4"/>
      <c r="IY21" s="4"/>
      <c r="IZ21" s="4"/>
      <c r="JA21" s="4"/>
      <c r="JB21" s="4"/>
      <c r="JC21" s="4"/>
      <c r="JD21" s="4"/>
      <c r="JE21" s="4"/>
      <c r="JF21" s="4"/>
      <c r="JG21" s="4"/>
      <c r="JH21" s="4"/>
      <c r="JI21" s="4"/>
      <c r="JJ21" s="4"/>
      <c r="JK21" s="4"/>
      <c r="JL21" s="4"/>
      <c r="JM21" s="4"/>
      <c r="JN21" s="4"/>
      <c r="JO21" s="4"/>
      <c r="JP21" s="4"/>
      <c r="JQ21" s="4"/>
      <c r="JR21" s="4"/>
      <c r="JS21" s="4"/>
      <c r="JT21" s="4"/>
      <c r="JU21" s="4"/>
      <c r="JV21" s="4"/>
      <c r="JW21" s="4"/>
      <c r="JX21" s="4"/>
      <c r="JY21" s="4"/>
      <c r="JZ21" s="4"/>
      <c r="KA21" s="4"/>
      <c r="KB21" s="4"/>
      <c r="KC21" s="4"/>
      <c r="KD21" s="4"/>
      <c r="KE21" s="4"/>
      <c r="KF21" s="4"/>
      <c r="KG21" s="4"/>
      <c r="KH21" s="4"/>
      <c r="KI21" s="4"/>
      <c r="KJ21" s="4"/>
      <c r="KK21" s="4"/>
      <c r="KL21" s="4"/>
      <c r="KM21" s="4"/>
      <c r="KN21" s="4"/>
      <c r="KO21" s="4"/>
      <c r="KP21" s="4"/>
      <c r="KQ21" s="4"/>
      <c r="KR21" s="4"/>
      <c r="KS21" s="4"/>
      <c r="KT21" s="4"/>
      <c r="KU21" s="4"/>
      <c r="KV21" s="4"/>
      <c r="KW21" s="4"/>
      <c r="KX21" s="4"/>
      <c r="KY21" s="4"/>
      <c r="KZ21" s="4"/>
      <c r="LA21" s="4"/>
      <c r="LB21" s="4"/>
      <c r="LC21" s="4"/>
      <c r="LD21" s="4"/>
      <c r="LE21" s="4"/>
      <c r="LF21" s="4"/>
      <c r="LG21" s="4"/>
      <c r="LH21" s="4"/>
      <c r="LI21" s="4"/>
      <c r="LJ21" s="4"/>
      <c r="LK21" s="4"/>
      <c r="LL21" s="4"/>
      <c r="LM21" s="4"/>
      <c r="LN21" s="4"/>
      <c r="LO21" s="4"/>
      <c r="LP21" s="4"/>
      <c r="LQ21" s="4"/>
      <c r="LR21" s="4"/>
      <c r="LS21" s="4"/>
      <c r="LT21" s="4"/>
      <c r="LU21" s="4"/>
      <c r="LV21" s="4"/>
      <c r="LW21" s="4"/>
      <c r="LX21" s="4"/>
      <c r="LY21" s="4"/>
      <c r="LZ21" s="4"/>
      <c r="MA21" s="4"/>
      <c r="MB21" s="4"/>
      <c r="MC21" s="4"/>
      <c r="MD21" s="4"/>
      <c r="ME21" s="4"/>
      <c r="MF21" s="4"/>
      <c r="MG21" s="4"/>
      <c r="MH21" s="4"/>
      <c r="MI21" s="4"/>
      <c r="MJ21" s="4"/>
      <c r="MK21" s="4"/>
      <c r="ML21" s="4"/>
      <c r="MM21" s="4"/>
      <c r="MN21" s="4"/>
      <c r="MO21" s="4"/>
      <c r="MP21" s="4"/>
      <c r="MQ21" s="4"/>
      <c r="MR21" s="4"/>
      <c r="MS21" s="4"/>
      <c r="MT21" s="4"/>
      <c r="MU21" s="4"/>
      <c r="MV21" s="4"/>
      <c r="MW21" s="4"/>
      <c r="MX21" s="4"/>
      <c r="MY21" s="4"/>
      <c r="MZ21" s="4"/>
      <c r="NA21" s="4"/>
      <c r="NB21" s="4"/>
      <c r="NC21" s="4"/>
      <c r="ND21" s="4"/>
      <c r="NE21" s="4"/>
      <c r="NF21" s="4"/>
      <c r="NG21" s="4"/>
      <c r="NH21" s="4"/>
      <c r="NI21" s="4"/>
      <c r="NJ21" s="4"/>
      <c r="NK21" s="4"/>
      <c r="NL21" s="4"/>
      <c r="NM21" s="4"/>
      <c r="NN21" s="4"/>
      <c r="NO21" s="4"/>
      <c r="NP21" s="4"/>
      <c r="NQ21" s="4"/>
      <c r="NR21" s="4"/>
      <c r="NS21" s="4"/>
      <c r="NT21" s="4"/>
      <c r="NU21" s="4"/>
      <c r="NV21" s="4"/>
      <c r="NW21" s="4"/>
      <c r="NX21" s="4"/>
      <c r="NY21" s="4"/>
      <c r="NZ21" s="4"/>
      <c r="OA21" s="4"/>
      <c r="OB21" s="4"/>
      <c r="OC21" s="4"/>
      <c r="OD21" s="4"/>
      <c r="OE21" s="4"/>
      <c r="OF21" s="4"/>
      <c r="OG21" s="4"/>
      <c r="OH21" s="4"/>
      <c r="OI21" s="4"/>
    </row>
    <row r="22" spans="1:399">
      <c r="A22" s="116"/>
      <c r="B22" s="116" t="s">
        <v>1061</v>
      </c>
      <c r="C22" s="116">
        <v>1</v>
      </c>
      <c r="D22" s="3" t="s">
        <v>1128</v>
      </c>
      <c r="E22" s="217" t="s">
        <v>1246</v>
      </c>
      <c r="F22" s="183"/>
      <c r="G22" s="183"/>
      <c r="H22" s="183"/>
      <c r="I22" s="183"/>
      <c r="J22" s="183"/>
      <c r="K22" s="183"/>
      <c r="L22" s="183"/>
      <c r="M22" s="184">
        <v>43766</v>
      </c>
      <c r="N22" s="184">
        <v>43798</v>
      </c>
      <c r="O22" s="185"/>
      <c r="P22" s="186">
        <v>10</v>
      </c>
      <c r="Q22" s="186">
        <v>0</v>
      </c>
      <c r="R22" s="187">
        <v>25</v>
      </c>
      <c r="S22" s="187">
        <v>0</v>
      </c>
      <c r="T22" s="184"/>
      <c r="U22" s="184"/>
      <c r="V22" s="188">
        <v>0</v>
      </c>
      <c r="W22" s="189">
        <v>0</v>
      </c>
      <c r="X22" s="190"/>
      <c r="Y22" s="185"/>
      <c r="Z22" s="191"/>
      <c r="AA22" s="97">
        <v>0</v>
      </c>
      <c r="AB22" s="192">
        <v>0</v>
      </c>
      <c r="AC22" s="123"/>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t="str">
        <f>"" &amp; TEXT(AB22,"#0.00%") &amp; " "</f>
        <v xml:space="preserve">0.00% </v>
      </c>
      <c r="BU22" s="4"/>
      <c r="BV22" s="4"/>
      <c r="BW22" s="4"/>
      <c r="BX22" s="4" t="str">
        <f>"     " &amp; "Auto Remit" &amp; " " &amp; IF(M22="","",TEXT(M22,"M/D-")) &amp; IF(N22="","",TEXT(N22,"M/D")) &amp; " "</f>
        <v xml:space="preserve">     Auto Remit 10/28-11/29 </v>
      </c>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c r="FF22" s="4"/>
      <c r="FG22" s="4"/>
      <c r="FH22" s="4"/>
      <c r="FI22" s="4"/>
      <c r="FJ22" s="4"/>
      <c r="FK22" s="4"/>
      <c r="FL22" s="4"/>
      <c r="FM22" s="4"/>
      <c r="FN22" s="4"/>
      <c r="FO22" s="4"/>
      <c r="FP22" s="4"/>
      <c r="FQ22" s="4"/>
      <c r="FR22" s="4"/>
      <c r="FS22" s="4"/>
      <c r="FT22" s="4"/>
      <c r="FU22" s="4"/>
      <c r="FV22" s="4"/>
      <c r="FW22" s="4"/>
      <c r="FX22" s="4"/>
      <c r="FY22" s="4"/>
      <c r="FZ22" s="4"/>
      <c r="GA22" s="4"/>
      <c r="GB22" s="4"/>
      <c r="GC22" s="4"/>
      <c r="GD22" s="4"/>
      <c r="GE22" s="4"/>
      <c r="GF22" s="4"/>
      <c r="GG22" s="4"/>
      <c r="GH22" s="4"/>
      <c r="GI22" s="4"/>
      <c r="GJ22" s="4"/>
      <c r="GK22" s="4"/>
      <c r="GL22" s="4"/>
      <c r="GM22" s="4"/>
      <c r="GN22" s="4"/>
      <c r="GO22" s="4"/>
      <c r="GP22" s="4"/>
      <c r="GQ22" s="4"/>
      <c r="GR22" s="4"/>
      <c r="GS22" s="4"/>
      <c r="GT22" s="4"/>
      <c r="GU22" s="4"/>
      <c r="GV22" s="4"/>
      <c r="GW22" s="4"/>
      <c r="GX22" s="4"/>
      <c r="GY22" s="4"/>
      <c r="GZ22" s="4"/>
      <c r="HA22" s="4"/>
      <c r="HB22" s="4"/>
      <c r="HC22" s="4"/>
      <c r="HD22" s="4"/>
      <c r="HE22" s="4"/>
      <c r="HF22" s="4"/>
      <c r="HG22" s="4"/>
      <c r="HH22" s="4"/>
      <c r="HI22" s="4"/>
      <c r="HJ22" s="4"/>
      <c r="HK22" s="4"/>
      <c r="HL22" s="4"/>
      <c r="HM22" s="4"/>
      <c r="HN22" s="4"/>
      <c r="HO22" s="4"/>
      <c r="HP22" s="4"/>
      <c r="HQ22" s="4"/>
      <c r="HR22" s="4"/>
      <c r="HS22" s="4"/>
      <c r="HT22" s="4"/>
      <c r="HU22" s="4"/>
      <c r="HV22" s="4"/>
      <c r="HW22" s="4"/>
      <c r="HX22" s="4"/>
      <c r="HY22" s="4"/>
      <c r="HZ22" s="4"/>
      <c r="IA22" s="4"/>
      <c r="IB22" s="4"/>
      <c r="IC22" s="4"/>
      <c r="ID22" s="4"/>
      <c r="IE22" s="4"/>
      <c r="IF22" s="4"/>
      <c r="IG22" s="4"/>
      <c r="IH22" s="4"/>
      <c r="II22" s="4"/>
      <c r="IJ22" s="4"/>
      <c r="IK22" s="4"/>
      <c r="IL22" s="4"/>
      <c r="IM22" s="4"/>
      <c r="IN22" s="4"/>
      <c r="IO22" s="4"/>
      <c r="IP22" s="4"/>
      <c r="IQ22" s="4"/>
      <c r="IR22" s="4"/>
      <c r="IS22" s="4"/>
      <c r="IT22" s="4"/>
      <c r="IU22" s="4"/>
      <c r="IV22" s="4"/>
      <c r="IW22" s="4"/>
      <c r="IX22" s="4"/>
      <c r="IY22" s="4"/>
      <c r="IZ22" s="4"/>
      <c r="JA22" s="4"/>
      <c r="JB22" s="4"/>
      <c r="JC22" s="4"/>
      <c r="JD22" s="4"/>
      <c r="JE22" s="4"/>
      <c r="JF22" s="4"/>
      <c r="JG22" s="4"/>
      <c r="JH22" s="4"/>
      <c r="JI22" s="4"/>
      <c r="JJ22" s="4"/>
      <c r="JK22" s="4"/>
      <c r="JL22" s="4"/>
      <c r="JM22" s="4"/>
      <c r="JN22" s="4"/>
      <c r="JO22" s="4"/>
      <c r="JP22" s="4"/>
      <c r="JQ22" s="4"/>
      <c r="JR22" s="4"/>
      <c r="JS22" s="4"/>
      <c r="JT22" s="4"/>
      <c r="JU22" s="4"/>
      <c r="JV22" s="4"/>
      <c r="JW22" s="4"/>
      <c r="JX22" s="4"/>
      <c r="JY22" s="4"/>
      <c r="JZ22" s="4"/>
      <c r="KA22" s="4"/>
      <c r="KB22" s="4"/>
      <c r="KC22" s="4"/>
      <c r="KD22" s="4"/>
      <c r="KE22" s="4"/>
      <c r="KF22" s="4"/>
      <c r="KG22" s="4"/>
      <c r="KH22" s="4"/>
      <c r="KI22" s="4"/>
      <c r="KJ22" s="4"/>
      <c r="KK22" s="4"/>
      <c r="KL22" s="4"/>
      <c r="KM22" s="4"/>
      <c r="KN22" s="4"/>
      <c r="KO22" s="4"/>
      <c r="KP22" s="4"/>
      <c r="KQ22" s="4"/>
      <c r="KR22" s="4"/>
      <c r="KS22" s="4"/>
      <c r="KT22" s="4"/>
      <c r="KU22" s="4"/>
      <c r="KV22" s="4"/>
      <c r="KW22" s="4"/>
      <c r="KX22" s="4"/>
      <c r="KY22" s="4"/>
      <c r="KZ22" s="4"/>
      <c r="LA22" s="4"/>
      <c r="LB22" s="4"/>
      <c r="LC22" s="4"/>
      <c r="LD22" s="4"/>
      <c r="LE22" s="4"/>
      <c r="LF22" s="4"/>
      <c r="LG22" s="4"/>
      <c r="LH22" s="4"/>
      <c r="LI22" s="4"/>
      <c r="LJ22" s="4"/>
      <c r="LK22" s="4"/>
      <c r="LL22" s="4"/>
      <c r="LM22" s="4"/>
      <c r="LN22" s="4"/>
      <c r="LO22" s="4"/>
      <c r="LP22" s="4"/>
      <c r="LQ22" s="4"/>
      <c r="LR22" s="4"/>
      <c r="LS22" s="4"/>
      <c r="LT22" s="4"/>
      <c r="LU22" s="4"/>
      <c r="LV22" s="4"/>
      <c r="LW22" s="4"/>
      <c r="LX22" s="4"/>
      <c r="LY22" s="4"/>
      <c r="LZ22" s="4"/>
      <c r="MA22" s="4"/>
      <c r="MB22" s="4"/>
      <c r="MC22" s="4"/>
      <c r="MD22" s="4"/>
      <c r="ME22" s="4"/>
      <c r="MF22" s="4"/>
      <c r="MG22" s="4"/>
      <c r="MH22" s="4"/>
      <c r="MI22" s="4"/>
      <c r="MJ22" s="4"/>
      <c r="MK22" s="4"/>
      <c r="ML22" s="4"/>
      <c r="MM22" s="4"/>
      <c r="MN22" s="4"/>
      <c r="MO22" s="4"/>
      <c r="MP22" s="4"/>
      <c r="MQ22" s="4"/>
      <c r="MR22" s="4"/>
      <c r="MS22" s="4"/>
      <c r="MT22" s="4"/>
      <c r="MU22" s="4"/>
      <c r="MV22" s="4"/>
      <c r="MW22" s="4"/>
      <c r="MX22" s="4"/>
      <c r="MY22" s="4"/>
      <c r="MZ22" s="4"/>
      <c r="NA22" s="4"/>
      <c r="NB22" s="4"/>
      <c r="NC22" s="4"/>
      <c r="ND22" s="4"/>
      <c r="NE22" s="4"/>
      <c r="NF22" s="4"/>
      <c r="NG22" s="4"/>
      <c r="NH22" s="4"/>
      <c r="NI22" s="4"/>
      <c r="NJ22" s="4"/>
      <c r="NK22" s="4"/>
      <c r="NL22" s="4"/>
      <c r="NM22" s="4"/>
      <c r="NN22" s="4"/>
      <c r="NO22" s="4"/>
      <c r="NP22" s="4"/>
      <c r="NQ22" s="4"/>
      <c r="NR22" s="4"/>
      <c r="NS22" s="4"/>
      <c r="NT22" s="4"/>
      <c r="NU22" s="4"/>
      <c r="NV22" s="4"/>
      <c r="NW22" s="4"/>
      <c r="NX22" s="4"/>
      <c r="NY22" s="4"/>
      <c r="NZ22" s="4"/>
      <c r="OA22" s="4"/>
      <c r="OB22" s="4"/>
      <c r="OC22" s="4"/>
      <c r="OD22" s="4"/>
      <c r="OE22" s="4"/>
      <c r="OF22" s="4"/>
      <c r="OG22" s="4"/>
      <c r="OH22" s="4"/>
      <c r="OI22" s="4"/>
    </row>
    <row r="23" spans="1:399" outlineLevel="1">
      <c r="A23" s="116"/>
      <c r="B23" s="116"/>
      <c r="C23" s="116">
        <v>2</v>
      </c>
      <c r="D23" s="3" t="s">
        <v>1129</v>
      </c>
      <c r="E23" s="183"/>
      <c r="F23" s="183" t="s">
        <v>1198</v>
      </c>
      <c r="G23" s="183"/>
      <c r="H23" s="183"/>
      <c r="I23" s="183"/>
      <c r="J23" s="183"/>
      <c r="K23" s="183"/>
      <c r="L23" s="183"/>
      <c r="M23" s="184">
        <v>43766</v>
      </c>
      <c r="N23" s="184">
        <v>43770</v>
      </c>
      <c r="O23" s="185"/>
      <c r="P23" s="186">
        <v>5</v>
      </c>
      <c r="Q23" s="186">
        <v>0</v>
      </c>
      <c r="R23" s="187">
        <v>5</v>
      </c>
      <c r="S23" s="187">
        <v>0</v>
      </c>
      <c r="T23" s="184"/>
      <c r="U23" s="184"/>
      <c r="V23" s="188"/>
      <c r="W23" s="189">
        <v>0</v>
      </c>
      <c r="X23" s="190">
        <v>1</v>
      </c>
      <c r="Y23" s="185"/>
      <c r="Z23" s="191"/>
      <c r="AA23" s="97">
        <v>0</v>
      </c>
      <c r="AB23" s="192">
        <v>0</v>
      </c>
      <c r="AC23" s="123"/>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t="str">
        <f>"" &amp; TEXT(AB23,"#0.00%") &amp; " " &amp; "Design" &amp; " " &amp; IF(M23="","",TEXT(M23,"M/D-")) &amp; IF(N23="","",TEXT(N23,"M/D")) &amp; " "</f>
        <v xml:space="preserve">0.00% Design 10/28-11/1 </v>
      </c>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c r="FF23" s="4"/>
      <c r="FG23" s="4"/>
      <c r="FH23" s="4"/>
      <c r="FI23" s="4"/>
      <c r="FJ23" s="4"/>
      <c r="FK23" s="4"/>
      <c r="FL23" s="4"/>
      <c r="FM23" s="4"/>
      <c r="FN23" s="4"/>
      <c r="FO23" s="4"/>
      <c r="FP23" s="4"/>
      <c r="FQ23" s="4"/>
      <c r="FR23" s="4"/>
      <c r="FS23" s="4"/>
      <c r="FT23" s="4"/>
      <c r="FU23" s="4"/>
      <c r="FV23" s="4"/>
      <c r="FW23" s="4"/>
      <c r="FX23" s="4"/>
      <c r="FY23" s="4"/>
      <c r="FZ23" s="4"/>
      <c r="GA23" s="4"/>
      <c r="GB23" s="4"/>
      <c r="GC23" s="4"/>
      <c r="GD23" s="4"/>
      <c r="GE23" s="4"/>
      <c r="GF23" s="4"/>
      <c r="GG23" s="4"/>
      <c r="GH23" s="4"/>
      <c r="GI23" s="4"/>
      <c r="GJ23" s="4"/>
      <c r="GK23" s="4"/>
      <c r="GL23" s="4"/>
      <c r="GM23" s="4"/>
      <c r="GN23" s="4"/>
      <c r="GO23" s="4"/>
      <c r="GP23" s="4"/>
      <c r="GQ23" s="4"/>
      <c r="GR23" s="4"/>
      <c r="GS23" s="4"/>
      <c r="GT23" s="4"/>
      <c r="GU23" s="4"/>
      <c r="GV23" s="4"/>
      <c r="GW23" s="4"/>
      <c r="GX23" s="4"/>
      <c r="GY23" s="4"/>
      <c r="GZ23" s="4"/>
      <c r="HA23" s="4"/>
      <c r="HB23" s="4"/>
      <c r="HC23" s="4"/>
      <c r="HD23" s="4"/>
      <c r="HE23" s="4"/>
      <c r="HF23" s="4"/>
      <c r="HG23" s="4"/>
      <c r="HH23" s="4"/>
      <c r="HI23" s="4"/>
      <c r="HJ23" s="4"/>
      <c r="HK23" s="4"/>
      <c r="HL23" s="4"/>
      <c r="HM23" s="4"/>
      <c r="HN23" s="4"/>
      <c r="HO23" s="4"/>
      <c r="HP23" s="4"/>
      <c r="HQ23" s="4"/>
      <c r="HR23" s="4"/>
      <c r="HS23" s="4"/>
      <c r="HT23" s="4"/>
      <c r="HU23" s="4"/>
      <c r="HV23" s="4"/>
      <c r="HW23" s="4"/>
      <c r="HX23" s="4"/>
      <c r="HY23" s="4"/>
      <c r="HZ23" s="4"/>
      <c r="IA23" s="4"/>
      <c r="IB23" s="4"/>
      <c r="IC23" s="4"/>
      <c r="ID23" s="4"/>
      <c r="IE23" s="4"/>
      <c r="IF23" s="4"/>
      <c r="IG23" s="4"/>
      <c r="IH23" s="4"/>
      <c r="II23" s="4"/>
      <c r="IJ23" s="4"/>
      <c r="IK23" s="4"/>
      <c r="IL23" s="4"/>
      <c r="IM23" s="4"/>
      <c r="IN23" s="4"/>
      <c r="IO23" s="4"/>
      <c r="IP23" s="4"/>
      <c r="IQ23" s="4"/>
      <c r="IR23" s="4"/>
      <c r="IS23" s="4"/>
      <c r="IT23" s="4"/>
      <c r="IU23" s="4"/>
      <c r="IV23" s="4"/>
      <c r="IW23" s="4"/>
      <c r="IX23" s="4"/>
      <c r="IY23" s="4"/>
      <c r="IZ23" s="4"/>
      <c r="JA23" s="4"/>
      <c r="JB23" s="4"/>
      <c r="JC23" s="4"/>
      <c r="JD23" s="4"/>
      <c r="JE23" s="4"/>
      <c r="JF23" s="4"/>
      <c r="JG23" s="4"/>
      <c r="JH23" s="4"/>
      <c r="JI23" s="4"/>
      <c r="JJ23" s="4"/>
      <c r="JK23" s="4"/>
      <c r="JL23" s="4"/>
      <c r="JM23" s="4"/>
      <c r="JN23" s="4"/>
      <c r="JO23" s="4"/>
      <c r="JP23" s="4"/>
      <c r="JQ23" s="4"/>
      <c r="JR23" s="4"/>
      <c r="JS23" s="4"/>
      <c r="JT23" s="4"/>
      <c r="JU23" s="4"/>
      <c r="JV23" s="4"/>
      <c r="JW23" s="4"/>
      <c r="JX23" s="4"/>
      <c r="JY23" s="4"/>
      <c r="JZ23" s="4"/>
      <c r="KA23" s="4"/>
      <c r="KB23" s="4"/>
      <c r="KC23" s="4"/>
      <c r="KD23" s="4"/>
      <c r="KE23" s="4"/>
      <c r="KF23" s="4"/>
      <c r="KG23" s="4"/>
      <c r="KH23" s="4"/>
      <c r="KI23" s="4"/>
      <c r="KJ23" s="4"/>
      <c r="KK23" s="4"/>
      <c r="KL23" s="4"/>
      <c r="KM23" s="4"/>
      <c r="KN23" s="4"/>
      <c r="KO23" s="4"/>
      <c r="KP23" s="4"/>
      <c r="KQ23" s="4"/>
      <c r="KR23" s="4"/>
      <c r="KS23" s="4"/>
      <c r="KT23" s="4"/>
      <c r="KU23" s="4"/>
      <c r="KV23" s="4"/>
      <c r="KW23" s="4"/>
      <c r="KX23" s="4"/>
      <c r="KY23" s="4"/>
      <c r="KZ23" s="4"/>
      <c r="LA23" s="4"/>
      <c r="LB23" s="4"/>
      <c r="LC23" s="4"/>
      <c r="LD23" s="4"/>
      <c r="LE23" s="4"/>
      <c r="LF23" s="4"/>
      <c r="LG23" s="4"/>
      <c r="LH23" s="4"/>
      <c r="LI23" s="4"/>
      <c r="LJ23" s="4"/>
      <c r="LK23" s="4"/>
      <c r="LL23" s="4"/>
      <c r="LM23" s="4"/>
      <c r="LN23" s="4"/>
      <c r="LO23" s="4"/>
      <c r="LP23" s="4"/>
      <c r="LQ23" s="4"/>
      <c r="LR23" s="4"/>
      <c r="LS23" s="4"/>
      <c r="LT23" s="4"/>
      <c r="LU23" s="4"/>
      <c r="LV23" s="4"/>
      <c r="LW23" s="4"/>
      <c r="LX23" s="4"/>
      <c r="LY23" s="4"/>
      <c r="LZ23" s="4"/>
      <c r="MA23" s="4"/>
      <c r="MB23" s="4"/>
      <c r="MC23" s="4"/>
      <c r="MD23" s="4"/>
      <c r="ME23" s="4"/>
      <c r="MF23" s="4"/>
      <c r="MG23" s="4"/>
      <c r="MH23" s="4"/>
      <c r="MI23" s="4"/>
      <c r="MJ23" s="4"/>
      <c r="MK23" s="4"/>
      <c r="ML23" s="4"/>
      <c r="MM23" s="4"/>
      <c r="MN23" s="4"/>
      <c r="MO23" s="4"/>
      <c r="MP23" s="4"/>
      <c r="MQ23" s="4"/>
      <c r="MR23" s="4"/>
      <c r="MS23" s="4"/>
      <c r="MT23" s="4"/>
      <c r="MU23" s="4"/>
      <c r="MV23" s="4"/>
      <c r="MW23" s="4"/>
      <c r="MX23" s="4"/>
      <c r="MY23" s="4"/>
      <c r="MZ23" s="4"/>
      <c r="NA23" s="4"/>
      <c r="NB23" s="4"/>
      <c r="NC23" s="4"/>
      <c r="ND23" s="4"/>
      <c r="NE23" s="4"/>
      <c r="NF23" s="4"/>
      <c r="NG23" s="4"/>
      <c r="NH23" s="4"/>
      <c r="NI23" s="4"/>
      <c r="NJ23" s="4"/>
      <c r="NK23" s="4"/>
      <c r="NL23" s="4"/>
      <c r="NM23" s="4"/>
      <c r="NN23" s="4"/>
      <c r="NO23" s="4"/>
      <c r="NP23" s="4"/>
      <c r="NQ23" s="4"/>
      <c r="NR23" s="4"/>
      <c r="NS23" s="4"/>
      <c r="NT23" s="4"/>
      <c r="NU23" s="4"/>
      <c r="NV23" s="4"/>
      <c r="NW23" s="4"/>
      <c r="NX23" s="4"/>
      <c r="NY23" s="4"/>
      <c r="NZ23" s="4"/>
      <c r="OA23" s="4"/>
      <c r="OB23" s="4"/>
      <c r="OC23" s="4"/>
      <c r="OD23" s="4"/>
      <c r="OE23" s="4"/>
      <c r="OF23" s="4"/>
      <c r="OG23" s="4"/>
      <c r="OH23" s="4"/>
      <c r="OI23" s="4"/>
    </row>
    <row r="24" spans="1:399" outlineLevel="1">
      <c r="A24" s="116"/>
      <c r="B24" s="116"/>
      <c r="C24" s="116">
        <v>2</v>
      </c>
      <c r="D24" s="3" t="s">
        <v>1139</v>
      </c>
      <c r="E24" s="183"/>
      <c r="F24" s="183" t="s">
        <v>1178</v>
      </c>
      <c r="G24" s="183"/>
      <c r="H24" s="183"/>
      <c r="I24" s="183"/>
      <c r="J24" s="183"/>
      <c r="K24" s="183"/>
      <c r="L24" s="183"/>
      <c r="M24" s="184"/>
      <c r="N24" s="184"/>
      <c r="O24" s="185"/>
      <c r="P24" s="186">
        <v>0</v>
      </c>
      <c r="Q24" s="186">
        <v>0</v>
      </c>
      <c r="R24" s="187">
        <v>0</v>
      </c>
      <c r="S24" s="187">
        <v>0</v>
      </c>
      <c r="T24" s="184"/>
      <c r="U24" s="184"/>
      <c r="V24" s="188">
        <v>0</v>
      </c>
      <c r="W24" s="189">
        <v>0</v>
      </c>
      <c r="X24" s="190"/>
      <c r="Y24" s="185"/>
      <c r="Z24" s="191"/>
      <c r="AA24" s="97">
        <v>0</v>
      </c>
      <c r="AB24" s="192">
        <v>0</v>
      </c>
      <c r="AC24" s="123"/>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c r="FA24" s="4"/>
      <c r="FB24" s="4"/>
      <c r="FC24" s="4"/>
      <c r="FD24" s="4"/>
      <c r="FE24" s="4"/>
      <c r="FF24" s="4"/>
      <c r="FG24" s="4"/>
      <c r="FH24" s="4"/>
      <c r="FI24" s="4"/>
      <c r="FJ24" s="4"/>
      <c r="FK24" s="4"/>
      <c r="FL24" s="4"/>
      <c r="FM24" s="4"/>
      <c r="FN24" s="4"/>
      <c r="FO24" s="4"/>
      <c r="FP24" s="4"/>
      <c r="FQ24" s="4"/>
      <c r="FR24" s="4"/>
      <c r="FS24" s="4"/>
      <c r="FT24" s="4"/>
      <c r="FU24" s="4"/>
      <c r="FV24" s="4"/>
      <c r="FW24" s="4"/>
      <c r="FX24" s="4"/>
      <c r="FY24" s="4"/>
      <c r="FZ24" s="4"/>
      <c r="GA24" s="4"/>
      <c r="GB24" s="4"/>
      <c r="GC24" s="4"/>
      <c r="GD24" s="4"/>
      <c r="GE24" s="4"/>
      <c r="GF24" s="4"/>
      <c r="GG24" s="4"/>
      <c r="GH24" s="4"/>
      <c r="GI24" s="4"/>
      <c r="GJ24" s="4"/>
      <c r="GK24" s="4"/>
      <c r="GL24" s="4"/>
      <c r="GM24" s="4"/>
      <c r="GN24" s="4"/>
      <c r="GO24" s="4"/>
      <c r="GP24" s="4"/>
      <c r="GQ24" s="4"/>
      <c r="GR24" s="4"/>
      <c r="GS24" s="4"/>
      <c r="GT24" s="4"/>
      <c r="GU24" s="4"/>
      <c r="GV24" s="4"/>
      <c r="GW24" s="4"/>
      <c r="GX24" s="4"/>
      <c r="GY24" s="4"/>
      <c r="GZ24" s="4"/>
      <c r="HA24" s="4"/>
      <c r="HB24" s="4"/>
      <c r="HC24" s="4"/>
      <c r="HD24" s="4"/>
      <c r="HE24" s="4"/>
      <c r="HF24" s="4"/>
      <c r="HG24" s="4"/>
      <c r="HH24" s="4"/>
      <c r="HI24" s="4"/>
      <c r="HJ24" s="4"/>
      <c r="HK24" s="4"/>
      <c r="HL24" s="4"/>
      <c r="HM24" s="4"/>
      <c r="HN24" s="4"/>
      <c r="HO24" s="4"/>
      <c r="HP24" s="4"/>
      <c r="HQ24" s="4"/>
      <c r="HR24" s="4"/>
      <c r="HS24" s="4"/>
      <c r="HT24" s="4"/>
      <c r="HU24" s="4"/>
      <c r="HV24" s="4"/>
      <c r="HW24" s="4"/>
      <c r="HX24" s="4"/>
      <c r="HY24" s="4"/>
      <c r="HZ24" s="4"/>
      <c r="IA24" s="4"/>
      <c r="IB24" s="4"/>
      <c r="IC24" s="4"/>
      <c r="ID24" s="4"/>
      <c r="IE24" s="4"/>
      <c r="IF24" s="4"/>
      <c r="IG24" s="4"/>
      <c r="IH24" s="4"/>
      <c r="II24" s="4"/>
      <c r="IJ24" s="4"/>
      <c r="IK24" s="4"/>
      <c r="IL24" s="4"/>
      <c r="IM24" s="4"/>
      <c r="IN24" s="4"/>
      <c r="IO24" s="4"/>
      <c r="IP24" s="4"/>
      <c r="IQ24" s="4"/>
      <c r="IR24" s="4"/>
      <c r="IS24" s="4"/>
      <c r="IT24" s="4"/>
      <c r="IU24" s="4"/>
      <c r="IV24" s="4"/>
      <c r="IW24" s="4"/>
      <c r="IX24" s="4"/>
      <c r="IY24" s="4"/>
      <c r="IZ24" s="4"/>
      <c r="JA24" s="4"/>
      <c r="JB24" s="4"/>
      <c r="JC24" s="4"/>
      <c r="JD24" s="4"/>
      <c r="JE24" s="4"/>
      <c r="JF24" s="4"/>
      <c r="JG24" s="4"/>
      <c r="JH24" s="4"/>
      <c r="JI24" s="4"/>
      <c r="JJ24" s="4"/>
      <c r="JK24" s="4"/>
      <c r="JL24" s="4"/>
      <c r="JM24" s="4"/>
      <c r="JN24" s="4"/>
      <c r="JO24" s="4"/>
      <c r="JP24" s="4"/>
      <c r="JQ24" s="4"/>
      <c r="JR24" s="4"/>
      <c r="JS24" s="4"/>
      <c r="JT24" s="4"/>
      <c r="JU24" s="4"/>
      <c r="JV24" s="4"/>
      <c r="JW24" s="4"/>
      <c r="JX24" s="4"/>
      <c r="JY24" s="4"/>
      <c r="JZ24" s="4"/>
      <c r="KA24" s="4"/>
      <c r="KB24" s="4"/>
      <c r="KC24" s="4"/>
      <c r="KD24" s="4"/>
      <c r="KE24" s="4"/>
      <c r="KF24" s="4"/>
      <c r="KG24" s="4"/>
      <c r="KH24" s="4"/>
      <c r="KI24" s="4"/>
      <c r="KJ24" s="4"/>
      <c r="KK24" s="4"/>
      <c r="KL24" s="4"/>
      <c r="KM24" s="4"/>
      <c r="KN24" s="4"/>
      <c r="KO24" s="4"/>
      <c r="KP24" s="4"/>
      <c r="KQ24" s="4"/>
      <c r="KR24" s="4"/>
      <c r="KS24" s="4"/>
      <c r="KT24" s="4"/>
      <c r="KU24" s="4"/>
      <c r="KV24" s="4"/>
      <c r="KW24" s="4"/>
      <c r="KX24" s="4"/>
      <c r="KY24" s="4"/>
      <c r="KZ24" s="4"/>
      <c r="LA24" s="4"/>
      <c r="LB24" s="4"/>
      <c r="LC24" s="4"/>
      <c r="LD24" s="4"/>
      <c r="LE24" s="4"/>
      <c r="LF24" s="4"/>
      <c r="LG24" s="4"/>
      <c r="LH24" s="4"/>
      <c r="LI24" s="4"/>
      <c r="LJ24" s="4"/>
      <c r="LK24" s="4"/>
      <c r="LL24" s="4"/>
      <c r="LM24" s="4"/>
      <c r="LN24" s="4"/>
      <c r="LO24" s="4"/>
      <c r="LP24" s="4"/>
      <c r="LQ24" s="4"/>
      <c r="LR24" s="4"/>
      <c r="LS24" s="4"/>
      <c r="LT24" s="4"/>
      <c r="LU24" s="4"/>
      <c r="LV24" s="4"/>
      <c r="LW24" s="4"/>
      <c r="LX24" s="4"/>
      <c r="LY24" s="4"/>
      <c r="LZ24" s="4"/>
      <c r="MA24" s="4"/>
      <c r="MB24" s="4"/>
      <c r="MC24" s="4"/>
      <c r="MD24" s="4"/>
      <c r="ME24" s="4"/>
      <c r="MF24" s="4"/>
      <c r="MG24" s="4"/>
      <c r="MH24" s="4"/>
      <c r="MI24" s="4"/>
      <c r="MJ24" s="4"/>
      <c r="MK24" s="4"/>
      <c r="ML24" s="4"/>
      <c r="MM24" s="4"/>
      <c r="MN24" s="4"/>
      <c r="MO24" s="4"/>
      <c r="MP24" s="4"/>
      <c r="MQ24" s="4"/>
      <c r="MR24" s="4"/>
      <c r="MS24" s="4"/>
      <c r="MT24" s="4"/>
      <c r="MU24" s="4"/>
      <c r="MV24" s="4"/>
      <c r="MW24" s="4"/>
      <c r="MX24" s="4"/>
      <c r="MY24" s="4"/>
      <c r="MZ24" s="4"/>
      <c r="NA24" s="4"/>
      <c r="NB24" s="4"/>
      <c r="NC24" s="4"/>
      <c r="ND24" s="4"/>
      <c r="NE24" s="4"/>
      <c r="NF24" s="4"/>
      <c r="NG24" s="4"/>
      <c r="NH24" s="4"/>
      <c r="NI24" s="4"/>
      <c r="NJ24" s="4"/>
      <c r="NK24" s="4"/>
      <c r="NL24" s="4"/>
      <c r="NM24" s="4"/>
      <c r="NN24" s="4"/>
      <c r="NO24" s="4"/>
      <c r="NP24" s="4"/>
      <c r="NQ24" s="4"/>
      <c r="NR24" s="4"/>
      <c r="NS24" s="4"/>
      <c r="NT24" s="4"/>
      <c r="NU24" s="4"/>
      <c r="NV24" s="4"/>
      <c r="NW24" s="4"/>
      <c r="NX24" s="4"/>
      <c r="NY24" s="4"/>
      <c r="NZ24" s="4"/>
      <c r="OA24" s="4"/>
      <c r="OB24" s="4"/>
      <c r="OC24" s="4"/>
      <c r="OD24" s="4"/>
      <c r="OE24" s="4"/>
      <c r="OF24" s="4"/>
      <c r="OG24" s="4"/>
      <c r="OH24" s="4"/>
      <c r="OI24" s="4"/>
    </row>
    <row r="25" spans="1:399" outlineLevel="1">
      <c r="A25" s="116"/>
      <c r="B25" s="116"/>
      <c r="C25" s="116">
        <v>2</v>
      </c>
      <c r="D25" s="3" t="s">
        <v>1140</v>
      </c>
      <c r="E25" s="183"/>
      <c r="F25" s="183" t="s">
        <v>1179</v>
      </c>
      <c r="G25" s="183"/>
      <c r="H25" s="183"/>
      <c r="I25" s="183"/>
      <c r="J25" s="183"/>
      <c r="K25" s="183"/>
      <c r="L25" s="183"/>
      <c r="M25" s="184"/>
      <c r="N25" s="184"/>
      <c r="O25" s="185"/>
      <c r="P25" s="186">
        <v>0</v>
      </c>
      <c r="Q25" s="186">
        <v>0</v>
      </c>
      <c r="R25" s="187">
        <v>0</v>
      </c>
      <c r="S25" s="187">
        <v>0</v>
      </c>
      <c r="T25" s="184"/>
      <c r="U25" s="184"/>
      <c r="V25" s="188">
        <v>0</v>
      </c>
      <c r="W25" s="189">
        <v>0</v>
      </c>
      <c r="X25" s="190"/>
      <c r="Y25" s="185"/>
      <c r="Z25" s="191"/>
      <c r="AA25" s="97">
        <v>0</v>
      </c>
      <c r="AB25" s="192">
        <v>0</v>
      </c>
      <c r="AC25" s="123"/>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c r="FF25" s="4"/>
      <c r="FG25" s="4"/>
      <c r="FH25" s="4"/>
      <c r="FI25" s="4"/>
      <c r="FJ25" s="4"/>
      <c r="FK25" s="4"/>
      <c r="FL25" s="4"/>
      <c r="FM25" s="4"/>
      <c r="FN25" s="4"/>
      <c r="FO25" s="4"/>
      <c r="FP25" s="4"/>
      <c r="FQ25" s="4"/>
      <c r="FR25" s="4"/>
      <c r="FS25" s="4"/>
      <c r="FT25" s="4"/>
      <c r="FU25" s="4"/>
      <c r="FV25" s="4"/>
      <c r="FW25" s="4"/>
      <c r="FX25" s="4"/>
      <c r="FY25" s="4"/>
      <c r="FZ25" s="4"/>
      <c r="GA25" s="4"/>
      <c r="GB25" s="4"/>
      <c r="GC25" s="4"/>
      <c r="GD25" s="4"/>
      <c r="GE25" s="4"/>
      <c r="GF25" s="4"/>
      <c r="GG25" s="4"/>
      <c r="GH25" s="4"/>
      <c r="GI25" s="4"/>
      <c r="GJ25" s="4"/>
      <c r="GK25" s="4"/>
      <c r="GL25" s="4"/>
      <c r="GM25" s="4"/>
      <c r="GN25" s="4"/>
      <c r="GO25" s="4"/>
      <c r="GP25" s="4"/>
      <c r="GQ25" s="4"/>
      <c r="GR25" s="4"/>
      <c r="GS25" s="4"/>
      <c r="GT25" s="4"/>
      <c r="GU25" s="4"/>
      <c r="GV25" s="4"/>
      <c r="GW25" s="4"/>
      <c r="GX25" s="4"/>
      <c r="GY25" s="4"/>
      <c r="GZ25" s="4"/>
      <c r="HA25" s="4"/>
      <c r="HB25" s="4"/>
      <c r="HC25" s="4"/>
      <c r="HD25" s="4"/>
      <c r="HE25" s="4"/>
      <c r="HF25" s="4"/>
      <c r="HG25" s="4"/>
      <c r="HH25" s="4"/>
      <c r="HI25" s="4"/>
      <c r="HJ25" s="4"/>
      <c r="HK25" s="4"/>
      <c r="HL25" s="4"/>
      <c r="HM25" s="4"/>
      <c r="HN25" s="4"/>
      <c r="HO25" s="4"/>
      <c r="HP25" s="4"/>
      <c r="HQ25" s="4"/>
      <c r="HR25" s="4"/>
      <c r="HS25" s="4"/>
      <c r="HT25" s="4"/>
      <c r="HU25" s="4"/>
      <c r="HV25" s="4"/>
      <c r="HW25" s="4"/>
      <c r="HX25" s="4"/>
      <c r="HY25" s="4"/>
      <c r="HZ25" s="4"/>
      <c r="IA25" s="4"/>
      <c r="IB25" s="4"/>
      <c r="IC25" s="4"/>
      <c r="ID25" s="4"/>
      <c r="IE25" s="4"/>
      <c r="IF25" s="4"/>
      <c r="IG25" s="4"/>
      <c r="IH25" s="4"/>
      <c r="II25" s="4"/>
      <c r="IJ25" s="4"/>
      <c r="IK25" s="4"/>
      <c r="IL25" s="4"/>
      <c r="IM25" s="4"/>
      <c r="IN25" s="4"/>
      <c r="IO25" s="4"/>
      <c r="IP25" s="4"/>
      <c r="IQ25" s="4"/>
      <c r="IR25" s="4"/>
      <c r="IS25" s="4"/>
      <c r="IT25" s="4"/>
      <c r="IU25" s="4"/>
      <c r="IV25" s="4"/>
      <c r="IW25" s="4"/>
      <c r="IX25" s="4"/>
      <c r="IY25" s="4"/>
      <c r="IZ25" s="4"/>
      <c r="JA25" s="4"/>
      <c r="JB25" s="4"/>
      <c r="JC25" s="4"/>
      <c r="JD25" s="4"/>
      <c r="JE25" s="4"/>
      <c r="JF25" s="4"/>
      <c r="JG25" s="4"/>
      <c r="JH25" s="4"/>
      <c r="JI25" s="4"/>
      <c r="JJ25" s="4"/>
      <c r="JK25" s="4"/>
      <c r="JL25" s="4"/>
      <c r="JM25" s="4"/>
      <c r="JN25" s="4"/>
      <c r="JO25" s="4"/>
      <c r="JP25" s="4"/>
      <c r="JQ25" s="4"/>
      <c r="JR25" s="4"/>
      <c r="JS25" s="4"/>
      <c r="JT25" s="4"/>
      <c r="JU25" s="4"/>
      <c r="JV25" s="4"/>
      <c r="JW25" s="4"/>
      <c r="JX25" s="4"/>
      <c r="JY25" s="4"/>
      <c r="JZ25" s="4"/>
      <c r="KA25" s="4"/>
      <c r="KB25" s="4"/>
      <c r="KC25" s="4"/>
      <c r="KD25" s="4"/>
      <c r="KE25" s="4"/>
      <c r="KF25" s="4"/>
      <c r="KG25" s="4"/>
      <c r="KH25" s="4"/>
      <c r="KI25" s="4"/>
      <c r="KJ25" s="4"/>
      <c r="KK25" s="4"/>
      <c r="KL25" s="4"/>
      <c r="KM25" s="4"/>
      <c r="KN25" s="4"/>
      <c r="KO25" s="4"/>
      <c r="KP25" s="4"/>
      <c r="KQ25" s="4"/>
      <c r="KR25" s="4"/>
      <c r="KS25" s="4"/>
      <c r="KT25" s="4"/>
      <c r="KU25" s="4"/>
      <c r="KV25" s="4"/>
      <c r="KW25" s="4"/>
      <c r="KX25" s="4"/>
      <c r="KY25" s="4"/>
      <c r="KZ25" s="4"/>
      <c r="LA25" s="4"/>
      <c r="LB25" s="4"/>
      <c r="LC25" s="4"/>
      <c r="LD25" s="4"/>
      <c r="LE25" s="4"/>
      <c r="LF25" s="4"/>
      <c r="LG25" s="4"/>
      <c r="LH25" s="4"/>
      <c r="LI25" s="4"/>
      <c r="LJ25" s="4"/>
      <c r="LK25" s="4"/>
      <c r="LL25" s="4"/>
      <c r="LM25" s="4"/>
      <c r="LN25" s="4"/>
      <c r="LO25" s="4"/>
      <c r="LP25" s="4"/>
      <c r="LQ25" s="4"/>
      <c r="LR25" s="4"/>
      <c r="LS25" s="4"/>
      <c r="LT25" s="4"/>
      <c r="LU25" s="4"/>
      <c r="LV25" s="4"/>
      <c r="LW25" s="4"/>
      <c r="LX25" s="4"/>
      <c r="LY25" s="4"/>
      <c r="LZ25" s="4"/>
      <c r="MA25" s="4"/>
      <c r="MB25" s="4"/>
      <c r="MC25" s="4"/>
      <c r="MD25" s="4"/>
      <c r="ME25" s="4"/>
      <c r="MF25" s="4"/>
      <c r="MG25" s="4"/>
      <c r="MH25" s="4"/>
      <c r="MI25" s="4"/>
      <c r="MJ25" s="4"/>
      <c r="MK25" s="4"/>
      <c r="ML25" s="4"/>
      <c r="MM25" s="4"/>
      <c r="MN25" s="4"/>
      <c r="MO25" s="4"/>
      <c r="MP25" s="4"/>
      <c r="MQ25" s="4"/>
      <c r="MR25" s="4"/>
      <c r="MS25" s="4"/>
      <c r="MT25" s="4"/>
      <c r="MU25" s="4"/>
      <c r="MV25" s="4"/>
      <c r="MW25" s="4"/>
      <c r="MX25" s="4"/>
      <c r="MY25" s="4"/>
      <c r="MZ25" s="4"/>
      <c r="NA25" s="4"/>
      <c r="NB25" s="4"/>
      <c r="NC25" s="4"/>
      <c r="ND25" s="4"/>
      <c r="NE25" s="4"/>
      <c r="NF25" s="4"/>
      <c r="NG25" s="4"/>
      <c r="NH25" s="4"/>
      <c r="NI25" s="4"/>
      <c r="NJ25" s="4"/>
      <c r="NK25" s="4"/>
      <c r="NL25" s="4"/>
      <c r="NM25" s="4"/>
      <c r="NN25" s="4"/>
      <c r="NO25" s="4"/>
      <c r="NP25" s="4"/>
      <c r="NQ25" s="4"/>
      <c r="NR25" s="4"/>
      <c r="NS25" s="4"/>
      <c r="NT25" s="4"/>
      <c r="NU25" s="4"/>
      <c r="NV25" s="4"/>
      <c r="NW25" s="4"/>
      <c r="NX25" s="4"/>
      <c r="NY25" s="4"/>
      <c r="NZ25" s="4"/>
      <c r="OA25" s="4"/>
      <c r="OB25" s="4"/>
      <c r="OC25" s="4"/>
      <c r="OD25" s="4"/>
      <c r="OE25" s="4"/>
      <c r="OF25" s="4"/>
      <c r="OG25" s="4"/>
      <c r="OH25" s="4"/>
      <c r="OI25" s="4"/>
    </row>
    <row r="26" spans="1:399" outlineLevel="1">
      <c r="A26" s="116"/>
      <c r="B26" s="116"/>
      <c r="C26" s="116">
        <v>2</v>
      </c>
      <c r="D26" s="3" t="s">
        <v>1163</v>
      </c>
      <c r="E26" s="183"/>
      <c r="F26" s="183" t="s">
        <v>1180</v>
      </c>
      <c r="G26" s="183"/>
      <c r="H26" s="183"/>
      <c r="I26" s="183"/>
      <c r="J26" s="183"/>
      <c r="K26" s="183"/>
      <c r="L26" s="183"/>
      <c r="M26" s="184"/>
      <c r="N26" s="184"/>
      <c r="O26" s="185"/>
      <c r="P26" s="186">
        <v>0</v>
      </c>
      <c r="Q26" s="186">
        <v>0</v>
      </c>
      <c r="R26" s="187">
        <v>0</v>
      </c>
      <c r="S26" s="187">
        <v>0</v>
      </c>
      <c r="T26" s="184"/>
      <c r="U26" s="184"/>
      <c r="V26" s="188">
        <v>0</v>
      </c>
      <c r="W26" s="189">
        <v>0</v>
      </c>
      <c r="X26" s="190">
        <v>1</v>
      </c>
      <c r="Y26" s="185"/>
      <c r="Z26" s="191"/>
      <c r="AA26" s="97">
        <v>0</v>
      </c>
      <c r="AB26" s="192">
        <v>0</v>
      </c>
      <c r="AC26" s="123"/>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c r="FF26" s="4"/>
      <c r="FG26" s="4"/>
      <c r="FH26" s="4"/>
      <c r="FI26" s="4"/>
      <c r="FJ26" s="4"/>
      <c r="FK26" s="4"/>
      <c r="FL26" s="4"/>
      <c r="FM26" s="4"/>
      <c r="FN26" s="4"/>
      <c r="FO26" s="4"/>
      <c r="FP26" s="4"/>
      <c r="FQ26" s="4"/>
      <c r="FR26" s="4"/>
      <c r="FS26" s="4"/>
      <c r="FT26" s="4"/>
      <c r="FU26" s="4"/>
      <c r="FV26" s="4"/>
      <c r="FW26" s="4"/>
      <c r="FX26" s="4"/>
      <c r="FY26" s="4"/>
      <c r="FZ26" s="4"/>
      <c r="GA26" s="4"/>
      <c r="GB26" s="4"/>
      <c r="GC26" s="4"/>
      <c r="GD26" s="4"/>
      <c r="GE26" s="4"/>
      <c r="GF26" s="4"/>
      <c r="GG26" s="4"/>
      <c r="GH26" s="4"/>
      <c r="GI26" s="4"/>
      <c r="GJ26" s="4"/>
      <c r="GK26" s="4"/>
      <c r="GL26" s="4"/>
      <c r="GM26" s="4"/>
      <c r="GN26" s="4"/>
      <c r="GO26" s="4"/>
      <c r="GP26" s="4"/>
      <c r="GQ26" s="4"/>
      <c r="GR26" s="4"/>
      <c r="GS26" s="4"/>
      <c r="GT26" s="4"/>
      <c r="GU26" s="4"/>
      <c r="GV26" s="4"/>
      <c r="GW26" s="4"/>
      <c r="GX26" s="4"/>
      <c r="GY26" s="4"/>
      <c r="GZ26" s="4"/>
      <c r="HA26" s="4"/>
      <c r="HB26" s="4"/>
      <c r="HC26" s="4"/>
      <c r="HD26" s="4"/>
      <c r="HE26" s="4"/>
      <c r="HF26" s="4"/>
      <c r="HG26" s="4"/>
      <c r="HH26" s="4"/>
      <c r="HI26" s="4"/>
      <c r="HJ26" s="4"/>
      <c r="HK26" s="4"/>
      <c r="HL26" s="4"/>
      <c r="HM26" s="4"/>
      <c r="HN26" s="4"/>
      <c r="HO26" s="4"/>
      <c r="HP26" s="4"/>
      <c r="HQ26" s="4"/>
      <c r="HR26" s="4"/>
      <c r="HS26" s="4"/>
      <c r="HT26" s="4"/>
      <c r="HU26" s="4"/>
      <c r="HV26" s="4"/>
      <c r="HW26" s="4"/>
      <c r="HX26" s="4"/>
      <c r="HY26" s="4"/>
      <c r="HZ26" s="4"/>
      <c r="IA26" s="4"/>
      <c r="IB26" s="4"/>
      <c r="IC26" s="4"/>
      <c r="ID26" s="4"/>
      <c r="IE26" s="4"/>
      <c r="IF26" s="4"/>
      <c r="IG26" s="4"/>
      <c r="IH26" s="4"/>
      <c r="II26" s="4"/>
      <c r="IJ26" s="4"/>
      <c r="IK26" s="4"/>
      <c r="IL26" s="4"/>
      <c r="IM26" s="4"/>
      <c r="IN26" s="4"/>
      <c r="IO26" s="4"/>
      <c r="IP26" s="4"/>
      <c r="IQ26" s="4"/>
      <c r="IR26" s="4"/>
      <c r="IS26" s="4"/>
      <c r="IT26" s="4"/>
      <c r="IU26" s="4"/>
      <c r="IV26" s="4"/>
      <c r="IW26" s="4"/>
      <c r="IX26" s="4"/>
      <c r="IY26" s="4"/>
      <c r="IZ26" s="4"/>
      <c r="JA26" s="4"/>
      <c r="JB26" s="4"/>
      <c r="JC26" s="4"/>
      <c r="JD26" s="4"/>
      <c r="JE26" s="4"/>
      <c r="JF26" s="4"/>
      <c r="JG26" s="4"/>
      <c r="JH26" s="4"/>
      <c r="JI26" s="4"/>
      <c r="JJ26" s="4"/>
      <c r="JK26" s="4"/>
      <c r="JL26" s="4"/>
      <c r="JM26" s="4"/>
      <c r="JN26" s="4"/>
      <c r="JO26" s="4"/>
      <c r="JP26" s="4"/>
      <c r="JQ26" s="4"/>
      <c r="JR26" s="4"/>
      <c r="JS26" s="4"/>
      <c r="JT26" s="4"/>
      <c r="JU26" s="4"/>
      <c r="JV26" s="4"/>
      <c r="JW26" s="4"/>
      <c r="JX26" s="4"/>
      <c r="JY26" s="4"/>
      <c r="JZ26" s="4"/>
      <c r="KA26" s="4"/>
      <c r="KB26" s="4"/>
      <c r="KC26" s="4"/>
      <c r="KD26" s="4"/>
      <c r="KE26" s="4"/>
      <c r="KF26" s="4"/>
      <c r="KG26" s="4"/>
      <c r="KH26" s="4"/>
      <c r="KI26" s="4"/>
      <c r="KJ26" s="4"/>
      <c r="KK26" s="4"/>
      <c r="KL26" s="4"/>
      <c r="KM26" s="4"/>
      <c r="KN26" s="4"/>
      <c r="KO26" s="4"/>
      <c r="KP26" s="4"/>
      <c r="KQ26" s="4"/>
      <c r="KR26" s="4"/>
      <c r="KS26" s="4"/>
      <c r="KT26" s="4"/>
      <c r="KU26" s="4"/>
      <c r="KV26" s="4"/>
      <c r="KW26" s="4"/>
      <c r="KX26" s="4"/>
      <c r="KY26" s="4"/>
      <c r="KZ26" s="4"/>
      <c r="LA26" s="4"/>
      <c r="LB26" s="4"/>
      <c r="LC26" s="4"/>
      <c r="LD26" s="4"/>
      <c r="LE26" s="4"/>
      <c r="LF26" s="4"/>
      <c r="LG26" s="4"/>
      <c r="LH26" s="4"/>
      <c r="LI26" s="4"/>
      <c r="LJ26" s="4"/>
      <c r="LK26" s="4"/>
      <c r="LL26" s="4"/>
      <c r="LM26" s="4"/>
      <c r="LN26" s="4"/>
      <c r="LO26" s="4"/>
      <c r="LP26" s="4"/>
      <c r="LQ26" s="4"/>
      <c r="LR26" s="4"/>
      <c r="LS26" s="4"/>
      <c r="LT26" s="4"/>
      <c r="LU26" s="4"/>
      <c r="LV26" s="4"/>
      <c r="LW26" s="4"/>
      <c r="LX26" s="4"/>
      <c r="LY26" s="4"/>
      <c r="LZ26" s="4"/>
      <c r="MA26" s="4"/>
      <c r="MB26" s="4"/>
      <c r="MC26" s="4"/>
      <c r="MD26" s="4"/>
      <c r="ME26" s="4"/>
      <c r="MF26" s="4"/>
      <c r="MG26" s="4"/>
      <c r="MH26" s="4"/>
      <c r="MI26" s="4"/>
      <c r="MJ26" s="4"/>
      <c r="MK26" s="4"/>
      <c r="ML26" s="4"/>
      <c r="MM26" s="4"/>
      <c r="MN26" s="4"/>
      <c r="MO26" s="4"/>
      <c r="MP26" s="4"/>
      <c r="MQ26" s="4"/>
      <c r="MR26" s="4"/>
      <c r="MS26" s="4"/>
      <c r="MT26" s="4"/>
      <c r="MU26" s="4"/>
      <c r="MV26" s="4"/>
      <c r="MW26" s="4"/>
      <c r="MX26" s="4"/>
      <c r="MY26" s="4"/>
      <c r="MZ26" s="4"/>
      <c r="NA26" s="4"/>
      <c r="NB26" s="4"/>
      <c r="NC26" s="4"/>
      <c r="ND26" s="4"/>
      <c r="NE26" s="4"/>
      <c r="NF26" s="4"/>
      <c r="NG26" s="4"/>
      <c r="NH26" s="4"/>
      <c r="NI26" s="4"/>
      <c r="NJ26" s="4"/>
      <c r="NK26" s="4"/>
      <c r="NL26" s="4"/>
      <c r="NM26" s="4"/>
      <c r="NN26" s="4"/>
      <c r="NO26" s="4"/>
      <c r="NP26" s="4"/>
      <c r="NQ26" s="4"/>
      <c r="NR26" s="4"/>
      <c r="NS26" s="4"/>
      <c r="NT26" s="4"/>
      <c r="NU26" s="4"/>
      <c r="NV26" s="4"/>
      <c r="NW26" s="4"/>
      <c r="NX26" s="4"/>
      <c r="NY26" s="4"/>
      <c r="NZ26" s="4"/>
      <c r="OA26" s="4"/>
      <c r="OB26" s="4"/>
      <c r="OC26" s="4"/>
      <c r="OD26" s="4"/>
      <c r="OE26" s="4"/>
      <c r="OF26" s="4"/>
      <c r="OG26" s="4"/>
      <c r="OH26" s="4"/>
      <c r="OI26" s="4"/>
    </row>
    <row r="27" spans="1:399" outlineLevel="1">
      <c r="A27" s="116"/>
      <c r="B27" s="116"/>
      <c r="C27" s="116">
        <v>2</v>
      </c>
      <c r="D27" s="3" t="s">
        <v>1164</v>
      </c>
      <c r="E27" s="183"/>
      <c r="F27" s="183" t="s">
        <v>1199</v>
      </c>
      <c r="G27" s="183"/>
      <c r="H27" s="183"/>
      <c r="I27" s="183"/>
      <c r="J27" s="183"/>
      <c r="K27" s="183"/>
      <c r="L27" s="183"/>
      <c r="M27" s="184"/>
      <c r="N27" s="184"/>
      <c r="O27" s="185"/>
      <c r="P27" s="186">
        <v>0</v>
      </c>
      <c r="Q27" s="186">
        <v>0</v>
      </c>
      <c r="R27" s="187">
        <v>0</v>
      </c>
      <c r="S27" s="187">
        <v>0</v>
      </c>
      <c r="T27" s="184"/>
      <c r="U27" s="184"/>
      <c r="V27" s="188">
        <v>0</v>
      </c>
      <c r="W27" s="189">
        <v>0</v>
      </c>
      <c r="X27" s="190">
        <v>1</v>
      </c>
      <c r="Y27" s="185"/>
      <c r="Z27" s="191"/>
      <c r="AA27" s="97">
        <v>0</v>
      </c>
      <c r="AB27" s="192">
        <v>0</v>
      </c>
      <c r="AC27" s="123"/>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c r="FA27" s="4"/>
      <c r="FB27" s="4"/>
      <c r="FC27" s="4"/>
      <c r="FD27" s="4"/>
      <c r="FE27" s="4"/>
      <c r="FF27" s="4"/>
      <c r="FG27" s="4"/>
      <c r="FH27" s="4"/>
      <c r="FI27" s="4"/>
      <c r="FJ27" s="4"/>
      <c r="FK27" s="4"/>
      <c r="FL27" s="4"/>
      <c r="FM27" s="4"/>
      <c r="FN27" s="4"/>
      <c r="FO27" s="4"/>
      <c r="FP27" s="4"/>
      <c r="FQ27" s="4"/>
      <c r="FR27" s="4"/>
      <c r="FS27" s="4"/>
      <c r="FT27" s="4"/>
      <c r="FU27" s="4"/>
      <c r="FV27" s="4"/>
      <c r="FW27" s="4"/>
      <c r="FX27" s="4"/>
      <c r="FY27" s="4"/>
      <c r="FZ27" s="4"/>
      <c r="GA27" s="4"/>
      <c r="GB27" s="4"/>
      <c r="GC27" s="4"/>
      <c r="GD27" s="4"/>
      <c r="GE27" s="4"/>
      <c r="GF27" s="4"/>
      <c r="GG27" s="4"/>
      <c r="GH27" s="4"/>
      <c r="GI27" s="4"/>
      <c r="GJ27" s="4"/>
      <c r="GK27" s="4"/>
      <c r="GL27" s="4"/>
      <c r="GM27" s="4"/>
      <c r="GN27" s="4"/>
      <c r="GO27" s="4"/>
      <c r="GP27" s="4"/>
      <c r="GQ27" s="4"/>
      <c r="GR27" s="4"/>
      <c r="GS27" s="4"/>
      <c r="GT27" s="4"/>
      <c r="GU27" s="4"/>
      <c r="GV27" s="4"/>
      <c r="GW27" s="4"/>
      <c r="GX27" s="4"/>
      <c r="GY27" s="4"/>
      <c r="GZ27" s="4"/>
      <c r="HA27" s="4"/>
      <c r="HB27" s="4"/>
      <c r="HC27" s="4"/>
      <c r="HD27" s="4"/>
      <c r="HE27" s="4"/>
      <c r="HF27" s="4"/>
      <c r="HG27" s="4"/>
      <c r="HH27" s="4"/>
      <c r="HI27" s="4"/>
      <c r="HJ27" s="4"/>
      <c r="HK27" s="4"/>
      <c r="HL27" s="4"/>
      <c r="HM27" s="4"/>
      <c r="HN27" s="4"/>
      <c r="HO27" s="4"/>
      <c r="HP27" s="4"/>
      <c r="HQ27" s="4"/>
      <c r="HR27" s="4"/>
      <c r="HS27" s="4"/>
      <c r="HT27" s="4"/>
      <c r="HU27" s="4"/>
      <c r="HV27" s="4"/>
      <c r="HW27" s="4"/>
      <c r="HX27" s="4"/>
      <c r="HY27" s="4"/>
      <c r="HZ27" s="4"/>
      <c r="IA27" s="4"/>
      <c r="IB27" s="4"/>
      <c r="IC27" s="4"/>
      <c r="ID27" s="4"/>
      <c r="IE27" s="4"/>
      <c r="IF27" s="4"/>
      <c r="IG27" s="4"/>
      <c r="IH27" s="4"/>
      <c r="II27" s="4"/>
      <c r="IJ27" s="4"/>
      <c r="IK27" s="4"/>
      <c r="IL27" s="4"/>
      <c r="IM27" s="4"/>
      <c r="IN27" s="4"/>
      <c r="IO27" s="4"/>
      <c r="IP27" s="4"/>
      <c r="IQ27" s="4"/>
      <c r="IR27" s="4"/>
      <c r="IS27" s="4"/>
      <c r="IT27" s="4"/>
      <c r="IU27" s="4"/>
      <c r="IV27" s="4"/>
      <c r="IW27" s="4"/>
      <c r="IX27" s="4"/>
      <c r="IY27" s="4"/>
      <c r="IZ27" s="4"/>
      <c r="JA27" s="4"/>
      <c r="JB27" s="4"/>
      <c r="JC27" s="4"/>
      <c r="JD27" s="4"/>
      <c r="JE27" s="4"/>
      <c r="JF27" s="4"/>
      <c r="JG27" s="4"/>
      <c r="JH27" s="4"/>
      <c r="JI27" s="4"/>
      <c r="JJ27" s="4"/>
      <c r="JK27" s="4"/>
      <c r="JL27" s="4"/>
      <c r="JM27" s="4"/>
      <c r="JN27" s="4"/>
      <c r="JO27" s="4"/>
      <c r="JP27" s="4"/>
      <c r="JQ27" s="4"/>
      <c r="JR27" s="4"/>
      <c r="JS27" s="4"/>
      <c r="JT27" s="4"/>
      <c r="JU27" s="4"/>
      <c r="JV27" s="4"/>
      <c r="JW27" s="4"/>
      <c r="JX27" s="4"/>
      <c r="JY27" s="4"/>
      <c r="JZ27" s="4"/>
      <c r="KA27" s="4"/>
      <c r="KB27" s="4"/>
      <c r="KC27" s="4"/>
      <c r="KD27" s="4"/>
      <c r="KE27" s="4"/>
      <c r="KF27" s="4"/>
      <c r="KG27" s="4"/>
      <c r="KH27" s="4"/>
      <c r="KI27" s="4"/>
      <c r="KJ27" s="4"/>
      <c r="KK27" s="4"/>
      <c r="KL27" s="4"/>
      <c r="KM27" s="4"/>
      <c r="KN27" s="4"/>
      <c r="KO27" s="4"/>
      <c r="KP27" s="4"/>
      <c r="KQ27" s="4"/>
      <c r="KR27" s="4"/>
      <c r="KS27" s="4"/>
      <c r="KT27" s="4"/>
      <c r="KU27" s="4"/>
      <c r="KV27" s="4"/>
      <c r="KW27" s="4"/>
      <c r="KX27" s="4"/>
      <c r="KY27" s="4"/>
      <c r="KZ27" s="4"/>
      <c r="LA27" s="4"/>
      <c r="LB27" s="4"/>
      <c r="LC27" s="4"/>
      <c r="LD27" s="4"/>
      <c r="LE27" s="4"/>
      <c r="LF27" s="4"/>
      <c r="LG27" s="4"/>
      <c r="LH27" s="4"/>
      <c r="LI27" s="4"/>
      <c r="LJ27" s="4"/>
      <c r="LK27" s="4"/>
      <c r="LL27" s="4"/>
      <c r="LM27" s="4"/>
      <c r="LN27" s="4"/>
      <c r="LO27" s="4"/>
      <c r="LP27" s="4"/>
      <c r="LQ27" s="4"/>
      <c r="LR27" s="4"/>
      <c r="LS27" s="4"/>
      <c r="LT27" s="4"/>
      <c r="LU27" s="4"/>
      <c r="LV27" s="4"/>
      <c r="LW27" s="4"/>
      <c r="LX27" s="4"/>
      <c r="LY27" s="4"/>
      <c r="LZ27" s="4"/>
      <c r="MA27" s="4"/>
      <c r="MB27" s="4"/>
      <c r="MC27" s="4"/>
      <c r="MD27" s="4"/>
      <c r="ME27" s="4"/>
      <c r="MF27" s="4"/>
      <c r="MG27" s="4"/>
      <c r="MH27" s="4"/>
      <c r="MI27" s="4"/>
      <c r="MJ27" s="4"/>
      <c r="MK27" s="4"/>
      <c r="ML27" s="4"/>
      <c r="MM27" s="4"/>
      <c r="MN27" s="4"/>
      <c r="MO27" s="4"/>
      <c r="MP27" s="4"/>
      <c r="MQ27" s="4"/>
      <c r="MR27" s="4"/>
      <c r="MS27" s="4"/>
      <c r="MT27" s="4"/>
      <c r="MU27" s="4"/>
      <c r="MV27" s="4"/>
      <c r="MW27" s="4"/>
      <c r="MX27" s="4"/>
      <c r="MY27" s="4"/>
      <c r="MZ27" s="4"/>
      <c r="NA27" s="4"/>
      <c r="NB27" s="4"/>
      <c r="NC27" s="4"/>
      <c r="ND27" s="4"/>
      <c r="NE27" s="4"/>
      <c r="NF27" s="4"/>
      <c r="NG27" s="4"/>
      <c r="NH27" s="4"/>
      <c r="NI27" s="4"/>
      <c r="NJ27" s="4"/>
      <c r="NK27" s="4"/>
      <c r="NL27" s="4"/>
      <c r="NM27" s="4"/>
      <c r="NN27" s="4"/>
      <c r="NO27" s="4"/>
      <c r="NP27" s="4"/>
      <c r="NQ27" s="4"/>
      <c r="NR27" s="4"/>
      <c r="NS27" s="4"/>
      <c r="NT27" s="4"/>
      <c r="NU27" s="4"/>
      <c r="NV27" s="4"/>
      <c r="NW27" s="4"/>
      <c r="NX27" s="4"/>
      <c r="NY27" s="4"/>
      <c r="NZ27" s="4"/>
      <c r="OA27" s="4"/>
      <c r="OB27" s="4"/>
      <c r="OC27" s="4"/>
      <c r="OD27" s="4"/>
      <c r="OE27" s="4"/>
      <c r="OF27" s="4"/>
      <c r="OG27" s="4"/>
      <c r="OH27" s="4"/>
      <c r="OI27" s="4"/>
    </row>
    <row r="28" spans="1:399" outlineLevel="1">
      <c r="A28" s="116"/>
      <c r="B28" s="116"/>
      <c r="C28" s="116">
        <v>2</v>
      </c>
      <c r="D28" s="3" t="s">
        <v>1165</v>
      </c>
      <c r="E28" s="183"/>
      <c r="F28" s="183" t="s">
        <v>1182</v>
      </c>
      <c r="G28" s="183"/>
      <c r="H28" s="183"/>
      <c r="I28" s="183"/>
      <c r="J28" s="183"/>
      <c r="K28" s="183"/>
      <c r="L28" s="183"/>
      <c r="M28" s="184"/>
      <c r="N28" s="184"/>
      <c r="O28" s="185"/>
      <c r="P28" s="186">
        <v>0</v>
      </c>
      <c r="Q28" s="186">
        <v>0</v>
      </c>
      <c r="R28" s="187">
        <v>0</v>
      </c>
      <c r="S28" s="187">
        <v>0</v>
      </c>
      <c r="T28" s="184"/>
      <c r="U28" s="184"/>
      <c r="V28" s="188">
        <v>0</v>
      </c>
      <c r="W28" s="189">
        <v>0</v>
      </c>
      <c r="X28" s="190"/>
      <c r="Y28" s="185"/>
      <c r="Z28" s="191"/>
      <c r="AA28" s="97">
        <v>0</v>
      </c>
      <c r="AB28" s="192">
        <v>0</v>
      </c>
      <c r="AC28" s="123"/>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c r="EY28" s="4"/>
      <c r="EZ28" s="4"/>
      <c r="FA28" s="4"/>
      <c r="FB28" s="4"/>
      <c r="FC28" s="4"/>
      <c r="FD28" s="4"/>
      <c r="FE28" s="4"/>
      <c r="FF28" s="4"/>
      <c r="FG28" s="4"/>
      <c r="FH28" s="4"/>
      <c r="FI28" s="4"/>
      <c r="FJ28" s="4"/>
      <c r="FK28" s="4"/>
      <c r="FL28" s="4"/>
      <c r="FM28" s="4"/>
      <c r="FN28" s="4"/>
      <c r="FO28" s="4"/>
      <c r="FP28" s="4"/>
      <c r="FQ28" s="4"/>
      <c r="FR28" s="4"/>
      <c r="FS28" s="4"/>
      <c r="FT28" s="4"/>
      <c r="FU28" s="4"/>
      <c r="FV28" s="4"/>
      <c r="FW28" s="4"/>
      <c r="FX28" s="4"/>
      <c r="FY28" s="4"/>
      <c r="FZ28" s="4"/>
      <c r="GA28" s="4"/>
      <c r="GB28" s="4"/>
      <c r="GC28" s="4"/>
      <c r="GD28" s="4"/>
      <c r="GE28" s="4"/>
      <c r="GF28" s="4"/>
      <c r="GG28" s="4"/>
      <c r="GH28" s="4"/>
      <c r="GI28" s="4"/>
      <c r="GJ28" s="4"/>
      <c r="GK28" s="4"/>
      <c r="GL28" s="4"/>
      <c r="GM28" s="4"/>
      <c r="GN28" s="4"/>
      <c r="GO28" s="4"/>
      <c r="GP28" s="4"/>
      <c r="GQ28" s="4"/>
      <c r="GR28" s="4"/>
      <c r="GS28" s="4"/>
      <c r="GT28" s="4"/>
      <c r="GU28" s="4"/>
      <c r="GV28" s="4"/>
      <c r="GW28" s="4"/>
      <c r="GX28" s="4"/>
      <c r="GY28" s="4"/>
      <c r="GZ28" s="4"/>
      <c r="HA28" s="4"/>
      <c r="HB28" s="4"/>
      <c r="HC28" s="4"/>
      <c r="HD28" s="4"/>
      <c r="HE28" s="4"/>
      <c r="HF28" s="4"/>
      <c r="HG28" s="4"/>
      <c r="HH28" s="4"/>
      <c r="HI28" s="4"/>
      <c r="HJ28" s="4"/>
      <c r="HK28" s="4"/>
      <c r="HL28" s="4"/>
      <c r="HM28" s="4"/>
      <c r="HN28" s="4"/>
      <c r="HO28" s="4"/>
      <c r="HP28" s="4"/>
      <c r="HQ28" s="4"/>
      <c r="HR28" s="4"/>
      <c r="HS28" s="4"/>
      <c r="HT28" s="4"/>
      <c r="HU28" s="4"/>
      <c r="HV28" s="4"/>
      <c r="HW28" s="4"/>
      <c r="HX28" s="4"/>
      <c r="HY28" s="4"/>
      <c r="HZ28" s="4"/>
      <c r="IA28" s="4"/>
      <c r="IB28" s="4"/>
      <c r="IC28" s="4"/>
      <c r="ID28" s="4"/>
      <c r="IE28" s="4"/>
      <c r="IF28" s="4"/>
      <c r="IG28" s="4"/>
      <c r="IH28" s="4"/>
      <c r="II28" s="4"/>
      <c r="IJ28" s="4"/>
      <c r="IK28" s="4"/>
      <c r="IL28" s="4"/>
      <c r="IM28" s="4"/>
      <c r="IN28" s="4"/>
      <c r="IO28" s="4"/>
      <c r="IP28" s="4"/>
      <c r="IQ28" s="4"/>
      <c r="IR28" s="4"/>
      <c r="IS28" s="4"/>
      <c r="IT28" s="4"/>
      <c r="IU28" s="4"/>
      <c r="IV28" s="4"/>
      <c r="IW28" s="4"/>
      <c r="IX28" s="4"/>
      <c r="IY28" s="4"/>
      <c r="IZ28" s="4"/>
      <c r="JA28" s="4"/>
      <c r="JB28" s="4"/>
      <c r="JC28" s="4"/>
      <c r="JD28" s="4"/>
      <c r="JE28" s="4"/>
      <c r="JF28" s="4"/>
      <c r="JG28" s="4"/>
      <c r="JH28" s="4"/>
      <c r="JI28" s="4"/>
      <c r="JJ28" s="4"/>
      <c r="JK28" s="4"/>
      <c r="JL28" s="4"/>
      <c r="JM28" s="4"/>
      <c r="JN28" s="4"/>
      <c r="JO28" s="4"/>
      <c r="JP28" s="4"/>
      <c r="JQ28" s="4"/>
      <c r="JR28" s="4"/>
      <c r="JS28" s="4"/>
      <c r="JT28" s="4"/>
      <c r="JU28" s="4"/>
      <c r="JV28" s="4"/>
      <c r="JW28" s="4"/>
      <c r="JX28" s="4"/>
      <c r="JY28" s="4"/>
      <c r="JZ28" s="4"/>
      <c r="KA28" s="4"/>
      <c r="KB28" s="4"/>
      <c r="KC28" s="4"/>
      <c r="KD28" s="4"/>
      <c r="KE28" s="4"/>
      <c r="KF28" s="4"/>
      <c r="KG28" s="4"/>
      <c r="KH28" s="4"/>
      <c r="KI28" s="4"/>
      <c r="KJ28" s="4"/>
      <c r="KK28" s="4"/>
      <c r="KL28" s="4"/>
      <c r="KM28" s="4"/>
      <c r="KN28" s="4"/>
      <c r="KO28" s="4"/>
      <c r="KP28" s="4"/>
      <c r="KQ28" s="4"/>
      <c r="KR28" s="4"/>
      <c r="KS28" s="4"/>
      <c r="KT28" s="4"/>
      <c r="KU28" s="4"/>
      <c r="KV28" s="4"/>
      <c r="KW28" s="4"/>
      <c r="KX28" s="4"/>
      <c r="KY28" s="4"/>
      <c r="KZ28" s="4"/>
      <c r="LA28" s="4"/>
      <c r="LB28" s="4"/>
      <c r="LC28" s="4"/>
      <c r="LD28" s="4"/>
      <c r="LE28" s="4"/>
      <c r="LF28" s="4"/>
      <c r="LG28" s="4"/>
      <c r="LH28" s="4"/>
      <c r="LI28" s="4"/>
      <c r="LJ28" s="4"/>
      <c r="LK28" s="4"/>
      <c r="LL28" s="4"/>
      <c r="LM28" s="4"/>
      <c r="LN28" s="4"/>
      <c r="LO28" s="4"/>
      <c r="LP28" s="4"/>
      <c r="LQ28" s="4"/>
      <c r="LR28" s="4"/>
      <c r="LS28" s="4"/>
      <c r="LT28" s="4"/>
      <c r="LU28" s="4"/>
      <c r="LV28" s="4"/>
      <c r="LW28" s="4"/>
      <c r="LX28" s="4"/>
      <c r="LY28" s="4"/>
      <c r="LZ28" s="4"/>
      <c r="MA28" s="4"/>
      <c r="MB28" s="4"/>
      <c r="MC28" s="4"/>
      <c r="MD28" s="4"/>
      <c r="ME28" s="4"/>
      <c r="MF28" s="4"/>
      <c r="MG28" s="4"/>
      <c r="MH28" s="4"/>
      <c r="MI28" s="4"/>
      <c r="MJ28" s="4"/>
      <c r="MK28" s="4"/>
      <c r="ML28" s="4"/>
      <c r="MM28" s="4"/>
      <c r="MN28" s="4"/>
      <c r="MO28" s="4"/>
      <c r="MP28" s="4"/>
      <c r="MQ28" s="4"/>
      <c r="MR28" s="4"/>
      <c r="MS28" s="4"/>
      <c r="MT28" s="4"/>
      <c r="MU28" s="4"/>
      <c r="MV28" s="4"/>
      <c r="MW28" s="4"/>
      <c r="MX28" s="4"/>
      <c r="MY28" s="4"/>
      <c r="MZ28" s="4"/>
      <c r="NA28" s="4"/>
      <c r="NB28" s="4"/>
      <c r="NC28" s="4"/>
      <c r="ND28" s="4"/>
      <c r="NE28" s="4"/>
      <c r="NF28" s="4"/>
      <c r="NG28" s="4"/>
      <c r="NH28" s="4"/>
      <c r="NI28" s="4"/>
      <c r="NJ28" s="4"/>
      <c r="NK28" s="4"/>
      <c r="NL28" s="4"/>
      <c r="NM28" s="4"/>
      <c r="NN28" s="4"/>
      <c r="NO28" s="4"/>
      <c r="NP28" s="4"/>
      <c r="NQ28" s="4"/>
      <c r="NR28" s="4"/>
      <c r="NS28" s="4"/>
      <c r="NT28" s="4"/>
      <c r="NU28" s="4"/>
      <c r="NV28" s="4"/>
      <c r="NW28" s="4"/>
      <c r="NX28" s="4"/>
      <c r="NY28" s="4"/>
      <c r="NZ28" s="4"/>
      <c r="OA28" s="4"/>
      <c r="OB28" s="4"/>
      <c r="OC28" s="4"/>
      <c r="OD28" s="4"/>
      <c r="OE28" s="4"/>
      <c r="OF28" s="4"/>
      <c r="OG28" s="4"/>
      <c r="OH28" s="4"/>
      <c r="OI28" s="4"/>
    </row>
    <row r="29" spans="1:399" outlineLevel="1">
      <c r="A29" s="116"/>
      <c r="B29" s="116"/>
      <c r="C29" s="116">
        <v>2</v>
      </c>
      <c r="D29" s="3" t="s">
        <v>1166</v>
      </c>
      <c r="E29" s="183"/>
      <c r="F29" s="183" t="s">
        <v>1183</v>
      </c>
      <c r="G29" s="183"/>
      <c r="H29" s="183"/>
      <c r="I29" s="183"/>
      <c r="J29" s="183"/>
      <c r="K29" s="183"/>
      <c r="L29" s="183"/>
      <c r="M29" s="184">
        <v>43794</v>
      </c>
      <c r="N29" s="184">
        <v>43798</v>
      </c>
      <c r="O29" s="185"/>
      <c r="P29" s="186">
        <v>5</v>
      </c>
      <c r="Q29" s="186">
        <v>0</v>
      </c>
      <c r="R29" s="187">
        <v>5</v>
      </c>
      <c r="S29" s="187">
        <v>0</v>
      </c>
      <c r="T29" s="184"/>
      <c r="U29" s="184"/>
      <c r="V29" s="188"/>
      <c r="W29" s="189">
        <v>0</v>
      </c>
      <c r="X29" s="190">
        <v>1</v>
      </c>
      <c r="Y29" s="185"/>
      <c r="Z29" s="191"/>
      <c r="AA29" s="97">
        <v>0</v>
      </c>
      <c r="AB29" s="192">
        <v>0</v>
      </c>
      <c r="AC29" s="123"/>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t="str">
        <f>"" &amp; TEXT(AB29,"#0.00%") &amp; " " &amp; "Publish" &amp; " " &amp; IF(M29="","",TEXT(M29,"M/D-")) &amp; IF(N29="","",TEXT(N29,"M/D")) &amp; " "</f>
        <v xml:space="preserve">0.00% Publish 11/25-11/29 </v>
      </c>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c r="EY29" s="4"/>
      <c r="EZ29" s="4"/>
      <c r="FA29" s="4"/>
      <c r="FB29" s="4"/>
      <c r="FC29" s="4"/>
      <c r="FD29" s="4"/>
      <c r="FE29" s="4"/>
      <c r="FF29" s="4"/>
      <c r="FG29" s="4"/>
      <c r="FH29" s="4"/>
      <c r="FI29" s="4"/>
      <c r="FJ29" s="4"/>
      <c r="FK29" s="4"/>
      <c r="FL29" s="4"/>
      <c r="FM29" s="4"/>
      <c r="FN29" s="4"/>
      <c r="FO29" s="4"/>
      <c r="FP29" s="4"/>
      <c r="FQ29" s="4"/>
      <c r="FR29" s="4"/>
      <c r="FS29" s="4"/>
      <c r="FT29" s="4"/>
      <c r="FU29" s="4"/>
      <c r="FV29" s="4"/>
      <c r="FW29" s="4"/>
      <c r="FX29" s="4"/>
      <c r="FY29" s="4"/>
      <c r="FZ29" s="4"/>
      <c r="GA29" s="4"/>
      <c r="GB29" s="4"/>
      <c r="GC29" s="4"/>
      <c r="GD29" s="4"/>
      <c r="GE29" s="4"/>
      <c r="GF29" s="4"/>
      <c r="GG29" s="4"/>
      <c r="GH29" s="4"/>
      <c r="GI29" s="4"/>
      <c r="GJ29" s="4"/>
      <c r="GK29" s="4"/>
      <c r="GL29" s="4"/>
      <c r="GM29" s="4"/>
      <c r="GN29" s="4"/>
      <c r="GO29" s="4"/>
      <c r="GP29" s="4"/>
      <c r="GQ29" s="4"/>
      <c r="GR29" s="4"/>
      <c r="GS29" s="4"/>
      <c r="GT29" s="4"/>
      <c r="GU29" s="4"/>
      <c r="GV29" s="4"/>
      <c r="GW29" s="4"/>
      <c r="GX29" s="4"/>
      <c r="GY29" s="4"/>
      <c r="GZ29" s="4"/>
      <c r="HA29" s="4"/>
      <c r="HB29" s="4"/>
      <c r="HC29" s="4"/>
      <c r="HD29" s="4"/>
      <c r="HE29" s="4"/>
      <c r="HF29" s="4"/>
      <c r="HG29" s="4"/>
      <c r="HH29" s="4"/>
      <c r="HI29" s="4"/>
      <c r="HJ29" s="4"/>
      <c r="HK29" s="4"/>
      <c r="HL29" s="4"/>
      <c r="HM29" s="4"/>
      <c r="HN29" s="4"/>
      <c r="HO29" s="4"/>
      <c r="HP29" s="4"/>
      <c r="HQ29" s="4"/>
      <c r="HR29" s="4"/>
      <c r="HS29" s="4"/>
      <c r="HT29" s="4"/>
      <c r="HU29" s="4"/>
      <c r="HV29" s="4"/>
      <c r="HW29" s="4"/>
      <c r="HX29" s="4"/>
      <c r="HY29" s="4"/>
      <c r="HZ29" s="4"/>
      <c r="IA29" s="4"/>
      <c r="IB29" s="4"/>
      <c r="IC29" s="4"/>
      <c r="ID29" s="4"/>
      <c r="IE29" s="4"/>
      <c r="IF29" s="4"/>
      <c r="IG29" s="4"/>
      <c r="IH29" s="4"/>
      <c r="II29" s="4"/>
      <c r="IJ29" s="4"/>
      <c r="IK29" s="4"/>
      <c r="IL29" s="4"/>
      <c r="IM29" s="4"/>
      <c r="IN29" s="4"/>
      <c r="IO29" s="4"/>
      <c r="IP29" s="4"/>
      <c r="IQ29" s="4"/>
      <c r="IR29" s="4"/>
      <c r="IS29" s="4"/>
      <c r="IT29" s="4"/>
      <c r="IU29" s="4"/>
      <c r="IV29" s="4"/>
      <c r="IW29" s="4"/>
      <c r="IX29" s="4"/>
      <c r="IY29" s="4"/>
      <c r="IZ29" s="4"/>
      <c r="JA29" s="4"/>
      <c r="JB29" s="4"/>
      <c r="JC29" s="4"/>
      <c r="JD29" s="4"/>
      <c r="JE29" s="4"/>
      <c r="JF29" s="4"/>
      <c r="JG29" s="4"/>
      <c r="JH29" s="4"/>
      <c r="JI29" s="4"/>
      <c r="JJ29" s="4"/>
      <c r="JK29" s="4"/>
      <c r="JL29" s="4"/>
      <c r="JM29" s="4"/>
      <c r="JN29" s="4"/>
      <c r="JO29" s="4"/>
      <c r="JP29" s="4"/>
      <c r="JQ29" s="4"/>
      <c r="JR29" s="4"/>
      <c r="JS29" s="4"/>
      <c r="JT29" s="4"/>
      <c r="JU29" s="4"/>
      <c r="JV29" s="4"/>
      <c r="JW29" s="4"/>
      <c r="JX29" s="4"/>
      <c r="JY29" s="4"/>
      <c r="JZ29" s="4"/>
      <c r="KA29" s="4"/>
      <c r="KB29" s="4"/>
      <c r="KC29" s="4"/>
      <c r="KD29" s="4"/>
      <c r="KE29" s="4"/>
      <c r="KF29" s="4"/>
      <c r="KG29" s="4"/>
      <c r="KH29" s="4"/>
      <c r="KI29" s="4"/>
      <c r="KJ29" s="4"/>
      <c r="KK29" s="4"/>
      <c r="KL29" s="4"/>
      <c r="KM29" s="4"/>
      <c r="KN29" s="4"/>
      <c r="KO29" s="4"/>
      <c r="KP29" s="4"/>
      <c r="KQ29" s="4"/>
      <c r="KR29" s="4"/>
      <c r="KS29" s="4"/>
      <c r="KT29" s="4"/>
      <c r="KU29" s="4"/>
      <c r="KV29" s="4"/>
      <c r="KW29" s="4"/>
      <c r="KX29" s="4"/>
      <c r="KY29" s="4"/>
      <c r="KZ29" s="4"/>
      <c r="LA29" s="4"/>
      <c r="LB29" s="4"/>
      <c r="LC29" s="4"/>
      <c r="LD29" s="4"/>
      <c r="LE29" s="4"/>
      <c r="LF29" s="4"/>
      <c r="LG29" s="4"/>
      <c r="LH29" s="4"/>
      <c r="LI29" s="4"/>
      <c r="LJ29" s="4"/>
      <c r="LK29" s="4"/>
      <c r="LL29" s="4"/>
      <c r="LM29" s="4"/>
      <c r="LN29" s="4"/>
      <c r="LO29" s="4"/>
      <c r="LP29" s="4"/>
      <c r="LQ29" s="4"/>
      <c r="LR29" s="4"/>
      <c r="LS29" s="4"/>
      <c r="LT29" s="4"/>
      <c r="LU29" s="4"/>
      <c r="LV29" s="4"/>
      <c r="LW29" s="4"/>
      <c r="LX29" s="4"/>
      <c r="LY29" s="4"/>
      <c r="LZ29" s="4"/>
      <c r="MA29" s="4"/>
      <c r="MB29" s="4"/>
      <c r="MC29" s="4"/>
      <c r="MD29" s="4"/>
      <c r="ME29" s="4"/>
      <c r="MF29" s="4"/>
      <c r="MG29" s="4"/>
      <c r="MH29" s="4"/>
      <c r="MI29" s="4"/>
      <c r="MJ29" s="4"/>
      <c r="MK29" s="4"/>
      <c r="ML29" s="4"/>
      <c r="MM29" s="4"/>
      <c r="MN29" s="4"/>
      <c r="MO29" s="4"/>
      <c r="MP29" s="4"/>
      <c r="MQ29" s="4"/>
      <c r="MR29" s="4"/>
      <c r="MS29" s="4"/>
      <c r="MT29" s="4"/>
      <c r="MU29" s="4"/>
      <c r="MV29" s="4"/>
      <c r="MW29" s="4"/>
      <c r="MX29" s="4"/>
      <c r="MY29" s="4"/>
      <c r="MZ29" s="4"/>
      <c r="NA29" s="4"/>
      <c r="NB29" s="4"/>
      <c r="NC29" s="4"/>
      <c r="ND29" s="4"/>
      <c r="NE29" s="4"/>
      <c r="NF29" s="4"/>
      <c r="NG29" s="4"/>
      <c r="NH29" s="4"/>
      <c r="NI29" s="4"/>
      <c r="NJ29" s="4"/>
      <c r="NK29" s="4"/>
      <c r="NL29" s="4"/>
      <c r="NM29" s="4"/>
      <c r="NN29" s="4"/>
      <c r="NO29" s="4"/>
      <c r="NP29" s="4"/>
      <c r="NQ29" s="4"/>
      <c r="NR29" s="4"/>
      <c r="NS29" s="4"/>
      <c r="NT29" s="4"/>
      <c r="NU29" s="4"/>
      <c r="NV29" s="4"/>
      <c r="NW29" s="4"/>
      <c r="NX29" s="4"/>
      <c r="NY29" s="4"/>
      <c r="NZ29" s="4"/>
      <c r="OA29" s="4"/>
      <c r="OB29" s="4"/>
      <c r="OC29" s="4"/>
      <c r="OD29" s="4"/>
      <c r="OE29" s="4"/>
      <c r="OF29" s="4"/>
      <c r="OG29" s="4"/>
      <c r="OH29" s="4"/>
      <c r="OI29" s="4"/>
    </row>
    <row r="30" spans="1:399" outlineLevel="1">
      <c r="A30" s="116"/>
      <c r="B30" s="116"/>
      <c r="C30" s="116">
        <v>0</v>
      </c>
      <c r="D30" s="3"/>
      <c r="E30" s="183"/>
      <c r="F30" s="183"/>
      <c r="G30" s="183"/>
      <c r="H30" s="183"/>
      <c r="I30" s="183"/>
      <c r="J30" s="183"/>
      <c r="K30" s="183"/>
      <c r="L30" s="183"/>
      <c r="M30" s="184"/>
      <c r="N30" s="184"/>
      <c r="O30" s="185"/>
      <c r="P30" s="186"/>
      <c r="Q30" s="186"/>
      <c r="R30" s="187">
        <v>0</v>
      </c>
      <c r="S30" s="187">
        <v>0</v>
      </c>
      <c r="T30" s="184"/>
      <c r="U30" s="184"/>
      <c r="V30" s="188"/>
      <c r="W30" s="189">
        <v>0</v>
      </c>
      <c r="X30" s="190"/>
      <c r="Y30" s="185"/>
      <c r="Z30" s="191"/>
      <c r="AA30" s="97"/>
      <c r="AB30" s="192"/>
      <c r="AC30" s="123"/>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c r="EY30" s="4"/>
      <c r="EZ30" s="4"/>
      <c r="FA30" s="4"/>
      <c r="FB30" s="4"/>
      <c r="FC30" s="4"/>
      <c r="FD30" s="4"/>
      <c r="FE30" s="4"/>
      <c r="FF30" s="4"/>
      <c r="FG30" s="4"/>
      <c r="FH30" s="4"/>
      <c r="FI30" s="4"/>
      <c r="FJ30" s="4"/>
      <c r="FK30" s="4"/>
      <c r="FL30" s="4"/>
      <c r="FM30" s="4"/>
      <c r="FN30" s="4"/>
      <c r="FO30" s="4"/>
      <c r="FP30" s="4"/>
      <c r="FQ30" s="4"/>
      <c r="FR30" s="4"/>
      <c r="FS30" s="4"/>
      <c r="FT30" s="4"/>
      <c r="FU30" s="4"/>
      <c r="FV30" s="4"/>
      <c r="FW30" s="4"/>
      <c r="FX30" s="4"/>
      <c r="FY30" s="4"/>
      <c r="FZ30" s="4"/>
      <c r="GA30" s="4"/>
      <c r="GB30" s="4"/>
      <c r="GC30" s="4"/>
      <c r="GD30" s="4"/>
      <c r="GE30" s="4"/>
      <c r="GF30" s="4"/>
      <c r="GG30" s="4"/>
      <c r="GH30" s="4"/>
      <c r="GI30" s="4"/>
      <c r="GJ30" s="4"/>
      <c r="GK30" s="4"/>
      <c r="GL30" s="4"/>
      <c r="GM30" s="4"/>
      <c r="GN30" s="4"/>
      <c r="GO30" s="4"/>
      <c r="GP30" s="4"/>
      <c r="GQ30" s="4"/>
      <c r="GR30" s="4"/>
      <c r="GS30" s="4"/>
      <c r="GT30" s="4"/>
      <c r="GU30" s="4"/>
      <c r="GV30" s="4"/>
      <c r="GW30" s="4"/>
      <c r="GX30" s="4"/>
      <c r="GY30" s="4"/>
      <c r="GZ30" s="4"/>
      <c r="HA30" s="4"/>
      <c r="HB30" s="4"/>
      <c r="HC30" s="4"/>
      <c r="HD30" s="4"/>
      <c r="HE30" s="4"/>
      <c r="HF30" s="4"/>
      <c r="HG30" s="4"/>
      <c r="HH30" s="4"/>
      <c r="HI30" s="4"/>
      <c r="HJ30" s="4"/>
      <c r="HK30" s="4"/>
      <c r="HL30" s="4"/>
      <c r="HM30" s="4"/>
      <c r="HN30" s="4"/>
      <c r="HO30" s="4"/>
      <c r="HP30" s="4"/>
      <c r="HQ30" s="4"/>
      <c r="HR30" s="4"/>
      <c r="HS30" s="4"/>
      <c r="HT30" s="4"/>
      <c r="HU30" s="4"/>
      <c r="HV30" s="4"/>
      <c r="HW30" s="4"/>
      <c r="HX30" s="4"/>
      <c r="HY30" s="4"/>
      <c r="HZ30" s="4"/>
      <c r="IA30" s="4"/>
      <c r="IB30" s="4"/>
      <c r="IC30" s="4"/>
      <c r="ID30" s="4"/>
      <c r="IE30" s="4"/>
      <c r="IF30" s="4"/>
      <c r="IG30" s="4"/>
      <c r="IH30" s="4"/>
      <c r="II30" s="4"/>
      <c r="IJ30" s="4"/>
      <c r="IK30" s="4"/>
      <c r="IL30" s="4"/>
      <c r="IM30" s="4"/>
      <c r="IN30" s="4"/>
      <c r="IO30" s="4"/>
      <c r="IP30" s="4"/>
      <c r="IQ30" s="4"/>
      <c r="IR30" s="4"/>
      <c r="IS30" s="4"/>
      <c r="IT30" s="4"/>
      <c r="IU30" s="4"/>
      <c r="IV30" s="4"/>
      <c r="IW30" s="4"/>
      <c r="IX30" s="4"/>
      <c r="IY30" s="4"/>
      <c r="IZ30" s="4"/>
      <c r="JA30" s="4"/>
      <c r="JB30" s="4"/>
      <c r="JC30" s="4"/>
      <c r="JD30" s="4"/>
      <c r="JE30" s="4"/>
      <c r="JF30" s="4"/>
      <c r="JG30" s="4"/>
      <c r="JH30" s="4"/>
      <c r="JI30" s="4"/>
      <c r="JJ30" s="4"/>
      <c r="JK30" s="4"/>
      <c r="JL30" s="4"/>
      <c r="JM30" s="4"/>
      <c r="JN30" s="4"/>
      <c r="JO30" s="4"/>
      <c r="JP30" s="4"/>
      <c r="JQ30" s="4"/>
      <c r="JR30" s="4"/>
      <c r="JS30" s="4"/>
      <c r="JT30" s="4"/>
      <c r="JU30" s="4"/>
      <c r="JV30" s="4"/>
      <c r="JW30" s="4"/>
      <c r="JX30" s="4"/>
      <c r="JY30" s="4"/>
      <c r="JZ30" s="4"/>
      <c r="KA30" s="4"/>
      <c r="KB30" s="4"/>
      <c r="KC30" s="4"/>
      <c r="KD30" s="4"/>
      <c r="KE30" s="4"/>
      <c r="KF30" s="4"/>
      <c r="KG30" s="4"/>
      <c r="KH30" s="4"/>
      <c r="KI30" s="4"/>
      <c r="KJ30" s="4"/>
      <c r="KK30" s="4"/>
      <c r="KL30" s="4"/>
      <c r="KM30" s="4"/>
      <c r="KN30" s="4"/>
      <c r="KO30" s="4"/>
      <c r="KP30" s="4"/>
      <c r="KQ30" s="4"/>
      <c r="KR30" s="4"/>
      <c r="KS30" s="4"/>
      <c r="KT30" s="4"/>
      <c r="KU30" s="4"/>
      <c r="KV30" s="4"/>
      <c r="KW30" s="4"/>
      <c r="KX30" s="4"/>
      <c r="KY30" s="4"/>
      <c r="KZ30" s="4"/>
      <c r="LA30" s="4"/>
      <c r="LB30" s="4"/>
      <c r="LC30" s="4"/>
      <c r="LD30" s="4"/>
      <c r="LE30" s="4"/>
      <c r="LF30" s="4"/>
      <c r="LG30" s="4"/>
      <c r="LH30" s="4"/>
      <c r="LI30" s="4"/>
      <c r="LJ30" s="4"/>
      <c r="LK30" s="4"/>
      <c r="LL30" s="4"/>
      <c r="LM30" s="4"/>
      <c r="LN30" s="4"/>
      <c r="LO30" s="4"/>
      <c r="LP30" s="4"/>
      <c r="LQ30" s="4"/>
      <c r="LR30" s="4"/>
      <c r="LS30" s="4"/>
      <c r="LT30" s="4"/>
      <c r="LU30" s="4"/>
      <c r="LV30" s="4"/>
      <c r="LW30" s="4"/>
      <c r="LX30" s="4"/>
      <c r="LY30" s="4"/>
      <c r="LZ30" s="4"/>
      <c r="MA30" s="4"/>
      <c r="MB30" s="4"/>
      <c r="MC30" s="4"/>
      <c r="MD30" s="4"/>
      <c r="ME30" s="4"/>
      <c r="MF30" s="4"/>
      <c r="MG30" s="4"/>
      <c r="MH30" s="4"/>
      <c r="MI30" s="4"/>
      <c r="MJ30" s="4"/>
      <c r="MK30" s="4"/>
      <c r="ML30" s="4"/>
      <c r="MM30" s="4"/>
      <c r="MN30" s="4"/>
      <c r="MO30" s="4"/>
      <c r="MP30" s="4"/>
      <c r="MQ30" s="4"/>
      <c r="MR30" s="4"/>
      <c r="MS30" s="4"/>
      <c r="MT30" s="4"/>
      <c r="MU30" s="4"/>
      <c r="MV30" s="4"/>
      <c r="MW30" s="4"/>
      <c r="MX30" s="4"/>
      <c r="MY30" s="4"/>
      <c r="MZ30" s="4"/>
      <c r="NA30" s="4"/>
      <c r="NB30" s="4"/>
      <c r="NC30" s="4"/>
      <c r="ND30" s="4"/>
      <c r="NE30" s="4"/>
      <c r="NF30" s="4"/>
      <c r="NG30" s="4"/>
      <c r="NH30" s="4"/>
      <c r="NI30" s="4"/>
      <c r="NJ30" s="4"/>
      <c r="NK30" s="4"/>
      <c r="NL30" s="4"/>
      <c r="NM30" s="4"/>
      <c r="NN30" s="4"/>
      <c r="NO30" s="4"/>
      <c r="NP30" s="4"/>
      <c r="NQ30" s="4"/>
      <c r="NR30" s="4"/>
      <c r="NS30" s="4"/>
      <c r="NT30" s="4"/>
      <c r="NU30" s="4"/>
      <c r="NV30" s="4"/>
      <c r="NW30" s="4"/>
      <c r="NX30" s="4"/>
      <c r="NY30" s="4"/>
      <c r="NZ30" s="4"/>
      <c r="OA30" s="4"/>
      <c r="OB30" s="4"/>
      <c r="OC30" s="4"/>
      <c r="OD30" s="4"/>
      <c r="OE30" s="4"/>
      <c r="OF30" s="4"/>
      <c r="OG30" s="4"/>
      <c r="OH30" s="4"/>
      <c r="OI30" s="4"/>
    </row>
    <row r="31" spans="1:399">
      <c r="A31" s="116"/>
      <c r="B31" s="116" t="s">
        <v>1061</v>
      </c>
      <c r="C31" s="116">
        <v>1</v>
      </c>
      <c r="D31" s="3" t="s">
        <v>1141</v>
      </c>
      <c r="E31" s="183" t="s">
        <v>1268</v>
      </c>
      <c r="F31" s="183"/>
      <c r="G31" s="183"/>
      <c r="H31" s="183"/>
      <c r="I31" s="183"/>
      <c r="J31" s="183"/>
      <c r="K31" s="183"/>
      <c r="L31" s="183"/>
      <c r="M31" s="184"/>
      <c r="N31" s="184"/>
      <c r="O31" s="185"/>
      <c r="P31" s="186">
        <v>0</v>
      </c>
      <c r="Q31" s="186">
        <v>0</v>
      </c>
      <c r="R31" s="187">
        <v>0</v>
      </c>
      <c r="S31" s="187">
        <v>0</v>
      </c>
      <c r="T31" s="184"/>
      <c r="U31" s="184"/>
      <c r="V31" s="188">
        <v>0</v>
      </c>
      <c r="W31" s="189">
        <v>0</v>
      </c>
      <c r="X31" s="190"/>
      <c r="Y31" s="185"/>
      <c r="Z31" s="191"/>
      <c r="AA31" s="97">
        <v>0</v>
      </c>
      <c r="AB31" s="192">
        <v>0</v>
      </c>
      <c r="AC31" s="123"/>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c r="EY31" s="4"/>
      <c r="EZ31" s="4"/>
      <c r="FA31" s="4"/>
      <c r="FB31" s="4"/>
      <c r="FC31" s="4"/>
      <c r="FD31" s="4"/>
      <c r="FE31" s="4"/>
      <c r="FF31" s="4"/>
      <c r="FG31" s="4"/>
      <c r="FH31" s="4"/>
      <c r="FI31" s="4"/>
      <c r="FJ31" s="4"/>
      <c r="FK31" s="4"/>
      <c r="FL31" s="4"/>
      <c r="FM31" s="4"/>
      <c r="FN31" s="4"/>
      <c r="FO31" s="4"/>
      <c r="FP31" s="4"/>
      <c r="FQ31" s="4"/>
      <c r="FR31" s="4"/>
      <c r="FS31" s="4"/>
      <c r="FT31" s="4"/>
      <c r="FU31" s="4"/>
      <c r="FV31" s="4"/>
      <c r="FW31" s="4"/>
      <c r="FX31" s="4"/>
      <c r="FY31" s="4"/>
      <c r="FZ31" s="4"/>
      <c r="GA31" s="4"/>
      <c r="GB31" s="4"/>
      <c r="GC31" s="4"/>
      <c r="GD31" s="4"/>
      <c r="GE31" s="4"/>
      <c r="GF31" s="4"/>
      <c r="GG31" s="4"/>
      <c r="GH31" s="4"/>
      <c r="GI31" s="4"/>
      <c r="GJ31" s="4"/>
      <c r="GK31" s="4"/>
      <c r="GL31" s="4"/>
      <c r="GM31" s="4"/>
      <c r="GN31" s="4"/>
      <c r="GO31" s="4"/>
      <c r="GP31" s="4"/>
      <c r="GQ31" s="4"/>
      <c r="GR31" s="4"/>
      <c r="GS31" s="4"/>
      <c r="GT31" s="4"/>
      <c r="GU31" s="4"/>
      <c r="GV31" s="4"/>
      <c r="GW31" s="4"/>
      <c r="GX31" s="4"/>
      <c r="GY31" s="4"/>
      <c r="GZ31" s="4"/>
      <c r="HA31" s="4"/>
      <c r="HB31" s="4"/>
      <c r="HC31" s="4"/>
      <c r="HD31" s="4"/>
      <c r="HE31" s="4"/>
      <c r="HF31" s="4"/>
      <c r="HG31" s="4"/>
      <c r="HH31" s="4"/>
      <c r="HI31" s="4"/>
      <c r="HJ31" s="4"/>
      <c r="HK31" s="4"/>
      <c r="HL31" s="4"/>
      <c r="HM31" s="4"/>
      <c r="HN31" s="4"/>
      <c r="HO31" s="4"/>
      <c r="HP31" s="4"/>
      <c r="HQ31" s="4"/>
      <c r="HR31" s="4"/>
      <c r="HS31" s="4"/>
      <c r="HT31" s="4"/>
      <c r="HU31" s="4"/>
      <c r="HV31" s="4"/>
      <c r="HW31" s="4"/>
      <c r="HX31" s="4"/>
      <c r="HY31" s="4"/>
      <c r="HZ31" s="4"/>
      <c r="IA31" s="4"/>
      <c r="IB31" s="4"/>
      <c r="IC31" s="4"/>
      <c r="ID31" s="4"/>
      <c r="IE31" s="4"/>
      <c r="IF31" s="4"/>
      <c r="IG31" s="4"/>
      <c r="IH31" s="4"/>
      <c r="II31" s="4"/>
      <c r="IJ31" s="4"/>
      <c r="IK31" s="4"/>
      <c r="IL31" s="4"/>
      <c r="IM31" s="4"/>
      <c r="IN31" s="4"/>
      <c r="IO31" s="4"/>
      <c r="IP31" s="4"/>
      <c r="IQ31" s="4"/>
      <c r="IR31" s="4"/>
      <c r="IS31" s="4"/>
      <c r="IT31" s="4"/>
      <c r="IU31" s="4"/>
      <c r="IV31" s="4"/>
      <c r="IW31" s="4"/>
      <c r="IX31" s="4"/>
      <c r="IY31" s="4"/>
      <c r="IZ31" s="4"/>
      <c r="JA31" s="4"/>
      <c r="JB31" s="4"/>
      <c r="JC31" s="4"/>
      <c r="JD31" s="4"/>
      <c r="JE31" s="4"/>
      <c r="JF31" s="4"/>
      <c r="JG31" s="4"/>
      <c r="JH31" s="4"/>
      <c r="JI31" s="4"/>
      <c r="JJ31" s="4"/>
      <c r="JK31" s="4"/>
      <c r="JL31" s="4"/>
      <c r="JM31" s="4"/>
      <c r="JN31" s="4"/>
      <c r="JO31" s="4"/>
      <c r="JP31" s="4"/>
      <c r="JQ31" s="4"/>
      <c r="JR31" s="4"/>
      <c r="JS31" s="4"/>
      <c r="JT31" s="4"/>
      <c r="JU31" s="4"/>
      <c r="JV31" s="4"/>
      <c r="JW31" s="4"/>
      <c r="JX31" s="4"/>
      <c r="JY31" s="4"/>
      <c r="JZ31" s="4"/>
      <c r="KA31" s="4"/>
      <c r="KB31" s="4"/>
      <c r="KC31" s="4"/>
      <c r="KD31" s="4"/>
      <c r="KE31" s="4"/>
      <c r="KF31" s="4"/>
      <c r="KG31" s="4"/>
      <c r="KH31" s="4"/>
      <c r="KI31" s="4"/>
      <c r="KJ31" s="4"/>
      <c r="KK31" s="4"/>
      <c r="KL31" s="4"/>
      <c r="KM31" s="4"/>
      <c r="KN31" s="4"/>
      <c r="KO31" s="4"/>
      <c r="KP31" s="4"/>
      <c r="KQ31" s="4"/>
      <c r="KR31" s="4"/>
      <c r="KS31" s="4"/>
      <c r="KT31" s="4"/>
      <c r="KU31" s="4"/>
      <c r="KV31" s="4"/>
      <c r="KW31" s="4"/>
      <c r="KX31" s="4"/>
      <c r="KY31" s="4"/>
      <c r="KZ31" s="4"/>
      <c r="LA31" s="4"/>
      <c r="LB31" s="4"/>
      <c r="LC31" s="4"/>
      <c r="LD31" s="4"/>
      <c r="LE31" s="4"/>
      <c r="LF31" s="4"/>
      <c r="LG31" s="4"/>
      <c r="LH31" s="4"/>
      <c r="LI31" s="4"/>
      <c r="LJ31" s="4"/>
      <c r="LK31" s="4"/>
      <c r="LL31" s="4"/>
      <c r="LM31" s="4"/>
      <c r="LN31" s="4"/>
      <c r="LO31" s="4"/>
      <c r="LP31" s="4"/>
      <c r="LQ31" s="4"/>
      <c r="LR31" s="4"/>
      <c r="LS31" s="4"/>
      <c r="LT31" s="4"/>
      <c r="LU31" s="4"/>
      <c r="LV31" s="4"/>
      <c r="LW31" s="4"/>
      <c r="LX31" s="4"/>
      <c r="LY31" s="4"/>
      <c r="LZ31" s="4"/>
      <c r="MA31" s="4"/>
      <c r="MB31" s="4"/>
      <c r="MC31" s="4"/>
      <c r="MD31" s="4"/>
      <c r="ME31" s="4"/>
      <c r="MF31" s="4"/>
      <c r="MG31" s="4"/>
      <c r="MH31" s="4"/>
      <c r="MI31" s="4"/>
      <c r="MJ31" s="4"/>
      <c r="MK31" s="4"/>
      <c r="ML31" s="4"/>
      <c r="MM31" s="4"/>
      <c r="MN31" s="4"/>
      <c r="MO31" s="4"/>
      <c r="MP31" s="4"/>
      <c r="MQ31" s="4"/>
      <c r="MR31" s="4"/>
      <c r="MS31" s="4"/>
      <c r="MT31" s="4"/>
      <c r="MU31" s="4"/>
      <c r="MV31" s="4"/>
      <c r="MW31" s="4"/>
      <c r="MX31" s="4"/>
      <c r="MY31" s="4"/>
      <c r="MZ31" s="4"/>
      <c r="NA31" s="4"/>
      <c r="NB31" s="4"/>
      <c r="NC31" s="4"/>
      <c r="ND31" s="4"/>
      <c r="NE31" s="4"/>
      <c r="NF31" s="4"/>
      <c r="NG31" s="4"/>
      <c r="NH31" s="4"/>
      <c r="NI31" s="4"/>
      <c r="NJ31" s="4"/>
      <c r="NK31" s="4"/>
      <c r="NL31" s="4"/>
      <c r="NM31" s="4"/>
      <c r="NN31" s="4"/>
      <c r="NO31" s="4"/>
      <c r="NP31" s="4"/>
      <c r="NQ31" s="4"/>
      <c r="NR31" s="4"/>
      <c r="NS31" s="4"/>
      <c r="NT31" s="4"/>
      <c r="NU31" s="4"/>
      <c r="NV31" s="4"/>
      <c r="NW31" s="4"/>
      <c r="NX31" s="4"/>
      <c r="NY31" s="4"/>
      <c r="NZ31" s="4"/>
      <c r="OA31" s="4"/>
      <c r="OB31" s="4"/>
      <c r="OC31" s="4"/>
      <c r="OD31" s="4"/>
      <c r="OE31" s="4"/>
      <c r="OF31" s="4"/>
      <c r="OG31" s="4"/>
      <c r="OH31" s="4"/>
      <c r="OI31" s="4"/>
    </row>
    <row r="32" spans="1:399" outlineLevel="1">
      <c r="A32" s="116"/>
      <c r="B32" s="116"/>
      <c r="C32" s="116">
        <v>2</v>
      </c>
      <c r="D32" s="3" t="s">
        <v>1167</v>
      </c>
      <c r="E32" s="183"/>
      <c r="F32" s="183" t="s">
        <v>1198</v>
      </c>
      <c r="G32" s="183"/>
      <c r="H32" s="183"/>
      <c r="I32" s="183"/>
      <c r="J32" s="183"/>
      <c r="K32" s="183"/>
      <c r="L32" s="183"/>
      <c r="M32" s="184"/>
      <c r="N32" s="184"/>
      <c r="O32" s="185"/>
      <c r="P32" s="186">
        <v>0</v>
      </c>
      <c r="Q32" s="186">
        <v>0</v>
      </c>
      <c r="R32" s="187">
        <v>0</v>
      </c>
      <c r="S32" s="187">
        <v>0</v>
      </c>
      <c r="T32" s="184"/>
      <c r="U32" s="184"/>
      <c r="V32" s="188">
        <v>0</v>
      </c>
      <c r="W32" s="189">
        <v>0</v>
      </c>
      <c r="X32" s="190">
        <v>1</v>
      </c>
      <c r="Y32" s="185"/>
      <c r="Z32" s="191"/>
      <c r="AA32" s="97">
        <v>0</v>
      </c>
      <c r="AB32" s="192">
        <v>0</v>
      </c>
      <c r="AC32" s="123"/>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c r="FA32" s="4"/>
      <c r="FB32" s="4"/>
      <c r="FC32" s="4"/>
      <c r="FD32" s="4"/>
      <c r="FE32" s="4"/>
      <c r="FF32" s="4"/>
      <c r="FG32" s="4"/>
      <c r="FH32" s="4"/>
      <c r="FI32" s="4"/>
      <c r="FJ32" s="4"/>
      <c r="FK32" s="4"/>
      <c r="FL32" s="4"/>
      <c r="FM32" s="4"/>
      <c r="FN32" s="4"/>
      <c r="FO32" s="4"/>
      <c r="FP32" s="4"/>
      <c r="FQ32" s="4"/>
      <c r="FR32" s="4"/>
      <c r="FS32" s="4"/>
      <c r="FT32" s="4"/>
      <c r="FU32" s="4"/>
      <c r="FV32" s="4"/>
      <c r="FW32" s="4"/>
      <c r="FX32" s="4"/>
      <c r="FY32" s="4"/>
      <c r="FZ32" s="4"/>
      <c r="GA32" s="4"/>
      <c r="GB32" s="4"/>
      <c r="GC32" s="4"/>
      <c r="GD32" s="4"/>
      <c r="GE32" s="4"/>
      <c r="GF32" s="4"/>
      <c r="GG32" s="4"/>
      <c r="GH32" s="4"/>
      <c r="GI32" s="4"/>
      <c r="GJ32" s="4"/>
      <c r="GK32" s="4"/>
      <c r="GL32" s="4"/>
      <c r="GM32" s="4"/>
      <c r="GN32" s="4"/>
      <c r="GO32" s="4"/>
      <c r="GP32" s="4"/>
      <c r="GQ32" s="4"/>
      <c r="GR32" s="4"/>
      <c r="GS32" s="4"/>
      <c r="GT32" s="4"/>
      <c r="GU32" s="4"/>
      <c r="GV32" s="4"/>
      <c r="GW32" s="4"/>
      <c r="GX32" s="4"/>
      <c r="GY32" s="4"/>
      <c r="GZ32" s="4"/>
      <c r="HA32" s="4"/>
      <c r="HB32" s="4"/>
      <c r="HC32" s="4"/>
      <c r="HD32" s="4"/>
      <c r="HE32" s="4"/>
      <c r="HF32" s="4"/>
      <c r="HG32" s="4"/>
      <c r="HH32" s="4"/>
      <c r="HI32" s="4"/>
      <c r="HJ32" s="4"/>
      <c r="HK32" s="4"/>
      <c r="HL32" s="4"/>
      <c r="HM32" s="4"/>
      <c r="HN32" s="4"/>
      <c r="HO32" s="4"/>
      <c r="HP32" s="4"/>
      <c r="HQ32" s="4"/>
      <c r="HR32" s="4"/>
      <c r="HS32" s="4"/>
      <c r="HT32" s="4"/>
      <c r="HU32" s="4"/>
      <c r="HV32" s="4"/>
      <c r="HW32" s="4"/>
      <c r="HX32" s="4"/>
      <c r="HY32" s="4"/>
      <c r="HZ32" s="4"/>
      <c r="IA32" s="4"/>
      <c r="IB32" s="4"/>
      <c r="IC32" s="4"/>
      <c r="ID32" s="4"/>
      <c r="IE32" s="4"/>
      <c r="IF32" s="4"/>
      <c r="IG32" s="4"/>
      <c r="IH32" s="4"/>
      <c r="II32" s="4"/>
      <c r="IJ32" s="4"/>
      <c r="IK32" s="4"/>
      <c r="IL32" s="4"/>
      <c r="IM32" s="4"/>
      <c r="IN32" s="4"/>
      <c r="IO32" s="4"/>
      <c r="IP32" s="4"/>
      <c r="IQ32" s="4"/>
      <c r="IR32" s="4"/>
      <c r="IS32" s="4"/>
      <c r="IT32" s="4"/>
      <c r="IU32" s="4"/>
      <c r="IV32" s="4"/>
      <c r="IW32" s="4"/>
      <c r="IX32" s="4"/>
      <c r="IY32" s="4"/>
      <c r="IZ32" s="4"/>
      <c r="JA32" s="4"/>
      <c r="JB32" s="4"/>
      <c r="JC32" s="4"/>
      <c r="JD32" s="4"/>
      <c r="JE32" s="4"/>
      <c r="JF32" s="4"/>
      <c r="JG32" s="4"/>
      <c r="JH32" s="4"/>
      <c r="JI32" s="4"/>
      <c r="JJ32" s="4"/>
      <c r="JK32" s="4"/>
      <c r="JL32" s="4"/>
      <c r="JM32" s="4"/>
      <c r="JN32" s="4"/>
      <c r="JO32" s="4"/>
      <c r="JP32" s="4"/>
      <c r="JQ32" s="4"/>
      <c r="JR32" s="4"/>
      <c r="JS32" s="4"/>
      <c r="JT32" s="4"/>
      <c r="JU32" s="4"/>
      <c r="JV32" s="4"/>
      <c r="JW32" s="4"/>
      <c r="JX32" s="4"/>
      <c r="JY32" s="4"/>
      <c r="JZ32" s="4"/>
      <c r="KA32" s="4"/>
      <c r="KB32" s="4"/>
      <c r="KC32" s="4"/>
      <c r="KD32" s="4"/>
      <c r="KE32" s="4"/>
      <c r="KF32" s="4"/>
      <c r="KG32" s="4"/>
      <c r="KH32" s="4"/>
      <c r="KI32" s="4"/>
      <c r="KJ32" s="4"/>
      <c r="KK32" s="4"/>
      <c r="KL32" s="4"/>
      <c r="KM32" s="4"/>
      <c r="KN32" s="4"/>
      <c r="KO32" s="4"/>
      <c r="KP32" s="4"/>
      <c r="KQ32" s="4"/>
      <c r="KR32" s="4"/>
      <c r="KS32" s="4"/>
      <c r="KT32" s="4"/>
      <c r="KU32" s="4"/>
      <c r="KV32" s="4"/>
      <c r="KW32" s="4"/>
      <c r="KX32" s="4"/>
      <c r="KY32" s="4"/>
      <c r="KZ32" s="4"/>
      <c r="LA32" s="4"/>
      <c r="LB32" s="4"/>
      <c r="LC32" s="4"/>
      <c r="LD32" s="4"/>
      <c r="LE32" s="4"/>
      <c r="LF32" s="4"/>
      <c r="LG32" s="4"/>
      <c r="LH32" s="4"/>
      <c r="LI32" s="4"/>
      <c r="LJ32" s="4"/>
      <c r="LK32" s="4"/>
      <c r="LL32" s="4"/>
      <c r="LM32" s="4"/>
      <c r="LN32" s="4"/>
      <c r="LO32" s="4"/>
      <c r="LP32" s="4"/>
      <c r="LQ32" s="4"/>
      <c r="LR32" s="4"/>
      <c r="LS32" s="4"/>
      <c r="LT32" s="4"/>
      <c r="LU32" s="4"/>
      <c r="LV32" s="4"/>
      <c r="LW32" s="4"/>
      <c r="LX32" s="4"/>
      <c r="LY32" s="4"/>
      <c r="LZ32" s="4"/>
      <c r="MA32" s="4"/>
      <c r="MB32" s="4"/>
      <c r="MC32" s="4"/>
      <c r="MD32" s="4"/>
      <c r="ME32" s="4"/>
      <c r="MF32" s="4"/>
      <c r="MG32" s="4"/>
      <c r="MH32" s="4"/>
      <c r="MI32" s="4"/>
      <c r="MJ32" s="4"/>
      <c r="MK32" s="4"/>
      <c r="ML32" s="4"/>
      <c r="MM32" s="4"/>
      <c r="MN32" s="4"/>
      <c r="MO32" s="4"/>
      <c r="MP32" s="4"/>
      <c r="MQ32" s="4"/>
      <c r="MR32" s="4"/>
      <c r="MS32" s="4"/>
      <c r="MT32" s="4"/>
      <c r="MU32" s="4"/>
      <c r="MV32" s="4"/>
      <c r="MW32" s="4"/>
      <c r="MX32" s="4"/>
      <c r="MY32" s="4"/>
      <c r="MZ32" s="4"/>
      <c r="NA32" s="4"/>
      <c r="NB32" s="4"/>
      <c r="NC32" s="4"/>
      <c r="ND32" s="4"/>
      <c r="NE32" s="4"/>
      <c r="NF32" s="4"/>
      <c r="NG32" s="4"/>
      <c r="NH32" s="4"/>
      <c r="NI32" s="4"/>
      <c r="NJ32" s="4"/>
      <c r="NK32" s="4"/>
      <c r="NL32" s="4"/>
      <c r="NM32" s="4"/>
      <c r="NN32" s="4"/>
      <c r="NO32" s="4"/>
      <c r="NP32" s="4"/>
      <c r="NQ32" s="4"/>
      <c r="NR32" s="4"/>
      <c r="NS32" s="4"/>
      <c r="NT32" s="4"/>
      <c r="NU32" s="4"/>
      <c r="NV32" s="4"/>
      <c r="NW32" s="4"/>
      <c r="NX32" s="4"/>
      <c r="NY32" s="4"/>
      <c r="NZ32" s="4"/>
      <c r="OA32" s="4"/>
      <c r="OB32" s="4"/>
      <c r="OC32" s="4"/>
      <c r="OD32" s="4"/>
      <c r="OE32" s="4"/>
      <c r="OF32" s="4"/>
      <c r="OG32" s="4"/>
      <c r="OH32" s="4"/>
      <c r="OI32" s="4"/>
    </row>
    <row r="33" spans="1:399" outlineLevel="1">
      <c r="A33" s="116"/>
      <c r="B33" s="116"/>
      <c r="C33" s="116">
        <v>2</v>
      </c>
      <c r="D33" s="3" t="s">
        <v>1168</v>
      </c>
      <c r="E33" s="183"/>
      <c r="F33" s="183" t="s">
        <v>1178</v>
      </c>
      <c r="G33" s="183"/>
      <c r="H33" s="183"/>
      <c r="I33" s="183"/>
      <c r="J33" s="183"/>
      <c r="K33" s="183"/>
      <c r="L33" s="183"/>
      <c r="M33" s="184"/>
      <c r="N33" s="184"/>
      <c r="O33" s="185"/>
      <c r="P33" s="186">
        <v>0</v>
      </c>
      <c r="Q33" s="186">
        <v>0</v>
      </c>
      <c r="R33" s="187">
        <v>0</v>
      </c>
      <c r="S33" s="187">
        <v>0</v>
      </c>
      <c r="T33" s="184"/>
      <c r="U33" s="184"/>
      <c r="V33" s="188">
        <v>0</v>
      </c>
      <c r="W33" s="189">
        <v>0</v>
      </c>
      <c r="X33" s="190"/>
      <c r="Y33" s="185"/>
      <c r="Z33" s="191"/>
      <c r="AA33" s="97">
        <v>0</v>
      </c>
      <c r="AB33" s="192">
        <v>0</v>
      </c>
      <c r="AC33" s="123"/>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c r="EY33" s="4"/>
      <c r="EZ33" s="4"/>
      <c r="FA33" s="4"/>
      <c r="FB33" s="4"/>
      <c r="FC33" s="4"/>
      <c r="FD33" s="4"/>
      <c r="FE33" s="4"/>
      <c r="FF33" s="4"/>
      <c r="FG33" s="4"/>
      <c r="FH33" s="4"/>
      <c r="FI33" s="4"/>
      <c r="FJ33" s="4"/>
      <c r="FK33" s="4"/>
      <c r="FL33" s="4"/>
      <c r="FM33" s="4"/>
      <c r="FN33" s="4"/>
      <c r="FO33" s="4"/>
      <c r="FP33" s="4"/>
      <c r="FQ33" s="4"/>
      <c r="FR33" s="4"/>
      <c r="FS33" s="4"/>
      <c r="FT33" s="4"/>
      <c r="FU33" s="4"/>
      <c r="FV33" s="4"/>
      <c r="FW33" s="4"/>
      <c r="FX33" s="4"/>
      <c r="FY33" s="4"/>
      <c r="FZ33" s="4"/>
      <c r="GA33" s="4"/>
      <c r="GB33" s="4"/>
      <c r="GC33" s="4"/>
      <c r="GD33" s="4"/>
      <c r="GE33" s="4"/>
      <c r="GF33" s="4"/>
      <c r="GG33" s="4"/>
      <c r="GH33" s="4"/>
      <c r="GI33" s="4"/>
      <c r="GJ33" s="4"/>
      <c r="GK33" s="4"/>
      <c r="GL33" s="4"/>
      <c r="GM33" s="4"/>
      <c r="GN33" s="4"/>
      <c r="GO33" s="4"/>
      <c r="GP33" s="4"/>
      <c r="GQ33" s="4"/>
      <c r="GR33" s="4"/>
      <c r="GS33" s="4"/>
      <c r="GT33" s="4"/>
      <c r="GU33" s="4"/>
      <c r="GV33" s="4"/>
      <c r="GW33" s="4"/>
      <c r="GX33" s="4"/>
      <c r="GY33" s="4"/>
      <c r="GZ33" s="4"/>
      <c r="HA33" s="4"/>
      <c r="HB33" s="4"/>
      <c r="HC33" s="4"/>
      <c r="HD33" s="4"/>
      <c r="HE33" s="4"/>
      <c r="HF33" s="4"/>
      <c r="HG33" s="4"/>
      <c r="HH33" s="4"/>
      <c r="HI33" s="4"/>
      <c r="HJ33" s="4"/>
      <c r="HK33" s="4"/>
      <c r="HL33" s="4"/>
      <c r="HM33" s="4"/>
      <c r="HN33" s="4"/>
      <c r="HO33" s="4"/>
      <c r="HP33" s="4"/>
      <c r="HQ33" s="4"/>
      <c r="HR33" s="4"/>
      <c r="HS33" s="4"/>
      <c r="HT33" s="4"/>
      <c r="HU33" s="4"/>
      <c r="HV33" s="4"/>
      <c r="HW33" s="4"/>
      <c r="HX33" s="4"/>
      <c r="HY33" s="4"/>
      <c r="HZ33" s="4"/>
      <c r="IA33" s="4"/>
      <c r="IB33" s="4"/>
      <c r="IC33" s="4"/>
      <c r="ID33" s="4"/>
      <c r="IE33" s="4"/>
      <c r="IF33" s="4"/>
      <c r="IG33" s="4"/>
      <c r="IH33" s="4"/>
      <c r="II33" s="4"/>
      <c r="IJ33" s="4"/>
      <c r="IK33" s="4"/>
      <c r="IL33" s="4"/>
      <c r="IM33" s="4"/>
      <c r="IN33" s="4"/>
      <c r="IO33" s="4"/>
      <c r="IP33" s="4"/>
      <c r="IQ33" s="4"/>
      <c r="IR33" s="4"/>
      <c r="IS33" s="4"/>
      <c r="IT33" s="4"/>
      <c r="IU33" s="4"/>
      <c r="IV33" s="4"/>
      <c r="IW33" s="4"/>
      <c r="IX33" s="4"/>
      <c r="IY33" s="4"/>
      <c r="IZ33" s="4"/>
      <c r="JA33" s="4"/>
      <c r="JB33" s="4"/>
      <c r="JC33" s="4"/>
      <c r="JD33" s="4"/>
      <c r="JE33" s="4"/>
      <c r="JF33" s="4"/>
      <c r="JG33" s="4"/>
      <c r="JH33" s="4"/>
      <c r="JI33" s="4"/>
      <c r="JJ33" s="4"/>
      <c r="JK33" s="4"/>
      <c r="JL33" s="4"/>
      <c r="JM33" s="4"/>
      <c r="JN33" s="4"/>
      <c r="JO33" s="4"/>
      <c r="JP33" s="4"/>
      <c r="JQ33" s="4"/>
      <c r="JR33" s="4"/>
      <c r="JS33" s="4"/>
      <c r="JT33" s="4"/>
      <c r="JU33" s="4"/>
      <c r="JV33" s="4"/>
      <c r="JW33" s="4"/>
      <c r="JX33" s="4"/>
      <c r="JY33" s="4"/>
      <c r="JZ33" s="4"/>
      <c r="KA33" s="4"/>
      <c r="KB33" s="4"/>
      <c r="KC33" s="4"/>
      <c r="KD33" s="4"/>
      <c r="KE33" s="4"/>
      <c r="KF33" s="4"/>
      <c r="KG33" s="4"/>
      <c r="KH33" s="4"/>
      <c r="KI33" s="4"/>
      <c r="KJ33" s="4"/>
      <c r="KK33" s="4"/>
      <c r="KL33" s="4"/>
      <c r="KM33" s="4"/>
      <c r="KN33" s="4"/>
      <c r="KO33" s="4"/>
      <c r="KP33" s="4"/>
      <c r="KQ33" s="4"/>
      <c r="KR33" s="4"/>
      <c r="KS33" s="4"/>
      <c r="KT33" s="4"/>
      <c r="KU33" s="4"/>
      <c r="KV33" s="4"/>
      <c r="KW33" s="4"/>
      <c r="KX33" s="4"/>
      <c r="KY33" s="4"/>
      <c r="KZ33" s="4"/>
      <c r="LA33" s="4"/>
      <c r="LB33" s="4"/>
      <c r="LC33" s="4"/>
      <c r="LD33" s="4"/>
      <c r="LE33" s="4"/>
      <c r="LF33" s="4"/>
      <c r="LG33" s="4"/>
      <c r="LH33" s="4"/>
      <c r="LI33" s="4"/>
      <c r="LJ33" s="4"/>
      <c r="LK33" s="4"/>
      <c r="LL33" s="4"/>
      <c r="LM33" s="4"/>
      <c r="LN33" s="4"/>
      <c r="LO33" s="4"/>
      <c r="LP33" s="4"/>
      <c r="LQ33" s="4"/>
      <c r="LR33" s="4"/>
      <c r="LS33" s="4"/>
      <c r="LT33" s="4"/>
      <c r="LU33" s="4"/>
      <c r="LV33" s="4"/>
      <c r="LW33" s="4"/>
      <c r="LX33" s="4"/>
      <c r="LY33" s="4"/>
      <c r="LZ33" s="4"/>
      <c r="MA33" s="4"/>
      <c r="MB33" s="4"/>
      <c r="MC33" s="4"/>
      <c r="MD33" s="4"/>
      <c r="ME33" s="4"/>
      <c r="MF33" s="4"/>
      <c r="MG33" s="4"/>
      <c r="MH33" s="4"/>
      <c r="MI33" s="4"/>
      <c r="MJ33" s="4"/>
      <c r="MK33" s="4"/>
      <c r="ML33" s="4"/>
      <c r="MM33" s="4"/>
      <c r="MN33" s="4"/>
      <c r="MO33" s="4"/>
      <c r="MP33" s="4"/>
      <c r="MQ33" s="4"/>
      <c r="MR33" s="4"/>
      <c r="MS33" s="4"/>
      <c r="MT33" s="4"/>
      <c r="MU33" s="4"/>
      <c r="MV33" s="4"/>
      <c r="MW33" s="4"/>
      <c r="MX33" s="4"/>
      <c r="MY33" s="4"/>
      <c r="MZ33" s="4"/>
      <c r="NA33" s="4"/>
      <c r="NB33" s="4"/>
      <c r="NC33" s="4"/>
      <c r="ND33" s="4"/>
      <c r="NE33" s="4"/>
      <c r="NF33" s="4"/>
      <c r="NG33" s="4"/>
      <c r="NH33" s="4"/>
      <c r="NI33" s="4"/>
      <c r="NJ33" s="4"/>
      <c r="NK33" s="4"/>
      <c r="NL33" s="4"/>
      <c r="NM33" s="4"/>
      <c r="NN33" s="4"/>
      <c r="NO33" s="4"/>
      <c r="NP33" s="4"/>
      <c r="NQ33" s="4"/>
      <c r="NR33" s="4"/>
      <c r="NS33" s="4"/>
      <c r="NT33" s="4"/>
      <c r="NU33" s="4"/>
      <c r="NV33" s="4"/>
      <c r="NW33" s="4"/>
      <c r="NX33" s="4"/>
      <c r="NY33" s="4"/>
      <c r="NZ33" s="4"/>
      <c r="OA33" s="4"/>
      <c r="OB33" s="4"/>
      <c r="OC33" s="4"/>
      <c r="OD33" s="4"/>
      <c r="OE33" s="4"/>
      <c r="OF33" s="4"/>
      <c r="OG33" s="4"/>
      <c r="OH33" s="4"/>
      <c r="OI33" s="4"/>
    </row>
    <row r="34" spans="1:399" outlineLevel="1">
      <c r="A34" s="116"/>
      <c r="B34" s="116"/>
      <c r="C34" s="116">
        <v>2</v>
      </c>
      <c r="D34" s="3" t="s">
        <v>1169</v>
      </c>
      <c r="E34" s="183"/>
      <c r="F34" s="183" t="s">
        <v>1179</v>
      </c>
      <c r="G34" s="183"/>
      <c r="H34" s="183"/>
      <c r="I34" s="183"/>
      <c r="J34" s="183"/>
      <c r="K34" s="183"/>
      <c r="L34" s="183"/>
      <c r="M34" s="184"/>
      <c r="N34" s="184"/>
      <c r="O34" s="185"/>
      <c r="P34" s="186">
        <v>0</v>
      </c>
      <c r="Q34" s="186">
        <v>0</v>
      </c>
      <c r="R34" s="187">
        <v>0</v>
      </c>
      <c r="S34" s="187">
        <v>0</v>
      </c>
      <c r="T34" s="184"/>
      <c r="U34" s="184"/>
      <c r="V34" s="188">
        <v>0</v>
      </c>
      <c r="W34" s="189">
        <v>0</v>
      </c>
      <c r="X34" s="190"/>
      <c r="Y34" s="185"/>
      <c r="Z34" s="191"/>
      <c r="AA34" s="97">
        <v>0</v>
      </c>
      <c r="AB34" s="192">
        <v>0</v>
      </c>
      <c r="AC34" s="123"/>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c r="EY34" s="4"/>
      <c r="EZ34" s="4"/>
      <c r="FA34" s="4"/>
      <c r="FB34" s="4"/>
      <c r="FC34" s="4"/>
      <c r="FD34" s="4"/>
      <c r="FE34" s="4"/>
      <c r="FF34" s="4"/>
      <c r="FG34" s="4"/>
      <c r="FH34" s="4"/>
      <c r="FI34" s="4"/>
      <c r="FJ34" s="4"/>
      <c r="FK34" s="4"/>
      <c r="FL34" s="4"/>
      <c r="FM34" s="4"/>
      <c r="FN34" s="4"/>
      <c r="FO34" s="4"/>
      <c r="FP34" s="4"/>
      <c r="FQ34" s="4"/>
      <c r="FR34" s="4"/>
      <c r="FS34" s="4"/>
      <c r="FT34" s="4"/>
      <c r="FU34" s="4"/>
      <c r="FV34" s="4"/>
      <c r="FW34" s="4"/>
      <c r="FX34" s="4"/>
      <c r="FY34" s="4"/>
      <c r="FZ34" s="4"/>
      <c r="GA34" s="4"/>
      <c r="GB34" s="4"/>
      <c r="GC34" s="4"/>
      <c r="GD34" s="4"/>
      <c r="GE34" s="4"/>
      <c r="GF34" s="4"/>
      <c r="GG34" s="4"/>
      <c r="GH34" s="4"/>
      <c r="GI34" s="4"/>
      <c r="GJ34" s="4"/>
      <c r="GK34" s="4"/>
      <c r="GL34" s="4"/>
      <c r="GM34" s="4"/>
      <c r="GN34" s="4"/>
      <c r="GO34" s="4"/>
      <c r="GP34" s="4"/>
      <c r="GQ34" s="4"/>
      <c r="GR34" s="4"/>
      <c r="GS34" s="4"/>
      <c r="GT34" s="4"/>
      <c r="GU34" s="4"/>
      <c r="GV34" s="4"/>
      <c r="GW34" s="4"/>
      <c r="GX34" s="4"/>
      <c r="GY34" s="4"/>
      <c r="GZ34" s="4"/>
      <c r="HA34" s="4"/>
      <c r="HB34" s="4"/>
      <c r="HC34" s="4"/>
      <c r="HD34" s="4"/>
      <c r="HE34" s="4"/>
      <c r="HF34" s="4"/>
      <c r="HG34" s="4"/>
      <c r="HH34" s="4"/>
      <c r="HI34" s="4"/>
      <c r="HJ34" s="4"/>
      <c r="HK34" s="4"/>
      <c r="HL34" s="4"/>
      <c r="HM34" s="4"/>
      <c r="HN34" s="4"/>
      <c r="HO34" s="4"/>
      <c r="HP34" s="4"/>
      <c r="HQ34" s="4"/>
      <c r="HR34" s="4"/>
      <c r="HS34" s="4"/>
      <c r="HT34" s="4"/>
      <c r="HU34" s="4"/>
      <c r="HV34" s="4"/>
      <c r="HW34" s="4"/>
      <c r="HX34" s="4"/>
      <c r="HY34" s="4"/>
      <c r="HZ34" s="4"/>
      <c r="IA34" s="4"/>
      <c r="IB34" s="4"/>
      <c r="IC34" s="4"/>
      <c r="ID34" s="4"/>
      <c r="IE34" s="4"/>
      <c r="IF34" s="4"/>
      <c r="IG34" s="4"/>
      <c r="IH34" s="4"/>
      <c r="II34" s="4"/>
      <c r="IJ34" s="4"/>
      <c r="IK34" s="4"/>
      <c r="IL34" s="4"/>
      <c r="IM34" s="4"/>
      <c r="IN34" s="4"/>
      <c r="IO34" s="4"/>
      <c r="IP34" s="4"/>
      <c r="IQ34" s="4"/>
      <c r="IR34" s="4"/>
      <c r="IS34" s="4"/>
      <c r="IT34" s="4"/>
      <c r="IU34" s="4"/>
      <c r="IV34" s="4"/>
      <c r="IW34" s="4"/>
      <c r="IX34" s="4"/>
      <c r="IY34" s="4"/>
      <c r="IZ34" s="4"/>
      <c r="JA34" s="4"/>
      <c r="JB34" s="4"/>
      <c r="JC34" s="4"/>
      <c r="JD34" s="4"/>
      <c r="JE34" s="4"/>
      <c r="JF34" s="4"/>
      <c r="JG34" s="4"/>
      <c r="JH34" s="4"/>
      <c r="JI34" s="4"/>
      <c r="JJ34" s="4"/>
      <c r="JK34" s="4"/>
      <c r="JL34" s="4"/>
      <c r="JM34" s="4"/>
      <c r="JN34" s="4"/>
      <c r="JO34" s="4"/>
      <c r="JP34" s="4"/>
      <c r="JQ34" s="4"/>
      <c r="JR34" s="4"/>
      <c r="JS34" s="4"/>
      <c r="JT34" s="4"/>
      <c r="JU34" s="4"/>
      <c r="JV34" s="4"/>
      <c r="JW34" s="4"/>
      <c r="JX34" s="4"/>
      <c r="JY34" s="4"/>
      <c r="JZ34" s="4"/>
      <c r="KA34" s="4"/>
      <c r="KB34" s="4"/>
      <c r="KC34" s="4"/>
      <c r="KD34" s="4"/>
      <c r="KE34" s="4"/>
      <c r="KF34" s="4"/>
      <c r="KG34" s="4"/>
      <c r="KH34" s="4"/>
      <c r="KI34" s="4"/>
      <c r="KJ34" s="4"/>
      <c r="KK34" s="4"/>
      <c r="KL34" s="4"/>
      <c r="KM34" s="4"/>
      <c r="KN34" s="4"/>
      <c r="KO34" s="4"/>
      <c r="KP34" s="4"/>
      <c r="KQ34" s="4"/>
      <c r="KR34" s="4"/>
      <c r="KS34" s="4"/>
      <c r="KT34" s="4"/>
      <c r="KU34" s="4"/>
      <c r="KV34" s="4"/>
      <c r="KW34" s="4"/>
      <c r="KX34" s="4"/>
      <c r="KY34" s="4"/>
      <c r="KZ34" s="4"/>
      <c r="LA34" s="4"/>
      <c r="LB34" s="4"/>
      <c r="LC34" s="4"/>
      <c r="LD34" s="4"/>
      <c r="LE34" s="4"/>
      <c r="LF34" s="4"/>
      <c r="LG34" s="4"/>
      <c r="LH34" s="4"/>
      <c r="LI34" s="4"/>
      <c r="LJ34" s="4"/>
      <c r="LK34" s="4"/>
      <c r="LL34" s="4"/>
      <c r="LM34" s="4"/>
      <c r="LN34" s="4"/>
      <c r="LO34" s="4"/>
      <c r="LP34" s="4"/>
      <c r="LQ34" s="4"/>
      <c r="LR34" s="4"/>
      <c r="LS34" s="4"/>
      <c r="LT34" s="4"/>
      <c r="LU34" s="4"/>
      <c r="LV34" s="4"/>
      <c r="LW34" s="4"/>
      <c r="LX34" s="4"/>
      <c r="LY34" s="4"/>
      <c r="LZ34" s="4"/>
      <c r="MA34" s="4"/>
      <c r="MB34" s="4"/>
      <c r="MC34" s="4"/>
      <c r="MD34" s="4"/>
      <c r="ME34" s="4"/>
      <c r="MF34" s="4"/>
      <c r="MG34" s="4"/>
      <c r="MH34" s="4"/>
      <c r="MI34" s="4"/>
      <c r="MJ34" s="4"/>
      <c r="MK34" s="4"/>
      <c r="ML34" s="4"/>
      <c r="MM34" s="4"/>
      <c r="MN34" s="4"/>
      <c r="MO34" s="4"/>
      <c r="MP34" s="4"/>
      <c r="MQ34" s="4"/>
      <c r="MR34" s="4"/>
      <c r="MS34" s="4"/>
      <c r="MT34" s="4"/>
      <c r="MU34" s="4"/>
      <c r="MV34" s="4"/>
      <c r="MW34" s="4"/>
      <c r="MX34" s="4"/>
      <c r="MY34" s="4"/>
      <c r="MZ34" s="4"/>
      <c r="NA34" s="4"/>
      <c r="NB34" s="4"/>
      <c r="NC34" s="4"/>
      <c r="ND34" s="4"/>
      <c r="NE34" s="4"/>
      <c r="NF34" s="4"/>
      <c r="NG34" s="4"/>
      <c r="NH34" s="4"/>
      <c r="NI34" s="4"/>
      <c r="NJ34" s="4"/>
      <c r="NK34" s="4"/>
      <c r="NL34" s="4"/>
      <c r="NM34" s="4"/>
      <c r="NN34" s="4"/>
      <c r="NO34" s="4"/>
      <c r="NP34" s="4"/>
      <c r="NQ34" s="4"/>
      <c r="NR34" s="4"/>
      <c r="NS34" s="4"/>
      <c r="NT34" s="4"/>
      <c r="NU34" s="4"/>
      <c r="NV34" s="4"/>
      <c r="NW34" s="4"/>
      <c r="NX34" s="4"/>
      <c r="NY34" s="4"/>
      <c r="NZ34" s="4"/>
      <c r="OA34" s="4"/>
      <c r="OB34" s="4"/>
      <c r="OC34" s="4"/>
      <c r="OD34" s="4"/>
      <c r="OE34" s="4"/>
      <c r="OF34" s="4"/>
      <c r="OG34" s="4"/>
      <c r="OH34" s="4"/>
      <c r="OI34" s="4"/>
    </row>
    <row r="35" spans="1:399" outlineLevel="1">
      <c r="A35" s="116"/>
      <c r="B35" s="116"/>
      <c r="C35" s="116">
        <v>2</v>
      </c>
      <c r="D35" s="3" t="s">
        <v>1170</v>
      </c>
      <c r="E35" s="183"/>
      <c r="F35" s="183" t="s">
        <v>1180</v>
      </c>
      <c r="G35" s="183"/>
      <c r="H35" s="183"/>
      <c r="I35" s="183"/>
      <c r="J35" s="183"/>
      <c r="K35" s="183"/>
      <c r="L35" s="183"/>
      <c r="M35" s="184"/>
      <c r="N35" s="184"/>
      <c r="O35" s="185"/>
      <c r="P35" s="186">
        <v>0</v>
      </c>
      <c r="Q35" s="186">
        <v>0</v>
      </c>
      <c r="R35" s="187">
        <v>0</v>
      </c>
      <c r="S35" s="187">
        <v>0</v>
      </c>
      <c r="T35" s="184"/>
      <c r="U35" s="184"/>
      <c r="V35" s="188">
        <v>0</v>
      </c>
      <c r="W35" s="189">
        <v>0</v>
      </c>
      <c r="X35" s="190"/>
      <c r="Y35" s="185"/>
      <c r="Z35" s="191"/>
      <c r="AA35" s="97">
        <v>0</v>
      </c>
      <c r="AB35" s="192">
        <v>0</v>
      </c>
      <c r="AC35" s="123"/>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c r="EY35" s="4"/>
      <c r="EZ35" s="4"/>
      <c r="FA35" s="4"/>
      <c r="FB35" s="4"/>
      <c r="FC35" s="4"/>
      <c r="FD35" s="4"/>
      <c r="FE35" s="4"/>
      <c r="FF35" s="4"/>
      <c r="FG35" s="4"/>
      <c r="FH35" s="4"/>
      <c r="FI35" s="4"/>
      <c r="FJ35" s="4"/>
      <c r="FK35" s="4"/>
      <c r="FL35" s="4"/>
      <c r="FM35" s="4"/>
      <c r="FN35" s="4"/>
      <c r="FO35" s="4"/>
      <c r="FP35" s="4"/>
      <c r="FQ35" s="4"/>
      <c r="FR35" s="4"/>
      <c r="FS35" s="4"/>
      <c r="FT35" s="4"/>
      <c r="FU35" s="4"/>
      <c r="FV35" s="4"/>
      <c r="FW35" s="4"/>
      <c r="FX35" s="4"/>
      <c r="FY35" s="4"/>
      <c r="FZ35" s="4"/>
      <c r="GA35" s="4"/>
      <c r="GB35" s="4"/>
      <c r="GC35" s="4"/>
      <c r="GD35" s="4"/>
      <c r="GE35" s="4"/>
      <c r="GF35" s="4"/>
      <c r="GG35" s="4"/>
      <c r="GH35" s="4"/>
      <c r="GI35" s="4"/>
      <c r="GJ35" s="4"/>
      <c r="GK35" s="4"/>
      <c r="GL35" s="4"/>
      <c r="GM35" s="4"/>
      <c r="GN35" s="4"/>
      <c r="GO35" s="4"/>
      <c r="GP35" s="4"/>
      <c r="GQ35" s="4"/>
      <c r="GR35" s="4"/>
      <c r="GS35" s="4"/>
      <c r="GT35" s="4"/>
      <c r="GU35" s="4"/>
      <c r="GV35" s="4"/>
      <c r="GW35" s="4"/>
      <c r="GX35" s="4"/>
      <c r="GY35" s="4"/>
      <c r="GZ35" s="4"/>
      <c r="HA35" s="4"/>
      <c r="HB35" s="4"/>
      <c r="HC35" s="4"/>
      <c r="HD35" s="4"/>
      <c r="HE35" s="4"/>
      <c r="HF35" s="4"/>
      <c r="HG35" s="4"/>
      <c r="HH35" s="4"/>
      <c r="HI35" s="4"/>
      <c r="HJ35" s="4"/>
      <c r="HK35" s="4"/>
      <c r="HL35" s="4"/>
      <c r="HM35" s="4"/>
      <c r="HN35" s="4"/>
      <c r="HO35" s="4"/>
      <c r="HP35" s="4"/>
      <c r="HQ35" s="4"/>
      <c r="HR35" s="4"/>
      <c r="HS35" s="4"/>
      <c r="HT35" s="4"/>
      <c r="HU35" s="4"/>
      <c r="HV35" s="4"/>
      <c r="HW35" s="4"/>
      <c r="HX35" s="4"/>
      <c r="HY35" s="4"/>
      <c r="HZ35" s="4"/>
      <c r="IA35" s="4"/>
      <c r="IB35" s="4"/>
      <c r="IC35" s="4"/>
      <c r="ID35" s="4"/>
      <c r="IE35" s="4"/>
      <c r="IF35" s="4"/>
      <c r="IG35" s="4"/>
      <c r="IH35" s="4"/>
      <c r="II35" s="4"/>
      <c r="IJ35" s="4"/>
      <c r="IK35" s="4"/>
      <c r="IL35" s="4"/>
      <c r="IM35" s="4"/>
      <c r="IN35" s="4"/>
      <c r="IO35" s="4"/>
      <c r="IP35" s="4"/>
      <c r="IQ35" s="4"/>
      <c r="IR35" s="4"/>
      <c r="IS35" s="4"/>
      <c r="IT35" s="4"/>
      <c r="IU35" s="4"/>
      <c r="IV35" s="4"/>
      <c r="IW35" s="4"/>
      <c r="IX35" s="4"/>
      <c r="IY35" s="4"/>
      <c r="IZ35" s="4"/>
      <c r="JA35" s="4"/>
      <c r="JB35" s="4"/>
      <c r="JC35" s="4"/>
      <c r="JD35" s="4"/>
      <c r="JE35" s="4"/>
      <c r="JF35" s="4"/>
      <c r="JG35" s="4"/>
      <c r="JH35" s="4"/>
      <c r="JI35" s="4"/>
      <c r="JJ35" s="4"/>
      <c r="JK35" s="4"/>
      <c r="JL35" s="4"/>
      <c r="JM35" s="4"/>
      <c r="JN35" s="4"/>
      <c r="JO35" s="4"/>
      <c r="JP35" s="4"/>
      <c r="JQ35" s="4"/>
      <c r="JR35" s="4"/>
      <c r="JS35" s="4"/>
      <c r="JT35" s="4"/>
      <c r="JU35" s="4"/>
      <c r="JV35" s="4"/>
      <c r="JW35" s="4"/>
      <c r="JX35" s="4"/>
      <c r="JY35" s="4"/>
      <c r="JZ35" s="4"/>
      <c r="KA35" s="4"/>
      <c r="KB35" s="4"/>
      <c r="KC35" s="4"/>
      <c r="KD35" s="4"/>
      <c r="KE35" s="4"/>
      <c r="KF35" s="4"/>
      <c r="KG35" s="4"/>
      <c r="KH35" s="4"/>
      <c r="KI35" s="4"/>
      <c r="KJ35" s="4"/>
      <c r="KK35" s="4"/>
      <c r="KL35" s="4"/>
      <c r="KM35" s="4"/>
      <c r="KN35" s="4"/>
      <c r="KO35" s="4"/>
      <c r="KP35" s="4"/>
      <c r="KQ35" s="4"/>
      <c r="KR35" s="4"/>
      <c r="KS35" s="4"/>
      <c r="KT35" s="4"/>
      <c r="KU35" s="4"/>
      <c r="KV35" s="4"/>
      <c r="KW35" s="4"/>
      <c r="KX35" s="4"/>
      <c r="KY35" s="4"/>
      <c r="KZ35" s="4"/>
      <c r="LA35" s="4"/>
      <c r="LB35" s="4"/>
      <c r="LC35" s="4"/>
      <c r="LD35" s="4"/>
      <c r="LE35" s="4"/>
      <c r="LF35" s="4"/>
      <c r="LG35" s="4"/>
      <c r="LH35" s="4"/>
      <c r="LI35" s="4"/>
      <c r="LJ35" s="4"/>
      <c r="LK35" s="4"/>
      <c r="LL35" s="4"/>
      <c r="LM35" s="4"/>
      <c r="LN35" s="4"/>
      <c r="LO35" s="4"/>
      <c r="LP35" s="4"/>
      <c r="LQ35" s="4"/>
      <c r="LR35" s="4"/>
      <c r="LS35" s="4"/>
      <c r="LT35" s="4"/>
      <c r="LU35" s="4"/>
      <c r="LV35" s="4"/>
      <c r="LW35" s="4"/>
      <c r="LX35" s="4"/>
      <c r="LY35" s="4"/>
      <c r="LZ35" s="4"/>
      <c r="MA35" s="4"/>
      <c r="MB35" s="4"/>
      <c r="MC35" s="4"/>
      <c r="MD35" s="4"/>
      <c r="ME35" s="4"/>
      <c r="MF35" s="4"/>
      <c r="MG35" s="4"/>
      <c r="MH35" s="4"/>
      <c r="MI35" s="4"/>
      <c r="MJ35" s="4"/>
      <c r="MK35" s="4"/>
      <c r="ML35" s="4"/>
      <c r="MM35" s="4"/>
      <c r="MN35" s="4"/>
      <c r="MO35" s="4"/>
      <c r="MP35" s="4"/>
      <c r="MQ35" s="4"/>
      <c r="MR35" s="4"/>
      <c r="MS35" s="4"/>
      <c r="MT35" s="4"/>
      <c r="MU35" s="4"/>
      <c r="MV35" s="4"/>
      <c r="MW35" s="4"/>
      <c r="MX35" s="4"/>
      <c r="MY35" s="4"/>
      <c r="MZ35" s="4"/>
      <c r="NA35" s="4"/>
      <c r="NB35" s="4"/>
      <c r="NC35" s="4"/>
      <c r="ND35" s="4"/>
      <c r="NE35" s="4"/>
      <c r="NF35" s="4"/>
      <c r="NG35" s="4"/>
      <c r="NH35" s="4"/>
      <c r="NI35" s="4"/>
      <c r="NJ35" s="4"/>
      <c r="NK35" s="4"/>
      <c r="NL35" s="4"/>
      <c r="NM35" s="4"/>
      <c r="NN35" s="4"/>
      <c r="NO35" s="4"/>
      <c r="NP35" s="4"/>
      <c r="NQ35" s="4"/>
      <c r="NR35" s="4"/>
      <c r="NS35" s="4"/>
      <c r="NT35" s="4"/>
      <c r="NU35" s="4"/>
      <c r="NV35" s="4"/>
      <c r="NW35" s="4"/>
      <c r="NX35" s="4"/>
      <c r="NY35" s="4"/>
      <c r="NZ35" s="4"/>
      <c r="OA35" s="4"/>
      <c r="OB35" s="4"/>
      <c r="OC35" s="4"/>
      <c r="OD35" s="4"/>
      <c r="OE35" s="4"/>
      <c r="OF35" s="4"/>
      <c r="OG35" s="4"/>
      <c r="OH35" s="4"/>
      <c r="OI35" s="4"/>
    </row>
    <row r="36" spans="1:399" outlineLevel="1">
      <c r="A36" s="116"/>
      <c r="B36" s="116"/>
      <c r="C36" s="116">
        <v>2</v>
      </c>
      <c r="D36" s="3" t="s">
        <v>1171</v>
      </c>
      <c r="E36" s="183"/>
      <c r="F36" s="183" t="s">
        <v>1199</v>
      </c>
      <c r="G36" s="183"/>
      <c r="H36" s="183"/>
      <c r="I36" s="183"/>
      <c r="J36" s="183"/>
      <c r="K36" s="183"/>
      <c r="L36" s="183"/>
      <c r="M36" s="184"/>
      <c r="N36" s="184"/>
      <c r="O36" s="185"/>
      <c r="P36" s="186">
        <v>0</v>
      </c>
      <c r="Q36" s="186">
        <v>0</v>
      </c>
      <c r="R36" s="187">
        <v>0</v>
      </c>
      <c r="S36" s="187">
        <v>0</v>
      </c>
      <c r="T36" s="184"/>
      <c r="U36" s="184"/>
      <c r="V36" s="188">
        <v>0</v>
      </c>
      <c r="W36" s="189">
        <v>0</v>
      </c>
      <c r="X36" s="190"/>
      <c r="Y36" s="185" t="s">
        <v>1181</v>
      </c>
      <c r="Z36" s="191"/>
      <c r="AA36" s="97">
        <v>0</v>
      </c>
      <c r="AB36" s="192">
        <v>0</v>
      </c>
      <c r="AC36" s="123"/>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c r="EY36" s="4"/>
      <c r="EZ36" s="4"/>
      <c r="FA36" s="4"/>
      <c r="FB36" s="4"/>
      <c r="FC36" s="4"/>
      <c r="FD36" s="4"/>
      <c r="FE36" s="4"/>
      <c r="FF36" s="4"/>
      <c r="FG36" s="4"/>
      <c r="FH36" s="4"/>
      <c r="FI36" s="4"/>
      <c r="FJ36" s="4"/>
      <c r="FK36" s="4"/>
      <c r="FL36" s="4"/>
      <c r="FM36" s="4"/>
      <c r="FN36" s="4"/>
      <c r="FO36" s="4"/>
      <c r="FP36" s="4"/>
      <c r="FQ36" s="4"/>
      <c r="FR36" s="4"/>
      <c r="FS36" s="4"/>
      <c r="FT36" s="4"/>
      <c r="FU36" s="4"/>
      <c r="FV36" s="4"/>
      <c r="FW36" s="4"/>
      <c r="FX36" s="4"/>
      <c r="FY36" s="4"/>
      <c r="FZ36" s="4"/>
      <c r="GA36" s="4"/>
      <c r="GB36" s="4"/>
      <c r="GC36" s="4"/>
      <c r="GD36" s="4"/>
      <c r="GE36" s="4"/>
      <c r="GF36" s="4"/>
      <c r="GG36" s="4"/>
      <c r="GH36" s="4"/>
      <c r="GI36" s="4"/>
      <c r="GJ36" s="4"/>
      <c r="GK36" s="4"/>
      <c r="GL36" s="4"/>
      <c r="GM36" s="4"/>
      <c r="GN36" s="4"/>
      <c r="GO36" s="4"/>
      <c r="GP36" s="4"/>
      <c r="GQ36" s="4"/>
      <c r="GR36" s="4"/>
      <c r="GS36" s="4"/>
      <c r="GT36" s="4"/>
      <c r="GU36" s="4"/>
      <c r="GV36" s="4"/>
      <c r="GW36" s="4"/>
      <c r="GX36" s="4"/>
      <c r="GY36" s="4"/>
      <c r="GZ36" s="4"/>
      <c r="HA36" s="4"/>
      <c r="HB36" s="4"/>
      <c r="HC36" s="4"/>
      <c r="HD36" s="4"/>
      <c r="HE36" s="4"/>
      <c r="HF36" s="4"/>
      <c r="HG36" s="4"/>
      <c r="HH36" s="4"/>
      <c r="HI36" s="4"/>
      <c r="HJ36" s="4"/>
      <c r="HK36" s="4"/>
      <c r="HL36" s="4"/>
      <c r="HM36" s="4"/>
      <c r="HN36" s="4"/>
      <c r="HO36" s="4"/>
      <c r="HP36" s="4"/>
      <c r="HQ36" s="4"/>
      <c r="HR36" s="4"/>
      <c r="HS36" s="4"/>
      <c r="HT36" s="4"/>
      <c r="HU36" s="4"/>
      <c r="HV36" s="4"/>
      <c r="HW36" s="4"/>
      <c r="HX36" s="4"/>
      <c r="HY36" s="4"/>
      <c r="HZ36" s="4"/>
      <c r="IA36" s="4"/>
      <c r="IB36" s="4"/>
      <c r="IC36" s="4"/>
      <c r="ID36" s="4"/>
      <c r="IE36" s="4"/>
      <c r="IF36" s="4"/>
      <c r="IG36" s="4"/>
      <c r="IH36" s="4"/>
      <c r="II36" s="4"/>
      <c r="IJ36" s="4"/>
      <c r="IK36" s="4"/>
      <c r="IL36" s="4"/>
      <c r="IM36" s="4"/>
      <c r="IN36" s="4"/>
      <c r="IO36" s="4"/>
      <c r="IP36" s="4"/>
      <c r="IQ36" s="4"/>
      <c r="IR36" s="4"/>
      <c r="IS36" s="4"/>
      <c r="IT36" s="4"/>
      <c r="IU36" s="4"/>
      <c r="IV36" s="4"/>
      <c r="IW36" s="4"/>
      <c r="IX36" s="4"/>
      <c r="IY36" s="4"/>
      <c r="IZ36" s="4"/>
      <c r="JA36" s="4"/>
      <c r="JB36" s="4"/>
      <c r="JC36" s="4"/>
      <c r="JD36" s="4"/>
      <c r="JE36" s="4"/>
      <c r="JF36" s="4"/>
      <c r="JG36" s="4"/>
      <c r="JH36" s="4"/>
      <c r="JI36" s="4"/>
      <c r="JJ36" s="4"/>
      <c r="JK36" s="4"/>
      <c r="JL36" s="4"/>
      <c r="JM36" s="4"/>
      <c r="JN36" s="4"/>
      <c r="JO36" s="4"/>
      <c r="JP36" s="4"/>
      <c r="JQ36" s="4"/>
      <c r="JR36" s="4"/>
      <c r="JS36" s="4"/>
      <c r="JT36" s="4"/>
      <c r="JU36" s="4"/>
      <c r="JV36" s="4"/>
      <c r="JW36" s="4"/>
      <c r="JX36" s="4"/>
      <c r="JY36" s="4"/>
      <c r="JZ36" s="4"/>
      <c r="KA36" s="4"/>
      <c r="KB36" s="4"/>
      <c r="KC36" s="4"/>
      <c r="KD36" s="4"/>
      <c r="KE36" s="4"/>
      <c r="KF36" s="4"/>
      <c r="KG36" s="4"/>
      <c r="KH36" s="4"/>
      <c r="KI36" s="4"/>
      <c r="KJ36" s="4"/>
      <c r="KK36" s="4"/>
      <c r="KL36" s="4"/>
      <c r="KM36" s="4"/>
      <c r="KN36" s="4"/>
      <c r="KO36" s="4"/>
      <c r="KP36" s="4"/>
      <c r="KQ36" s="4"/>
      <c r="KR36" s="4"/>
      <c r="KS36" s="4"/>
      <c r="KT36" s="4"/>
      <c r="KU36" s="4"/>
      <c r="KV36" s="4"/>
      <c r="KW36" s="4"/>
      <c r="KX36" s="4"/>
      <c r="KY36" s="4"/>
      <c r="KZ36" s="4"/>
      <c r="LA36" s="4"/>
      <c r="LB36" s="4"/>
      <c r="LC36" s="4"/>
      <c r="LD36" s="4"/>
      <c r="LE36" s="4"/>
      <c r="LF36" s="4"/>
      <c r="LG36" s="4"/>
      <c r="LH36" s="4"/>
      <c r="LI36" s="4"/>
      <c r="LJ36" s="4"/>
      <c r="LK36" s="4"/>
      <c r="LL36" s="4"/>
      <c r="LM36" s="4"/>
      <c r="LN36" s="4"/>
      <c r="LO36" s="4"/>
      <c r="LP36" s="4"/>
      <c r="LQ36" s="4"/>
      <c r="LR36" s="4"/>
      <c r="LS36" s="4"/>
      <c r="LT36" s="4"/>
      <c r="LU36" s="4"/>
      <c r="LV36" s="4"/>
      <c r="LW36" s="4"/>
      <c r="LX36" s="4"/>
      <c r="LY36" s="4"/>
      <c r="LZ36" s="4"/>
      <c r="MA36" s="4"/>
      <c r="MB36" s="4"/>
      <c r="MC36" s="4"/>
      <c r="MD36" s="4"/>
      <c r="ME36" s="4"/>
      <c r="MF36" s="4"/>
      <c r="MG36" s="4"/>
      <c r="MH36" s="4"/>
      <c r="MI36" s="4"/>
      <c r="MJ36" s="4"/>
      <c r="MK36" s="4"/>
      <c r="ML36" s="4"/>
      <c r="MM36" s="4"/>
      <c r="MN36" s="4"/>
      <c r="MO36" s="4"/>
      <c r="MP36" s="4"/>
      <c r="MQ36" s="4"/>
      <c r="MR36" s="4"/>
      <c r="MS36" s="4"/>
      <c r="MT36" s="4"/>
      <c r="MU36" s="4"/>
      <c r="MV36" s="4"/>
      <c r="MW36" s="4"/>
      <c r="MX36" s="4"/>
      <c r="MY36" s="4"/>
      <c r="MZ36" s="4"/>
      <c r="NA36" s="4"/>
      <c r="NB36" s="4"/>
      <c r="NC36" s="4"/>
      <c r="ND36" s="4"/>
      <c r="NE36" s="4"/>
      <c r="NF36" s="4"/>
      <c r="NG36" s="4"/>
      <c r="NH36" s="4"/>
      <c r="NI36" s="4"/>
      <c r="NJ36" s="4"/>
      <c r="NK36" s="4"/>
      <c r="NL36" s="4"/>
      <c r="NM36" s="4"/>
      <c r="NN36" s="4"/>
      <c r="NO36" s="4"/>
      <c r="NP36" s="4"/>
      <c r="NQ36" s="4"/>
      <c r="NR36" s="4"/>
      <c r="NS36" s="4"/>
      <c r="NT36" s="4"/>
      <c r="NU36" s="4"/>
      <c r="NV36" s="4"/>
      <c r="NW36" s="4"/>
      <c r="NX36" s="4"/>
      <c r="NY36" s="4"/>
      <c r="NZ36" s="4"/>
      <c r="OA36" s="4"/>
      <c r="OB36" s="4"/>
      <c r="OC36" s="4"/>
      <c r="OD36" s="4"/>
      <c r="OE36" s="4"/>
      <c r="OF36" s="4"/>
      <c r="OG36" s="4"/>
      <c r="OH36" s="4"/>
      <c r="OI36" s="4"/>
    </row>
    <row r="37" spans="1:399" outlineLevel="1">
      <c r="A37" s="116"/>
      <c r="B37" s="116"/>
      <c r="C37" s="116">
        <v>2</v>
      </c>
      <c r="D37" s="3" t="s">
        <v>1172</v>
      </c>
      <c r="E37" s="183"/>
      <c r="F37" s="183" t="s">
        <v>1182</v>
      </c>
      <c r="G37" s="183"/>
      <c r="H37" s="183"/>
      <c r="I37" s="183"/>
      <c r="J37" s="183"/>
      <c r="K37" s="183"/>
      <c r="L37" s="183"/>
      <c r="M37" s="184"/>
      <c r="N37" s="184"/>
      <c r="O37" s="185"/>
      <c r="P37" s="186">
        <v>0</v>
      </c>
      <c r="Q37" s="186">
        <v>0</v>
      </c>
      <c r="R37" s="187">
        <v>0</v>
      </c>
      <c r="S37" s="187">
        <v>0</v>
      </c>
      <c r="T37" s="184"/>
      <c r="U37" s="184"/>
      <c r="V37" s="188">
        <v>0</v>
      </c>
      <c r="W37" s="189">
        <v>0</v>
      </c>
      <c r="X37" s="190"/>
      <c r="Y37" s="185"/>
      <c r="Z37" s="191"/>
      <c r="AA37" s="97">
        <v>0</v>
      </c>
      <c r="AB37" s="192">
        <v>0</v>
      </c>
      <c r="AC37" s="123"/>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c r="EY37" s="4"/>
      <c r="EZ37" s="4"/>
      <c r="FA37" s="4"/>
      <c r="FB37" s="4"/>
      <c r="FC37" s="4"/>
      <c r="FD37" s="4"/>
      <c r="FE37" s="4"/>
      <c r="FF37" s="4"/>
      <c r="FG37" s="4"/>
      <c r="FH37" s="4"/>
      <c r="FI37" s="4"/>
      <c r="FJ37" s="4"/>
      <c r="FK37" s="4"/>
      <c r="FL37" s="4"/>
      <c r="FM37" s="4"/>
      <c r="FN37" s="4"/>
      <c r="FO37" s="4"/>
      <c r="FP37" s="4"/>
      <c r="FQ37" s="4"/>
      <c r="FR37" s="4"/>
      <c r="FS37" s="4"/>
      <c r="FT37" s="4"/>
      <c r="FU37" s="4"/>
      <c r="FV37" s="4"/>
      <c r="FW37" s="4"/>
      <c r="FX37" s="4"/>
      <c r="FY37" s="4"/>
      <c r="FZ37" s="4"/>
      <c r="GA37" s="4"/>
      <c r="GB37" s="4"/>
      <c r="GC37" s="4"/>
      <c r="GD37" s="4"/>
      <c r="GE37" s="4"/>
      <c r="GF37" s="4"/>
      <c r="GG37" s="4"/>
      <c r="GH37" s="4"/>
      <c r="GI37" s="4"/>
      <c r="GJ37" s="4"/>
      <c r="GK37" s="4"/>
      <c r="GL37" s="4"/>
      <c r="GM37" s="4"/>
      <c r="GN37" s="4"/>
      <c r="GO37" s="4"/>
      <c r="GP37" s="4"/>
      <c r="GQ37" s="4"/>
      <c r="GR37" s="4"/>
      <c r="GS37" s="4"/>
      <c r="GT37" s="4"/>
      <c r="GU37" s="4"/>
      <c r="GV37" s="4"/>
      <c r="GW37" s="4"/>
      <c r="GX37" s="4"/>
      <c r="GY37" s="4"/>
      <c r="GZ37" s="4"/>
      <c r="HA37" s="4"/>
      <c r="HB37" s="4"/>
      <c r="HC37" s="4"/>
      <c r="HD37" s="4"/>
      <c r="HE37" s="4"/>
      <c r="HF37" s="4"/>
      <c r="HG37" s="4"/>
      <c r="HH37" s="4"/>
      <c r="HI37" s="4"/>
      <c r="HJ37" s="4"/>
      <c r="HK37" s="4"/>
      <c r="HL37" s="4"/>
      <c r="HM37" s="4"/>
      <c r="HN37" s="4"/>
      <c r="HO37" s="4"/>
      <c r="HP37" s="4"/>
      <c r="HQ37" s="4"/>
      <c r="HR37" s="4"/>
      <c r="HS37" s="4"/>
      <c r="HT37" s="4"/>
      <c r="HU37" s="4"/>
      <c r="HV37" s="4"/>
      <c r="HW37" s="4"/>
      <c r="HX37" s="4"/>
      <c r="HY37" s="4"/>
      <c r="HZ37" s="4"/>
      <c r="IA37" s="4"/>
      <c r="IB37" s="4"/>
      <c r="IC37" s="4"/>
      <c r="ID37" s="4"/>
      <c r="IE37" s="4"/>
      <c r="IF37" s="4"/>
      <c r="IG37" s="4"/>
      <c r="IH37" s="4"/>
      <c r="II37" s="4"/>
      <c r="IJ37" s="4"/>
      <c r="IK37" s="4"/>
      <c r="IL37" s="4"/>
      <c r="IM37" s="4"/>
      <c r="IN37" s="4"/>
      <c r="IO37" s="4"/>
      <c r="IP37" s="4"/>
      <c r="IQ37" s="4"/>
      <c r="IR37" s="4"/>
      <c r="IS37" s="4"/>
      <c r="IT37" s="4"/>
      <c r="IU37" s="4"/>
      <c r="IV37" s="4"/>
      <c r="IW37" s="4"/>
      <c r="IX37" s="4"/>
      <c r="IY37" s="4"/>
      <c r="IZ37" s="4"/>
      <c r="JA37" s="4"/>
      <c r="JB37" s="4"/>
      <c r="JC37" s="4"/>
      <c r="JD37" s="4"/>
      <c r="JE37" s="4"/>
      <c r="JF37" s="4"/>
      <c r="JG37" s="4"/>
      <c r="JH37" s="4"/>
      <c r="JI37" s="4"/>
      <c r="JJ37" s="4"/>
      <c r="JK37" s="4"/>
      <c r="JL37" s="4"/>
      <c r="JM37" s="4"/>
      <c r="JN37" s="4"/>
      <c r="JO37" s="4"/>
      <c r="JP37" s="4"/>
      <c r="JQ37" s="4"/>
      <c r="JR37" s="4"/>
      <c r="JS37" s="4"/>
      <c r="JT37" s="4"/>
      <c r="JU37" s="4"/>
      <c r="JV37" s="4"/>
      <c r="JW37" s="4"/>
      <c r="JX37" s="4"/>
      <c r="JY37" s="4"/>
      <c r="JZ37" s="4"/>
      <c r="KA37" s="4"/>
      <c r="KB37" s="4"/>
      <c r="KC37" s="4"/>
      <c r="KD37" s="4"/>
      <c r="KE37" s="4"/>
      <c r="KF37" s="4"/>
      <c r="KG37" s="4"/>
      <c r="KH37" s="4"/>
      <c r="KI37" s="4"/>
      <c r="KJ37" s="4"/>
      <c r="KK37" s="4"/>
      <c r="KL37" s="4"/>
      <c r="KM37" s="4"/>
      <c r="KN37" s="4"/>
      <c r="KO37" s="4"/>
      <c r="KP37" s="4"/>
      <c r="KQ37" s="4"/>
      <c r="KR37" s="4"/>
      <c r="KS37" s="4"/>
      <c r="KT37" s="4"/>
      <c r="KU37" s="4"/>
      <c r="KV37" s="4"/>
      <c r="KW37" s="4"/>
      <c r="KX37" s="4"/>
      <c r="KY37" s="4"/>
      <c r="KZ37" s="4"/>
      <c r="LA37" s="4"/>
      <c r="LB37" s="4"/>
      <c r="LC37" s="4"/>
      <c r="LD37" s="4"/>
      <c r="LE37" s="4"/>
      <c r="LF37" s="4"/>
      <c r="LG37" s="4"/>
      <c r="LH37" s="4"/>
      <c r="LI37" s="4"/>
      <c r="LJ37" s="4"/>
      <c r="LK37" s="4"/>
      <c r="LL37" s="4"/>
      <c r="LM37" s="4"/>
      <c r="LN37" s="4"/>
      <c r="LO37" s="4"/>
      <c r="LP37" s="4"/>
      <c r="LQ37" s="4"/>
      <c r="LR37" s="4"/>
      <c r="LS37" s="4"/>
      <c r="LT37" s="4"/>
      <c r="LU37" s="4"/>
      <c r="LV37" s="4"/>
      <c r="LW37" s="4"/>
      <c r="LX37" s="4"/>
      <c r="LY37" s="4"/>
      <c r="LZ37" s="4"/>
      <c r="MA37" s="4"/>
      <c r="MB37" s="4"/>
      <c r="MC37" s="4"/>
      <c r="MD37" s="4"/>
      <c r="ME37" s="4"/>
      <c r="MF37" s="4"/>
      <c r="MG37" s="4"/>
      <c r="MH37" s="4"/>
      <c r="MI37" s="4"/>
      <c r="MJ37" s="4"/>
      <c r="MK37" s="4"/>
      <c r="ML37" s="4"/>
      <c r="MM37" s="4"/>
      <c r="MN37" s="4"/>
      <c r="MO37" s="4"/>
      <c r="MP37" s="4"/>
      <c r="MQ37" s="4"/>
      <c r="MR37" s="4"/>
      <c r="MS37" s="4"/>
      <c r="MT37" s="4"/>
      <c r="MU37" s="4"/>
      <c r="MV37" s="4"/>
      <c r="MW37" s="4"/>
      <c r="MX37" s="4"/>
      <c r="MY37" s="4"/>
      <c r="MZ37" s="4"/>
      <c r="NA37" s="4"/>
      <c r="NB37" s="4"/>
      <c r="NC37" s="4"/>
      <c r="ND37" s="4"/>
      <c r="NE37" s="4"/>
      <c r="NF37" s="4"/>
      <c r="NG37" s="4"/>
      <c r="NH37" s="4"/>
      <c r="NI37" s="4"/>
      <c r="NJ37" s="4"/>
      <c r="NK37" s="4"/>
      <c r="NL37" s="4"/>
      <c r="NM37" s="4"/>
      <c r="NN37" s="4"/>
      <c r="NO37" s="4"/>
      <c r="NP37" s="4"/>
      <c r="NQ37" s="4"/>
      <c r="NR37" s="4"/>
      <c r="NS37" s="4"/>
      <c r="NT37" s="4"/>
      <c r="NU37" s="4"/>
      <c r="NV37" s="4"/>
      <c r="NW37" s="4"/>
      <c r="NX37" s="4"/>
      <c r="NY37" s="4"/>
      <c r="NZ37" s="4"/>
      <c r="OA37" s="4"/>
      <c r="OB37" s="4"/>
      <c r="OC37" s="4"/>
      <c r="OD37" s="4"/>
      <c r="OE37" s="4"/>
      <c r="OF37" s="4"/>
      <c r="OG37" s="4"/>
      <c r="OH37" s="4"/>
      <c r="OI37" s="4"/>
    </row>
    <row r="38" spans="1:399" outlineLevel="1">
      <c r="A38" s="116"/>
      <c r="B38" s="116"/>
      <c r="C38" s="116">
        <v>2</v>
      </c>
      <c r="D38" s="3" t="s">
        <v>1173</v>
      </c>
      <c r="E38" s="183"/>
      <c r="F38" s="183" t="s">
        <v>1183</v>
      </c>
      <c r="G38" s="183"/>
      <c r="H38" s="183"/>
      <c r="I38" s="183"/>
      <c r="J38" s="183"/>
      <c r="K38" s="183"/>
      <c r="L38" s="183"/>
      <c r="M38" s="184"/>
      <c r="N38" s="184"/>
      <c r="O38" s="185"/>
      <c r="P38" s="186">
        <v>0</v>
      </c>
      <c r="Q38" s="186">
        <v>0</v>
      </c>
      <c r="R38" s="187">
        <v>0</v>
      </c>
      <c r="S38" s="187">
        <v>0</v>
      </c>
      <c r="T38" s="184"/>
      <c r="U38" s="184"/>
      <c r="V38" s="188">
        <v>0</v>
      </c>
      <c r="W38" s="189">
        <v>0</v>
      </c>
      <c r="X38" s="190"/>
      <c r="Y38" s="185"/>
      <c r="Z38" s="191"/>
      <c r="AA38" s="97">
        <v>0</v>
      </c>
      <c r="AB38" s="192">
        <v>0</v>
      </c>
      <c r="AC38" s="123"/>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c r="EY38" s="4"/>
      <c r="EZ38" s="4"/>
      <c r="FA38" s="4"/>
      <c r="FB38" s="4"/>
      <c r="FC38" s="4"/>
      <c r="FD38" s="4"/>
      <c r="FE38" s="4"/>
      <c r="FF38" s="4"/>
      <c r="FG38" s="4"/>
      <c r="FH38" s="4"/>
      <c r="FI38" s="4"/>
      <c r="FJ38" s="4"/>
      <c r="FK38" s="4"/>
      <c r="FL38" s="4"/>
      <c r="FM38" s="4"/>
      <c r="FN38" s="4"/>
      <c r="FO38" s="4"/>
      <c r="FP38" s="4"/>
      <c r="FQ38" s="4"/>
      <c r="FR38" s="4"/>
      <c r="FS38" s="4"/>
      <c r="FT38" s="4"/>
      <c r="FU38" s="4"/>
      <c r="FV38" s="4"/>
      <c r="FW38" s="4"/>
      <c r="FX38" s="4"/>
      <c r="FY38" s="4"/>
      <c r="FZ38" s="4"/>
      <c r="GA38" s="4"/>
      <c r="GB38" s="4"/>
      <c r="GC38" s="4"/>
      <c r="GD38" s="4"/>
      <c r="GE38" s="4"/>
      <c r="GF38" s="4"/>
      <c r="GG38" s="4"/>
      <c r="GH38" s="4"/>
      <c r="GI38" s="4"/>
      <c r="GJ38" s="4"/>
      <c r="GK38" s="4"/>
      <c r="GL38" s="4"/>
      <c r="GM38" s="4"/>
      <c r="GN38" s="4"/>
      <c r="GO38" s="4"/>
      <c r="GP38" s="4"/>
      <c r="GQ38" s="4"/>
      <c r="GR38" s="4"/>
      <c r="GS38" s="4"/>
      <c r="GT38" s="4"/>
      <c r="GU38" s="4"/>
      <c r="GV38" s="4"/>
      <c r="GW38" s="4"/>
      <c r="GX38" s="4"/>
      <c r="GY38" s="4"/>
      <c r="GZ38" s="4"/>
      <c r="HA38" s="4"/>
      <c r="HB38" s="4"/>
      <c r="HC38" s="4"/>
      <c r="HD38" s="4"/>
      <c r="HE38" s="4"/>
      <c r="HF38" s="4"/>
      <c r="HG38" s="4"/>
      <c r="HH38" s="4"/>
      <c r="HI38" s="4"/>
      <c r="HJ38" s="4"/>
      <c r="HK38" s="4"/>
      <c r="HL38" s="4"/>
      <c r="HM38" s="4"/>
      <c r="HN38" s="4"/>
      <c r="HO38" s="4"/>
      <c r="HP38" s="4"/>
      <c r="HQ38" s="4"/>
      <c r="HR38" s="4"/>
      <c r="HS38" s="4"/>
      <c r="HT38" s="4"/>
      <c r="HU38" s="4"/>
      <c r="HV38" s="4"/>
      <c r="HW38" s="4"/>
      <c r="HX38" s="4"/>
      <c r="HY38" s="4"/>
      <c r="HZ38" s="4"/>
      <c r="IA38" s="4"/>
      <c r="IB38" s="4"/>
      <c r="IC38" s="4"/>
      <c r="ID38" s="4"/>
      <c r="IE38" s="4"/>
      <c r="IF38" s="4"/>
      <c r="IG38" s="4"/>
      <c r="IH38" s="4"/>
      <c r="II38" s="4"/>
      <c r="IJ38" s="4"/>
      <c r="IK38" s="4"/>
      <c r="IL38" s="4"/>
      <c r="IM38" s="4"/>
      <c r="IN38" s="4"/>
      <c r="IO38" s="4"/>
      <c r="IP38" s="4"/>
      <c r="IQ38" s="4"/>
      <c r="IR38" s="4"/>
      <c r="IS38" s="4"/>
      <c r="IT38" s="4"/>
      <c r="IU38" s="4"/>
      <c r="IV38" s="4"/>
      <c r="IW38" s="4"/>
      <c r="IX38" s="4"/>
      <c r="IY38" s="4"/>
      <c r="IZ38" s="4"/>
      <c r="JA38" s="4"/>
      <c r="JB38" s="4"/>
      <c r="JC38" s="4"/>
      <c r="JD38" s="4"/>
      <c r="JE38" s="4"/>
      <c r="JF38" s="4"/>
      <c r="JG38" s="4"/>
      <c r="JH38" s="4"/>
      <c r="JI38" s="4"/>
      <c r="JJ38" s="4"/>
      <c r="JK38" s="4"/>
      <c r="JL38" s="4"/>
      <c r="JM38" s="4"/>
      <c r="JN38" s="4"/>
      <c r="JO38" s="4"/>
      <c r="JP38" s="4"/>
      <c r="JQ38" s="4"/>
      <c r="JR38" s="4"/>
      <c r="JS38" s="4"/>
      <c r="JT38" s="4"/>
      <c r="JU38" s="4"/>
      <c r="JV38" s="4"/>
      <c r="JW38" s="4"/>
      <c r="JX38" s="4"/>
      <c r="JY38" s="4"/>
      <c r="JZ38" s="4"/>
      <c r="KA38" s="4"/>
      <c r="KB38" s="4"/>
      <c r="KC38" s="4"/>
      <c r="KD38" s="4"/>
      <c r="KE38" s="4"/>
      <c r="KF38" s="4"/>
      <c r="KG38" s="4"/>
      <c r="KH38" s="4"/>
      <c r="KI38" s="4"/>
      <c r="KJ38" s="4"/>
      <c r="KK38" s="4"/>
      <c r="KL38" s="4"/>
      <c r="KM38" s="4"/>
      <c r="KN38" s="4"/>
      <c r="KO38" s="4"/>
      <c r="KP38" s="4"/>
      <c r="KQ38" s="4"/>
      <c r="KR38" s="4"/>
      <c r="KS38" s="4"/>
      <c r="KT38" s="4"/>
      <c r="KU38" s="4"/>
      <c r="KV38" s="4"/>
      <c r="KW38" s="4"/>
      <c r="KX38" s="4"/>
      <c r="KY38" s="4"/>
      <c r="KZ38" s="4"/>
      <c r="LA38" s="4"/>
      <c r="LB38" s="4"/>
      <c r="LC38" s="4"/>
      <c r="LD38" s="4"/>
      <c r="LE38" s="4"/>
      <c r="LF38" s="4"/>
      <c r="LG38" s="4"/>
      <c r="LH38" s="4"/>
      <c r="LI38" s="4"/>
      <c r="LJ38" s="4"/>
      <c r="LK38" s="4"/>
      <c r="LL38" s="4"/>
      <c r="LM38" s="4"/>
      <c r="LN38" s="4"/>
      <c r="LO38" s="4"/>
      <c r="LP38" s="4"/>
      <c r="LQ38" s="4"/>
      <c r="LR38" s="4"/>
      <c r="LS38" s="4"/>
      <c r="LT38" s="4"/>
      <c r="LU38" s="4"/>
      <c r="LV38" s="4"/>
      <c r="LW38" s="4"/>
      <c r="LX38" s="4"/>
      <c r="LY38" s="4"/>
      <c r="LZ38" s="4"/>
      <c r="MA38" s="4"/>
      <c r="MB38" s="4"/>
      <c r="MC38" s="4"/>
      <c r="MD38" s="4"/>
      <c r="ME38" s="4"/>
      <c r="MF38" s="4"/>
      <c r="MG38" s="4"/>
      <c r="MH38" s="4"/>
      <c r="MI38" s="4"/>
      <c r="MJ38" s="4"/>
      <c r="MK38" s="4"/>
      <c r="ML38" s="4"/>
      <c r="MM38" s="4"/>
      <c r="MN38" s="4"/>
      <c r="MO38" s="4"/>
      <c r="MP38" s="4"/>
      <c r="MQ38" s="4"/>
      <c r="MR38" s="4"/>
      <c r="MS38" s="4"/>
      <c r="MT38" s="4"/>
      <c r="MU38" s="4"/>
      <c r="MV38" s="4"/>
      <c r="MW38" s="4"/>
      <c r="MX38" s="4"/>
      <c r="MY38" s="4"/>
      <c r="MZ38" s="4"/>
      <c r="NA38" s="4"/>
      <c r="NB38" s="4"/>
      <c r="NC38" s="4"/>
      <c r="ND38" s="4"/>
      <c r="NE38" s="4"/>
      <c r="NF38" s="4"/>
      <c r="NG38" s="4"/>
      <c r="NH38" s="4"/>
      <c r="NI38" s="4"/>
      <c r="NJ38" s="4"/>
      <c r="NK38" s="4"/>
      <c r="NL38" s="4"/>
      <c r="NM38" s="4"/>
      <c r="NN38" s="4"/>
      <c r="NO38" s="4"/>
      <c r="NP38" s="4"/>
      <c r="NQ38" s="4"/>
      <c r="NR38" s="4"/>
      <c r="NS38" s="4"/>
      <c r="NT38" s="4"/>
      <c r="NU38" s="4"/>
      <c r="NV38" s="4"/>
      <c r="NW38" s="4"/>
      <c r="NX38" s="4"/>
      <c r="NY38" s="4"/>
      <c r="NZ38" s="4"/>
      <c r="OA38" s="4"/>
      <c r="OB38" s="4"/>
      <c r="OC38" s="4"/>
      <c r="OD38" s="4"/>
      <c r="OE38" s="4"/>
      <c r="OF38" s="4"/>
      <c r="OG38" s="4"/>
      <c r="OH38" s="4"/>
      <c r="OI38" s="4"/>
    </row>
    <row r="39" spans="1:399" outlineLevel="1">
      <c r="A39" s="116"/>
      <c r="B39" s="116"/>
      <c r="C39" s="116">
        <v>0</v>
      </c>
      <c r="D39" s="3"/>
      <c r="E39" s="183"/>
      <c r="F39" s="183"/>
      <c r="G39" s="183"/>
      <c r="H39" s="183"/>
      <c r="I39" s="183"/>
      <c r="J39" s="183"/>
      <c r="K39" s="183"/>
      <c r="L39" s="183"/>
      <c r="M39" s="184"/>
      <c r="N39" s="184"/>
      <c r="O39" s="185"/>
      <c r="P39" s="186"/>
      <c r="Q39" s="186"/>
      <c r="R39" s="187">
        <v>0</v>
      </c>
      <c r="S39" s="187">
        <v>0</v>
      </c>
      <c r="T39" s="184"/>
      <c r="U39" s="184"/>
      <c r="V39" s="188"/>
      <c r="W39" s="189">
        <v>0</v>
      </c>
      <c r="X39" s="190"/>
      <c r="Y39" s="185"/>
      <c r="Z39" s="191"/>
      <c r="AA39" s="97"/>
      <c r="AB39" s="192"/>
      <c r="AC39" s="123"/>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c r="ER39" s="4"/>
      <c r="ES39" s="4"/>
      <c r="ET39" s="4"/>
      <c r="EU39" s="4"/>
      <c r="EV39" s="4"/>
      <c r="EW39" s="4"/>
      <c r="EX39" s="4"/>
      <c r="EY39" s="4"/>
      <c r="EZ39" s="4"/>
      <c r="FA39" s="4"/>
      <c r="FB39" s="4"/>
      <c r="FC39" s="4"/>
      <c r="FD39" s="4"/>
      <c r="FE39" s="4"/>
      <c r="FF39" s="4"/>
      <c r="FG39" s="4"/>
      <c r="FH39" s="4"/>
      <c r="FI39" s="4"/>
      <c r="FJ39" s="4"/>
      <c r="FK39" s="4"/>
      <c r="FL39" s="4"/>
      <c r="FM39" s="4"/>
      <c r="FN39" s="4"/>
      <c r="FO39" s="4"/>
      <c r="FP39" s="4"/>
      <c r="FQ39" s="4"/>
      <c r="FR39" s="4"/>
      <c r="FS39" s="4"/>
      <c r="FT39" s="4"/>
      <c r="FU39" s="4"/>
      <c r="FV39" s="4"/>
      <c r="FW39" s="4"/>
      <c r="FX39" s="4"/>
      <c r="FY39" s="4"/>
      <c r="FZ39" s="4"/>
      <c r="GA39" s="4"/>
      <c r="GB39" s="4"/>
      <c r="GC39" s="4"/>
      <c r="GD39" s="4"/>
      <c r="GE39" s="4"/>
      <c r="GF39" s="4"/>
      <c r="GG39" s="4"/>
      <c r="GH39" s="4"/>
      <c r="GI39" s="4"/>
      <c r="GJ39" s="4"/>
      <c r="GK39" s="4"/>
      <c r="GL39" s="4"/>
      <c r="GM39" s="4"/>
      <c r="GN39" s="4"/>
      <c r="GO39" s="4"/>
      <c r="GP39" s="4"/>
      <c r="GQ39" s="4"/>
      <c r="GR39" s="4"/>
      <c r="GS39" s="4"/>
      <c r="GT39" s="4"/>
      <c r="GU39" s="4"/>
      <c r="GV39" s="4"/>
      <c r="GW39" s="4"/>
      <c r="GX39" s="4"/>
      <c r="GY39" s="4"/>
      <c r="GZ39" s="4"/>
      <c r="HA39" s="4"/>
      <c r="HB39" s="4"/>
      <c r="HC39" s="4"/>
      <c r="HD39" s="4"/>
      <c r="HE39" s="4"/>
      <c r="HF39" s="4"/>
      <c r="HG39" s="4"/>
      <c r="HH39" s="4"/>
      <c r="HI39" s="4"/>
      <c r="HJ39" s="4"/>
      <c r="HK39" s="4"/>
      <c r="HL39" s="4"/>
      <c r="HM39" s="4"/>
      <c r="HN39" s="4"/>
      <c r="HO39" s="4"/>
      <c r="HP39" s="4"/>
      <c r="HQ39" s="4"/>
      <c r="HR39" s="4"/>
      <c r="HS39" s="4"/>
      <c r="HT39" s="4"/>
      <c r="HU39" s="4"/>
      <c r="HV39" s="4"/>
      <c r="HW39" s="4"/>
      <c r="HX39" s="4"/>
      <c r="HY39" s="4"/>
      <c r="HZ39" s="4"/>
      <c r="IA39" s="4"/>
      <c r="IB39" s="4"/>
      <c r="IC39" s="4"/>
      <c r="ID39" s="4"/>
      <c r="IE39" s="4"/>
      <c r="IF39" s="4"/>
      <c r="IG39" s="4"/>
      <c r="IH39" s="4"/>
      <c r="II39" s="4"/>
      <c r="IJ39" s="4"/>
      <c r="IK39" s="4"/>
      <c r="IL39" s="4"/>
      <c r="IM39" s="4"/>
      <c r="IN39" s="4"/>
      <c r="IO39" s="4"/>
      <c r="IP39" s="4"/>
      <c r="IQ39" s="4"/>
      <c r="IR39" s="4"/>
      <c r="IS39" s="4"/>
      <c r="IT39" s="4"/>
      <c r="IU39" s="4"/>
      <c r="IV39" s="4"/>
      <c r="IW39" s="4"/>
      <c r="IX39" s="4"/>
      <c r="IY39" s="4"/>
      <c r="IZ39" s="4"/>
      <c r="JA39" s="4"/>
      <c r="JB39" s="4"/>
      <c r="JC39" s="4"/>
      <c r="JD39" s="4"/>
      <c r="JE39" s="4"/>
      <c r="JF39" s="4"/>
      <c r="JG39" s="4"/>
      <c r="JH39" s="4"/>
      <c r="JI39" s="4"/>
      <c r="JJ39" s="4"/>
      <c r="JK39" s="4"/>
      <c r="JL39" s="4"/>
      <c r="JM39" s="4"/>
      <c r="JN39" s="4"/>
      <c r="JO39" s="4"/>
      <c r="JP39" s="4"/>
      <c r="JQ39" s="4"/>
      <c r="JR39" s="4"/>
      <c r="JS39" s="4"/>
      <c r="JT39" s="4"/>
      <c r="JU39" s="4"/>
      <c r="JV39" s="4"/>
      <c r="JW39" s="4"/>
      <c r="JX39" s="4"/>
      <c r="JY39" s="4"/>
      <c r="JZ39" s="4"/>
      <c r="KA39" s="4"/>
      <c r="KB39" s="4"/>
      <c r="KC39" s="4"/>
      <c r="KD39" s="4"/>
      <c r="KE39" s="4"/>
      <c r="KF39" s="4"/>
      <c r="KG39" s="4"/>
      <c r="KH39" s="4"/>
      <c r="KI39" s="4"/>
      <c r="KJ39" s="4"/>
      <c r="KK39" s="4"/>
      <c r="KL39" s="4"/>
      <c r="KM39" s="4"/>
      <c r="KN39" s="4"/>
      <c r="KO39" s="4"/>
      <c r="KP39" s="4"/>
      <c r="KQ39" s="4"/>
      <c r="KR39" s="4"/>
      <c r="KS39" s="4"/>
      <c r="KT39" s="4"/>
      <c r="KU39" s="4"/>
      <c r="KV39" s="4"/>
      <c r="KW39" s="4"/>
      <c r="KX39" s="4"/>
      <c r="KY39" s="4"/>
      <c r="KZ39" s="4"/>
      <c r="LA39" s="4"/>
      <c r="LB39" s="4"/>
      <c r="LC39" s="4"/>
      <c r="LD39" s="4"/>
      <c r="LE39" s="4"/>
      <c r="LF39" s="4"/>
      <c r="LG39" s="4"/>
      <c r="LH39" s="4"/>
      <c r="LI39" s="4"/>
      <c r="LJ39" s="4"/>
      <c r="LK39" s="4"/>
      <c r="LL39" s="4"/>
      <c r="LM39" s="4"/>
      <c r="LN39" s="4"/>
      <c r="LO39" s="4"/>
      <c r="LP39" s="4"/>
      <c r="LQ39" s="4"/>
      <c r="LR39" s="4"/>
      <c r="LS39" s="4"/>
      <c r="LT39" s="4"/>
      <c r="LU39" s="4"/>
      <c r="LV39" s="4"/>
      <c r="LW39" s="4"/>
      <c r="LX39" s="4"/>
      <c r="LY39" s="4"/>
      <c r="LZ39" s="4"/>
      <c r="MA39" s="4"/>
      <c r="MB39" s="4"/>
      <c r="MC39" s="4"/>
      <c r="MD39" s="4"/>
      <c r="ME39" s="4"/>
      <c r="MF39" s="4"/>
      <c r="MG39" s="4"/>
      <c r="MH39" s="4"/>
      <c r="MI39" s="4"/>
      <c r="MJ39" s="4"/>
      <c r="MK39" s="4"/>
      <c r="ML39" s="4"/>
      <c r="MM39" s="4"/>
      <c r="MN39" s="4"/>
      <c r="MO39" s="4"/>
      <c r="MP39" s="4"/>
      <c r="MQ39" s="4"/>
      <c r="MR39" s="4"/>
      <c r="MS39" s="4"/>
      <c r="MT39" s="4"/>
      <c r="MU39" s="4"/>
      <c r="MV39" s="4"/>
      <c r="MW39" s="4"/>
      <c r="MX39" s="4"/>
      <c r="MY39" s="4"/>
      <c r="MZ39" s="4"/>
      <c r="NA39" s="4"/>
      <c r="NB39" s="4"/>
      <c r="NC39" s="4"/>
      <c r="ND39" s="4"/>
      <c r="NE39" s="4"/>
      <c r="NF39" s="4"/>
      <c r="NG39" s="4"/>
      <c r="NH39" s="4"/>
      <c r="NI39" s="4"/>
      <c r="NJ39" s="4"/>
      <c r="NK39" s="4"/>
      <c r="NL39" s="4"/>
      <c r="NM39" s="4"/>
      <c r="NN39" s="4"/>
      <c r="NO39" s="4"/>
      <c r="NP39" s="4"/>
      <c r="NQ39" s="4"/>
      <c r="NR39" s="4"/>
      <c r="NS39" s="4"/>
      <c r="NT39" s="4"/>
      <c r="NU39" s="4"/>
      <c r="NV39" s="4"/>
      <c r="NW39" s="4"/>
      <c r="NX39" s="4"/>
      <c r="NY39" s="4"/>
      <c r="NZ39" s="4"/>
      <c r="OA39" s="4"/>
      <c r="OB39" s="4"/>
      <c r="OC39" s="4"/>
      <c r="OD39" s="4"/>
      <c r="OE39" s="4"/>
      <c r="OF39" s="4"/>
      <c r="OG39" s="4"/>
      <c r="OH39" s="4"/>
      <c r="OI39" s="4"/>
    </row>
    <row r="40" spans="1:399">
      <c r="A40" s="116"/>
      <c r="B40" s="116" t="s">
        <v>1061</v>
      </c>
      <c r="C40" s="116">
        <v>1</v>
      </c>
      <c r="D40" s="3" t="s">
        <v>1142</v>
      </c>
      <c r="E40" s="183" t="s">
        <v>1252</v>
      </c>
      <c r="F40" s="183"/>
      <c r="G40" s="183"/>
      <c r="H40" s="183"/>
      <c r="I40" s="183"/>
      <c r="J40" s="183"/>
      <c r="K40" s="183"/>
      <c r="L40" s="183"/>
      <c r="M40" s="184"/>
      <c r="N40" s="184"/>
      <c r="O40" s="185"/>
      <c r="P40" s="186">
        <v>0</v>
      </c>
      <c r="Q40" s="186">
        <v>0</v>
      </c>
      <c r="R40" s="187">
        <v>0</v>
      </c>
      <c r="S40" s="187">
        <v>0</v>
      </c>
      <c r="T40" s="184"/>
      <c r="U40" s="184"/>
      <c r="V40" s="188">
        <v>0</v>
      </c>
      <c r="W40" s="189">
        <v>0</v>
      </c>
      <c r="X40" s="190"/>
      <c r="Y40" s="185"/>
      <c r="Z40" s="191"/>
      <c r="AA40" s="97">
        <v>0</v>
      </c>
      <c r="AB40" s="192">
        <v>0</v>
      </c>
      <c r="AC40" s="123"/>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4"/>
      <c r="FB40" s="4"/>
      <c r="FC40" s="4"/>
      <c r="FD40" s="4"/>
      <c r="FE40" s="4"/>
      <c r="FF40" s="4"/>
      <c r="FG40" s="4"/>
      <c r="FH40" s="4"/>
      <c r="FI40" s="4"/>
      <c r="FJ40" s="4"/>
      <c r="FK40" s="4"/>
      <c r="FL40" s="4"/>
      <c r="FM40" s="4"/>
      <c r="FN40" s="4"/>
      <c r="FO40" s="4"/>
      <c r="FP40" s="4"/>
      <c r="FQ40" s="4"/>
      <c r="FR40" s="4"/>
      <c r="FS40" s="4"/>
      <c r="FT40" s="4"/>
      <c r="FU40" s="4"/>
      <c r="FV40" s="4"/>
      <c r="FW40" s="4"/>
      <c r="FX40" s="4"/>
      <c r="FY40" s="4"/>
      <c r="FZ40" s="4"/>
      <c r="GA40" s="4"/>
      <c r="GB40" s="4"/>
      <c r="GC40" s="4"/>
      <c r="GD40" s="4"/>
      <c r="GE40" s="4"/>
      <c r="GF40" s="4"/>
      <c r="GG40" s="4"/>
      <c r="GH40" s="4"/>
      <c r="GI40" s="4"/>
      <c r="GJ40" s="4"/>
      <c r="GK40" s="4"/>
      <c r="GL40" s="4"/>
      <c r="GM40" s="4"/>
      <c r="GN40" s="4"/>
      <c r="GO40" s="4"/>
      <c r="GP40" s="4"/>
      <c r="GQ40" s="4"/>
      <c r="GR40" s="4"/>
      <c r="GS40" s="4"/>
      <c r="GT40" s="4"/>
      <c r="GU40" s="4"/>
      <c r="GV40" s="4"/>
      <c r="GW40" s="4"/>
      <c r="GX40" s="4"/>
      <c r="GY40" s="4"/>
      <c r="GZ40" s="4"/>
      <c r="HA40" s="4"/>
      <c r="HB40" s="4"/>
      <c r="HC40" s="4"/>
      <c r="HD40" s="4"/>
      <c r="HE40" s="4"/>
      <c r="HF40" s="4"/>
      <c r="HG40" s="4"/>
      <c r="HH40" s="4"/>
      <c r="HI40" s="4"/>
      <c r="HJ40" s="4"/>
      <c r="HK40" s="4"/>
      <c r="HL40" s="4"/>
      <c r="HM40" s="4"/>
      <c r="HN40" s="4"/>
      <c r="HO40" s="4"/>
      <c r="HP40" s="4"/>
      <c r="HQ40" s="4"/>
      <c r="HR40" s="4"/>
      <c r="HS40" s="4"/>
      <c r="HT40" s="4"/>
      <c r="HU40" s="4"/>
      <c r="HV40" s="4"/>
      <c r="HW40" s="4"/>
      <c r="HX40" s="4"/>
      <c r="HY40" s="4"/>
      <c r="HZ40" s="4"/>
      <c r="IA40" s="4"/>
      <c r="IB40" s="4"/>
      <c r="IC40" s="4"/>
      <c r="ID40" s="4"/>
      <c r="IE40" s="4"/>
      <c r="IF40" s="4"/>
      <c r="IG40" s="4"/>
      <c r="IH40" s="4"/>
      <c r="II40" s="4"/>
      <c r="IJ40" s="4"/>
      <c r="IK40" s="4"/>
      <c r="IL40" s="4"/>
      <c r="IM40" s="4"/>
      <c r="IN40" s="4"/>
      <c r="IO40" s="4"/>
      <c r="IP40" s="4"/>
      <c r="IQ40" s="4"/>
      <c r="IR40" s="4"/>
      <c r="IS40" s="4"/>
      <c r="IT40" s="4"/>
      <c r="IU40" s="4"/>
      <c r="IV40" s="4"/>
      <c r="IW40" s="4"/>
      <c r="IX40" s="4"/>
      <c r="IY40" s="4"/>
      <c r="IZ40" s="4"/>
      <c r="JA40" s="4"/>
      <c r="JB40" s="4"/>
      <c r="JC40" s="4"/>
      <c r="JD40" s="4"/>
      <c r="JE40" s="4"/>
      <c r="JF40" s="4"/>
      <c r="JG40" s="4"/>
      <c r="JH40" s="4"/>
      <c r="JI40" s="4"/>
      <c r="JJ40" s="4"/>
      <c r="JK40" s="4"/>
      <c r="JL40" s="4"/>
      <c r="JM40" s="4"/>
      <c r="JN40" s="4"/>
      <c r="JO40" s="4"/>
      <c r="JP40" s="4"/>
      <c r="JQ40" s="4"/>
      <c r="JR40" s="4"/>
      <c r="JS40" s="4"/>
      <c r="JT40" s="4"/>
      <c r="JU40" s="4"/>
      <c r="JV40" s="4"/>
      <c r="JW40" s="4"/>
      <c r="JX40" s="4"/>
      <c r="JY40" s="4"/>
      <c r="JZ40" s="4"/>
      <c r="KA40" s="4"/>
      <c r="KB40" s="4"/>
      <c r="KC40" s="4"/>
      <c r="KD40" s="4"/>
      <c r="KE40" s="4"/>
      <c r="KF40" s="4"/>
      <c r="KG40" s="4"/>
      <c r="KH40" s="4"/>
      <c r="KI40" s="4"/>
      <c r="KJ40" s="4"/>
      <c r="KK40" s="4"/>
      <c r="KL40" s="4"/>
      <c r="KM40" s="4"/>
      <c r="KN40" s="4"/>
      <c r="KO40" s="4"/>
      <c r="KP40" s="4"/>
      <c r="KQ40" s="4"/>
      <c r="KR40" s="4"/>
      <c r="KS40" s="4"/>
      <c r="KT40" s="4"/>
      <c r="KU40" s="4"/>
      <c r="KV40" s="4"/>
      <c r="KW40" s="4"/>
      <c r="KX40" s="4"/>
      <c r="KY40" s="4"/>
      <c r="KZ40" s="4"/>
      <c r="LA40" s="4"/>
      <c r="LB40" s="4"/>
      <c r="LC40" s="4"/>
      <c r="LD40" s="4"/>
      <c r="LE40" s="4"/>
      <c r="LF40" s="4"/>
      <c r="LG40" s="4"/>
      <c r="LH40" s="4"/>
      <c r="LI40" s="4"/>
      <c r="LJ40" s="4"/>
      <c r="LK40" s="4"/>
      <c r="LL40" s="4"/>
      <c r="LM40" s="4"/>
      <c r="LN40" s="4"/>
      <c r="LO40" s="4"/>
      <c r="LP40" s="4"/>
      <c r="LQ40" s="4"/>
      <c r="LR40" s="4"/>
      <c r="LS40" s="4"/>
      <c r="LT40" s="4"/>
      <c r="LU40" s="4"/>
      <c r="LV40" s="4"/>
      <c r="LW40" s="4"/>
      <c r="LX40" s="4"/>
      <c r="LY40" s="4"/>
      <c r="LZ40" s="4"/>
      <c r="MA40" s="4"/>
      <c r="MB40" s="4"/>
      <c r="MC40" s="4"/>
      <c r="MD40" s="4"/>
      <c r="ME40" s="4"/>
      <c r="MF40" s="4"/>
      <c r="MG40" s="4"/>
      <c r="MH40" s="4"/>
      <c r="MI40" s="4"/>
      <c r="MJ40" s="4"/>
      <c r="MK40" s="4"/>
      <c r="ML40" s="4"/>
      <c r="MM40" s="4"/>
      <c r="MN40" s="4"/>
      <c r="MO40" s="4"/>
      <c r="MP40" s="4"/>
      <c r="MQ40" s="4"/>
      <c r="MR40" s="4"/>
      <c r="MS40" s="4"/>
      <c r="MT40" s="4"/>
      <c r="MU40" s="4"/>
      <c r="MV40" s="4"/>
      <c r="MW40" s="4"/>
      <c r="MX40" s="4"/>
      <c r="MY40" s="4"/>
      <c r="MZ40" s="4"/>
      <c r="NA40" s="4"/>
      <c r="NB40" s="4"/>
      <c r="NC40" s="4"/>
      <c r="ND40" s="4"/>
      <c r="NE40" s="4"/>
      <c r="NF40" s="4"/>
      <c r="NG40" s="4"/>
      <c r="NH40" s="4"/>
      <c r="NI40" s="4"/>
      <c r="NJ40" s="4"/>
      <c r="NK40" s="4"/>
      <c r="NL40" s="4"/>
      <c r="NM40" s="4"/>
      <c r="NN40" s="4"/>
      <c r="NO40" s="4"/>
      <c r="NP40" s="4"/>
      <c r="NQ40" s="4"/>
      <c r="NR40" s="4"/>
      <c r="NS40" s="4"/>
      <c r="NT40" s="4"/>
      <c r="NU40" s="4"/>
      <c r="NV40" s="4"/>
      <c r="NW40" s="4"/>
      <c r="NX40" s="4"/>
      <c r="NY40" s="4"/>
      <c r="NZ40" s="4"/>
      <c r="OA40" s="4"/>
      <c r="OB40" s="4"/>
      <c r="OC40" s="4"/>
      <c r="OD40" s="4"/>
      <c r="OE40" s="4"/>
      <c r="OF40" s="4"/>
      <c r="OG40" s="4"/>
      <c r="OH40" s="4"/>
      <c r="OI40" s="4"/>
    </row>
    <row r="41" spans="1:399" outlineLevel="1">
      <c r="A41" s="116"/>
      <c r="B41" s="116"/>
      <c r="C41" s="116">
        <v>2</v>
      </c>
      <c r="D41" s="3" t="s">
        <v>1143</v>
      </c>
      <c r="E41" s="183"/>
      <c r="F41" s="183" t="s">
        <v>1198</v>
      </c>
      <c r="G41" s="183"/>
      <c r="H41" s="183"/>
      <c r="I41" s="183"/>
      <c r="J41" s="183"/>
      <c r="K41" s="183"/>
      <c r="L41" s="183"/>
      <c r="M41" s="184"/>
      <c r="N41" s="184"/>
      <c r="O41" s="185"/>
      <c r="P41" s="186">
        <v>0</v>
      </c>
      <c r="Q41" s="186">
        <v>0</v>
      </c>
      <c r="R41" s="187">
        <v>0</v>
      </c>
      <c r="S41" s="187">
        <v>0</v>
      </c>
      <c r="T41" s="184"/>
      <c r="U41" s="184"/>
      <c r="V41" s="188">
        <v>0</v>
      </c>
      <c r="W41" s="189">
        <v>0</v>
      </c>
      <c r="X41" s="190">
        <v>1</v>
      </c>
      <c r="Y41" s="185"/>
      <c r="Z41" s="191"/>
      <c r="AA41" s="97">
        <v>0</v>
      </c>
      <c r="AB41" s="192">
        <v>0</v>
      </c>
      <c r="AC41" s="123"/>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c r="EY41" s="4"/>
      <c r="EZ41" s="4"/>
      <c r="FA41" s="4"/>
      <c r="FB41" s="4"/>
      <c r="FC41" s="4"/>
      <c r="FD41" s="4"/>
      <c r="FE41" s="4"/>
      <c r="FF41" s="4"/>
      <c r="FG41" s="4"/>
      <c r="FH41" s="4"/>
      <c r="FI41" s="4"/>
      <c r="FJ41" s="4"/>
      <c r="FK41" s="4"/>
      <c r="FL41" s="4"/>
      <c r="FM41" s="4"/>
      <c r="FN41" s="4"/>
      <c r="FO41" s="4"/>
      <c r="FP41" s="4"/>
      <c r="FQ41" s="4"/>
      <c r="FR41" s="4"/>
      <c r="FS41" s="4"/>
      <c r="FT41" s="4"/>
      <c r="FU41" s="4"/>
      <c r="FV41" s="4"/>
      <c r="FW41" s="4"/>
      <c r="FX41" s="4"/>
      <c r="FY41" s="4"/>
      <c r="FZ41" s="4"/>
      <c r="GA41" s="4"/>
      <c r="GB41" s="4"/>
      <c r="GC41" s="4"/>
      <c r="GD41" s="4"/>
      <c r="GE41" s="4"/>
      <c r="GF41" s="4"/>
      <c r="GG41" s="4"/>
      <c r="GH41" s="4"/>
      <c r="GI41" s="4"/>
      <c r="GJ41" s="4"/>
      <c r="GK41" s="4"/>
      <c r="GL41" s="4"/>
      <c r="GM41" s="4"/>
      <c r="GN41" s="4"/>
      <c r="GO41" s="4"/>
      <c r="GP41" s="4"/>
      <c r="GQ41" s="4"/>
      <c r="GR41" s="4"/>
      <c r="GS41" s="4"/>
      <c r="GT41" s="4"/>
      <c r="GU41" s="4"/>
      <c r="GV41" s="4"/>
      <c r="GW41" s="4"/>
      <c r="GX41" s="4"/>
      <c r="GY41" s="4"/>
      <c r="GZ41" s="4"/>
      <c r="HA41" s="4"/>
      <c r="HB41" s="4"/>
      <c r="HC41" s="4"/>
      <c r="HD41" s="4"/>
      <c r="HE41" s="4"/>
      <c r="HF41" s="4"/>
      <c r="HG41" s="4"/>
      <c r="HH41" s="4"/>
      <c r="HI41" s="4"/>
      <c r="HJ41" s="4"/>
      <c r="HK41" s="4"/>
      <c r="HL41" s="4"/>
      <c r="HM41" s="4"/>
      <c r="HN41" s="4"/>
      <c r="HO41" s="4"/>
      <c r="HP41" s="4"/>
      <c r="HQ41" s="4"/>
      <c r="HR41" s="4"/>
      <c r="HS41" s="4"/>
      <c r="HT41" s="4"/>
      <c r="HU41" s="4"/>
      <c r="HV41" s="4"/>
      <c r="HW41" s="4"/>
      <c r="HX41" s="4"/>
      <c r="HY41" s="4"/>
      <c r="HZ41" s="4"/>
      <c r="IA41" s="4"/>
      <c r="IB41" s="4"/>
      <c r="IC41" s="4"/>
      <c r="ID41" s="4"/>
      <c r="IE41" s="4"/>
      <c r="IF41" s="4"/>
      <c r="IG41" s="4"/>
      <c r="IH41" s="4"/>
      <c r="II41" s="4"/>
      <c r="IJ41" s="4"/>
      <c r="IK41" s="4"/>
      <c r="IL41" s="4"/>
      <c r="IM41" s="4"/>
      <c r="IN41" s="4"/>
      <c r="IO41" s="4"/>
      <c r="IP41" s="4"/>
      <c r="IQ41" s="4"/>
      <c r="IR41" s="4"/>
      <c r="IS41" s="4"/>
      <c r="IT41" s="4"/>
      <c r="IU41" s="4"/>
      <c r="IV41" s="4"/>
      <c r="IW41" s="4"/>
      <c r="IX41" s="4"/>
      <c r="IY41" s="4"/>
      <c r="IZ41" s="4"/>
      <c r="JA41" s="4"/>
      <c r="JB41" s="4"/>
      <c r="JC41" s="4"/>
      <c r="JD41" s="4"/>
      <c r="JE41" s="4"/>
      <c r="JF41" s="4"/>
      <c r="JG41" s="4"/>
      <c r="JH41" s="4"/>
      <c r="JI41" s="4"/>
      <c r="JJ41" s="4"/>
      <c r="JK41" s="4"/>
      <c r="JL41" s="4"/>
      <c r="JM41" s="4"/>
      <c r="JN41" s="4"/>
      <c r="JO41" s="4"/>
      <c r="JP41" s="4"/>
      <c r="JQ41" s="4"/>
      <c r="JR41" s="4"/>
      <c r="JS41" s="4"/>
      <c r="JT41" s="4"/>
      <c r="JU41" s="4"/>
      <c r="JV41" s="4"/>
      <c r="JW41" s="4"/>
      <c r="JX41" s="4"/>
      <c r="JY41" s="4"/>
      <c r="JZ41" s="4"/>
      <c r="KA41" s="4"/>
      <c r="KB41" s="4"/>
      <c r="KC41" s="4"/>
      <c r="KD41" s="4"/>
      <c r="KE41" s="4"/>
      <c r="KF41" s="4"/>
      <c r="KG41" s="4"/>
      <c r="KH41" s="4"/>
      <c r="KI41" s="4"/>
      <c r="KJ41" s="4"/>
      <c r="KK41" s="4"/>
      <c r="KL41" s="4"/>
      <c r="KM41" s="4"/>
      <c r="KN41" s="4"/>
      <c r="KO41" s="4"/>
      <c r="KP41" s="4"/>
      <c r="KQ41" s="4"/>
      <c r="KR41" s="4"/>
      <c r="KS41" s="4"/>
      <c r="KT41" s="4"/>
      <c r="KU41" s="4"/>
      <c r="KV41" s="4"/>
      <c r="KW41" s="4"/>
      <c r="KX41" s="4"/>
      <c r="KY41" s="4"/>
      <c r="KZ41" s="4"/>
      <c r="LA41" s="4"/>
      <c r="LB41" s="4"/>
      <c r="LC41" s="4"/>
      <c r="LD41" s="4"/>
      <c r="LE41" s="4"/>
      <c r="LF41" s="4"/>
      <c r="LG41" s="4"/>
      <c r="LH41" s="4"/>
      <c r="LI41" s="4"/>
      <c r="LJ41" s="4"/>
      <c r="LK41" s="4"/>
      <c r="LL41" s="4"/>
      <c r="LM41" s="4"/>
      <c r="LN41" s="4"/>
      <c r="LO41" s="4"/>
      <c r="LP41" s="4"/>
      <c r="LQ41" s="4"/>
      <c r="LR41" s="4"/>
      <c r="LS41" s="4"/>
      <c r="LT41" s="4"/>
      <c r="LU41" s="4"/>
      <c r="LV41" s="4"/>
      <c r="LW41" s="4"/>
      <c r="LX41" s="4"/>
      <c r="LY41" s="4"/>
      <c r="LZ41" s="4"/>
      <c r="MA41" s="4"/>
      <c r="MB41" s="4"/>
      <c r="MC41" s="4"/>
      <c r="MD41" s="4"/>
      <c r="ME41" s="4"/>
      <c r="MF41" s="4"/>
      <c r="MG41" s="4"/>
      <c r="MH41" s="4"/>
      <c r="MI41" s="4"/>
      <c r="MJ41" s="4"/>
      <c r="MK41" s="4"/>
      <c r="ML41" s="4"/>
      <c r="MM41" s="4"/>
      <c r="MN41" s="4"/>
      <c r="MO41" s="4"/>
      <c r="MP41" s="4"/>
      <c r="MQ41" s="4"/>
      <c r="MR41" s="4"/>
      <c r="MS41" s="4"/>
      <c r="MT41" s="4"/>
      <c r="MU41" s="4"/>
      <c r="MV41" s="4"/>
      <c r="MW41" s="4"/>
      <c r="MX41" s="4"/>
      <c r="MY41" s="4"/>
      <c r="MZ41" s="4"/>
      <c r="NA41" s="4"/>
      <c r="NB41" s="4"/>
      <c r="NC41" s="4"/>
      <c r="ND41" s="4"/>
      <c r="NE41" s="4"/>
      <c r="NF41" s="4"/>
      <c r="NG41" s="4"/>
      <c r="NH41" s="4"/>
      <c r="NI41" s="4"/>
      <c r="NJ41" s="4"/>
      <c r="NK41" s="4"/>
      <c r="NL41" s="4"/>
      <c r="NM41" s="4"/>
      <c r="NN41" s="4"/>
      <c r="NO41" s="4"/>
      <c r="NP41" s="4"/>
      <c r="NQ41" s="4"/>
      <c r="NR41" s="4"/>
      <c r="NS41" s="4"/>
      <c r="NT41" s="4"/>
      <c r="NU41" s="4"/>
      <c r="NV41" s="4"/>
      <c r="NW41" s="4"/>
      <c r="NX41" s="4"/>
      <c r="NY41" s="4"/>
      <c r="NZ41" s="4"/>
      <c r="OA41" s="4"/>
      <c r="OB41" s="4"/>
      <c r="OC41" s="4"/>
      <c r="OD41" s="4"/>
      <c r="OE41" s="4"/>
      <c r="OF41" s="4"/>
      <c r="OG41" s="4"/>
      <c r="OH41" s="4"/>
      <c r="OI41" s="4"/>
    </row>
    <row r="42" spans="1:399" outlineLevel="1">
      <c r="A42" s="116"/>
      <c r="B42" s="116"/>
      <c r="C42" s="116">
        <v>2</v>
      </c>
      <c r="D42" s="3" t="s">
        <v>1144</v>
      </c>
      <c r="E42" s="183"/>
      <c r="F42" s="183" t="s">
        <v>1178</v>
      </c>
      <c r="G42" s="183"/>
      <c r="H42" s="183"/>
      <c r="I42" s="183"/>
      <c r="J42" s="183"/>
      <c r="K42" s="183"/>
      <c r="L42" s="183"/>
      <c r="M42" s="184"/>
      <c r="N42" s="184"/>
      <c r="O42" s="185"/>
      <c r="P42" s="186">
        <v>0</v>
      </c>
      <c r="Q42" s="186">
        <v>0</v>
      </c>
      <c r="R42" s="187">
        <v>0</v>
      </c>
      <c r="S42" s="187">
        <v>0</v>
      </c>
      <c r="T42" s="184"/>
      <c r="U42" s="184"/>
      <c r="V42" s="188">
        <v>0</v>
      </c>
      <c r="W42" s="189">
        <v>0</v>
      </c>
      <c r="X42" s="190"/>
      <c r="Y42" s="185"/>
      <c r="Z42" s="191"/>
      <c r="AA42" s="97">
        <v>0</v>
      </c>
      <c r="AB42" s="192">
        <v>0</v>
      </c>
      <c r="AC42" s="123"/>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c r="FF42" s="4"/>
      <c r="FG42" s="4"/>
      <c r="FH42" s="4"/>
      <c r="FI42" s="4"/>
      <c r="FJ42" s="4"/>
      <c r="FK42" s="4"/>
      <c r="FL42" s="4"/>
      <c r="FM42" s="4"/>
      <c r="FN42" s="4"/>
      <c r="FO42" s="4"/>
      <c r="FP42" s="4"/>
      <c r="FQ42" s="4"/>
      <c r="FR42" s="4"/>
      <c r="FS42" s="4"/>
      <c r="FT42" s="4"/>
      <c r="FU42" s="4"/>
      <c r="FV42" s="4"/>
      <c r="FW42" s="4"/>
      <c r="FX42" s="4"/>
      <c r="FY42" s="4"/>
      <c r="FZ42" s="4"/>
      <c r="GA42" s="4"/>
      <c r="GB42" s="4"/>
      <c r="GC42" s="4"/>
      <c r="GD42" s="4"/>
      <c r="GE42" s="4"/>
      <c r="GF42" s="4"/>
      <c r="GG42" s="4"/>
      <c r="GH42" s="4"/>
      <c r="GI42" s="4"/>
      <c r="GJ42" s="4"/>
      <c r="GK42" s="4"/>
      <c r="GL42" s="4"/>
      <c r="GM42" s="4"/>
      <c r="GN42" s="4"/>
      <c r="GO42" s="4"/>
      <c r="GP42" s="4"/>
      <c r="GQ42" s="4"/>
      <c r="GR42" s="4"/>
      <c r="GS42" s="4"/>
      <c r="GT42" s="4"/>
      <c r="GU42" s="4"/>
      <c r="GV42" s="4"/>
      <c r="GW42" s="4"/>
      <c r="GX42" s="4"/>
      <c r="GY42" s="4"/>
      <c r="GZ42" s="4"/>
      <c r="HA42" s="4"/>
      <c r="HB42" s="4"/>
      <c r="HC42" s="4"/>
      <c r="HD42" s="4"/>
      <c r="HE42" s="4"/>
      <c r="HF42" s="4"/>
      <c r="HG42" s="4"/>
      <c r="HH42" s="4"/>
      <c r="HI42" s="4"/>
      <c r="HJ42" s="4"/>
      <c r="HK42" s="4"/>
      <c r="HL42" s="4"/>
      <c r="HM42" s="4"/>
      <c r="HN42" s="4"/>
      <c r="HO42" s="4"/>
      <c r="HP42" s="4"/>
      <c r="HQ42" s="4"/>
      <c r="HR42" s="4"/>
      <c r="HS42" s="4"/>
      <c r="HT42" s="4"/>
      <c r="HU42" s="4"/>
      <c r="HV42" s="4"/>
      <c r="HW42" s="4"/>
      <c r="HX42" s="4"/>
      <c r="HY42" s="4"/>
      <c r="HZ42" s="4"/>
      <c r="IA42" s="4"/>
      <c r="IB42" s="4"/>
      <c r="IC42" s="4"/>
      <c r="ID42" s="4"/>
      <c r="IE42" s="4"/>
      <c r="IF42" s="4"/>
      <c r="IG42" s="4"/>
      <c r="IH42" s="4"/>
      <c r="II42" s="4"/>
      <c r="IJ42" s="4"/>
      <c r="IK42" s="4"/>
      <c r="IL42" s="4"/>
      <c r="IM42" s="4"/>
      <c r="IN42" s="4"/>
      <c r="IO42" s="4"/>
      <c r="IP42" s="4"/>
      <c r="IQ42" s="4"/>
      <c r="IR42" s="4"/>
      <c r="IS42" s="4"/>
      <c r="IT42" s="4"/>
      <c r="IU42" s="4"/>
      <c r="IV42" s="4"/>
      <c r="IW42" s="4"/>
      <c r="IX42" s="4"/>
      <c r="IY42" s="4"/>
      <c r="IZ42" s="4"/>
      <c r="JA42" s="4"/>
      <c r="JB42" s="4"/>
      <c r="JC42" s="4"/>
      <c r="JD42" s="4"/>
      <c r="JE42" s="4"/>
      <c r="JF42" s="4"/>
      <c r="JG42" s="4"/>
      <c r="JH42" s="4"/>
      <c r="JI42" s="4"/>
      <c r="JJ42" s="4"/>
      <c r="JK42" s="4"/>
      <c r="JL42" s="4"/>
      <c r="JM42" s="4"/>
      <c r="JN42" s="4"/>
      <c r="JO42" s="4"/>
      <c r="JP42" s="4"/>
      <c r="JQ42" s="4"/>
      <c r="JR42" s="4"/>
      <c r="JS42" s="4"/>
      <c r="JT42" s="4"/>
      <c r="JU42" s="4"/>
      <c r="JV42" s="4"/>
      <c r="JW42" s="4"/>
      <c r="JX42" s="4"/>
      <c r="JY42" s="4"/>
      <c r="JZ42" s="4"/>
      <c r="KA42" s="4"/>
      <c r="KB42" s="4"/>
      <c r="KC42" s="4"/>
      <c r="KD42" s="4"/>
      <c r="KE42" s="4"/>
      <c r="KF42" s="4"/>
      <c r="KG42" s="4"/>
      <c r="KH42" s="4"/>
      <c r="KI42" s="4"/>
      <c r="KJ42" s="4"/>
      <c r="KK42" s="4"/>
      <c r="KL42" s="4"/>
      <c r="KM42" s="4"/>
      <c r="KN42" s="4"/>
      <c r="KO42" s="4"/>
      <c r="KP42" s="4"/>
      <c r="KQ42" s="4"/>
      <c r="KR42" s="4"/>
      <c r="KS42" s="4"/>
      <c r="KT42" s="4"/>
      <c r="KU42" s="4"/>
      <c r="KV42" s="4"/>
      <c r="KW42" s="4"/>
      <c r="KX42" s="4"/>
      <c r="KY42" s="4"/>
      <c r="KZ42" s="4"/>
      <c r="LA42" s="4"/>
      <c r="LB42" s="4"/>
      <c r="LC42" s="4"/>
      <c r="LD42" s="4"/>
      <c r="LE42" s="4"/>
      <c r="LF42" s="4"/>
      <c r="LG42" s="4"/>
      <c r="LH42" s="4"/>
      <c r="LI42" s="4"/>
      <c r="LJ42" s="4"/>
      <c r="LK42" s="4"/>
      <c r="LL42" s="4"/>
      <c r="LM42" s="4"/>
      <c r="LN42" s="4"/>
      <c r="LO42" s="4"/>
      <c r="LP42" s="4"/>
      <c r="LQ42" s="4"/>
      <c r="LR42" s="4"/>
      <c r="LS42" s="4"/>
      <c r="LT42" s="4"/>
      <c r="LU42" s="4"/>
      <c r="LV42" s="4"/>
      <c r="LW42" s="4"/>
      <c r="LX42" s="4"/>
      <c r="LY42" s="4"/>
      <c r="LZ42" s="4"/>
      <c r="MA42" s="4"/>
      <c r="MB42" s="4"/>
      <c r="MC42" s="4"/>
      <c r="MD42" s="4"/>
      <c r="ME42" s="4"/>
      <c r="MF42" s="4"/>
      <c r="MG42" s="4"/>
      <c r="MH42" s="4"/>
      <c r="MI42" s="4"/>
      <c r="MJ42" s="4"/>
      <c r="MK42" s="4"/>
      <c r="ML42" s="4"/>
      <c r="MM42" s="4"/>
      <c r="MN42" s="4"/>
      <c r="MO42" s="4"/>
      <c r="MP42" s="4"/>
      <c r="MQ42" s="4"/>
      <c r="MR42" s="4"/>
      <c r="MS42" s="4"/>
      <c r="MT42" s="4"/>
      <c r="MU42" s="4"/>
      <c r="MV42" s="4"/>
      <c r="MW42" s="4"/>
      <c r="MX42" s="4"/>
      <c r="MY42" s="4"/>
      <c r="MZ42" s="4"/>
      <c r="NA42" s="4"/>
      <c r="NB42" s="4"/>
      <c r="NC42" s="4"/>
      <c r="ND42" s="4"/>
      <c r="NE42" s="4"/>
      <c r="NF42" s="4"/>
      <c r="NG42" s="4"/>
      <c r="NH42" s="4"/>
      <c r="NI42" s="4"/>
      <c r="NJ42" s="4"/>
      <c r="NK42" s="4"/>
      <c r="NL42" s="4"/>
      <c r="NM42" s="4"/>
      <c r="NN42" s="4"/>
      <c r="NO42" s="4"/>
      <c r="NP42" s="4"/>
      <c r="NQ42" s="4"/>
      <c r="NR42" s="4"/>
      <c r="NS42" s="4"/>
      <c r="NT42" s="4"/>
      <c r="NU42" s="4"/>
      <c r="NV42" s="4"/>
      <c r="NW42" s="4"/>
      <c r="NX42" s="4"/>
      <c r="NY42" s="4"/>
      <c r="NZ42" s="4"/>
      <c r="OA42" s="4"/>
      <c r="OB42" s="4"/>
      <c r="OC42" s="4"/>
      <c r="OD42" s="4"/>
      <c r="OE42" s="4"/>
      <c r="OF42" s="4"/>
      <c r="OG42" s="4"/>
      <c r="OH42" s="4"/>
      <c r="OI42" s="4"/>
    </row>
    <row r="43" spans="1:399" outlineLevel="1">
      <c r="A43" s="116"/>
      <c r="B43" s="116"/>
      <c r="C43" s="116">
        <v>2</v>
      </c>
      <c r="D43" s="3" t="s">
        <v>1145</v>
      </c>
      <c r="E43" s="183"/>
      <c r="F43" s="183" t="s">
        <v>1179</v>
      </c>
      <c r="G43" s="183"/>
      <c r="H43" s="183"/>
      <c r="I43" s="183"/>
      <c r="J43" s="183"/>
      <c r="K43" s="183"/>
      <c r="L43" s="183"/>
      <c r="M43" s="184"/>
      <c r="N43" s="184"/>
      <c r="O43" s="185"/>
      <c r="P43" s="186">
        <v>0</v>
      </c>
      <c r="Q43" s="186">
        <v>0</v>
      </c>
      <c r="R43" s="187">
        <v>0</v>
      </c>
      <c r="S43" s="187">
        <v>0</v>
      </c>
      <c r="T43" s="184"/>
      <c r="U43" s="184"/>
      <c r="V43" s="188">
        <v>0</v>
      </c>
      <c r="W43" s="189">
        <v>0</v>
      </c>
      <c r="X43" s="190"/>
      <c r="Y43" s="185"/>
      <c r="Z43" s="191"/>
      <c r="AA43" s="97">
        <v>0</v>
      </c>
      <c r="AB43" s="192">
        <v>0</v>
      </c>
      <c r="AC43" s="123"/>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c r="EY43" s="4"/>
      <c r="EZ43" s="4"/>
      <c r="FA43" s="4"/>
      <c r="FB43" s="4"/>
      <c r="FC43" s="4"/>
      <c r="FD43" s="4"/>
      <c r="FE43" s="4"/>
      <c r="FF43" s="4"/>
      <c r="FG43" s="4"/>
      <c r="FH43" s="4"/>
      <c r="FI43" s="4"/>
      <c r="FJ43" s="4"/>
      <c r="FK43" s="4"/>
      <c r="FL43" s="4"/>
      <c r="FM43" s="4"/>
      <c r="FN43" s="4"/>
      <c r="FO43" s="4"/>
      <c r="FP43" s="4"/>
      <c r="FQ43" s="4"/>
      <c r="FR43" s="4"/>
      <c r="FS43" s="4"/>
      <c r="FT43" s="4"/>
      <c r="FU43" s="4"/>
      <c r="FV43" s="4"/>
      <c r="FW43" s="4"/>
      <c r="FX43" s="4"/>
      <c r="FY43" s="4"/>
      <c r="FZ43" s="4"/>
      <c r="GA43" s="4"/>
      <c r="GB43" s="4"/>
      <c r="GC43" s="4"/>
      <c r="GD43" s="4"/>
      <c r="GE43" s="4"/>
      <c r="GF43" s="4"/>
      <c r="GG43" s="4"/>
      <c r="GH43" s="4"/>
      <c r="GI43" s="4"/>
      <c r="GJ43" s="4"/>
      <c r="GK43" s="4"/>
      <c r="GL43" s="4"/>
      <c r="GM43" s="4"/>
      <c r="GN43" s="4"/>
      <c r="GO43" s="4"/>
      <c r="GP43" s="4"/>
      <c r="GQ43" s="4"/>
      <c r="GR43" s="4"/>
      <c r="GS43" s="4"/>
      <c r="GT43" s="4"/>
      <c r="GU43" s="4"/>
      <c r="GV43" s="4"/>
      <c r="GW43" s="4"/>
      <c r="GX43" s="4"/>
      <c r="GY43" s="4"/>
      <c r="GZ43" s="4"/>
      <c r="HA43" s="4"/>
      <c r="HB43" s="4"/>
      <c r="HC43" s="4"/>
      <c r="HD43" s="4"/>
      <c r="HE43" s="4"/>
      <c r="HF43" s="4"/>
      <c r="HG43" s="4"/>
      <c r="HH43" s="4"/>
      <c r="HI43" s="4"/>
      <c r="HJ43" s="4"/>
      <c r="HK43" s="4"/>
      <c r="HL43" s="4"/>
      <c r="HM43" s="4"/>
      <c r="HN43" s="4"/>
      <c r="HO43" s="4"/>
      <c r="HP43" s="4"/>
      <c r="HQ43" s="4"/>
      <c r="HR43" s="4"/>
      <c r="HS43" s="4"/>
      <c r="HT43" s="4"/>
      <c r="HU43" s="4"/>
      <c r="HV43" s="4"/>
      <c r="HW43" s="4"/>
      <c r="HX43" s="4"/>
      <c r="HY43" s="4"/>
      <c r="HZ43" s="4"/>
      <c r="IA43" s="4"/>
      <c r="IB43" s="4"/>
      <c r="IC43" s="4"/>
      <c r="ID43" s="4"/>
      <c r="IE43" s="4"/>
      <c r="IF43" s="4"/>
      <c r="IG43" s="4"/>
      <c r="IH43" s="4"/>
      <c r="II43" s="4"/>
      <c r="IJ43" s="4"/>
      <c r="IK43" s="4"/>
      <c r="IL43" s="4"/>
      <c r="IM43" s="4"/>
      <c r="IN43" s="4"/>
      <c r="IO43" s="4"/>
      <c r="IP43" s="4"/>
      <c r="IQ43" s="4"/>
      <c r="IR43" s="4"/>
      <c r="IS43" s="4"/>
      <c r="IT43" s="4"/>
      <c r="IU43" s="4"/>
      <c r="IV43" s="4"/>
      <c r="IW43" s="4"/>
      <c r="IX43" s="4"/>
      <c r="IY43" s="4"/>
      <c r="IZ43" s="4"/>
      <c r="JA43" s="4"/>
      <c r="JB43" s="4"/>
      <c r="JC43" s="4"/>
      <c r="JD43" s="4"/>
      <c r="JE43" s="4"/>
      <c r="JF43" s="4"/>
      <c r="JG43" s="4"/>
      <c r="JH43" s="4"/>
      <c r="JI43" s="4"/>
      <c r="JJ43" s="4"/>
      <c r="JK43" s="4"/>
      <c r="JL43" s="4"/>
      <c r="JM43" s="4"/>
      <c r="JN43" s="4"/>
      <c r="JO43" s="4"/>
      <c r="JP43" s="4"/>
      <c r="JQ43" s="4"/>
      <c r="JR43" s="4"/>
      <c r="JS43" s="4"/>
      <c r="JT43" s="4"/>
      <c r="JU43" s="4"/>
      <c r="JV43" s="4"/>
      <c r="JW43" s="4"/>
      <c r="JX43" s="4"/>
      <c r="JY43" s="4"/>
      <c r="JZ43" s="4"/>
      <c r="KA43" s="4"/>
      <c r="KB43" s="4"/>
      <c r="KC43" s="4"/>
      <c r="KD43" s="4"/>
      <c r="KE43" s="4"/>
      <c r="KF43" s="4"/>
      <c r="KG43" s="4"/>
      <c r="KH43" s="4"/>
      <c r="KI43" s="4"/>
      <c r="KJ43" s="4"/>
      <c r="KK43" s="4"/>
      <c r="KL43" s="4"/>
      <c r="KM43" s="4"/>
      <c r="KN43" s="4"/>
      <c r="KO43" s="4"/>
      <c r="KP43" s="4"/>
      <c r="KQ43" s="4"/>
      <c r="KR43" s="4"/>
      <c r="KS43" s="4"/>
      <c r="KT43" s="4"/>
      <c r="KU43" s="4"/>
      <c r="KV43" s="4"/>
      <c r="KW43" s="4"/>
      <c r="KX43" s="4"/>
      <c r="KY43" s="4"/>
      <c r="KZ43" s="4"/>
      <c r="LA43" s="4"/>
      <c r="LB43" s="4"/>
      <c r="LC43" s="4"/>
      <c r="LD43" s="4"/>
      <c r="LE43" s="4"/>
      <c r="LF43" s="4"/>
      <c r="LG43" s="4"/>
      <c r="LH43" s="4"/>
      <c r="LI43" s="4"/>
      <c r="LJ43" s="4"/>
      <c r="LK43" s="4"/>
      <c r="LL43" s="4"/>
      <c r="LM43" s="4"/>
      <c r="LN43" s="4"/>
      <c r="LO43" s="4"/>
      <c r="LP43" s="4"/>
      <c r="LQ43" s="4"/>
      <c r="LR43" s="4"/>
      <c r="LS43" s="4"/>
      <c r="LT43" s="4"/>
      <c r="LU43" s="4"/>
      <c r="LV43" s="4"/>
      <c r="LW43" s="4"/>
      <c r="LX43" s="4"/>
      <c r="LY43" s="4"/>
      <c r="LZ43" s="4"/>
      <c r="MA43" s="4"/>
      <c r="MB43" s="4"/>
      <c r="MC43" s="4"/>
      <c r="MD43" s="4"/>
      <c r="ME43" s="4"/>
      <c r="MF43" s="4"/>
      <c r="MG43" s="4"/>
      <c r="MH43" s="4"/>
      <c r="MI43" s="4"/>
      <c r="MJ43" s="4"/>
      <c r="MK43" s="4"/>
      <c r="ML43" s="4"/>
      <c r="MM43" s="4"/>
      <c r="MN43" s="4"/>
      <c r="MO43" s="4"/>
      <c r="MP43" s="4"/>
      <c r="MQ43" s="4"/>
      <c r="MR43" s="4"/>
      <c r="MS43" s="4"/>
      <c r="MT43" s="4"/>
      <c r="MU43" s="4"/>
      <c r="MV43" s="4"/>
      <c r="MW43" s="4"/>
      <c r="MX43" s="4"/>
      <c r="MY43" s="4"/>
      <c r="MZ43" s="4"/>
      <c r="NA43" s="4"/>
      <c r="NB43" s="4"/>
      <c r="NC43" s="4"/>
      <c r="ND43" s="4"/>
      <c r="NE43" s="4"/>
      <c r="NF43" s="4"/>
      <c r="NG43" s="4"/>
      <c r="NH43" s="4"/>
      <c r="NI43" s="4"/>
      <c r="NJ43" s="4"/>
      <c r="NK43" s="4"/>
      <c r="NL43" s="4"/>
      <c r="NM43" s="4"/>
      <c r="NN43" s="4"/>
      <c r="NO43" s="4"/>
      <c r="NP43" s="4"/>
      <c r="NQ43" s="4"/>
      <c r="NR43" s="4"/>
      <c r="NS43" s="4"/>
      <c r="NT43" s="4"/>
      <c r="NU43" s="4"/>
      <c r="NV43" s="4"/>
      <c r="NW43" s="4"/>
      <c r="NX43" s="4"/>
      <c r="NY43" s="4"/>
      <c r="NZ43" s="4"/>
      <c r="OA43" s="4"/>
      <c r="OB43" s="4"/>
      <c r="OC43" s="4"/>
      <c r="OD43" s="4"/>
      <c r="OE43" s="4"/>
      <c r="OF43" s="4"/>
      <c r="OG43" s="4"/>
      <c r="OH43" s="4"/>
      <c r="OI43" s="4"/>
    </row>
    <row r="44" spans="1:399" outlineLevel="1">
      <c r="A44" s="116"/>
      <c r="B44" s="116"/>
      <c r="C44" s="116">
        <v>2</v>
      </c>
      <c r="D44" s="3" t="s">
        <v>1174</v>
      </c>
      <c r="E44" s="183"/>
      <c r="F44" s="183" t="s">
        <v>1180</v>
      </c>
      <c r="G44" s="183"/>
      <c r="H44" s="183"/>
      <c r="I44" s="183"/>
      <c r="J44" s="183"/>
      <c r="K44" s="183"/>
      <c r="L44" s="183"/>
      <c r="M44" s="184"/>
      <c r="N44" s="184"/>
      <c r="O44" s="185"/>
      <c r="P44" s="186">
        <v>0</v>
      </c>
      <c r="Q44" s="186">
        <v>0</v>
      </c>
      <c r="R44" s="187">
        <v>0</v>
      </c>
      <c r="S44" s="187">
        <v>0</v>
      </c>
      <c r="T44" s="184"/>
      <c r="U44" s="184"/>
      <c r="V44" s="188">
        <v>0</v>
      </c>
      <c r="W44" s="189">
        <v>0</v>
      </c>
      <c r="X44" s="190"/>
      <c r="Y44" s="185"/>
      <c r="Z44" s="191"/>
      <c r="AA44" s="97">
        <v>0</v>
      </c>
      <c r="AB44" s="192">
        <v>0</v>
      </c>
      <c r="AC44" s="123"/>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c r="EY44" s="4"/>
      <c r="EZ44" s="4"/>
      <c r="FA44" s="4"/>
      <c r="FB44" s="4"/>
      <c r="FC44" s="4"/>
      <c r="FD44" s="4"/>
      <c r="FE44" s="4"/>
      <c r="FF44" s="4"/>
      <c r="FG44" s="4"/>
      <c r="FH44" s="4"/>
      <c r="FI44" s="4"/>
      <c r="FJ44" s="4"/>
      <c r="FK44" s="4"/>
      <c r="FL44" s="4"/>
      <c r="FM44" s="4"/>
      <c r="FN44" s="4"/>
      <c r="FO44" s="4"/>
      <c r="FP44" s="4"/>
      <c r="FQ44" s="4"/>
      <c r="FR44" s="4"/>
      <c r="FS44" s="4"/>
      <c r="FT44" s="4"/>
      <c r="FU44" s="4"/>
      <c r="FV44" s="4"/>
      <c r="FW44" s="4"/>
      <c r="FX44" s="4"/>
      <c r="FY44" s="4"/>
      <c r="FZ44" s="4"/>
      <c r="GA44" s="4"/>
      <c r="GB44" s="4"/>
      <c r="GC44" s="4"/>
      <c r="GD44" s="4"/>
      <c r="GE44" s="4"/>
      <c r="GF44" s="4"/>
      <c r="GG44" s="4"/>
      <c r="GH44" s="4"/>
      <c r="GI44" s="4"/>
      <c r="GJ44" s="4"/>
      <c r="GK44" s="4"/>
      <c r="GL44" s="4"/>
      <c r="GM44" s="4"/>
      <c r="GN44" s="4"/>
      <c r="GO44" s="4"/>
      <c r="GP44" s="4"/>
      <c r="GQ44" s="4"/>
      <c r="GR44" s="4"/>
      <c r="GS44" s="4"/>
      <c r="GT44" s="4"/>
      <c r="GU44" s="4"/>
      <c r="GV44" s="4"/>
      <c r="GW44" s="4"/>
      <c r="GX44" s="4"/>
      <c r="GY44" s="4"/>
      <c r="GZ44" s="4"/>
      <c r="HA44" s="4"/>
      <c r="HB44" s="4"/>
      <c r="HC44" s="4"/>
      <c r="HD44" s="4"/>
      <c r="HE44" s="4"/>
      <c r="HF44" s="4"/>
      <c r="HG44" s="4"/>
      <c r="HH44" s="4"/>
      <c r="HI44" s="4"/>
      <c r="HJ44" s="4"/>
      <c r="HK44" s="4"/>
      <c r="HL44" s="4"/>
      <c r="HM44" s="4"/>
      <c r="HN44" s="4"/>
      <c r="HO44" s="4"/>
      <c r="HP44" s="4"/>
      <c r="HQ44" s="4"/>
      <c r="HR44" s="4"/>
      <c r="HS44" s="4"/>
      <c r="HT44" s="4"/>
      <c r="HU44" s="4"/>
      <c r="HV44" s="4"/>
      <c r="HW44" s="4"/>
      <c r="HX44" s="4"/>
      <c r="HY44" s="4"/>
      <c r="HZ44" s="4"/>
      <c r="IA44" s="4"/>
      <c r="IB44" s="4"/>
      <c r="IC44" s="4"/>
      <c r="ID44" s="4"/>
      <c r="IE44" s="4"/>
      <c r="IF44" s="4"/>
      <c r="IG44" s="4"/>
      <c r="IH44" s="4"/>
      <c r="II44" s="4"/>
      <c r="IJ44" s="4"/>
      <c r="IK44" s="4"/>
      <c r="IL44" s="4"/>
      <c r="IM44" s="4"/>
      <c r="IN44" s="4"/>
      <c r="IO44" s="4"/>
      <c r="IP44" s="4"/>
      <c r="IQ44" s="4"/>
      <c r="IR44" s="4"/>
      <c r="IS44" s="4"/>
      <c r="IT44" s="4"/>
      <c r="IU44" s="4"/>
      <c r="IV44" s="4"/>
      <c r="IW44" s="4"/>
      <c r="IX44" s="4"/>
      <c r="IY44" s="4"/>
      <c r="IZ44" s="4"/>
      <c r="JA44" s="4"/>
      <c r="JB44" s="4"/>
      <c r="JC44" s="4"/>
      <c r="JD44" s="4"/>
      <c r="JE44" s="4"/>
      <c r="JF44" s="4"/>
      <c r="JG44" s="4"/>
      <c r="JH44" s="4"/>
      <c r="JI44" s="4"/>
      <c r="JJ44" s="4"/>
      <c r="JK44" s="4"/>
      <c r="JL44" s="4"/>
      <c r="JM44" s="4"/>
      <c r="JN44" s="4"/>
      <c r="JO44" s="4"/>
      <c r="JP44" s="4"/>
      <c r="JQ44" s="4"/>
      <c r="JR44" s="4"/>
      <c r="JS44" s="4"/>
      <c r="JT44" s="4"/>
      <c r="JU44" s="4"/>
      <c r="JV44" s="4"/>
      <c r="JW44" s="4"/>
      <c r="JX44" s="4"/>
      <c r="JY44" s="4"/>
      <c r="JZ44" s="4"/>
      <c r="KA44" s="4"/>
      <c r="KB44" s="4"/>
      <c r="KC44" s="4"/>
      <c r="KD44" s="4"/>
      <c r="KE44" s="4"/>
      <c r="KF44" s="4"/>
      <c r="KG44" s="4"/>
      <c r="KH44" s="4"/>
      <c r="KI44" s="4"/>
      <c r="KJ44" s="4"/>
      <c r="KK44" s="4"/>
      <c r="KL44" s="4"/>
      <c r="KM44" s="4"/>
      <c r="KN44" s="4"/>
      <c r="KO44" s="4"/>
      <c r="KP44" s="4"/>
      <c r="KQ44" s="4"/>
      <c r="KR44" s="4"/>
      <c r="KS44" s="4"/>
      <c r="KT44" s="4"/>
      <c r="KU44" s="4"/>
      <c r="KV44" s="4"/>
      <c r="KW44" s="4"/>
      <c r="KX44" s="4"/>
      <c r="KY44" s="4"/>
      <c r="KZ44" s="4"/>
      <c r="LA44" s="4"/>
      <c r="LB44" s="4"/>
      <c r="LC44" s="4"/>
      <c r="LD44" s="4"/>
      <c r="LE44" s="4"/>
      <c r="LF44" s="4"/>
      <c r="LG44" s="4"/>
      <c r="LH44" s="4"/>
      <c r="LI44" s="4"/>
      <c r="LJ44" s="4"/>
      <c r="LK44" s="4"/>
      <c r="LL44" s="4"/>
      <c r="LM44" s="4"/>
      <c r="LN44" s="4"/>
      <c r="LO44" s="4"/>
      <c r="LP44" s="4"/>
      <c r="LQ44" s="4"/>
      <c r="LR44" s="4"/>
      <c r="LS44" s="4"/>
      <c r="LT44" s="4"/>
      <c r="LU44" s="4"/>
      <c r="LV44" s="4"/>
      <c r="LW44" s="4"/>
      <c r="LX44" s="4"/>
      <c r="LY44" s="4"/>
      <c r="LZ44" s="4"/>
      <c r="MA44" s="4"/>
      <c r="MB44" s="4"/>
      <c r="MC44" s="4"/>
      <c r="MD44" s="4"/>
      <c r="ME44" s="4"/>
      <c r="MF44" s="4"/>
      <c r="MG44" s="4"/>
      <c r="MH44" s="4"/>
      <c r="MI44" s="4"/>
      <c r="MJ44" s="4"/>
      <c r="MK44" s="4"/>
      <c r="ML44" s="4"/>
      <c r="MM44" s="4"/>
      <c r="MN44" s="4"/>
      <c r="MO44" s="4"/>
      <c r="MP44" s="4"/>
      <c r="MQ44" s="4"/>
      <c r="MR44" s="4"/>
      <c r="MS44" s="4"/>
      <c r="MT44" s="4"/>
      <c r="MU44" s="4"/>
      <c r="MV44" s="4"/>
      <c r="MW44" s="4"/>
      <c r="MX44" s="4"/>
      <c r="MY44" s="4"/>
      <c r="MZ44" s="4"/>
      <c r="NA44" s="4"/>
      <c r="NB44" s="4"/>
      <c r="NC44" s="4"/>
      <c r="ND44" s="4"/>
      <c r="NE44" s="4"/>
      <c r="NF44" s="4"/>
      <c r="NG44" s="4"/>
      <c r="NH44" s="4"/>
      <c r="NI44" s="4"/>
      <c r="NJ44" s="4"/>
      <c r="NK44" s="4"/>
      <c r="NL44" s="4"/>
      <c r="NM44" s="4"/>
      <c r="NN44" s="4"/>
      <c r="NO44" s="4"/>
      <c r="NP44" s="4"/>
      <c r="NQ44" s="4"/>
      <c r="NR44" s="4"/>
      <c r="NS44" s="4"/>
      <c r="NT44" s="4"/>
      <c r="NU44" s="4"/>
      <c r="NV44" s="4"/>
      <c r="NW44" s="4"/>
      <c r="NX44" s="4"/>
      <c r="NY44" s="4"/>
      <c r="NZ44" s="4"/>
      <c r="OA44" s="4"/>
      <c r="OB44" s="4"/>
      <c r="OC44" s="4"/>
      <c r="OD44" s="4"/>
      <c r="OE44" s="4"/>
      <c r="OF44" s="4"/>
      <c r="OG44" s="4"/>
      <c r="OH44" s="4"/>
      <c r="OI44" s="4"/>
    </row>
    <row r="45" spans="1:399" outlineLevel="1">
      <c r="A45" s="116"/>
      <c r="B45" s="116"/>
      <c r="C45" s="116">
        <v>2</v>
      </c>
      <c r="D45" s="3" t="s">
        <v>1175</v>
      </c>
      <c r="E45" s="183"/>
      <c r="F45" s="183" t="s">
        <v>1199</v>
      </c>
      <c r="G45" s="183"/>
      <c r="H45" s="183"/>
      <c r="I45" s="183"/>
      <c r="J45" s="183"/>
      <c r="K45" s="183"/>
      <c r="L45" s="183"/>
      <c r="M45" s="184"/>
      <c r="N45" s="184"/>
      <c r="O45" s="185"/>
      <c r="P45" s="186">
        <v>0</v>
      </c>
      <c r="Q45" s="186">
        <v>0</v>
      </c>
      <c r="R45" s="187">
        <v>0</v>
      </c>
      <c r="S45" s="187">
        <v>0</v>
      </c>
      <c r="T45" s="184"/>
      <c r="U45" s="184"/>
      <c r="V45" s="188">
        <v>0</v>
      </c>
      <c r="W45" s="189">
        <v>0</v>
      </c>
      <c r="X45" s="190"/>
      <c r="Y45" s="185" t="s">
        <v>1181</v>
      </c>
      <c r="Z45" s="191"/>
      <c r="AA45" s="97">
        <v>0</v>
      </c>
      <c r="AB45" s="192">
        <v>0</v>
      </c>
      <c r="AC45" s="123"/>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4"/>
      <c r="FA45" s="4"/>
      <c r="FB45" s="4"/>
      <c r="FC45" s="4"/>
      <c r="FD45" s="4"/>
      <c r="FE45" s="4"/>
      <c r="FF45" s="4"/>
      <c r="FG45" s="4"/>
      <c r="FH45" s="4"/>
      <c r="FI45" s="4"/>
      <c r="FJ45" s="4"/>
      <c r="FK45" s="4"/>
      <c r="FL45" s="4"/>
      <c r="FM45" s="4"/>
      <c r="FN45" s="4"/>
      <c r="FO45" s="4"/>
      <c r="FP45" s="4"/>
      <c r="FQ45" s="4"/>
      <c r="FR45" s="4"/>
      <c r="FS45" s="4"/>
      <c r="FT45" s="4"/>
      <c r="FU45" s="4"/>
      <c r="FV45" s="4"/>
      <c r="FW45" s="4"/>
      <c r="FX45" s="4"/>
      <c r="FY45" s="4"/>
      <c r="FZ45" s="4"/>
      <c r="GA45" s="4"/>
      <c r="GB45" s="4"/>
      <c r="GC45" s="4"/>
      <c r="GD45" s="4"/>
      <c r="GE45" s="4"/>
      <c r="GF45" s="4"/>
      <c r="GG45" s="4"/>
      <c r="GH45" s="4"/>
      <c r="GI45" s="4"/>
      <c r="GJ45" s="4"/>
      <c r="GK45" s="4"/>
      <c r="GL45" s="4"/>
      <c r="GM45" s="4"/>
      <c r="GN45" s="4"/>
      <c r="GO45" s="4"/>
      <c r="GP45" s="4"/>
      <c r="GQ45" s="4"/>
      <c r="GR45" s="4"/>
      <c r="GS45" s="4"/>
      <c r="GT45" s="4"/>
      <c r="GU45" s="4"/>
      <c r="GV45" s="4"/>
      <c r="GW45" s="4"/>
      <c r="GX45" s="4"/>
      <c r="GY45" s="4"/>
      <c r="GZ45" s="4"/>
      <c r="HA45" s="4"/>
      <c r="HB45" s="4"/>
      <c r="HC45" s="4"/>
      <c r="HD45" s="4"/>
      <c r="HE45" s="4"/>
      <c r="HF45" s="4"/>
      <c r="HG45" s="4"/>
      <c r="HH45" s="4"/>
      <c r="HI45" s="4"/>
      <c r="HJ45" s="4"/>
      <c r="HK45" s="4"/>
      <c r="HL45" s="4"/>
      <c r="HM45" s="4"/>
      <c r="HN45" s="4"/>
      <c r="HO45" s="4"/>
      <c r="HP45" s="4"/>
      <c r="HQ45" s="4"/>
      <c r="HR45" s="4"/>
      <c r="HS45" s="4"/>
      <c r="HT45" s="4"/>
      <c r="HU45" s="4"/>
      <c r="HV45" s="4"/>
      <c r="HW45" s="4"/>
      <c r="HX45" s="4"/>
      <c r="HY45" s="4"/>
      <c r="HZ45" s="4"/>
      <c r="IA45" s="4"/>
      <c r="IB45" s="4"/>
      <c r="IC45" s="4"/>
      <c r="ID45" s="4"/>
      <c r="IE45" s="4"/>
      <c r="IF45" s="4"/>
      <c r="IG45" s="4"/>
      <c r="IH45" s="4"/>
      <c r="II45" s="4"/>
      <c r="IJ45" s="4"/>
      <c r="IK45" s="4"/>
      <c r="IL45" s="4"/>
      <c r="IM45" s="4"/>
      <c r="IN45" s="4"/>
      <c r="IO45" s="4"/>
      <c r="IP45" s="4"/>
      <c r="IQ45" s="4"/>
      <c r="IR45" s="4"/>
      <c r="IS45" s="4"/>
      <c r="IT45" s="4"/>
      <c r="IU45" s="4"/>
      <c r="IV45" s="4"/>
      <c r="IW45" s="4"/>
      <c r="IX45" s="4"/>
      <c r="IY45" s="4"/>
      <c r="IZ45" s="4"/>
      <c r="JA45" s="4"/>
      <c r="JB45" s="4"/>
      <c r="JC45" s="4"/>
      <c r="JD45" s="4"/>
      <c r="JE45" s="4"/>
      <c r="JF45" s="4"/>
      <c r="JG45" s="4"/>
      <c r="JH45" s="4"/>
      <c r="JI45" s="4"/>
      <c r="JJ45" s="4"/>
      <c r="JK45" s="4"/>
      <c r="JL45" s="4"/>
      <c r="JM45" s="4"/>
      <c r="JN45" s="4"/>
      <c r="JO45" s="4"/>
      <c r="JP45" s="4"/>
      <c r="JQ45" s="4"/>
      <c r="JR45" s="4"/>
      <c r="JS45" s="4"/>
      <c r="JT45" s="4"/>
      <c r="JU45" s="4"/>
      <c r="JV45" s="4"/>
      <c r="JW45" s="4"/>
      <c r="JX45" s="4"/>
      <c r="JY45" s="4"/>
      <c r="JZ45" s="4"/>
      <c r="KA45" s="4"/>
      <c r="KB45" s="4"/>
      <c r="KC45" s="4"/>
      <c r="KD45" s="4"/>
      <c r="KE45" s="4"/>
      <c r="KF45" s="4"/>
      <c r="KG45" s="4"/>
      <c r="KH45" s="4"/>
      <c r="KI45" s="4"/>
      <c r="KJ45" s="4"/>
      <c r="KK45" s="4"/>
      <c r="KL45" s="4"/>
      <c r="KM45" s="4"/>
      <c r="KN45" s="4"/>
      <c r="KO45" s="4"/>
      <c r="KP45" s="4"/>
      <c r="KQ45" s="4"/>
      <c r="KR45" s="4"/>
      <c r="KS45" s="4"/>
      <c r="KT45" s="4"/>
      <c r="KU45" s="4"/>
      <c r="KV45" s="4"/>
      <c r="KW45" s="4"/>
      <c r="KX45" s="4"/>
      <c r="KY45" s="4"/>
      <c r="KZ45" s="4"/>
      <c r="LA45" s="4"/>
      <c r="LB45" s="4"/>
      <c r="LC45" s="4"/>
      <c r="LD45" s="4"/>
      <c r="LE45" s="4"/>
      <c r="LF45" s="4"/>
      <c r="LG45" s="4"/>
      <c r="LH45" s="4"/>
      <c r="LI45" s="4"/>
      <c r="LJ45" s="4"/>
      <c r="LK45" s="4"/>
      <c r="LL45" s="4"/>
      <c r="LM45" s="4"/>
      <c r="LN45" s="4"/>
      <c r="LO45" s="4"/>
      <c r="LP45" s="4"/>
      <c r="LQ45" s="4"/>
      <c r="LR45" s="4"/>
      <c r="LS45" s="4"/>
      <c r="LT45" s="4"/>
      <c r="LU45" s="4"/>
      <c r="LV45" s="4"/>
      <c r="LW45" s="4"/>
      <c r="LX45" s="4"/>
      <c r="LY45" s="4"/>
      <c r="LZ45" s="4"/>
      <c r="MA45" s="4"/>
      <c r="MB45" s="4"/>
      <c r="MC45" s="4"/>
      <c r="MD45" s="4"/>
      <c r="ME45" s="4"/>
      <c r="MF45" s="4"/>
      <c r="MG45" s="4"/>
      <c r="MH45" s="4"/>
      <c r="MI45" s="4"/>
      <c r="MJ45" s="4"/>
      <c r="MK45" s="4"/>
      <c r="ML45" s="4"/>
      <c r="MM45" s="4"/>
      <c r="MN45" s="4"/>
      <c r="MO45" s="4"/>
      <c r="MP45" s="4"/>
      <c r="MQ45" s="4"/>
      <c r="MR45" s="4"/>
      <c r="MS45" s="4"/>
      <c r="MT45" s="4"/>
      <c r="MU45" s="4"/>
      <c r="MV45" s="4"/>
      <c r="MW45" s="4"/>
      <c r="MX45" s="4"/>
      <c r="MY45" s="4"/>
      <c r="MZ45" s="4"/>
      <c r="NA45" s="4"/>
      <c r="NB45" s="4"/>
      <c r="NC45" s="4"/>
      <c r="ND45" s="4"/>
      <c r="NE45" s="4"/>
      <c r="NF45" s="4"/>
      <c r="NG45" s="4"/>
      <c r="NH45" s="4"/>
      <c r="NI45" s="4"/>
      <c r="NJ45" s="4"/>
      <c r="NK45" s="4"/>
      <c r="NL45" s="4"/>
      <c r="NM45" s="4"/>
      <c r="NN45" s="4"/>
      <c r="NO45" s="4"/>
      <c r="NP45" s="4"/>
      <c r="NQ45" s="4"/>
      <c r="NR45" s="4"/>
      <c r="NS45" s="4"/>
      <c r="NT45" s="4"/>
      <c r="NU45" s="4"/>
      <c r="NV45" s="4"/>
      <c r="NW45" s="4"/>
      <c r="NX45" s="4"/>
      <c r="NY45" s="4"/>
      <c r="NZ45" s="4"/>
      <c r="OA45" s="4"/>
      <c r="OB45" s="4"/>
      <c r="OC45" s="4"/>
      <c r="OD45" s="4"/>
      <c r="OE45" s="4"/>
      <c r="OF45" s="4"/>
      <c r="OG45" s="4"/>
      <c r="OH45" s="4"/>
      <c r="OI45" s="4"/>
    </row>
    <row r="46" spans="1:399" outlineLevel="1">
      <c r="A46" s="116"/>
      <c r="B46" s="116"/>
      <c r="C46" s="116">
        <v>2</v>
      </c>
      <c r="D46" s="3" t="s">
        <v>1176</v>
      </c>
      <c r="E46" s="183"/>
      <c r="F46" s="183" t="s">
        <v>1182</v>
      </c>
      <c r="G46" s="183"/>
      <c r="H46" s="183"/>
      <c r="I46" s="183"/>
      <c r="J46" s="183"/>
      <c r="K46" s="183"/>
      <c r="L46" s="183"/>
      <c r="M46" s="184"/>
      <c r="N46" s="184"/>
      <c r="O46" s="185"/>
      <c r="P46" s="186">
        <v>0</v>
      </c>
      <c r="Q46" s="186">
        <v>0</v>
      </c>
      <c r="R46" s="187">
        <v>0</v>
      </c>
      <c r="S46" s="187">
        <v>0</v>
      </c>
      <c r="T46" s="184"/>
      <c r="U46" s="184"/>
      <c r="V46" s="188">
        <v>0</v>
      </c>
      <c r="W46" s="189">
        <v>0</v>
      </c>
      <c r="X46" s="190"/>
      <c r="Y46" s="185"/>
      <c r="Z46" s="191"/>
      <c r="AA46" s="97">
        <v>0</v>
      </c>
      <c r="AB46" s="192">
        <v>0</v>
      </c>
      <c r="AC46" s="123"/>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c r="EY46" s="4"/>
      <c r="EZ46" s="4"/>
      <c r="FA46" s="4"/>
      <c r="FB46" s="4"/>
      <c r="FC46" s="4"/>
      <c r="FD46" s="4"/>
      <c r="FE46" s="4"/>
      <c r="FF46" s="4"/>
      <c r="FG46" s="4"/>
      <c r="FH46" s="4"/>
      <c r="FI46" s="4"/>
      <c r="FJ46" s="4"/>
      <c r="FK46" s="4"/>
      <c r="FL46" s="4"/>
      <c r="FM46" s="4"/>
      <c r="FN46" s="4"/>
      <c r="FO46" s="4"/>
      <c r="FP46" s="4"/>
      <c r="FQ46" s="4"/>
      <c r="FR46" s="4"/>
      <c r="FS46" s="4"/>
      <c r="FT46" s="4"/>
      <c r="FU46" s="4"/>
      <c r="FV46" s="4"/>
      <c r="FW46" s="4"/>
      <c r="FX46" s="4"/>
      <c r="FY46" s="4"/>
      <c r="FZ46" s="4"/>
      <c r="GA46" s="4"/>
      <c r="GB46" s="4"/>
      <c r="GC46" s="4"/>
      <c r="GD46" s="4"/>
      <c r="GE46" s="4"/>
      <c r="GF46" s="4"/>
      <c r="GG46" s="4"/>
      <c r="GH46" s="4"/>
      <c r="GI46" s="4"/>
      <c r="GJ46" s="4"/>
      <c r="GK46" s="4"/>
      <c r="GL46" s="4"/>
      <c r="GM46" s="4"/>
      <c r="GN46" s="4"/>
      <c r="GO46" s="4"/>
      <c r="GP46" s="4"/>
      <c r="GQ46" s="4"/>
      <c r="GR46" s="4"/>
      <c r="GS46" s="4"/>
      <c r="GT46" s="4"/>
      <c r="GU46" s="4"/>
      <c r="GV46" s="4"/>
      <c r="GW46" s="4"/>
      <c r="GX46" s="4"/>
      <c r="GY46" s="4"/>
      <c r="GZ46" s="4"/>
      <c r="HA46" s="4"/>
      <c r="HB46" s="4"/>
      <c r="HC46" s="4"/>
      <c r="HD46" s="4"/>
      <c r="HE46" s="4"/>
      <c r="HF46" s="4"/>
      <c r="HG46" s="4"/>
      <c r="HH46" s="4"/>
      <c r="HI46" s="4"/>
      <c r="HJ46" s="4"/>
      <c r="HK46" s="4"/>
      <c r="HL46" s="4"/>
      <c r="HM46" s="4"/>
      <c r="HN46" s="4"/>
      <c r="HO46" s="4"/>
      <c r="HP46" s="4"/>
      <c r="HQ46" s="4"/>
      <c r="HR46" s="4"/>
      <c r="HS46" s="4"/>
      <c r="HT46" s="4"/>
      <c r="HU46" s="4"/>
      <c r="HV46" s="4"/>
      <c r="HW46" s="4"/>
      <c r="HX46" s="4"/>
      <c r="HY46" s="4"/>
      <c r="HZ46" s="4"/>
      <c r="IA46" s="4"/>
      <c r="IB46" s="4"/>
      <c r="IC46" s="4"/>
      <c r="ID46" s="4"/>
      <c r="IE46" s="4"/>
      <c r="IF46" s="4"/>
      <c r="IG46" s="4"/>
      <c r="IH46" s="4"/>
      <c r="II46" s="4"/>
      <c r="IJ46" s="4"/>
      <c r="IK46" s="4"/>
      <c r="IL46" s="4"/>
      <c r="IM46" s="4"/>
      <c r="IN46" s="4"/>
      <c r="IO46" s="4"/>
      <c r="IP46" s="4"/>
      <c r="IQ46" s="4"/>
      <c r="IR46" s="4"/>
      <c r="IS46" s="4"/>
      <c r="IT46" s="4"/>
      <c r="IU46" s="4"/>
      <c r="IV46" s="4"/>
      <c r="IW46" s="4"/>
      <c r="IX46" s="4"/>
      <c r="IY46" s="4"/>
      <c r="IZ46" s="4"/>
      <c r="JA46" s="4"/>
      <c r="JB46" s="4"/>
      <c r="JC46" s="4"/>
      <c r="JD46" s="4"/>
      <c r="JE46" s="4"/>
      <c r="JF46" s="4"/>
      <c r="JG46" s="4"/>
      <c r="JH46" s="4"/>
      <c r="JI46" s="4"/>
      <c r="JJ46" s="4"/>
      <c r="JK46" s="4"/>
      <c r="JL46" s="4"/>
      <c r="JM46" s="4"/>
      <c r="JN46" s="4"/>
      <c r="JO46" s="4"/>
      <c r="JP46" s="4"/>
      <c r="JQ46" s="4"/>
      <c r="JR46" s="4"/>
      <c r="JS46" s="4"/>
      <c r="JT46" s="4"/>
      <c r="JU46" s="4"/>
      <c r="JV46" s="4"/>
      <c r="JW46" s="4"/>
      <c r="JX46" s="4"/>
      <c r="JY46" s="4"/>
      <c r="JZ46" s="4"/>
      <c r="KA46" s="4"/>
      <c r="KB46" s="4"/>
      <c r="KC46" s="4"/>
      <c r="KD46" s="4"/>
      <c r="KE46" s="4"/>
      <c r="KF46" s="4"/>
      <c r="KG46" s="4"/>
      <c r="KH46" s="4"/>
      <c r="KI46" s="4"/>
      <c r="KJ46" s="4"/>
      <c r="KK46" s="4"/>
      <c r="KL46" s="4"/>
      <c r="KM46" s="4"/>
      <c r="KN46" s="4"/>
      <c r="KO46" s="4"/>
      <c r="KP46" s="4"/>
      <c r="KQ46" s="4"/>
      <c r="KR46" s="4"/>
      <c r="KS46" s="4"/>
      <c r="KT46" s="4"/>
      <c r="KU46" s="4"/>
      <c r="KV46" s="4"/>
      <c r="KW46" s="4"/>
      <c r="KX46" s="4"/>
      <c r="KY46" s="4"/>
      <c r="KZ46" s="4"/>
      <c r="LA46" s="4"/>
      <c r="LB46" s="4"/>
      <c r="LC46" s="4"/>
      <c r="LD46" s="4"/>
      <c r="LE46" s="4"/>
      <c r="LF46" s="4"/>
      <c r="LG46" s="4"/>
      <c r="LH46" s="4"/>
      <c r="LI46" s="4"/>
      <c r="LJ46" s="4"/>
      <c r="LK46" s="4"/>
      <c r="LL46" s="4"/>
      <c r="LM46" s="4"/>
      <c r="LN46" s="4"/>
      <c r="LO46" s="4"/>
      <c r="LP46" s="4"/>
      <c r="LQ46" s="4"/>
      <c r="LR46" s="4"/>
      <c r="LS46" s="4"/>
      <c r="LT46" s="4"/>
      <c r="LU46" s="4"/>
      <c r="LV46" s="4"/>
      <c r="LW46" s="4"/>
      <c r="LX46" s="4"/>
      <c r="LY46" s="4"/>
      <c r="LZ46" s="4"/>
      <c r="MA46" s="4"/>
      <c r="MB46" s="4"/>
      <c r="MC46" s="4"/>
      <c r="MD46" s="4"/>
      <c r="ME46" s="4"/>
      <c r="MF46" s="4"/>
      <c r="MG46" s="4"/>
      <c r="MH46" s="4"/>
      <c r="MI46" s="4"/>
      <c r="MJ46" s="4"/>
      <c r="MK46" s="4"/>
      <c r="ML46" s="4"/>
      <c r="MM46" s="4"/>
      <c r="MN46" s="4"/>
      <c r="MO46" s="4"/>
      <c r="MP46" s="4"/>
      <c r="MQ46" s="4"/>
      <c r="MR46" s="4"/>
      <c r="MS46" s="4"/>
      <c r="MT46" s="4"/>
      <c r="MU46" s="4"/>
      <c r="MV46" s="4"/>
      <c r="MW46" s="4"/>
      <c r="MX46" s="4"/>
      <c r="MY46" s="4"/>
      <c r="MZ46" s="4"/>
      <c r="NA46" s="4"/>
      <c r="NB46" s="4"/>
      <c r="NC46" s="4"/>
      <c r="ND46" s="4"/>
      <c r="NE46" s="4"/>
      <c r="NF46" s="4"/>
      <c r="NG46" s="4"/>
      <c r="NH46" s="4"/>
      <c r="NI46" s="4"/>
      <c r="NJ46" s="4"/>
      <c r="NK46" s="4"/>
      <c r="NL46" s="4"/>
      <c r="NM46" s="4"/>
      <c r="NN46" s="4"/>
      <c r="NO46" s="4"/>
      <c r="NP46" s="4"/>
      <c r="NQ46" s="4"/>
      <c r="NR46" s="4"/>
      <c r="NS46" s="4"/>
      <c r="NT46" s="4"/>
      <c r="NU46" s="4"/>
      <c r="NV46" s="4"/>
      <c r="NW46" s="4"/>
      <c r="NX46" s="4"/>
      <c r="NY46" s="4"/>
      <c r="NZ46" s="4"/>
      <c r="OA46" s="4"/>
      <c r="OB46" s="4"/>
      <c r="OC46" s="4"/>
      <c r="OD46" s="4"/>
      <c r="OE46" s="4"/>
      <c r="OF46" s="4"/>
      <c r="OG46" s="4"/>
      <c r="OH46" s="4"/>
      <c r="OI46" s="4"/>
    </row>
    <row r="47" spans="1:399" outlineLevel="1">
      <c r="A47" s="116"/>
      <c r="B47" s="116"/>
      <c r="C47" s="116">
        <v>2</v>
      </c>
      <c r="D47" s="3" t="s">
        <v>1177</v>
      </c>
      <c r="E47" s="183"/>
      <c r="F47" s="183" t="s">
        <v>1183</v>
      </c>
      <c r="G47" s="183"/>
      <c r="H47" s="183"/>
      <c r="I47" s="183"/>
      <c r="J47" s="183"/>
      <c r="K47" s="183"/>
      <c r="L47" s="183"/>
      <c r="M47" s="184"/>
      <c r="N47" s="184"/>
      <c r="O47" s="185"/>
      <c r="P47" s="186">
        <v>0</v>
      </c>
      <c r="Q47" s="186">
        <v>0</v>
      </c>
      <c r="R47" s="187">
        <v>0</v>
      </c>
      <c r="S47" s="187">
        <v>0</v>
      </c>
      <c r="T47" s="184"/>
      <c r="U47" s="184"/>
      <c r="V47" s="188">
        <v>0</v>
      </c>
      <c r="W47" s="189">
        <v>0</v>
      </c>
      <c r="X47" s="190"/>
      <c r="Y47" s="185"/>
      <c r="Z47" s="191"/>
      <c r="AA47" s="97">
        <v>0</v>
      </c>
      <c r="AB47" s="192">
        <v>0</v>
      </c>
      <c r="AC47" s="123"/>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c r="FF47" s="4"/>
      <c r="FG47" s="4"/>
      <c r="FH47" s="4"/>
      <c r="FI47" s="4"/>
      <c r="FJ47" s="4"/>
      <c r="FK47" s="4"/>
      <c r="FL47" s="4"/>
      <c r="FM47" s="4"/>
      <c r="FN47" s="4"/>
      <c r="FO47" s="4"/>
      <c r="FP47" s="4"/>
      <c r="FQ47" s="4"/>
      <c r="FR47" s="4"/>
      <c r="FS47" s="4"/>
      <c r="FT47" s="4"/>
      <c r="FU47" s="4"/>
      <c r="FV47" s="4"/>
      <c r="FW47" s="4"/>
      <c r="FX47" s="4"/>
      <c r="FY47" s="4"/>
      <c r="FZ47" s="4"/>
      <c r="GA47" s="4"/>
      <c r="GB47" s="4"/>
      <c r="GC47" s="4"/>
      <c r="GD47" s="4"/>
      <c r="GE47" s="4"/>
      <c r="GF47" s="4"/>
      <c r="GG47" s="4"/>
      <c r="GH47" s="4"/>
      <c r="GI47" s="4"/>
      <c r="GJ47" s="4"/>
      <c r="GK47" s="4"/>
      <c r="GL47" s="4"/>
      <c r="GM47" s="4"/>
      <c r="GN47" s="4"/>
      <c r="GO47" s="4"/>
      <c r="GP47" s="4"/>
      <c r="GQ47" s="4"/>
      <c r="GR47" s="4"/>
      <c r="GS47" s="4"/>
      <c r="GT47" s="4"/>
      <c r="GU47" s="4"/>
      <c r="GV47" s="4"/>
      <c r="GW47" s="4"/>
      <c r="GX47" s="4"/>
      <c r="GY47" s="4"/>
      <c r="GZ47" s="4"/>
      <c r="HA47" s="4"/>
      <c r="HB47" s="4"/>
      <c r="HC47" s="4"/>
      <c r="HD47" s="4"/>
      <c r="HE47" s="4"/>
      <c r="HF47" s="4"/>
      <c r="HG47" s="4"/>
      <c r="HH47" s="4"/>
      <c r="HI47" s="4"/>
      <c r="HJ47" s="4"/>
      <c r="HK47" s="4"/>
      <c r="HL47" s="4"/>
      <c r="HM47" s="4"/>
      <c r="HN47" s="4"/>
      <c r="HO47" s="4"/>
      <c r="HP47" s="4"/>
      <c r="HQ47" s="4"/>
      <c r="HR47" s="4"/>
      <c r="HS47" s="4"/>
      <c r="HT47" s="4"/>
      <c r="HU47" s="4"/>
      <c r="HV47" s="4"/>
      <c r="HW47" s="4"/>
      <c r="HX47" s="4"/>
      <c r="HY47" s="4"/>
      <c r="HZ47" s="4"/>
      <c r="IA47" s="4"/>
      <c r="IB47" s="4"/>
      <c r="IC47" s="4"/>
      <c r="ID47" s="4"/>
      <c r="IE47" s="4"/>
      <c r="IF47" s="4"/>
      <c r="IG47" s="4"/>
      <c r="IH47" s="4"/>
      <c r="II47" s="4"/>
      <c r="IJ47" s="4"/>
      <c r="IK47" s="4"/>
      <c r="IL47" s="4"/>
      <c r="IM47" s="4"/>
      <c r="IN47" s="4"/>
      <c r="IO47" s="4"/>
      <c r="IP47" s="4"/>
      <c r="IQ47" s="4"/>
      <c r="IR47" s="4"/>
      <c r="IS47" s="4"/>
      <c r="IT47" s="4"/>
      <c r="IU47" s="4"/>
      <c r="IV47" s="4"/>
      <c r="IW47" s="4"/>
      <c r="IX47" s="4"/>
      <c r="IY47" s="4"/>
      <c r="IZ47" s="4"/>
      <c r="JA47" s="4"/>
      <c r="JB47" s="4"/>
      <c r="JC47" s="4"/>
      <c r="JD47" s="4"/>
      <c r="JE47" s="4"/>
      <c r="JF47" s="4"/>
      <c r="JG47" s="4"/>
      <c r="JH47" s="4"/>
      <c r="JI47" s="4"/>
      <c r="JJ47" s="4"/>
      <c r="JK47" s="4"/>
      <c r="JL47" s="4"/>
      <c r="JM47" s="4"/>
      <c r="JN47" s="4"/>
      <c r="JO47" s="4"/>
      <c r="JP47" s="4"/>
      <c r="JQ47" s="4"/>
      <c r="JR47" s="4"/>
      <c r="JS47" s="4"/>
      <c r="JT47" s="4"/>
      <c r="JU47" s="4"/>
      <c r="JV47" s="4"/>
      <c r="JW47" s="4"/>
      <c r="JX47" s="4"/>
      <c r="JY47" s="4"/>
      <c r="JZ47" s="4"/>
      <c r="KA47" s="4"/>
      <c r="KB47" s="4"/>
      <c r="KC47" s="4"/>
      <c r="KD47" s="4"/>
      <c r="KE47" s="4"/>
      <c r="KF47" s="4"/>
      <c r="KG47" s="4"/>
      <c r="KH47" s="4"/>
      <c r="KI47" s="4"/>
      <c r="KJ47" s="4"/>
      <c r="KK47" s="4"/>
      <c r="KL47" s="4"/>
      <c r="KM47" s="4"/>
      <c r="KN47" s="4"/>
      <c r="KO47" s="4"/>
      <c r="KP47" s="4"/>
      <c r="KQ47" s="4"/>
      <c r="KR47" s="4"/>
      <c r="KS47" s="4"/>
      <c r="KT47" s="4"/>
      <c r="KU47" s="4"/>
      <c r="KV47" s="4"/>
      <c r="KW47" s="4"/>
      <c r="KX47" s="4"/>
      <c r="KY47" s="4"/>
      <c r="KZ47" s="4"/>
      <c r="LA47" s="4"/>
      <c r="LB47" s="4"/>
      <c r="LC47" s="4"/>
      <c r="LD47" s="4"/>
      <c r="LE47" s="4"/>
      <c r="LF47" s="4"/>
      <c r="LG47" s="4"/>
      <c r="LH47" s="4"/>
      <c r="LI47" s="4"/>
      <c r="LJ47" s="4"/>
      <c r="LK47" s="4"/>
      <c r="LL47" s="4"/>
      <c r="LM47" s="4"/>
      <c r="LN47" s="4"/>
      <c r="LO47" s="4"/>
      <c r="LP47" s="4"/>
      <c r="LQ47" s="4"/>
      <c r="LR47" s="4"/>
      <c r="LS47" s="4"/>
      <c r="LT47" s="4"/>
      <c r="LU47" s="4"/>
      <c r="LV47" s="4"/>
      <c r="LW47" s="4"/>
      <c r="LX47" s="4"/>
      <c r="LY47" s="4"/>
      <c r="LZ47" s="4"/>
      <c r="MA47" s="4"/>
      <c r="MB47" s="4"/>
      <c r="MC47" s="4"/>
      <c r="MD47" s="4"/>
      <c r="ME47" s="4"/>
      <c r="MF47" s="4"/>
      <c r="MG47" s="4"/>
      <c r="MH47" s="4"/>
      <c r="MI47" s="4"/>
      <c r="MJ47" s="4"/>
      <c r="MK47" s="4"/>
      <c r="ML47" s="4"/>
      <c r="MM47" s="4"/>
      <c r="MN47" s="4"/>
      <c r="MO47" s="4"/>
      <c r="MP47" s="4"/>
      <c r="MQ47" s="4"/>
      <c r="MR47" s="4"/>
      <c r="MS47" s="4"/>
      <c r="MT47" s="4"/>
      <c r="MU47" s="4"/>
      <c r="MV47" s="4"/>
      <c r="MW47" s="4"/>
      <c r="MX47" s="4"/>
      <c r="MY47" s="4"/>
      <c r="MZ47" s="4"/>
      <c r="NA47" s="4"/>
      <c r="NB47" s="4"/>
      <c r="NC47" s="4"/>
      <c r="ND47" s="4"/>
      <c r="NE47" s="4"/>
      <c r="NF47" s="4"/>
      <c r="NG47" s="4"/>
      <c r="NH47" s="4"/>
      <c r="NI47" s="4"/>
      <c r="NJ47" s="4"/>
      <c r="NK47" s="4"/>
      <c r="NL47" s="4"/>
      <c r="NM47" s="4"/>
      <c r="NN47" s="4"/>
      <c r="NO47" s="4"/>
      <c r="NP47" s="4"/>
      <c r="NQ47" s="4"/>
      <c r="NR47" s="4"/>
      <c r="NS47" s="4"/>
      <c r="NT47" s="4"/>
      <c r="NU47" s="4"/>
      <c r="NV47" s="4"/>
      <c r="NW47" s="4"/>
      <c r="NX47" s="4"/>
      <c r="NY47" s="4"/>
      <c r="NZ47" s="4"/>
      <c r="OA47" s="4"/>
      <c r="OB47" s="4"/>
      <c r="OC47" s="4"/>
      <c r="OD47" s="4"/>
      <c r="OE47" s="4"/>
      <c r="OF47" s="4"/>
      <c r="OG47" s="4"/>
      <c r="OH47" s="4"/>
      <c r="OI47" s="4"/>
    </row>
    <row r="48" spans="1:399" outlineLevel="1">
      <c r="A48" s="116"/>
      <c r="B48" s="116"/>
      <c r="C48" s="116">
        <v>0</v>
      </c>
      <c r="D48" s="3"/>
      <c r="E48" s="183"/>
      <c r="F48" s="183"/>
      <c r="G48" s="183"/>
      <c r="H48" s="183"/>
      <c r="I48" s="183"/>
      <c r="J48" s="183"/>
      <c r="K48" s="183"/>
      <c r="L48" s="183"/>
      <c r="M48" s="184"/>
      <c r="N48" s="184"/>
      <c r="O48" s="185"/>
      <c r="P48" s="186"/>
      <c r="Q48" s="186"/>
      <c r="R48" s="187">
        <v>0</v>
      </c>
      <c r="S48" s="187">
        <v>0</v>
      </c>
      <c r="T48" s="184"/>
      <c r="U48" s="184"/>
      <c r="V48" s="188"/>
      <c r="W48" s="189">
        <v>0</v>
      </c>
      <c r="X48" s="190"/>
      <c r="Y48" s="185"/>
      <c r="Z48" s="191"/>
      <c r="AA48" s="97"/>
      <c r="AB48" s="192"/>
      <c r="AC48" s="123"/>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c r="EY48" s="4"/>
      <c r="EZ48" s="4"/>
      <c r="FA48" s="4"/>
      <c r="FB48" s="4"/>
      <c r="FC48" s="4"/>
      <c r="FD48" s="4"/>
      <c r="FE48" s="4"/>
      <c r="FF48" s="4"/>
      <c r="FG48" s="4"/>
      <c r="FH48" s="4"/>
      <c r="FI48" s="4"/>
      <c r="FJ48" s="4"/>
      <c r="FK48" s="4"/>
      <c r="FL48" s="4"/>
      <c r="FM48" s="4"/>
      <c r="FN48" s="4"/>
      <c r="FO48" s="4"/>
      <c r="FP48" s="4"/>
      <c r="FQ48" s="4"/>
      <c r="FR48" s="4"/>
      <c r="FS48" s="4"/>
      <c r="FT48" s="4"/>
      <c r="FU48" s="4"/>
      <c r="FV48" s="4"/>
      <c r="FW48" s="4"/>
      <c r="FX48" s="4"/>
      <c r="FY48" s="4"/>
      <c r="FZ48" s="4"/>
      <c r="GA48" s="4"/>
      <c r="GB48" s="4"/>
      <c r="GC48" s="4"/>
      <c r="GD48" s="4"/>
      <c r="GE48" s="4"/>
      <c r="GF48" s="4"/>
      <c r="GG48" s="4"/>
      <c r="GH48" s="4"/>
      <c r="GI48" s="4"/>
      <c r="GJ48" s="4"/>
      <c r="GK48" s="4"/>
      <c r="GL48" s="4"/>
      <c r="GM48" s="4"/>
      <c r="GN48" s="4"/>
      <c r="GO48" s="4"/>
      <c r="GP48" s="4"/>
      <c r="GQ48" s="4"/>
      <c r="GR48" s="4"/>
      <c r="GS48" s="4"/>
      <c r="GT48" s="4"/>
      <c r="GU48" s="4"/>
      <c r="GV48" s="4"/>
      <c r="GW48" s="4"/>
      <c r="GX48" s="4"/>
      <c r="GY48" s="4"/>
      <c r="GZ48" s="4"/>
      <c r="HA48" s="4"/>
      <c r="HB48" s="4"/>
      <c r="HC48" s="4"/>
      <c r="HD48" s="4"/>
      <c r="HE48" s="4"/>
      <c r="HF48" s="4"/>
      <c r="HG48" s="4"/>
      <c r="HH48" s="4"/>
      <c r="HI48" s="4"/>
      <c r="HJ48" s="4"/>
      <c r="HK48" s="4"/>
      <c r="HL48" s="4"/>
      <c r="HM48" s="4"/>
      <c r="HN48" s="4"/>
      <c r="HO48" s="4"/>
      <c r="HP48" s="4"/>
      <c r="HQ48" s="4"/>
      <c r="HR48" s="4"/>
      <c r="HS48" s="4"/>
      <c r="HT48" s="4"/>
      <c r="HU48" s="4"/>
      <c r="HV48" s="4"/>
      <c r="HW48" s="4"/>
      <c r="HX48" s="4"/>
      <c r="HY48" s="4"/>
      <c r="HZ48" s="4"/>
      <c r="IA48" s="4"/>
      <c r="IB48" s="4"/>
      <c r="IC48" s="4"/>
      <c r="ID48" s="4"/>
      <c r="IE48" s="4"/>
      <c r="IF48" s="4"/>
      <c r="IG48" s="4"/>
      <c r="IH48" s="4"/>
      <c r="II48" s="4"/>
      <c r="IJ48" s="4"/>
      <c r="IK48" s="4"/>
      <c r="IL48" s="4"/>
      <c r="IM48" s="4"/>
      <c r="IN48" s="4"/>
      <c r="IO48" s="4"/>
      <c r="IP48" s="4"/>
      <c r="IQ48" s="4"/>
      <c r="IR48" s="4"/>
      <c r="IS48" s="4"/>
      <c r="IT48" s="4"/>
      <c r="IU48" s="4"/>
      <c r="IV48" s="4"/>
      <c r="IW48" s="4"/>
      <c r="IX48" s="4"/>
      <c r="IY48" s="4"/>
      <c r="IZ48" s="4"/>
      <c r="JA48" s="4"/>
      <c r="JB48" s="4"/>
      <c r="JC48" s="4"/>
      <c r="JD48" s="4"/>
      <c r="JE48" s="4"/>
      <c r="JF48" s="4"/>
      <c r="JG48" s="4"/>
      <c r="JH48" s="4"/>
      <c r="JI48" s="4"/>
      <c r="JJ48" s="4"/>
      <c r="JK48" s="4"/>
      <c r="JL48" s="4"/>
      <c r="JM48" s="4"/>
      <c r="JN48" s="4"/>
      <c r="JO48" s="4"/>
      <c r="JP48" s="4"/>
      <c r="JQ48" s="4"/>
      <c r="JR48" s="4"/>
      <c r="JS48" s="4"/>
      <c r="JT48" s="4"/>
      <c r="JU48" s="4"/>
      <c r="JV48" s="4"/>
      <c r="JW48" s="4"/>
      <c r="JX48" s="4"/>
      <c r="JY48" s="4"/>
      <c r="JZ48" s="4"/>
      <c r="KA48" s="4"/>
      <c r="KB48" s="4"/>
      <c r="KC48" s="4"/>
      <c r="KD48" s="4"/>
      <c r="KE48" s="4"/>
      <c r="KF48" s="4"/>
      <c r="KG48" s="4"/>
      <c r="KH48" s="4"/>
      <c r="KI48" s="4"/>
      <c r="KJ48" s="4"/>
      <c r="KK48" s="4"/>
      <c r="KL48" s="4"/>
      <c r="KM48" s="4"/>
      <c r="KN48" s="4"/>
      <c r="KO48" s="4"/>
      <c r="KP48" s="4"/>
      <c r="KQ48" s="4"/>
      <c r="KR48" s="4"/>
      <c r="KS48" s="4"/>
      <c r="KT48" s="4"/>
      <c r="KU48" s="4"/>
      <c r="KV48" s="4"/>
      <c r="KW48" s="4"/>
      <c r="KX48" s="4"/>
      <c r="KY48" s="4"/>
      <c r="KZ48" s="4"/>
      <c r="LA48" s="4"/>
      <c r="LB48" s="4"/>
      <c r="LC48" s="4"/>
      <c r="LD48" s="4"/>
      <c r="LE48" s="4"/>
      <c r="LF48" s="4"/>
      <c r="LG48" s="4"/>
      <c r="LH48" s="4"/>
      <c r="LI48" s="4"/>
      <c r="LJ48" s="4"/>
      <c r="LK48" s="4"/>
      <c r="LL48" s="4"/>
      <c r="LM48" s="4"/>
      <c r="LN48" s="4"/>
      <c r="LO48" s="4"/>
      <c r="LP48" s="4"/>
      <c r="LQ48" s="4"/>
      <c r="LR48" s="4"/>
      <c r="LS48" s="4"/>
      <c r="LT48" s="4"/>
      <c r="LU48" s="4"/>
      <c r="LV48" s="4"/>
      <c r="LW48" s="4"/>
      <c r="LX48" s="4"/>
      <c r="LY48" s="4"/>
      <c r="LZ48" s="4"/>
      <c r="MA48" s="4"/>
      <c r="MB48" s="4"/>
      <c r="MC48" s="4"/>
      <c r="MD48" s="4"/>
      <c r="ME48" s="4"/>
      <c r="MF48" s="4"/>
      <c r="MG48" s="4"/>
      <c r="MH48" s="4"/>
      <c r="MI48" s="4"/>
      <c r="MJ48" s="4"/>
      <c r="MK48" s="4"/>
      <c r="ML48" s="4"/>
      <c r="MM48" s="4"/>
      <c r="MN48" s="4"/>
      <c r="MO48" s="4"/>
      <c r="MP48" s="4"/>
      <c r="MQ48" s="4"/>
      <c r="MR48" s="4"/>
      <c r="MS48" s="4"/>
      <c r="MT48" s="4"/>
      <c r="MU48" s="4"/>
      <c r="MV48" s="4"/>
      <c r="MW48" s="4"/>
      <c r="MX48" s="4"/>
      <c r="MY48" s="4"/>
      <c r="MZ48" s="4"/>
      <c r="NA48" s="4"/>
      <c r="NB48" s="4"/>
      <c r="NC48" s="4"/>
      <c r="ND48" s="4"/>
      <c r="NE48" s="4"/>
      <c r="NF48" s="4"/>
      <c r="NG48" s="4"/>
      <c r="NH48" s="4"/>
      <c r="NI48" s="4"/>
      <c r="NJ48" s="4"/>
      <c r="NK48" s="4"/>
      <c r="NL48" s="4"/>
      <c r="NM48" s="4"/>
      <c r="NN48" s="4"/>
      <c r="NO48" s="4"/>
      <c r="NP48" s="4"/>
      <c r="NQ48" s="4"/>
      <c r="NR48" s="4"/>
      <c r="NS48" s="4"/>
      <c r="NT48" s="4"/>
      <c r="NU48" s="4"/>
      <c r="NV48" s="4"/>
      <c r="NW48" s="4"/>
      <c r="NX48" s="4"/>
      <c r="NY48" s="4"/>
      <c r="NZ48" s="4"/>
      <c r="OA48" s="4"/>
      <c r="OB48" s="4"/>
      <c r="OC48" s="4"/>
      <c r="OD48" s="4"/>
      <c r="OE48" s="4"/>
      <c r="OF48" s="4"/>
      <c r="OG48" s="4"/>
      <c r="OH48" s="4"/>
      <c r="OI48" s="4"/>
    </row>
    <row r="49" spans="1:399">
      <c r="A49" s="116"/>
      <c r="B49" s="116" t="s">
        <v>1061</v>
      </c>
      <c r="C49" s="116">
        <v>1</v>
      </c>
      <c r="D49" s="3" t="s">
        <v>1190</v>
      </c>
      <c r="E49" s="183" t="s">
        <v>1254</v>
      </c>
      <c r="F49" s="183"/>
      <c r="G49" s="183"/>
      <c r="H49" s="183"/>
      <c r="I49" s="183"/>
      <c r="J49" s="183"/>
      <c r="K49" s="183"/>
      <c r="L49" s="183"/>
      <c r="M49" s="184"/>
      <c r="N49" s="184"/>
      <c r="O49" s="185"/>
      <c r="P49" s="186">
        <v>0</v>
      </c>
      <c r="Q49" s="186">
        <v>0</v>
      </c>
      <c r="R49" s="187">
        <v>0</v>
      </c>
      <c r="S49" s="187">
        <v>0</v>
      </c>
      <c r="T49" s="184"/>
      <c r="U49" s="184"/>
      <c r="V49" s="188">
        <v>0</v>
      </c>
      <c r="W49" s="189">
        <v>0</v>
      </c>
      <c r="X49" s="190"/>
      <c r="Y49" s="185"/>
      <c r="Z49" s="191"/>
      <c r="AA49" s="97">
        <v>0</v>
      </c>
      <c r="AB49" s="192">
        <v>0</v>
      </c>
      <c r="AC49" s="123"/>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c r="EY49" s="4"/>
      <c r="EZ49" s="4"/>
      <c r="FA49" s="4"/>
      <c r="FB49" s="4"/>
      <c r="FC49" s="4"/>
      <c r="FD49" s="4"/>
      <c r="FE49" s="4"/>
      <c r="FF49" s="4"/>
      <c r="FG49" s="4"/>
      <c r="FH49" s="4"/>
      <c r="FI49" s="4"/>
      <c r="FJ49" s="4"/>
      <c r="FK49" s="4"/>
      <c r="FL49" s="4"/>
      <c r="FM49" s="4"/>
      <c r="FN49" s="4"/>
      <c r="FO49" s="4"/>
      <c r="FP49" s="4"/>
      <c r="FQ49" s="4"/>
      <c r="FR49" s="4"/>
      <c r="FS49" s="4"/>
      <c r="FT49" s="4"/>
      <c r="FU49" s="4"/>
      <c r="FV49" s="4"/>
      <c r="FW49" s="4"/>
      <c r="FX49" s="4"/>
      <c r="FY49" s="4"/>
      <c r="FZ49" s="4"/>
      <c r="GA49" s="4"/>
      <c r="GB49" s="4"/>
      <c r="GC49" s="4"/>
      <c r="GD49" s="4"/>
      <c r="GE49" s="4"/>
      <c r="GF49" s="4"/>
      <c r="GG49" s="4"/>
      <c r="GH49" s="4"/>
      <c r="GI49" s="4"/>
      <c r="GJ49" s="4"/>
      <c r="GK49" s="4"/>
      <c r="GL49" s="4"/>
      <c r="GM49" s="4"/>
      <c r="GN49" s="4"/>
      <c r="GO49" s="4"/>
      <c r="GP49" s="4"/>
      <c r="GQ49" s="4"/>
      <c r="GR49" s="4"/>
      <c r="GS49" s="4"/>
      <c r="GT49" s="4"/>
      <c r="GU49" s="4"/>
      <c r="GV49" s="4"/>
      <c r="GW49" s="4"/>
      <c r="GX49" s="4"/>
      <c r="GY49" s="4"/>
      <c r="GZ49" s="4"/>
      <c r="HA49" s="4"/>
      <c r="HB49" s="4"/>
      <c r="HC49" s="4"/>
      <c r="HD49" s="4"/>
      <c r="HE49" s="4"/>
      <c r="HF49" s="4"/>
      <c r="HG49" s="4"/>
      <c r="HH49" s="4"/>
      <c r="HI49" s="4"/>
      <c r="HJ49" s="4"/>
      <c r="HK49" s="4"/>
      <c r="HL49" s="4"/>
      <c r="HM49" s="4"/>
      <c r="HN49" s="4"/>
      <c r="HO49" s="4"/>
      <c r="HP49" s="4"/>
      <c r="HQ49" s="4"/>
      <c r="HR49" s="4"/>
      <c r="HS49" s="4"/>
      <c r="HT49" s="4"/>
      <c r="HU49" s="4"/>
      <c r="HV49" s="4"/>
      <c r="HW49" s="4"/>
      <c r="HX49" s="4"/>
      <c r="HY49" s="4"/>
      <c r="HZ49" s="4"/>
      <c r="IA49" s="4"/>
      <c r="IB49" s="4"/>
      <c r="IC49" s="4"/>
      <c r="ID49" s="4"/>
      <c r="IE49" s="4"/>
      <c r="IF49" s="4"/>
      <c r="IG49" s="4"/>
      <c r="IH49" s="4"/>
      <c r="II49" s="4"/>
      <c r="IJ49" s="4"/>
      <c r="IK49" s="4"/>
      <c r="IL49" s="4"/>
      <c r="IM49" s="4"/>
      <c r="IN49" s="4"/>
      <c r="IO49" s="4"/>
      <c r="IP49" s="4"/>
      <c r="IQ49" s="4"/>
      <c r="IR49" s="4"/>
      <c r="IS49" s="4"/>
      <c r="IT49" s="4"/>
      <c r="IU49" s="4"/>
      <c r="IV49" s="4"/>
      <c r="IW49" s="4"/>
      <c r="IX49" s="4"/>
      <c r="IY49" s="4"/>
      <c r="IZ49" s="4"/>
      <c r="JA49" s="4"/>
      <c r="JB49" s="4"/>
      <c r="JC49" s="4"/>
      <c r="JD49" s="4"/>
      <c r="JE49" s="4"/>
      <c r="JF49" s="4"/>
      <c r="JG49" s="4"/>
      <c r="JH49" s="4"/>
      <c r="JI49" s="4"/>
      <c r="JJ49" s="4"/>
      <c r="JK49" s="4"/>
      <c r="JL49" s="4"/>
      <c r="JM49" s="4"/>
      <c r="JN49" s="4"/>
      <c r="JO49" s="4"/>
      <c r="JP49" s="4"/>
      <c r="JQ49" s="4"/>
      <c r="JR49" s="4"/>
      <c r="JS49" s="4"/>
      <c r="JT49" s="4"/>
      <c r="JU49" s="4"/>
      <c r="JV49" s="4"/>
      <c r="JW49" s="4"/>
      <c r="JX49" s="4"/>
      <c r="JY49" s="4"/>
      <c r="JZ49" s="4"/>
      <c r="KA49" s="4"/>
      <c r="KB49" s="4"/>
      <c r="KC49" s="4"/>
      <c r="KD49" s="4"/>
      <c r="KE49" s="4"/>
      <c r="KF49" s="4"/>
      <c r="KG49" s="4"/>
      <c r="KH49" s="4"/>
      <c r="KI49" s="4"/>
      <c r="KJ49" s="4"/>
      <c r="KK49" s="4"/>
      <c r="KL49" s="4"/>
      <c r="KM49" s="4"/>
      <c r="KN49" s="4"/>
      <c r="KO49" s="4"/>
      <c r="KP49" s="4"/>
      <c r="KQ49" s="4"/>
      <c r="KR49" s="4"/>
      <c r="KS49" s="4"/>
      <c r="KT49" s="4"/>
      <c r="KU49" s="4"/>
      <c r="KV49" s="4"/>
      <c r="KW49" s="4"/>
      <c r="KX49" s="4"/>
      <c r="KY49" s="4"/>
      <c r="KZ49" s="4"/>
      <c r="LA49" s="4"/>
      <c r="LB49" s="4"/>
      <c r="LC49" s="4"/>
      <c r="LD49" s="4"/>
      <c r="LE49" s="4"/>
      <c r="LF49" s="4"/>
      <c r="LG49" s="4"/>
      <c r="LH49" s="4"/>
      <c r="LI49" s="4"/>
      <c r="LJ49" s="4"/>
      <c r="LK49" s="4"/>
      <c r="LL49" s="4"/>
      <c r="LM49" s="4"/>
      <c r="LN49" s="4"/>
      <c r="LO49" s="4"/>
      <c r="LP49" s="4"/>
      <c r="LQ49" s="4"/>
      <c r="LR49" s="4"/>
      <c r="LS49" s="4"/>
      <c r="LT49" s="4"/>
      <c r="LU49" s="4"/>
      <c r="LV49" s="4"/>
      <c r="LW49" s="4"/>
      <c r="LX49" s="4"/>
      <c r="LY49" s="4"/>
      <c r="LZ49" s="4"/>
      <c r="MA49" s="4"/>
      <c r="MB49" s="4"/>
      <c r="MC49" s="4"/>
      <c r="MD49" s="4"/>
      <c r="ME49" s="4"/>
      <c r="MF49" s="4"/>
      <c r="MG49" s="4"/>
      <c r="MH49" s="4"/>
      <c r="MI49" s="4"/>
      <c r="MJ49" s="4"/>
      <c r="MK49" s="4"/>
      <c r="ML49" s="4"/>
      <c r="MM49" s="4"/>
      <c r="MN49" s="4"/>
      <c r="MO49" s="4"/>
      <c r="MP49" s="4"/>
      <c r="MQ49" s="4"/>
      <c r="MR49" s="4"/>
      <c r="MS49" s="4"/>
      <c r="MT49" s="4"/>
      <c r="MU49" s="4"/>
      <c r="MV49" s="4"/>
      <c r="MW49" s="4"/>
      <c r="MX49" s="4"/>
      <c r="MY49" s="4"/>
      <c r="MZ49" s="4"/>
      <c r="NA49" s="4"/>
      <c r="NB49" s="4"/>
      <c r="NC49" s="4"/>
      <c r="ND49" s="4"/>
      <c r="NE49" s="4"/>
      <c r="NF49" s="4"/>
      <c r="NG49" s="4"/>
      <c r="NH49" s="4"/>
      <c r="NI49" s="4"/>
      <c r="NJ49" s="4"/>
      <c r="NK49" s="4"/>
      <c r="NL49" s="4"/>
      <c r="NM49" s="4"/>
      <c r="NN49" s="4"/>
      <c r="NO49" s="4"/>
      <c r="NP49" s="4"/>
      <c r="NQ49" s="4"/>
      <c r="NR49" s="4"/>
      <c r="NS49" s="4"/>
      <c r="NT49" s="4"/>
      <c r="NU49" s="4"/>
      <c r="NV49" s="4"/>
      <c r="NW49" s="4"/>
      <c r="NX49" s="4"/>
      <c r="NY49" s="4"/>
      <c r="NZ49" s="4"/>
      <c r="OA49" s="4"/>
      <c r="OB49" s="4"/>
      <c r="OC49" s="4"/>
      <c r="OD49" s="4"/>
      <c r="OE49" s="4"/>
      <c r="OF49" s="4"/>
      <c r="OG49" s="4"/>
      <c r="OH49" s="4"/>
      <c r="OI49" s="4"/>
    </row>
    <row r="50" spans="1:399" outlineLevel="1">
      <c r="A50" s="116"/>
      <c r="B50" s="116"/>
      <c r="C50" s="116">
        <v>2</v>
      </c>
      <c r="D50" s="3" t="s">
        <v>1191</v>
      </c>
      <c r="E50" s="183"/>
      <c r="F50" s="183" t="s">
        <v>1198</v>
      </c>
      <c r="G50" s="183"/>
      <c r="H50" s="183"/>
      <c r="I50" s="183"/>
      <c r="J50" s="183"/>
      <c r="K50" s="183"/>
      <c r="L50" s="183"/>
      <c r="M50" s="184"/>
      <c r="N50" s="184"/>
      <c r="O50" s="185"/>
      <c r="P50" s="186">
        <v>0</v>
      </c>
      <c r="Q50" s="186">
        <v>0</v>
      </c>
      <c r="R50" s="187">
        <v>0</v>
      </c>
      <c r="S50" s="187">
        <v>0</v>
      </c>
      <c r="T50" s="184"/>
      <c r="U50" s="184"/>
      <c r="V50" s="188">
        <v>0</v>
      </c>
      <c r="W50" s="189">
        <v>0</v>
      </c>
      <c r="X50" s="190">
        <v>1</v>
      </c>
      <c r="Y50" s="185"/>
      <c r="Z50" s="191"/>
      <c r="AA50" s="97">
        <v>0</v>
      </c>
      <c r="AB50" s="192">
        <v>0</v>
      </c>
      <c r="AC50" s="123"/>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c r="EY50" s="4"/>
      <c r="EZ50" s="4"/>
      <c r="FA50" s="4"/>
      <c r="FB50" s="4"/>
      <c r="FC50" s="4"/>
      <c r="FD50" s="4"/>
      <c r="FE50" s="4"/>
      <c r="FF50" s="4"/>
      <c r="FG50" s="4"/>
      <c r="FH50" s="4"/>
      <c r="FI50" s="4"/>
      <c r="FJ50" s="4"/>
      <c r="FK50" s="4"/>
      <c r="FL50" s="4"/>
      <c r="FM50" s="4"/>
      <c r="FN50" s="4"/>
      <c r="FO50" s="4"/>
      <c r="FP50" s="4"/>
      <c r="FQ50" s="4"/>
      <c r="FR50" s="4"/>
      <c r="FS50" s="4"/>
      <c r="FT50" s="4"/>
      <c r="FU50" s="4"/>
      <c r="FV50" s="4"/>
      <c r="FW50" s="4"/>
      <c r="FX50" s="4"/>
      <c r="FY50" s="4"/>
      <c r="FZ50" s="4"/>
      <c r="GA50" s="4"/>
      <c r="GB50" s="4"/>
      <c r="GC50" s="4"/>
      <c r="GD50" s="4"/>
      <c r="GE50" s="4"/>
      <c r="GF50" s="4"/>
      <c r="GG50" s="4"/>
      <c r="GH50" s="4"/>
      <c r="GI50" s="4"/>
      <c r="GJ50" s="4"/>
      <c r="GK50" s="4"/>
      <c r="GL50" s="4"/>
      <c r="GM50" s="4"/>
      <c r="GN50" s="4"/>
      <c r="GO50" s="4"/>
      <c r="GP50" s="4"/>
      <c r="GQ50" s="4"/>
      <c r="GR50" s="4"/>
      <c r="GS50" s="4"/>
      <c r="GT50" s="4"/>
      <c r="GU50" s="4"/>
      <c r="GV50" s="4"/>
      <c r="GW50" s="4"/>
      <c r="GX50" s="4"/>
      <c r="GY50" s="4"/>
      <c r="GZ50" s="4"/>
      <c r="HA50" s="4"/>
      <c r="HB50" s="4"/>
      <c r="HC50" s="4"/>
      <c r="HD50" s="4"/>
      <c r="HE50" s="4"/>
      <c r="HF50" s="4"/>
      <c r="HG50" s="4"/>
      <c r="HH50" s="4"/>
      <c r="HI50" s="4"/>
      <c r="HJ50" s="4"/>
      <c r="HK50" s="4"/>
      <c r="HL50" s="4"/>
      <c r="HM50" s="4"/>
      <c r="HN50" s="4"/>
      <c r="HO50" s="4"/>
      <c r="HP50" s="4"/>
      <c r="HQ50" s="4"/>
      <c r="HR50" s="4"/>
      <c r="HS50" s="4"/>
      <c r="HT50" s="4"/>
      <c r="HU50" s="4"/>
      <c r="HV50" s="4"/>
      <c r="HW50" s="4"/>
      <c r="HX50" s="4"/>
      <c r="HY50" s="4"/>
      <c r="HZ50" s="4"/>
      <c r="IA50" s="4"/>
      <c r="IB50" s="4"/>
      <c r="IC50" s="4"/>
      <c r="ID50" s="4"/>
      <c r="IE50" s="4"/>
      <c r="IF50" s="4"/>
      <c r="IG50" s="4"/>
      <c r="IH50" s="4"/>
      <c r="II50" s="4"/>
      <c r="IJ50" s="4"/>
      <c r="IK50" s="4"/>
      <c r="IL50" s="4"/>
      <c r="IM50" s="4"/>
      <c r="IN50" s="4"/>
      <c r="IO50" s="4"/>
      <c r="IP50" s="4"/>
      <c r="IQ50" s="4"/>
      <c r="IR50" s="4"/>
      <c r="IS50" s="4"/>
      <c r="IT50" s="4"/>
      <c r="IU50" s="4"/>
      <c r="IV50" s="4"/>
      <c r="IW50" s="4"/>
      <c r="IX50" s="4"/>
      <c r="IY50" s="4"/>
      <c r="IZ50" s="4"/>
      <c r="JA50" s="4"/>
      <c r="JB50" s="4"/>
      <c r="JC50" s="4"/>
      <c r="JD50" s="4"/>
      <c r="JE50" s="4"/>
      <c r="JF50" s="4"/>
      <c r="JG50" s="4"/>
      <c r="JH50" s="4"/>
      <c r="JI50" s="4"/>
      <c r="JJ50" s="4"/>
      <c r="JK50" s="4"/>
      <c r="JL50" s="4"/>
      <c r="JM50" s="4"/>
      <c r="JN50" s="4"/>
      <c r="JO50" s="4"/>
      <c r="JP50" s="4"/>
      <c r="JQ50" s="4"/>
      <c r="JR50" s="4"/>
      <c r="JS50" s="4"/>
      <c r="JT50" s="4"/>
      <c r="JU50" s="4"/>
      <c r="JV50" s="4"/>
      <c r="JW50" s="4"/>
      <c r="JX50" s="4"/>
      <c r="JY50" s="4"/>
      <c r="JZ50" s="4"/>
      <c r="KA50" s="4"/>
      <c r="KB50" s="4"/>
      <c r="KC50" s="4"/>
      <c r="KD50" s="4"/>
      <c r="KE50" s="4"/>
      <c r="KF50" s="4"/>
      <c r="KG50" s="4"/>
      <c r="KH50" s="4"/>
      <c r="KI50" s="4"/>
      <c r="KJ50" s="4"/>
      <c r="KK50" s="4"/>
      <c r="KL50" s="4"/>
      <c r="KM50" s="4"/>
      <c r="KN50" s="4"/>
      <c r="KO50" s="4"/>
      <c r="KP50" s="4"/>
      <c r="KQ50" s="4"/>
      <c r="KR50" s="4"/>
      <c r="KS50" s="4"/>
      <c r="KT50" s="4"/>
      <c r="KU50" s="4"/>
      <c r="KV50" s="4"/>
      <c r="KW50" s="4"/>
      <c r="KX50" s="4"/>
      <c r="KY50" s="4"/>
      <c r="KZ50" s="4"/>
      <c r="LA50" s="4"/>
      <c r="LB50" s="4"/>
      <c r="LC50" s="4"/>
      <c r="LD50" s="4"/>
      <c r="LE50" s="4"/>
      <c r="LF50" s="4"/>
      <c r="LG50" s="4"/>
      <c r="LH50" s="4"/>
      <c r="LI50" s="4"/>
      <c r="LJ50" s="4"/>
      <c r="LK50" s="4"/>
      <c r="LL50" s="4"/>
      <c r="LM50" s="4"/>
      <c r="LN50" s="4"/>
      <c r="LO50" s="4"/>
      <c r="LP50" s="4"/>
      <c r="LQ50" s="4"/>
      <c r="LR50" s="4"/>
      <c r="LS50" s="4"/>
      <c r="LT50" s="4"/>
      <c r="LU50" s="4"/>
      <c r="LV50" s="4"/>
      <c r="LW50" s="4"/>
      <c r="LX50" s="4"/>
      <c r="LY50" s="4"/>
      <c r="LZ50" s="4"/>
      <c r="MA50" s="4"/>
      <c r="MB50" s="4"/>
      <c r="MC50" s="4"/>
      <c r="MD50" s="4"/>
      <c r="ME50" s="4"/>
      <c r="MF50" s="4"/>
      <c r="MG50" s="4"/>
      <c r="MH50" s="4"/>
      <c r="MI50" s="4"/>
      <c r="MJ50" s="4"/>
      <c r="MK50" s="4"/>
      <c r="ML50" s="4"/>
      <c r="MM50" s="4"/>
      <c r="MN50" s="4"/>
      <c r="MO50" s="4"/>
      <c r="MP50" s="4"/>
      <c r="MQ50" s="4"/>
      <c r="MR50" s="4"/>
      <c r="MS50" s="4"/>
      <c r="MT50" s="4"/>
      <c r="MU50" s="4"/>
      <c r="MV50" s="4"/>
      <c r="MW50" s="4"/>
      <c r="MX50" s="4"/>
      <c r="MY50" s="4"/>
      <c r="MZ50" s="4"/>
      <c r="NA50" s="4"/>
      <c r="NB50" s="4"/>
      <c r="NC50" s="4"/>
      <c r="ND50" s="4"/>
      <c r="NE50" s="4"/>
      <c r="NF50" s="4"/>
      <c r="NG50" s="4"/>
      <c r="NH50" s="4"/>
      <c r="NI50" s="4"/>
      <c r="NJ50" s="4"/>
      <c r="NK50" s="4"/>
      <c r="NL50" s="4"/>
      <c r="NM50" s="4"/>
      <c r="NN50" s="4"/>
      <c r="NO50" s="4"/>
      <c r="NP50" s="4"/>
      <c r="NQ50" s="4"/>
      <c r="NR50" s="4"/>
      <c r="NS50" s="4"/>
      <c r="NT50" s="4"/>
      <c r="NU50" s="4"/>
      <c r="NV50" s="4"/>
      <c r="NW50" s="4"/>
      <c r="NX50" s="4"/>
      <c r="NY50" s="4"/>
      <c r="NZ50" s="4"/>
      <c r="OA50" s="4"/>
      <c r="OB50" s="4"/>
      <c r="OC50" s="4"/>
      <c r="OD50" s="4"/>
      <c r="OE50" s="4"/>
      <c r="OF50" s="4"/>
      <c r="OG50" s="4"/>
      <c r="OH50" s="4"/>
      <c r="OI50" s="4"/>
    </row>
    <row r="51" spans="1:399" outlineLevel="1">
      <c r="A51" s="116"/>
      <c r="B51" s="116"/>
      <c r="C51" s="116">
        <v>2</v>
      </c>
      <c r="D51" s="3" t="s">
        <v>1192</v>
      </c>
      <c r="E51" s="183"/>
      <c r="F51" s="183" t="s">
        <v>1178</v>
      </c>
      <c r="G51" s="183"/>
      <c r="H51" s="183"/>
      <c r="I51" s="183"/>
      <c r="J51" s="183"/>
      <c r="K51" s="183"/>
      <c r="L51" s="183"/>
      <c r="M51" s="184"/>
      <c r="N51" s="184"/>
      <c r="O51" s="185"/>
      <c r="P51" s="186">
        <v>0</v>
      </c>
      <c r="Q51" s="186">
        <v>0</v>
      </c>
      <c r="R51" s="187">
        <v>0</v>
      </c>
      <c r="S51" s="187">
        <v>0</v>
      </c>
      <c r="T51" s="184"/>
      <c r="U51" s="184"/>
      <c r="V51" s="188">
        <v>0</v>
      </c>
      <c r="W51" s="189">
        <v>0</v>
      </c>
      <c r="X51" s="190"/>
      <c r="Y51" s="185"/>
      <c r="Z51" s="191"/>
      <c r="AA51" s="97">
        <v>0</v>
      </c>
      <c r="AB51" s="192">
        <v>0</v>
      </c>
      <c r="AC51" s="123"/>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c r="ER51" s="4"/>
      <c r="ES51" s="4"/>
      <c r="ET51" s="4"/>
      <c r="EU51" s="4"/>
      <c r="EV51" s="4"/>
      <c r="EW51" s="4"/>
      <c r="EX51" s="4"/>
      <c r="EY51" s="4"/>
      <c r="EZ51" s="4"/>
      <c r="FA51" s="4"/>
      <c r="FB51" s="4"/>
      <c r="FC51" s="4"/>
      <c r="FD51" s="4"/>
      <c r="FE51" s="4"/>
      <c r="FF51" s="4"/>
      <c r="FG51" s="4"/>
      <c r="FH51" s="4"/>
      <c r="FI51" s="4"/>
      <c r="FJ51" s="4"/>
      <c r="FK51" s="4"/>
      <c r="FL51" s="4"/>
      <c r="FM51" s="4"/>
      <c r="FN51" s="4"/>
      <c r="FO51" s="4"/>
      <c r="FP51" s="4"/>
      <c r="FQ51" s="4"/>
      <c r="FR51" s="4"/>
      <c r="FS51" s="4"/>
      <c r="FT51" s="4"/>
      <c r="FU51" s="4"/>
      <c r="FV51" s="4"/>
      <c r="FW51" s="4"/>
      <c r="FX51" s="4"/>
      <c r="FY51" s="4"/>
      <c r="FZ51" s="4"/>
      <c r="GA51" s="4"/>
      <c r="GB51" s="4"/>
      <c r="GC51" s="4"/>
      <c r="GD51" s="4"/>
      <c r="GE51" s="4"/>
      <c r="GF51" s="4"/>
      <c r="GG51" s="4"/>
      <c r="GH51" s="4"/>
      <c r="GI51" s="4"/>
      <c r="GJ51" s="4"/>
      <c r="GK51" s="4"/>
      <c r="GL51" s="4"/>
      <c r="GM51" s="4"/>
      <c r="GN51" s="4"/>
      <c r="GO51" s="4"/>
      <c r="GP51" s="4"/>
      <c r="GQ51" s="4"/>
      <c r="GR51" s="4"/>
      <c r="GS51" s="4"/>
      <c r="GT51" s="4"/>
      <c r="GU51" s="4"/>
      <c r="GV51" s="4"/>
      <c r="GW51" s="4"/>
      <c r="GX51" s="4"/>
      <c r="GY51" s="4"/>
      <c r="GZ51" s="4"/>
      <c r="HA51" s="4"/>
      <c r="HB51" s="4"/>
      <c r="HC51" s="4"/>
      <c r="HD51" s="4"/>
      <c r="HE51" s="4"/>
      <c r="HF51" s="4"/>
      <c r="HG51" s="4"/>
      <c r="HH51" s="4"/>
      <c r="HI51" s="4"/>
      <c r="HJ51" s="4"/>
      <c r="HK51" s="4"/>
      <c r="HL51" s="4"/>
      <c r="HM51" s="4"/>
      <c r="HN51" s="4"/>
      <c r="HO51" s="4"/>
      <c r="HP51" s="4"/>
      <c r="HQ51" s="4"/>
      <c r="HR51" s="4"/>
      <c r="HS51" s="4"/>
      <c r="HT51" s="4"/>
      <c r="HU51" s="4"/>
      <c r="HV51" s="4"/>
      <c r="HW51" s="4"/>
      <c r="HX51" s="4"/>
      <c r="HY51" s="4"/>
      <c r="HZ51" s="4"/>
      <c r="IA51" s="4"/>
      <c r="IB51" s="4"/>
      <c r="IC51" s="4"/>
      <c r="ID51" s="4"/>
      <c r="IE51" s="4"/>
      <c r="IF51" s="4"/>
      <c r="IG51" s="4"/>
      <c r="IH51" s="4"/>
      <c r="II51" s="4"/>
      <c r="IJ51" s="4"/>
      <c r="IK51" s="4"/>
      <c r="IL51" s="4"/>
      <c r="IM51" s="4"/>
      <c r="IN51" s="4"/>
      <c r="IO51" s="4"/>
      <c r="IP51" s="4"/>
      <c r="IQ51" s="4"/>
      <c r="IR51" s="4"/>
      <c r="IS51" s="4"/>
      <c r="IT51" s="4"/>
      <c r="IU51" s="4"/>
      <c r="IV51" s="4"/>
      <c r="IW51" s="4"/>
      <c r="IX51" s="4"/>
      <c r="IY51" s="4"/>
      <c r="IZ51" s="4"/>
      <c r="JA51" s="4"/>
      <c r="JB51" s="4"/>
      <c r="JC51" s="4"/>
      <c r="JD51" s="4"/>
      <c r="JE51" s="4"/>
      <c r="JF51" s="4"/>
      <c r="JG51" s="4"/>
      <c r="JH51" s="4"/>
      <c r="JI51" s="4"/>
      <c r="JJ51" s="4"/>
      <c r="JK51" s="4"/>
      <c r="JL51" s="4"/>
      <c r="JM51" s="4"/>
      <c r="JN51" s="4"/>
      <c r="JO51" s="4"/>
      <c r="JP51" s="4"/>
      <c r="JQ51" s="4"/>
      <c r="JR51" s="4"/>
      <c r="JS51" s="4"/>
      <c r="JT51" s="4"/>
      <c r="JU51" s="4"/>
      <c r="JV51" s="4"/>
      <c r="JW51" s="4"/>
      <c r="JX51" s="4"/>
      <c r="JY51" s="4"/>
      <c r="JZ51" s="4"/>
      <c r="KA51" s="4"/>
      <c r="KB51" s="4"/>
      <c r="KC51" s="4"/>
      <c r="KD51" s="4"/>
      <c r="KE51" s="4"/>
      <c r="KF51" s="4"/>
      <c r="KG51" s="4"/>
      <c r="KH51" s="4"/>
      <c r="KI51" s="4"/>
      <c r="KJ51" s="4"/>
      <c r="KK51" s="4"/>
      <c r="KL51" s="4"/>
      <c r="KM51" s="4"/>
      <c r="KN51" s="4"/>
      <c r="KO51" s="4"/>
      <c r="KP51" s="4"/>
      <c r="KQ51" s="4"/>
      <c r="KR51" s="4"/>
      <c r="KS51" s="4"/>
      <c r="KT51" s="4"/>
      <c r="KU51" s="4"/>
      <c r="KV51" s="4"/>
      <c r="KW51" s="4"/>
      <c r="KX51" s="4"/>
      <c r="KY51" s="4"/>
      <c r="KZ51" s="4"/>
      <c r="LA51" s="4"/>
      <c r="LB51" s="4"/>
      <c r="LC51" s="4"/>
      <c r="LD51" s="4"/>
      <c r="LE51" s="4"/>
      <c r="LF51" s="4"/>
      <c r="LG51" s="4"/>
      <c r="LH51" s="4"/>
      <c r="LI51" s="4"/>
      <c r="LJ51" s="4"/>
      <c r="LK51" s="4"/>
      <c r="LL51" s="4"/>
      <c r="LM51" s="4"/>
      <c r="LN51" s="4"/>
      <c r="LO51" s="4"/>
      <c r="LP51" s="4"/>
      <c r="LQ51" s="4"/>
      <c r="LR51" s="4"/>
      <c r="LS51" s="4"/>
      <c r="LT51" s="4"/>
      <c r="LU51" s="4"/>
      <c r="LV51" s="4"/>
      <c r="LW51" s="4"/>
      <c r="LX51" s="4"/>
      <c r="LY51" s="4"/>
      <c r="LZ51" s="4"/>
      <c r="MA51" s="4"/>
      <c r="MB51" s="4"/>
      <c r="MC51" s="4"/>
      <c r="MD51" s="4"/>
      <c r="ME51" s="4"/>
      <c r="MF51" s="4"/>
      <c r="MG51" s="4"/>
      <c r="MH51" s="4"/>
      <c r="MI51" s="4"/>
      <c r="MJ51" s="4"/>
      <c r="MK51" s="4"/>
      <c r="ML51" s="4"/>
      <c r="MM51" s="4"/>
      <c r="MN51" s="4"/>
      <c r="MO51" s="4"/>
      <c r="MP51" s="4"/>
      <c r="MQ51" s="4"/>
      <c r="MR51" s="4"/>
      <c r="MS51" s="4"/>
      <c r="MT51" s="4"/>
      <c r="MU51" s="4"/>
      <c r="MV51" s="4"/>
      <c r="MW51" s="4"/>
      <c r="MX51" s="4"/>
      <c r="MY51" s="4"/>
      <c r="MZ51" s="4"/>
      <c r="NA51" s="4"/>
      <c r="NB51" s="4"/>
      <c r="NC51" s="4"/>
      <c r="ND51" s="4"/>
      <c r="NE51" s="4"/>
      <c r="NF51" s="4"/>
      <c r="NG51" s="4"/>
      <c r="NH51" s="4"/>
      <c r="NI51" s="4"/>
      <c r="NJ51" s="4"/>
      <c r="NK51" s="4"/>
      <c r="NL51" s="4"/>
      <c r="NM51" s="4"/>
      <c r="NN51" s="4"/>
      <c r="NO51" s="4"/>
      <c r="NP51" s="4"/>
      <c r="NQ51" s="4"/>
      <c r="NR51" s="4"/>
      <c r="NS51" s="4"/>
      <c r="NT51" s="4"/>
      <c r="NU51" s="4"/>
      <c r="NV51" s="4"/>
      <c r="NW51" s="4"/>
      <c r="NX51" s="4"/>
      <c r="NY51" s="4"/>
      <c r="NZ51" s="4"/>
      <c r="OA51" s="4"/>
      <c r="OB51" s="4"/>
      <c r="OC51" s="4"/>
      <c r="OD51" s="4"/>
      <c r="OE51" s="4"/>
      <c r="OF51" s="4"/>
      <c r="OG51" s="4"/>
      <c r="OH51" s="4"/>
      <c r="OI51" s="4"/>
    </row>
    <row r="52" spans="1:399" outlineLevel="1">
      <c r="A52" s="116"/>
      <c r="B52" s="116"/>
      <c r="C52" s="116">
        <v>2</v>
      </c>
      <c r="D52" s="3" t="s">
        <v>1193</v>
      </c>
      <c r="E52" s="183"/>
      <c r="F52" s="183" t="s">
        <v>1179</v>
      </c>
      <c r="G52" s="183"/>
      <c r="H52" s="183"/>
      <c r="I52" s="183"/>
      <c r="J52" s="183"/>
      <c r="K52" s="183"/>
      <c r="L52" s="183"/>
      <c r="M52" s="184"/>
      <c r="N52" s="184"/>
      <c r="O52" s="185"/>
      <c r="P52" s="186">
        <v>0</v>
      </c>
      <c r="Q52" s="186">
        <v>0</v>
      </c>
      <c r="R52" s="187">
        <v>0</v>
      </c>
      <c r="S52" s="187">
        <v>0</v>
      </c>
      <c r="T52" s="184"/>
      <c r="U52" s="184"/>
      <c r="V52" s="188">
        <v>0</v>
      </c>
      <c r="W52" s="189">
        <v>0</v>
      </c>
      <c r="X52" s="190"/>
      <c r="Y52" s="185"/>
      <c r="Z52" s="191"/>
      <c r="AA52" s="97">
        <v>0</v>
      </c>
      <c r="AB52" s="192">
        <v>0</v>
      </c>
      <c r="AC52" s="123"/>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c r="ER52" s="4"/>
      <c r="ES52" s="4"/>
      <c r="ET52" s="4"/>
      <c r="EU52" s="4"/>
      <c r="EV52" s="4"/>
      <c r="EW52" s="4"/>
      <c r="EX52" s="4"/>
      <c r="EY52" s="4"/>
      <c r="EZ52" s="4"/>
      <c r="FA52" s="4"/>
      <c r="FB52" s="4"/>
      <c r="FC52" s="4"/>
      <c r="FD52" s="4"/>
      <c r="FE52" s="4"/>
      <c r="FF52" s="4"/>
      <c r="FG52" s="4"/>
      <c r="FH52" s="4"/>
      <c r="FI52" s="4"/>
      <c r="FJ52" s="4"/>
      <c r="FK52" s="4"/>
      <c r="FL52" s="4"/>
      <c r="FM52" s="4"/>
      <c r="FN52" s="4"/>
      <c r="FO52" s="4"/>
      <c r="FP52" s="4"/>
      <c r="FQ52" s="4"/>
      <c r="FR52" s="4"/>
      <c r="FS52" s="4"/>
      <c r="FT52" s="4"/>
      <c r="FU52" s="4"/>
      <c r="FV52" s="4"/>
      <c r="FW52" s="4"/>
      <c r="FX52" s="4"/>
      <c r="FY52" s="4"/>
      <c r="FZ52" s="4"/>
      <c r="GA52" s="4"/>
      <c r="GB52" s="4"/>
      <c r="GC52" s="4"/>
      <c r="GD52" s="4"/>
      <c r="GE52" s="4"/>
      <c r="GF52" s="4"/>
      <c r="GG52" s="4"/>
      <c r="GH52" s="4"/>
      <c r="GI52" s="4"/>
      <c r="GJ52" s="4"/>
      <c r="GK52" s="4"/>
      <c r="GL52" s="4"/>
      <c r="GM52" s="4"/>
      <c r="GN52" s="4"/>
      <c r="GO52" s="4"/>
      <c r="GP52" s="4"/>
      <c r="GQ52" s="4"/>
      <c r="GR52" s="4"/>
      <c r="GS52" s="4"/>
      <c r="GT52" s="4"/>
      <c r="GU52" s="4"/>
      <c r="GV52" s="4"/>
      <c r="GW52" s="4"/>
      <c r="GX52" s="4"/>
      <c r="GY52" s="4"/>
      <c r="GZ52" s="4"/>
      <c r="HA52" s="4"/>
      <c r="HB52" s="4"/>
      <c r="HC52" s="4"/>
      <c r="HD52" s="4"/>
      <c r="HE52" s="4"/>
      <c r="HF52" s="4"/>
      <c r="HG52" s="4"/>
      <c r="HH52" s="4"/>
      <c r="HI52" s="4"/>
      <c r="HJ52" s="4"/>
      <c r="HK52" s="4"/>
      <c r="HL52" s="4"/>
      <c r="HM52" s="4"/>
      <c r="HN52" s="4"/>
      <c r="HO52" s="4"/>
      <c r="HP52" s="4"/>
      <c r="HQ52" s="4"/>
      <c r="HR52" s="4"/>
      <c r="HS52" s="4"/>
      <c r="HT52" s="4"/>
      <c r="HU52" s="4"/>
      <c r="HV52" s="4"/>
      <c r="HW52" s="4"/>
      <c r="HX52" s="4"/>
      <c r="HY52" s="4"/>
      <c r="HZ52" s="4"/>
      <c r="IA52" s="4"/>
      <c r="IB52" s="4"/>
      <c r="IC52" s="4"/>
      <c r="ID52" s="4"/>
      <c r="IE52" s="4"/>
      <c r="IF52" s="4"/>
      <c r="IG52" s="4"/>
      <c r="IH52" s="4"/>
      <c r="II52" s="4"/>
      <c r="IJ52" s="4"/>
      <c r="IK52" s="4"/>
      <c r="IL52" s="4"/>
      <c r="IM52" s="4"/>
      <c r="IN52" s="4"/>
      <c r="IO52" s="4"/>
      <c r="IP52" s="4"/>
      <c r="IQ52" s="4"/>
      <c r="IR52" s="4"/>
      <c r="IS52" s="4"/>
      <c r="IT52" s="4"/>
      <c r="IU52" s="4"/>
      <c r="IV52" s="4"/>
      <c r="IW52" s="4"/>
      <c r="IX52" s="4"/>
      <c r="IY52" s="4"/>
      <c r="IZ52" s="4"/>
      <c r="JA52" s="4"/>
      <c r="JB52" s="4"/>
      <c r="JC52" s="4"/>
      <c r="JD52" s="4"/>
      <c r="JE52" s="4"/>
      <c r="JF52" s="4"/>
      <c r="JG52" s="4"/>
      <c r="JH52" s="4"/>
      <c r="JI52" s="4"/>
      <c r="JJ52" s="4"/>
      <c r="JK52" s="4"/>
      <c r="JL52" s="4"/>
      <c r="JM52" s="4"/>
      <c r="JN52" s="4"/>
      <c r="JO52" s="4"/>
      <c r="JP52" s="4"/>
      <c r="JQ52" s="4"/>
      <c r="JR52" s="4"/>
      <c r="JS52" s="4"/>
      <c r="JT52" s="4"/>
      <c r="JU52" s="4"/>
      <c r="JV52" s="4"/>
      <c r="JW52" s="4"/>
      <c r="JX52" s="4"/>
      <c r="JY52" s="4"/>
      <c r="JZ52" s="4"/>
      <c r="KA52" s="4"/>
      <c r="KB52" s="4"/>
      <c r="KC52" s="4"/>
      <c r="KD52" s="4"/>
      <c r="KE52" s="4"/>
      <c r="KF52" s="4"/>
      <c r="KG52" s="4"/>
      <c r="KH52" s="4"/>
      <c r="KI52" s="4"/>
      <c r="KJ52" s="4"/>
      <c r="KK52" s="4"/>
      <c r="KL52" s="4"/>
      <c r="KM52" s="4"/>
      <c r="KN52" s="4"/>
      <c r="KO52" s="4"/>
      <c r="KP52" s="4"/>
      <c r="KQ52" s="4"/>
      <c r="KR52" s="4"/>
      <c r="KS52" s="4"/>
      <c r="KT52" s="4"/>
      <c r="KU52" s="4"/>
      <c r="KV52" s="4"/>
      <c r="KW52" s="4"/>
      <c r="KX52" s="4"/>
      <c r="KY52" s="4"/>
      <c r="KZ52" s="4"/>
      <c r="LA52" s="4"/>
      <c r="LB52" s="4"/>
      <c r="LC52" s="4"/>
      <c r="LD52" s="4"/>
      <c r="LE52" s="4"/>
      <c r="LF52" s="4"/>
      <c r="LG52" s="4"/>
      <c r="LH52" s="4"/>
      <c r="LI52" s="4"/>
      <c r="LJ52" s="4"/>
      <c r="LK52" s="4"/>
      <c r="LL52" s="4"/>
      <c r="LM52" s="4"/>
      <c r="LN52" s="4"/>
      <c r="LO52" s="4"/>
      <c r="LP52" s="4"/>
      <c r="LQ52" s="4"/>
      <c r="LR52" s="4"/>
      <c r="LS52" s="4"/>
      <c r="LT52" s="4"/>
      <c r="LU52" s="4"/>
      <c r="LV52" s="4"/>
      <c r="LW52" s="4"/>
      <c r="LX52" s="4"/>
      <c r="LY52" s="4"/>
      <c r="LZ52" s="4"/>
      <c r="MA52" s="4"/>
      <c r="MB52" s="4"/>
      <c r="MC52" s="4"/>
      <c r="MD52" s="4"/>
      <c r="ME52" s="4"/>
      <c r="MF52" s="4"/>
      <c r="MG52" s="4"/>
      <c r="MH52" s="4"/>
      <c r="MI52" s="4"/>
      <c r="MJ52" s="4"/>
      <c r="MK52" s="4"/>
      <c r="ML52" s="4"/>
      <c r="MM52" s="4"/>
      <c r="MN52" s="4"/>
      <c r="MO52" s="4"/>
      <c r="MP52" s="4"/>
      <c r="MQ52" s="4"/>
      <c r="MR52" s="4"/>
      <c r="MS52" s="4"/>
      <c r="MT52" s="4"/>
      <c r="MU52" s="4"/>
      <c r="MV52" s="4"/>
      <c r="MW52" s="4"/>
      <c r="MX52" s="4"/>
      <c r="MY52" s="4"/>
      <c r="MZ52" s="4"/>
      <c r="NA52" s="4"/>
      <c r="NB52" s="4"/>
      <c r="NC52" s="4"/>
      <c r="ND52" s="4"/>
      <c r="NE52" s="4"/>
      <c r="NF52" s="4"/>
      <c r="NG52" s="4"/>
      <c r="NH52" s="4"/>
      <c r="NI52" s="4"/>
      <c r="NJ52" s="4"/>
      <c r="NK52" s="4"/>
      <c r="NL52" s="4"/>
      <c r="NM52" s="4"/>
      <c r="NN52" s="4"/>
      <c r="NO52" s="4"/>
      <c r="NP52" s="4"/>
      <c r="NQ52" s="4"/>
      <c r="NR52" s="4"/>
      <c r="NS52" s="4"/>
      <c r="NT52" s="4"/>
      <c r="NU52" s="4"/>
      <c r="NV52" s="4"/>
      <c r="NW52" s="4"/>
      <c r="NX52" s="4"/>
      <c r="NY52" s="4"/>
      <c r="NZ52" s="4"/>
      <c r="OA52" s="4"/>
      <c r="OB52" s="4"/>
      <c r="OC52" s="4"/>
      <c r="OD52" s="4"/>
      <c r="OE52" s="4"/>
      <c r="OF52" s="4"/>
      <c r="OG52" s="4"/>
      <c r="OH52" s="4"/>
      <c r="OI52" s="4"/>
    </row>
    <row r="53" spans="1:399" outlineLevel="1">
      <c r="A53" s="116"/>
      <c r="B53" s="116"/>
      <c r="C53" s="116">
        <v>2</v>
      </c>
      <c r="D53" s="3" t="s">
        <v>1194</v>
      </c>
      <c r="E53" s="183"/>
      <c r="F53" s="183" t="s">
        <v>1180</v>
      </c>
      <c r="G53" s="183"/>
      <c r="H53" s="183"/>
      <c r="I53" s="183"/>
      <c r="J53" s="183"/>
      <c r="K53" s="183"/>
      <c r="L53" s="183"/>
      <c r="M53" s="184"/>
      <c r="N53" s="184"/>
      <c r="O53" s="185"/>
      <c r="P53" s="186">
        <v>0</v>
      </c>
      <c r="Q53" s="186">
        <v>0</v>
      </c>
      <c r="R53" s="187">
        <v>0</v>
      </c>
      <c r="S53" s="187">
        <v>0</v>
      </c>
      <c r="T53" s="184"/>
      <c r="U53" s="184"/>
      <c r="V53" s="188">
        <v>0</v>
      </c>
      <c r="W53" s="189">
        <v>0</v>
      </c>
      <c r="X53" s="190"/>
      <c r="Y53" s="185"/>
      <c r="Z53" s="191"/>
      <c r="AA53" s="97">
        <v>0</v>
      </c>
      <c r="AB53" s="192">
        <v>0</v>
      </c>
      <c r="AC53" s="123"/>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c r="ER53" s="4"/>
      <c r="ES53" s="4"/>
      <c r="ET53" s="4"/>
      <c r="EU53" s="4"/>
      <c r="EV53" s="4"/>
      <c r="EW53" s="4"/>
      <c r="EX53" s="4"/>
      <c r="EY53" s="4"/>
      <c r="EZ53" s="4"/>
      <c r="FA53" s="4"/>
      <c r="FB53" s="4"/>
      <c r="FC53" s="4"/>
      <c r="FD53" s="4"/>
      <c r="FE53" s="4"/>
      <c r="FF53" s="4"/>
      <c r="FG53" s="4"/>
      <c r="FH53" s="4"/>
      <c r="FI53" s="4"/>
      <c r="FJ53" s="4"/>
      <c r="FK53" s="4"/>
      <c r="FL53" s="4"/>
      <c r="FM53" s="4"/>
      <c r="FN53" s="4"/>
      <c r="FO53" s="4"/>
      <c r="FP53" s="4"/>
      <c r="FQ53" s="4"/>
      <c r="FR53" s="4"/>
      <c r="FS53" s="4"/>
      <c r="FT53" s="4"/>
      <c r="FU53" s="4"/>
      <c r="FV53" s="4"/>
      <c r="FW53" s="4"/>
      <c r="FX53" s="4"/>
      <c r="FY53" s="4"/>
      <c r="FZ53" s="4"/>
      <c r="GA53" s="4"/>
      <c r="GB53" s="4"/>
      <c r="GC53" s="4"/>
      <c r="GD53" s="4"/>
      <c r="GE53" s="4"/>
      <c r="GF53" s="4"/>
      <c r="GG53" s="4"/>
      <c r="GH53" s="4"/>
      <c r="GI53" s="4"/>
      <c r="GJ53" s="4"/>
      <c r="GK53" s="4"/>
      <c r="GL53" s="4"/>
      <c r="GM53" s="4"/>
      <c r="GN53" s="4"/>
      <c r="GO53" s="4"/>
      <c r="GP53" s="4"/>
      <c r="GQ53" s="4"/>
      <c r="GR53" s="4"/>
      <c r="GS53" s="4"/>
      <c r="GT53" s="4"/>
      <c r="GU53" s="4"/>
      <c r="GV53" s="4"/>
      <c r="GW53" s="4"/>
      <c r="GX53" s="4"/>
      <c r="GY53" s="4"/>
      <c r="GZ53" s="4"/>
      <c r="HA53" s="4"/>
      <c r="HB53" s="4"/>
      <c r="HC53" s="4"/>
      <c r="HD53" s="4"/>
      <c r="HE53" s="4"/>
      <c r="HF53" s="4"/>
      <c r="HG53" s="4"/>
      <c r="HH53" s="4"/>
      <c r="HI53" s="4"/>
      <c r="HJ53" s="4"/>
      <c r="HK53" s="4"/>
      <c r="HL53" s="4"/>
      <c r="HM53" s="4"/>
      <c r="HN53" s="4"/>
      <c r="HO53" s="4"/>
      <c r="HP53" s="4"/>
      <c r="HQ53" s="4"/>
      <c r="HR53" s="4"/>
      <c r="HS53" s="4"/>
      <c r="HT53" s="4"/>
      <c r="HU53" s="4"/>
      <c r="HV53" s="4"/>
      <c r="HW53" s="4"/>
      <c r="HX53" s="4"/>
      <c r="HY53" s="4"/>
      <c r="HZ53" s="4"/>
      <c r="IA53" s="4"/>
      <c r="IB53" s="4"/>
      <c r="IC53" s="4"/>
      <c r="ID53" s="4"/>
      <c r="IE53" s="4"/>
      <c r="IF53" s="4"/>
      <c r="IG53" s="4"/>
      <c r="IH53" s="4"/>
      <c r="II53" s="4"/>
      <c r="IJ53" s="4"/>
      <c r="IK53" s="4"/>
      <c r="IL53" s="4"/>
      <c r="IM53" s="4"/>
      <c r="IN53" s="4"/>
      <c r="IO53" s="4"/>
      <c r="IP53" s="4"/>
      <c r="IQ53" s="4"/>
      <c r="IR53" s="4"/>
      <c r="IS53" s="4"/>
      <c r="IT53" s="4"/>
      <c r="IU53" s="4"/>
      <c r="IV53" s="4"/>
      <c r="IW53" s="4"/>
      <c r="IX53" s="4"/>
      <c r="IY53" s="4"/>
      <c r="IZ53" s="4"/>
      <c r="JA53" s="4"/>
      <c r="JB53" s="4"/>
      <c r="JC53" s="4"/>
      <c r="JD53" s="4"/>
      <c r="JE53" s="4"/>
      <c r="JF53" s="4"/>
      <c r="JG53" s="4"/>
      <c r="JH53" s="4"/>
      <c r="JI53" s="4"/>
      <c r="JJ53" s="4"/>
      <c r="JK53" s="4"/>
      <c r="JL53" s="4"/>
      <c r="JM53" s="4"/>
      <c r="JN53" s="4"/>
      <c r="JO53" s="4"/>
      <c r="JP53" s="4"/>
      <c r="JQ53" s="4"/>
      <c r="JR53" s="4"/>
      <c r="JS53" s="4"/>
      <c r="JT53" s="4"/>
      <c r="JU53" s="4"/>
      <c r="JV53" s="4"/>
      <c r="JW53" s="4"/>
      <c r="JX53" s="4"/>
      <c r="JY53" s="4"/>
      <c r="JZ53" s="4"/>
      <c r="KA53" s="4"/>
      <c r="KB53" s="4"/>
      <c r="KC53" s="4"/>
      <c r="KD53" s="4"/>
      <c r="KE53" s="4"/>
      <c r="KF53" s="4"/>
      <c r="KG53" s="4"/>
      <c r="KH53" s="4"/>
      <c r="KI53" s="4"/>
      <c r="KJ53" s="4"/>
      <c r="KK53" s="4"/>
      <c r="KL53" s="4"/>
      <c r="KM53" s="4"/>
      <c r="KN53" s="4"/>
      <c r="KO53" s="4"/>
      <c r="KP53" s="4"/>
      <c r="KQ53" s="4"/>
      <c r="KR53" s="4"/>
      <c r="KS53" s="4"/>
      <c r="KT53" s="4"/>
      <c r="KU53" s="4"/>
      <c r="KV53" s="4"/>
      <c r="KW53" s="4"/>
      <c r="KX53" s="4"/>
      <c r="KY53" s="4"/>
      <c r="KZ53" s="4"/>
      <c r="LA53" s="4"/>
      <c r="LB53" s="4"/>
      <c r="LC53" s="4"/>
      <c r="LD53" s="4"/>
      <c r="LE53" s="4"/>
      <c r="LF53" s="4"/>
      <c r="LG53" s="4"/>
      <c r="LH53" s="4"/>
      <c r="LI53" s="4"/>
      <c r="LJ53" s="4"/>
      <c r="LK53" s="4"/>
      <c r="LL53" s="4"/>
      <c r="LM53" s="4"/>
      <c r="LN53" s="4"/>
      <c r="LO53" s="4"/>
      <c r="LP53" s="4"/>
      <c r="LQ53" s="4"/>
      <c r="LR53" s="4"/>
      <c r="LS53" s="4"/>
      <c r="LT53" s="4"/>
      <c r="LU53" s="4"/>
      <c r="LV53" s="4"/>
      <c r="LW53" s="4"/>
      <c r="LX53" s="4"/>
      <c r="LY53" s="4"/>
      <c r="LZ53" s="4"/>
      <c r="MA53" s="4"/>
      <c r="MB53" s="4"/>
      <c r="MC53" s="4"/>
      <c r="MD53" s="4"/>
      <c r="ME53" s="4"/>
      <c r="MF53" s="4"/>
      <c r="MG53" s="4"/>
      <c r="MH53" s="4"/>
      <c r="MI53" s="4"/>
      <c r="MJ53" s="4"/>
      <c r="MK53" s="4"/>
      <c r="ML53" s="4"/>
      <c r="MM53" s="4"/>
      <c r="MN53" s="4"/>
      <c r="MO53" s="4"/>
      <c r="MP53" s="4"/>
      <c r="MQ53" s="4"/>
      <c r="MR53" s="4"/>
      <c r="MS53" s="4"/>
      <c r="MT53" s="4"/>
      <c r="MU53" s="4"/>
      <c r="MV53" s="4"/>
      <c r="MW53" s="4"/>
      <c r="MX53" s="4"/>
      <c r="MY53" s="4"/>
      <c r="MZ53" s="4"/>
      <c r="NA53" s="4"/>
      <c r="NB53" s="4"/>
      <c r="NC53" s="4"/>
      <c r="ND53" s="4"/>
      <c r="NE53" s="4"/>
      <c r="NF53" s="4"/>
      <c r="NG53" s="4"/>
      <c r="NH53" s="4"/>
      <c r="NI53" s="4"/>
      <c r="NJ53" s="4"/>
      <c r="NK53" s="4"/>
      <c r="NL53" s="4"/>
      <c r="NM53" s="4"/>
      <c r="NN53" s="4"/>
      <c r="NO53" s="4"/>
      <c r="NP53" s="4"/>
      <c r="NQ53" s="4"/>
      <c r="NR53" s="4"/>
      <c r="NS53" s="4"/>
      <c r="NT53" s="4"/>
      <c r="NU53" s="4"/>
      <c r="NV53" s="4"/>
      <c r="NW53" s="4"/>
      <c r="NX53" s="4"/>
      <c r="NY53" s="4"/>
      <c r="NZ53" s="4"/>
      <c r="OA53" s="4"/>
      <c r="OB53" s="4"/>
      <c r="OC53" s="4"/>
      <c r="OD53" s="4"/>
      <c r="OE53" s="4"/>
      <c r="OF53" s="4"/>
      <c r="OG53" s="4"/>
      <c r="OH53" s="4"/>
      <c r="OI53" s="4"/>
    </row>
    <row r="54" spans="1:399" outlineLevel="1">
      <c r="A54" s="116"/>
      <c r="B54" s="116"/>
      <c r="C54" s="116">
        <v>2</v>
      </c>
      <c r="D54" s="3" t="s">
        <v>1195</v>
      </c>
      <c r="E54" s="183"/>
      <c r="F54" s="183" t="s">
        <v>1199</v>
      </c>
      <c r="G54" s="183"/>
      <c r="H54" s="183"/>
      <c r="I54" s="183"/>
      <c r="J54" s="183"/>
      <c r="K54" s="183"/>
      <c r="L54" s="183"/>
      <c r="M54" s="184"/>
      <c r="N54" s="184"/>
      <c r="O54" s="185"/>
      <c r="P54" s="186">
        <v>0</v>
      </c>
      <c r="Q54" s="186">
        <v>0</v>
      </c>
      <c r="R54" s="187">
        <v>0</v>
      </c>
      <c r="S54" s="187">
        <v>0</v>
      </c>
      <c r="T54" s="184"/>
      <c r="U54" s="184"/>
      <c r="V54" s="188">
        <v>0</v>
      </c>
      <c r="W54" s="189">
        <v>0</v>
      </c>
      <c r="X54" s="190"/>
      <c r="Y54" s="185" t="s">
        <v>1181</v>
      </c>
      <c r="Z54" s="191"/>
      <c r="AA54" s="97">
        <v>0</v>
      </c>
      <c r="AB54" s="192">
        <v>0</v>
      </c>
      <c r="AC54" s="123"/>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c r="ER54" s="4"/>
      <c r="ES54" s="4"/>
      <c r="ET54" s="4"/>
      <c r="EU54" s="4"/>
      <c r="EV54" s="4"/>
      <c r="EW54" s="4"/>
      <c r="EX54" s="4"/>
      <c r="EY54" s="4"/>
      <c r="EZ54" s="4"/>
      <c r="FA54" s="4"/>
      <c r="FB54" s="4"/>
      <c r="FC54" s="4"/>
      <c r="FD54" s="4"/>
      <c r="FE54" s="4"/>
      <c r="FF54" s="4"/>
      <c r="FG54" s="4"/>
      <c r="FH54" s="4"/>
      <c r="FI54" s="4"/>
      <c r="FJ54" s="4"/>
      <c r="FK54" s="4"/>
      <c r="FL54" s="4"/>
      <c r="FM54" s="4"/>
      <c r="FN54" s="4"/>
      <c r="FO54" s="4"/>
      <c r="FP54" s="4"/>
      <c r="FQ54" s="4"/>
      <c r="FR54" s="4"/>
      <c r="FS54" s="4"/>
      <c r="FT54" s="4"/>
      <c r="FU54" s="4"/>
      <c r="FV54" s="4"/>
      <c r="FW54" s="4"/>
      <c r="FX54" s="4"/>
      <c r="FY54" s="4"/>
      <c r="FZ54" s="4"/>
      <c r="GA54" s="4"/>
      <c r="GB54" s="4"/>
      <c r="GC54" s="4"/>
      <c r="GD54" s="4"/>
      <c r="GE54" s="4"/>
      <c r="GF54" s="4"/>
      <c r="GG54" s="4"/>
      <c r="GH54" s="4"/>
      <c r="GI54" s="4"/>
      <c r="GJ54" s="4"/>
      <c r="GK54" s="4"/>
      <c r="GL54" s="4"/>
      <c r="GM54" s="4"/>
      <c r="GN54" s="4"/>
      <c r="GO54" s="4"/>
      <c r="GP54" s="4"/>
      <c r="GQ54" s="4"/>
      <c r="GR54" s="4"/>
      <c r="GS54" s="4"/>
      <c r="GT54" s="4"/>
      <c r="GU54" s="4"/>
      <c r="GV54" s="4"/>
      <c r="GW54" s="4"/>
      <c r="GX54" s="4"/>
      <c r="GY54" s="4"/>
      <c r="GZ54" s="4"/>
      <c r="HA54" s="4"/>
      <c r="HB54" s="4"/>
      <c r="HC54" s="4"/>
      <c r="HD54" s="4"/>
      <c r="HE54" s="4"/>
      <c r="HF54" s="4"/>
      <c r="HG54" s="4"/>
      <c r="HH54" s="4"/>
      <c r="HI54" s="4"/>
      <c r="HJ54" s="4"/>
      <c r="HK54" s="4"/>
      <c r="HL54" s="4"/>
      <c r="HM54" s="4"/>
      <c r="HN54" s="4"/>
      <c r="HO54" s="4"/>
      <c r="HP54" s="4"/>
      <c r="HQ54" s="4"/>
      <c r="HR54" s="4"/>
      <c r="HS54" s="4"/>
      <c r="HT54" s="4"/>
      <c r="HU54" s="4"/>
      <c r="HV54" s="4"/>
      <c r="HW54" s="4"/>
      <c r="HX54" s="4"/>
      <c r="HY54" s="4"/>
      <c r="HZ54" s="4"/>
      <c r="IA54" s="4"/>
      <c r="IB54" s="4"/>
      <c r="IC54" s="4"/>
      <c r="ID54" s="4"/>
      <c r="IE54" s="4"/>
      <c r="IF54" s="4"/>
      <c r="IG54" s="4"/>
      <c r="IH54" s="4"/>
      <c r="II54" s="4"/>
      <c r="IJ54" s="4"/>
      <c r="IK54" s="4"/>
      <c r="IL54" s="4"/>
      <c r="IM54" s="4"/>
      <c r="IN54" s="4"/>
      <c r="IO54" s="4"/>
      <c r="IP54" s="4"/>
      <c r="IQ54" s="4"/>
      <c r="IR54" s="4"/>
      <c r="IS54" s="4"/>
      <c r="IT54" s="4"/>
      <c r="IU54" s="4"/>
      <c r="IV54" s="4"/>
      <c r="IW54" s="4"/>
      <c r="IX54" s="4"/>
      <c r="IY54" s="4"/>
      <c r="IZ54" s="4"/>
      <c r="JA54" s="4"/>
      <c r="JB54" s="4"/>
      <c r="JC54" s="4"/>
      <c r="JD54" s="4"/>
      <c r="JE54" s="4"/>
      <c r="JF54" s="4"/>
      <c r="JG54" s="4"/>
      <c r="JH54" s="4"/>
      <c r="JI54" s="4"/>
      <c r="JJ54" s="4"/>
      <c r="JK54" s="4"/>
      <c r="JL54" s="4"/>
      <c r="JM54" s="4"/>
      <c r="JN54" s="4"/>
      <c r="JO54" s="4"/>
      <c r="JP54" s="4"/>
      <c r="JQ54" s="4"/>
      <c r="JR54" s="4"/>
      <c r="JS54" s="4"/>
      <c r="JT54" s="4"/>
      <c r="JU54" s="4"/>
      <c r="JV54" s="4"/>
      <c r="JW54" s="4"/>
      <c r="JX54" s="4"/>
      <c r="JY54" s="4"/>
      <c r="JZ54" s="4"/>
      <c r="KA54" s="4"/>
      <c r="KB54" s="4"/>
      <c r="KC54" s="4"/>
      <c r="KD54" s="4"/>
      <c r="KE54" s="4"/>
      <c r="KF54" s="4"/>
      <c r="KG54" s="4"/>
      <c r="KH54" s="4"/>
      <c r="KI54" s="4"/>
      <c r="KJ54" s="4"/>
      <c r="KK54" s="4"/>
      <c r="KL54" s="4"/>
      <c r="KM54" s="4"/>
      <c r="KN54" s="4"/>
      <c r="KO54" s="4"/>
      <c r="KP54" s="4"/>
      <c r="KQ54" s="4"/>
      <c r="KR54" s="4"/>
      <c r="KS54" s="4"/>
      <c r="KT54" s="4"/>
      <c r="KU54" s="4"/>
      <c r="KV54" s="4"/>
      <c r="KW54" s="4"/>
      <c r="KX54" s="4"/>
      <c r="KY54" s="4"/>
      <c r="KZ54" s="4"/>
      <c r="LA54" s="4"/>
      <c r="LB54" s="4"/>
      <c r="LC54" s="4"/>
      <c r="LD54" s="4"/>
      <c r="LE54" s="4"/>
      <c r="LF54" s="4"/>
      <c r="LG54" s="4"/>
      <c r="LH54" s="4"/>
      <c r="LI54" s="4"/>
      <c r="LJ54" s="4"/>
      <c r="LK54" s="4"/>
      <c r="LL54" s="4"/>
      <c r="LM54" s="4"/>
      <c r="LN54" s="4"/>
      <c r="LO54" s="4"/>
      <c r="LP54" s="4"/>
      <c r="LQ54" s="4"/>
      <c r="LR54" s="4"/>
      <c r="LS54" s="4"/>
      <c r="LT54" s="4"/>
      <c r="LU54" s="4"/>
      <c r="LV54" s="4"/>
      <c r="LW54" s="4"/>
      <c r="LX54" s="4"/>
      <c r="LY54" s="4"/>
      <c r="LZ54" s="4"/>
      <c r="MA54" s="4"/>
      <c r="MB54" s="4"/>
      <c r="MC54" s="4"/>
      <c r="MD54" s="4"/>
      <c r="ME54" s="4"/>
      <c r="MF54" s="4"/>
      <c r="MG54" s="4"/>
      <c r="MH54" s="4"/>
      <c r="MI54" s="4"/>
      <c r="MJ54" s="4"/>
      <c r="MK54" s="4"/>
      <c r="ML54" s="4"/>
      <c r="MM54" s="4"/>
      <c r="MN54" s="4"/>
      <c r="MO54" s="4"/>
      <c r="MP54" s="4"/>
      <c r="MQ54" s="4"/>
      <c r="MR54" s="4"/>
      <c r="MS54" s="4"/>
      <c r="MT54" s="4"/>
      <c r="MU54" s="4"/>
      <c r="MV54" s="4"/>
      <c r="MW54" s="4"/>
      <c r="MX54" s="4"/>
      <c r="MY54" s="4"/>
      <c r="MZ54" s="4"/>
      <c r="NA54" s="4"/>
      <c r="NB54" s="4"/>
      <c r="NC54" s="4"/>
      <c r="ND54" s="4"/>
      <c r="NE54" s="4"/>
      <c r="NF54" s="4"/>
      <c r="NG54" s="4"/>
      <c r="NH54" s="4"/>
      <c r="NI54" s="4"/>
      <c r="NJ54" s="4"/>
      <c r="NK54" s="4"/>
      <c r="NL54" s="4"/>
      <c r="NM54" s="4"/>
      <c r="NN54" s="4"/>
      <c r="NO54" s="4"/>
      <c r="NP54" s="4"/>
      <c r="NQ54" s="4"/>
      <c r="NR54" s="4"/>
      <c r="NS54" s="4"/>
      <c r="NT54" s="4"/>
      <c r="NU54" s="4"/>
      <c r="NV54" s="4"/>
      <c r="NW54" s="4"/>
      <c r="NX54" s="4"/>
      <c r="NY54" s="4"/>
      <c r="NZ54" s="4"/>
      <c r="OA54" s="4"/>
      <c r="OB54" s="4"/>
      <c r="OC54" s="4"/>
      <c r="OD54" s="4"/>
      <c r="OE54" s="4"/>
      <c r="OF54" s="4"/>
      <c r="OG54" s="4"/>
      <c r="OH54" s="4"/>
      <c r="OI54" s="4"/>
    </row>
    <row r="55" spans="1:399" outlineLevel="1">
      <c r="A55" s="116"/>
      <c r="B55" s="116"/>
      <c r="C55" s="116">
        <v>2</v>
      </c>
      <c r="D55" s="3" t="s">
        <v>1196</v>
      </c>
      <c r="E55" s="183"/>
      <c r="F55" s="183" t="s">
        <v>1182</v>
      </c>
      <c r="G55" s="183"/>
      <c r="H55" s="183"/>
      <c r="I55" s="183"/>
      <c r="J55" s="183"/>
      <c r="K55" s="183"/>
      <c r="L55" s="183"/>
      <c r="M55" s="184"/>
      <c r="N55" s="184"/>
      <c r="O55" s="185"/>
      <c r="P55" s="186">
        <v>0</v>
      </c>
      <c r="Q55" s="186">
        <v>0</v>
      </c>
      <c r="R55" s="187">
        <v>0</v>
      </c>
      <c r="S55" s="187">
        <v>0</v>
      </c>
      <c r="T55" s="184"/>
      <c r="U55" s="184"/>
      <c r="V55" s="188">
        <v>0</v>
      </c>
      <c r="W55" s="189">
        <v>0</v>
      </c>
      <c r="X55" s="190"/>
      <c r="Y55" s="185"/>
      <c r="Z55" s="191"/>
      <c r="AA55" s="97">
        <v>0</v>
      </c>
      <c r="AB55" s="192">
        <v>0</v>
      </c>
      <c r="AC55" s="123"/>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c r="ER55" s="4"/>
      <c r="ES55" s="4"/>
      <c r="ET55" s="4"/>
      <c r="EU55" s="4"/>
      <c r="EV55" s="4"/>
      <c r="EW55" s="4"/>
      <c r="EX55" s="4"/>
      <c r="EY55" s="4"/>
      <c r="EZ55" s="4"/>
      <c r="FA55" s="4"/>
      <c r="FB55" s="4"/>
      <c r="FC55" s="4"/>
      <c r="FD55" s="4"/>
      <c r="FE55" s="4"/>
      <c r="FF55" s="4"/>
      <c r="FG55" s="4"/>
      <c r="FH55" s="4"/>
      <c r="FI55" s="4"/>
      <c r="FJ55" s="4"/>
      <c r="FK55" s="4"/>
      <c r="FL55" s="4"/>
      <c r="FM55" s="4"/>
      <c r="FN55" s="4"/>
      <c r="FO55" s="4"/>
      <c r="FP55" s="4"/>
      <c r="FQ55" s="4"/>
      <c r="FR55" s="4"/>
      <c r="FS55" s="4"/>
      <c r="FT55" s="4"/>
      <c r="FU55" s="4"/>
      <c r="FV55" s="4"/>
      <c r="FW55" s="4"/>
      <c r="FX55" s="4"/>
      <c r="FY55" s="4"/>
      <c r="FZ55" s="4"/>
      <c r="GA55" s="4"/>
      <c r="GB55" s="4"/>
      <c r="GC55" s="4"/>
      <c r="GD55" s="4"/>
      <c r="GE55" s="4"/>
      <c r="GF55" s="4"/>
      <c r="GG55" s="4"/>
      <c r="GH55" s="4"/>
      <c r="GI55" s="4"/>
      <c r="GJ55" s="4"/>
      <c r="GK55" s="4"/>
      <c r="GL55" s="4"/>
      <c r="GM55" s="4"/>
      <c r="GN55" s="4"/>
      <c r="GO55" s="4"/>
      <c r="GP55" s="4"/>
      <c r="GQ55" s="4"/>
      <c r="GR55" s="4"/>
      <c r="GS55" s="4"/>
      <c r="GT55" s="4"/>
      <c r="GU55" s="4"/>
      <c r="GV55" s="4"/>
      <c r="GW55" s="4"/>
      <c r="GX55" s="4"/>
      <c r="GY55" s="4"/>
      <c r="GZ55" s="4"/>
      <c r="HA55" s="4"/>
      <c r="HB55" s="4"/>
      <c r="HC55" s="4"/>
      <c r="HD55" s="4"/>
      <c r="HE55" s="4"/>
      <c r="HF55" s="4"/>
      <c r="HG55" s="4"/>
      <c r="HH55" s="4"/>
      <c r="HI55" s="4"/>
      <c r="HJ55" s="4"/>
      <c r="HK55" s="4"/>
      <c r="HL55" s="4"/>
      <c r="HM55" s="4"/>
      <c r="HN55" s="4"/>
      <c r="HO55" s="4"/>
      <c r="HP55" s="4"/>
      <c r="HQ55" s="4"/>
      <c r="HR55" s="4"/>
      <c r="HS55" s="4"/>
      <c r="HT55" s="4"/>
      <c r="HU55" s="4"/>
      <c r="HV55" s="4"/>
      <c r="HW55" s="4"/>
      <c r="HX55" s="4"/>
      <c r="HY55" s="4"/>
      <c r="HZ55" s="4"/>
      <c r="IA55" s="4"/>
      <c r="IB55" s="4"/>
      <c r="IC55" s="4"/>
      <c r="ID55" s="4"/>
      <c r="IE55" s="4"/>
      <c r="IF55" s="4"/>
      <c r="IG55" s="4"/>
      <c r="IH55" s="4"/>
      <c r="II55" s="4"/>
      <c r="IJ55" s="4"/>
      <c r="IK55" s="4"/>
      <c r="IL55" s="4"/>
      <c r="IM55" s="4"/>
      <c r="IN55" s="4"/>
      <c r="IO55" s="4"/>
      <c r="IP55" s="4"/>
      <c r="IQ55" s="4"/>
      <c r="IR55" s="4"/>
      <c r="IS55" s="4"/>
      <c r="IT55" s="4"/>
      <c r="IU55" s="4"/>
      <c r="IV55" s="4"/>
      <c r="IW55" s="4"/>
      <c r="IX55" s="4"/>
      <c r="IY55" s="4"/>
      <c r="IZ55" s="4"/>
      <c r="JA55" s="4"/>
      <c r="JB55" s="4"/>
      <c r="JC55" s="4"/>
      <c r="JD55" s="4"/>
      <c r="JE55" s="4"/>
      <c r="JF55" s="4"/>
      <c r="JG55" s="4"/>
      <c r="JH55" s="4"/>
      <c r="JI55" s="4"/>
      <c r="JJ55" s="4"/>
      <c r="JK55" s="4"/>
      <c r="JL55" s="4"/>
      <c r="JM55" s="4"/>
      <c r="JN55" s="4"/>
      <c r="JO55" s="4"/>
      <c r="JP55" s="4"/>
      <c r="JQ55" s="4"/>
      <c r="JR55" s="4"/>
      <c r="JS55" s="4"/>
      <c r="JT55" s="4"/>
      <c r="JU55" s="4"/>
      <c r="JV55" s="4"/>
      <c r="JW55" s="4"/>
      <c r="JX55" s="4"/>
      <c r="JY55" s="4"/>
      <c r="JZ55" s="4"/>
      <c r="KA55" s="4"/>
      <c r="KB55" s="4"/>
      <c r="KC55" s="4"/>
      <c r="KD55" s="4"/>
      <c r="KE55" s="4"/>
      <c r="KF55" s="4"/>
      <c r="KG55" s="4"/>
      <c r="KH55" s="4"/>
      <c r="KI55" s="4"/>
      <c r="KJ55" s="4"/>
      <c r="KK55" s="4"/>
      <c r="KL55" s="4"/>
      <c r="KM55" s="4"/>
      <c r="KN55" s="4"/>
      <c r="KO55" s="4"/>
      <c r="KP55" s="4"/>
      <c r="KQ55" s="4"/>
      <c r="KR55" s="4"/>
      <c r="KS55" s="4"/>
      <c r="KT55" s="4"/>
      <c r="KU55" s="4"/>
      <c r="KV55" s="4"/>
      <c r="KW55" s="4"/>
      <c r="KX55" s="4"/>
      <c r="KY55" s="4"/>
      <c r="KZ55" s="4"/>
      <c r="LA55" s="4"/>
      <c r="LB55" s="4"/>
      <c r="LC55" s="4"/>
      <c r="LD55" s="4"/>
      <c r="LE55" s="4"/>
      <c r="LF55" s="4"/>
      <c r="LG55" s="4"/>
      <c r="LH55" s="4"/>
      <c r="LI55" s="4"/>
      <c r="LJ55" s="4"/>
      <c r="LK55" s="4"/>
      <c r="LL55" s="4"/>
      <c r="LM55" s="4"/>
      <c r="LN55" s="4"/>
      <c r="LO55" s="4"/>
      <c r="LP55" s="4"/>
      <c r="LQ55" s="4"/>
      <c r="LR55" s="4"/>
      <c r="LS55" s="4"/>
      <c r="LT55" s="4"/>
      <c r="LU55" s="4"/>
      <c r="LV55" s="4"/>
      <c r="LW55" s="4"/>
      <c r="LX55" s="4"/>
      <c r="LY55" s="4"/>
      <c r="LZ55" s="4"/>
      <c r="MA55" s="4"/>
      <c r="MB55" s="4"/>
      <c r="MC55" s="4"/>
      <c r="MD55" s="4"/>
      <c r="ME55" s="4"/>
      <c r="MF55" s="4"/>
      <c r="MG55" s="4"/>
      <c r="MH55" s="4"/>
      <c r="MI55" s="4"/>
      <c r="MJ55" s="4"/>
      <c r="MK55" s="4"/>
      <c r="ML55" s="4"/>
      <c r="MM55" s="4"/>
      <c r="MN55" s="4"/>
      <c r="MO55" s="4"/>
      <c r="MP55" s="4"/>
      <c r="MQ55" s="4"/>
      <c r="MR55" s="4"/>
      <c r="MS55" s="4"/>
      <c r="MT55" s="4"/>
      <c r="MU55" s="4"/>
      <c r="MV55" s="4"/>
      <c r="MW55" s="4"/>
      <c r="MX55" s="4"/>
      <c r="MY55" s="4"/>
      <c r="MZ55" s="4"/>
      <c r="NA55" s="4"/>
      <c r="NB55" s="4"/>
      <c r="NC55" s="4"/>
      <c r="ND55" s="4"/>
      <c r="NE55" s="4"/>
      <c r="NF55" s="4"/>
      <c r="NG55" s="4"/>
      <c r="NH55" s="4"/>
      <c r="NI55" s="4"/>
      <c r="NJ55" s="4"/>
      <c r="NK55" s="4"/>
      <c r="NL55" s="4"/>
      <c r="NM55" s="4"/>
      <c r="NN55" s="4"/>
      <c r="NO55" s="4"/>
      <c r="NP55" s="4"/>
      <c r="NQ55" s="4"/>
      <c r="NR55" s="4"/>
      <c r="NS55" s="4"/>
      <c r="NT55" s="4"/>
      <c r="NU55" s="4"/>
      <c r="NV55" s="4"/>
      <c r="NW55" s="4"/>
      <c r="NX55" s="4"/>
      <c r="NY55" s="4"/>
      <c r="NZ55" s="4"/>
      <c r="OA55" s="4"/>
      <c r="OB55" s="4"/>
      <c r="OC55" s="4"/>
      <c r="OD55" s="4"/>
      <c r="OE55" s="4"/>
      <c r="OF55" s="4"/>
      <c r="OG55" s="4"/>
      <c r="OH55" s="4"/>
      <c r="OI55" s="4"/>
    </row>
    <row r="56" spans="1:399" outlineLevel="1">
      <c r="A56" s="116"/>
      <c r="B56" s="116"/>
      <c r="C56" s="116">
        <v>2</v>
      </c>
      <c r="D56" s="3" t="s">
        <v>1197</v>
      </c>
      <c r="E56" s="183"/>
      <c r="F56" s="183" t="s">
        <v>1183</v>
      </c>
      <c r="G56" s="183"/>
      <c r="H56" s="183"/>
      <c r="I56" s="183"/>
      <c r="J56" s="183"/>
      <c r="K56" s="183"/>
      <c r="L56" s="183"/>
      <c r="M56" s="184"/>
      <c r="N56" s="184"/>
      <c r="O56" s="185"/>
      <c r="P56" s="186">
        <v>0</v>
      </c>
      <c r="Q56" s="186">
        <v>0</v>
      </c>
      <c r="R56" s="187">
        <v>0</v>
      </c>
      <c r="S56" s="187">
        <v>0</v>
      </c>
      <c r="T56" s="184"/>
      <c r="U56" s="184"/>
      <c r="V56" s="188">
        <v>0</v>
      </c>
      <c r="W56" s="189">
        <v>0</v>
      </c>
      <c r="X56" s="190"/>
      <c r="Y56" s="185"/>
      <c r="Z56" s="191"/>
      <c r="AA56" s="97">
        <v>0</v>
      </c>
      <c r="AB56" s="192">
        <v>0</v>
      </c>
      <c r="AC56" s="123"/>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c r="ER56" s="4"/>
      <c r="ES56" s="4"/>
      <c r="ET56" s="4"/>
      <c r="EU56" s="4"/>
      <c r="EV56" s="4"/>
      <c r="EW56" s="4"/>
      <c r="EX56" s="4"/>
      <c r="EY56" s="4"/>
      <c r="EZ56" s="4"/>
      <c r="FA56" s="4"/>
      <c r="FB56" s="4"/>
      <c r="FC56" s="4"/>
      <c r="FD56" s="4"/>
      <c r="FE56" s="4"/>
      <c r="FF56" s="4"/>
      <c r="FG56" s="4"/>
      <c r="FH56" s="4"/>
      <c r="FI56" s="4"/>
      <c r="FJ56" s="4"/>
      <c r="FK56" s="4"/>
      <c r="FL56" s="4"/>
      <c r="FM56" s="4"/>
      <c r="FN56" s="4"/>
      <c r="FO56" s="4"/>
      <c r="FP56" s="4"/>
      <c r="FQ56" s="4"/>
      <c r="FR56" s="4"/>
      <c r="FS56" s="4"/>
      <c r="FT56" s="4"/>
      <c r="FU56" s="4"/>
      <c r="FV56" s="4"/>
      <c r="FW56" s="4"/>
      <c r="FX56" s="4"/>
      <c r="FY56" s="4"/>
      <c r="FZ56" s="4"/>
      <c r="GA56" s="4"/>
      <c r="GB56" s="4"/>
      <c r="GC56" s="4"/>
      <c r="GD56" s="4"/>
      <c r="GE56" s="4"/>
      <c r="GF56" s="4"/>
      <c r="GG56" s="4"/>
      <c r="GH56" s="4"/>
      <c r="GI56" s="4"/>
      <c r="GJ56" s="4"/>
      <c r="GK56" s="4"/>
      <c r="GL56" s="4"/>
      <c r="GM56" s="4"/>
      <c r="GN56" s="4"/>
      <c r="GO56" s="4"/>
      <c r="GP56" s="4"/>
      <c r="GQ56" s="4"/>
      <c r="GR56" s="4"/>
      <c r="GS56" s="4"/>
      <c r="GT56" s="4"/>
      <c r="GU56" s="4"/>
      <c r="GV56" s="4"/>
      <c r="GW56" s="4"/>
      <c r="GX56" s="4"/>
      <c r="GY56" s="4"/>
      <c r="GZ56" s="4"/>
      <c r="HA56" s="4"/>
      <c r="HB56" s="4"/>
      <c r="HC56" s="4"/>
      <c r="HD56" s="4"/>
      <c r="HE56" s="4"/>
      <c r="HF56" s="4"/>
      <c r="HG56" s="4"/>
      <c r="HH56" s="4"/>
      <c r="HI56" s="4"/>
      <c r="HJ56" s="4"/>
      <c r="HK56" s="4"/>
      <c r="HL56" s="4"/>
      <c r="HM56" s="4"/>
      <c r="HN56" s="4"/>
      <c r="HO56" s="4"/>
      <c r="HP56" s="4"/>
      <c r="HQ56" s="4"/>
      <c r="HR56" s="4"/>
      <c r="HS56" s="4"/>
      <c r="HT56" s="4"/>
      <c r="HU56" s="4"/>
      <c r="HV56" s="4"/>
      <c r="HW56" s="4"/>
      <c r="HX56" s="4"/>
      <c r="HY56" s="4"/>
      <c r="HZ56" s="4"/>
      <c r="IA56" s="4"/>
      <c r="IB56" s="4"/>
      <c r="IC56" s="4"/>
      <c r="ID56" s="4"/>
      <c r="IE56" s="4"/>
      <c r="IF56" s="4"/>
      <c r="IG56" s="4"/>
      <c r="IH56" s="4"/>
      <c r="II56" s="4"/>
      <c r="IJ56" s="4"/>
      <c r="IK56" s="4"/>
      <c r="IL56" s="4"/>
      <c r="IM56" s="4"/>
      <c r="IN56" s="4"/>
      <c r="IO56" s="4"/>
      <c r="IP56" s="4"/>
      <c r="IQ56" s="4"/>
      <c r="IR56" s="4"/>
      <c r="IS56" s="4"/>
      <c r="IT56" s="4"/>
      <c r="IU56" s="4"/>
      <c r="IV56" s="4"/>
      <c r="IW56" s="4"/>
      <c r="IX56" s="4"/>
      <c r="IY56" s="4"/>
      <c r="IZ56" s="4"/>
      <c r="JA56" s="4"/>
      <c r="JB56" s="4"/>
      <c r="JC56" s="4"/>
      <c r="JD56" s="4"/>
      <c r="JE56" s="4"/>
      <c r="JF56" s="4"/>
      <c r="JG56" s="4"/>
      <c r="JH56" s="4"/>
      <c r="JI56" s="4"/>
      <c r="JJ56" s="4"/>
      <c r="JK56" s="4"/>
      <c r="JL56" s="4"/>
      <c r="JM56" s="4"/>
      <c r="JN56" s="4"/>
      <c r="JO56" s="4"/>
      <c r="JP56" s="4"/>
      <c r="JQ56" s="4"/>
      <c r="JR56" s="4"/>
      <c r="JS56" s="4"/>
      <c r="JT56" s="4"/>
      <c r="JU56" s="4"/>
      <c r="JV56" s="4"/>
      <c r="JW56" s="4"/>
      <c r="JX56" s="4"/>
      <c r="JY56" s="4"/>
      <c r="JZ56" s="4"/>
      <c r="KA56" s="4"/>
      <c r="KB56" s="4"/>
      <c r="KC56" s="4"/>
      <c r="KD56" s="4"/>
      <c r="KE56" s="4"/>
      <c r="KF56" s="4"/>
      <c r="KG56" s="4"/>
      <c r="KH56" s="4"/>
      <c r="KI56" s="4"/>
      <c r="KJ56" s="4"/>
      <c r="KK56" s="4"/>
      <c r="KL56" s="4"/>
      <c r="KM56" s="4"/>
      <c r="KN56" s="4"/>
      <c r="KO56" s="4"/>
      <c r="KP56" s="4"/>
      <c r="KQ56" s="4"/>
      <c r="KR56" s="4"/>
      <c r="KS56" s="4"/>
      <c r="KT56" s="4"/>
      <c r="KU56" s="4"/>
      <c r="KV56" s="4"/>
      <c r="KW56" s="4"/>
      <c r="KX56" s="4"/>
      <c r="KY56" s="4"/>
      <c r="KZ56" s="4"/>
      <c r="LA56" s="4"/>
      <c r="LB56" s="4"/>
      <c r="LC56" s="4"/>
      <c r="LD56" s="4"/>
      <c r="LE56" s="4"/>
      <c r="LF56" s="4"/>
      <c r="LG56" s="4"/>
      <c r="LH56" s="4"/>
      <c r="LI56" s="4"/>
      <c r="LJ56" s="4"/>
      <c r="LK56" s="4"/>
      <c r="LL56" s="4"/>
      <c r="LM56" s="4"/>
      <c r="LN56" s="4"/>
      <c r="LO56" s="4"/>
      <c r="LP56" s="4"/>
      <c r="LQ56" s="4"/>
      <c r="LR56" s="4"/>
      <c r="LS56" s="4"/>
      <c r="LT56" s="4"/>
      <c r="LU56" s="4"/>
      <c r="LV56" s="4"/>
      <c r="LW56" s="4"/>
      <c r="LX56" s="4"/>
      <c r="LY56" s="4"/>
      <c r="LZ56" s="4"/>
      <c r="MA56" s="4"/>
      <c r="MB56" s="4"/>
      <c r="MC56" s="4"/>
      <c r="MD56" s="4"/>
      <c r="ME56" s="4"/>
      <c r="MF56" s="4"/>
      <c r="MG56" s="4"/>
      <c r="MH56" s="4"/>
      <c r="MI56" s="4"/>
      <c r="MJ56" s="4"/>
      <c r="MK56" s="4"/>
      <c r="ML56" s="4"/>
      <c r="MM56" s="4"/>
      <c r="MN56" s="4"/>
      <c r="MO56" s="4"/>
      <c r="MP56" s="4"/>
      <c r="MQ56" s="4"/>
      <c r="MR56" s="4"/>
      <c r="MS56" s="4"/>
      <c r="MT56" s="4"/>
      <c r="MU56" s="4"/>
      <c r="MV56" s="4"/>
      <c r="MW56" s="4"/>
      <c r="MX56" s="4"/>
      <c r="MY56" s="4"/>
      <c r="MZ56" s="4"/>
      <c r="NA56" s="4"/>
      <c r="NB56" s="4"/>
      <c r="NC56" s="4"/>
      <c r="ND56" s="4"/>
      <c r="NE56" s="4"/>
      <c r="NF56" s="4"/>
      <c r="NG56" s="4"/>
      <c r="NH56" s="4"/>
      <c r="NI56" s="4"/>
      <c r="NJ56" s="4"/>
      <c r="NK56" s="4"/>
      <c r="NL56" s="4"/>
      <c r="NM56" s="4"/>
      <c r="NN56" s="4"/>
      <c r="NO56" s="4"/>
      <c r="NP56" s="4"/>
      <c r="NQ56" s="4"/>
      <c r="NR56" s="4"/>
      <c r="NS56" s="4"/>
      <c r="NT56" s="4"/>
      <c r="NU56" s="4"/>
      <c r="NV56" s="4"/>
      <c r="NW56" s="4"/>
      <c r="NX56" s="4"/>
      <c r="NY56" s="4"/>
      <c r="NZ56" s="4"/>
      <c r="OA56" s="4"/>
      <c r="OB56" s="4"/>
      <c r="OC56" s="4"/>
      <c r="OD56" s="4"/>
      <c r="OE56" s="4"/>
      <c r="OF56" s="4"/>
      <c r="OG56" s="4"/>
      <c r="OH56" s="4"/>
      <c r="OI56" s="4"/>
    </row>
    <row r="57" spans="1:399" outlineLevel="1">
      <c r="A57" s="116"/>
      <c r="B57" s="116"/>
      <c r="C57" s="116">
        <v>0</v>
      </c>
      <c r="D57" s="3"/>
      <c r="E57" s="183"/>
      <c r="F57" s="183"/>
      <c r="G57" s="183"/>
      <c r="H57" s="183"/>
      <c r="I57" s="183"/>
      <c r="J57" s="183"/>
      <c r="K57" s="183"/>
      <c r="L57" s="183"/>
      <c r="M57" s="184"/>
      <c r="N57" s="184"/>
      <c r="O57" s="185"/>
      <c r="P57" s="186"/>
      <c r="Q57" s="186"/>
      <c r="R57" s="187">
        <v>0</v>
      </c>
      <c r="S57" s="187">
        <v>0</v>
      </c>
      <c r="T57" s="184"/>
      <c r="U57" s="184"/>
      <c r="V57" s="188"/>
      <c r="W57" s="189">
        <v>0</v>
      </c>
      <c r="X57" s="190"/>
      <c r="Y57" s="185"/>
      <c r="Z57" s="191"/>
      <c r="AA57" s="97"/>
      <c r="AB57" s="192"/>
      <c r="AC57" s="123"/>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c r="ER57" s="4"/>
      <c r="ES57" s="4"/>
      <c r="ET57" s="4"/>
      <c r="EU57" s="4"/>
      <c r="EV57" s="4"/>
      <c r="EW57" s="4"/>
      <c r="EX57" s="4"/>
      <c r="EY57" s="4"/>
      <c r="EZ57" s="4"/>
      <c r="FA57" s="4"/>
      <c r="FB57" s="4"/>
      <c r="FC57" s="4"/>
      <c r="FD57" s="4"/>
      <c r="FE57" s="4"/>
      <c r="FF57" s="4"/>
      <c r="FG57" s="4"/>
      <c r="FH57" s="4"/>
      <c r="FI57" s="4"/>
      <c r="FJ57" s="4"/>
      <c r="FK57" s="4"/>
      <c r="FL57" s="4"/>
      <c r="FM57" s="4"/>
      <c r="FN57" s="4"/>
      <c r="FO57" s="4"/>
      <c r="FP57" s="4"/>
      <c r="FQ57" s="4"/>
      <c r="FR57" s="4"/>
      <c r="FS57" s="4"/>
      <c r="FT57" s="4"/>
      <c r="FU57" s="4"/>
      <c r="FV57" s="4"/>
      <c r="FW57" s="4"/>
      <c r="FX57" s="4"/>
      <c r="FY57" s="4"/>
      <c r="FZ57" s="4"/>
      <c r="GA57" s="4"/>
      <c r="GB57" s="4"/>
      <c r="GC57" s="4"/>
      <c r="GD57" s="4"/>
      <c r="GE57" s="4"/>
      <c r="GF57" s="4"/>
      <c r="GG57" s="4"/>
      <c r="GH57" s="4"/>
      <c r="GI57" s="4"/>
      <c r="GJ57" s="4"/>
      <c r="GK57" s="4"/>
      <c r="GL57" s="4"/>
      <c r="GM57" s="4"/>
      <c r="GN57" s="4"/>
      <c r="GO57" s="4"/>
      <c r="GP57" s="4"/>
      <c r="GQ57" s="4"/>
      <c r="GR57" s="4"/>
      <c r="GS57" s="4"/>
      <c r="GT57" s="4"/>
      <c r="GU57" s="4"/>
      <c r="GV57" s="4"/>
      <c r="GW57" s="4"/>
      <c r="GX57" s="4"/>
      <c r="GY57" s="4"/>
      <c r="GZ57" s="4"/>
      <c r="HA57" s="4"/>
      <c r="HB57" s="4"/>
      <c r="HC57" s="4"/>
      <c r="HD57" s="4"/>
      <c r="HE57" s="4"/>
      <c r="HF57" s="4"/>
      <c r="HG57" s="4"/>
      <c r="HH57" s="4"/>
      <c r="HI57" s="4"/>
      <c r="HJ57" s="4"/>
      <c r="HK57" s="4"/>
      <c r="HL57" s="4"/>
      <c r="HM57" s="4"/>
      <c r="HN57" s="4"/>
      <c r="HO57" s="4"/>
      <c r="HP57" s="4"/>
      <c r="HQ57" s="4"/>
      <c r="HR57" s="4"/>
      <c r="HS57" s="4"/>
      <c r="HT57" s="4"/>
      <c r="HU57" s="4"/>
      <c r="HV57" s="4"/>
      <c r="HW57" s="4"/>
      <c r="HX57" s="4"/>
      <c r="HY57" s="4"/>
      <c r="HZ57" s="4"/>
      <c r="IA57" s="4"/>
      <c r="IB57" s="4"/>
      <c r="IC57" s="4"/>
      <c r="ID57" s="4"/>
      <c r="IE57" s="4"/>
      <c r="IF57" s="4"/>
      <c r="IG57" s="4"/>
      <c r="IH57" s="4"/>
      <c r="II57" s="4"/>
      <c r="IJ57" s="4"/>
      <c r="IK57" s="4"/>
      <c r="IL57" s="4"/>
      <c r="IM57" s="4"/>
      <c r="IN57" s="4"/>
      <c r="IO57" s="4"/>
      <c r="IP57" s="4"/>
      <c r="IQ57" s="4"/>
      <c r="IR57" s="4"/>
      <c r="IS57" s="4"/>
      <c r="IT57" s="4"/>
      <c r="IU57" s="4"/>
      <c r="IV57" s="4"/>
      <c r="IW57" s="4"/>
      <c r="IX57" s="4"/>
      <c r="IY57" s="4"/>
      <c r="IZ57" s="4"/>
      <c r="JA57" s="4"/>
      <c r="JB57" s="4"/>
      <c r="JC57" s="4"/>
      <c r="JD57" s="4"/>
      <c r="JE57" s="4"/>
      <c r="JF57" s="4"/>
      <c r="JG57" s="4"/>
      <c r="JH57" s="4"/>
      <c r="JI57" s="4"/>
      <c r="JJ57" s="4"/>
      <c r="JK57" s="4"/>
      <c r="JL57" s="4"/>
      <c r="JM57" s="4"/>
      <c r="JN57" s="4"/>
      <c r="JO57" s="4"/>
      <c r="JP57" s="4"/>
      <c r="JQ57" s="4"/>
      <c r="JR57" s="4"/>
      <c r="JS57" s="4"/>
      <c r="JT57" s="4"/>
      <c r="JU57" s="4"/>
      <c r="JV57" s="4"/>
      <c r="JW57" s="4"/>
      <c r="JX57" s="4"/>
      <c r="JY57" s="4"/>
      <c r="JZ57" s="4"/>
      <c r="KA57" s="4"/>
      <c r="KB57" s="4"/>
      <c r="KC57" s="4"/>
      <c r="KD57" s="4"/>
      <c r="KE57" s="4"/>
      <c r="KF57" s="4"/>
      <c r="KG57" s="4"/>
      <c r="KH57" s="4"/>
      <c r="KI57" s="4"/>
      <c r="KJ57" s="4"/>
      <c r="KK57" s="4"/>
      <c r="KL57" s="4"/>
      <c r="KM57" s="4"/>
      <c r="KN57" s="4"/>
      <c r="KO57" s="4"/>
      <c r="KP57" s="4"/>
      <c r="KQ57" s="4"/>
      <c r="KR57" s="4"/>
      <c r="KS57" s="4"/>
      <c r="KT57" s="4"/>
      <c r="KU57" s="4"/>
      <c r="KV57" s="4"/>
      <c r="KW57" s="4"/>
      <c r="KX57" s="4"/>
      <c r="KY57" s="4"/>
      <c r="KZ57" s="4"/>
      <c r="LA57" s="4"/>
      <c r="LB57" s="4"/>
      <c r="LC57" s="4"/>
      <c r="LD57" s="4"/>
      <c r="LE57" s="4"/>
      <c r="LF57" s="4"/>
      <c r="LG57" s="4"/>
      <c r="LH57" s="4"/>
      <c r="LI57" s="4"/>
      <c r="LJ57" s="4"/>
      <c r="LK57" s="4"/>
      <c r="LL57" s="4"/>
      <c r="LM57" s="4"/>
      <c r="LN57" s="4"/>
      <c r="LO57" s="4"/>
      <c r="LP57" s="4"/>
      <c r="LQ57" s="4"/>
      <c r="LR57" s="4"/>
      <c r="LS57" s="4"/>
      <c r="LT57" s="4"/>
      <c r="LU57" s="4"/>
      <c r="LV57" s="4"/>
      <c r="LW57" s="4"/>
      <c r="LX57" s="4"/>
      <c r="LY57" s="4"/>
      <c r="LZ57" s="4"/>
      <c r="MA57" s="4"/>
      <c r="MB57" s="4"/>
      <c r="MC57" s="4"/>
      <c r="MD57" s="4"/>
      <c r="ME57" s="4"/>
      <c r="MF57" s="4"/>
      <c r="MG57" s="4"/>
      <c r="MH57" s="4"/>
      <c r="MI57" s="4"/>
      <c r="MJ57" s="4"/>
      <c r="MK57" s="4"/>
      <c r="ML57" s="4"/>
      <c r="MM57" s="4"/>
      <c r="MN57" s="4"/>
      <c r="MO57" s="4"/>
      <c r="MP57" s="4"/>
      <c r="MQ57" s="4"/>
      <c r="MR57" s="4"/>
      <c r="MS57" s="4"/>
      <c r="MT57" s="4"/>
      <c r="MU57" s="4"/>
      <c r="MV57" s="4"/>
      <c r="MW57" s="4"/>
      <c r="MX57" s="4"/>
      <c r="MY57" s="4"/>
      <c r="MZ57" s="4"/>
      <c r="NA57" s="4"/>
      <c r="NB57" s="4"/>
      <c r="NC57" s="4"/>
      <c r="ND57" s="4"/>
      <c r="NE57" s="4"/>
      <c r="NF57" s="4"/>
      <c r="NG57" s="4"/>
      <c r="NH57" s="4"/>
      <c r="NI57" s="4"/>
      <c r="NJ57" s="4"/>
      <c r="NK57" s="4"/>
      <c r="NL57" s="4"/>
      <c r="NM57" s="4"/>
      <c r="NN57" s="4"/>
      <c r="NO57" s="4"/>
      <c r="NP57" s="4"/>
      <c r="NQ57" s="4"/>
      <c r="NR57" s="4"/>
      <c r="NS57" s="4"/>
      <c r="NT57" s="4"/>
      <c r="NU57" s="4"/>
      <c r="NV57" s="4"/>
      <c r="NW57" s="4"/>
      <c r="NX57" s="4"/>
      <c r="NY57" s="4"/>
      <c r="NZ57" s="4"/>
      <c r="OA57" s="4"/>
      <c r="OB57" s="4"/>
      <c r="OC57" s="4"/>
      <c r="OD57" s="4"/>
      <c r="OE57" s="4"/>
      <c r="OF57" s="4"/>
      <c r="OG57" s="4"/>
      <c r="OH57" s="4"/>
      <c r="OI57" s="4"/>
    </row>
    <row r="58" spans="1:399">
      <c r="A58" s="116"/>
      <c r="B58" s="116" t="s">
        <v>1061</v>
      </c>
      <c r="C58" s="116">
        <v>1</v>
      </c>
      <c r="D58" s="3" t="s">
        <v>1200</v>
      </c>
      <c r="E58" s="183" t="s">
        <v>1225</v>
      </c>
      <c r="F58" s="183"/>
      <c r="G58" s="183"/>
      <c r="H58" s="183"/>
      <c r="I58" s="183"/>
      <c r="J58" s="183"/>
      <c r="K58" s="183"/>
      <c r="L58" s="183"/>
      <c r="M58" s="184"/>
      <c r="N58" s="184"/>
      <c r="O58" s="185"/>
      <c r="P58" s="186">
        <v>0</v>
      </c>
      <c r="Q58" s="186">
        <v>0</v>
      </c>
      <c r="R58" s="187">
        <v>0</v>
      </c>
      <c r="S58" s="187">
        <v>0</v>
      </c>
      <c r="T58" s="184"/>
      <c r="U58" s="184"/>
      <c r="V58" s="188">
        <v>0</v>
      </c>
      <c r="W58" s="189">
        <v>0</v>
      </c>
      <c r="X58" s="190"/>
      <c r="Y58" s="185"/>
      <c r="Z58" s="191"/>
      <c r="AA58" s="97">
        <v>0</v>
      </c>
      <c r="AB58" s="192">
        <v>0</v>
      </c>
      <c r="AC58" s="123"/>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c r="ER58" s="4"/>
      <c r="ES58" s="4"/>
      <c r="ET58" s="4"/>
      <c r="EU58" s="4"/>
      <c r="EV58" s="4"/>
      <c r="EW58" s="4"/>
      <c r="EX58" s="4"/>
      <c r="EY58" s="4"/>
      <c r="EZ58" s="4"/>
      <c r="FA58" s="4"/>
      <c r="FB58" s="4"/>
      <c r="FC58" s="4"/>
      <c r="FD58" s="4"/>
      <c r="FE58" s="4"/>
      <c r="FF58" s="4"/>
      <c r="FG58" s="4"/>
      <c r="FH58" s="4"/>
      <c r="FI58" s="4"/>
      <c r="FJ58" s="4"/>
      <c r="FK58" s="4"/>
      <c r="FL58" s="4"/>
      <c r="FM58" s="4"/>
      <c r="FN58" s="4"/>
      <c r="FO58" s="4"/>
      <c r="FP58" s="4"/>
      <c r="FQ58" s="4"/>
      <c r="FR58" s="4"/>
      <c r="FS58" s="4"/>
      <c r="FT58" s="4"/>
      <c r="FU58" s="4"/>
      <c r="FV58" s="4"/>
      <c r="FW58" s="4"/>
      <c r="FX58" s="4"/>
      <c r="FY58" s="4"/>
      <c r="FZ58" s="4"/>
      <c r="GA58" s="4"/>
      <c r="GB58" s="4"/>
      <c r="GC58" s="4"/>
      <c r="GD58" s="4"/>
      <c r="GE58" s="4"/>
      <c r="GF58" s="4"/>
      <c r="GG58" s="4"/>
      <c r="GH58" s="4"/>
      <c r="GI58" s="4"/>
      <c r="GJ58" s="4"/>
      <c r="GK58" s="4"/>
      <c r="GL58" s="4"/>
      <c r="GM58" s="4"/>
      <c r="GN58" s="4"/>
      <c r="GO58" s="4"/>
      <c r="GP58" s="4"/>
      <c r="GQ58" s="4"/>
      <c r="GR58" s="4"/>
      <c r="GS58" s="4"/>
      <c r="GT58" s="4"/>
      <c r="GU58" s="4"/>
      <c r="GV58" s="4"/>
      <c r="GW58" s="4"/>
      <c r="GX58" s="4"/>
      <c r="GY58" s="4"/>
      <c r="GZ58" s="4"/>
      <c r="HA58" s="4"/>
      <c r="HB58" s="4"/>
      <c r="HC58" s="4"/>
      <c r="HD58" s="4"/>
      <c r="HE58" s="4"/>
      <c r="HF58" s="4"/>
      <c r="HG58" s="4"/>
      <c r="HH58" s="4"/>
      <c r="HI58" s="4"/>
      <c r="HJ58" s="4"/>
      <c r="HK58" s="4"/>
      <c r="HL58" s="4"/>
      <c r="HM58" s="4"/>
      <c r="HN58" s="4"/>
      <c r="HO58" s="4"/>
      <c r="HP58" s="4"/>
      <c r="HQ58" s="4"/>
      <c r="HR58" s="4"/>
      <c r="HS58" s="4"/>
      <c r="HT58" s="4"/>
      <c r="HU58" s="4"/>
      <c r="HV58" s="4"/>
      <c r="HW58" s="4"/>
      <c r="HX58" s="4"/>
      <c r="HY58" s="4"/>
      <c r="HZ58" s="4"/>
      <c r="IA58" s="4"/>
      <c r="IB58" s="4"/>
      <c r="IC58" s="4"/>
      <c r="ID58" s="4"/>
      <c r="IE58" s="4"/>
      <c r="IF58" s="4"/>
      <c r="IG58" s="4"/>
      <c r="IH58" s="4"/>
      <c r="II58" s="4"/>
      <c r="IJ58" s="4"/>
      <c r="IK58" s="4"/>
      <c r="IL58" s="4"/>
      <c r="IM58" s="4"/>
      <c r="IN58" s="4"/>
      <c r="IO58" s="4"/>
      <c r="IP58" s="4"/>
      <c r="IQ58" s="4"/>
      <c r="IR58" s="4"/>
      <c r="IS58" s="4"/>
      <c r="IT58" s="4"/>
      <c r="IU58" s="4"/>
      <c r="IV58" s="4"/>
      <c r="IW58" s="4"/>
      <c r="IX58" s="4"/>
      <c r="IY58" s="4"/>
      <c r="IZ58" s="4"/>
      <c r="JA58" s="4"/>
      <c r="JB58" s="4"/>
      <c r="JC58" s="4"/>
      <c r="JD58" s="4"/>
      <c r="JE58" s="4"/>
      <c r="JF58" s="4"/>
      <c r="JG58" s="4"/>
      <c r="JH58" s="4"/>
      <c r="JI58" s="4"/>
      <c r="JJ58" s="4"/>
      <c r="JK58" s="4"/>
      <c r="JL58" s="4"/>
      <c r="JM58" s="4"/>
      <c r="JN58" s="4"/>
      <c r="JO58" s="4"/>
      <c r="JP58" s="4"/>
      <c r="JQ58" s="4"/>
      <c r="JR58" s="4"/>
      <c r="JS58" s="4"/>
      <c r="JT58" s="4"/>
      <c r="JU58" s="4"/>
      <c r="JV58" s="4"/>
      <c r="JW58" s="4"/>
      <c r="JX58" s="4"/>
      <c r="JY58" s="4"/>
      <c r="JZ58" s="4"/>
      <c r="KA58" s="4"/>
      <c r="KB58" s="4"/>
      <c r="KC58" s="4"/>
      <c r="KD58" s="4"/>
      <c r="KE58" s="4"/>
      <c r="KF58" s="4"/>
      <c r="KG58" s="4"/>
      <c r="KH58" s="4"/>
      <c r="KI58" s="4"/>
      <c r="KJ58" s="4"/>
      <c r="KK58" s="4"/>
      <c r="KL58" s="4"/>
      <c r="KM58" s="4"/>
      <c r="KN58" s="4"/>
      <c r="KO58" s="4"/>
      <c r="KP58" s="4"/>
      <c r="KQ58" s="4"/>
      <c r="KR58" s="4"/>
      <c r="KS58" s="4"/>
      <c r="KT58" s="4"/>
      <c r="KU58" s="4"/>
      <c r="KV58" s="4"/>
      <c r="KW58" s="4"/>
      <c r="KX58" s="4"/>
      <c r="KY58" s="4"/>
      <c r="KZ58" s="4"/>
      <c r="LA58" s="4"/>
      <c r="LB58" s="4"/>
      <c r="LC58" s="4"/>
      <c r="LD58" s="4"/>
      <c r="LE58" s="4"/>
      <c r="LF58" s="4"/>
      <c r="LG58" s="4"/>
      <c r="LH58" s="4"/>
      <c r="LI58" s="4"/>
      <c r="LJ58" s="4"/>
      <c r="LK58" s="4"/>
      <c r="LL58" s="4"/>
      <c r="LM58" s="4"/>
      <c r="LN58" s="4"/>
      <c r="LO58" s="4"/>
      <c r="LP58" s="4"/>
      <c r="LQ58" s="4"/>
      <c r="LR58" s="4"/>
      <c r="LS58" s="4"/>
      <c r="LT58" s="4"/>
      <c r="LU58" s="4"/>
      <c r="LV58" s="4"/>
      <c r="LW58" s="4"/>
      <c r="LX58" s="4"/>
      <c r="LY58" s="4"/>
      <c r="LZ58" s="4"/>
      <c r="MA58" s="4"/>
      <c r="MB58" s="4"/>
      <c r="MC58" s="4"/>
      <c r="MD58" s="4"/>
      <c r="ME58" s="4"/>
      <c r="MF58" s="4"/>
      <c r="MG58" s="4"/>
      <c r="MH58" s="4"/>
      <c r="MI58" s="4"/>
      <c r="MJ58" s="4"/>
      <c r="MK58" s="4"/>
      <c r="ML58" s="4"/>
      <c r="MM58" s="4"/>
      <c r="MN58" s="4"/>
      <c r="MO58" s="4"/>
      <c r="MP58" s="4"/>
      <c r="MQ58" s="4"/>
      <c r="MR58" s="4"/>
      <c r="MS58" s="4"/>
      <c r="MT58" s="4"/>
      <c r="MU58" s="4"/>
      <c r="MV58" s="4"/>
      <c r="MW58" s="4"/>
      <c r="MX58" s="4"/>
      <c r="MY58" s="4"/>
      <c r="MZ58" s="4"/>
      <c r="NA58" s="4"/>
      <c r="NB58" s="4"/>
      <c r="NC58" s="4"/>
      <c r="ND58" s="4"/>
      <c r="NE58" s="4"/>
      <c r="NF58" s="4"/>
      <c r="NG58" s="4"/>
      <c r="NH58" s="4"/>
      <c r="NI58" s="4"/>
      <c r="NJ58" s="4"/>
      <c r="NK58" s="4"/>
      <c r="NL58" s="4"/>
      <c r="NM58" s="4"/>
      <c r="NN58" s="4"/>
      <c r="NO58" s="4"/>
      <c r="NP58" s="4"/>
      <c r="NQ58" s="4"/>
      <c r="NR58" s="4"/>
      <c r="NS58" s="4"/>
      <c r="NT58" s="4"/>
      <c r="NU58" s="4"/>
      <c r="NV58" s="4"/>
      <c r="NW58" s="4"/>
      <c r="NX58" s="4"/>
      <c r="NY58" s="4"/>
      <c r="NZ58" s="4"/>
      <c r="OA58" s="4"/>
      <c r="OB58" s="4"/>
      <c r="OC58" s="4"/>
      <c r="OD58" s="4"/>
      <c r="OE58" s="4"/>
      <c r="OF58" s="4"/>
      <c r="OG58" s="4"/>
      <c r="OH58" s="4"/>
      <c r="OI58" s="4"/>
    </row>
    <row r="59" spans="1:399" outlineLevel="1">
      <c r="A59" s="116"/>
      <c r="B59" s="116"/>
      <c r="C59" s="116">
        <v>2</v>
      </c>
      <c r="D59" s="3" t="s">
        <v>1201</v>
      </c>
      <c r="E59" s="183"/>
      <c r="F59" s="183" t="s">
        <v>1198</v>
      </c>
      <c r="G59" s="183"/>
      <c r="H59" s="183"/>
      <c r="I59" s="183"/>
      <c r="J59" s="183"/>
      <c r="K59" s="183"/>
      <c r="L59" s="183"/>
      <c r="M59" s="184"/>
      <c r="N59" s="184"/>
      <c r="O59" s="185"/>
      <c r="P59" s="186">
        <v>0</v>
      </c>
      <c r="Q59" s="186">
        <v>0</v>
      </c>
      <c r="R59" s="187">
        <v>0</v>
      </c>
      <c r="S59" s="187">
        <v>0</v>
      </c>
      <c r="T59" s="184"/>
      <c r="U59" s="184"/>
      <c r="V59" s="188">
        <v>0</v>
      </c>
      <c r="W59" s="189">
        <v>0</v>
      </c>
      <c r="X59" s="190">
        <v>1</v>
      </c>
      <c r="Y59" s="185"/>
      <c r="Z59" s="191"/>
      <c r="AA59" s="97">
        <v>0</v>
      </c>
      <c r="AB59" s="192">
        <v>0</v>
      </c>
      <c r="AC59" s="123"/>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c r="ER59" s="4"/>
      <c r="ES59" s="4"/>
      <c r="ET59" s="4"/>
      <c r="EU59" s="4"/>
      <c r="EV59" s="4"/>
      <c r="EW59" s="4"/>
      <c r="EX59" s="4"/>
      <c r="EY59" s="4"/>
      <c r="EZ59" s="4"/>
      <c r="FA59" s="4"/>
      <c r="FB59" s="4"/>
      <c r="FC59" s="4"/>
      <c r="FD59" s="4"/>
      <c r="FE59" s="4"/>
      <c r="FF59" s="4"/>
      <c r="FG59" s="4"/>
      <c r="FH59" s="4"/>
      <c r="FI59" s="4"/>
      <c r="FJ59" s="4"/>
      <c r="FK59" s="4"/>
      <c r="FL59" s="4"/>
      <c r="FM59" s="4"/>
      <c r="FN59" s="4"/>
      <c r="FO59" s="4"/>
      <c r="FP59" s="4"/>
      <c r="FQ59" s="4"/>
      <c r="FR59" s="4"/>
      <c r="FS59" s="4"/>
      <c r="FT59" s="4"/>
      <c r="FU59" s="4"/>
      <c r="FV59" s="4"/>
      <c r="FW59" s="4"/>
      <c r="FX59" s="4"/>
      <c r="FY59" s="4"/>
      <c r="FZ59" s="4"/>
      <c r="GA59" s="4"/>
      <c r="GB59" s="4"/>
      <c r="GC59" s="4"/>
      <c r="GD59" s="4"/>
      <c r="GE59" s="4"/>
      <c r="GF59" s="4"/>
      <c r="GG59" s="4"/>
      <c r="GH59" s="4"/>
      <c r="GI59" s="4"/>
      <c r="GJ59" s="4"/>
      <c r="GK59" s="4"/>
      <c r="GL59" s="4"/>
      <c r="GM59" s="4"/>
      <c r="GN59" s="4"/>
      <c r="GO59" s="4"/>
      <c r="GP59" s="4"/>
      <c r="GQ59" s="4"/>
      <c r="GR59" s="4"/>
      <c r="GS59" s="4"/>
      <c r="GT59" s="4"/>
      <c r="GU59" s="4"/>
      <c r="GV59" s="4"/>
      <c r="GW59" s="4"/>
      <c r="GX59" s="4"/>
      <c r="GY59" s="4"/>
      <c r="GZ59" s="4"/>
      <c r="HA59" s="4"/>
      <c r="HB59" s="4"/>
      <c r="HC59" s="4"/>
      <c r="HD59" s="4"/>
      <c r="HE59" s="4"/>
      <c r="HF59" s="4"/>
      <c r="HG59" s="4"/>
      <c r="HH59" s="4"/>
      <c r="HI59" s="4"/>
      <c r="HJ59" s="4"/>
      <c r="HK59" s="4"/>
      <c r="HL59" s="4"/>
      <c r="HM59" s="4"/>
      <c r="HN59" s="4"/>
      <c r="HO59" s="4"/>
      <c r="HP59" s="4"/>
      <c r="HQ59" s="4"/>
      <c r="HR59" s="4"/>
      <c r="HS59" s="4"/>
      <c r="HT59" s="4"/>
      <c r="HU59" s="4"/>
      <c r="HV59" s="4"/>
      <c r="HW59" s="4"/>
      <c r="HX59" s="4"/>
      <c r="HY59" s="4"/>
      <c r="HZ59" s="4"/>
      <c r="IA59" s="4"/>
      <c r="IB59" s="4"/>
      <c r="IC59" s="4"/>
      <c r="ID59" s="4"/>
      <c r="IE59" s="4"/>
      <c r="IF59" s="4"/>
      <c r="IG59" s="4"/>
      <c r="IH59" s="4"/>
      <c r="II59" s="4"/>
      <c r="IJ59" s="4"/>
      <c r="IK59" s="4"/>
      <c r="IL59" s="4"/>
      <c r="IM59" s="4"/>
      <c r="IN59" s="4"/>
      <c r="IO59" s="4"/>
      <c r="IP59" s="4"/>
      <c r="IQ59" s="4"/>
      <c r="IR59" s="4"/>
      <c r="IS59" s="4"/>
      <c r="IT59" s="4"/>
      <c r="IU59" s="4"/>
      <c r="IV59" s="4"/>
      <c r="IW59" s="4"/>
      <c r="IX59" s="4"/>
      <c r="IY59" s="4"/>
      <c r="IZ59" s="4"/>
      <c r="JA59" s="4"/>
      <c r="JB59" s="4"/>
      <c r="JC59" s="4"/>
      <c r="JD59" s="4"/>
      <c r="JE59" s="4"/>
      <c r="JF59" s="4"/>
      <c r="JG59" s="4"/>
      <c r="JH59" s="4"/>
      <c r="JI59" s="4"/>
      <c r="JJ59" s="4"/>
      <c r="JK59" s="4"/>
      <c r="JL59" s="4"/>
      <c r="JM59" s="4"/>
      <c r="JN59" s="4"/>
      <c r="JO59" s="4"/>
      <c r="JP59" s="4"/>
      <c r="JQ59" s="4"/>
      <c r="JR59" s="4"/>
      <c r="JS59" s="4"/>
      <c r="JT59" s="4"/>
      <c r="JU59" s="4"/>
      <c r="JV59" s="4"/>
      <c r="JW59" s="4"/>
      <c r="JX59" s="4"/>
      <c r="JY59" s="4"/>
      <c r="JZ59" s="4"/>
      <c r="KA59" s="4"/>
      <c r="KB59" s="4"/>
      <c r="KC59" s="4"/>
      <c r="KD59" s="4"/>
      <c r="KE59" s="4"/>
      <c r="KF59" s="4"/>
      <c r="KG59" s="4"/>
      <c r="KH59" s="4"/>
      <c r="KI59" s="4"/>
      <c r="KJ59" s="4"/>
      <c r="KK59" s="4"/>
      <c r="KL59" s="4"/>
      <c r="KM59" s="4"/>
      <c r="KN59" s="4"/>
      <c r="KO59" s="4"/>
      <c r="KP59" s="4"/>
      <c r="KQ59" s="4"/>
      <c r="KR59" s="4"/>
      <c r="KS59" s="4"/>
      <c r="KT59" s="4"/>
      <c r="KU59" s="4"/>
      <c r="KV59" s="4"/>
      <c r="KW59" s="4"/>
      <c r="KX59" s="4"/>
      <c r="KY59" s="4"/>
      <c r="KZ59" s="4"/>
      <c r="LA59" s="4"/>
      <c r="LB59" s="4"/>
      <c r="LC59" s="4"/>
      <c r="LD59" s="4"/>
      <c r="LE59" s="4"/>
      <c r="LF59" s="4"/>
      <c r="LG59" s="4"/>
      <c r="LH59" s="4"/>
      <c r="LI59" s="4"/>
      <c r="LJ59" s="4"/>
      <c r="LK59" s="4"/>
      <c r="LL59" s="4"/>
      <c r="LM59" s="4"/>
      <c r="LN59" s="4"/>
      <c r="LO59" s="4"/>
      <c r="LP59" s="4"/>
      <c r="LQ59" s="4"/>
      <c r="LR59" s="4"/>
      <c r="LS59" s="4"/>
      <c r="LT59" s="4"/>
      <c r="LU59" s="4"/>
      <c r="LV59" s="4"/>
      <c r="LW59" s="4"/>
      <c r="LX59" s="4"/>
      <c r="LY59" s="4"/>
      <c r="LZ59" s="4"/>
      <c r="MA59" s="4"/>
      <c r="MB59" s="4"/>
      <c r="MC59" s="4"/>
      <c r="MD59" s="4"/>
      <c r="ME59" s="4"/>
      <c r="MF59" s="4"/>
      <c r="MG59" s="4"/>
      <c r="MH59" s="4"/>
      <c r="MI59" s="4"/>
      <c r="MJ59" s="4"/>
      <c r="MK59" s="4"/>
      <c r="ML59" s="4"/>
      <c r="MM59" s="4"/>
      <c r="MN59" s="4"/>
      <c r="MO59" s="4"/>
      <c r="MP59" s="4"/>
      <c r="MQ59" s="4"/>
      <c r="MR59" s="4"/>
      <c r="MS59" s="4"/>
      <c r="MT59" s="4"/>
      <c r="MU59" s="4"/>
      <c r="MV59" s="4"/>
      <c r="MW59" s="4"/>
      <c r="MX59" s="4"/>
      <c r="MY59" s="4"/>
      <c r="MZ59" s="4"/>
      <c r="NA59" s="4"/>
      <c r="NB59" s="4"/>
      <c r="NC59" s="4"/>
      <c r="ND59" s="4"/>
      <c r="NE59" s="4"/>
      <c r="NF59" s="4"/>
      <c r="NG59" s="4"/>
      <c r="NH59" s="4"/>
      <c r="NI59" s="4"/>
      <c r="NJ59" s="4"/>
      <c r="NK59" s="4"/>
      <c r="NL59" s="4"/>
      <c r="NM59" s="4"/>
      <c r="NN59" s="4"/>
      <c r="NO59" s="4"/>
      <c r="NP59" s="4"/>
      <c r="NQ59" s="4"/>
      <c r="NR59" s="4"/>
      <c r="NS59" s="4"/>
      <c r="NT59" s="4"/>
      <c r="NU59" s="4"/>
      <c r="NV59" s="4"/>
      <c r="NW59" s="4"/>
      <c r="NX59" s="4"/>
      <c r="NY59" s="4"/>
      <c r="NZ59" s="4"/>
      <c r="OA59" s="4"/>
      <c r="OB59" s="4"/>
      <c r="OC59" s="4"/>
      <c r="OD59" s="4"/>
      <c r="OE59" s="4"/>
      <c r="OF59" s="4"/>
      <c r="OG59" s="4"/>
      <c r="OH59" s="4"/>
      <c r="OI59" s="4"/>
    </row>
    <row r="60" spans="1:399" outlineLevel="1">
      <c r="A60" s="116"/>
      <c r="B60" s="116"/>
      <c r="C60" s="116">
        <v>2</v>
      </c>
      <c r="D60" s="3" t="s">
        <v>1202</v>
      </c>
      <c r="E60" s="183"/>
      <c r="F60" s="183" t="s">
        <v>1178</v>
      </c>
      <c r="G60" s="183"/>
      <c r="H60" s="183"/>
      <c r="I60" s="183"/>
      <c r="J60" s="183"/>
      <c r="K60" s="183"/>
      <c r="L60" s="183"/>
      <c r="M60" s="184"/>
      <c r="N60" s="184"/>
      <c r="O60" s="185"/>
      <c r="P60" s="186">
        <v>0</v>
      </c>
      <c r="Q60" s="186">
        <v>0</v>
      </c>
      <c r="R60" s="187">
        <v>0</v>
      </c>
      <c r="S60" s="187">
        <v>0</v>
      </c>
      <c r="T60" s="184"/>
      <c r="U60" s="184"/>
      <c r="V60" s="188">
        <v>0</v>
      </c>
      <c r="W60" s="189">
        <v>0</v>
      </c>
      <c r="X60" s="190"/>
      <c r="Y60" s="185"/>
      <c r="Z60" s="191"/>
      <c r="AA60" s="97">
        <v>0</v>
      </c>
      <c r="AB60" s="192">
        <v>0</v>
      </c>
      <c r="AC60" s="123"/>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c r="ER60" s="4"/>
      <c r="ES60" s="4"/>
      <c r="ET60" s="4"/>
      <c r="EU60" s="4"/>
      <c r="EV60" s="4"/>
      <c r="EW60" s="4"/>
      <c r="EX60" s="4"/>
      <c r="EY60" s="4"/>
      <c r="EZ60" s="4"/>
      <c r="FA60" s="4"/>
      <c r="FB60" s="4"/>
      <c r="FC60" s="4"/>
      <c r="FD60" s="4"/>
      <c r="FE60" s="4"/>
      <c r="FF60" s="4"/>
      <c r="FG60" s="4"/>
      <c r="FH60" s="4"/>
      <c r="FI60" s="4"/>
      <c r="FJ60" s="4"/>
      <c r="FK60" s="4"/>
      <c r="FL60" s="4"/>
      <c r="FM60" s="4"/>
      <c r="FN60" s="4"/>
      <c r="FO60" s="4"/>
      <c r="FP60" s="4"/>
      <c r="FQ60" s="4"/>
      <c r="FR60" s="4"/>
      <c r="FS60" s="4"/>
      <c r="FT60" s="4"/>
      <c r="FU60" s="4"/>
      <c r="FV60" s="4"/>
      <c r="FW60" s="4"/>
      <c r="FX60" s="4"/>
      <c r="FY60" s="4"/>
      <c r="FZ60" s="4"/>
      <c r="GA60" s="4"/>
      <c r="GB60" s="4"/>
      <c r="GC60" s="4"/>
      <c r="GD60" s="4"/>
      <c r="GE60" s="4"/>
      <c r="GF60" s="4"/>
      <c r="GG60" s="4"/>
      <c r="GH60" s="4"/>
      <c r="GI60" s="4"/>
      <c r="GJ60" s="4"/>
      <c r="GK60" s="4"/>
      <c r="GL60" s="4"/>
      <c r="GM60" s="4"/>
      <c r="GN60" s="4"/>
      <c r="GO60" s="4"/>
      <c r="GP60" s="4"/>
      <c r="GQ60" s="4"/>
      <c r="GR60" s="4"/>
      <c r="GS60" s="4"/>
      <c r="GT60" s="4"/>
      <c r="GU60" s="4"/>
      <c r="GV60" s="4"/>
      <c r="GW60" s="4"/>
      <c r="GX60" s="4"/>
      <c r="GY60" s="4"/>
      <c r="GZ60" s="4"/>
      <c r="HA60" s="4"/>
      <c r="HB60" s="4"/>
      <c r="HC60" s="4"/>
      <c r="HD60" s="4"/>
      <c r="HE60" s="4"/>
      <c r="HF60" s="4"/>
      <c r="HG60" s="4"/>
      <c r="HH60" s="4"/>
      <c r="HI60" s="4"/>
      <c r="HJ60" s="4"/>
      <c r="HK60" s="4"/>
      <c r="HL60" s="4"/>
      <c r="HM60" s="4"/>
      <c r="HN60" s="4"/>
      <c r="HO60" s="4"/>
      <c r="HP60" s="4"/>
      <c r="HQ60" s="4"/>
      <c r="HR60" s="4"/>
      <c r="HS60" s="4"/>
      <c r="HT60" s="4"/>
      <c r="HU60" s="4"/>
      <c r="HV60" s="4"/>
      <c r="HW60" s="4"/>
      <c r="HX60" s="4"/>
      <c r="HY60" s="4"/>
      <c r="HZ60" s="4"/>
      <c r="IA60" s="4"/>
      <c r="IB60" s="4"/>
      <c r="IC60" s="4"/>
      <c r="ID60" s="4"/>
      <c r="IE60" s="4"/>
      <c r="IF60" s="4"/>
      <c r="IG60" s="4"/>
      <c r="IH60" s="4"/>
      <c r="II60" s="4"/>
      <c r="IJ60" s="4"/>
      <c r="IK60" s="4"/>
      <c r="IL60" s="4"/>
      <c r="IM60" s="4"/>
      <c r="IN60" s="4"/>
      <c r="IO60" s="4"/>
      <c r="IP60" s="4"/>
      <c r="IQ60" s="4"/>
      <c r="IR60" s="4"/>
      <c r="IS60" s="4"/>
      <c r="IT60" s="4"/>
      <c r="IU60" s="4"/>
      <c r="IV60" s="4"/>
      <c r="IW60" s="4"/>
      <c r="IX60" s="4"/>
      <c r="IY60" s="4"/>
      <c r="IZ60" s="4"/>
      <c r="JA60" s="4"/>
      <c r="JB60" s="4"/>
      <c r="JC60" s="4"/>
      <c r="JD60" s="4"/>
      <c r="JE60" s="4"/>
      <c r="JF60" s="4"/>
      <c r="JG60" s="4"/>
      <c r="JH60" s="4"/>
      <c r="JI60" s="4"/>
      <c r="JJ60" s="4"/>
      <c r="JK60" s="4"/>
      <c r="JL60" s="4"/>
      <c r="JM60" s="4"/>
      <c r="JN60" s="4"/>
      <c r="JO60" s="4"/>
      <c r="JP60" s="4"/>
      <c r="JQ60" s="4"/>
      <c r="JR60" s="4"/>
      <c r="JS60" s="4"/>
      <c r="JT60" s="4"/>
      <c r="JU60" s="4"/>
      <c r="JV60" s="4"/>
      <c r="JW60" s="4"/>
      <c r="JX60" s="4"/>
      <c r="JY60" s="4"/>
      <c r="JZ60" s="4"/>
      <c r="KA60" s="4"/>
      <c r="KB60" s="4"/>
      <c r="KC60" s="4"/>
      <c r="KD60" s="4"/>
      <c r="KE60" s="4"/>
      <c r="KF60" s="4"/>
      <c r="KG60" s="4"/>
      <c r="KH60" s="4"/>
      <c r="KI60" s="4"/>
      <c r="KJ60" s="4"/>
      <c r="KK60" s="4"/>
      <c r="KL60" s="4"/>
      <c r="KM60" s="4"/>
      <c r="KN60" s="4"/>
      <c r="KO60" s="4"/>
      <c r="KP60" s="4"/>
      <c r="KQ60" s="4"/>
      <c r="KR60" s="4"/>
      <c r="KS60" s="4"/>
      <c r="KT60" s="4"/>
      <c r="KU60" s="4"/>
      <c r="KV60" s="4"/>
      <c r="KW60" s="4"/>
      <c r="KX60" s="4"/>
      <c r="KY60" s="4"/>
      <c r="KZ60" s="4"/>
      <c r="LA60" s="4"/>
      <c r="LB60" s="4"/>
      <c r="LC60" s="4"/>
      <c r="LD60" s="4"/>
      <c r="LE60" s="4"/>
      <c r="LF60" s="4"/>
      <c r="LG60" s="4"/>
      <c r="LH60" s="4"/>
      <c r="LI60" s="4"/>
      <c r="LJ60" s="4"/>
      <c r="LK60" s="4"/>
      <c r="LL60" s="4"/>
      <c r="LM60" s="4"/>
      <c r="LN60" s="4"/>
      <c r="LO60" s="4"/>
      <c r="LP60" s="4"/>
      <c r="LQ60" s="4"/>
      <c r="LR60" s="4"/>
      <c r="LS60" s="4"/>
      <c r="LT60" s="4"/>
      <c r="LU60" s="4"/>
      <c r="LV60" s="4"/>
      <c r="LW60" s="4"/>
      <c r="LX60" s="4"/>
      <c r="LY60" s="4"/>
      <c r="LZ60" s="4"/>
      <c r="MA60" s="4"/>
      <c r="MB60" s="4"/>
      <c r="MC60" s="4"/>
      <c r="MD60" s="4"/>
      <c r="ME60" s="4"/>
      <c r="MF60" s="4"/>
      <c r="MG60" s="4"/>
      <c r="MH60" s="4"/>
      <c r="MI60" s="4"/>
      <c r="MJ60" s="4"/>
      <c r="MK60" s="4"/>
      <c r="ML60" s="4"/>
      <c r="MM60" s="4"/>
      <c r="MN60" s="4"/>
      <c r="MO60" s="4"/>
      <c r="MP60" s="4"/>
      <c r="MQ60" s="4"/>
      <c r="MR60" s="4"/>
      <c r="MS60" s="4"/>
      <c r="MT60" s="4"/>
      <c r="MU60" s="4"/>
      <c r="MV60" s="4"/>
      <c r="MW60" s="4"/>
      <c r="MX60" s="4"/>
      <c r="MY60" s="4"/>
      <c r="MZ60" s="4"/>
      <c r="NA60" s="4"/>
      <c r="NB60" s="4"/>
      <c r="NC60" s="4"/>
      <c r="ND60" s="4"/>
      <c r="NE60" s="4"/>
      <c r="NF60" s="4"/>
      <c r="NG60" s="4"/>
      <c r="NH60" s="4"/>
      <c r="NI60" s="4"/>
      <c r="NJ60" s="4"/>
      <c r="NK60" s="4"/>
      <c r="NL60" s="4"/>
      <c r="NM60" s="4"/>
      <c r="NN60" s="4"/>
      <c r="NO60" s="4"/>
      <c r="NP60" s="4"/>
      <c r="NQ60" s="4"/>
      <c r="NR60" s="4"/>
      <c r="NS60" s="4"/>
      <c r="NT60" s="4"/>
      <c r="NU60" s="4"/>
      <c r="NV60" s="4"/>
      <c r="NW60" s="4"/>
      <c r="NX60" s="4"/>
      <c r="NY60" s="4"/>
      <c r="NZ60" s="4"/>
      <c r="OA60" s="4"/>
      <c r="OB60" s="4"/>
      <c r="OC60" s="4"/>
      <c r="OD60" s="4"/>
      <c r="OE60" s="4"/>
      <c r="OF60" s="4"/>
      <c r="OG60" s="4"/>
      <c r="OH60" s="4"/>
      <c r="OI60" s="4"/>
    </row>
    <row r="61" spans="1:399" outlineLevel="1">
      <c r="A61" s="116"/>
      <c r="B61" s="116"/>
      <c r="C61" s="116">
        <v>2</v>
      </c>
      <c r="D61" s="3" t="s">
        <v>1203</v>
      </c>
      <c r="E61" s="183"/>
      <c r="F61" s="183" t="s">
        <v>1179</v>
      </c>
      <c r="G61" s="183"/>
      <c r="H61" s="183"/>
      <c r="I61" s="183"/>
      <c r="J61" s="183"/>
      <c r="K61" s="183"/>
      <c r="L61" s="183"/>
      <c r="M61" s="184"/>
      <c r="N61" s="184"/>
      <c r="O61" s="185"/>
      <c r="P61" s="186">
        <v>0</v>
      </c>
      <c r="Q61" s="186">
        <v>0</v>
      </c>
      <c r="R61" s="187">
        <v>0</v>
      </c>
      <c r="S61" s="187">
        <v>0</v>
      </c>
      <c r="T61" s="184"/>
      <c r="U61" s="184"/>
      <c r="V61" s="188">
        <v>0</v>
      </c>
      <c r="W61" s="189">
        <v>0</v>
      </c>
      <c r="X61" s="190"/>
      <c r="Y61" s="185"/>
      <c r="Z61" s="191"/>
      <c r="AA61" s="97">
        <v>0</v>
      </c>
      <c r="AB61" s="192">
        <v>0</v>
      </c>
      <c r="AC61" s="123"/>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c r="EY61" s="4"/>
      <c r="EZ61" s="4"/>
      <c r="FA61" s="4"/>
      <c r="FB61" s="4"/>
      <c r="FC61" s="4"/>
      <c r="FD61" s="4"/>
      <c r="FE61" s="4"/>
      <c r="FF61" s="4"/>
      <c r="FG61" s="4"/>
      <c r="FH61" s="4"/>
      <c r="FI61" s="4"/>
      <c r="FJ61" s="4"/>
      <c r="FK61" s="4"/>
      <c r="FL61" s="4"/>
      <c r="FM61" s="4"/>
      <c r="FN61" s="4"/>
      <c r="FO61" s="4"/>
      <c r="FP61" s="4"/>
      <c r="FQ61" s="4"/>
      <c r="FR61" s="4"/>
      <c r="FS61" s="4"/>
      <c r="FT61" s="4"/>
      <c r="FU61" s="4"/>
      <c r="FV61" s="4"/>
      <c r="FW61" s="4"/>
      <c r="FX61" s="4"/>
      <c r="FY61" s="4"/>
      <c r="FZ61" s="4"/>
      <c r="GA61" s="4"/>
      <c r="GB61" s="4"/>
      <c r="GC61" s="4"/>
      <c r="GD61" s="4"/>
      <c r="GE61" s="4"/>
      <c r="GF61" s="4"/>
      <c r="GG61" s="4"/>
      <c r="GH61" s="4"/>
      <c r="GI61" s="4"/>
      <c r="GJ61" s="4"/>
      <c r="GK61" s="4"/>
      <c r="GL61" s="4"/>
      <c r="GM61" s="4"/>
      <c r="GN61" s="4"/>
      <c r="GO61" s="4"/>
      <c r="GP61" s="4"/>
      <c r="GQ61" s="4"/>
      <c r="GR61" s="4"/>
      <c r="GS61" s="4"/>
      <c r="GT61" s="4"/>
      <c r="GU61" s="4"/>
      <c r="GV61" s="4"/>
      <c r="GW61" s="4"/>
      <c r="GX61" s="4"/>
      <c r="GY61" s="4"/>
      <c r="GZ61" s="4"/>
      <c r="HA61" s="4"/>
      <c r="HB61" s="4"/>
      <c r="HC61" s="4"/>
      <c r="HD61" s="4"/>
      <c r="HE61" s="4"/>
      <c r="HF61" s="4"/>
      <c r="HG61" s="4"/>
      <c r="HH61" s="4"/>
      <c r="HI61" s="4"/>
      <c r="HJ61" s="4"/>
      <c r="HK61" s="4"/>
      <c r="HL61" s="4"/>
      <c r="HM61" s="4"/>
      <c r="HN61" s="4"/>
      <c r="HO61" s="4"/>
      <c r="HP61" s="4"/>
      <c r="HQ61" s="4"/>
      <c r="HR61" s="4"/>
      <c r="HS61" s="4"/>
      <c r="HT61" s="4"/>
      <c r="HU61" s="4"/>
      <c r="HV61" s="4"/>
      <c r="HW61" s="4"/>
      <c r="HX61" s="4"/>
      <c r="HY61" s="4"/>
      <c r="HZ61" s="4"/>
      <c r="IA61" s="4"/>
      <c r="IB61" s="4"/>
      <c r="IC61" s="4"/>
      <c r="ID61" s="4"/>
      <c r="IE61" s="4"/>
      <c r="IF61" s="4"/>
      <c r="IG61" s="4"/>
      <c r="IH61" s="4"/>
      <c r="II61" s="4"/>
      <c r="IJ61" s="4"/>
      <c r="IK61" s="4"/>
      <c r="IL61" s="4"/>
      <c r="IM61" s="4"/>
      <c r="IN61" s="4"/>
      <c r="IO61" s="4"/>
      <c r="IP61" s="4"/>
      <c r="IQ61" s="4"/>
      <c r="IR61" s="4"/>
      <c r="IS61" s="4"/>
      <c r="IT61" s="4"/>
      <c r="IU61" s="4"/>
      <c r="IV61" s="4"/>
      <c r="IW61" s="4"/>
      <c r="IX61" s="4"/>
      <c r="IY61" s="4"/>
      <c r="IZ61" s="4"/>
      <c r="JA61" s="4"/>
      <c r="JB61" s="4"/>
      <c r="JC61" s="4"/>
      <c r="JD61" s="4"/>
      <c r="JE61" s="4"/>
      <c r="JF61" s="4"/>
      <c r="JG61" s="4"/>
      <c r="JH61" s="4"/>
      <c r="JI61" s="4"/>
      <c r="JJ61" s="4"/>
      <c r="JK61" s="4"/>
      <c r="JL61" s="4"/>
      <c r="JM61" s="4"/>
      <c r="JN61" s="4"/>
      <c r="JO61" s="4"/>
      <c r="JP61" s="4"/>
      <c r="JQ61" s="4"/>
      <c r="JR61" s="4"/>
      <c r="JS61" s="4"/>
      <c r="JT61" s="4"/>
      <c r="JU61" s="4"/>
      <c r="JV61" s="4"/>
      <c r="JW61" s="4"/>
      <c r="JX61" s="4"/>
      <c r="JY61" s="4"/>
      <c r="JZ61" s="4"/>
      <c r="KA61" s="4"/>
      <c r="KB61" s="4"/>
      <c r="KC61" s="4"/>
      <c r="KD61" s="4"/>
      <c r="KE61" s="4"/>
      <c r="KF61" s="4"/>
      <c r="KG61" s="4"/>
      <c r="KH61" s="4"/>
      <c r="KI61" s="4"/>
      <c r="KJ61" s="4"/>
      <c r="KK61" s="4"/>
      <c r="KL61" s="4"/>
      <c r="KM61" s="4"/>
      <c r="KN61" s="4"/>
      <c r="KO61" s="4"/>
      <c r="KP61" s="4"/>
      <c r="KQ61" s="4"/>
      <c r="KR61" s="4"/>
      <c r="KS61" s="4"/>
      <c r="KT61" s="4"/>
      <c r="KU61" s="4"/>
      <c r="KV61" s="4"/>
      <c r="KW61" s="4"/>
      <c r="KX61" s="4"/>
      <c r="KY61" s="4"/>
      <c r="KZ61" s="4"/>
      <c r="LA61" s="4"/>
      <c r="LB61" s="4"/>
      <c r="LC61" s="4"/>
      <c r="LD61" s="4"/>
      <c r="LE61" s="4"/>
      <c r="LF61" s="4"/>
      <c r="LG61" s="4"/>
      <c r="LH61" s="4"/>
      <c r="LI61" s="4"/>
      <c r="LJ61" s="4"/>
      <c r="LK61" s="4"/>
      <c r="LL61" s="4"/>
      <c r="LM61" s="4"/>
      <c r="LN61" s="4"/>
      <c r="LO61" s="4"/>
      <c r="LP61" s="4"/>
      <c r="LQ61" s="4"/>
      <c r="LR61" s="4"/>
      <c r="LS61" s="4"/>
      <c r="LT61" s="4"/>
      <c r="LU61" s="4"/>
      <c r="LV61" s="4"/>
      <c r="LW61" s="4"/>
      <c r="LX61" s="4"/>
      <c r="LY61" s="4"/>
      <c r="LZ61" s="4"/>
      <c r="MA61" s="4"/>
      <c r="MB61" s="4"/>
      <c r="MC61" s="4"/>
      <c r="MD61" s="4"/>
      <c r="ME61" s="4"/>
      <c r="MF61" s="4"/>
      <c r="MG61" s="4"/>
      <c r="MH61" s="4"/>
      <c r="MI61" s="4"/>
      <c r="MJ61" s="4"/>
      <c r="MK61" s="4"/>
      <c r="ML61" s="4"/>
      <c r="MM61" s="4"/>
      <c r="MN61" s="4"/>
      <c r="MO61" s="4"/>
      <c r="MP61" s="4"/>
      <c r="MQ61" s="4"/>
      <c r="MR61" s="4"/>
      <c r="MS61" s="4"/>
      <c r="MT61" s="4"/>
      <c r="MU61" s="4"/>
      <c r="MV61" s="4"/>
      <c r="MW61" s="4"/>
      <c r="MX61" s="4"/>
      <c r="MY61" s="4"/>
      <c r="MZ61" s="4"/>
      <c r="NA61" s="4"/>
      <c r="NB61" s="4"/>
      <c r="NC61" s="4"/>
      <c r="ND61" s="4"/>
      <c r="NE61" s="4"/>
      <c r="NF61" s="4"/>
      <c r="NG61" s="4"/>
      <c r="NH61" s="4"/>
      <c r="NI61" s="4"/>
      <c r="NJ61" s="4"/>
      <c r="NK61" s="4"/>
      <c r="NL61" s="4"/>
      <c r="NM61" s="4"/>
      <c r="NN61" s="4"/>
      <c r="NO61" s="4"/>
      <c r="NP61" s="4"/>
      <c r="NQ61" s="4"/>
      <c r="NR61" s="4"/>
      <c r="NS61" s="4"/>
      <c r="NT61" s="4"/>
      <c r="NU61" s="4"/>
      <c r="NV61" s="4"/>
      <c r="NW61" s="4"/>
      <c r="NX61" s="4"/>
      <c r="NY61" s="4"/>
      <c r="NZ61" s="4"/>
      <c r="OA61" s="4"/>
      <c r="OB61" s="4"/>
      <c r="OC61" s="4"/>
      <c r="OD61" s="4"/>
      <c r="OE61" s="4"/>
      <c r="OF61" s="4"/>
      <c r="OG61" s="4"/>
      <c r="OH61" s="4"/>
      <c r="OI61" s="4"/>
    </row>
    <row r="62" spans="1:399" outlineLevel="1">
      <c r="A62" s="116"/>
      <c r="B62" s="116"/>
      <c r="C62" s="116">
        <v>2</v>
      </c>
      <c r="D62" s="3" t="s">
        <v>1204</v>
      </c>
      <c r="E62" s="183"/>
      <c r="F62" s="183" t="s">
        <v>1180</v>
      </c>
      <c r="G62" s="183"/>
      <c r="H62" s="183"/>
      <c r="I62" s="183"/>
      <c r="J62" s="183"/>
      <c r="K62" s="183"/>
      <c r="L62" s="183"/>
      <c r="M62" s="184"/>
      <c r="N62" s="184"/>
      <c r="O62" s="185"/>
      <c r="P62" s="186">
        <v>0</v>
      </c>
      <c r="Q62" s="186">
        <v>0</v>
      </c>
      <c r="R62" s="187">
        <v>0</v>
      </c>
      <c r="S62" s="187">
        <v>0</v>
      </c>
      <c r="T62" s="184"/>
      <c r="U62" s="184"/>
      <c r="V62" s="188">
        <v>0</v>
      </c>
      <c r="W62" s="189">
        <v>0</v>
      </c>
      <c r="X62" s="190"/>
      <c r="Y62" s="185"/>
      <c r="Z62" s="191"/>
      <c r="AA62" s="97">
        <v>0</v>
      </c>
      <c r="AB62" s="192">
        <v>0</v>
      </c>
      <c r="AC62" s="123"/>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4"/>
      <c r="EI62" s="4"/>
      <c r="EJ62" s="4"/>
      <c r="EK62" s="4"/>
      <c r="EL62" s="4"/>
      <c r="EM62" s="4"/>
      <c r="EN62" s="4"/>
      <c r="EO62" s="4"/>
      <c r="EP62" s="4"/>
      <c r="EQ62" s="4"/>
      <c r="ER62" s="4"/>
      <c r="ES62" s="4"/>
      <c r="ET62" s="4"/>
      <c r="EU62" s="4"/>
      <c r="EV62" s="4"/>
      <c r="EW62" s="4"/>
      <c r="EX62" s="4"/>
      <c r="EY62" s="4"/>
      <c r="EZ62" s="4"/>
      <c r="FA62" s="4"/>
      <c r="FB62" s="4"/>
      <c r="FC62" s="4"/>
      <c r="FD62" s="4"/>
      <c r="FE62" s="4"/>
      <c r="FF62" s="4"/>
      <c r="FG62" s="4"/>
      <c r="FH62" s="4"/>
      <c r="FI62" s="4"/>
      <c r="FJ62" s="4"/>
      <c r="FK62" s="4"/>
      <c r="FL62" s="4"/>
      <c r="FM62" s="4"/>
      <c r="FN62" s="4"/>
      <c r="FO62" s="4"/>
      <c r="FP62" s="4"/>
      <c r="FQ62" s="4"/>
      <c r="FR62" s="4"/>
      <c r="FS62" s="4"/>
      <c r="FT62" s="4"/>
      <c r="FU62" s="4"/>
      <c r="FV62" s="4"/>
      <c r="FW62" s="4"/>
      <c r="FX62" s="4"/>
      <c r="FY62" s="4"/>
      <c r="FZ62" s="4"/>
      <c r="GA62" s="4"/>
      <c r="GB62" s="4"/>
      <c r="GC62" s="4"/>
      <c r="GD62" s="4"/>
      <c r="GE62" s="4"/>
      <c r="GF62" s="4"/>
      <c r="GG62" s="4"/>
      <c r="GH62" s="4"/>
      <c r="GI62" s="4"/>
      <c r="GJ62" s="4"/>
      <c r="GK62" s="4"/>
      <c r="GL62" s="4"/>
      <c r="GM62" s="4"/>
      <c r="GN62" s="4"/>
      <c r="GO62" s="4"/>
      <c r="GP62" s="4"/>
      <c r="GQ62" s="4"/>
      <c r="GR62" s="4"/>
      <c r="GS62" s="4"/>
      <c r="GT62" s="4"/>
      <c r="GU62" s="4"/>
      <c r="GV62" s="4"/>
      <c r="GW62" s="4"/>
      <c r="GX62" s="4"/>
      <c r="GY62" s="4"/>
      <c r="GZ62" s="4"/>
      <c r="HA62" s="4"/>
      <c r="HB62" s="4"/>
      <c r="HC62" s="4"/>
      <c r="HD62" s="4"/>
      <c r="HE62" s="4"/>
      <c r="HF62" s="4"/>
      <c r="HG62" s="4"/>
      <c r="HH62" s="4"/>
      <c r="HI62" s="4"/>
      <c r="HJ62" s="4"/>
      <c r="HK62" s="4"/>
      <c r="HL62" s="4"/>
      <c r="HM62" s="4"/>
      <c r="HN62" s="4"/>
      <c r="HO62" s="4"/>
      <c r="HP62" s="4"/>
      <c r="HQ62" s="4"/>
      <c r="HR62" s="4"/>
      <c r="HS62" s="4"/>
      <c r="HT62" s="4"/>
      <c r="HU62" s="4"/>
      <c r="HV62" s="4"/>
      <c r="HW62" s="4"/>
      <c r="HX62" s="4"/>
      <c r="HY62" s="4"/>
      <c r="HZ62" s="4"/>
      <c r="IA62" s="4"/>
      <c r="IB62" s="4"/>
      <c r="IC62" s="4"/>
      <c r="ID62" s="4"/>
      <c r="IE62" s="4"/>
      <c r="IF62" s="4"/>
      <c r="IG62" s="4"/>
      <c r="IH62" s="4"/>
      <c r="II62" s="4"/>
      <c r="IJ62" s="4"/>
      <c r="IK62" s="4"/>
      <c r="IL62" s="4"/>
      <c r="IM62" s="4"/>
      <c r="IN62" s="4"/>
      <c r="IO62" s="4"/>
      <c r="IP62" s="4"/>
      <c r="IQ62" s="4"/>
      <c r="IR62" s="4"/>
      <c r="IS62" s="4"/>
      <c r="IT62" s="4"/>
      <c r="IU62" s="4"/>
      <c r="IV62" s="4"/>
      <c r="IW62" s="4"/>
      <c r="IX62" s="4"/>
      <c r="IY62" s="4"/>
      <c r="IZ62" s="4"/>
      <c r="JA62" s="4"/>
      <c r="JB62" s="4"/>
      <c r="JC62" s="4"/>
      <c r="JD62" s="4"/>
      <c r="JE62" s="4"/>
      <c r="JF62" s="4"/>
      <c r="JG62" s="4"/>
      <c r="JH62" s="4"/>
      <c r="JI62" s="4"/>
      <c r="JJ62" s="4"/>
      <c r="JK62" s="4"/>
      <c r="JL62" s="4"/>
      <c r="JM62" s="4"/>
      <c r="JN62" s="4"/>
      <c r="JO62" s="4"/>
      <c r="JP62" s="4"/>
      <c r="JQ62" s="4"/>
      <c r="JR62" s="4"/>
      <c r="JS62" s="4"/>
      <c r="JT62" s="4"/>
      <c r="JU62" s="4"/>
      <c r="JV62" s="4"/>
      <c r="JW62" s="4"/>
      <c r="JX62" s="4"/>
      <c r="JY62" s="4"/>
      <c r="JZ62" s="4"/>
      <c r="KA62" s="4"/>
      <c r="KB62" s="4"/>
      <c r="KC62" s="4"/>
      <c r="KD62" s="4"/>
      <c r="KE62" s="4"/>
      <c r="KF62" s="4"/>
      <c r="KG62" s="4"/>
      <c r="KH62" s="4"/>
      <c r="KI62" s="4"/>
      <c r="KJ62" s="4"/>
      <c r="KK62" s="4"/>
      <c r="KL62" s="4"/>
      <c r="KM62" s="4"/>
      <c r="KN62" s="4"/>
      <c r="KO62" s="4"/>
      <c r="KP62" s="4"/>
      <c r="KQ62" s="4"/>
      <c r="KR62" s="4"/>
      <c r="KS62" s="4"/>
      <c r="KT62" s="4"/>
      <c r="KU62" s="4"/>
      <c r="KV62" s="4"/>
      <c r="KW62" s="4"/>
      <c r="KX62" s="4"/>
      <c r="KY62" s="4"/>
      <c r="KZ62" s="4"/>
      <c r="LA62" s="4"/>
      <c r="LB62" s="4"/>
      <c r="LC62" s="4"/>
      <c r="LD62" s="4"/>
      <c r="LE62" s="4"/>
      <c r="LF62" s="4"/>
      <c r="LG62" s="4"/>
      <c r="LH62" s="4"/>
      <c r="LI62" s="4"/>
      <c r="LJ62" s="4"/>
      <c r="LK62" s="4"/>
      <c r="LL62" s="4"/>
      <c r="LM62" s="4"/>
      <c r="LN62" s="4"/>
      <c r="LO62" s="4"/>
      <c r="LP62" s="4"/>
      <c r="LQ62" s="4"/>
      <c r="LR62" s="4"/>
      <c r="LS62" s="4"/>
      <c r="LT62" s="4"/>
      <c r="LU62" s="4"/>
      <c r="LV62" s="4"/>
      <c r="LW62" s="4"/>
      <c r="LX62" s="4"/>
      <c r="LY62" s="4"/>
      <c r="LZ62" s="4"/>
      <c r="MA62" s="4"/>
      <c r="MB62" s="4"/>
      <c r="MC62" s="4"/>
      <c r="MD62" s="4"/>
      <c r="ME62" s="4"/>
      <c r="MF62" s="4"/>
      <c r="MG62" s="4"/>
      <c r="MH62" s="4"/>
      <c r="MI62" s="4"/>
      <c r="MJ62" s="4"/>
      <c r="MK62" s="4"/>
      <c r="ML62" s="4"/>
      <c r="MM62" s="4"/>
      <c r="MN62" s="4"/>
      <c r="MO62" s="4"/>
      <c r="MP62" s="4"/>
      <c r="MQ62" s="4"/>
      <c r="MR62" s="4"/>
      <c r="MS62" s="4"/>
      <c r="MT62" s="4"/>
      <c r="MU62" s="4"/>
      <c r="MV62" s="4"/>
      <c r="MW62" s="4"/>
      <c r="MX62" s="4"/>
      <c r="MY62" s="4"/>
      <c r="MZ62" s="4"/>
      <c r="NA62" s="4"/>
      <c r="NB62" s="4"/>
      <c r="NC62" s="4"/>
      <c r="ND62" s="4"/>
      <c r="NE62" s="4"/>
      <c r="NF62" s="4"/>
      <c r="NG62" s="4"/>
      <c r="NH62" s="4"/>
      <c r="NI62" s="4"/>
      <c r="NJ62" s="4"/>
      <c r="NK62" s="4"/>
      <c r="NL62" s="4"/>
      <c r="NM62" s="4"/>
      <c r="NN62" s="4"/>
      <c r="NO62" s="4"/>
      <c r="NP62" s="4"/>
      <c r="NQ62" s="4"/>
      <c r="NR62" s="4"/>
      <c r="NS62" s="4"/>
      <c r="NT62" s="4"/>
      <c r="NU62" s="4"/>
      <c r="NV62" s="4"/>
      <c r="NW62" s="4"/>
      <c r="NX62" s="4"/>
      <c r="NY62" s="4"/>
      <c r="NZ62" s="4"/>
      <c r="OA62" s="4"/>
      <c r="OB62" s="4"/>
      <c r="OC62" s="4"/>
      <c r="OD62" s="4"/>
      <c r="OE62" s="4"/>
      <c r="OF62" s="4"/>
      <c r="OG62" s="4"/>
      <c r="OH62" s="4"/>
      <c r="OI62" s="4"/>
    </row>
    <row r="63" spans="1:399" outlineLevel="1">
      <c r="A63" s="116"/>
      <c r="B63" s="116"/>
      <c r="C63" s="116">
        <v>2</v>
      </c>
      <c r="D63" s="3" t="s">
        <v>1205</v>
      </c>
      <c r="E63" s="183"/>
      <c r="F63" s="183" t="s">
        <v>1199</v>
      </c>
      <c r="G63" s="183"/>
      <c r="H63" s="183"/>
      <c r="I63" s="183"/>
      <c r="J63" s="183"/>
      <c r="K63" s="183"/>
      <c r="L63" s="183"/>
      <c r="M63" s="184"/>
      <c r="N63" s="184"/>
      <c r="O63" s="185"/>
      <c r="P63" s="186">
        <v>0</v>
      </c>
      <c r="Q63" s="186">
        <v>0</v>
      </c>
      <c r="R63" s="187">
        <v>0</v>
      </c>
      <c r="S63" s="187">
        <v>0</v>
      </c>
      <c r="T63" s="184"/>
      <c r="U63" s="184"/>
      <c r="V63" s="188">
        <v>0</v>
      </c>
      <c r="W63" s="189">
        <v>0</v>
      </c>
      <c r="X63" s="190"/>
      <c r="Y63" s="185" t="s">
        <v>1181</v>
      </c>
      <c r="Z63" s="191"/>
      <c r="AA63" s="97">
        <v>0</v>
      </c>
      <c r="AB63" s="192">
        <v>0</v>
      </c>
      <c r="AC63" s="123"/>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c r="ER63" s="4"/>
      <c r="ES63" s="4"/>
      <c r="ET63" s="4"/>
      <c r="EU63" s="4"/>
      <c r="EV63" s="4"/>
      <c r="EW63" s="4"/>
      <c r="EX63" s="4"/>
      <c r="EY63" s="4"/>
      <c r="EZ63" s="4"/>
      <c r="FA63" s="4"/>
      <c r="FB63" s="4"/>
      <c r="FC63" s="4"/>
      <c r="FD63" s="4"/>
      <c r="FE63" s="4"/>
      <c r="FF63" s="4"/>
      <c r="FG63" s="4"/>
      <c r="FH63" s="4"/>
      <c r="FI63" s="4"/>
      <c r="FJ63" s="4"/>
      <c r="FK63" s="4"/>
      <c r="FL63" s="4"/>
      <c r="FM63" s="4"/>
      <c r="FN63" s="4"/>
      <c r="FO63" s="4"/>
      <c r="FP63" s="4"/>
      <c r="FQ63" s="4"/>
      <c r="FR63" s="4"/>
      <c r="FS63" s="4"/>
      <c r="FT63" s="4"/>
      <c r="FU63" s="4"/>
      <c r="FV63" s="4"/>
      <c r="FW63" s="4"/>
      <c r="FX63" s="4"/>
      <c r="FY63" s="4"/>
      <c r="FZ63" s="4"/>
      <c r="GA63" s="4"/>
      <c r="GB63" s="4"/>
      <c r="GC63" s="4"/>
      <c r="GD63" s="4"/>
      <c r="GE63" s="4"/>
      <c r="GF63" s="4"/>
      <c r="GG63" s="4"/>
      <c r="GH63" s="4"/>
      <c r="GI63" s="4"/>
      <c r="GJ63" s="4"/>
      <c r="GK63" s="4"/>
      <c r="GL63" s="4"/>
      <c r="GM63" s="4"/>
      <c r="GN63" s="4"/>
      <c r="GO63" s="4"/>
      <c r="GP63" s="4"/>
      <c r="GQ63" s="4"/>
      <c r="GR63" s="4"/>
      <c r="GS63" s="4"/>
      <c r="GT63" s="4"/>
      <c r="GU63" s="4"/>
      <c r="GV63" s="4"/>
      <c r="GW63" s="4"/>
      <c r="GX63" s="4"/>
      <c r="GY63" s="4"/>
      <c r="GZ63" s="4"/>
      <c r="HA63" s="4"/>
      <c r="HB63" s="4"/>
      <c r="HC63" s="4"/>
      <c r="HD63" s="4"/>
      <c r="HE63" s="4"/>
      <c r="HF63" s="4"/>
      <c r="HG63" s="4"/>
      <c r="HH63" s="4"/>
      <c r="HI63" s="4"/>
      <c r="HJ63" s="4"/>
      <c r="HK63" s="4"/>
      <c r="HL63" s="4"/>
      <c r="HM63" s="4"/>
      <c r="HN63" s="4"/>
      <c r="HO63" s="4"/>
      <c r="HP63" s="4"/>
      <c r="HQ63" s="4"/>
      <c r="HR63" s="4"/>
      <c r="HS63" s="4"/>
      <c r="HT63" s="4"/>
      <c r="HU63" s="4"/>
      <c r="HV63" s="4"/>
      <c r="HW63" s="4"/>
      <c r="HX63" s="4"/>
      <c r="HY63" s="4"/>
      <c r="HZ63" s="4"/>
      <c r="IA63" s="4"/>
      <c r="IB63" s="4"/>
      <c r="IC63" s="4"/>
      <c r="ID63" s="4"/>
      <c r="IE63" s="4"/>
      <c r="IF63" s="4"/>
      <c r="IG63" s="4"/>
      <c r="IH63" s="4"/>
      <c r="II63" s="4"/>
      <c r="IJ63" s="4"/>
      <c r="IK63" s="4"/>
      <c r="IL63" s="4"/>
      <c r="IM63" s="4"/>
      <c r="IN63" s="4"/>
      <c r="IO63" s="4"/>
      <c r="IP63" s="4"/>
      <c r="IQ63" s="4"/>
      <c r="IR63" s="4"/>
      <c r="IS63" s="4"/>
      <c r="IT63" s="4"/>
      <c r="IU63" s="4"/>
      <c r="IV63" s="4"/>
      <c r="IW63" s="4"/>
      <c r="IX63" s="4"/>
      <c r="IY63" s="4"/>
      <c r="IZ63" s="4"/>
      <c r="JA63" s="4"/>
      <c r="JB63" s="4"/>
      <c r="JC63" s="4"/>
      <c r="JD63" s="4"/>
      <c r="JE63" s="4"/>
      <c r="JF63" s="4"/>
      <c r="JG63" s="4"/>
      <c r="JH63" s="4"/>
      <c r="JI63" s="4"/>
      <c r="JJ63" s="4"/>
      <c r="JK63" s="4"/>
      <c r="JL63" s="4"/>
      <c r="JM63" s="4"/>
      <c r="JN63" s="4"/>
      <c r="JO63" s="4"/>
      <c r="JP63" s="4"/>
      <c r="JQ63" s="4"/>
      <c r="JR63" s="4"/>
      <c r="JS63" s="4"/>
      <c r="JT63" s="4"/>
      <c r="JU63" s="4"/>
      <c r="JV63" s="4"/>
      <c r="JW63" s="4"/>
      <c r="JX63" s="4"/>
      <c r="JY63" s="4"/>
      <c r="JZ63" s="4"/>
      <c r="KA63" s="4"/>
      <c r="KB63" s="4"/>
      <c r="KC63" s="4"/>
      <c r="KD63" s="4"/>
      <c r="KE63" s="4"/>
      <c r="KF63" s="4"/>
      <c r="KG63" s="4"/>
      <c r="KH63" s="4"/>
      <c r="KI63" s="4"/>
      <c r="KJ63" s="4"/>
      <c r="KK63" s="4"/>
      <c r="KL63" s="4"/>
      <c r="KM63" s="4"/>
      <c r="KN63" s="4"/>
      <c r="KO63" s="4"/>
      <c r="KP63" s="4"/>
      <c r="KQ63" s="4"/>
      <c r="KR63" s="4"/>
      <c r="KS63" s="4"/>
      <c r="KT63" s="4"/>
      <c r="KU63" s="4"/>
      <c r="KV63" s="4"/>
      <c r="KW63" s="4"/>
      <c r="KX63" s="4"/>
      <c r="KY63" s="4"/>
      <c r="KZ63" s="4"/>
      <c r="LA63" s="4"/>
      <c r="LB63" s="4"/>
      <c r="LC63" s="4"/>
      <c r="LD63" s="4"/>
      <c r="LE63" s="4"/>
      <c r="LF63" s="4"/>
      <c r="LG63" s="4"/>
      <c r="LH63" s="4"/>
      <c r="LI63" s="4"/>
      <c r="LJ63" s="4"/>
      <c r="LK63" s="4"/>
      <c r="LL63" s="4"/>
      <c r="LM63" s="4"/>
      <c r="LN63" s="4"/>
      <c r="LO63" s="4"/>
      <c r="LP63" s="4"/>
      <c r="LQ63" s="4"/>
      <c r="LR63" s="4"/>
      <c r="LS63" s="4"/>
      <c r="LT63" s="4"/>
      <c r="LU63" s="4"/>
      <c r="LV63" s="4"/>
      <c r="LW63" s="4"/>
      <c r="LX63" s="4"/>
      <c r="LY63" s="4"/>
      <c r="LZ63" s="4"/>
      <c r="MA63" s="4"/>
      <c r="MB63" s="4"/>
      <c r="MC63" s="4"/>
      <c r="MD63" s="4"/>
      <c r="ME63" s="4"/>
      <c r="MF63" s="4"/>
      <c r="MG63" s="4"/>
      <c r="MH63" s="4"/>
      <c r="MI63" s="4"/>
      <c r="MJ63" s="4"/>
      <c r="MK63" s="4"/>
      <c r="ML63" s="4"/>
      <c r="MM63" s="4"/>
      <c r="MN63" s="4"/>
      <c r="MO63" s="4"/>
      <c r="MP63" s="4"/>
      <c r="MQ63" s="4"/>
      <c r="MR63" s="4"/>
      <c r="MS63" s="4"/>
      <c r="MT63" s="4"/>
      <c r="MU63" s="4"/>
      <c r="MV63" s="4"/>
      <c r="MW63" s="4"/>
      <c r="MX63" s="4"/>
      <c r="MY63" s="4"/>
      <c r="MZ63" s="4"/>
      <c r="NA63" s="4"/>
      <c r="NB63" s="4"/>
      <c r="NC63" s="4"/>
      <c r="ND63" s="4"/>
      <c r="NE63" s="4"/>
      <c r="NF63" s="4"/>
      <c r="NG63" s="4"/>
      <c r="NH63" s="4"/>
      <c r="NI63" s="4"/>
      <c r="NJ63" s="4"/>
      <c r="NK63" s="4"/>
      <c r="NL63" s="4"/>
      <c r="NM63" s="4"/>
      <c r="NN63" s="4"/>
      <c r="NO63" s="4"/>
      <c r="NP63" s="4"/>
      <c r="NQ63" s="4"/>
      <c r="NR63" s="4"/>
      <c r="NS63" s="4"/>
      <c r="NT63" s="4"/>
      <c r="NU63" s="4"/>
      <c r="NV63" s="4"/>
      <c r="NW63" s="4"/>
      <c r="NX63" s="4"/>
      <c r="NY63" s="4"/>
      <c r="NZ63" s="4"/>
      <c r="OA63" s="4"/>
      <c r="OB63" s="4"/>
      <c r="OC63" s="4"/>
      <c r="OD63" s="4"/>
      <c r="OE63" s="4"/>
      <c r="OF63" s="4"/>
      <c r="OG63" s="4"/>
      <c r="OH63" s="4"/>
      <c r="OI63" s="4"/>
    </row>
    <row r="64" spans="1:399" outlineLevel="1">
      <c r="A64" s="116"/>
      <c r="B64" s="116"/>
      <c r="C64" s="116">
        <v>2</v>
      </c>
      <c r="D64" s="3" t="s">
        <v>1206</v>
      </c>
      <c r="E64" s="183"/>
      <c r="F64" s="183" t="s">
        <v>1182</v>
      </c>
      <c r="G64" s="183"/>
      <c r="H64" s="183"/>
      <c r="I64" s="183"/>
      <c r="J64" s="183"/>
      <c r="K64" s="183"/>
      <c r="L64" s="183"/>
      <c r="M64" s="184"/>
      <c r="N64" s="184"/>
      <c r="O64" s="185"/>
      <c r="P64" s="186">
        <v>0</v>
      </c>
      <c r="Q64" s="186">
        <v>0</v>
      </c>
      <c r="R64" s="187">
        <v>0</v>
      </c>
      <c r="S64" s="187">
        <v>0</v>
      </c>
      <c r="T64" s="184"/>
      <c r="U64" s="184"/>
      <c r="V64" s="188">
        <v>0</v>
      </c>
      <c r="W64" s="189">
        <v>0</v>
      </c>
      <c r="X64" s="190"/>
      <c r="Y64" s="185"/>
      <c r="Z64" s="191"/>
      <c r="AA64" s="97">
        <v>0</v>
      </c>
      <c r="AB64" s="192">
        <v>0</v>
      </c>
      <c r="AC64" s="123"/>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c r="ER64" s="4"/>
      <c r="ES64" s="4"/>
      <c r="ET64" s="4"/>
      <c r="EU64" s="4"/>
      <c r="EV64" s="4"/>
      <c r="EW64" s="4"/>
      <c r="EX64" s="4"/>
      <c r="EY64" s="4"/>
      <c r="EZ64" s="4"/>
      <c r="FA64" s="4"/>
      <c r="FB64" s="4"/>
      <c r="FC64" s="4"/>
      <c r="FD64" s="4"/>
      <c r="FE64" s="4"/>
      <c r="FF64" s="4"/>
      <c r="FG64" s="4"/>
      <c r="FH64" s="4"/>
      <c r="FI64" s="4"/>
      <c r="FJ64" s="4"/>
      <c r="FK64" s="4"/>
      <c r="FL64" s="4"/>
      <c r="FM64" s="4"/>
      <c r="FN64" s="4"/>
      <c r="FO64" s="4"/>
      <c r="FP64" s="4"/>
      <c r="FQ64" s="4"/>
      <c r="FR64" s="4"/>
      <c r="FS64" s="4"/>
      <c r="FT64" s="4"/>
      <c r="FU64" s="4"/>
      <c r="FV64" s="4"/>
      <c r="FW64" s="4"/>
      <c r="FX64" s="4"/>
      <c r="FY64" s="4"/>
      <c r="FZ64" s="4"/>
      <c r="GA64" s="4"/>
      <c r="GB64" s="4"/>
      <c r="GC64" s="4"/>
      <c r="GD64" s="4"/>
      <c r="GE64" s="4"/>
      <c r="GF64" s="4"/>
      <c r="GG64" s="4"/>
      <c r="GH64" s="4"/>
      <c r="GI64" s="4"/>
      <c r="GJ64" s="4"/>
      <c r="GK64" s="4"/>
      <c r="GL64" s="4"/>
      <c r="GM64" s="4"/>
      <c r="GN64" s="4"/>
      <c r="GO64" s="4"/>
      <c r="GP64" s="4"/>
      <c r="GQ64" s="4"/>
      <c r="GR64" s="4"/>
      <c r="GS64" s="4"/>
      <c r="GT64" s="4"/>
      <c r="GU64" s="4"/>
      <c r="GV64" s="4"/>
      <c r="GW64" s="4"/>
      <c r="GX64" s="4"/>
      <c r="GY64" s="4"/>
      <c r="GZ64" s="4"/>
      <c r="HA64" s="4"/>
      <c r="HB64" s="4"/>
      <c r="HC64" s="4"/>
      <c r="HD64" s="4"/>
      <c r="HE64" s="4"/>
      <c r="HF64" s="4"/>
      <c r="HG64" s="4"/>
      <c r="HH64" s="4"/>
      <c r="HI64" s="4"/>
      <c r="HJ64" s="4"/>
      <c r="HK64" s="4"/>
      <c r="HL64" s="4"/>
      <c r="HM64" s="4"/>
      <c r="HN64" s="4"/>
      <c r="HO64" s="4"/>
      <c r="HP64" s="4"/>
      <c r="HQ64" s="4"/>
      <c r="HR64" s="4"/>
      <c r="HS64" s="4"/>
      <c r="HT64" s="4"/>
      <c r="HU64" s="4"/>
      <c r="HV64" s="4"/>
      <c r="HW64" s="4"/>
      <c r="HX64" s="4"/>
      <c r="HY64" s="4"/>
      <c r="HZ64" s="4"/>
      <c r="IA64" s="4"/>
      <c r="IB64" s="4"/>
      <c r="IC64" s="4"/>
      <c r="ID64" s="4"/>
      <c r="IE64" s="4"/>
      <c r="IF64" s="4"/>
      <c r="IG64" s="4"/>
      <c r="IH64" s="4"/>
      <c r="II64" s="4"/>
      <c r="IJ64" s="4"/>
      <c r="IK64" s="4"/>
      <c r="IL64" s="4"/>
      <c r="IM64" s="4"/>
      <c r="IN64" s="4"/>
      <c r="IO64" s="4"/>
      <c r="IP64" s="4"/>
      <c r="IQ64" s="4"/>
      <c r="IR64" s="4"/>
      <c r="IS64" s="4"/>
      <c r="IT64" s="4"/>
      <c r="IU64" s="4"/>
      <c r="IV64" s="4"/>
      <c r="IW64" s="4"/>
      <c r="IX64" s="4"/>
      <c r="IY64" s="4"/>
      <c r="IZ64" s="4"/>
      <c r="JA64" s="4"/>
      <c r="JB64" s="4"/>
      <c r="JC64" s="4"/>
      <c r="JD64" s="4"/>
      <c r="JE64" s="4"/>
      <c r="JF64" s="4"/>
      <c r="JG64" s="4"/>
      <c r="JH64" s="4"/>
      <c r="JI64" s="4"/>
      <c r="JJ64" s="4"/>
      <c r="JK64" s="4"/>
      <c r="JL64" s="4"/>
      <c r="JM64" s="4"/>
      <c r="JN64" s="4"/>
      <c r="JO64" s="4"/>
      <c r="JP64" s="4"/>
      <c r="JQ64" s="4"/>
      <c r="JR64" s="4"/>
      <c r="JS64" s="4"/>
      <c r="JT64" s="4"/>
      <c r="JU64" s="4"/>
      <c r="JV64" s="4"/>
      <c r="JW64" s="4"/>
      <c r="JX64" s="4"/>
      <c r="JY64" s="4"/>
      <c r="JZ64" s="4"/>
      <c r="KA64" s="4"/>
      <c r="KB64" s="4"/>
      <c r="KC64" s="4"/>
      <c r="KD64" s="4"/>
      <c r="KE64" s="4"/>
      <c r="KF64" s="4"/>
      <c r="KG64" s="4"/>
      <c r="KH64" s="4"/>
      <c r="KI64" s="4"/>
      <c r="KJ64" s="4"/>
      <c r="KK64" s="4"/>
      <c r="KL64" s="4"/>
      <c r="KM64" s="4"/>
      <c r="KN64" s="4"/>
      <c r="KO64" s="4"/>
      <c r="KP64" s="4"/>
      <c r="KQ64" s="4"/>
      <c r="KR64" s="4"/>
      <c r="KS64" s="4"/>
      <c r="KT64" s="4"/>
      <c r="KU64" s="4"/>
      <c r="KV64" s="4"/>
      <c r="KW64" s="4"/>
      <c r="KX64" s="4"/>
      <c r="KY64" s="4"/>
      <c r="KZ64" s="4"/>
      <c r="LA64" s="4"/>
      <c r="LB64" s="4"/>
      <c r="LC64" s="4"/>
      <c r="LD64" s="4"/>
      <c r="LE64" s="4"/>
      <c r="LF64" s="4"/>
      <c r="LG64" s="4"/>
      <c r="LH64" s="4"/>
      <c r="LI64" s="4"/>
      <c r="LJ64" s="4"/>
      <c r="LK64" s="4"/>
      <c r="LL64" s="4"/>
      <c r="LM64" s="4"/>
      <c r="LN64" s="4"/>
      <c r="LO64" s="4"/>
      <c r="LP64" s="4"/>
      <c r="LQ64" s="4"/>
      <c r="LR64" s="4"/>
      <c r="LS64" s="4"/>
      <c r="LT64" s="4"/>
      <c r="LU64" s="4"/>
      <c r="LV64" s="4"/>
      <c r="LW64" s="4"/>
      <c r="LX64" s="4"/>
      <c r="LY64" s="4"/>
      <c r="LZ64" s="4"/>
      <c r="MA64" s="4"/>
      <c r="MB64" s="4"/>
      <c r="MC64" s="4"/>
      <c r="MD64" s="4"/>
      <c r="ME64" s="4"/>
      <c r="MF64" s="4"/>
      <c r="MG64" s="4"/>
      <c r="MH64" s="4"/>
      <c r="MI64" s="4"/>
      <c r="MJ64" s="4"/>
      <c r="MK64" s="4"/>
      <c r="ML64" s="4"/>
      <c r="MM64" s="4"/>
      <c r="MN64" s="4"/>
      <c r="MO64" s="4"/>
      <c r="MP64" s="4"/>
      <c r="MQ64" s="4"/>
      <c r="MR64" s="4"/>
      <c r="MS64" s="4"/>
      <c r="MT64" s="4"/>
      <c r="MU64" s="4"/>
      <c r="MV64" s="4"/>
      <c r="MW64" s="4"/>
      <c r="MX64" s="4"/>
      <c r="MY64" s="4"/>
      <c r="MZ64" s="4"/>
      <c r="NA64" s="4"/>
      <c r="NB64" s="4"/>
      <c r="NC64" s="4"/>
      <c r="ND64" s="4"/>
      <c r="NE64" s="4"/>
      <c r="NF64" s="4"/>
      <c r="NG64" s="4"/>
      <c r="NH64" s="4"/>
      <c r="NI64" s="4"/>
      <c r="NJ64" s="4"/>
      <c r="NK64" s="4"/>
      <c r="NL64" s="4"/>
      <c r="NM64" s="4"/>
      <c r="NN64" s="4"/>
      <c r="NO64" s="4"/>
      <c r="NP64" s="4"/>
      <c r="NQ64" s="4"/>
      <c r="NR64" s="4"/>
      <c r="NS64" s="4"/>
      <c r="NT64" s="4"/>
      <c r="NU64" s="4"/>
      <c r="NV64" s="4"/>
      <c r="NW64" s="4"/>
      <c r="NX64" s="4"/>
      <c r="NY64" s="4"/>
      <c r="NZ64" s="4"/>
      <c r="OA64" s="4"/>
      <c r="OB64" s="4"/>
      <c r="OC64" s="4"/>
      <c r="OD64" s="4"/>
      <c r="OE64" s="4"/>
      <c r="OF64" s="4"/>
      <c r="OG64" s="4"/>
      <c r="OH64" s="4"/>
      <c r="OI64" s="4"/>
    </row>
    <row r="65" spans="1:399" outlineLevel="1">
      <c r="A65" s="116"/>
      <c r="B65" s="116"/>
      <c r="C65" s="116">
        <v>2</v>
      </c>
      <c r="D65" s="3" t="s">
        <v>1207</v>
      </c>
      <c r="E65" s="183"/>
      <c r="F65" s="183" t="s">
        <v>1183</v>
      </c>
      <c r="G65" s="183"/>
      <c r="H65" s="183"/>
      <c r="I65" s="183"/>
      <c r="J65" s="183"/>
      <c r="K65" s="183"/>
      <c r="L65" s="183"/>
      <c r="M65" s="184"/>
      <c r="N65" s="184"/>
      <c r="O65" s="185"/>
      <c r="P65" s="186">
        <v>0</v>
      </c>
      <c r="Q65" s="186">
        <v>0</v>
      </c>
      <c r="R65" s="187">
        <v>0</v>
      </c>
      <c r="S65" s="187">
        <v>0</v>
      </c>
      <c r="T65" s="184"/>
      <c r="U65" s="184"/>
      <c r="V65" s="188">
        <v>0</v>
      </c>
      <c r="W65" s="189">
        <v>0</v>
      </c>
      <c r="X65" s="190"/>
      <c r="Y65" s="185"/>
      <c r="Z65" s="191"/>
      <c r="AA65" s="97">
        <v>0</v>
      </c>
      <c r="AB65" s="192">
        <v>0</v>
      </c>
      <c r="AC65" s="123"/>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c r="ER65" s="4"/>
      <c r="ES65" s="4"/>
      <c r="ET65" s="4"/>
      <c r="EU65" s="4"/>
      <c r="EV65" s="4"/>
      <c r="EW65" s="4"/>
      <c r="EX65" s="4"/>
      <c r="EY65" s="4"/>
      <c r="EZ65" s="4"/>
      <c r="FA65" s="4"/>
      <c r="FB65" s="4"/>
      <c r="FC65" s="4"/>
      <c r="FD65" s="4"/>
      <c r="FE65" s="4"/>
      <c r="FF65" s="4"/>
      <c r="FG65" s="4"/>
      <c r="FH65" s="4"/>
      <c r="FI65" s="4"/>
      <c r="FJ65" s="4"/>
      <c r="FK65" s="4"/>
      <c r="FL65" s="4"/>
      <c r="FM65" s="4"/>
      <c r="FN65" s="4"/>
      <c r="FO65" s="4"/>
      <c r="FP65" s="4"/>
      <c r="FQ65" s="4"/>
      <c r="FR65" s="4"/>
      <c r="FS65" s="4"/>
      <c r="FT65" s="4"/>
      <c r="FU65" s="4"/>
      <c r="FV65" s="4"/>
      <c r="FW65" s="4"/>
      <c r="FX65" s="4"/>
      <c r="FY65" s="4"/>
      <c r="FZ65" s="4"/>
      <c r="GA65" s="4"/>
      <c r="GB65" s="4"/>
      <c r="GC65" s="4"/>
      <c r="GD65" s="4"/>
      <c r="GE65" s="4"/>
      <c r="GF65" s="4"/>
      <c r="GG65" s="4"/>
      <c r="GH65" s="4"/>
      <c r="GI65" s="4"/>
      <c r="GJ65" s="4"/>
      <c r="GK65" s="4"/>
      <c r="GL65" s="4"/>
      <c r="GM65" s="4"/>
      <c r="GN65" s="4"/>
      <c r="GO65" s="4"/>
      <c r="GP65" s="4"/>
      <c r="GQ65" s="4"/>
      <c r="GR65" s="4"/>
      <c r="GS65" s="4"/>
      <c r="GT65" s="4"/>
      <c r="GU65" s="4"/>
      <c r="GV65" s="4"/>
      <c r="GW65" s="4"/>
      <c r="GX65" s="4"/>
      <c r="GY65" s="4"/>
      <c r="GZ65" s="4"/>
      <c r="HA65" s="4"/>
      <c r="HB65" s="4"/>
      <c r="HC65" s="4"/>
      <c r="HD65" s="4"/>
      <c r="HE65" s="4"/>
      <c r="HF65" s="4"/>
      <c r="HG65" s="4"/>
      <c r="HH65" s="4"/>
      <c r="HI65" s="4"/>
      <c r="HJ65" s="4"/>
      <c r="HK65" s="4"/>
      <c r="HL65" s="4"/>
      <c r="HM65" s="4"/>
      <c r="HN65" s="4"/>
      <c r="HO65" s="4"/>
      <c r="HP65" s="4"/>
      <c r="HQ65" s="4"/>
      <c r="HR65" s="4"/>
      <c r="HS65" s="4"/>
      <c r="HT65" s="4"/>
      <c r="HU65" s="4"/>
      <c r="HV65" s="4"/>
      <c r="HW65" s="4"/>
      <c r="HX65" s="4"/>
      <c r="HY65" s="4"/>
      <c r="HZ65" s="4"/>
      <c r="IA65" s="4"/>
      <c r="IB65" s="4"/>
      <c r="IC65" s="4"/>
      <c r="ID65" s="4"/>
      <c r="IE65" s="4"/>
      <c r="IF65" s="4"/>
      <c r="IG65" s="4"/>
      <c r="IH65" s="4"/>
      <c r="II65" s="4"/>
      <c r="IJ65" s="4"/>
      <c r="IK65" s="4"/>
      <c r="IL65" s="4"/>
      <c r="IM65" s="4"/>
      <c r="IN65" s="4"/>
      <c r="IO65" s="4"/>
      <c r="IP65" s="4"/>
      <c r="IQ65" s="4"/>
      <c r="IR65" s="4"/>
      <c r="IS65" s="4"/>
      <c r="IT65" s="4"/>
      <c r="IU65" s="4"/>
      <c r="IV65" s="4"/>
      <c r="IW65" s="4"/>
      <c r="IX65" s="4"/>
      <c r="IY65" s="4"/>
      <c r="IZ65" s="4"/>
      <c r="JA65" s="4"/>
      <c r="JB65" s="4"/>
      <c r="JC65" s="4"/>
      <c r="JD65" s="4"/>
      <c r="JE65" s="4"/>
      <c r="JF65" s="4"/>
      <c r="JG65" s="4"/>
      <c r="JH65" s="4"/>
      <c r="JI65" s="4"/>
      <c r="JJ65" s="4"/>
      <c r="JK65" s="4"/>
      <c r="JL65" s="4"/>
      <c r="JM65" s="4"/>
      <c r="JN65" s="4"/>
      <c r="JO65" s="4"/>
      <c r="JP65" s="4"/>
      <c r="JQ65" s="4"/>
      <c r="JR65" s="4"/>
      <c r="JS65" s="4"/>
      <c r="JT65" s="4"/>
      <c r="JU65" s="4"/>
      <c r="JV65" s="4"/>
      <c r="JW65" s="4"/>
      <c r="JX65" s="4"/>
      <c r="JY65" s="4"/>
      <c r="JZ65" s="4"/>
      <c r="KA65" s="4"/>
      <c r="KB65" s="4"/>
      <c r="KC65" s="4"/>
      <c r="KD65" s="4"/>
      <c r="KE65" s="4"/>
      <c r="KF65" s="4"/>
      <c r="KG65" s="4"/>
      <c r="KH65" s="4"/>
      <c r="KI65" s="4"/>
      <c r="KJ65" s="4"/>
      <c r="KK65" s="4"/>
      <c r="KL65" s="4"/>
      <c r="KM65" s="4"/>
      <c r="KN65" s="4"/>
      <c r="KO65" s="4"/>
      <c r="KP65" s="4"/>
      <c r="KQ65" s="4"/>
      <c r="KR65" s="4"/>
      <c r="KS65" s="4"/>
      <c r="KT65" s="4"/>
      <c r="KU65" s="4"/>
      <c r="KV65" s="4"/>
      <c r="KW65" s="4"/>
      <c r="KX65" s="4"/>
      <c r="KY65" s="4"/>
      <c r="KZ65" s="4"/>
      <c r="LA65" s="4"/>
      <c r="LB65" s="4"/>
      <c r="LC65" s="4"/>
      <c r="LD65" s="4"/>
      <c r="LE65" s="4"/>
      <c r="LF65" s="4"/>
      <c r="LG65" s="4"/>
      <c r="LH65" s="4"/>
      <c r="LI65" s="4"/>
      <c r="LJ65" s="4"/>
      <c r="LK65" s="4"/>
      <c r="LL65" s="4"/>
      <c r="LM65" s="4"/>
      <c r="LN65" s="4"/>
      <c r="LO65" s="4"/>
      <c r="LP65" s="4"/>
      <c r="LQ65" s="4"/>
      <c r="LR65" s="4"/>
      <c r="LS65" s="4"/>
      <c r="LT65" s="4"/>
      <c r="LU65" s="4"/>
      <c r="LV65" s="4"/>
      <c r="LW65" s="4"/>
      <c r="LX65" s="4"/>
      <c r="LY65" s="4"/>
      <c r="LZ65" s="4"/>
      <c r="MA65" s="4"/>
      <c r="MB65" s="4"/>
      <c r="MC65" s="4"/>
      <c r="MD65" s="4"/>
      <c r="ME65" s="4"/>
      <c r="MF65" s="4"/>
      <c r="MG65" s="4"/>
      <c r="MH65" s="4"/>
      <c r="MI65" s="4"/>
      <c r="MJ65" s="4"/>
      <c r="MK65" s="4"/>
      <c r="ML65" s="4"/>
      <c r="MM65" s="4"/>
      <c r="MN65" s="4"/>
      <c r="MO65" s="4"/>
      <c r="MP65" s="4"/>
      <c r="MQ65" s="4"/>
      <c r="MR65" s="4"/>
      <c r="MS65" s="4"/>
      <c r="MT65" s="4"/>
      <c r="MU65" s="4"/>
      <c r="MV65" s="4"/>
      <c r="MW65" s="4"/>
      <c r="MX65" s="4"/>
      <c r="MY65" s="4"/>
      <c r="MZ65" s="4"/>
      <c r="NA65" s="4"/>
      <c r="NB65" s="4"/>
      <c r="NC65" s="4"/>
      <c r="ND65" s="4"/>
      <c r="NE65" s="4"/>
      <c r="NF65" s="4"/>
      <c r="NG65" s="4"/>
      <c r="NH65" s="4"/>
      <c r="NI65" s="4"/>
      <c r="NJ65" s="4"/>
      <c r="NK65" s="4"/>
      <c r="NL65" s="4"/>
      <c r="NM65" s="4"/>
      <c r="NN65" s="4"/>
      <c r="NO65" s="4"/>
      <c r="NP65" s="4"/>
      <c r="NQ65" s="4"/>
      <c r="NR65" s="4"/>
      <c r="NS65" s="4"/>
      <c r="NT65" s="4"/>
      <c r="NU65" s="4"/>
      <c r="NV65" s="4"/>
      <c r="NW65" s="4"/>
      <c r="NX65" s="4"/>
      <c r="NY65" s="4"/>
      <c r="NZ65" s="4"/>
      <c r="OA65" s="4"/>
      <c r="OB65" s="4"/>
      <c r="OC65" s="4"/>
      <c r="OD65" s="4"/>
      <c r="OE65" s="4"/>
      <c r="OF65" s="4"/>
      <c r="OG65" s="4"/>
      <c r="OH65" s="4"/>
      <c r="OI65" s="4"/>
    </row>
    <row r="66" spans="1:399" outlineLevel="1">
      <c r="A66" s="116"/>
      <c r="B66" s="116"/>
      <c r="C66" s="116">
        <v>0</v>
      </c>
      <c r="D66" s="3"/>
      <c r="E66" s="183"/>
      <c r="F66" s="183"/>
      <c r="G66" s="183"/>
      <c r="H66" s="183"/>
      <c r="I66" s="183"/>
      <c r="J66" s="183"/>
      <c r="K66" s="183"/>
      <c r="L66" s="183"/>
      <c r="M66" s="184"/>
      <c r="N66" s="184"/>
      <c r="O66" s="185"/>
      <c r="P66" s="186"/>
      <c r="Q66" s="186"/>
      <c r="R66" s="187">
        <v>0</v>
      </c>
      <c r="S66" s="187">
        <v>0</v>
      </c>
      <c r="T66" s="184"/>
      <c r="U66" s="184"/>
      <c r="V66" s="188"/>
      <c r="W66" s="189">
        <v>0</v>
      </c>
      <c r="X66" s="190"/>
      <c r="Y66" s="185"/>
      <c r="Z66" s="191"/>
      <c r="AA66" s="97"/>
      <c r="AB66" s="192"/>
      <c r="AC66" s="123"/>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c r="ER66" s="4"/>
      <c r="ES66" s="4"/>
      <c r="ET66" s="4"/>
      <c r="EU66" s="4"/>
      <c r="EV66" s="4"/>
      <c r="EW66" s="4"/>
      <c r="EX66" s="4"/>
      <c r="EY66" s="4"/>
      <c r="EZ66" s="4"/>
      <c r="FA66" s="4"/>
      <c r="FB66" s="4"/>
      <c r="FC66" s="4"/>
      <c r="FD66" s="4"/>
      <c r="FE66" s="4"/>
      <c r="FF66" s="4"/>
      <c r="FG66" s="4"/>
      <c r="FH66" s="4"/>
      <c r="FI66" s="4"/>
      <c r="FJ66" s="4"/>
      <c r="FK66" s="4"/>
      <c r="FL66" s="4"/>
      <c r="FM66" s="4"/>
      <c r="FN66" s="4"/>
      <c r="FO66" s="4"/>
      <c r="FP66" s="4"/>
      <c r="FQ66" s="4"/>
      <c r="FR66" s="4"/>
      <c r="FS66" s="4"/>
      <c r="FT66" s="4"/>
      <c r="FU66" s="4"/>
      <c r="FV66" s="4"/>
      <c r="FW66" s="4"/>
      <c r="FX66" s="4"/>
      <c r="FY66" s="4"/>
      <c r="FZ66" s="4"/>
      <c r="GA66" s="4"/>
      <c r="GB66" s="4"/>
      <c r="GC66" s="4"/>
      <c r="GD66" s="4"/>
      <c r="GE66" s="4"/>
      <c r="GF66" s="4"/>
      <c r="GG66" s="4"/>
      <c r="GH66" s="4"/>
      <c r="GI66" s="4"/>
      <c r="GJ66" s="4"/>
      <c r="GK66" s="4"/>
      <c r="GL66" s="4"/>
      <c r="GM66" s="4"/>
      <c r="GN66" s="4"/>
      <c r="GO66" s="4"/>
      <c r="GP66" s="4"/>
      <c r="GQ66" s="4"/>
      <c r="GR66" s="4"/>
      <c r="GS66" s="4"/>
      <c r="GT66" s="4"/>
      <c r="GU66" s="4"/>
      <c r="GV66" s="4"/>
      <c r="GW66" s="4"/>
      <c r="GX66" s="4"/>
      <c r="GY66" s="4"/>
      <c r="GZ66" s="4"/>
      <c r="HA66" s="4"/>
      <c r="HB66" s="4"/>
      <c r="HC66" s="4"/>
      <c r="HD66" s="4"/>
      <c r="HE66" s="4"/>
      <c r="HF66" s="4"/>
      <c r="HG66" s="4"/>
      <c r="HH66" s="4"/>
      <c r="HI66" s="4"/>
      <c r="HJ66" s="4"/>
      <c r="HK66" s="4"/>
      <c r="HL66" s="4"/>
      <c r="HM66" s="4"/>
      <c r="HN66" s="4"/>
      <c r="HO66" s="4"/>
      <c r="HP66" s="4"/>
      <c r="HQ66" s="4"/>
      <c r="HR66" s="4"/>
      <c r="HS66" s="4"/>
      <c r="HT66" s="4"/>
      <c r="HU66" s="4"/>
      <c r="HV66" s="4"/>
      <c r="HW66" s="4"/>
      <c r="HX66" s="4"/>
      <c r="HY66" s="4"/>
      <c r="HZ66" s="4"/>
      <c r="IA66" s="4"/>
      <c r="IB66" s="4"/>
      <c r="IC66" s="4"/>
      <c r="ID66" s="4"/>
      <c r="IE66" s="4"/>
      <c r="IF66" s="4"/>
      <c r="IG66" s="4"/>
      <c r="IH66" s="4"/>
      <c r="II66" s="4"/>
      <c r="IJ66" s="4"/>
      <c r="IK66" s="4"/>
      <c r="IL66" s="4"/>
      <c r="IM66" s="4"/>
      <c r="IN66" s="4"/>
      <c r="IO66" s="4"/>
      <c r="IP66" s="4"/>
      <c r="IQ66" s="4"/>
      <c r="IR66" s="4"/>
      <c r="IS66" s="4"/>
      <c r="IT66" s="4"/>
      <c r="IU66" s="4"/>
      <c r="IV66" s="4"/>
      <c r="IW66" s="4"/>
      <c r="IX66" s="4"/>
      <c r="IY66" s="4"/>
      <c r="IZ66" s="4"/>
      <c r="JA66" s="4"/>
      <c r="JB66" s="4"/>
      <c r="JC66" s="4"/>
      <c r="JD66" s="4"/>
      <c r="JE66" s="4"/>
      <c r="JF66" s="4"/>
      <c r="JG66" s="4"/>
      <c r="JH66" s="4"/>
      <c r="JI66" s="4"/>
      <c r="JJ66" s="4"/>
      <c r="JK66" s="4"/>
      <c r="JL66" s="4"/>
      <c r="JM66" s="4"/>
      <c r="JN66" s="4"/>
      <c r="JO66" s="4"/>
      <c r="JP66" s="4"/>
      <c r="JQ66" s="4"/>
      <c r="JR66" s="4"/>
      <c r="JS66" s="4"/>
      <c r="JT66" s="4"/>
      <c r="JU66" s="4"/>
      <c r="JV66" s="4"/>
      <c r="JW66" s="4"/>
      <c r="JX66" s="4"/>
      <c r="JY66" s="4"/>
      <c r="JZ66" s="4"/>
      <c r="KA66" s="4"/>
      <c r="KB66" s="4"/>
      <c r="KC66" s="4"/>
      <c r="KD66" s="4"/>
      <c r="KE66" s="4"/>
      <c r="KF66" s="4"/>
      <c r="KG66" s="4"/>
      <c r="KH66" s="4"/>
      <c r="KI66" s="4"/>
      <c r="KJ66" s="4"/>
      <c r="KK66" s="4"/>
      <c r="KL66" s="4"/>
      <c r="KM66" s="4"/>
      <c r="KN66" s="4"/>
      <c r="KO66" s="4"/>
      <c r="KP66" s="4"/>
      <c r="KQ66" s="4"/>
      <c r="KR66" s="4"/>
      <c r="KS66" s="4"/>
      <c r="KT66" s="4"/>
      <c r="KU66" s="4"/>
      <c r="KV66" s="4"/>
      <c r="KW66" s="4"/>
      <c r="KX66" s="4"/>
      <c r="KY66" s="4"/>
      <c r="KZ66" s="4"/>
      <c r="LA66" s="4"/>
      <c r="LB66" s="4"/>
      <c r="LC66" s="4"/>
      <c r="LD66" s="4"/>
      <c r="LE66" s="4"/>
      <c r="LF66" s="4"/>
      <c r="LG66" s="4"/>
      <c r="LH66" s="4"/>
      <c r="LI66" s="4"/>
      <c r="LJ66" s="4"/>
      <c r="LK66" s="4"/>
      <c r="LL66" s="4"/>
      <c r="LM66" s="4"/>
      <c r="LN66" s="4"/>
      <c r="LO66" s="4"/>
      <c r="LP66" s="4"/>
      <c r="LQ66" s="4"/>
      <c r="LR66" s="4"/>
      <c r="LS66" s="4"/>
      <c r="LT66" s="4"/>
      <c r="LU66" s="4"/>
      <c r="LV66" s="4"/>
      <c r="LW66" s="4"/>
      <c r="LX66" s="4"/>
      <c r="LY66" s="4"/>
      <c r="LZ66" s="4"/>
      <c r="MA66" s="4"/>
      <c r="MB66" s="4"/>
      <c r="MC66" s="4"/>
      <c r="MD66" s="4"/>
      <c r="ME66" s="4"/>
      <c r="MF66" s="4"/>
      <c r="MG66" s="4"/>
      <c r="MH66" s="4"/>
      <c r="MI66" s="4"/>
      <c r="MJ66" s="4"/>
      <c r="MK66" s="4"/>
      <c r="ML66" s="4"/>
      <c r="MM66" s="4"/>
      <c r="MN66" s="4"/>
      <c r="MO66" s="4"/>
      <c r="MP66" s="4"/>
      <c r="MQ66" s="4"/>
      <c r="MR66" s="4"/>
      <c r="MS66" s="4"/>
      <c r="MT66" s="4"/>
      <c r="MU66" s="4"/>
      <c r="MV66" s="4"/>
      <c r="MW66" s="4"/>
      <c r="MX66" s="4"/>
      <c r="MY66" s="4"/>
      <c r="MZ66" s="4"/>
      <c r="NA66" s="4"/>
      <c r="NB66" s="4"/>
      <c r="NC66" s="4"/>
      <c r="ND66" s="4"/>
      <c r="NE66" s="4"/>
      <c r="NF66" s="4"/>
      <c r="NG66" s="4"/>
      <c r="NH66" s="4"/>
      <c r="NI66" s="4"/>
      <c r="NJ66" s="4"/>
      <c r="NK66" s="4"/>
      <c r="NL66" s="4"/>
      <c r="NM66" s="4"/>
      <c r="NN66" s="4"/>
      <c r="NO66" s="4"/>
      <c r="NP66" s="4"/>
      <c r="NQ66" s="4"/>
      <c r="NR66" s="4"/>
      <c r="NS66" s="4"/>
      <c r="NT66" s="4"/>
      <c r="NU66" s="4"/>
      <c r="NV66" s="4"/>
      <c r="NW66" s="4"/>
      <c r="NX66" s="4"/>
      <c r="NY66" s="4"/>
      <c r="NZ66" s="4"/>
      <c r="OA66" s="4"/>
      <c r="OB66" s="4"/>
      <c r="OC66" s="4"/>
      <c r="OD66" s="4"/>
      <c r="OE66" s="4"/>
      <c r="OF66" s="4"/>
      <c r="OG66" s="4"/>
      <c r="OH66" s="4"/>
      <c r="OI66" s="4"/>
    </row>
    <row r="67" spans="1:399">
      <c r="A67" s="116"/>
      <c r="B67" s="116" t="s">
        <v>1061</v>
      </c>
      <c r="C67" s="116">
        <v>1</v>
      </c>
      <c r="D67" s="3" t="s">
        <v>1208</v>
      </c>
      <c r="E67" s="183" t="s">
        <v>1253</v>
      </c>
      <c r="F67" s="183"/>
      <c r="G67" s="183"/>
      <c r="H67" s="183"/>
      <c r="I67" s="183"/>
      <c r="J67" s="183"/>
      <c r="K67" s="183"/>
      <c r="L67" s="183"/>
      <c r="M67" s="184">
        <v>43745</v>
      </c>
      <c r="N67" s="184">
        <v>43769</v>
      </c>
      <c r="O67" s="185"/>
      <c r="P67" s="186">
        <v>18</v>
      </c>
      <c r="Q67" s="186">
        <v>13</v>
      </c>
      <c r="R67" s="187">
        <v>18</v>
      </c>
      <c r="S67" s="187">
        <v>13</v>
      </c>
      <c r="T67" s="184"/>
      <c r="U67" s="184"/>
      <c r="V67" s="188">
        <v>0</v>
      </c>
      <c r="W67" s="189">
        <v>0</v>
      </c>
      <c r="X67" s="190"/>
      <c r="Y67" s="185"/>
      <c r="Z67" s="191"/>
      <c r="AA67" s="97">
        <v>0.72222222222222221</v>
      </c>
      <c r="AB67" s="192">
        <v>0</v>
      </c>
      <c r="AC67" s="123"/>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t="str">
        <f>"" &amp; TEXT(AB67,"#0.00%") &amp; " "</f>
        <v xml:space="preserve">0.00% </v>
      </c>
      <c r="BR67" s="4"/>
      <c r="BS67" s="4"/>
      <c r="BT67" s="4" t="str">
        <f>"    " &amp; "Powercall 2nd Phase" &amp; " " &amp; IF(M67="","",TEXT(M67,"M/D-")) &amp; IF(N67="","",TEXT(N67,"M/D")) &amp; " "</f>
        <v xml:space="preserve">    Powercall 2nd Phase 10/7-10/31 </v>
      </c>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c r="ER67" s="4"/>
      <c r="ES67" s="4"/>
      <c r="ET67" s="4"/>
      <c r="EU67" s="4"/>
      <c r="EV67" s="4"/>
      <c r="EW67" s="4"/>
      <c r="EX67" s="4"/>
      <c r="EY67" s="4"/>
      <c r="EZ67" s="4"/>
      <c r="FA67" s="4"/>
      <c r="FB67" s="4"/>
      <c r="FC67" s="4"/>
      <c r="FD67" s="4"/>
      <c r="FE67" s="4"/>
      <c r="FF67" s="4"/>
      <c r="FG67" s="4"/>
      <c r="FH67" s="4"/>
      <c r="FI67" s="4"/>
      <c r="FJ67" s="4"/>
      <c r="FK67" s="4"/>
      <c r="FL67" s="4"/>
      <c r="FM67" s="4"/>
      <c r="FN67" s="4"/>
      <c r="FO67" s="4"/>
      <c r="FP67" s="4"/>
      <c r="FQ67" s="4"/>
      <c r="FR67" s="4"/>
      <c r="FS67" s="4"/>
      <c r="FT67" s="4"/>
      <c r="FU67" s="4"/>
      <c r="FV67" s="4"/>
      <c r="FW67" s="4"/>
      <c r="FX67" s="4"/>
      <c r="FY67" s="4"/>
      <c r="FZ67" s="4"/>
      <c r="GA67" s="4"/>
      <c r="GB67" s="4"/>
      <c r="GC67" s="4"/>
      <c r="GD67" s="4"/>
      <c r="GE67" s="4"/>
      <c r="GF67" s="4"/>
      <c r="GG67" s="4"/>
      <c r="GH67" s="4"/>
      <c r="GI67" s="4"/>
      <c r="GJ67" s="4"/>
      <c r="GK67" s="4"/>
      <c r="GL67" s="4"/>
      <c r="GM67" s="4"/>
      <c r="GN67" s="4"/>
      <c r="GO67" s="4"/>
      <c r="GP67" s="4"/>
      <c r="GQ67" s="4"/>
      <c r="GR67" s="4"/>
      <c r="GS67" s="4"/>
      <c r="GT67" s="4"/>
      <c r="GU67" s="4"/>
      <c r="GV67" s="4"/>
      <c r="GW67" s="4"/>
      <c r="GX67" s="4"/>
      <c r="GY67" s="4"/>
      <c r="GZ67" s="4"/>
      <c r="HA67" s="4"/>
      <c r="HB67" s="4"/>
      <c r="HC67" s="4"/>
      <c r="HD67" s="4"/>
      <c r="HE67" s="4"/>
      <c r="HF67" s="4"/>
      <c r="HG67" s="4"/>
      <c r="HH67" s="4"/>
      <c r="HI67" s="4"/>
      <c r="HJ67" s="4"/>
      <c r="HK67" s="4"/>
      <c r="HL67" s="4"/>
      <c r="HM67" s="4"/>
      <c r="HN67" s="4"/>
      <c r="HO67" s="4"/>
      <c r="HP67" s="4"/>
      <c r="HQ67" s="4"/>
      <c r="HR67" s="4"/>
      <c r="HS67" s="4"/>
      <c r="HT67" s="4"/>
      <c r="HU67" s="4"/>
      <c r="HV67" s="4"/>
      <c r="HW67" s="4"/>
      <c r="HX67" s="4"/>
      <c r="HY67" s="4"/>
      <c r="HZ67" s="4"/>
      <c r="IA67" s="4"/>
      <c r="IB67" s="4"/>
      <c r="IC67" s="4"/>
      <c r="ID67" s="4"/>
      <c r="IE67" s="4"/>
      <c r="IF67" s="4"/>
      <c r="IG67" s="4"/>
      <c r="IH67" s="4"/>
      <c r="II67" s="4"/>
      <c r="IJ67" s="4"/>
      <c r="IK67" s="4"/>
      <c r="IL67" s="4"/>
      <c r="IM67" s="4"/>
      <c r="IN67" s="4"/>
      <c r="IO67" s="4"/>
      <c r="IP67" s="4"/>
      <c r="IQ67" s="4"/>
      <c r="IR67" s="4"/>
      <c r="IS67" s="4"/>
      <c r="IT67" s="4"/>
      <c r="IU67" s="4"/>
      <c r="IV67" s="4"/>
      <c r="IW67" s="4"/>
      <c r="IX67" s="4"/>
      <c r="IY67" s="4"/>
      <c r="IZ67" s="4"/>
      <c r="JA67" s="4"/>
      <c r="JB67" s="4"/>
      <c r="JC67" s="4"/>
      <c r="JD67" s="4"/>
      <c r="JE67" s="4"/>
      <c r="JF67" s="4"/>
      <c r="JG67" s="4"/>
      <c r="JH67" s="4"/>
      <c r="JI67" s="4"/>
      <c r="JJ67" s="4"/>
      <c r="JK67" s="4"/>
      <c r="JL67" s="4"/>
      <c r="JM67" s="4"/>
      <c r="JN67" s="4"/>
      <c r="JO67" s="4"/>
      <c r="JP67" s="4"/>
      <c r="JQ67" s="4"/>
      <c r="JR67" s="4"/>
      <c r="JS67" s="4"/>
      <c r="JT67" s="4"/>
      <c r="JU67" s="4"/>
      <c r="JV67" s="4"/>
      <c r="JW67" s="4"/>
      <c r="JX67" s="4"/>
      <c r="JY67" s="4"/>
      <c r="JZ67" s="4"/>
      <c r="KA67" s="4"/>
      <c r="KB67" s="4"/>
      <c r="KC67" s="4"/>
      <c r="KD67" s="4"/>
      <c r="KE67" s="4"/>
      <c r="KF67" s="4"/>
      <c r="KG67" s="4"/>
      <c r="KH67" s="4"/>
      <c r="KI67" s="4"/>
      <c r="KJ67" s="4"/>
      <c r="KK67" s="4"/>
      <c r="KL67" s="4"/>
      <c r="KM67" s="4"/>
      <c r="KN67" s="4"/>
      <c r="KO67" s="4"/>
      <c r="KP67" s="4"/>
      <c r="KQ67" s="4"/>
      <c r="KR67" s="4"/>
      <c r="KS67" s="4"/>
      <c r="KT67" s="4"/>
      <c r="KU67" s="4"/>
      <c r="KV67" s="4"/>
      <c r="KW67" s="4"/>
      <c r="KX67" s="4"/>
      <c r="KY67" s="4"/>
      <c r="KZ67" s="4"/>
      <c r="LA67" s="4"/>
      <c r="LB67" s="4"/>
      <c r="LC67" s="4"/>
      <c r="LD67" s="4"/>
      <c r="LE67" s="4"/>
      <c r="LF67" s="4"/>
      <c r="LG67" s="4"/>
      <c r="LH67" s="4"/>
      <c r="LI67" s="4"/>
      <c r="LJ67" s="4"/>
      <c r="LK67" s="4"/>
      <c r="LL67" s="4"/>
      <c r="LM67" s="4"/>
      <c r="LN67" s="4"/>
      <c r="LO67" s="4"/>
      <c r="LP67" s="4"/>
      <c r="LQ67" s="4"/>
      <c r="LR67" s="4"/>
      <c r="LS67" s="4"/>
      <c r="LT67" s="4"/>
      <c r="LU67" s="4"/>
      <c r="LV67" s="4"/>
      <c r="LW67" s="4"/>
      <c r="LX67" s="4"/>
      <c r="LY67" s="4"/>
      <c r="LZ67" s="4"/>
      <c r="MA67" s="4"/>
      <c r="MB67" s="4"/>
      <c r="MC67" s="4"/>
      <c r="MD67" s="4"/>
      <c r="ME67" s="4"/>
      <c r="MF67" s="4"/>
      <c r="MG67" s="4"/>
      <c r="MH67" s="4"/>
      <c r="MI67" s="4"/>
      <c r="MJ67" s="4"/>
      <c r="MK67" s="4"/>
      <c r="ML67" s="4"/>
      <c r="MM67" s="4"/>
      <c r="MN67" s="4"/>
      <c r="MO67" s="4"/>
      <c r="MP67" s="4"/>
      <c r="MQ67" s="4"/>
      <c r="MR67" s="4"/>
      <c r="MS67" s="4"/>
      <c r="MT67" s="4"/>
      <c r="MU67" s="4"/>
      <c r="MV67" s="4"/>
      <c r="MW67" s="4"/>
      <c r="MX67" s="4"/>
      <c r="MY67" s="4"/>
      <c r="MZ67" s="4"/>
      <c r="NA67" s="4"/>
      <c r="NB67" s="4"/>
      <c r="NC67" s="4"/>
      <c r="ND67" s="4"/>
      <c r="NE67" s="4"/>
      <c r="NF67" s="4"/>
      <c r="NG67" s="4"/>
      <c r="NH67" s="4"/>
      <c r="NI67" s="4"/>
      <c r="NJ67" s="4"/>
      <c r="NK67" s="4"/>
      <c r="NL67" s="4"/>
      <c r="NM67" s="4"/>
      <c r="NN67" s="4"/>
      <c r="NO67" s="4"/>
      <c r="NP67" s="4"/>
      <c r="NQ67" s="4"/>
      <c r="NR67" s="4"/>
      <c r="NS67" s="4"/>
      <c r="NT67" s="4"/>
      <c r="NU67" s="4"/>
      <c r="NV67" s="4"/>
      <c r="NW67" s="4"/>
      <c r="NX67" s="4"/>
      <c r="NY67" s="4"/>
      <c r="NZ67" s="4"/>
      <c r="OA67" s="4"/>
      <c r="OB67" s="4"/>
      <c r="OC67" s="4"/>
      <c r="OD67" s="4"/>
      <c r="OE67" s="4"/>
      <c r="OF67" s="4"/>
      <c r="OG67" s="4"/>
      <c r="OH67" s="4"/>
      <c r="OI67" s="4"/>
    </row>
    <row r="68" spans="1:399" outlineLevel="1">
      <c r="A68" s="116"/>
      <c r="B68" s="116"/>
      <c r="C68" s="116">
        <v>2</v>
      </c>
      <c r="D68" s="3" t="s">
        <v>1209</v>
      </c>
      <c r="E68" s="183"/>
      <c r="F68" s="183" t="s">
        <v>1198</v>
      </c>
      <c r="G68" s="183"/>
      <c r="H68" s="183"/>
      <c r="I68" s="183"/>
      <c r="J68" s="183"/>
      <c r="K68" s="183"/>
      <c r="L68" s="183"/>
      <c r="M68" s="184">
        <v>43745</v>
      </c>
      <c r="N68" s="184">
        <v>43749</v>
      </c>
      <c r="O68" s="185"/>
      <c r="P68" s="186">
        <v>4</v>
      </c>
      <c r="Q68" s="186">
        <v>4</v>
      </c>
      <c r="R68" s="187">
        <v>4</v>
      </c>
      <c r="S68" s="187">
        <v>4</v>
      </c>
      <c r="T68" s="184"/>
      <c r="U68" s="184"/>
      <c r="V68" s="188"/>
      <c r="W68" s="189">
        <v>0</v>
      </c>
      <c r="X68" s="190">
        <v>1</v>
      </c>
      <c r="Y68" s="185" t="s">
        <v>1266</v>
      </c>
      <c r="Z68" s="191"/>
      <c r="AA68" s="97">
        <v>1</v>
      </c>
      <c r="AB68" s="192">
        <v>0</v>
      </c>
      <c r="AC68" s="123"/>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t="str">
        <f>"" &amp; TEXT(AB68,"#0.00%") &amp; " " &amp; "Design" &amp; "(Max, Chris)" &amp; " " &amp; IF(M68="","",TEXT(M68,"M/D-")) &amp; IF(N68="","",TEXT(N68,"M/D")) &amp; " "</f>
        <v xml:space="preserve">0.00% Design(Max, Chris) 10/7-10/11 </v>
      </c>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c r="ER68" s="4"/>
      <c r="ES68" s="4"/>
      <c r="ET68" s="4"/>
      <c r="EU68" s="4"/>
      <c r="EV68" s="4"/>
      <c r="EW68" s="4"/>
      <c r="EX68" s="4"/>
      <c r="EY68" s="4"/>
      <c r="EZ68" s="4"/>
      <c r="FA68" s="4"/>
      <c r="FB68" s="4"/>
      <c r="FC68" s="4"/>
      <c r="FD68" s="4"/>
      <c r="FE68" s="4"/>
      <c r="FF68" s="4"/>
      <c r="FG68" s="4"/>
      <c r="FH68" s="4"/>
      <c r="FI68" s="4"/>
      <c r="FJ68" s="4"/>
      <c r="FK68" s="4"/>
      <c r="FL68" s="4"/>
      <c r="FM68" s="4"/>
      <c r="FN68" s="4"/>
      <c r="FO68" s="4"/>
      <c r="FP68" s="4"/>
      <c r="FQ68" s="4"/>
      <c r="FR68" s="4"/>
      <c r="FS68" s="4"/>
      <c r="FT68" s="4"/>
      <c r="FU68" s="4"/>
      <c r="FV68" s="4"/>
      <c r="FW68" s="4"/>
      <c r="FX68" s="4"/>
      <c r="FY68" s="4"/>
      <c r="FZ68" s="4"/>
      <c r="GA68" s="4"/>
      <c r="GB68" s="4"/>
      <c r="GC68" s="4"/>
      <c r="GD68" s="4"/>
      <c r="GE68" s="4"/>
      <c r="GF68" s="4"/>
      <c r="GG68" s="4"/>
      <c r="GH68" s="4"/>
      <c r="GI68" s="4"/>
      <c r="GJ68" s="4"/>
      <c r="GK68" s="4"/>
      <c r="GL68" s="4"/>
      <c r="GM68" s="4"/>
      <c r="GN68" s="4"/>
      <c r="GO68" s="4"/>
      <c r="GP68" s="4"/>
      <c r="GQ68" s="4"/>
      <c r="GR68" s="4"/>
      <c r="GS68" s="4"/>
      <c r="GT68" s="4"/>
      <c r="GU68" s="4"/>
      <c r="GV68" s="4"/>
      <c r="GW68" s="4"/>
      <c r="GX68" s="4"/>
      <c r="GY68" s="4"/>
      <c r="GZ68" s="4"/>
      <c r="HA68" s="4"/>
      <c r="HB68" s="4"/>
      <c r="HC68" s="4"/>
      <c r="HD68" s="4"/>
      <c r="HE68" s="4"/>
      <c r="HF68" s="4"/>
      <c r="HG68" s="4"/>
      <c r="HH68" s="4"/>
      <c r="HI68" s="4"/>
      <c r="HJ68" s="4"/>
      <c r="HK68" s="4"/>
      <c r="HL68" s="4"/>
      <c r="HM68" s="4"/>
      <c r="HN68" s="4"/>
      <c r="HO68" s="4"/>
      <c r="HP68" s="4"/>
      <c r="HQ68" s="4"/>
      <c r="HR68" s="4"/>
      <c r="HS68" s="4"/>
      <c r="HT68" s="4"/>
      <c r="HU68" s="4"/>
      <c r="HV68" s="4"/>
      <c r="HW68" s="4"/>
      <c r="HX68" s="4"/>
      <c r="HY68" s="4"/>
      <c r="HZ68" s="4"/>
      <c r="IA68" s="4"/>
      <c r="IB68" s="4"/>
      <c r="IC68" s="4"/>
      <c r="ID68" s="4"/>
      <c r="IE68" s="4"/>
      <c r="IF68" s="4"/>
      <c r="IG68" s="4"/>
      <c r="IH68" s="4"/>
      <c r="II68" s="4"/>
      <c r="IJ68" s="4"/>
      <c r="IK68" s="4"/>
      <c r="IL68" s="4"/>
      <c r="IM68" s="4"/>
      <c r="IN68" s="4"/>
      <c r="IO68" s="4"/>
      <c r="IP68" s="4"/>
      <c r="IQ68" s="4"/>
      <c r="IR68" s="4"/>
      <c r="IS68" s="4"/>
      <c r="IT68" s="4"/>
      <c r="IU68" s="4"/>
      <c r="IV68" s="4"/>
      <c r="IW68" s="4"/>
      <c r="IX68" s="4"/>
      <c r="IY68" s="4"/>
      <c r="IZ68" s="4"/>
      <c r="JA68" s="4"/>
      <c r="JB68" s="4"/>
      <c r="JC68" s="4"/>
      <c r="JD68" s="4"/>
      <c r="JE68" s="4"/>
      <c r="JF68" s="4"/>
      <c r="JG68" s="4"/>
      <c r="JH68" s="4"/>
      <c r="JI68" s="4"/>
      <c r="JJ68" s="4"/>
      <c r="JK68" s="4"/>
      <c r="JL68" s="4"/>
      <c r="JM68" s="4"/>
      <c r="JN68" s="4"/>
      <c r="JO68" s="4"/>
      <c r="JP68" s="4"/>
      <c r="JQ68" s="4"/>
      <c r="JR68" s="4"/>
      <c r="JS68" s="4"/>
      <c r="JT68" s="4"/>
      <c r="JU68" s="4"/>
      <c r="JV68" s="4"/>
      <c r="JW68" s="4"/>
      <c r="JX68" s="4"/>
      <c r="JY68" s="4"/>
      <c r="JZ68" s="4"/>
      <c r="KA68" s="4"/>
      <c r="KB68" s="4"/>
      <c r="KC68" s="4"/>
      <c r="KD68" s="4"/>
      <c r="KE68" s="4"/>
      <c r="KF68" s="4"/>
      <c r="KG68" s="4"/>
      <c r="KH68" s="4"/>
      <c r="KI68" s="4"/>
      <c r="KJ68" s="4"/>
      <c r="KK68" s="4"/>
      <c r="KL68" s="4"/>
      <c r="KM68" s="4"/>
      <c r="KN68" s="4"/>
      <c r="KO68" s="4"/>
      <c r="KP68" s="4"/>
      <c r="KQ68" s="4"/>
      <c r="KR68" s="4"/>
      <c r="KS68" s="4"/>
      <c r="KT68" s="4"/>
      <c r="KU68" s="4"/>
      <c r="KV68" s="4"/>
      <c r="KW68" s="4"/>
      <c r="KX68" s="4"/>
      <c r="KY68" s="4"/>
      <c r="KZ68" s="4"/>
      <c r="LA68" s="4"/>
      <c r="LB68" s="4"/>
      <c r="LC68" s="4"/>
      <c r="LD68" s="4"/>
      <c r="LE68" s="4"/>
      <c r="LF68" s="4"/>
      <c r="LG68" s="4"/>
      <c r="LH68" s="4"/>
      <c r="LI68" s="4"/>
      <c r="LJ68" s="4"/>
      <c r="LK68" s="4"/>
      <c r="LL68" s="4"/>
      <c r="LM68" s="4"/>
      <c r="LN68" s="4"/>
      <c r="LO68" s="4"/>
      <c r="LP68" s="4"/>
      <c r="LQ68" s="4"/>
      <c r="LR68" s="4"/>
      <c r="LS68" s="4"/>
      <c r="LT68" s="4"/>
      <c r="LU68" s="4"/>
      <c r="LV68" s="4"/>
      <c r="LW68" s="4"/>
      <c r="LX68" s="4"/>
      <c r="LY68" s="4"/>
      <c r="LZ68" s="4"/>
      <c r="MA68" s="4"/>
      <c r="MB68" s="4"/>
      <c r="MC68" s="4"/>
      <c r="MD68" s="4"/>
      <c r="ME68" s="4"/>
      <c r="MF68" s="4"/>
      <c r="MG68" s="4"/>
      <c r="MH68" s="4"/>
      <c r="MI68" s="4"/>
      <c r="MJ68" s="4"/>
      <c r="MK68" s="4"/>
      <c r="ML68" s="4"/>
      <c r="MM68" s="4"/>
      <c r="MN68" s="4"/>
      <c r="MO68" s="4"/>
      <c r="MP68" s="4"/>
      <c r="MQ68" s="4"/>
      <c r="MR68" s="4"/>
      <c r="MS68" s="4"/>
      <c r="MT68" s="4"/>
      <c r="MU68" s="4"/>
      <c r="MV68" s="4"/>
      <c r="MW68" s="4"/>
      <c r="MX68" s="4"/>
      <c r="MY68" s="4"/>
      <c r="MZ68" s="4"/>
      <c r="NA68" s="4"/>
      <c r="NB68" s="4"/>
      <c r="NC68" s="4"/>
      <c r="ND68" s="4"/>
      <c r="NE68" s="4"/>
      <c r="NF68" s="4"/>
      <c r="NG68" s="4"/>
      <c r="NH68" s="4"/>
      <c r="NI68" s="4"/>
      <c r="NJ68" s="4"/>
      <c r="NK68" s="4"/>
      <c r="NL68" s="4"/>
      <c r="NM68" s="4"/>
      <c r="NN68" s="4"/>
      <c r="NO68" s="4"/>
      <c r="NP68" s="4"/>
      <c r="NQ68" s="4"/>
      <c r="NR68" s="4"/>
      <c r="NS68" s="4"/>
      <c r="NT68" s="4"/>
      <c r="NU68" s="4"/>
      <c r="NV68" s="4"/>
      <c r="NW68" s="4"/>
      <c r="NX68" s="4"/>
      <c r="NY68" s="4"/>
      <c r="NZ68" s="4"/>
      <c r="OA68" s="4"/>
      <c r="OB68" s="4"/>
      <c r="OC68" s="4"/>
      <c r="OD68" s="4"/>
      <c r="OE68" s="4"/>
      <c r="OF68" s="4"/>
      <c r="OG68" s="4"/>
      <c r="OH68" s="4"/>
      <c r="OI68" s="4"/>
    </row>
    <row r="69" spans="1:399" outlineLevel="1">
      <c r="A69" s="116"/>
      <c r="B69" s="116"/>
      <c r="C69" s="116">
        <v>2</v>
      </c>
      <c r="D69" s="3" t="s">
        <v>1210</v>
      </c>
      <c r="E69" s="183"/>
      <c r="F69" s="183" t="s">
        <v>1178</v>
      </c>
      <c r="G69" s="183"/>
      <c r="H69" s="183"/>
      <c r="I69" s="183"/>
      <c r="J69" s="183"/>
      <c r="K69" s="183"/>
      <c r="L69" s="183"/>
      <c r="M69" s="184"/>
      <c r="N69" s="184"/>
      <c r="O69" s="185"/>
      <c r="P69" s="186">
        <v>0</v>
      </c>
      <c r="Q69" s="186">
        <v>0</v>
      </c>
      <c r="R69" s="187">
        <v>0</v>
      </c>
      <c r="S69" s="187">
        <v>0</v>
      </c>
      <c r="T69" s="184"/>
      <c r="U69" s="184"/>
      <c r="V69" s="188">
        <v>0</v>
      </c>
      <c r="W69" s="189">
        <v>0</v>
      </c>
      <c r="X69" s="190"/>
      <c r="Y69" s="185"/>
      <c r="Z69" s="191"/>
      <c r="AA69" s="97">
        <v>0</v>
      </c>
      <c r="AB69" s="192">
        <v>0</v>
      </c>
      <c r="AC69" s="123"/>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c r="EY69" s="4"/>
      <c r="EZ69" s="4"/>
      <c r="FA69" s="4"/>
      <c r="FB69" s="4"/>
      <c r="FC69" s="4"/>
      <c r="FD69" s="4"/>
      <c r="FE69" s="4"/>
      <c r="FF69" s="4"/>
      <c r="FG69" s="4"/>
      <c r="FH69" s="4"/>
      <c r="FI69" s="4"/>
      <c r="FJ69" s="4"/>
      <c r="FK69" s="4"/>
      <c r="FL69" s="4"/>
      <c r="FM69" s="4"/>
      <c r="FN69" s="4"/>
      <c r="FO69" s="4"/>
      <c r="FP69" s="4"/>
      <c r="FQ69" s="4"/>
      <c r="FR69" s="4"/>
      <c r="FS69" s="4"/>
      <c r="FT69" s="4"/>
      <c r="FU69" s="4"/>
      <c r="FV69" s="4"/>
      <c r="FW69" s="4"/>
      <c r="FX69" s="4"/>
      <c r="FY69" s="4"/>
      <c r="FZ69" s="4"/>
      <c r="GA69" s="4"/>
      <c r="GB69" s="4"/>
      <c r="GC69" s="4"/>
      <c r="GD69" s="4"/>
      <c r="GE69" s="4"/>
      <c r="GF69" s="4"/>
      <c r="GG69" s="4"/>
      <c r="GH69" s="4"/>
      <c r="GI69" s="4"/>
      <c r="GJ69" s="4"/>
      <c r="GK69" s="4"/>
      <c r="GL69" s="4"/>
      <c r="GM69" s="4"/>
      <c r="GN69" s="4"/>
      <c r="GO69" s="4"/>
      <c r="GP69" s="4"/>
      <c r="GQ69" s="4"/>
      <c r="GR69" s="4"/>
      <c r="GS69" s="4"/>
      <c r="GT69" s="4"/>
      <c r="GU69" s="4"/>
      <c r="GV69" s="4"/>
      <c r="GW69" s="4"/>
      <c r="GX69" s="4"/>
      <c r="GY69" s="4"/>
      <c r="GZ69" s="4"/>
      <c r="HA69" s="4"/>
      <c r="HB69" s="4"/>
      <c r="HC69" s="4"/>
      <c r="HD69" s="4"/>
      <c r="HE69" s="4"/>
      <c r="HF69" s="4"/>
      <c r="HG69" s="4"/>
      <c r="HH69" s="4"/>
      <c r="HI69" s="4"/>
      <c r="HJ69" s="4"/>
      <c r="HK69" s="4"/>
      <c r="HL69" s="4"/>
      <c r="HM69" s="4"/>
      <c r="HN69" s="4"/>
      <c r="HO69" s="4"/>
      <c r="HP69" s="4"/>
      <c r="HQ69" s="4"/>
      <c r="HR69" s="4"/>
      <c r="HS69" s="4"/>
      <c r="HT69" s="4"/>
      <c r="HU69" s="4"/>
      <c r="HV69" s="4"/>
      <c r="HW69" s="4"/>
      <c r="HX69" s="4"/>
      <c r="HY69" s="4"/>
      <c r="HZ69" s="4"/>
      <c r="IA69" s="4"/>
      <c r="IB69" s="4"/>
      <c r="IC69" s="4"/>
      <c r="ID69" s="4"/>
      <c r="IE69" s="4"/>
      <c r="IF69" s="4"/>
      <c r="IG69" s="4"/>
      <c r="IH69" s="4"/>
      <c r="II69" s="4"/>
      <c r="IJ69" s="4"/>
      <c r="IK69" s="4"/>
      <c r="IL69" s="4"/>
      <c r="IM69" s="4"/>
      <c r="IN69" s="4"/>
      <c r="IO69" s="4"/>
      <c r="IP69" s="4"/>
      <c r="IQ69" s="4"/>
      <c r="IR69" s="4"/>
      <c r="IS69" s="4"/>
      <c r="IT69" s="4"/>
      <c r="IU69" s="4"/>
      <c r="IV69" s="4"/>
      <c r="IW69" s="4"/>
      <c r="IX69" s="4"/>
      <c r="IY69" s="4"/>
      <c r="IZ69" s="4"/>
      <c r="JA69" s="4"/>
      <c r="JB69" s="4"/>
      <c r="JC69" s="4"/>
      <c r="JD69" s="4"/>
      <c r="JE69" s="4"/>
      <c r="JF69" s="4"/>
      <c r="JG69" s="4"/>
      <c r="JH69" s="4"/>
      <c r="JI69" s="4"/>
      <c r="JJ69" s="4"/>
      <c r="JK69" s="4"/>
      <c r="JL69" s="4"/>
      <c r="JM69" s="4"/>
      <c r="JN69" s="4"/>
      <c r="JO69" s="4"/>
      <c r="JP69" s="4"/>
      <c r="JQ69" s="4"/>
      <c r="JR69" s="4"/>
      <c r="JS69" s="4"/>
      <c r="JT69" s="4"/>
      <c r="JU69" s="4"/>
      <c r="JV69" s="4"/>
      <c r="JW69" s="4"/>
      <c r="JX69" s="4"/>
      <c r="JY69" s="4"/>
      <c r="JZ69" s="4"/>
      <c r="KA69" s="4"/>
      <c r="KB69" s="4"/>
      <c r="KC69" s="4"/>
      <c r="KD69" s="4"/>
      <c r="KE69" s="4"/>
      <c r="KF69" s="4"/>
      <c r="KG69" s="4"/>
      <c r="KH69" s="4"/>
      <c r="KI69" s="4"/>
      <c r="KJ69" s="4"/>
      <c r="KK69" s="4"/>
      <c r="KL69" s="4"/>
      <c r="KM69" s="4"/>
      <c r="KN69" s="4"/>
      <c r="KO69" s="4"/>
      <c r="KP69" s="4"/>
      <c r="KQ69" s="4"/>
      <c r="KR69" s="4"/>
      <c r="KS69" s="4"/>
      <c r="KT69" s="4"/>
      <c r="KU69" s="4"/>
      <c r="KV69" s="4"/>
      <c r="KW69" s="4"/>
      <c r="KX69" s="4"/>
      <c r="KY69" s="4"/>
      <c r="KZ69" s="4"/>
      <c r="LA69" s="4"/>
      <c r="LB69" s="4"/>
      <c r="LC69" s="4"/>
      <c r="LD69" s="4"/>
      <c r="LE69" s="4"/>
      <c r="LF69" s="4"/>
      <c r="LG69" s="4"/>
      <c r="LH69" s="4"/>
      <c r="LI69" s="4"/>
      <c r="LJ69" s="4"/>
      <c r="LK69" s="4"/>
      <c r="LL69" s="4"/>
      <c r="LM69" s="4"/>
      <c r="LN69" s="4"/>
      <c r="LO69" s="4"/>
      <c r="LP69" s="4"/>
      <c r="LQ69" s="4"/>
      <c r="LR69" s="4"/>
      <c r="LS69" s="4"/>
      <c r="LT69" s="4"/>
      <c r="LU69" s="4"/>
      <c r="LV69" s="4"/>
      <c r="LW69" s="4"/>
      <c r="LX69" s="4"/>
      <c r="LY69" s="4"/>
      <c r="LZ69" s="4"/>
      <c r="MA69" s="4"/>
      <c r="MB69" s="4"/>
      <c r="MC69" s="4"/>
      <c r="MD69" s="4"/>
      <c r="ME69" s="4"/>
      <c r="MF69" s="4"/>
      <c r="MG69" s="4"/>
      <c r="MH69" s="4"/>
      <c r="MI69" s="4"/>
      <c r="MJ69" s="4"/>
      <c r="MK69" s="4"/>
      <c r="ML69" s="4"/>
      <c r="MM69" s="4"/>
      <c r="MN69" s="4"/>
      <c r="MO69" s="4"/>
      <c r="MP69" s="4"/>
      <c r="MQ69" s="4"/>
      <c r="MR69" s="4"/>
      <c r="MS69" s="4"/>
      <c r="MT69" s="4"/>
      <c r="MU69" s="4"/>
      <c r="MV69" s="4"/>
      <c r="MW69" s="4"/>
      <c r="MX69" s="4"/>
      <c r="MY69" s="4"/>
      <c r="MZ69" s="4"/>
      <c r="NA69" s="4"/>
      <c r="NB69" s="4"/>
      <c r="NC69" s="4"/>
      <c r="ND69" s="4"/>
      <c r="NE69" s="4"/>
      <c r="NF69" s="4"/>
      <c r="NG69" s="4"/>
      <c r="NH69" s="4"/>
      <c r="NI69" s="4"/>
      <c r="NJ69" s="4"/>
      <c r="NK69" s="4"/>
      <c r="NL69" s="4"/>
      <c r="NM69" s="4"/>
      <c r="NN69" s="4"/>
      <c r="NO69" s="4"/>
      <c r="NP69" s="4"/>
      <c r="NQ69" s="4"/>
      <c r="NR69" s="4"/>
      <c r="NS69" s="4"/>
      <c r="NT69" s="4"/>
      <c r="NU69" s="4"/>
      <c r="NV69" s="4"/>
      <c r="NW69" s="4"/>
      <c r="NX69" s="4"/>
      <c r="NY69" s="4"/>
      <c r="NZ69" s="4"/>
      <c r="OA69" s="4"/>
      <c r="OB69" s="4"/>
      <c r="OC69" s="4"/>
      <c r="OD69" s="4"/>
      <c r="OE69" s="4"/>
      <c r="OF69" s="4"/>
      <c r="OG69" s="4"/>
      <c r="OH69" s="4"/>
      <c r="OI69" s="4"/>
    </row>
    <row r="70" spans="1:399" outlineLevel="1">
      <c r="A70" s="116"/>
      <c r="B70" s="116"/>
      <c r="C70" s="116">
        <v>2</v>
      </c>
      <c r="D70" s="3" t="s">
        <v>1211</v>
      </c>
      <c r="E70" s="183"/>
      <c r="F70" s="183" t="s">
        <v>1179</v>
      </c>
      <c r="G70" s="183"/>
      <c r="H70" s="183"/>
      <c r="I70" s="183"/>
      <c r="J70" s="183"/>
      <c r="K70" s="183"/>
      <c r="L70" s="183"/>
      <c r="M70" s="184"/>
      <c r="N70" s="184"/>
      <c r="O70" s="185"/>
      <c r="P70" s="186">
        <v>0</v>
      </c>
      <c r="Q70" s="186">
        <v>0</v>
      </c>
      <c r="R70" s="187">
        <v>0</v>
      </c>
      <c r="S70" s="187">
        <v>0</v>
      </c>
      <c r="T70" s="184"/>
      <c r="U70" s="184"/>
      <c r="V70" s="188">
        <v>0</v>
      </c>
      <c r="W70" s="189">
        <v>0</v>
      </c>
      <c r="X70" s="190"/>
      <c r="Y70" s="185"/>
      <c r="Z70" s="191"/>
      <c r="AA70" s="97">
        <v>0</v>
      </c>
      <c r="AB70" s="192">
        <v>0</v>
      </c>
      <c r="AC70" s="123"/>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c r="EY70" s="4"/>
      <c r="EZ70" s="4"/>
      <c r="FA70" s="4"/>
      <c r="FB70" s="4"/>
      <c r="FC70" s="4"/>
      <c r="FD70" s="4"/>
      <c r="FE70" s="4"/>
      <c r="FF70" s="4"/>
      <c r="FG70" s="4"/>
      <c r="FH70" s="4"/>
      <c r="FI70" s="4"/>
      <c r="FJ70" s="4"/>
      <c r="FK70" s="4"/>
      <c r="FL70" s="4"/>
      <c r="FM70" s="4"/>
      <c r="FN70" s="4"/>
      <c r="FO70" s="4"/>
      <c r="FP70" s="4"/>
      <c r="FQ70" s="4"/>
      <c r="FR70" s="4"/>
      <c r="FS70" s="4"/>
      <c r="FT70" s="4"/>
      <c r="FU70" s="4"/>
      <c r="FV70" s="4"/>
      <c r="FW70" s="4"/>
      <c r="FX70" s="4"/>
      <c r="FY70" s="4"/>
      <c r="FZ70" s="4"/>
      <c r="GA70" s="4"/>
      <c r="GB70" s="4"/>
      <c r="GC70" s="4"/>
      <c r="GD70" s="4"/>
      <c r="GE70" s="4"/>
      <c r="GF70" s="4"/>
      <c r="GG70" s="4"/>
      <c r="GH70" s="4"/>
      <c r="GI70" s="4"/>
      <c r="GJ70" s="4"/>
      <c r="GK70" s="4"/>
      <c r="GL70" s="4"/>
      <c r="GM70" s="4"/>
      <c r="GN70" s="4"/>
      <c r="GO70" s="4"/>
      <c r="GP70" s="4"/>
      <c r="GQ70" s="4"/>
      <c r="GR70" s="4"/>
      <c r="GS70" s="4"/>
      <c r="GT70" s="4"/>
      <c r="GU70" s="4"/>
      <c r="GV70" s="4"/>
      <c r="GW70" s="4"/>
      <c r="GX70" s="4"/>
      <c r="GY70" s="4"/>
      <c r="GZ70" s="4"/>
      <c r="HA70" s="4"/>
      <c r="HB70" s="4"/>
      <c r="HC70" s="4"/>
      <c r="HD70" s="4"/>
      <c r="HE70" s="4"/>
      <c r="HF70" s="4"/>
      <c r="HG70" s="4"/>
      <c r="HH70" s="4"/>
      <c r="HI70" s="4"/>
      <c r="HJ70" s="4"/>
      <c r="HK70" s="4"/>
      <c r="HL70" s="4"/>
      <c r="HM70" s="4"/>
      <c r="HN70" s="4"/>
      <c r="HO70" s="4"/>
      <c r="HP70" s="4"/>
      <c r="HQ70" s="4"/>
      <c r="HR70" s="4"/>
      <c r="HS70" s="4"/>
      <c r="HT70" s="4"/>
      <c r="HU70" s="4"/>
      <c r="HV70" s="4"/>
      <c r="HW70" s="4"/>
      <c r="HX70" s="4"/>
      <c r="HY70" s="4"/>
      <c r="HZ70" s="4"/>
      <c r="IA70" s="4"/>
      <c r="IB70" s="4"/>
      <c r="IC70" s="4"/>
      <c r="ID70" s="4"/>
      <c r="IE70" s="4"/>
      <c r="IF70" s="4"/>
      <c r="IG70" s="4"/>
      <c r="IH70" s="4"/>
      <c r="II70" s="4"/>
      <c r="IJ70" s="4"/>
      <c r="IK70" s="4"/>
      <c r="IL70" s="4"/>
      <c r="IM70" s="4"/>
      <c r="IN70" s="4"/>
      <c r="IO70" s="4"/>
      <c r="IP70" s="4"/>
      <c r="IQ70" s="4"/>
      <c r="IR70" s="4"/>
      <c r="IS70" s="4"/>
      <c r="IT70" s="4"/>
      <c r="IU70" s="4"/>
      <c r="IV70" s="4"/>
      <c r="IW70" s="4"/>
      <c r="IX70" s="4"/>
      <c r="IY70" s="4"/>
      <c r="IZ70" s="4"/>
      <c r="JA70" s="4"/>
      <c r="JB70" s="4"/>
      <c r="JC70" s="4"/>
      <c r="JD70" s="4"/>
      <c r="JE70" s="4"/>
      <c r="JF70" s="4"/>
      <c r="JG70" s="4"/>
      <c r="JH70" s="4"/>
      <c r="JI70" s="4"/>
      <c r="JJ70" s="4"/>
      <c r="JK70" s="4"/>
      <c r="JL70" s="4"/>
      <c r="JM70" s="4"/>
      <c r="JN70" s="4"/>
      <c r="JO70" s="4"/>
      <c r="JP70" s="4"/>
      <c r="JQ70" s="4"/>
      <c r="JR70" s="4"/>
      <c r="JS70" s="4"/>
      <c r="JT70" s="4"/>
      <c r="JU70" s="4"/>
      <c r="JV70" s="4"/>
      <c r="JW70" s="4"/>
      <c r="JX70" s="4"/>
      <c r="JY70" s="4"/>
      <c r="JZ70" s="4"/>
      <c r="KA70" s="4"/>
      <c r="KB70" s="4"/>
      <c r="KC70" s="4"/>
      <c r="KD70" s="4"/>
      <c r="KE70" s="4"/>
      <c r="KF70" s="4"/>
      <c r="KG70" s="4"/>
      <c r="KH70" s="4"/>
      <c r="KI70" s="4"/>
      <c r="KJ70" s="4"/>
      <c r="KK70" s="4"/>
      <c r="KL70" s="4"/>
      <c r="KM70" s="4"/>
      <c r="KN70" s="4"/>
      <c r="KO70" s="4"/>
      <c r="KP70" s="4"/>
      <c r="KQ70" s="4"/>
      <c r="KR70" s="4"/>
      <c r="KS70" s="4"/>
      <c r="KT70" s="4"/>
      <c r="KU70" s="4"/>
      <c r="KV70" s="4"/>
      <c r="KW70" s="4"/>
      <c r="KX70" s="4"/>
      <c r="KY70" s="4"/>
      <c r="KZ70" s="4"/>
      <c r="LA70" s="4"/>
      <c r="LB70" s="4"/>
      <c r="LC70" s="4"/>
      <c r="LD70" s="4"/>
      <c r="LE70" s="4"/>
      <c r="LF70" s="4"/>
      <c r="LG70" s="4"/>
      <c r="LH70" s="4"/>
      <c r="LI70" s="4"/>
      <c r="LJ70" s="4"/>
      <c r="LK70" s="4"/>
      <c r="LL70" s="4"/>
      <c r="LM70" s="4"/>
      <c r="LN70" s="4"/>
      <c r="LO70" s="4"/>
      <c r="LP70" s="4"/>
      <c r="LQ70" s="4"/>
      <c r="LR70" s="4"/>
      <c r="LS70" s="4"/>
      <c r="LT70" s="4"/>
      <c r="LU70" s="4"/>
      <c r="LV70" s="4"/>
      <c r="LW70" s="4"/>
      <c r="LX70" s="4"/>
      <c r="LY70" s="4"/>
      <c r="LZ70" s="4"/>
      <c r="MA70" s="4"/>
      <c r="MB70" s="4"/>
      <c r="MC70" s="4"/>
      <c r="MD70" s="4"/>
      <c r="ME70" s="4"/>
      <c r="MF70" s="4"/>
      <c r="MG70" s="4"/>
      <c r="MH70" s="4"/>
      <c r="MI70" s="4"/>
      <c r="MJ70" s="4"/>
      <c r="MK70" s="4"/>
      <c r="ML70" s="4"/>
      <c r="MM70" s="4"/>
      <c r="MN70" s="4"/>
      <c r="MO70" s="4"/>
      <c r="MP70" s="4"/>
      <c r="MQ70" s="4"/>
      <c r="MR70" s="4"/>
      <c r="MS70" s="4"/>
      <c r="MT70" s="4"/>
      <c r="MU70" s="4"/>
      <c r="MV70" s="4"/>
      <c r="MW70" s="4"/>
      <c r="MX70" s="4"/>
      <c r="MY70" s="4"/>
      <c r="MZ70" s="4"/>
      <c r="NA70" s="4"/>
      <c r="NB70" s="4"/>
      <c r="NC70" s="4"/>
      <c r="ND70" s="4"/>
      <c r="NE70" s="4"/>
      <c r="NF70" s="4"/>
      <c r="NG70" s="4"/>
      <c r="NH70" s="4"/>
      <c r="NI70" s="4"/>
      <c r="NJ70" s="4"/>
      <c r="NK70" s="4"/>
      <c r="NL70" s="4"/>
      <c r="NM70" s="4"/>
      <c r="NN70" s="4"/>
      <c r="NO70" s="4"/>
      <c r="NP70" s="4"/>
      <c r="NQ70" s="4"/>
      <c r="NR70" s="4"/>
      <c r="NS70" s="4"/>
      <c r="NT70" s="4"/>
      <c r="NU70" s="4"/>
      <c r="NV70" s="4"/>
      <c r="NW70" s="4"/>
      <c r="NX70" s="4"/>
      <c r="NY70" s="4"/>
      <c r="NZ70" s="4"/>
      <c r="OA70" s="4"/>
      <c r="OB70" s="4"/>
      <c r="OC70" s="4"/>
      <c r="OD70" s="4"/>
      <c r="OE70" s="4"/>
      <c r="OF70" s="4"/>
      <c r="OG70" s="4"/>
      <c r="OH70" s="4"/>
      <c r="OI70" s="4"/>
    </row>
    <row r="71" spans="1:399" outlineLevel="1">
      <c r="A71" s="116"/>
      <c r="B71" s="116"/>
      <c r="C71" s="116">
        <v>2</v>
      </c>
      <c r="D71" s="3" t="s">
        <v>1212</v>
      </c>
      <c r="E71" s="183"/>
      <c r="F71" s="183" t="s">
        <v>1180</v>
      </c>
      <c r="G71" s="183"/>
      <c r="H71" s="183"/>
      <c r="I71" s="183"/>
      <c r="J71" s="183"/>
      <c r="K71" s="183"/>
      <c r="L71" s="183"/>
      <c r="M71" s="184">
        <v>43752</v>
      </c>
      <c r="N71" s="184">
        <v>43756</v>
      </c>
      <c r="O71" s="185"/>
      <c r="P71" s="186">
        <v>5</v>
      </c>
      <c r="Q71" s="186">
        <v>5</v>
      </c>
      <c r="R71" s="187">
        <v>5</v>
      </c>
      <c r="S71" s="187">
        <v>5</v>
      </c>
      <c r="T71" s="184"/>
      <c r="U71" s="184"/>
      <c r="V71" s="188"/>
      <c r="W71" s="189">
        <v>0</v>
      </c>
      <c r="X71" s="190">
        <v>1</v>
      </c>
      <c r="Y71" s="185" t="s">
        <v>1267</v>
      </c>
      <c r="Z71" s="191"/>
      <c r="AA71" s="97">
        <v>1</v>
      </c>
      <c r="AB71" s="192">
        <v>0</v>
      </c>
      <c r="AC71" s="123"/>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t="str">
        <f>"" &amp; TEXT(AB71,"#0.00%") &amp; " " &amp; "API" &amp; "(Chris)" &amp; " " &amp; IF(M71="","",TEXT(M71,"M/D-")) &amp; IF(N71="","",TEXT(N71,"M/D")) &amp; " "</f>
        <v xml:space="preserve">0.00% API(Chris) 10/14-10/18 </v>
      </c>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c r="DW71" s="4"/>
      <c r="DX71" s="4"/>
      <c r="DY71" s="4"/>
      <c r="DZ71" s="4"/>
      <c r="EA71" s="4"/>
      <c r="EB71" s="4"/>
      <c r="EC71" s="4"/>
      <c r="ED71" s="4"/>
      <c r="EE71" s="4"/>
      <c r="EF71" s="4"/>
      <c r="EG71" s="4"/>
      <c r="EH71" s="4"/>
      <c r="EI71" s="4"/>
      <c r="EJ71" s="4"/>
      <c r="EK71" s="4"/>
      <c r="EL71" s="4"/>
      <c r="EM71" s="4"/>
      <c r="EN71" s="4"/>
      <c r="EO71" s="4"/>
      <c r="EP71" s="4"/>
      <c r="EQ71" s="4"/>
      <c r="ER71" s="4"/>
      <c r="ES71" s="4"/>
      <c r="ET71" s="4"/>
      <c r="EU71" s="4"/>
      <c r="EV71" s="4"/>
      <c r="EW71" s="4"/>
      <c r="EX71" s="4"/>
      <c r="EY71" s="4"/>
      <c r="EZ71" s="4"/>
      <c r="FA71" s="4"/>
      <c r="FB71" s="4"/>
      <c r="FC71" s="4"/>
      <c r="FD71" s="4"/>
      <c r="FE71" s="4"/>
      <c r="FF71" s="4"/>
      <c r="FG71" s="4"/>
      <c r="FH71" s="4"/>
      <c r="FI71" s="4"/>
      <c r="FJ71" s="4"/>
      <c r="FK71" s="4"/>
      <c r="FL71" s="4"/>
      <c r="FM71" s="4"/>
      <c r="FN71" s="4"/>
      <c r="FO71" s="4"/>
      <c r="FP71" s="4"/>
      <c r="FQ71" s="4"/>
      <c r="FR71" s="4"/>
      <c r="FS71" s="4"/>
      <c r="FT71" s="4"/>
      <c r="FU71" s="4"/>
      <c r="FV71" s="4"/>
      <c r="FW71" s="4"/>
      <c r="FX71" s="4"/>
      <c r="FY71" s="4"/>
      <c r="FZ71" s="4"/>
      <c r="GA71" s="4"/>
      <c r="GB71" s="4"/>
      <c r="GC71" s="4"/>
      <c r="GD71" s="4"/>
      <c r="GE71" s="4"/>
      <c r="GF71" s="4"/>
      <c r="GG71" s="4"/>
      <c r="GH71" s="4"/>
      <c r="GI71" s="4"/>
      <c r="GJ71" s="4"/>
      <c r="GK71" s="4"/>
      <c r="GL71" s="4"/>
      <c r="GM71" s="4"/>
      <c r="GN71" s="4"/>
      <c r="GO71" s="4"/>
      <c r="GP71" s="4"/>
      <c r="GQ71" s="4"/>
      <c r="GR71" s="4"/>
      <c r="GS71" s="4"/>
      <c r="GT71" s="4"/>
      <c r="GU71" s="4"/>
      <c r="GV71" s="4"/>
      <c r="GW71" s="4"/>
      <c r="GX71" s="4"/>
      <c r="GY71" s="4"/>
      <c r="GZ71" s="4"/>
      <c r="HA71" s="4"/>
      <c r="HB71" s="4"/>
      <c r="HC71" s="4"/>
      <c r="HD71" s="4"/>
      <c r="HE71" s="4"/>
      <c r="HF71" s="4"/>
      <c r="HG71" s="4"/>
      <c r="HH71" s="4"/>
      <c r="HI71" s="4"/>
      <c r="HJ71" s="4"/>
      <c r="HK71" s="4"/>
      <c r="HL71" s="4"/>
      <c r="HM71" s="4"/>
      <c r="HN71" s="4"/>
      <c r="HO71" s="4"/>
      <c r="HP71" s="4"/>
      <c r="HQ71" s="4"/>
      <c r="HR71" s="4"/>
      <c r="HS71" s="4"/>
      <c r="HT71" s="4"/>
      <c r="HU71" s="4"/>
      <c r="HV71" s="4"/>
      <c r="HW71" s="4"/>
      <c r="HX71" s="4"/>
      <c r="HY71" s="4"/>
      <c r="HZ71" s="4"/>
      <c r="IA71" s="4"/>
      <c r="IB71" s="4"/>
      <c r="IC71" s="4"/>
      <c r="ID71" s="4"/>
      <c r="IE71" s="4"/>
      <c r="IF71" s="4"/>
      <c r="IG71" s="4"/>
      <c r="IH71" s="4"/>
      <c r="II71" s="4"/>
      <c r="IJ71" s="4"/>
      <c r="IK71" s="4"/>
      <c r="IL71" s="4"/>
      <c r="IM71" s="4"/>
      <c r="IN71" s="4"/>
      <c r="IO71" s="4"/>
      <c r="IP71" s="4"/>
      <c r="IQ71" s="4"/>
      <c r="IR71" s="4"/>
      <c r="IS71" s="4"/>
      <c r="IT71" s="4"/>
      <c r="IU71" s="4"/>
      <c r="IV71" s="4"/>
      <c r="IW71" s="4"/>
      <c r="IX71" s="4"/>
      <c r="IY71" s="4"/>
      <c r="IZ71" s="4"/>
      <c r="JA71" s="4"/>
      <c r="JB71" s="4"/>
      <c r="JC71" s="4"/>
      <c r="JD71" s="4"/>
      <c r="JE71" s="4"/>
      <c r="JF71" s="4"/>
      <c r="JG71" s="4"/>
      <c r="JH71" s="4"/>
      <c r="JI71" s="4"/>
      <c r="JJ71" s="4"/>
      <c r="JK71" s="4"/>
      <c r="JL71" s="4"/>
      <c r="JM71" s="4"/>
      <c r="JN71" s="4"/>
      <c r="JO71" s="4"/>
      <c r="JP71" s="4"/>
      <c r="JQ71" s="4"/>
      <c r="JR71" s="4"/>
      <c r="JS71" s="4"/>
      <c r="JT71" s="4"/>
      <c r="JU71" s="4"/>
      <c r="JV71" s="4"/>
      <c r="JW71" s="4"/>
      <c r="JX71" s="4"/>
      <c r="JY71" s="4"/>
      <c r="JZ71" s="4"/>
      <c r="KA71" s="4"/>
      <c r="KB71" s="4"/>
      <c r="KC71" s="4"/>
      <c r="KD71" s="4"/>
      <c r="KE71" s="4"/>
      <c r="KF71" s="4"/>
      <c r="KG71" s="4"/>
      <c r="KH71" s="4"/>
      <c r="KI71" s="4"/>
      <c r="KJ71" s="4"/>
      <c r="KK71" s="4"/>
      <c r="KL71" s="4"/>
      <c r="KM71" s="4"/>
      <c r="KN71" s="4"/>
      <c r="KO71" s="4"/>
      <c r="KP71" s="4"/>
      <c r="KQ71" s="4"/>
      <c r="KR71" s="4"/>
      <c r="KS71" s="4"/>
      <c r="KT71" s="4"/>
      <c r="KU71" s="4"/>
      <c r="KV71" s="4"/>
      <c r="KW71" s="4"/>
      <c r="KX71" s="4"/>
      <c r="KY71" s="4"/>
      <c r="KZ71" s="4"/>
      <c r="LA71" s="4"/>
      <c r="LB71" s="4"/>
      <c r="LC71" s="4"/>
      <c r="LD71" s="4"/>
      <c r="LE71" s="4"/>
      <c r="LF71" s="4"/>
      <c r="LG71" s="4"/>
      <c r="LH71" s="4"/>
      <c r="LI71" s="4"/>
      <c r="LJ71" s="4"/>
      <c r="LK71" s="4"/>
      <c r="LL71" s="4"/>
      <c r="LM71" s="4"/>
      <c r="LN71" s="4"/>
      <c r="LO71" s="4"/>
      <c r="LP71" s="4"/>
      <c r="LQ71" s="4"/>
      <c r="LR71" s="4"/>
      <c r="LS71" s="4"/>
      <c r="LT71" s="4"/>
      <c r="LU71" s="4"/>
      <c r="LV71" s="4"/>
      <c r="LW71" s="4"/>
      <c r="LX71" s="4"/>
      <c r="LY71" s="4"/>
      <c r="LZ71" s="4"/>
      <c r="MA71" s="4"/>
      <c r="MB71" s="4"/>
      <c r="MC71" s="4"/>
      <c r="MD71" s="4"/>
      <c r="ME71" s="4"/>
      <c r="MF71" s="4"/>
      <c r="MG71" s="4"/>
      <c r="MH71" s="4"/>
      <c r="MI71" s="4"/>
      <c r="MJ71" s="4"/>
      <c r="MK71" s="4"/>
      <c r="ML71" s="4"/>
      <c r="MM71" s="4"/>
      <c r="MN71" s="4"/>
      <c r="MO71" s="4"/>
      <c r="MP71" s="4"/>
      <c r="MQ71" s="4"/>
      <c r="MR71" s="4"/>
      <c r="MS71" s="4"/>
      <c r="MT71" s="4"/>
      <c r="MU71" s="4"/>
      <c r="MV71" s="4"/>
      <c r="MW71" s="4"/>
      <c r="MX71" s="4"/>
      <c r="MY71" s="4"/>
      <c r="MZ71" s="4"/>
      <c r="NA71" s="4"/>
      <c r="NB71" s="4"/>
      <c r="NC71" s="4"/>
      <c r="ND71" s="4"/>
      <c r="NE71" s="4"/>
      <c r="NF71" s="4"/>
      <c r="NG71" s="4"/>
      <c r="NH71" s="4"/>
      <c r="NI71" s="4"/>
      <c r="NJ71" s="4"/>
      <c r="NK71" s="4"/>
      <c r="NL71" s="4"/>
      <c r="NM71" s="4"/>
      <c r="NN71" s="4"/>
      <c r="NO71" s="4"/>
      <c r="NP71" s="4"/>
      <c r="NQ71" s="4"/>
      <c r="NR71" s="4"/>
      <c r="NS71" s="4"/>
      <c r="NT71" s="4"/>
      <c r="NU71" s="4"/>
      <c r="NV71" s="4"/>
      <c r="NW71" s="4"/>
      <c r="NX71" s="4"/>
      <c r="NY71" s="4"/>
      <c r="NZ71" s="4"/>
      <c r="OA71" s="4"/>
      <c r="OB71" s="4"/>
      <c r="OC71" s="4"/>
      <c r="OD71" s="4"/>
      <c r="OE71" s="4"/>
      <c r="OF71" s="4"/>
      <c r="OG71" s="4"/>
      <c r="OH71" s="4"/>
      <c r="OI71" s="4"/>
    </row>
    <row r="72" spans="1:399" outlineLevel="1">
      <c r="A72" s="116"/>
      <c r="B72" s="116"/>
      <c r="C72" s="116">
        <v>2</v>
      </c>
      <c r="D72" s="3" t="s">
        <v>1213</v>
      </c>
      <c r="E72" s="183"/>
      <c r="F72" s="183" t="s">
        <v>1199</v>
      </c>
      <c r="G72" s="183"/>
      <c r="H72" s="183"/>
      <c r="I72" s="183"/>
      <c r="J72" s="183"/>
      <c r="K72" s="183"/>
      <c r="L72" s="183"/>
      <c r="M72" s="184"/>
      <c r="N72" s="184"/>
      <c r="O72" s="185"/>
      <c r="P72" s="186">
        <v>0</v>
      </c>
      <c r="Q72" s="186">
        <v>0</v>
      </c>
      <c r="R72" s="187">
        <v>0</v>
      </c>
      <c r="S72" s="187">
        <v>0</v>
      </c>
      <c r="T72" s="184"/>
      <c r="U72" s="184"/>
      <c r="V72" s="188">
        <v>0</v>
      </c>
      <c r="W72" s="189">
        <v>0</v>
      </c>
      <c r="X72" s="190"/>
      <c r="Y72" s="185" t="s">
        <v>1181</v>
      </c>
      <c r="Z72" s="191"/>
      <c r="AA72" s="97">
        <v>0</v>
      </c>
      <c r="AB72" s="192">
        <v>0</v>
      </c>
      <c r="AC72" s="123"/>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c r="DW72" s="4"/>
      <c r="DX72" s="4"/>
      <c r="DY72" s="4"/>
      <c r="DZ72" s="4"/>
      <c r="EA72" s="4"/>
      <c r="EB72" s="4"/>
      <c r="EC72" s="4"/>
      <c r="ED72" s="4"/>
      <c r="EE72" s="4"/>
      <c r="EF72" s="4"/>
      <c r="EG72" s="4"/>
      <c r="EH72" s="4"/>
      <c r="EI72" s="4"/>
      <c r="EJ72" s="4"/>
      <c r="EK72" s="4"/>
      <c r="EL72" s="4"/>
      <c r="EM72" s="4"/>
      <c r="EN72" s="4"/>
      <c r="EO72" s="4"/>
      <c r="EP72" s="4"/>
      <c r="EQ72" s="4"/>
      <c r="ER72" s="4"/>
      <c r="ES72" s="4"/>
      <c r="ET72" s="4"/>
      <c r="EU72" s="4"/>
      <c r="EV72" s="4"/>
      <c r="EW72" s="4"/>
      <c r="EX72" s="4"/>
      <c r="EY72" s="4"/>
      <c r="EZ72" s="4"/>
      <c r="FA72" s="4"/>
      <c r="FB72" s="4"/>
      <c r="FC72" s="4"/>
      <c r="FD72" s="4"/>
      <c r="FE72" s="4"/>
      <c r="FF72" s="4"/>
      <c r="FG72" s="4"/>
      <c r="FH72" s="4"/>
      <c r="FI72" s="4"/>
      <c r="FJ72" s="4"/>
      <c r="FK72" s="4"/>
      <c r="FL72" s="4"/>
      <c r="FM72" s="4"/>
      <c r="FN72" s="4"/>
      <c r="FO72" s="4"/>
      <c r="FP72" s="4"/>
      <c r="FQ72" s="4"/>
      <c r="FR72" s="4"/>
      <c r="FS72" s="4"/>
      <c r="FT72" s="4"/>
      <c r="FU72" s="4"/>
      <c r="FV72" s="4"/>
      <c r="FW72" s="4"/>
      <c r="FX72" s="4"/>
      <c r="FY72" s="4"/>
      <c r="FZ72" s="4"/>
      <c r="GA72" s="4"/>
      <c r="GB72" s="4"/>
      <c r="GC72" s="4"/>
      <c r="GD72" s="4"/>
      <c r="GE72" s="4"/>
      <c r="GF72" s="4"/>
      <c r="GG72" s="4"/>
      <c r="GH72" s="4"/>
      <c r="GI72" s="4"/>
      <c r="GJ72" s="4"/>
      <c r="GK72" s="4"/>
      <c r="GL72" s="4"/>
      <c r="GM72" s="4"/>
      <c r="GN72" s="4"/>
      <c r="GO72" s="4"/>
      <c r="GP72" s="4"/>
      <c r="GQ72" s="4"/>
      <c r="GR72" s="4"/>
      <c r="GS72" s="4"/>
      <c r="GT72" s="4"/>
      <c r="GU72" s="4"/>
      <c r="GV72" s="4"/>
      <c r="GW72" s="4"/>
      <c r="GX72" s="4"/>
      <c r="GY72" s="4"/>
      <c r="GZ72" s="4"/>
      <c r="HA72" s="4"/>
      <c r="HB72" s="4"/>
      <c r="HC72" s="4"/>
      <c r="HD72" s="4"/>
      <c r="HE72" s="4"/>
      <c r="HF72" s="4"/>
      <c r="HG72" s="4"/>
      <c r="HH72" s="4"/>
      <c r="HI72" s="4"/>
      <c r="HJ72" s="4"/>
      <c r="HK72" s="4"/>
      <c r="HL72" s="4"/>
      <c r="HM72" s="4"/>
      <c r="HN72" s="4"/>
      <c r="HO72" s="4"/>
      <c r="HP72" s="4"/>
      <c r="HQ72" s="4"/>
      <c r="HR72" s="4"/>
      <c r="HS72" s="4"/>
      <c r="HT72" s="4"/>
      <c r="HU72" s="4"/>
      <c r="HV72" s="4"/>
      <c r="HW72" s="4"/>
      <c r="HX72" s="4"/>
      <c r="HY72" s="4"/>
      <c r="HZ72" s="4"/>
      <c r="IA72" s="4"/>
      <c r="IB72" s="4"/>
      <c r="IC72" s="4"/>
      <c r="ID72" s="4"/>
      <c r="IE72" s="4"/>
      <c r="IF72" s="4"/>
      <c r="IG72" s="4"/>
      <c r="IH72" s="4"/>
      <c r="II72" s="4"/>
      <c r="IJ72" s="4"/>
      <c r="IK72" s="4"/>
      <c r="IL72" s="4"/>
      <c r="IM72" s="4"/>
      <c r="IN72" s="4"/>
      <c r="IO72" s="4"/>
      <c r="IP72" s="4"/>
      <c r="IQ72" s="4"/>
      <c r="IR72" s="4"/>
      <c r="IS72" s="4"/>
      <c r="IT72" s="4"/>
      <c r="IU72" s="4"/>
      <c r="IV72" s="4"/>
      <c r="IW72" s="4"/>
      <c r="IX72" s="4"/>
      <c r="IY72" s="4"/>
      <c r="IZ72" s="4"/>
      <c r="JA72" s="4"/>
      <c r="JB72" s="4"/>
      <c r="JC72" s="4"/>
      <c r="JD72" s="4"/>
      <c r="JE72" s="4"/>
      <c r="JF72" s="4"/>
      <c r="JG72" s="4"/>
      <c r="JH72" s="4"/>
      <c r="JI72" s="4"/>
      <c r="JJ72" s="4"/>
      <c r="JK72" s="4"/>
      <c r="JL72" s="4"/>
      <c r="JM72" s="4"/>
      <c r="JN72" s="4"/>
      <c r="JO72" s="4"/>
      <c r="JP72" s="4"/>
      <c r="JQ72" s="4"/>
      <c r="JR72" s="4"/>
      <c r="JS72" s="4"/>
      <c r="JT72" s="4"/>
      <c r="JU72" s="4"/>
      <c r="JV72" s="4"/>
      <c r="JW72" s="4"/>
      <c r="JX72" s="4"/>
      <c r="JY72" s="4"/>
      <c r="JZ72" s="4"/>
      <c r="KA72" s="4"/>
      <c r="KB72" s="4"/>
      <c r="KC72" s="4"/>
      <c r="KD72" s="4"/>
      <c r="KE72" s="4"/>
      <c r="KF72" s="4"/>
      <c r="KG72" s="4"/>
      <c r="KH72" s="4"/>
      <c r="KI72" s="4"/>
      <c r="KJ72" s="4"/>
      <c r="KK72" s="4"/>
      <c r="KL72" s="4"/>
      <c r="KM72" s="4"/>
      <c r="KN72" s="4"/>
      <c r="KO72" s="4"/>
      <c r="KP72" s="4"/>
      <c r="KQ72" s="4"/>
      <c r="KR72" s="4"/>
      <c r="KS72" s="4"/>
      <c r="KT72" s="4"/>
      <c r="KU72" s="4"/>
      <c r="KV72" s="4"/>
      <c r="KW72" s="4"/>
      <c r="KX72" s="4"/>
      <c r="KY72" s="4"/>
      <c r="KZ72" s="4"/>
      <c r="LA72" s="4"/>
      <c r="LB72" s="4"/>
      <c r="LC72" s="4"/>
      <c r="LD72" s="4"/>
      <c r="LE72" s="4"/>
      <c r="LF72" s="4"/>
      <c r="LG72" s="4"/>
      <c r="LH72" s="4"/>
      <c r="LI72" s="4"/>
      <c r="LJ72" s="4"/>
      <c r="LK72" s="4"/>
      <c r="LL72" s="4"/>
      <c r="LM72" s="4"/>
      <c r="LN72" s="4"/>
      <c r="LO72" s="4"/>
      <c r="LP72" s="4"/>
      <c r="LQ72" s="4"/>
      <c r="LR72" s="4"/>
      <c r="LS72" s="4"/>
      <c r="LT72" s="4"/>
      <c r="LU72" s="4"/>
      <c r="LV72" s="4"/>
      <c r="LW72" s="4"/>
      <c r="LX72" s="4"/>
      <c r="LY72" s="4"/>
      <c r="LZ72" s="4"/>
      <c r="MA72" s="4"/>
      <c r="MB72" s="4"/>
      <c r="MC72" s="4"/>
      <c r="MD72" s="4"/>
      <c r="ME72" s="4"/>
      <c r="MF72" s="4"/>
      <c r="MG72" s="4"/>
      <c r="MH72" s="4"/>
      <c r="MI72" s="4"/>
      <c r="MJ72" s="4"/>
      <c r="MK72" s="4"/>
      <c r="ML72" s="4"/>
      <c r="MM72" s="4"/>
      <c r="MN72" s="4"/>
      <c r="MO72" s="4"/>
      <c r="MP72" s="4"/>
      <c r="MQ72" s="4"/>
      <c r="MR72" s="4"/>
      <c r="MS72" s="4"/>
      <c r="MT72" s="4"/>
      <c r="MU72" s="4"/>
      <c r="MV72" s="4"/>
      <c r="MW72" s="4"/>
      <c r="MX72" s="4"/>
      <c r="MY72" s="4"/>
      <c r="MZ72" s="4"/>
      <c r="NA72" s="4"/>
      <c r="NB72" s="4"/>
      <c r="NC72" s="4"/>
      <c r="ND72" s="4"/>
      <c r="NE72" s="4"/>
      <c r="NF72" s="4"/>
      <c r="NG72" s="4"/>
      <c r="NH72" s="4"/>
      <c r="NI72" s="4"/>
      <c r="NJ72" s="4"/>
      <c r="NK72" s="4"/>
      <c r="NL72" s="4"/>
      <c r="NM72" s="4"/>
      <c r="NN72" s="4"/>
      <c r="NO72" s="4"/>
      <c r="NP72" s="4"/>
      <c r="NQ72" s="4"/>
      <c r="NR72" s="4"/>
      <c r="NS72" s="4"/>
      <c r="NT72" s="4"/>
      <c r="NU72" s="4"/>
      <c r="NV72" s="4"/>
      <c r="NW72" s="4"/>
      <c r="NX72" s="4"/>
      <c r="NY72" s="4"/>
      <c r="NZ72" s="4"/>
      <c r="OA72" s="4"/>
      <c r="OB72" s="4"/>
      <c r="OC72" s="4"/>
      <c r="OD72" s="4"/>
      <c r="OE72" s="4"/>
      <c r="OF72" s="4"/>
      <c r="OG72" s="4"/>
      <c r="OH72" s="4"/>
      <c r="OI72" s="4"/>
    </row>
    <row r="73" spans="1:399" outlineLevel="1">
      <c r="A73" s="116"/>
      <c r="B73" s="116"/>
      <c r="C73" s="116">
        <v>2</v>
      </c>
      <c r="D73" s="3" t="s">
        <v>1214</v>
      </c>
      <c r="E73" s="183"/>
      <c r="F73" s="183" t="s">
        <v>1182</v>
      </c>
      <c r="G73" s="183"/>
      <c r="H73" s="183"/>
      <c r="I73" s="183"/>
      <c r="J73" s="183"/>
      <c r="K73" s="183"/>
      <c r="L73" s="183"/>
      <c r="M73" s="184">
        <v>43759</v>
      </c>
      <c r="N73" s="184">
        <v>43763</v>
      </c>
      <c r="O73" s="185"/>
      <c r="P73" s="186">
        <v>5</v>
      </c>
      <c r="Q73" s="186">
        <v>4</v>
      </c>
      <c r="R73" s="187">
        <v>5</v>
      </c>
      <c r="S73" s="187">
        <v>4</v>
      </c>
      <c r="T73" s="184"/>
      <c r="U73" s="184"/>
      <c r="V73" s="188"/>
      <c r="W73" s="189">
        <v>0</v>
      </c>
      <c r="X73" s="190">
        <v>1</v>
      </c>
      <c r="Y73" s="185" t="s">
        <v>1266</v>
      </c>
      <c r="Z73" s="191"/>
      <c r="AA73" s="97">
        <v>0.8</v>
      </c>
      <c r="AB73" s="192">
        <v>0</v>
      </c>
      <c r="AC73" s="123"/>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t="str">
        <f>"" &amp; TEXT(AB73,"#0.00%") &amp; " " &amp; "Test" &amp; "(Max, Chris)" &amp; " " &amp; IF(M73="","",TEXT(M73,"M/D-")) &amp; IF(N73="","",TEXT(N73,"M/D")) &amp; " "</f>
        <v xml:space="preserve">0.00% Test(Max, Chris) 10/21-10/25 </v>
      </c>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c r="DW73" s="4"/>
      <c r="DX73" s="4"/>
      <c r="DY73" s="4"/>
      <c r="DZ73" s="4"/>
      <c r="EA73" s="4"/>
      <c r="EB73" s="4"/>
      <c r="EC73" s="4"/>
      <c r="ED73" s="4"/>
      <c r="EE73" s="4"/>
      <c r="EF73" s="4"/>
      <c r="EG73" s="4"/>
      <c r="EH73" s="4"/>
      <c r="EI73" s="4"/>
      <c r="EJ73" s="4"/>
      <c r="EK73" s="4"/>
      <c r="EL73" s="4"/>
      <c r="EM73" s="4"/>
      <c r="EN73" s="4"/>
      <c r="EO73" s="4"/>
      <c r="EP73" s="4"/>
      <c r="EQ73" s="4"/>
      <c r="ER73" s="4"/>
      <c r="ES73" s="4"/>
      <c r="ET73" s="4"/>
      <c r="EU73" s="4"/>
      <c r="EV73" s="4"/>
      <c r="EW73" s="4"/>
      <c r="EX73" s="4"/>
      <c r="EY73" s="4"/>
      <c r="EZ73" s="4"/>
      <c r="FA73" s="4"/>
      <c r="FB73" s="4"/>
      <c r="FC73" s="4"/>
      <c r="FD73" s="4"/>
      <c r="FE73" s="4"/>
      <c r="FF73" s="4"/>
      <c r="FG73" s="4"/>
      <c r="FH73" s="4"/>
      <c r="FI73" s="4"/>
      <c r="FJ73" s="4"/>
      <c r="FK73" s="4"/>
      <c r="FL73" s="4"/>
      <c r="FM73" s="4"/>
      <c r="FN73" s="4"/>
      <c r="FO73" s="4"/>
      <c r="FP73" s="4"/>
      <c r="FQ73" s="4"/>
      <c r="FR73" s="4"/>
      <c r="FS73" s="4"/>
      <c r="FT73" s="4"/>
      <c r="FU73" s="4"/>
      <c r="FV73" s="4"/>
      <c r="FW73" s="4"/>
      <c r="FX73" s="4"/>
      <c r="FY73" s="4"/>
      <c r="FZ73" s="4"/>
      <c r="GA73" s="4"/>
      <c r="GB73" s="4"/>
      <c r="GC73" s="4"/>
      <c r="GD73" s="4"/>
      <c r="GE73" s="4"/>
      <c r="GF73" s="4"/>
      <c r="GG73" s="4"/>
      <c r="GH73" s="4"/>
      <c r="GI73" s="4"/>
      <c r="GJ73" s="4"/>
      <c r="GK73" s="4"/>
      <c r="GL73" s="4"/>
      <c r="GM73" s="4"/>
      <c r="GN73" s="4"/>
      <c r="GO73" s="4"/>
      <c r="GP73" s="4"/>
      <c r="GQ73" s="4"/>
      <c r="GR73" s="4"/>
      <c r="GS73" s="4"/>
      <c r="GT73" s="4"/>
      <c r="GU73" s="4"/>
      <c r="GV73" s="4"/>
      <c r="GW73" s="4"/>
      <c r="GX73" s="4"/>
      <c r="GY73" s="4"/>
      <c r="GZ73" s="4"/>
      <c r="HA73" s="4"/>
      <c r="HB73" s="4"/>
      <c r="HC73" s="4"/>
      <c r="HD73" s="4"/>
      <c r="HE73" s="4"/>
      <c r="HF73" s="4"/>
      <c r="HG73" s="4"/>
      <c r="HH73" s="4"/>
      <c r="HI73" s="4"/>
      <c r="HJ73" s="4"/>
      <c r="HK73" s="4"/>
      <c r="HL73" s="4"/>
      <c r="HM73" s="4"/>
      <c r="HN73" s="4"/>
      <c r="HO73" s="4"/>
      <c r="HP73" s="4"/>
      <c r="HQ73" s="4"/>
      <c r="HR73" s="4"/>
      <c r="HS73" s="4"/>
      <c r="HT73" s="4"/>
      <c r="HU73" s="4"/>
      <c r="HV73" s="4"/>
      <c r="HW73" s="4"/>
      <c r="HX73" s="4"/>
      <c r="HY73" s="4"/>
      <c r="HZ73" s="4"/>
      <c r="IA73" s="4"/>
      <c r="IB73" s="4"/>
      <c r="IC73" s="4"/>
      <c r="ID73" s="4"/>
      <c r="IE73" s="4"/>
      <c r="IF73" s="4"/>
      <c r="IG73" s="4"/>
      <c r="IH73" s="4"/>
      <c r="II73" s="4"/>
      <c r="IJ73" s="4"/>
      <c r="IK73" s="4"/>
      <c r="IL73" s="4"/>
      <c r="IM73" s="4"/>
      <c r="IN73" s="4"/>
      <c r="IO73" s="4"/>
      <c r="IP73" s="4"/>
      <c r="IQ73" s="4"/>
      <c r="IR73" s="4"/>
      <c r="IS73" s="4"/>
      <c r="IT73" s="4"/>
      <c r="IU73" s="4"/>
      <c r="IV73" s="4"/>
      <c r="IW73" s="4"/>
      <c r="IX73" s="4"/>
      <c r="IY73" s="4"/>
      <c r="IZ73" s="4"/>
      <c r="JA73" s="4"/>
      <c r="JB73" s="4"/>
      <c r="JC73" s="4"/>
      <c r="JD73" s="4"/>
      <c r="JE73" s="4"/>
      <c r="JF73" s="4"/>
      <c r="JG73" s="4"/>
      <c r="JH73" s="4"/>
      <c r="JI73" s="4"/>
      <c r="JJ73" s="4"/>
      <c r="JK73" s="4"/>
      <c r="JL73" s="4"/>
      <c r="JM73" s="4"/>
      <c r="JN73" s="4"/>
      <c r="JO73" s="4"/>
      <c r="JP73" s="4"/>
      <c r="JQ73" s="4"/>
      <c r="JR73" s="4"/>
      <c r="JS73" s="4"/>
      <c r="JT73" s="4"/>
      <c r="JU73" s="4"/>
      <c r="JV73" s="4"/>
      <c r="JW73" s="4"/>
      <c r="JX73" s="4"/>
      <c r="JY73" s="4"/>
      <c r="JZ73" s="4"/>
      <c r="KA73" s="4"/>
      <c r="KB73" s="4"/>
      <c r="KC73" s="4"/>
      <c r="KD73" s="4"/>
      <c r="KE73" s="4"/>
      <c r="KF73" s="4"/>
      <c r="KG73" s="4"/>
      <c r="KH73" s="4"/>
      <c r="KI73" s="4"/>
      <c r="KJ73" s="4"/>
      <c r="KK73" s="4"/>
      <c r="KL73" s="4"/>
      <c r="KM73" s="4"/>
      <c r="KN73" s="4"/>
      <c r="KO73" s="4"/>
      <c r="KP73" s="4"/>
      <c r="KQ73" s="4"/>
      <c r="KR73" s="4"/>
      <c r="KS73" s="4"/>
      <c r="KT73" s="4"/>
      <c r="KU73" s="4"/>
      <c r="KV73" s="4"/>
      <c r="KW73" s="4"/>
      <c r="KX73" s="4"/>
      <c r="KY73" s="4"/>
      <c r="KZ73" s="4"/>
      <c r="LA73" s="4"/>
      <c r="LB73" s="4"/>
      <c r="LC73" s="4"/>
      <c r="LD73" s="4"/>
      <c r="LE73" s="4"/>
      <c r="LF73" s="4"/>
      <c r="LG73" s="4"/>
      <c r="LH73" s="4"/>
      <c r="LI73" s="4"/>
      <c r="LJ73" s="4"/>
      <c r="LK73" s="4"/>
      <c r="LL73" s="4"/>
      <c r="LM73" s="4"/>
      <c r="LN73" s="4"/>
      <c r="LO73" s="4"/>
      <c r="LP73" s="4"/>
      <c r="LQ73" s="4"/>
      <c r="LR73" s="4"/>
      <c r="LS73" s="4"/>
      <c r="LT73" s="4"/>
      <c r="LU73" s="4"/>
      <c r="LV73" s="4"/>
      <c r="LW73" s="4"/>
      <c r="LX73" s="4"/>
      <c r="LY73" s="4"/>
      <c r="LZ73" s="4"/>
      <c r="MA73" s="4"/>
      <c r="MB73" s="4"/>
      <c r="MC73" s="4"/>
      <c r="MD73" s="4"/>
      <c r="ME73" s="4"/>
      <c r="MF73" s="4"/>
      <c r="MG73" s="4"/>
      <c r="MH73" s="4"/>
      <c r="MI73" s="4"/>
      <c r="MJ73" s="4"/>
      <c r="MK73" s="4"/>
      <c r="ML73" s="4"/>
      <c r="MM73" s="4"/>
      <c r="MN73" s="4"/>
      <c r="MO73" s="4"/>
      <c r="MP73" s="4"/>
      <c r="MQ73" s="4"/>
      <c r="MR73" s="4"/>
      <c r="MS73" s="4"/>
      <c r="MT73" s="4"/>
      <c r="MU73" s="4"/>
      <c r="MV73" s="4"/>
      <c r="MW73" s="4"/>
      <c r="MX73" s="4"/>
      <c r="MY73" s="4"/>
      <c r="MZ73" s="4"/>
      <c r="NA73" s="4"/>
      <c r="NB73" s="4"/>
      <c r="NC73" s="4"/>
      <c r="ND73" s="4"/>
      <c r="NE73" s="4"/>
      <c r="NF73" s="4"/>
      <c r="NG73" s="4"/>
      <c r="NH73" s="4"/>
      <c r="NI73" s="4"/>
      <c r="NJ73" s="4"/>
      <c r="NK73" s="4"/>
      <c r="NL73" s="4"/>
      <c r="NM73" s="4"/>
      <c r="NN73" s="4"/>
      <c r="NO73" s="4"/>
      <c r="NP73" s="4"/>
      <c r="NQ73" s="4"/>
      <c r="NR73" s="4"/>
      <c r="NS73" s="4"/>
      <c r="NT73" s="4"/>
      <c r="NU73" s="4"/>
      <c r="NV73" s="4"/>
      <c r="NW73" s="4"/>
      <c r="NX73" s="4"/>
      <c r="NY73" s="4"/>
      <c r="NZ73" s="4"/>
      <c r="OA73" s="4"/>
      <c r="OB73" s="4"/>
      <c r="OC73" s="4"/>
      <c r="OD73" s="4"/>
      <c r="OE73" s="4"/>
      <c r="OF73" s="4"/>
      <c r="OG73" s="4"/>
      <c r="OH73" s="4"/>
      <c r="OI73" s="4"/>
    </row>
    <row r="74" spans="1:399" outlineLevel="1">
      <c r="A74" s="116"/>
      <c r="B74" s="116"/>
      <c r="C74" s="116">
        <v>2</v>
      </c>
      <c r="D74" s="3" t="s">
        <v>1215</v>
      </c>
      <c r="E74" s="183"/>
      <c r="F74" s="183" t="s">
        <v>1183</v>
      </c>
      <c r="G74" s="183"/>
      <c r="H74" s="183"/>
      <c r="I74" s="183"/>
      <c r="J74" s="183"/>
      <c r="K74" s="183"/>
      <c r="L74" s="183"/>
      <c r="M74" s="184">
        <v>43766</v>
      </c>
      <c r="N74" s="184">
        <v>43769</v>
      </c>
      <c r="O74" s="185"/>
      <c r="P74" s="186">
        <v>4</v>
      </c>
      <c r="Q74" s="186">
        <v>0</v>
      </c>
      <c r="R74" s="187">
        <v>4</v>
      </c>
      <c r="S74" s="187">
        <v>0</v>
      </c>
      <c r="T74" s="184"/>
      <c r="U74" s="184"/>
      <c r="V74" s="188"/>
      <c r="W74" s="189">
        <v>0</v>
      </c>
      <c r="X74" s="190">
        <v>1</v>
      </c>
      <c r="Y74" s="185" t="s">
        <v>1244</v>
      </c>
      <c r="Z74" s="191"/>
      <c r="AA74" s="97">
        <v>0</v>
      </c>
      <c r="AB74" s="192">
        <v>0</v>
      </c>
      <c r="AC74" s="123"/>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t="str">
        <f>"" &amp; TEXT(AB74,"#0.00%") &amp; " " &amp; "Publish" &amp; "(Max)" &amp; " " &amp; IF(M74="","",TEXT(M74,"M/D-")) &amp; IF(N74="","",TEXT(N74,"M/D")) &amp; " "</f>
        <v xml:space="preserve">0.00% Publish(Max) 10/28-10/31 </v>
      </c>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c r="ER74" s="4"/>
      <c r="ES74" s="4"/>
      <c r="ET74" s="4"/>
      <c r="EU74" s="4"/>
      <c r="EV74" s="4"/>
      <c r="EW74" s="4"/>
      <c r="EX74" s="4"/>
      <c r="EY74" s="4"/>
      <c r="EZ74" s="4"/>
      <c r="FA74" s="4"/>
      <c r="FB74" s="4"/>
      <c r="FC74" s="4"/>
      <c r="FD74" s="4"/>
      <c r="FE74" s="4"/>
      <c r="FF74" s="4"/>
      <c r="FG74" s="4"/>
      <c r="FH74" s="4"/>
      <c r="FI74" s="4"/>
      <c r="FJ74" s="4"/>
      <c r="FK74" s="4"/>
      <c r="FL74" s="4"/>
      <c r="FM74" s="4"/>
      <c r="FN74" s="4"/>
      <c r="FO74" s="4"/>
      <c r="FP74" s="4"/>
      <c r="FQ74" s="4"/>
      <c r="FR74" s="4"/>
      <c r="FS74" s="4"/>
      <c r="FT74" s="4"/>
      <c r="FU74" s="4"/>
      <c r="FV74" s="4"/>
      <c r="FW74" s="4"/>
      <c r="FX74" s="4"/>
      <c r="FY74" s="4"/>
      <c r="FZ74" s="4"/>
      <c r="GA74" s="4"/>
      <c r="GB74" s="4"/>
      <c r="GC74" s="4"/>
      <c r="GD74" s="4"/>
      <c r="GE74" s="4"/>
      <c r="GF74" s="4"/>
      <c r="GG74" s="4"/>
      <c r="GH74" s="4"/>
      <c r="GI74" s="4"/>
      <c r="GJ74" s="4"/>
      <c r="GK74" s="4"/>
      <c r="GL74" s="4"/>
      <c r="GM74" s="4"/>
      <c r="GN74" s="4"/>
      <c r="GO74" s="4"/>
      <c r="GP74" s="4"/>
      <c r="GQ74" s="4"/>
      <c r="GR74" s="4"/>
      <c r="GS74" s="4"/>
      <c r="GT74" s="4"/>
      <c r="GU74" s="4"/>
      <c r="GV74" s="4"/>
      <c r="GW74" s="4"/>
      <c r="GX74" s="4"/>
      <c r="GY74" s="4"/>
      <c r="GZ74" s="4"/>
      <c r="HA74" s="4"/>
      <c r="HB74" s="4"/>
      <c r="HC74" s="4"/>
      <c r="HD74" s="4"/>
      <c r="HE74" s="4"/>
      <c r="HF74" s="4"/>
      <c r="HG74" s="4"/>
      <c r="HH74" s="4"/>
      <c r="HI74" s="4"/>
      <c r="HJ74" s="4"/>
      <c r="HK74" s="4"/>
      <c r="HL74" s="4"/>
      <c r="HM74" s="4"/>
      <c r="HN74" s="4"/>
      <c r="HO74" s="4"/>
      <c r="HP74" s="4"/>
      <c r="HQ74" s="4"/>
      <c r="HR74" s="4"/>
      <c r="HS74" s="4"/>
      <c r="HT74" s="4"/>
      <c r="HU74" s="4"/>
      <c r="HV74" s="4"/>
      <c r="HW74" s="4"/>
      <c r="HX74" s="4"/>
      <c r="HY74" s="4"/>
      <c r="HZ74" s="4"/>
      <c r="IA74" s="4"/>
      <c r="IB74" s="4"/>
      <c r="IC74" s="4"/>
      <c r="ID74" s="4"/>
      <c r="IE74" s="4"/>
      <c r="IF74" s="4"/>
      <c r="IG74" s="4"/>
      <c r="IH74" s="4"/>
      <c r="II74" s="4"/>
      <c r="IJ74" s="4"/>
      <c r="IK74" s="4"/>
      <c r="IL74" s="4"/>
      <c r="IM74" s="4"/>
      <c r="IN74" s="4"/>
      <c r="IO74" s="4"/>
      <c r="IP74" s="4"/>
      <c r="IQ74" s="4"/>
      <c r="IR74" s="4"/>
      <c r="IS74" s="4"/>
      <c r="IT74" s="4"/>
      <c r="IU74" s="4"/>
      <c r="IV74" s="4"/>
      <c r="IW74" s="4"/>
      <c r="IX74" s="4"/>
      <c r="IY74" s="4"/>
      <c r="IZ74" s="4"/>
      <c r="JA74" s="4"/>
      <c r="JB74" s="4"/>
      <c r="JC74" s="4"/>
      <c r="JD74" s="4"/>
      <c r="JE74" s="4"/>
      <c r="JF74" s="4"/>
      <c r="JG74" s="4"/>
      <c r="JH74" s="4"/>
      <c r="JI74" s="4"/>
      <c r="JJ74" s="4"/>
      <c r="JK74" s="4"/>
      <c r="JL74" s="4"/>
      <c r="JM74" s="4"/>
      <c r="JN74" s="4"/>
      <c r="JO74" s="4"/>
      <c r="JP74" s="4"/>
      <c r="JQ74" s="4"/>
      <c r="JR74" s="4"/>
      <c r="JS74" s="4"/>
      <c r="JT74" s="4"/>
      <c r="JU74" s="4"/>
      <c r="JV74" s="4"/>
      <c r="JW74" s="4"/>
      <c r="JX74" s="4"/>
      <c r="JY74" s="4"/>
      <c r="JZ74" s="4"/>
      <c r="KA74" s="4"/>
      <c r="KB74" s="4"/>
      <c r="KC74" s="4"/>
      <c r="KD74" s="4"/>
      <c r="KE74" s="4"/>
      <c r="KF74" s="4"/>
      <c r="KG74" s="4"/>
      <c r="KH74" s="4"/>
      <c r="KI74" s="4"/>
      <c r="KJ74" s="4"/>
      <c r="KK74" s="4"/>
      <c r="KL74" s="4"/>
      <c r="KM74" s="4"/>
      <c r="KN74" s="4"/>
      <c r="KO74" s="4"/>
      <c r="KP74" s="4"/>
      <c r="KQ74" s="4"/>
      <c r="KR74" s="4"/>
      <c r="KS74" s="4"/>
      <c r="KT74" s="4"/>
      <c r="KU74" s="4"/>
      <c r="KV74" s="4"/>
      <c r="KW74" s="4"/>
      <c r="KX74" s="4"/>
      <c r="KY74" s="4"/>
      <c r="KZ74" s="4"/>
      <c r="LA74" s="4"/>
      <c r="LB74" s="4"/>
      <c r="LC74" s="4"/>
      <c r="LD74" s="4"/>
      <c r="LE74" s="4"/>
      <c r="LF74" s="4"/>
      <c r="LG74" s="4"/>
      <c r="LH74" s="4"/>
      <c r="LI74" s="4"/>
      <c r="LJ74" s="4"/>
      <c r="LK74" s="4"/>
      <c r="LL74" s="4"/>
      <c r="LM74" s="4"/>
      <c r="LN74" s="4"/>
      <c r="LO74" s="4"/>
      <c r="LP74" s="4"/>
      <c r="LQ74" s="4"/>
      <c r="LR74" s="4"/>
      <c r="LS74" s="4"/>
      <c r="LT74" s="4"/>
      <c r="LU74" s="4"/>
      <c r="LV74" s="4"/>
      <c r="LW74" s="4"/>
      <c r="LX74" s="4"/>
      <c r="LY74" s="4"/>
      <c r="LZ74" s="4"/>
      <c r="MA74" s="4"/>
      <c r="MB74" s="4"/>
      <c r="MC74" s="4"/>
      <c r="MD74" s="4"/>
      <c r="ME74" s="4"/>
      <c r="MF74" s="4"/>
      <c r="MG74" s="4"/>
      <c r="MH74" s="4"/>
      <c r="MI74" s="4"/>
      <c r="MJ74" s="4"/>
      <c r="MK74" s="4"/>
      <c r="ML74" s="4"/>
      <c r="MM74" s="4"/>
      <c r="MN74" s="4"/>
      <c r="MO74" s="4"/>
      <c r="MP74" s="4"/>
      <c r="MQ74" s="4"/>
      <c r="MR74" s="4"/>
      <c r="MS74" s="4"/>
      <c r="MT74" s="4"/>
      <c r="MU74" s="4"/>
      <c r="MV74" s="4"/>
      <c r="MW74" s="4"/>
      <c r="MX74" s="4"/>
      <c r="MY74" s="4"/>
      <c r="MZ74" s="4"/>
      <c r="NA74" s="4"/>
      <c r="NB74" s="4"/>
      <c r="NC74" s="4"/>
      <c r="ND74" s="4"/>
      <c r="NE74" s="4"/>
      <c r="NF74" s="4"/>
      <c r="NG74" s="4"/>
      <c r="NH74" s="4"/>
      <c r="NI74" s="4"/>
      <c r="NJ74" s="4"/>
      <c r="NK74" s="4"/>
      <c r="NL74" s="4"/>
      <c r="NM74" s="4"/>
      <c r="NN74" s="4"/>
      <c r="NO74" s="4"/>
      <c r="NP74" s="4"/>
      <c r="NQ74" s="4"/>
      <c r="NR74" s="4"/>
      <c r="NS74" s="4"/>
      <c r="NT74" s="4"/>
      <c r="NU74" s="4"/>
      <c r="NV74" s="4"/>
      <c r="NW74" s="4"/>
      <c r="NX74" s="4"/>
      <c r="NY74" s="4"/>
      <c r="NZ74" s="4"/>
      <c r="OA74" s="4"/>
      <c r="OB74" s="4"/>
      <c r="OC74" s="4"/>
      <c r="OD74" s="4"/>
      <c r="OE74" s="4"/>
      <c r="OF74" s="4"/>
      <c r="OG74" s="4"/>
      <c r="OH74" s="4"/>
      <c r="OI74" s="4"/>
    </row>
    <row r="75" spans="1:399" outlineLevel="1">
      <c r="A75" s="116"/>
      <c r="B75" s="116"/>
      <c r="C75" s="116">
        <v>0</v>
      </c>
      <c r="D75" s="3"/>
      <c r="E75" s="183"/>
      <c r="F75" s="183"/>
      <c r="G75" s="183"/>
      <c r="H75" s="183"/>
      <c r="I75" s="183"/>
      <c r="J75" s="183"/>
      <c r="K75" s="183"/>
      <c r="L75" s="183"/>
      <c r="M75" s="184"/>
      <c r="N75" s="184"/>
      <c r="O75" s="185"/>
      <c r="P75" s="186"/>
      <c r="Q75" s="186"/>
      <c r="R75" s="187">
        <v>0</v>
      </c>
      <c r="S75" s="187">
        <v>0</v>
      </c>
      <c r="T75" s="184"/>
      <c r="U75" s="184"/>
      <c r="V75" s="188"/>
      <c r="W75" s="189">
        <v>0</v>
      </c>
      <c r="X75" s="190"/>
      <c r="Y75" s="185"/>
      <c r="Z75" s="191"/>
      <c r="AA75" s="97"/>
      <c r="AB75" s="192"/>
      <c r="AC75" s="123"/>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4"/>
      <c r="EG75" s="4"/>
      <c r="EH75" s="4"/>
      <c r="EI75" s="4"/>
      <c r="EJ75" s="4"/>
      <c r="EK75" s="4"/>
      <c r="EL75" s="4"/>
      <c r="EM75" s="4"/>
      <c r="EN75" s="4"/>
      <c r="EO75" s="4"/>
      <c r="EP75" s="4"/>
      <c r="EQ75" s="4"/>
      <c r="ER75" s="4"/>
      <c r="ES75" s="4"/>
      <c r="ET75" s="4"/>
      <c r="EU75" s="4"/>
      <c r="EV75" s="4"/>
      <c r="EW75" s="4"/>
      <c r="EX75" s="4"/>
      <c r="EY75" s="4"/>
      <c r="EZ75" s="4"/>
      <c r="FA75" s="4"/>
      <c r="FB75" s="4"/>
      <c r="FC75" s="4"/>
      <c r="FD75" s="4"/>
      <c r="FE75" s="4"/>
      <c r="FF75" s="4"/>
      <c r="FG75" s="4"/>
      <c r="FH75" s="4"/>
      <c r="FI75" s="4"/>
      <c r="FJ75" s="4"/>
      <c r="FK75" s="4"/>
      <c r="FL75" s="4"/>
      <c r="FM75" s="4"/>
      <c r="FN75" s="4"/>
      <c r="FO75" s="4"/>
      <c r="FP75" s="4"/>
      <c r="FQ75" s="4"/>
      <c r="FR75" s="4"/>
      <c r="FS75" s="4"/>
      <c r="FT75" s="4"/>
      <c r="FU75" s="4"/>
      <c r="FV75" s="4"/>
      <c r="FW75" s="4"/>
      <c r="FX75" s="4"/>
      <c r="FY75" s="4"/>
      <c r="FZ75" s="4"/>
      <c r="GA75" s="4"/>
      <c r="GB75" s="4"/>
      <c r="GC75" s="4"/>
      <c r="GD75" s="4"/>
      <c r="GE75" s="4"/>
      <c r="GF75" s="4"/>
      <c r="GG75" s="4"/>
      <c r="GH75" s="4"/>
      <c r="GI75" s="4"/>
      <c r="GJ75" s="4"/>
      <c r="GK75" s="4"/>
      <c r="GL75" s="4"/>
      <c r="GM75" s="4"/>
      <c r="GN75" s="4"/>
      <c r="GO75" s="4"/>
      <c r="GP75" s="4"/>
      <c r="GQ75" s="4"/>
      <c r="GR75" s="4"/>
      <c r="GS75" s="4"/>
      <c r="GT75" s="4"/>
      <c r="GU75" s="4"/>
      <c r="GV75" s="4"/>
      <c r="GW75" s="4"/>
      <c r="GX75" s="4"/>
      <c r="GY75" s="4"/>
      <c r="GZ75" s="4"/>
      <c r="HA75" s="4"/>
      <c r="HB75" s="4"/>
      <c r="HC75" s="4"/>
      <c r="HD75" s="4"/>
      <c r="HE75" s="4"/>
      <c r="HF75" s="4"/>
      <c r="HG75" s="4"/>
      <c r="HH75" s="4"/>
      <c r="HI75" s="4"/>
      <c r="HJ75" s="4"/>
      <c r="HK75" s="4"/>
      <c r="HL75" s="4"/>
      <c r="HM75" s="4"/>
      <c r="HN75" s="4"/>
      <c r="HO75" s="4"/>
      <c r="HP75" s="4"/>
      <c r="HQ75" s="4"/>
      <c r="HR75" s="4"/>
      <c r="HS75" s="4"/>
      <c r="HT75" s="4"/>
      <c r="HU75" s="4"/>
      <c r="HV75" s="4"/>
      <c r="HW75" s="4"/>
      <c r="HX75" s="4"/>
      <c r="HY75" s="4"/>
      <c r="HZ75" s="4"/>
      <c r="IA75" s="4"/>
      <c r="IB75" s="4"/>
      <c r="IC75" s="4"/>
      <c r="ID75" s="4"/>
      <c r="IE75" s="4"/>
      <c r="IF75" s="4"/>
      <c r="IG75" s="4"/>
      <c r="IH75" s="4"/>
      <c r="II75" s="4"/>
      <c r="IJ75" s="4"/>
      <c r="IK75" s="4"/>
      <c r="IL75" s="4"/>
      <c r="IM75" s="4"/>
      <c r="IN75" s="4"/>
      <c r="IO75" s="4"/>
      <c r="IP75" s="4"/>
      <c r="IQ75" s="4"/>
      <c r="IR75" s="4"/>
      <c r="IS75" s="4"/>
      <c r="IT75" s="4"/>
      <c r="IU75" s="4"/>
      <c r="IV75" s="4"/>
      <c r="IW75" s="4"/>
      <c r="IX75" s="4"/>
      <c r="IY75" s="4"/>
      <c r="IZ75" s="4"/>
      <c r="JA75" s="4"/>
      <c r="JB75" s="4"/>
      <c r="JC75" s="4"/>
      <c r="JD75" s="4"/>
      <c r="JE75" s="4"/>
      <c r="JF75" s="4"/>
      <c r="JG75" s="4"/>
      <c r="JH75" s="4"/>
      <c r="JI75" s="4"/>
      <c r="JJ75" s="4"/>
      <c r="JK75" s="4"/>
      <c r="JL75" s="4"/>
      <c r="JM75" s="4"/>
      <c r="JN75" s="4"/>
      <c r="JO75" s="4"/>
      <c r="JP75" s="4"/>
      <c r="JQ75" s="4"/>
      <c r="JR75" s="4"/>
      <c r="JS75" s="4"/>
      <c r="JT75" s="4"/>
      <c r="JU75" s="4"/>
      <c r="JV75" s="4"/>
      <c r="JW75" s="4"/>
      <c r="JX75" s="4"/>
      <c r="JY75" s="4"/>
      <c r="JZ75" s="4"/>
      <c r="KA75" s="4"/>
      <c r="KB75" s="4"/>
      <c r="KC75" s="4"/>
      <c r="KD75" s="4"/>
      <c r="KE75" s="4"/>
      <c r="KF75" s="4"/>
      <c r="KG75" s="4"/>
      <c r="KH75" s="4"/>
      <c r="KI75" s="4"/>
      <c r="KJ75" s="4"/>
      <c r="KK75" s="4"/>
      <c r="KL75" s="4"/>
      <c r="KM75" s="4"/>
      <c r="KN75" s="4"/>
      <c r="KO75" s="4"/>
      <c r="KP75" s="4"/>
      <c r="KQ75" s="4"/>
      <c r="KR75" s="4"/>
      <c r="KS75" s="4"/>
      <c r="KT75" s="4"/>
      <c r="KU75" s="4"/>
      <c r="KV75" s="4"/>
      <c r="KW75" s="4"/>
      <c r="KX75" s="4"/>
      <c r="KY75" s="4"/>
      <c r="KZ75" s="4"/>
      <c r="LA75" s="4"/>
      <c r="LB75" s="4"/>
      <c r="LC75" s="4"/>
      <c r="LD75" s="4"/>
      <c r="LE75" s="4"/>
      <c r="LF75" s="4"/>
      <c r="LG75" s="4"/>
      <c r="LH75" s="4"/>
      <c r="LI75" s="4"/>
      <c r="LJ75" s="4"/>
      <c r="LK75" s="4"/>
      <c r="LL75" s="4"/>
      <c r="LM75" s="4"/>
      <c r="LN75" s="4"/>
      <c r="LO75" s="4"/>
      <c r="LP75" s="4"/>
      <c r="LQ75" s="4"/>
      <c r="LR75" s="4"/>
      <c r="LS75" s="4"/>
      <c r="LT75" s="4"/>
      <c r="LU75" s="4"/>
      <c r="LV75" s="4"/>
      <c r="LW75" s="4"/>
      <c r="LX75" s="4"/>
      <c r="LY75" s="4"/>
      <c r="LZ75" s="4"/>
      <c r="MA75" s="4"/>
      <c r="MB75" s="4"/>
      <c r="MC75" s="4"/>
      <c r="MD75" s="4"/>
      <c r="ME75" s="4"/>
      <c r="MF75" s="4"/>
      <c r="MG75" s="4"/>
      <c r="MH75" s="4"/>
      <c r="MI75" s="4"/>
      <c r="MJ75" s="4"/>
      <c r="MK75" s="4"/>
      <c r="ML75" s="4"/>
      <c r="MM75" s="4"/>
      <c r="MN75" s="4"/>
      <c r="MO75" s="4"/>
      <c r="MP75" s="4"/>
      <c r="MQ75" s="4"/>
      <c r="MR75" s="4"/>
      <c r="MS75" s="4"/>
      <c r="MT75" s="4"/>
      <c r="MU75" s="4"/>
      <c r="MV75" s="4"/>
      <c r="MW75" s="4"/>
      <c r="MX75" s="4"/>
      <c r="MY75" s="4"/>
      <c r="MZ75" s="4"/>
      <c r="NA75" s="4"/>
      <c r="NB75" s="4"/>
      <c r="NC75" s="4"/>
      <c r="ND75" s="4"/>
      <c r="NE75" s="4"/>
      <c r="NF75" s="4"/>
      <c r="NG75" s="4"/>
      <c r="NH75" s="4"/>
      <c r="NI75" s="4"/>
      <c r="NJ75" s="4"/>
      <c r="NK75" s="4"/>
      <c r="NL75" s="4"/>
      <c r="NM75" s="4"/>
      <c r="NN75" s="4"/>
      <c r="NO75" s="4"/>
      <c r="NP75" s="4"/>
      <c r="NQ75" s="4"/>
      <c r="NR75" s="4"/>
      <c r="NS75" s="4"/>
      <c r="NT75" s="4"/>
      <c r="NU75" s="4"/>
      <c r="NV75" s="4"/>
      <c r="NW75" s="4"/>
      <c r="NX75" s="4"/>
      <c r="NY75" s="4"/>
      <c r="NZ75" s="4"/>
      <c r="OA75" s="4"/>
      <c r="OB75" s="4"/>
      <c r="OC75" s="4"/>
      <c r="OD75" s="4"/>
      <c r="OE75" s="4"/>
      <c r="OF75" s="4"/>
      <c r="OG75" s="4"/>
      <c r="OH75" s="4"/>
      <c r="OI75" s="4"/>
    </row>
    <row r="76" spans="1:399">
      <c r="A76" s="116"/>
      <c r="B76" s="116" t="s">
        <v>1061</v>
      </c>
      <c r="C76" s="116">
        <v>1</v>
      </c>
      <c r="D76" s="3" t="s">
        <v>1216</v>
      </c>
      <c r="E76" s="183" t="s">
        <v>1224</v>
      </c>
      <c r="F76" s="183"/>
      <c r="G76" s="183"/>
      <c r="H76" s="183"/>
      <c r="I76" s="183"/>
      <c r="J76" s="183"/>
      <c r="K76" s="183"/>
      <c r="L76" s="183"/>
      <c r="M76" s="184"/>
      <c r="N76" s="184"/>
      <c r="O76" s="185"/>
      <c r="P76" s="186">
        <v>0</v>
      </c>
      <c r="Q76" s="186">
        <v>0</v>
      </c>
      <c r="R76" s="187">
        <v>2</v>
      </c>
      <c r="S76" s="187">
        <v>2</v>
      </c>
      <c r="T76" s="184"/>
      <c r="U76" s="184"/>
      <c r="V76" s="188">
        <v>0</v>
      </c>
      <c r="W76" s="189">
        <v>0</v>
      </c>
      <c r="X76" s="190"/>
      <c r="Y76" s="185"/>
      <c r="Z76" s="191"/>
      <c r="AA76" s="97">
        <v>0</v>
      </c>
      <c r="AB76" s="192">
        <v>0</v>
      </c>
      <c r="AC76" s="123"/>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c r="EY76" s="4"/>
      <c r="EZ76" s="4"/>
      <c r="FA76" s="4"/>
      <c r="FB76" s="4"/>
      <c r="FC76" s="4"/>
      <c r="FD76" s="4"/>
      <c r="FE76" s="4"/>
      <c r="FF76" s="4"/>
      <c r="FG76" s="4"/>
      <c r="FH76" s="4"/>
      <c r="FI76" s="4"/>
      <c r="FJ76" s="4"/>
      <c r="FK76" s="4"/>
      <c r="FL76" s="4"/>
      <c r="FM76" s="4"/>
      <c r="FN76" s="4"/>
      <c r="FO76" s="4"/>
      <c r="FP76" s="4"/>
      <c r="FQ76" s="4"/>
      <c r="FR76" s="4"/>
      <c r="FS76" s="4"/>
      <c r="FT76" s="4"/>
      <c r="FU76" s="4"/>
      <c r="FV76" s="4"/>
      <c r="FW76" s="4"/>
      <c r="FX76" s="4"/>
      <c r="FY76" s="4"/>
      <c r="FZ76" s="4"/>
      <c r="GA76" s="4"/>
      <c r="GB76" s="4"/>
      <c r="GC76" s="4"/>
      <c r="GD76" s="4"/>
      <c r="GE76" s="4"/>
      <c r="GF76" s="4"/>
      <c r="GG76" s="4"/>
      <c r="GH76" s="4"/>
      <c r="GI76" s="4"/>
      <c r="GJ76" s="4"/>
      <c r="GK76" s="4"/>
      <c r="GL76" s="4"/>
      <c r="GM76" s="4"/>
      <c r="GN76" s="4"/>
      <c r="GO76" s="4"/>
      <c r="GP76" s="4"/>
      <c r="GQ76" s="4"/>
      <c r="GR76" s="4"/>
      <c r="GS76" s="4"/>
      <c r="GT76" s="4"/>
      <c r="GU76" s="4"/>
      <c r="GV76" s="4"/>
      <c r="GW76" s="4"/>
      <c r="GX76" s="4"/>
      <c r="GY76" s="4"/>
      <c r="GZ76" s="4"/>
      <c r="HA76" s="4"/>
      <c r="HB76" s="4"/>
      <c r="HC76" s="4"/>
      <c r="HD76" s="4"/>
      <c r="HE76" s="4"/>
      <c r="HF76" s="4"/>
      <c r="HG76" s="4"/>
      <c r="HH76" s="4"/>
      <c r="HI76" s="4"/>
      <c r="HJ76" s="4"/>
      <c r="HK76" s="4"/>
      <c r="HL76" s="4"/>
      <c r="HM76" s="4"/>
      <c r="HN76" s="4"/>
      <c r="HO76" s="4"/>
      <c r="HP76" s="4"/>
      <c r="HQ76" s="4"/>
      <c r="HR76" s="4"/>
      <c r="HS76" s="4"/>
      <c r="HT76" s="4"/>
      <c r="HU76" s="4"/>
      <c r="HV76" s="4"/>
      <c r="HW76" s="4"/>
      <c r="HX76" s="4"/>
      <c r="HY76" s="4"/>
      <c r="HZ76" s="4"/>
      <c r="IA76" s="4"/>
      <c r="IB76" s="4"/>
      <c r="IC76" s="4"/>
      <c r="ID76" s="4"/>
      <c r="IE76" s="4"/>
      <c r="IF76" s="4"/>
      <c r="IG76" s="4"/>
      <c r="IH76" s="4"/>
      <c r="II76" s="4"/>
      <c r="IJ76" s="4"/>
      <c r="IK76" s="4"/>
      <c r="IL76" s="4"/>
      <c r="IM76" s="4"/>
      <c r="IN76" s="4"/>
      <c r="IO76" s="4"/>
      <c r="IP76" s="4"/>
      <c r="IQ76" s="4"/>
      <c r="IR76" s="4"/>
      <c r="IS76" s="4"/>
      <c r="IT76" s="4"/>
      <c r="IU76" s="4"/>
      <c r="IV76" s="4"/>
      <c r="IW76" s="4"/>
      <c r="IX76" s="4"/>
      <c r="IY76" s="4"/>
      <c r="IZ76" s="4"/>
      <c r="JA76" s="4"/>
      <c r="JB76" s="4"/>
      <c r="JC76" s="4"/>
      <c r="JD76" s="4"/>
      <c r="JE76" s="4"/>
      <c r="JF76" s="4"/>
      <c r="JG76" s="4"/>
      <c r="JH76" s="4"/>
      <c r="JI76" s="4"/>
      <c r="JJ76" s="4"/>
      <c r="JK76" s="4"/>
      <c r="JL76" s="4"/>
      <c r="JM76" s="4"/>
      <c r="JN76" s="4"/>
      <c r="JO76" s="4"/>
      <c r="JP76" s="4"/>
      <c r="JQ76" s="4"/>
      <c r="JR76" s="4"/>
      <c r="JS76" s="4"/>
      <c r="JT76" s="4"/>
      <c r="JU76" s="4"/>
      <c r="JV76" s="4"/>
      <c r="JW76" s="4"/>
      <c r="JX76" s="4"/>
      <c r="JY76" s="4"/>
      <c r="JZ76" s="4"/>
      <c r="KA76" s="4"/>
      <c r="KB76" s="4"/>
      <c r="KC76" s="4"/>
      <c r="KD76" s="4"/>
      <c r="KE76" s="4"/>
      <c r="KF76" s="4"/>
      <c r="KG76" s="4"/>
      <c r="KH76" s="4"/>
      <c r="KI76" s="4"/>
      <c r="KJ76" s="4"/>
      <c r="KK76" s="4"/>
      <c r="KL76" s="4"/>
      <c r="KM76" s="4"/>
      <c r="KN76" s="4"/>
      <c r="KO76" s="4"/>
      <c r="KP76" s="4"/>
      <c r="KQ76" s="4"/>
      <c r="KR76" s="4"/>
      <c r="KS76" s="4"/>
      <c r="KT76" s="4"/>
      <c r="KU76" s="4"/>
      <c r="KV76" s="4"/>
      <c r="KW76" s="4"/>
      <c r="KX76" s="4"/>
      <c r="KY76" s="4"/>
      <c r="KZ76" s="4"/>
      <c r="LA76" s="4"/>
      <c r="LB76" s="4"/>
      <c r="LC76" s="4"/>
      <c r="LD76" s="4"/>
      <c r="LE76" s="4"/>
      <c r="LF76" s="4"/>
      <c r="LG76" s="4"/>
      <c r="LH76" s="4"/>
      <c r="LI76" s="4"/>
      <c r="LJ76" s="4"/>
      <c r="LK76" s="4"/>
      <c r="LL76" s="4"/>
      <c r="LM76" s="4"/>
      <c r="LN76" s="4"/>
      <c r="LO76" s="4"/>
      <c r="LP76" s="4"/>
      <c r="LQ76" s="4"/>
      <c r="LR76" s="4"/>
      <c r="LS76" s="4"/>
      <c r="LT76" s="4"/>
      <c r="LU76" s="4"/>
      <c r="LV76" s="4"/>
      <c r="LW76" s="4"/>
      <c r="LX76" s="4"/>
      <c r="LY76" s="4"/>
      <c r="LZ76" s="4"/>
      <c r="MA76" s="4"/>
      <c r="MB76" s="4"/>
      <c r="MC76" s="4"/>
      <c r="MD76" s="4"/>
      <c r="ME76" s="4"/>
      <c r="MF76" s="4"/>
      <c r="MG76" s="4"/>
      <c r="MH76" s="4"/>
      <c r="MI76" s="4"/>
      <c r="MJ76" s="4"/>
      <c r="MK76" s="4"/>
      <c r="ML76" s="4"/>
      <c r="MM76" s="4"/>
      <c r="MN76" s="4"/>
      <c r="MO76" s="4"/>
      <c r="MP76" s="4"/>
      <c r="MQ76" s="4"/>
      <c r="MR76" s="4"/>
      <c r="MS76" s="4"/>
      <c r="MT76" s="4"/>
      <c r="MU76" s="4"/>
      <c r="MV76" s="4"/>
      <c r="MW76" s="4"/>
      <c r="MX76" s="4"/>
      <c r="MY76" s="4"/>
      <c r="MZ76" s="4"/>
      <c r="NA76" s="4"/>
      <c r="NB76" s="4"/>
      <c r="NC76" s="4"/>
      <c r="ND76" s="4"/>
      <c r="NE76" s="4"/>
      <c r="NF76" s="4"/>
      <c r="NG76" s="4"/>
      <c r="NH76" s="4"/>
      <c r="NI76" s="4"/>
      <c r="NJ76" s="4"/>
      <c r="NK76" s="4"/>
      <c r="NL76" s="4"/>
      <c r="NM76" s="4"/>
      <c r="NN76" s="4"/>
      <c r="NO76" s="4"/>
      <c r="NP76" s="4"/>
      <c r="NQ76" s="4"/>
      <c r="NR76" s="4"/>
      <c r="NS76" s="4"/>
      <c r="NT76" s="4"/>
      <c r="NU76" s="4"/>
      <c r="NV76" s="4"/>
      <c r="NW76" s="4"/>
      <c r="NX76" s="4"/>
      <c r="NY76" s="4"/>
      <c r="NZ76" s="4"/>
      <c r="OA76" s="4"/>
      <c r="OB76" s="4"/>
      <c r="OC76" s="4"/>
      <c r="OD76" s="4"/>
      <c r="OE76" s="4"/>
      <c r="OF76" s="4"/>
      <c r="OG76" s="4"/>
      <c r="OH76" s="4"/>
      <c r="OI76" s="4"/>
    </row>
    <row r="77" spans="1:399" outlineLevel="1">
      <c r="A77" s="116"/>
      <c r="B77" s="116"/>
      <c r="C77" s="116">
        <v>2</v>
      </c>
      <c r="D77" s="3" t="s">
        <v>1217</v>
      </c>
      <c r="E77" s="183"/>
      <c r="F77" s="183" t="s">
        <v>1198</v>
      </c>
      <c r="G77" s="183"/>
      <c r="H77" s="183"/>
      <c r="I77" s="183"/>
      <c r="J77" s="183"/>
      <c r="K77" s="183"/>
      <c r="L77" s="183"/>
      <c r="M77" s="184"/>
      <c r="N77" s="184"/>
      <c r="O77" s="185"/>
      <c r="P77" s="186">
        <v>0</v>
      </c>
      <c r="Q77" s="186">
        <v>0</v>
      </c>
      <c r="R77" s="187">
        <v>2</v>
      </c>
      <c r="S77" s="187">
        <v>2</v>
      </c>
      <c r="T77" s="184"/>
      <c r="U77" s="184"/>
      <c r="V77" s="188">
        <v>0</v>
      </c>
      <c r="W77" s="189">
        <v>0</v>
      </c>
      <c r="X77" s="190">
        <v>1</v>
      </c>
      <c r="Y77" s="185"/>
      <c r="Z77" s="191"/>
      <c r="AA77" s="97">
        <v>0</v>
      </c>
      <c r="AB77" s="192">
        <v>0</v>
      </c>
      <c r="AC77" s="123"/>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4"/>
      <c r="EG77" s="4"/>
      <c r="EH77" s="4"/>
      <c r="EI77" s="4"/>
      <c r="EJ77" s="4"/>
      <c r="EK77" s="4"/>
      <c r="EL77" s="4"/>
      <c r="EM77" s="4"/>
      <c r="EN77" s="4"/>
      <c r="EO77" s="4"/>
      <c r="EP77" s="4"/>
      <c r="EQ77" s="4"/>
      <c r="ER77" s="4"/>
      <c r="ES77" s="4"/>
      <c r="ET77" s="4"/>
      <c r="EU77" s="4"/>
      <c r="EV77" s="4"/>
      <c r="EW77" s="4"/>
      <c r="EX77" s="4"/>
      <c r="EY77" s="4"/>
      <c r="EZ77" s="4"/>
      <c r="FA77" s="4"/>
      <c r="FB77" s="4"/>
      <c r="FC77" s="4"/>
      <c r="FD77" s="4"/>
      <c r="FE77" s="4"/>
      <c r="FF77" s="4"/>
      <c r="FG77" s="4"/>
      <c r="FH77" s="4"/>
      <c r="FI77" s="4"/>
      <c r="FJ77" s="4"/>
      <c r="FK77" s="4"/>
      <c r="FL77" s="4"/>
      <c r="FM77" s="4"/>
      <c r="FN77" s="4"/>
      <c r="FO77" s="4"/>
      <c r="FP77" s="4"/>
      <c r="FQ77" s="4"/>
      <c r="FR77" s="4"/>
      <c r="FS77" s="4"/>
      <c r="FT77" s="4"/>
      <c r="FU77" s="4"/>
      <c r="FV77" s="4"/>
      <c r="FW77" s="4"/>
      <c r="FX77" s="4"/>
      <c r="FY77" s="4"/>
      <c r="FZ77" s="4"/>
      <c r="GA77" s="4"/>
      <c r="GB77" s="4"/>
      <c r="GC77" s="4"/>
      <c r="GD77" s="4"/>
      <c r="GE77" s="4"/>
      <c r="GF77" s="4"/>
      <c r="GG77" s="4"/>
      <c r="GH77" s="4"/>
      <c r="GI77" s="4"/>
      <c r="GJ77" s="4"/>
      <c r="GK77" s="4"/>
      <c r="GL77" s="4"/>
      <c r="GM77" s="4"/>
      <c r="GN77" s="4"/>
      <c r="GO77" s="4"/>
      <c r="GP77" s="4"/>
      <c r="GQ77" s="4"/>
      <c r="GR77" s="4"/>
      <c r="GS77" s="4"/>
      <c r="GT77" s="4"/>
      <c r="GU77" s="4"/>
      <c r="GV77" s="4"/>
      <c r="GW77" s="4"/>
      <c r="GX77" s="4"/>
      <c r="GY77" s="4"/>
      <c r="GZ77" s="4"/>
      <c r="HA77" s="4"/>
      <c r="HB77" s="4"/>
      <c r="HC77" s="4"/>
      <c r="HD77" s="4"/>
      <c r="HE77" s="4"/>
      <c r="HF77" s="4"/>
      <c r="HG77" s="4"/>
      <c r="HH77" s="4"/>
      <c r="HI77" s="4"/>
      <c r="HJ77" s="4"/>
      <c r="HK77" s="4"/>
      <c r="HL77" s="4"/>
      <c r="HM77" s="4"/>
      <c r="HN77" s="4"/>
      <c r="HO77" s="4"/>
      <c r="HP77" s="4"/>
      <c r="HQ77" s="4"/>
      <c r="HR77" s="4"/>
      <c r="HS77" s="4"/>
      <c r="HT77" s="4"/>
      <c r="HU77" s="4"/>
      <c r="HV77" s="4"/>
      <c r="HW77" s="4"/>
      <c r="HX77" s="4"/>
      <c r="HY77" s="4"/>
      <c r="HZ77" s="4"/>
      <c r="IA77" s="4"/>
      <c r="IB77" s="4"/>
      <c r="IC77" s="4"/>
      <c r="ID77" s="4"/>
      <c r="IE77" s="4"/>
      <c r="IF77" s="4"/>
      <c r="IG77" s="4"/>
      <c r="IH77" s="4"/>
      <c r="II77" s="4"/>
      <c r="IJ77" s="4"/>
      <c r="IK77" s="4"/>
      <c r="IL77" s="4"/>
      <c r="IM77" s="4"/>
      <c r="IN77" s="4"/>
      <c r="IO77" s="4"/>
      <c r="IP77" s="4"/>
      <c r="IQ77" s="4"/>
      <c r="IR77" s="4"/>
      <c r="IS77" s="4"/>
      <c r="IT77" s="4"/>
      <c r="IU77" s="4"/>
      <c r="IV77" s="4"/>
      <c r="IW77" s="4"/>
      <c r="IX77" s="4"/>
      <c r="IY77" s="4"/>
      <c r="IZ77" s="4"/>
      <c r="JA77" s="4"/>
      <c r="JB77" s="4"/>
      <c r="JC77" s="4"/>
      <c r="JD77" s="4"/>
      <c r="JE77" s="4"/>
      <c r="JF77" s="4"/>
      <c r="JG77" s="4"/>
      <c r="JH77" s="4"/>
      <c r="JI77" s="4"/>
      <c r="JJ77" s="4"/>
      <c r="JK77" s="4"/>
      <c r="JL77" s="4"/>
      <c r="JM77" s="4"/>
      <c r="JN77" s="4"/>
      <c r="JO77" s="4"/>
      <c r="JP77" s="4"/>
      <c r="JQ77" s="4"/>
      <c r="JR77" s="4"/>
      <c r="JS77" s="4"/>
      <c r="JT77" s="4"/>
      <c r="JU77" s="4"/>
      <c r="JV77" s="4"/>
      <c r="JW77" s="4"/>
      <c r="JX77" s="4"/>
      <c r="JY77" s="4"/>
      <c r="JZ77" s="4"/>
      <c r="KA77" s="4"/>
      <c r="KB77" s="4"/>
      <c r="KC77" s="4"/>
      <c r="KD77" s="4"/>
      <c r="KE77" s="4"/>
      <c r="KF77" s="4"/>
      <c r="KG77" s="4"/>
      <c r="KH77" s="4"/>
      <c r="KI77" s="4"/>
      <c r="KJ77" s="4"/>
      <c r="KK77" s="4"/>
      <c r="KL77" s="4"/>
      <c r="KM77" s="4"/>
      <c r="KN77" s="4"/>
      <c r="KO77" s="4"/>
      <c r="KP77" s="4"/>
      <c r="KQ77" s="4"/>
      <c r="KR77" s="4"/>
      <c r="KS77" s="4"/>
      <c r="KT77" s="4"/>
      <c r="KU77" s="4"/>
      <c r="KV77" s="4"/>
      <c r="KW77" s="4"/>
      <c r="KX77" s="4"/>
      <c r="KY77" s="4"/>
      <c r="KZ77" s="4"/>
      <c r="LA77" s="4"/>
      <c r="LB77" s="4"/>
      <c r="LC77" s="4"/>
      <c r="LD77" s="4"/>
      <c r="LE77" s="4"/>
      <c r="LF77" s="4"/>
      <c r="LG77" s="4"/>
      <c r="LH77" s="4"/>
      <c r="LI77" s="4"/>
      <c r="LJ77" s="4"/>
      <c r="LK77" s="4"/>
      <c r="LL77" s="4"/>
      <c r="LM77" s="4"/>
      <c r="LN77" s="4"/>
      <c r="LO77" s="4"/>
      <c r="LP77" s="4"/>
      <c r="LQ77" s="4"/>
      <c r="LR77" s="4"/>
      <c r="LS77" s="4"/>
      <c r="LT77" s="4"/>
      <c r="LU77" s="4"/>
      <c r="LV77" s="4"/>
      <c r="LW77" s="4"/>
      <c r="LX77" s="4"/>
      <c r="LY77" s="4"/>
      <c r="LZ77" s="4"/>
      <c r="MA77" s="4"/>
      <c r="MB77" s="4"/>
      <c r="MC77" s="4"/>
      <c r="MD77" s="4"/>
      <c r="ME77" s="4"/>
      <c r="MF77" s="4"/>
      <c r="MG77" s="4"/>
      <c r="MH77" s="4"/>
      <c r="MI77" s="4"/>
      <c r="MJ77" s="4"/>
      <c r="MK77" s="4"/>
      <c r="ML77" s="4"/>
      <c r="MM77" s="4"/>
      <c r="MN77" s="4"/>
      <c r="MO77" s="4"/>
      <c r="MP77" s="4"/>
      <c r="MQ77" s="4"/>
      <c r="MR77" s="4"/>
      <c r="MS77" s="4"/>
      <c r="MT77" s="4"/>
      <c r="MU77" s="4"/>
      <c r="MV77" s="4"/>
      <c r="MW77" s="4"/>
      <c r="MX77" s="4"/>
      <c r="MY77" s="4"/>
      <c r="MZ77" s="4"/>
      <c r="NA77" s="4"/>
      <c r="NB77" s="4"/>
      <c r="NC77" s="4"/>
      <c r="ND77" s="4"/>
      <c r="NE77" s="4"/>
      <c r="NF77" s="4"/>
      <c r="NG77" s="4"/>
      <c r="NH77" s="4"/>
      <c r="NI77" s="4"/>
      <c r="NJ77" s="4"/>
      <c r="NK77" s="4"/>
      <c r="NL77" s="4"/>
      <c r="NM77" s="4"/>
      <c r="NN77" s="4"/>
      <c r="NO77" s="4"/>
      <c r="NP77" s="4"/>
      <c r="NQ77" s="4"/>
      <c r="NR77" s="4"/>
      <c r="NS77" s="4"/>
      <c r="NT77" s="4"/>
      <c r="NU77" s="4"/>
      <c r="NV77" s="4"/>
      <c r="NW77" s="4"/>
      <c r="NX77" s="4"/>
      <c r="NY77" s="4"/>
      <c r="NZ77" s="4"/>
      <c r="OA77" s="4"/>
      <c r="OB77" s="4"/>
      <c r="OC77" s="4"/>
      <c r="OD77" s="4"/>
      <c r="OE77" s="4"/>
      <c r="OF77" s="4"/>
      <c r="OG77" s="4"/>
      <c r="OH77" s="4"/>
      <c r="OI77" s="4"/>
    </row>
    <row r="78" spans="1:399" outlineLevel="1">
      <c r="A78" s="116"/>
      <c r="B78" s="116"/>
      <c r="C78" s="116">
        <v>2</v>
      </c>
      <c r="D78" s="3" t="s">
        <v>1218</v>
      </c>
      <c r="E78" s="183"/>
      <c r="F78" s="183" t="s">
        <v>1178</v>
      </c>
      <c r="G78" s="183"/>
      <c r="H78" s="183"/>
      <c r="I78" s="183"/>
      <c r="J78" s="183"/>
      <c r="K78" s="183"/>
      <c r="L78" s="183"/>
      <c r="M78" s="184"/>
      <c r="N78" s="184"/>
      <c r="O78" s="185"/>
      <c r="P78" s="186">
        <v>0</v>
      </c>
      <c r="Q78" s="186">
        <v>0</v>
      </c>
      <c r="R78" s="187">
        <v>0</v>
      </c>
      <c r="S78" s="187">
        <v>0</v>
      </c>
      <c r="T78" s="184"/>
      <c r="U78" s="184"/>
      <c r="V78" s="188">
        <v>0</v>
      </c>
      <c r="W78" s="189">
        <v>0</v>
      </c>
      <c r="X78" s="190"/>
      <c r="Y78" s="185"/>
      <c r="Z78" s="191"/>
      <c r="AA78" s="97">
        <v>0</v>
      </c>
      <c r="AB78" s="192">
        <v>0</v>
      </c>
      <c r="AC78" s="123"/>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4"/>
      <c r="EG78" s="4"/>
      <c r="EH78" s="4"/>
      <c r="EI78" s="4"/>
      <c r="EJ78" s="4"/>
      <c r="EK78" s="4"/>
      <c r="EL78" s="4"/>
      <c r="EM78" s="4"/>
      <c r="EN78" s="4"/>
      <c r="EO78" s="4"/>
      <c r="EP78" s="4"/>
      <c r="EQ78" s="4"/>
      <c r="ER78" s="4"/>
      <c r="ES78" s="4"/>
      <c r="ET78" s="4"/>
      <c r="EU78" s="4"/>
      <c r="EV78" s="4"/>
      <c r="EW78" s="4"/>
      <c r="EX78" s="4"/>
      <c r="EY78" s="4"/>
      <c r="EZ78" s="4"/>
      <c r="FA78" s="4"/>
      <c r="FB78" s="4"/>
      <c r="FC78" s="4"/>
      <c r="FD78" s="4"/>
      <c r="FE78" s="4"/>
      <c r="FF78" s="4"/>
      <c r="FG78" s="4"/>
      <c r="FH78" s="4"/>
      <c r="FI78" s="4"/>
      <c r="FJ78" s="4"/>
      <c r="FK78" s="4"/>
      <c r="FL78" s="4"/>
      <c r="FM78" s="4"/>
      <c r="FN78" s="4"/>
      <c r="FO78" s="4"/>
      <c r="FP78" s="4"/>
      <c r="FQ78" s="4"/>
      <c r="FR78" s="4"/>
      <c r="FS78" s="4"/>
      <c r="FT78" s="4"/>
      <c r="FU78" s="4"/>
      <c r="FV78" s="4"/>
      <c r="FW78" s="4"/>
      <c r="FX78" s="4"/>
      <c r="FY78" s="4"/>
      <c r="FZ78" s="4"/>
      <c r="GA78" s="4"/>
      <c r="GB78" s="4"/>
      <c r="GC78" s="4"/>
      <c r="GD78" s="4"/>
      <c r="GE78" s="4"/>
      <c r="GF78" s="4"/>
      <c r="GG78" s="4"/>
      <c r="GH78" s="4"/>
      <c r="GI78" s="4"/>
      <c r="GJ78" s="4"/>
      <c r="GK78" s="4"/>
      <c r="GL78" s="4"/>
      <c r="GM78" s="4"/>
      <c r="GN78" s="4"/>
      <c r="GO78" s="4"/>
      <c r="GP78" s="4"/>
      <c r="GQ78" s="4"/>
      <c r="GR78" s="4"/>
      <c r="GS78" s="4"/>
      <c r="GT78" s="4"/>
      <c r="GU78" s="4"/>
      <c r="GV78" s="4"/>
      <c r="GW78" s="4"/>
      <c r="GX78" s="4"/>
      <c r="GY78" s="4"/>
      <c r="GZ78" s="4"/>
      <c r="HA78" s="4"/>
      <c r="HB78" s="4"/>
      <c r="HC78" s="4"/>
      <c r="HD78" s="4"/>
      <c r="HE78" s="4"/>
      <c r="HF78" s="4"/>
      <c r="HG78" s="4"/>
      <c r="HH78" s="4"/>
      <c r="HI78" s="4"/>
      <c r="HJ78" s="4"/>
      <c r="HK78" s="4"/>
      <c r="HL78" s="4"/>
      <c r="HM78" s="4"/>
      <c r="HN78" s="4"/>
      <c r="HO78" s="4"/>
      <c r="HP78" s="4"/>
      <c r="HQ78" s="4"/>
      <c r="HR78" s="4"/>
      <c r="HS78" s="4"/>
      <c r="HT78" s="4"/>
      <c r="HU78" s="4"/>
      <c r="HV78" s="4"/>
      <c r="HW78" s="4"/>
      <c r="HX78" s="4"/>
      <c r="HY78" s="4"/>
      <c r="HZ78" s="4"/>
      <c r="IA78" s="4"/>
      <c r="IB78" s="4"/>
      <c r="IC78" s="4"/>
      <c r="ID78" s="4"/>
      <c r="IE78" s="4"/>
      <c r="IF78" s="4"/>
      <c r="IG78" s="4"/>
      <c r="IH78" s="4"/>
      <c r="II78" s="4"/>
      <c r="IJ78" s="4"/>
      <c r="IK78" s="4"/>
      <c r="IL78" s="4"/>
      <c r="IM78" s="4"/>
      <c r="IN78" s="4"/>
      <c r="IO78" s="4"/>
      <c r="IP78" s="4"/>
      <c r="IQ78" s="4"/>
      <c r="IR78" s="4"/>
      <c r="IS78" s="4"/>
      <c r="IT78" s="4"/>
      <c r="IU78" s="4"/>
      <c r="IV78" s="4"/>
      <c r="IW78" s="4"/>
      <c r="IX78" s="4"/>
      <c r="IY78" s="4"/>
      <c r="IZ78" s="4"/>
      <c r="JA78" s="4"/>
      <c r="JB78" s="4"/>
      <c r="JC78" s="4"/>
      <c r="JD78" s="4"/>
      <c r="JE78" s="4"/>
      <c r="JF78" s="4"/>
      <c r="JG78" s="4"/>
      <c r="JH78" s="4"/>
      <c r="JI78" s="4"/>
      <c r="JJ78" s="4"/>
      <c r="JK78" s="4"/>
      <c r="JL78" s="4"/>
      <c r="JM78" s="4"/>
      <c r="JN78" s="4"/>
      <c r="JO78" s="4"/>
      <c r="JP78" s="4"/>
      <c r="JQ78" s="4"/>
      <c r="JR78" s="4"/>
      <c r="JS78" s="4"/>
      <c r="JT78" s="4"/>
      <c r="JU78" s="4"/>
      <c r="JV78" s="4"/>
      <c r="JW78" s="4"/>
      <c r="JX78" s="4"/>
      <c r="JY78" s="4"/>
      <c r="JZ78" s="4"/>
      <c r="KA78" s="4"/>
      <c r="KB78" s="4"/>
      <c r="KC78" s="4"/>
      <c r="KD78" s="4"/>
      <c r="KE78" s="4"/>
      <c r="KF78" s="4"/>
      <c r="KG78" s="4"/>
      <c r="KH78" s="4"/>
      <c r="KI78" s="4"/>
      <c r="KJ78" s="4"/>
      <c r="KK78" s="4"/>
      <c r="KL78" s="4"/>
      <c r="KM78" s="4"/>
      <c r="KN78" s="4"/>
      <c r="KO78" s="4"/>
      <c r="KP78" s="4"/>
      <c r="KQ78" s="4"/>
      <c r="KR78" s="4"/>
      <c r="KS78" s="4"/>
      <c r="KT78" s="4"/>
      <c r="KU78" s="4"/>
      <c r="KV78" s="4"/>
      <c r="KW78" s="4"/>
      <c r="KX78" s="4"/>
      <c r="KY78" s="4"/>
      <c r="KZ78" s="4"/>
      <c r="LA78" s="4"/>
      <c r="LB78" s="4"/>
      <c r="LC78" s="4"/>
      <c r="LD78" s="4"/>
      <c r="LE78" s="4"/>
      <c r="LF78" s="4"/>
      <c r="LG78" s="4"/>
      <c r="LH78" s="4"/>
      <c r="LI78" s="4"/>
      <c r="LJ78" s="4"/>
      <c r="LK78" s="4"/>
      <c r="LL78" s="4"/>
      <c r="LM78" s="4"/>
      <c r="LN78" s="4"/>
      <c r="LO78" s="4"/>
      <c r="LP78" s="4"/>
      <c r="LQ78" s="4"/>
      <c r="LR78" s="4"/>
      <c r="LS78" s="4"/>
      <c r="LT78" s="4"/>
      <c r="LU78" s="4"/>
      <c r="LV78" s="4"/>
      <c r="LW78" s="4"/>
      <c r="LX78" s="4"/>
      <c r="LY78" s="4"/>
      <c r="LZ78" s="4"/>
      <c r="MA78" s="4"/>
      <c r="MB78" s="4"/>
      <c r="MC78" s="4"/>
      <c r="MD78" s="4"/>
      <c r="ME78" s="4"/>
      <c r="MF78" s="4"/>
      <c r="MG78" s="4"/>
      <c r="MH78" s="4"/>
      <c r="MI78" s="4"/>
      <c r="MJ78" s="4"/>
      <c r="MK78" s="4"/>
      <c r="ML78" s="4"/>
      <c r="MM78" s="4"/>
      <c r="MN78" s="4"/>
      <c r="MO78" s="4"/>
      <c r="MP78" s="4"/>
      <c r="MQ78" s="4"/>
      <c r="MR78" s="4"/>
      <c r="MS78" s="4"/>
      <c r="MT78" s="4"/>
      <c r="MU78" s="4"/>
      <c r="MV78" s="4"/>
      <c r="MW78" s="4"/>
      <c r="MX78" s="4"/>
      <c r="MY78" s="4"/>
      <c r="MZ78" s="4"/>
      <c r="NA78" s="4"/>
      <c r="NB78" s="4"/>
      <c r="NC78" s="4"/>
      <c r="ND78" s="4"/>
      <c r="NE78" s="4"/>
      <c r="NF78" s="4"/>
      <c r="NG78" s="4"/>
      <c r="NH78" s="4"/>
      <c r="NI78" s="4"/>
      <c r="NJ78" s="4"/>
      <c r="NK78" s="4"/>
      <c r="NL78" s="4"/>
      <c r="NM78" s="4"/>
      <c r="NN78" s="4"/>
      <c r="NO78" s="4"/>
      <c r="NP78" s="4"/>
      <c r="NQ78" s="4"/>
      <c r="NR78" s="4"/>
      <c r="NS78" s="4"/>
      <c r="NT78" s="4"/>
      <c r="NU78" s="4"/>
      <c r="NV78" s="4"/>
      <c r="NW78" s="4"/>
      <c r="NX78" s="4"/>
      <c r="NY78" s="4"/>
      <c r="NZ78" s="4"/>
      <c r="OA78" s="4"/>
      <c r="OB78" s="4"/>
      <c r="OC78" s="4"/>
      <c r="OD78" s="4"/>
      <c r="OE78" s="4"/>
      <c r="OF78" s="4"/>
      <c r="OG78" s="4"/>
      <c r="OH78" s="4"/>
      <c r="OI78" s="4"/>
    </row>
    <row r="79" spans="1:399" outlineLevel="1">
      <c r="A79" s="116"/>
      <c r="B79" s="116"/>
      <c r="C79" s="116">
        <v>2</v>
      </c>
      <c r="D79" s="3" t="s">
        <v>1219</v>
      </c>
      <c r="E79" s="183"/>
      <c r="F79" s="183" t="s">
        <v>1179</v>
      </c>
      <c r="G79" s="183"/>
      <c r="H79" s="183"/>
      <c r="I79" s="183"/>
      <c r="J79" s="183"/>
      <c r="K79" s="183"/>
      <c r="L79" s="183"/>
      <c r="M79" s="184"/>
      <c r="N79" s="184"/>
      <c r="O79" s="185"/>
      <c r="P79" s="186">
        <v>0</v>
      </c>
      <c r="Q79" s="186">
        <v>0</v>
      </c>
      <c r="R79" s="187">
        <v>0</v>
      </c>
      <c r="S79" s="187">
        <v>0</v>
      </c>
      <c r="T79" s="184"/>
      <c r="U79" s="184"/>
      <c r="V79" s="188">
        <v>0</v>
      </c>
      <c r="W79" s="189">
        <v>0</v>
      </c>
      <c r="X79" s="190"/>
      <c r="Y79" s="185"/>
      <c r="Z79" s="191"/>
      <c r="AA79" s="97">
        <v>0</v>
      </c>
      <c r="AB79" s="192">
        <v>0</v>
      </c>
      <c r="AC79" s="123"/>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4"/>
      <c r="EG79" s="4"/>
      <c r="EH79" s="4"/>
      <c r="EI79" s="4"/>
      <c r="EJ79" s="4"/>
      <c r="EK79" s="4"/>
      <c r="EL79" s="4"/>
      <c r="EM79" s="4"/>
      <c r="EN79" s="4"/>
      <c r="EO79" s="4"/>
      <c r="EP79" s="4"/>
      <c r="EQ79" s="4"/>
      <c r="ER79" s="4"/>
      <c r="ES79" s="4"/>
      <c r="ET79" s="4"/>
      <c r="EU79" s="4"/>
      <c r="EV79" s="4"/>
      <c r="EW79" s="4"/>
      <c r="EX79" s="4"/>
      <c r="EY79" s="4"/>
      <c r="EZ79" s="4"/>
      <c r="FA79" s="4"/>
      <c r="FB79" s="4"/>
      <c r="FC79" s="4"/>
      <c r="FD79" s="4"/>
      <c r="FE79" s="4"/>
      <c r="FF79" s="4"/>
      <c r="FG79" s="4"/>
      <c r="FH79" s="4"/>
      <c r="FI79" s="4"/>
      <c r="FJ79" s="4"/>
      <c r="FK79" s="4"/>
      <c r="FL79" s="4"/>
      <c r="FM79" s="4"/>
      <c r="FN79" s="4"/>
      <c r="FO79" s="4"/>
      <c r="FP79" s="4"/>
      <c r="FQ79" s="4"/>
      <c r="FR79" s="4"/>
      <c r="FS79" s="4"/>
      <c r="FT79" s="4"/>
      <c r="FU79" s="4"/>
      <c r="FV79" s="4"/>
      <c r="FW79" s="4"/>
      <c r="FX79" s="4"/>
      <c r="FY79" s="4"/>
      <c r="FZ79" s="4"/>
      <c r="GA79" s="4"/>
      <c r="GB79" s="4"/>
      <c r="GC79" s="4"/>
      <c r="GD79" s="4"/>
      <c r="GE79" s="4"/>
      <c r="GF79" s="4"/>
      <c r="GG79" s="4"/>
      <c r="GH79" s="4"/>
      <c r="GI79" s="4"/>
      <c r="GJ79" s="4"/>
      <c r="GK79" s="4"/>
      <c r="GL79" s="4"/>
      <c r="GM79" s="4"/>
      <c r="GN79" s="4"/>
      <c r="GO79" s="4"/>
      <c r="GP79" s="4"/>
      <c r="GQ79" s="4"/>
      <c r="GR79" s="4"/>
      <c r="GS79" s="4"/>
      <c r="GT79" s="4"/>
      <c r="GU79" s="4"/>
      <c r="GV79" s="4"/>
      <c r="GW79" s="4"/>
      <c r="GX79" s="4"/>
      <c r="GY79" s="4"/>
      <c r="GZ79" s="4"/>
      <c r="HA79" s="4"/>
      <c r="HB79" s="4"/>
      <c r="HC79" s="4"/>
      <c r="HD79" s="4"/>
      <c r="HE79" s="4"/>
      <c r="HF79" s="4"/>
      <c r="HG79" s="4"/>
      <c r="HH79" s="4"/>
      <c r="HI79" s="4"/>
      <c r="HJ79" s="4"/>
      <c r="HK79" s="4"/>
      <c r="HL79" s="4"/>
      <c r="HM79" s="4"/>
      <c r="HN79" s="4"/>
      <c r="HO79" s="4"/>
      <c r="HP79" s="4"/>
      <c r="HQ79" s="4"/>
      <c r="HR79" s="4"/>
      <c r="HS79" s="4"/>
      <c r="HT79" s="4"/>
      <c r="HU79" s="4"/>
      <c r="HV79" s="4"/>
      <c r="HW79" s="4"/>
      <c r="HX79" s="4"/>
      <c r="HY79" s="4"/>
      <c r="HZ79" s="4"/>
      <c r="IA79" s="4"/>
      <c r="IB79" s="4"/>
      <c r="IC79" s="4"/>
      <c r="ID79" s="4"/>
      <c r="IE79" s="4"/>
      <c r="IF79" s="4"/>
      <c r="IG79" s="4"/>
      <c r="IH79" s="4"/>
      <c r="II79" s="4"/>
      <c r="IJ79" s="4"/>
      <c r="IK79" s="4"/>
      <c r="IL79" s="4"/>
      <c r="IM79" s="4"/>
      <c r="IN79" s="4"/>
      <c r="IO79" s="4"/>
      <c r="IP79" s="4"/>
      <c r="IQ79" s="4"/>
      <c r="IR79" s="4"/>
      <c r="IS79" s="4"/>
      <c r="IT79" s="4"/>
      <c r="IU79" s="4"/>
      <c r="IV79" s="4"/>
      <c r="IW79" s="4"/>
      <c r="IX79" s="4"/>
      <c r="IY79" s="4"/>
      <c r="IZ79" s="4"/>
      <c r="JA79" s="4"/>
      <c r="JB79" s="4"/>
      <c r="JC79" s="4"/>
      <c r="JD79" s="4"/>
      <c r="JE79" s="4"/>
      <c r="JF79" s="4"/>
      <c r="JG79" s="4"/>
      <c r="JH79" s="4"/>
      <c r="JI79" s="4"/>
      <c r="JJ79" s="4"/>
      <c r="JK79" s="4"/>
      <c r="JL79" s="4"/>
      <c r="JM79" s="4"/>
      <c r="JN79" s="4"/>
      <c r="JO79" s="4"/>
      <c r="JP79" s="4"/>
      <c r="JQ79" s="4"/>
      <c r="JR79" s="4"/>
      <c r="JS79" s="4"/>
      <c r="JT79" s="4"/>
      <c r="JU79" s="4"/>
      <c r="JV79" s="4"/>
      <c r="JW79" s="4"/>
      <c r="JX79" s="4"/>
      <c r="JY79" s="4"/>
      <c r="JZ79" s="4"/>
      <c r="KA79" s="4"/>
      <c r="KB79" s="4"/>
      <c r="KC79" s="4"/>
      <c r="KD79" s="4"/>
      <c r="KE79" s="4"/>
      <c r="KF79" s="4"/>
      <c r="KG79" s="4"/>
      <c r="KH79" s="4"/>
      <c r="KI79" s="4"/>
      <c r="KJ79" s="4"/>
      <c r="KK79" s="4"/>
      <c r="KL79" s="4"/>
      <c r="KM79" s="4"/>
      <c r="KN79" s="4"/>
      <c r="KO79" s="4"/>
      <c r="KP79" s="4"/>
      <c r="KQ79" s="4"/>
      <c r="KR79" s="4"/>
      <c r="KS79" s="4"/>
      <c r="KT79" s="4"/>
      <c r="KU79" s="4"/>
      <c r="KV79" s="4"/>
      <c r="KW79" s="4"/>
      <c r="KX79" s="4"/>
      <c r="KY79" s="4"/>
      <c r="KZ79" s="4"/>
      <c r="LA79" s="4"/>
      <c r="LB79" s="4"/>
      <c r="LC79" s="4"/>
      <c r="LD79" s="4"/>
      <c r="LE79" s="4"/>
      <c r="LF79" s="4"/>
      <c r="LG79" s="4"/>
      <c r="LH79" s="4"/>
      <c r="LI79" s="4"/>
      <c r="LJ79" s="4"/>
      <c r="LK79" s="4"/>
      <c r="LL79" s="4"/>
      <c r="LM79" s="4"/>
      <c r="LN79" s="4"/>
      <c r="LO79" s="4"/>
      <c r="LP79" s="4"/>
      <c r="LQ79" s="4"/>
      <c r="LR79" s="4"/>
      <c r="LS79" s="4"/>
      <c r="LT79" s="4"/>
      <c r="LU79" s="4"/>
      <c r="LV79" s="4"/>
      <c r="LW79" s="4"/>
      <c r="LX79" s="4"/>
      <c r="LY79" s="4"/>
      <c r="LZ79" s="4"/>
      <c r="MA79" s="4"/>
      <c r="MB79" s="4"/>
      <c r="MC79" s="4"/>
      <c r="MD79" s="4"/>
      <c r="ME79" s="4"/>
      <c r="MF79" s="4"/>
      <c r="MG79" s="4"/>
      <c r="MH79" s="4"/>
      <c r="MI79" s="4"/>
      <c r="MJ79" s="4"/>
      <c r="MK79" s="4"/>
      <c r="ML79" s="4"/>
      <c r="MM79" s="4"/>
      <c r="MN79" s="4"/>
      <c r="MO79" s="4"/>
      <c r="MP79" s="4"/>
      <c r="MQ79" s="4"/>
      <c r="MR79" s="4"/>
      <c r="MS79" s="4"/>
      <c r="MT79" s="4"/>
      <c r="MU79" s="4"/>
      <c r="MV79" s="4"/>
      <c r="MW79" s="4"/>
      <c r="MX79" s="4"/>
      <c r="MY79" s="4"/>
      <c r="MZ79" s="4"/>
      <c r="NA79" s="4"/>
      <c r="NB79" s="4"/>
      <c r="NC79" s="4"/>
      <c r="ND79" s="4"/>
      <c r="NE79" s="4"/>
      <c r="NF79" s="4"/>
      <c r="NG79" s="4"/>
      <c r="NH79" s="4"/>
      <c r="NI79" s="4"/>
      <c r="NJ79" s="4"/>
      <c r="NK79" s="4"/>
      <c r="NL79" s="4"/>
      <c r="NM79" s="4"/>
      <c r="NN79" s="4"/>
      <c r="NO79" s="4"/>
      <c r="NP79" s="4"/>
      <c r="NQ79" s="4"/>
      <c r="NR79" s="4"/>
      <c r="NS79" s="4"/>
      <c r="NT79" s="4"/>
      <c r="NU79" s="4"/>
      <c r="NV79" s="4"/>
      <c r="NW79" s="4"/>
      <c r="NX79" s="4"/>
      <c r="NY79" s="4"/>
      <c r="NZ79" s="4"/>
      <c r="OA79" s="4"/>
      <c r="OB79" s="4"/>
      <c r="OC79" s="4"/>
      <c r="OD79" s="4"/>
      <c r="OE79" s="4"/>
      <c r="OF79" s="4"/>
      <c r="OG79" s="4"/>
      <c r="OH79" s="4"/>
      <c r="OI79" s="4"/>
    </row>
    <row r="80" spans="1:399" outlineLevel="1">
      <c r="A80" s="116"/>
      <c r="B80" s="116"/>
      <c r="C80" s="116">
        <v>2</v>
      </c>
      <c r="D80" s="3" t="s">
        <v>1220</v>
      </c>
      <c r="E80" s="183"/>
      <c r="F80" s="183" t="s">
        <v>1180</v>
      </c>
      <c r="G80" s="183"/>
      <c r="H80" s="183"/>
      <c r="I80" s="183"/>
      <c r="J80" s="183"/>
      <c r="K80" s="183"/>
      <c r="L80" s="183"/>
      <c r="M80" s="184"/>
      <c r="N80" s="184"/>
      <c r="O80" s="185"/>
      <c r="P80" s="186">
        <v>0</v>
      </c>
      <c r="Q80" s="186">
        <v>0</v>
      </c>
      <c r="R80" s="187">
        <v>0</v>
      </c>
      <c r="S80" s="187">
        <v>0</v>
      </c>
      <c r="T80" s="184"/>
      <c r="U80" s="184"/>
      <c r="V80" s="188">
        <v>0</v>
      </c>
      <c r="W80" s="189">
        <v>0</v>
      </c>
      <c r="X80" s="190"/>
      <c r="Y80" s="185"/>
      <c r="Z80" s="191"/>
      <c r="AA80" s="97">
        <v>0</v>
      </c>
      <c r="AB80" s="192">
        <v>0</v>
      </c>
      <c r="AC80" s="123"/>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4"/>
      <c r="EG80" s="4"/>
      <c r="EH80" s="4"/>
      <c r="EI80" s="4"/>
      <c r="EJ80" s="4"/>
      <c r="EK80" s="4"/>
      <c r="EL80" s="4"/>
      <c r="EM80" s="4"/>
      <c r="EN80" s="4"/>
      <c r="EO80" s="4"/>
      <c r="EP80" s="4"/>
      <c r="EQ80" s="4"/>
      <c r="ER80" s="4"/>
      <c r="ES80" s="4"/>
      <c r="ET80" s="4"/>
      <c r="EU80" s="4"/>
      <c r="EV80" s="4"/>
      <c r="EW80" s="4"/>
      <c r="EX80" s="4"/>
      <c r="EY80" s="4"/>
      <c r="EZ80" s="4"/>
      <c r="FA80" s="4"/>
      <c r="FB80" s="4"/>
      <c r="FC80" s="4"/>
      <c r="FD80" s="4"/>
      <c r="FE80" s="4"/>
      <c r="FF80" s="4"/>
      <c r="FG80" s="4"/>
      <c r="FH80" s="4"/>
      <c r="FI80" s="4"/>
      <c r="FJ80" s="4"/>
      <c r="FK80" s="4"/>
      <c r="FL80" s="4"/>
      <c r="FM80" s="4"/>
      <c r="FN80" s="4"/>
      <c r="FO80" s="4"/>
      <c r="FP80" s="4"/>
      <c r="FQ80" s="4"/>
      <c r="FR80" s="4"/>
      <c r="FS80" s="4"/>
      <c r="FT80" s="4"/>
      <c r="FU80" s="4"/>
      <c r="FV80" s="4"/>
      <c r="FW80" s="4"/>
      <c r="FX80" s="4"/>
      <c r="FY80" s="4"/>
      <c r="FZ80" s="4"/>
      <c r="GA80" s="4"/>
      <c r="GB80" s="4"/>
      <c r="GC80" s="4"/>
      <c r="GD80" s="4"/>
      <c r="GE80" s="4"/>
      <c r="GF80" s="4"/>
      <c r="GG80" s="4"/>
      <c r="GH80" s="4"/>
      <c r="GI80" s="4"/>
      <c r="GJ80" s="4"/>
      <c r="GK80" s="4"/>
      <c r="GL80" s="4"/>
      <c r="GM80" s="4"/>
      <c r="GN80" s="4"/>
      <c r="GO80" s="4"/>
      <c r="GP80" s="4"/>
      <c r="GQ80" s="4"/>
      <c r="GR80" s="4"/>
      <c r="GS80" s="4"/>
      <c r="GT80" s="4"/>
      <c r="GU80" s="4"/>
      <c r="GV80" s="4"/>
      <c r="GW80" s="4"/>
      <c r="GX80" s="4"/>
      <c r="GY80" s="4"/>
      <c r="GZ80" s="4"/>
      <c r="HA80" s="4"/>
      <c r="HB80" s="4"/>
      <c r="HC80" s="4"/>
      <c r="HD80" s="4"/>
      <c r="HE80" s="4"/>
      <c r="HF80" s="4"/>
      <c r="HG80" s="4"/>
      <c r="HH80" s="4"/>
      <c r="HI80" s="4"/>
      <c r="HJ80" s="4"/>
      <c r="HK80" s="4"/>
      <c r="HL80" s="4"/>
      <c r="HM80" s="4"/>
      <c r="HN80" s="4"/>
      <c r="HO80" s="4"/>
      <c r="HP80" s="4"/>
      <c r="HQ80" s="4"/>
      <c r="HR80" s="4"/>
      <c r="HS80" s="4"/>
      <c r="HT80" s="4"/>
      <c r="HU80" s="4"/>
      <c r="HV80" s="4"/>
      <c r="HW80" s="4"/>
      <c r="HX80" s="4"/>
      <c r="HY80" s="4"/>
      <c r="HZ80" s="4"/>
      <c r="IA80" s="4"/>
      <c r="IB80" s="4"/>
      <c r="IC80" s="4"/>
      <c r="ID80" s="4"/>
      <c r="IE80" s="4"/>
      <c r="IF80" s="4"/>
      <c r="IG80" s="4"/>
      <c r="IH80" s="4"/>
      <c r="II80" s="4"/>
      <c r="IJ80" s="4"/>
      <c r="IK80" s="4"/>
      <c r="IL80" s="4"/>
      <c r="IM80" s="4"/>
      <c r="IN80" s="4"/>
      <c r="IO80" s="4"/>
      <c r="IP80" s="4"/>
      <c r="IQ80" s="4"/>
      <c r="IR80" s="4"/>
      <c r="IS80" s="4"/>
      <c r="IT80" s="4"/>
      <c r="IU80" s="4"/>
      <c r="IV80" s="4"/>
      <c r="IW80" s="4"/>
      <c r="IX80" s="4"/>
      <c r="IY80" s="4"/>
      <c r="IZ80" s="4"/>
      <c r="JA80" s="4"/>
      <c r="JB80" s="4"/>
      <c r="JC80" s="4"/>
      <c r="JD80" s="4"/>
      <c r="JE80" s="4"/>
      <c r="JF80" s="4"/>
      <c r="JG80" s="4"/>
      <c r="JH80" s="4"/>
      <c r="JI80" s="4"/>
      <c r="JJ80" s="4"/>
      <c r="JK80" s="4"/>
      <c r="JL80" s="4"/>
      <c r="JM80" s="4"/>
      <c r="JN80" s="4"/>
      <c r="JO80" s="4"/>
      <c r="JP80" s="4"/>
      <c r="JQ80" s="4"/>
      <c r="JR80" s="4"/>
      <c r="JS80" s="4"/>
      <c r="JT80" s="4"/>
      <c r="JU80" s="4"/>
      <c r="JV80" s="4"/>
      <c r="JW80" s="4"/>
      <c r="JX80" s="4"/>
      <c r="JY80" s="4"/>
      <c r="JZ80" s="4"/>
      <c r="KA80" s="4"/>
      <c r="KB80" s="4"/>
      <c r="KC80" s="4"/>
      <c r="KD80" s="4"/>
      <c r="KE80" s="4"/>
      <c r="KF80" s="4"/>
      <c r="KG80" s="4"/>
      <c r="KH80" s="4"/>
      <c r="KI80" s="4"/>
      <c r="KJ80" s="4"/>
      <c r="KK80" s="4"/>
      <c r="KL80" s="4"/>
      <c r="KM80" s="4"/>
      <c r="KN80" s="4"/>
      <c r="KO80" s="4"/>
      <c r="KP80" s="4"/>
      <c r="KQ80" s="4"/>
      <c r="KR80" s="4"/>
      <c r="KS80" s="4"/>
      <c r="KT80" s="4"/>
      <c r="KU80" s="4"/>
      <c r="KV80" s="4"/>
      <c r="KW80" s="4"/>
      <c r="KX80" s="4"/>
      <c r="KY80" s="4"/>
      <c r="KZ80" s="4"/>
      <c r="LA80" s="4"/>
      <c r="LB80" s="4"/>
      <c r="LC80" s="4"/>
      <c r="LD80" s="4"/>
      <c r="LE80" s="4"/>
      <c r="LF80" s="4"/>
      <c r="LG80" s="4"/>
      <c r="LH80" s="4"/>
      <c r="LI80" s="4"/>
      <c r="LJ80" s="4"/>
      <c r="LK80" s="4"/>
      <c r="LL80" s="4"/>
      <c r="LM80" s="4"/>
      <c r="LN80" s="4"/>
      <c r="LO80" s="4"/>
      <c r="LP80" s="4"/>
      <c r="LQ80" s="4"/>
      <c r="LR80" s="4"/>
      <c r="LS80" s="4"/>
      <c r="LT80" s="4"/>
      <c r="LU80" s="4"/>
      <c r="LV80" s="4"/>
      <c r="LW80" s="4"/>
      <c r="LX80" s="4"/>
      <c r="LY80" s="4"/>
      <c r="LZ80" s="4"/>
      <c r="MA80" s="4"/>
      <c r="MB80" s="4"/>
      <c r="MC80" s="4"/>
      <c r="MD80" s="4"/>
      <c r="ME80" s="4"/>
      <c r="MF80" s="4"/>
      <c r="MG80" s="4"/>
      <c r="MH80" s="4"/>
      <c r="MI80" s="4"/>
      <c r="MJ80" s="4"/>
      <c r="MK80" s="4"/>
      <c r="ML80" s="4"/>
      <c r="MM80" s="4"/>
      <c r="MN80" s="4"/>
      <c r="MO80" s="4"/>
      <c r="MP80" s="4"/>
      <c r="MQ80" s="4"/>
      <c r="MR80" s="4"/>
      <c r="MS80" s="4"/>
      <c r="MT80" s="4"/>
      <c r="MU80" s="4"/>
      <c r="MV80" s="4"/>
      <c r="MW80" s="4"/>
      <c r="MX80" s="4"/>
      <c r="MY80" s="4"/>
      <c r="MZ80" s="4"/>
      <c r="NA80" s="4"/>
      <c r="NB80" s="4"/>
      <c r="NC80" s="4"/>
      <c r="ND80" s="4"/>
      <c r="NE80" s="4"/>
      <c r="NF80" s="4"/>
      <c r="NG80" s="4"/>
      <c r="NH80" s="4"/>
      <c r="NI80" s="4"/>
      <c r="NJ80" s="4"/>
      <c r="NK80" s="4"/>
      <c r="NL80" s="4"/>
      <c r="NM80" s="4"/>
      <c r="NN80" s="4"/>
      <c r="NO80" s="4"/>
      <c r="NP80" s="4"/>
      <c r="NQ80" s="4"/>
      <c r="NR80" s="4"/>
      <c r="NS80" s="4"/>
      <c r="NT80" s="4"/>
      <c r="NU80" s="4"/>
      <c r="NV80" s="4"/>
      <c r="NW80" s="4"/>
      <c r="NX80" s="4"/>
      <c r="NY80" s="4"/>
      <c r="NZ80" s="4"/>
      <c r="OA80" s="4"/>
      <c r="OB80" s="4"/>
      <c r="OC80" s="4"/>
      <c r="OD80" s="4"/>
      <c r="OE80" s="4"/>
      <c r="OF80" s="4"/>
      <c r="OG80" s="4"/>
      <c r="OH80" s="4"/>
      <c r="OI80" s="4"/>
    </row>
    <row r="81" spans="1:399" outlineLevel="1">
      <c r="A81" s="116"/>
      <c r="B81" s="116"/>
      <c r="C81" s="116">
        <v>2</v>
      </c>
      <c r="D81" s="3" t="s">
        <v>1221</v>
      </c>
      <c r="E81" s="183"/>
      <c r="F81" s="183" t="s">
        <v>1199</v>
      </c>
      <c r="G81" s="183"/>
      <c r="H81" s="183"/>
      <c r="I81" s="183"/>
      <c r="J81" s="183"/>
      <c r="K81" s="183"/>
      <c r="L81" s="183"/>
      <c r="M81" s="184"/>
      <c r="N81" s="184"/>
      <c r="O81" s="185"/>
      <c r="P81" s="186">
        <v>0</v>
      </c>
      <c r="Q81" s="186">
        <v>0</v>
      </c>
      <c r="R81" s="187">
        <v>0</v>
      </c>
      <c r="S81" s="187">
        <v>0</v>
      </c>
      <c r="T81" s="184"/>
      <c r="U81" s="184"/>
      <c r="V81" s="188">
        <v>0</v>
      </c>
      <c r="W81" s="189">
        <v>0</v>
      </c>
      <c r="X81" s="190"/>
      <c r="Y81" s="185" t="s">
        <v>1181</v>
      </c>
      <c r="Z81" s="191"/>
      <c r="AA81" s="97">
        <v>0</v>
      </c>
      <c r="AB81" s="192">
        <v>0</v>
      </c>
      <c r="AC81" s="123"/>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c r="DW81" s="4"/>
      <c r="DX81" s="4"/>
      <c r="DY81" s="4"/>
      <c r="DZ81" s="4"/>
      <c r="EA81" s="4"/>
      <c r="EB81" s="4"/>
      <c r="EC81" s="4"/>
      <c r="ED81" s="4"/>
      <c r="EE81" s="4"/>
      <c r="EF81" s="4"/>
      <c r="EG81" s="4"/>
      <c r="EH81" s="4"/>
      <c r="EI81" s="4"/>
      <c r="EJ81" s="4"/>
      <c r="EK81" s="4"/>
      <c r="EL81" s="4"/>
      <c r="EM81" s="4"/>
      <c r="EN81" s="4"/>
      <c r="EO81" s="4"/>
      <c r="EP81" s="4"/>
      <c r="EQ81" s="4"/>
      <c r="ER81" s="4"/>
      <c r="ES81" s="4"/>
      <c r="ET81" s="4"/>
      <c r="EU81" s="4"/>
      <c r="EV81" s="4"/>
      <c r="EW81" s="4"/>
      <c r="EX81" s="4"/>
      <c r="EY81" s="4"/>
      <c r="EZ81" s="4"/>
      <c r="FA81" s="4"/>
      <c r="FB81" s="4"/>
      <c r="FC81" s="4"/>
      <c r="FD81" s="4"/>
      <c r="FE81" s="4"/>
      <c r="FF81" s="4"/>
      <c r="FG81" s="4"/>
      <c r="FH81" s="4"/>
      <c r="FI81" s="4"/>
      <c r="FJ81" s="4"/>
      <c r="FK81" s="4"/>
      <c r="FL81" s="4"/>
      <c r="FM81" s="4"/>
      <c r="FN81" s="4"/>
      <c r="FO81" s="4"/>
      <c r="FP81" s="4"/>
      <c r="FQ81" s="4"/>
      <c r="FR81" s="4"/>
      <c r="FS81" s="4"/>
      <c r="FT81" s="4"/>
      <c r="FU81" s="4"/>
      <c r="FV81" s="4"/>
      <c r="FW81" s="4"/>
      <c r="FX81" s="4"/>
      <c r="FY81" s="4"/>
      <c r="FZ81" s="4"/>
      <c r="GA81" s="4"/>
      <c r="GB81" s="4"/>
      <c r="GC81" s="4"/>
      <c r="GD81" s="4"/>
      <c r="GE81" s="4"/>
      <c r="GF81" s="4"/>
      <c r="GG81" s="4"/>
      <c r="GH81" s="4"/>
      <c r="GI81" s="4"/>
      <c r="GJ81" s="4"/>
      <c r="GK81" s="4"/>
      <c r="GL81" s="4"/>
      <c r="GM81" s="4"/>
      <c r="GN81" s="4"/>
      <c r="GO81" s="4"/>
      <c r="GP81" s="4"/>
      <c r="GQ81" s="4"/>
      <c r="GR81" s="4"/>
      <c r="GS81" s="4"/>
      <c r="GT81" s="4"/>
      <c r="GU81" s="4"/>
      <c r="GV81" s="4"/>
      <c r="GW81" s="4"/>
      <c r="GX81" s="4"/>
      <c r="GY81" s="4"/>
      <c r="GZ81" s="4"/>
      <c r="HA81" s="4"/>
      <c r="HB81" s="4"/>
      <c r="HC81" s="4"/>
      <c r="HD81" s="4"/>
      <c r="HE81" s="4"/>
      <c r="HF81" s="4"/>
      <c r="HG81" s="4"/>
      <c r="HH81" s="4"/>
      <c r="HI81" s="4"/>
      <c r="HJ81" s="4"/>
      <c r="HK81" s="4"/>
      <c r="HL81" s="4"/>
      <c r="HM81" s="4"/>
      <c r="HN81" s="4"/>
      <c r="HO81" s="4"/>
      <c r="HP81" s="4"/>
      <c r="HQ81" s="4"/>
      <c r="HR81" s="4"/>
      <c r="HS81" s="4"/>
      <c r="HT81" s="4"/>
      <c r="HU81" s="4"/>
      <c r="HV81" s="4"/>
      <c r="HW81" s="4"/>
      <c r="HX81" s="4"/>
      <c r="HY81" s="4"/>
      <c r="HZ81" s="4"/>
      <c r="IA81" s="4"/>
      <c r="IB81" s="4"/>
      <c r="IC81" s="4"/>
      <c r="ID81" s="4"/>
      <c r="IE81" s="4"/>
      <c r="IF81" s="4"/>
      <c r="IG81" s="4"/>
      <c r="IH81" s="4"/>
      <c r="II81" s="4"/>
      <c r="IJ81" s="4"/>
      <c r="IK81" s="4"/>
      <c r="IL81" s="4"/>
      <c r="IM81" s="4"/>
      <c r="IN81" s="4"/>
      <c r="IO81" s="4"/>
      <c r="IP81" s="4"/>
      <c r="IQ81" s="4"/>
      <c r="IR81" s="4"/>
      <c r="IS81" s="4"/>
      <c r="IT81" s="4"/>
      <c r="IU81" s="4"/>
      <c r="IV81" s="4"/>
      <c r="IW81" s="4"/>
      <c r="IX81" s="4"/>
      <c r="IY81" s="4"/>
      <c r="IZ81" s="4"/>
      <c r="JA81" s="4"/>
      <c r="JB81" s="4"/>
      <c r="JC81" s="4"/>
      <c r="JD81" s="4"/>
      <c r="JE81" s="4"/>
      <c r="JF81" s="4"/>
      <c r="JG81" s="4"/>
      <c r="JH81" s="4"/>
      <c r="JI81" s="4"/>
      <c r="JJ81" s="4"/>
      <c r="JK81" s="4"/>
      <c r="JL81" s="4"/>
      <c r="JM81" s="4"/>
      <c r="JN81" s="4"/>
      <c r="JO81" s="4"/>
      <c r="JP81" s="4"/>
      <c r="JQ81" s="4"/>
      <c r="JR81" s="4"/>
      <c r="JS81" s="4"/>
      <c r="JT81" s="4"/>
      <c r="JU81" s="4"/>
      <c r="JV81" s="4"/>
      <c r="JW81" s="4"/>
      <c r="JX81" s="4"/>
      <c r="JY81" s="4"/>
      <c r="JZ81" s="4"/>
      <c r="KA81" s="4"/>
      <c r="KB81" s="4"/>
      <c r="KC81" s="4"/>
      <c r="KD81" s="4"/>
      <c r="KE81" s="4"/>
      <c r="KF81" s="4"/>
      <c r="KG81" s="4"/>
      <c r="KH81" s="4"/>
      <c r="KI81" s="4"/>
      <c r="KJ81" s="4"/>
      <c r="KK81" s="4"/>
      <c r="KL81" s="4"/>
      <c r="KM81" s="4"/>
      <c r="KN81" s="4"/>
      <c r="KO81" s="4"/>
      <c r="KP81" s="4"/>
      <c r="KQ81" s="4"/>
      <c r="KR81" s="4"/>
      <c r="KS81" s="4"/>
      <c r="KT81" s="4"/>
      <c r="KU81" s="4"/>
      <c r="KV81" s="4"/>
      <c r="KW81" s="4"/>
      <c r="KX81" s="4"/>
      <c r="KY81" s="4"/>
      <c r="KZ81" s="4"/>
      <c r="LA81" s="4"/>
      <c r="LB81" s="4"/>
      <c r="LC81" s="4"/>
      <c r="LD81" s="4"/>
      <c r="LE81" s="4"/>
      <c r="LF81" s="4"/>
      <c r="LG81" s="4"/>
      <c r="LH81" s="4"/>
      <c r="LI81" s="4"/>
      <c r="LJ81" s="4"/>
      <c r="LK81" s="4"/>
      <c r="LL81" s="4"/>
      <c r="LM81" s="4"/>
      <c r="LN81" s="4"/>
      <c r="LO81" s="4"/>
      <c r="LP81" s="4"/>
      <c r="LQ81" s="4"/>
      <c r="LR81" s="4"/>
      <c r="LS81" s="4"/>
      <c r="LT81" s="4"/>
      <c r="LU81" s="4"/>
      <c r="LV81" s="4"/>
      <c r="LW81" s="4"/>
      <c r="LX81" s="4"/>
      <c r="LY81" s="4"/>
      <c r="LZ81" s="4"/>
      <c r="MA81" s="4"/>
      <c r="MB81" s="4"/>
      <c r="MC81" s="4"/>
      <c r="MD81" s="4"/>
      <c r="ME81" s="4"/>
      <c r="MF81" s="4"/>
      <c r="MG81" s="4"/>
      <c r="MH81" s="4"/>
      <c r="MI81" s="4"/>
      <c r="MJ81" s="4"/>
      <c r="MK81" s="4"/>
      <c r="ML81" s="4"/>
      <c r="MM81" s="4"/>
      <c r="MN81" s="4"/>
      <c r="MO81" s="4"/>
      <c r="MP81" s="4"/>
      <c r="MQ81" s="4"/>
      <c r="MR81" s="4"/>
      <c r="MS81" s="4"/>
      <c r="MT81" s="4"/>
      <c r="MU81" s="4"/>
      <c r="MV81" s="4"/>
      <c r="MW81" s="4"/>
      <c r="MX81" s="4"/>
      <c r="MY81" s="4"/>
      <c r="MZ81" s="4"/>
      <c r="NA81" s="4"/>
      <c r="NB81" s="4"/>
      <c r="NC81" s="4"/>
      <c r="ND81" s="4"/>
      <c r="NE81" s="4"/>
      <c r="NF81" s="4"/>
      <c r="NG81" s="4"/>
      <c r="NH81" s="4"/>
      <c r="NI81" s="4"/>
      <c r="NJ81" s="4"/>
      <c r="NK81" s="4"/>
      <c r="NL81" s="4"/>
      <c r="NM81" s="4"/>
      <c r="NN81" s="4"/>
      <c r="NO81" s="4"/>
      <c r="NP81" s="4"/>
      <c r="NQ81" s="4"/>
      <c r="NR81" s="4"/>
      <c r="NS81" s="4"/>
      <c r="NT81" s="4"/>
      <c r="NU81" s="4"/>
      <c r="NV81" s="4"/>
      <c r="NW81" s="4"/>
      <c r="NX81" s="4"/>
      <c r="NY81" s="4"/>
      <c r="NZ81" s="4"/>
      <c r="OA81" s="4"/>
      <c r="OB81" s="4"/>
      <c r="OC81" s="4"/>
      <c r="OD81" s="4"/>
      <c r="OE81" s="4"/>
      <c r="OF81" s="4"/>
      <c r="OG81" s="4"/>
      <c r="OH81" s="4"/>
      <c r="OI81" s="4"/>
    </row>
    <row r="82" spans="1:399" outlineLevel="1">
      <c r="A82" s="116"/>
      <c r="B82" s="116"/>
      <c r="C82" s="116">
        <v>2</v>
      </c>
      <c r="D82" s="3" t="s">
        <v>1222</v>
      </c>
      <c r="E82" s="183"/>
      <c r="F82" s="183" t="s">
        <v>1182</v>
      </c>
      <c r="G82" s="183"/>
      <c r="H82" s="183"/>
      <c r="I82" s="183"/>
      <c r="J82" s="183"/>
      <c r="K82" s="183"/>
      <c r="L82" s="183"/>
      <c r="M82" s="184"/>
      <c r="N82" s="184"/>
      <c r="O82" s="185"/>
      <c r="P82" s="186">
        <v>0</v>
      </c>
      <c r="Q82" s="186">
        <v>0</v>
      </c>
      <c r="R82" s="187">
        <v>0</v>
      </c>
      <c r="S82" s="187">
        <v>0</v>
      </c>
      <c r="T82" s="184"/>
      <c r="U82" s="184"/>
      <c r="V82" s="188">
        <v>0</v>
      </c>
      <c r="W82" s="189">
        <v>0</v>
      </c>
      <c r="X82" s="190"/>
      <c r="Y82" s="185"/>
      <c r="Z82" s="191"/>
      <c r="AA82" s="97">
        <v>0</v>
      </c>
      <c r="AB82" s="192">
        <v>0</v>
      </c>
      <c r="AC82" s="123"/>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c r="EY82" s="4"/>
      <c r="EZ82" s="4"/>
      <c r="FA82" s="4"/>
      <c r="FB82" s="4"/>
      <c r="FC82" s="4"/>
      <c r="FD82" s="4"/>
      <c r="FE82" s="4"/>
      <c r="FF82" s="4"/>
      <c r="FG82" s="4"/>
      <c r="FH82" s="4"/>
      <c r="FI82" s="4"/>
      <c r="FJ82" s="4"/>
      <c r="FK82" s="4"/>
      <c r="FL82" s="4"/>
      <c r="FM82" s="4"/>
      <c r="FN82" s="4"/>
      <c r="FO82" s="4"/>
      <c r="FP82" s="4"/>
      <c r="FQ82" s="4"/>
      <c r="FR82" s="4"/>
      <c r="FS82" s="4"/>
      <c r="FT82" s="4"/>
      <c r="FU82" s="4"/>
      <c r="FV82" s="4"/>
      <c r="FW82" s="4"/>
      <c r="FX82" s="4"/>
      <c r="FY82" s="4"/>
      <c r="FZ82" s="4"/>
      <c r="GA82" s="4"/>
      <c r="GB82" s="4"/>
      <c r="GC82" s="4"/>
      <c r="GD82" s="4"/>
      <c r="GE82" s="4"/>
      <c r="GF82" s="4"/>
      <c r="GG82" s="4"/>
      <c r="GH82" s="4"/>
      <c r="GI82" s="4"/>
      <c r="GJ82" s="4"/>
      <c r="GK82" s="4"/>
      <c r="GL82" s="4"/>
      <c r="GM82" s="4"/>
      <c r="GN82" s="4"/>
      <c r="GO82" s="4"/>
      <c r="GP82" s="4"/>
      <c r="GQ82" s="4"/>
      <c r="GR82" s="4"/>
      <c r="GS82" s="4"/>
      <c r="GT82" s="4"/>
      <c r="GU82" s="4"/>
      <c r="GV82" s="4"/>
      <c r="GW82" s="4"/>
      <c r="GX82" s="4"/>
      <c r="GY82" s="4"/>
      <c r="GZ82" s="4"/>
      <c r="HA82" s="4"/>
      <c r="HB82" s="4"/>
      <c r="HC82" s="4"/>
      <c r="HD82" s="4"/>
      <c r="HE82" s="4"/>
      <c r="HF82" s="4"/>
      <c r="HG82" s="4"/>
      <c r="HH82" s="4"/>
      <c r="HI82" s="4"/>
      <c r="HJ82" s="4"/>
      <c r="HK82" s="4"/>
      <c r="HL82" s="4"/>
      <c r="HM82" s="4"/>
      <c r="HN82" s="4"/>
      <c r="HO82" s="4"/>
      <c r="HP82" s="4"/>
      <c r="HQ82" s="4"/>
      <c r="HR82" s="4"/>
      <c r="HS82" s="4"/>
      <c r="HT82" s="4"/>
      <c r="HU82" s="4"/>
      <c r="HV82" s="4"/>
      <c r="HW82" s="4"/>
      <c r="HX82" s="4"/>
      <c r="HY82" s="4"/>
      <c r="HZ82" s="4"/>
      <c r="IA82" s="4"/>
      <c r="IB82" s="4"/>
      <c r="IC82" s="4"/>
      <c r="ID82" s="4"/>
      <c r="IE82" s="4"/>
      <c r="IF82" s="4"/>
      <c r="IG82" s="4"/>
      <c r="IH82" s="4"/>
      <c r="II82" s="4"/>
      <c r="IJ82" s="4"/>
      <c r="IK82" s="4"/>
      <c r="IL82" s="4"/>
      <c r="IM82" s="4"/>
      <c r="IN82" s="4"/>
      <c r="IO82" s="4"/>
      <c r="IP82" s="4"/>
      <c r="IQ82" s="4"/>
      <c r="IR82" s="4"/>
      <c r="IS82" s="4"/>
      <c r="IT82" s="4"/>
      <c r="IU82" s="4"/>
      <c r="IV82" s="4"/>
      <c r="IW82" s="4"/>
      <c r="IX82" s="4"/>
      <c r="IY82" s="4"/>
      <c r="IZ82" s="4"/>
      <c r="JA82" s="4"/>
      <c r="JB82" s="4"/>
      <c r="JC82" s="4"/>
      <c r="JD82" s="4"/>
      <c r="JE82" s="4"/>
      <c r="JF82" s="4"/>
      <c r="JG82" s="4"/>
      <c r="JH82" s="4"/>
      <c r="JI82" s="4"/>
      <c r="JJ82" s="4"/>
      <c r="JK82" s="4"/>
      <c r="JL82" s="4"/>
      <c r="JM82" s="4"/>
      <c r="JN82" s="4"/>
      <c r="JO82" s="4"/>
      <c r="JP82" s="4"/>
      <c r="JQ82" s="4"/>
      <c r="JR82" s="4"/>
      <c r="JS82" s="4"/>
      <c r="JT82" s="4"/>
      <c r="JU82" s="4"/>
      <c r="JV82" s="4"/>
      <c r="JW82" s="4"/>
      <c r="JX82" s="4"/>
      <c r="JY82" s="4"/>
      <c r="JZ82" s="4"/>
      <c r="KA82" s="4"/>
      <c r="KB82" s="4"/>
      <c r="KC82" s="4"/>
      <c r="KD82" s="4"/>
      <c r="KE82" s="4"/>
      <c r="KF82" s="4"/>
      <c r="KG82" s="4"/>
      <c r="KH82" s="4"/>
      <c r="KI82" s="4"/>
      <c r="KJ82" s="4"/>
      <c r="KK82" s="4"/>
      <c r="KL82" s="4"/>
      <c r="KM82" s="4"/>
      <c r="KN82" s="4"/>
      <c r="KO82" s="4"/>
      <c r="KP82" s="4"/>
      <c r="KQ82" s="4"/>
      <c r="KR82" s="4"/>
      <c r="KS82" s="4"/>
      <c r="KT82" s="4"/>
      <c r="KU82" s="4"/>
      <c r="KV82" s="4"/>
      <c r="KW82" s="4"/>
      <c r="KX82" s="4"/>
      <c r="KY82" s="4"/>
      <c r="KZ82" s="4"/>
      <c r="LA82" s="4"/>
      <c r="LB82" s="4"/>
      <c r="LC82" s="4"/>
      <c r="LD82" s="4"/>
      <c r="LE82" s="4"/>
      <c r="LF82" s="4"/>
      <c r="LG82" s="4"/>
      <c r="LH82" s="4"/>
      <c r="LI82" s="4"/>
      <c r="LJ82" s="4"/>
      <c r="LK82" s="4"/>
      <c r="LL82" s="4"/>
      <c r="LM82" s="4"/>
      <c r="LN82" s="4"/>
      <c r="LO82" s="4"/>
      <c r="LP82" s="4"/>
      <c r="LQ82" s="4"/>
      <c r="LR82" s="4"/>
      <c r="LS82" s="4"/>
      <c r="LT82" s="4"/>
      <c r="LU82" s="4"/>
      <c r="LV82" s="4"/>
      <c r="LW82" s="4"/>
      <c r="LX82" s="4"/>
      <c r="LY82" s="4"/>
      <c r="LZ82" s="4"/>
      <c r="MA82" s="4"/>
      <c r="MB82" s="4"/>
      <c r="MC82" s="4"/>
      <c r="MD82" s="4"/>
      <c r="ME82" s="4"/>
      <c r="MF82" s="4"/>
      <c r="MG82" s="4"/>
      <c r="MH82" s="4"/>
      <c r="MI82" s="4"/>
      <c r="MJ82" s="4"/>
      <c r="MK82" s="4"/>
      <c r="ML82" s="4"/>
      <c r="MM82" s="4"/>
      <c r="MN82" s="4"/>
      <c r="MO82" s="4"/>
      <c r="MP82" s="4"/>
      <c r="MQ82" s="4"/>
      <c r="MR82" s="4"/>
      <c r="MS82" s="4"/>
      <c r="MT82" s="4"/>
      <c r="MU82" s="4"/>
      <c r="MV82" s="4"/>
      <c r="MW82" s="4"/>
      <c r="MX82" s="4"/>
      <c r="MY82" s="4"/>
      <c r="MZ82" s="4"/>
      <c r="NA82" s="4"/>
      <c r="NB82" s="4"/>
      <c r="NC82" s="4"/>
      <c r="ND82" s="4"/>
      <c r="NE82" s="4"/>
      <c r="NF82" s="4"/>
      <c r="NG82" s="4"/>
      <c r="NH82" s="4"/>
      <c r="NI82" s="4"/>
      <c r="NJ82" s="4"/>
      <c r="NK82" s="4"/>
      <c r="NL82" s="4"/>
      <c r="NM82" s="4"/>
      <c r="NN82" s="4"/>
      <c r="NO82" s="4"/>
      <c r="NP82" s="4"/>
      <c r="NQ82" s="4"/>
      <c r="NR82" s="4"/>
      <c r="NS82" s="4"/>
      <c r="NT82" s="4"/>
      <c r="NU82" s="4"/>
      <c r="NV82" s="4"/>
      <c r="NW82" s="4"/>
      <c r="NX82" s="4"/>
      <c r="NY82" s="4"/>
      <c r="NZ82" s="4"/>
      <c r="OA82" s="4"/>
      <c r="OB82" s="4"/>
      <c r="OC82" s="4"/>
      <c r="OD82" s="4"/>
      <c r="OE82" s="4"/>
      <c r="OF82" s="4"/>
      <c r="OG82" s="4"/>
      <c r="OH82" s="4"/>
      <c r="OI82" s="4"/>
    </row>
    <row r="83" spans="1:399" outlineLevel="1">
      <c r="A83" s="116"/>
      <c r="B83" s="116"/>
      <c r="C83" s="116">
        <v>2</v>
      </c>
      <c r="D83" s="3" t="s">
        <v>1223</v>
      </c>
      <c r="E83" s="183"/>
      <c r="F83" s="183" t="s">
        <v>1183</v>
      </c>
      <c r="G83" s="183"/>
      <c r="H83" s="183"/>
      <c r="I83" s="183"/>
      <c r="J83" s="183"/>
      <c r="K83" s="183"/>
      <c r="L83" s="183"/>
      <c r="M83" s="184"/>
      <c r="N83" s="184"/>
      <c r="O83" s="185"/>
      <c r="P83" s="186">
        <v>0</v>
      </c>
      <c r="Q83" s="186">
        <v>0</v>
      </c>
      <c r="R83" s="187">
        <v>0</v>
      </c>
      <c r="S83" s="187">
        <v>0</v>
      </c>
      <c r="T83" s="184"/>
      <c r="U83" s="184"/>
      <c r="V83" s="188">
        <v>0</v>
      </c>
      <c r="W83" s="189">
        <v>0</v>
      </c>
      <c r="X83" s="190"/>
      <c r="Y83" s="185"/>
      <c r="Z83" s="191"/>
      <c r="AA83" s="97">
        <v>0</v>
      </c>
      <c r="AB83" s="192">
        <v>0</v>
      </c>
      <c r="AC83" s="123"/>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c r="EY83" s="4"/>
      <c r="EZ83" s="4"/>
      <c r="FA83" s="4"/>
      <c r="FB83" s="4"/>
      <c r="FC83" s="4"/>
      <c r="FD83" s="4"/>
      <c r="FE83" s="4"/>
      <c r="FF83" s="4"/>
      <c r="FG83" s="4"/>
      <c r="FH83" s="4"/>
      <c r="FI83" s="4"/>
      <c r="FJ83" s="4"/>
      <c r="FK83" s="4"/>
      <c r="FL83" s="4"/>
      <c r="FM83" s="4"/>
      <c r="FN83" s="4"/>
      <c r="FO83" s="4"/>
      <c r="FP83" s="4"/>
      <c r="FQ83" s="4"/>
      <c r="FR83" s="4"/>
      <c r="FS83" s="4"/>
      <c r="FT83" s="4"/>
      <c r="FU83" s="4"/>
      <c r="FV83" s="4"/>
      <c r="FW83" s="4"/>
      <c r="FX83" s="4"/>
      <c r="FY83" s="4"/>
      <c r="FZ83" s="4"/>
      <c r="GA83" s="4"/>
      <c r="GB83" s="4"/>
      <c r="GC83" s="4"/>
      <c r="GD83" s="4"/>
      <c r="GE83" s="4"/>
      <c r="GF83" s="4"/>
      <c r="GG83" s="4"/>
      <c r="GH83" s="4"/>
      <c r="GI83" s="4"/>
      <c r="GJ83" s="4"/>
      <c r="GK83" s="4"/>
      <c r="GL83" s="4"/>
      <c r="GM83" s="4"/>
      <c r="GN83" s="4"/>
      <c r="GO83" s="4"/>
      <c r="GP83" s="4"/>
      <c r="GQ83" s="4"/>
      <c r="GR83" s="4"/>
      <c r="GS83" s="4"/>
      <c r="GT83" s="4"/>
      <c r="GU83" s="4"/>
      <c r="GV83" s="4"/>
      <c r="GW83" s="4"/>
      <c r="GX83" s="4"/>
      <c r="GY83" s="4"/>
      <c r="GZ83" s="4"/>
      <c r="HA83" s="4"/>
      <c r="HB83" s="4"/>
      <c r="HC83" s="4"/>
      <c r="HD83" s="4"/>
      <c r="HE83" s="4"/>
      <c r="HF83" s="4"/>
      <c r="HG83" s="4"/>
      <c r="HH83" s="4"/>
      <c r="HI83" s="4"/>
      <c r="HJ83" s="4"/>
      <c r="HK83" s="4"/>
      <c r="HL83" s="4"/>
      <c r="HM83" s="4"/>
      <c r="HN83" s="4"/>
      <c r="HO83" s="4"/>
      <c r="HP83" s="4"/>
      <c r="HQ83" s="4"/>
      <c r="HR83" s="4"/>
      <c r="HS83" s="4"/>
      <c r="HT83" s="4"/>
      <c r="HU83" s="4"/>
      <c r="HV83" s="4"/>
      <c r="HW83" s="4"/>
      <c r="HX83" s="4"/>
      <c r="HY83" s="4"/>
      <c r="HZ83" s="4"/>
      <c r="IA83" s="4"/>
      <c r="IB83" s="4"/>
      <c r="IC83" s="4"/>
      <c r="ID83" s="4"/>
      <c r="IE83" s="4"/>
      <c r="IF83" s="4"/>
      <c r="IG83" s="4"/>
      <c r="IH83" s="4"/>
      <c r="II83" s="4"/>
      <c r="IJ83" s="4"/>
      <c r="IK83" s="4"/>
      <c r="IL83" s="4"/>
      <c r="IM83" s="4"/>
      <c r="IN83" s="4"/>
      <c r="IO83" s="4"/>
      <c r="IP83" s="4"/>
      <c r="IQ83" s="4"/>
      <c r="IR83" s="4"/>
      <c r="IS83" s="4"/>
      <c r="IT83" s="4"/>
      <c r="IU83" s="4"/>
      <c r="IV83" s="4"/>
      <c r="IW83" s="4"/>
      <c r="IX83" s="4"/>
      <c r="IY83" s="4"/>
      <c r="IZ83" s="4"/>
      <c r="JA83" s="4"/>
      <c r="JB83" s="4"/>
      <c r="JC83" s="4"/>
      <c r="JD83" s="4"/>
      <c r="JE83" s="4"/>
      <c r="JF83" s="4"/>
      <c r="JG83" s="4"/>
      <c r="JH83" s="4"/>
      <c r="JI83" s="4"/>
      <c r="JJ83" s="4"/>
      <c r="JK83" s="4"/>
      <c r="JL83" s="4"/>
      <c r="JM83" s="4"/>
      <c r="JN83" s="4"/>
      <c r="JO83" s="4"/>
      <c r="JP83" s="4"/>
      <c r="JQ83" s="4"/>
      <c r="JR83" s="4"/>
      <c r="JS83" s="4"/>
      <c r="JT83" s="4"/>
      <c r="JU83" s="4"/>
      <c r="JV83" s="4"/>
      <c r="JW83" s="4"/>
      <c r="JX83" s="4"/>
      <c r="JY83" s="4"/>
      <c r="JZ83" s="4"/>
      <c r="KA83" s="4"/>
      <c r="KB83" s="4"/>
      <c r="KC83" s="4"/>
      <c r="KD83" s="4"/>
      <c r="KE83" s="4"/>
      <c r="KF83" s="4"/>
      <c r="KG83" s="4"/>
      <c r="KH83" s="4"/>
      <c r="KI83" s="4"/>
      <c r="KJ83" s="4"/>
      <c r="KK83" s="4"/>
      <c r="KL83" s="4"/>
      <c r="KM83" s="4"/>
      <c r="KN83" s="4"/>
      <c r="KO83" s="4"/>
      <c r="KP83" s="4"/>
      <c r="KQ83" s="4"/>
      <c r="KR83" s="4"/>
      <c r="KS83" s="4"/>
      <c r="KT83" s="4"/>
      <c r="KU83" s="4"/>
      <c r="KV83" s="4"/>
      <c r="KW83" s="4"/>
      <c r="KX83" s="4"/>
      <c r="KY83" s="4"/>
      <c r="KZ83" s="4"/>
      <c r="LA83" s="4"/>
      <c r="LB83" s="4"/>
      <c r="LC83" s="4"/>
      <c r="LD83" s="4"/>
      <c r="LE83" s="4"/>
      <c r="LF83" s="4"/>
      <c r="LG83" s="4"/>
      <c r="LH83" s="4"/>
      <c r="LI83" s="4"/>
      <c r="LJ83" s="4"/>
      <c r="LK83" s="4"/>
      <c r="LL83" s="4"/>
      <c r="LM83" s="4"/>
      <c r="LN83" s="4"/>
      <c r="LO83" s="4"/>
      <c r="LP83" s="4"/>
      <c r="LQ83" s="4"/>
      <c r="LR83" s="4"/>
      <c r="LS83" s="4"/>
      <c r="LT83" s="4"/>
      <c r="LU83" s="4"/>
      <c r="LV83" s="4"/>
      <c r="LW83" s="4"/>
      <c r="LX83" s="4"/>
      <c r="LY83" s="4"/>
      <c r="LZ83" s="4"/>
      <c r="MA83" s="4"/>
      <c r="MB83" s="4"/>
      <c r="MC83" s="4"/>
      <c r="MD83" s="4"/>
      <c r="ME83" s="4"/>
      <c r="MF83" s="4"/>
      <c r="MG83" s="4"/>
      <c r="MH83" s="4"/>
      <c r="MI83" s="4"/>
      <c r="MJ83" s="4"/>
      <c r="MK83" s="4"/>
      <c r="ML83" s="4"/>
      <c r="MM83" s="4"/>
      <c r="MN83" s="4"/>
      <c r="MO83" s="4"/>
      <c r="MP83" s="4"/>
      <c r="MQ83" s="4"/>
      <c r="MR83" s="4"/>
      <c r="MS83" s="4"/>
      <c r="MT83" s="4"/>
      <c r="MU83" s="4"/>
      <c r="MV83" s="4"/>
      <c r="MW83" s="4"/>
      <c r="MX83" s="4"/>
      <c r="MY83" s="4"/>
      <c r="MZ83" s="4"/>
      <c r="NA83" s="4"/>
      <c r="NB83" s="4"/>
      <c r="NC83" s="4"/>
      <c r="ND83" s="4"/>
      <c r="NE83" s="4"/>
      <c r="NF83" s="4"/>
      <c r="NG83" s="4"/>
      <c r="NH83" s="4"/>
      <c r="NI83" s="4"/>
      <c r="NJ83" s="4"/>
      <c r="NK83" s="4"/>
      <c r="NL83" s="4"/>
      <c r="NM83" s="4"/>
      <c r="NN83" s="4"/>
      <c r="NO83" s="4"/>
      <c r="NP83" s="4"/>
      <c r="NQ83" s="4"/>
      <c r="NR83" s="4"/>
      <c r="NS83" s="4"/>
      <c r="NT83" s="4"/>
      <c r="NU83" s="4"/>
      <c r="NV83" s="4"/>
      <c r="NW83" s="4"/>
      <c r="NX83" s="4"/>
      <c r="NY83" s="4"/>
      <c r="NZ83" s="4"/>
      <c r="OA83" s="4"/>
      <c r="OB83" s="4"/>
      <c r="OC83" s="4"/>
      <c r="OD83" s="4"/>
      <c r="OE83" s="4"/>
      <c r="OF83" s="4"/>
      <c r="OG83" s="4"/>
      <c r="OH83" s="4"/>
      <c r="OI83" s="4"/>
    </row>
    <row r="84" spans="1:399" outlineLevel="1">
      <c r="A84" s="116"/>
      <c r="B84" s="116"/>
      <c r="C84" s="116">
        <v>0</v>
      </c>
      <c r="D84" s="3"/>
      <c r="E84" s="183"/>
      <c r="F84" s="183"/>
      <c r="G84" s="183"/>
      <c r="H84" s="183"/>
      <c r="I84" s="183"/>
      <c r="J84" s="183"/>
      <c r="K84" s="183"/>
      <c r="L84" s="183"/>
      <c r="M84" s="184"/>
      <c r="N84" s="184"/>
      <c r="O84" s="185"/>
      <c r="P84" s="186"/>
      <c r="Q84" s="186"/>
      <c r="R84" s="187">
        <v>0</v>
      </c>
      <c r="S84" s="187">
        <v>0</v>
      </c>
      <c r="T84" s="184"/>
      <c r="U84" s="184"/>
      <c r="V84" s="188"/>
      <c r="W84" s="189">
        <v>0</v>
      </c>
      <c r="X84" s="190"/>
      <c r="Y84" s="185"/>
      <c r="Z84" s="191"/>
      <c r="AA84" s="97"/>
      <c r="AB84" s="192"/>
      <c r="AC84" s="123"/>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c r="ER84" s="4"/>
      <c r="ES84" s="4"/>
      <c r="ET84" s="4"/>
      <c r="EU84" s="4"/>
      <c r="EV84" s="4"/>
      <c r="EW84" s="4"/>
      <c r="EX84" s="4"/>
      <c r="EY84" s="4"/>
      <c r="EZ84" s="4"/>
      <c r="FA84" s="4"/>
      <c r="FB84" s="4"/>
      <c r="FC84" s="4"/>
      <c r="FD84" s="4"/>
      <c r="FE84" s="4"/>
      <c r="FF84" s="4"/>
      <c r="FG84" s="4"/>
      <c r="FH84" s="4"/>
      <c r="FI84" s="4"/>
      <c r="FJ84" s="4"/>
      <c r="FK84" s="4"/>
      <c r="FL84" s="4"/>
      <c r="FM84" s="4"/>
      <c r="FN84" s="4"/>
      <c r="FO84" s="4"/>
      <c r="FP84" s="4"/>
      <c r="FQ84" s="4"/>
      <c r="FR84" s="4"/>
      <c r="FS84" s="4"/>
      <c r="FT84" s="4"/>
      <c r="FU84" s="4"/>
      <c r="FV84" s="4"/>
      <c r="FW84" s="4"/>
      <c r="FX84" s="4"/>
      <c r="FY84" s="4"/>
      <c r="FZ84" s="4"/>
      <c r="GA84" s="4"/>
      <c r="GB84" s="4"/>
      <c r="GC84" s="4"/>
      <c r="GD84" s="4"/>
      <c r="GE84" s="4"/>
      <c r="GF84" s="4"/>
      <c r="GG84" s="4"/>
      <c r="GH84" s="4"/>
      <c r="GI84" s="4"/>
      <c r="GJ84" s="4"/>
      <c r="GK84" s="4"/>
      <c r="GL84" s="4"/>
      <c r="GM84" s="4"/>
      <c r="GN84" s="4"/>
      <c r="GO84" s="4"/>
      <c r="GP84" s="4"/>
      <c r="GQ84" s="4"/>
      <c r="GR84" s="4"/>
      <c r="GS84" s="4"/>
      <c r="GT84" s="4"/>
      <c r="GU84" s="4"/>
      <c r="GV84" s="4"/>
      <c r="GW84" s="4"/>
      <c r="GX84" s="4"/>
      <c r="GY84" s="4"/>
      <c r="GZ84" s="4"/>
      <c r="HA84" s="4"/>
      <c r="HB84" s="4"/>
      <c r="HC84" s="4"/>
      <c r="HD84" s="4"/>
      <c r="HE84" s="4"/>
      <c r="HF84" s="4"/>
      <c r="HG84" s="4"/>
      <c r="HH84" s="4"/>
      <c r="HI84" s="4"/>
      <c r="HJ84" s="4"/>
      <c r="HK84" s="4"/>
      <c r="HL84" s="4"/>
      <c r="HM84" s="4"/>
      <c r="HN84" s="4"/>
      <c r="HO84" s="4"/>
      <c r="HP84" s="4"/>
      <c r="HQ84" s="4"/>
      <c r="HR84" s="4"/>
      <c r="HS84" s="4"/>
      <c r="HT84" s="4"/>
      <c r="HU84" s="4"/>
      <c r="HV84" s="4"/>
      <c r="HW84" s="4"/>
      <c r="HX84" s="4"/>
      <c r="HY84" s="4"/>
      <c r="HZ84" s="4"/>
      <c r="IA84" s="4"/>
      <c r="IB84" s="4"/>
      <c r="IC84" s="4"/>
      <c r="ID84" s="4"/>
      <c r="IE84" s="4"/>
      <c r="IF84" s="4"/>
      <c r="IG84" s="4"/>
      <c r="IH84" s="4"/>
      <c r="II84" s="4"/>
      <c r="IJ84" s="4"/>
      <c r="IK84" s="4"/>
      <c r="IL84" s="4"/>
      <c r="IM84" s="4"/>
      <c r="IN84" s="4"/>
      <c r="IO84" s="4"/>
      <c r="IP84" s="4"/>
      <c r="IQ84" s="4"/>
      <c r="IR84" s="4"/>
      <c r="IS84" s="4"/>
      <c r="IT84" s="4"/>
      <c r="IU84" s="4"/>
      <c r="IV84" s="4"/>
      <c r="IW84" s="4"/>
      <c r="IX84" s="4"/>
      <c r="IY84" s="4"/>
      <c r="IZ84" s="4"/>
      <c r="JA84" s="4"/>
      <c r="JB84" s="4"/>
      <c r="JC84" s="4"/>
      <c r="JD84" s="4"/>
      <c r="JE84" s="4"/>
      <c r="JF84" s="4"/>
      <c r="JG84" s="4"/>
      <c r="JH84" s="4"/>
      <c r="JI84" s="4"/>
      <c r="JJ84" s="4"/>
      <c r="JK84" s="4"/>
      <c r="JL84" s="4"/>
      <c r="JM84" s="4"/>
      <c r="JN84" s="4"/>
      <c r="JO84" s="4"/>
      <c r="JP84" s="4"/>
      <c r="JQ84" s="4"/>
      <c r="JR84" s="4"/>
      <c r="JS84" s="4"/>
      <c r="JT84" s="4"/>
      <c r="JU84" s="4"/>
      <c r="JV84" s="4"/>
      <c r="JW84" s="4"/>
      <c r="JX84" s="4"/>
      <c r="JY84" s="4"/>
      <c r="JZ84" s="4"/>
      <c r="KA84" s="4"/>
      <c r="KB84" s="4"/>
      <c r="KC84" s="4"/>
      <c r="KD84" s="4"/>
      <c r="KE84" s="4"/>
      <c r="KF84" s="4"/>
      <c r="KG84" s="4"/>
      <c r="KH84" s="4"/>
      <c r="KI84" s="4"/>
      <c r="KJ84" s="4"/>
      <c r="KK84" s="4"/>
      <c r="KL84" s="4"/>
      <c r="KM84" s="4"/>
      <c r="KN84" s="4"/>
      <c r="KO84" s="4"/>
      <c r="KP84" s="4"/>
      <c r="KQ84" s="4"/>
      <c r="KR84" s="4"/>
      <c r="KS84" s="4"/>
      <c r="KT84" s="4"/>
      <c r="KU84" s="4"/>
      <c r="KV84" s="4"/>
      <c r="KW84" s="4"/>
      <c r="KX84" s="4"/>
      <c r="KY84" s="4"/>
      <c r="KZ84" s="4"/>
      <c r="LA84" s="4"/>
      <c r="LB84" s="4"/>
      <c r="LC84" s="4"/>
      <c r="LD84" s="4"/>
      <c r="LE84" s="4"/>
      <c r="LF84" s="4"/>
      <c r="LG84" s="4"/>
      <c r="LH84" s="4"/>
      <c r="LI84" s="4"/>
      <c r="LJ84" s="4"/>
      <c r="LK84" s="4"/>
      <c r="LL84" s="4"/>
      <c r="LM84" s="4"/>
      <c r="LN84" s="4"/>
      <c r="LO84" s="4"/>
      <c r="LP84" s="4"/>
      <c r="LQ84" s="4"/>
      <c r="LR84" s="4"/>
      <c r="LS84" s="4"/>
      <c r="LT84" s="4"/>
      <c r="LU84" s="4"/>
      <c r="LV84" s="4"/>
      <c r="LW84" s="4"/>
      <c r="LX84" s="4"/>
      <c r="LY84" s="4"/>
      <c r="LZ84" s="4"/>
      <c r="MA84" s="4"/>
      <c r="MB84" s="4"/>
      <c r="MC84" s="4"/>
      <c r="MD84" s="4"/>
      <c r="ME84" s="4"/>
      <c r="MF84" s="4"/>
      <c r="MG84" s="4"/>
      <c r="MH84" s="4"/>
      <c r="MI84" s="4"/>
      <c r="MJ84" s="4"/>
      <c r="MK84" s="4"/>
      <c r="ML84" s="4"/>
      <c r="MM84" s="4"/>
      <c r="MN84" s="4"/>
      <c r="MO84" s="4"/>
      <c r="MP84" s="4"/>
      <c r="MQ84" s="4"/>
      <c r="MR84" s="4"/>
      <c r="MS84" s="4"/>
      <c r="MT84" s="4"/>
      <c r="MU84" s="4"/>
      <c r="MV84" s="4"/>
      <c r="MW84" s="4"/>
      <c r="MX84" s="4"/>
      <c r="MY84" s="4"/>
      <c r="MZ84" s="4"/>
      <c r="NA84" s="4"/>
      <c r="NB84" s="4"/>
      <c r="NC84" s="4"/>
      <c r="ND84" s="4"/>
      <c r="NE84" s="4"/>
      <c r="NF84" s="4"/>
      <c r="NG84" s="4"/>
      <c r="NH84" s="4"/>
      <c r="NI84" s="4"/>
      <c r="NJ84" s="4"/>
      <c r="NK84" s="4"/>
      <c r="NL84" s="4"/>
      <c r="NM84" s="4"/>
      <c r="NN84" s="4"/>
      <c r="NO84" s="4"/>
      <c r="NP84" s="4"/>
      <c r="NQ84" s="4"/>
      <c r="NR84" s="4"/>
      <c r="NS84" s="4"/>
      <c r="NT84" s="4"/>
      <c r="NU84" s="4"/>
      <c r="NV84" s="4"/>
      <c r="NW84" s="4"/>
      <c r="NX84" s="4"/>
      <c r="NY84" s="4"/>
      <c r="NZ84" s="4"/>
      <c r="OA84" s="4"/>
      <c r="OB84" s="4"/>
      <c r="OC84" s="4"/>
      <c r="OD84" s="4"/>
      <c r="OE84" s="4"/>
      <c r="OF84" s="4"/>
      <c r="OG84" s="4"/>
      <c r="OH84" s="4"/>
      <c r="OI84" s="4"/>
    </row>
    <row r="85" spans="1:399">
      <c r="A85" s="116"/>
      <c r="B85" s="116" t="s">
        <v>1061</v>
      </c>
      <c r="C85" s="116">
        <v>1</v>
      </c>
      <c r="D85" s="3" t="s">
        <v>1226</v>
      </c>
      <c r="E85" s="183" t="s">
        <v>1255</v>
      </c>
      <c r="F85" s="183"/>
      <c r="G85" s="183"/>
      <c r="H85" s="183"/>
      <c r="I85" s="183"/>
      <c r="J85" s="183"/>
      <c r="K85" s="183"/>
      <c r="L85" s="183"/>
      <c r="M85" s="184"/>
      <c r="N85" s="184"/>
      <c r="O85" s="185"/>
      <c r="P85" s="186">
        <v>0</v>
      </c>
      <c r="Q85" s="186">
        <v>0</v>
      </c>
      <c r="R85" s="187">
        <v>2</v>
      </c>
      <c r="S85" s="187">
        <v>2</v>
      </c>
      <c r="T85" s="184"/>
      <c r="U85" s="184"/>
      <c r="V85" s="188">
        <v>0</v>
      </c>
      <c r="W85" s="189">
        <v>0</v>
      </c>
      <c r="X85" s="190"/>
      <c r="Y85" s="185"/>
      <c r="Z85" s="191"/>
      <c r="AA85" s="97">
        <v>0</v>
      </c>
      <c r="AB85" s="192">
        <v>0</v>
      </c>
      <c r="AC85" s="123"/>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c r="FF85" s="4"/>
      <c r="FG85" s="4"/>
      <c r="FH85" s="4"/>
      <c r="FI85" s="4"/>
      <c r="FJ85" s="4"/>
      <c r="FK85" s="4"/>
      <c r="FL85" s="4"/>
      <c r="FM85" s="4"/>
      <c r="FN85" s="4"/>
      <c r="FO85" s="4"/>
      <c r="FP85" s="4"/>
      <c r="FQ85" s="4"/>
      <c r="FR85" s="4"/>
      <c r="FS85" s="4"/>
      <c r="FT85" s="4"/>
      <c r="FU85" s="4"/>
      <c r="FV85" s="4"/>
      <c r="FW85" s="4"/>
      <c r="FX85" s="4"/>
      <c r="FY85" s="4"/>
      <c r="FZ85" s="4"/>
      <c r="GA85" s="4"/>
      <c r="GB85" s="4"/>
      <c r="GC85" s="4"/>
      <c r="GD85" s="4"/>
      <c r="GE85" s="4"/>
      <c r="GF85" s="4"/>
      <c r="GG85" s="4"/>
      <c r="GH85" s="4"/>
      <c r="GI85" s="4"/>
      <c r="GJ85" s="4"/>
      <c r="GK85" s="4"/>
      <c r="GL85" s="4"/>
      <c r="GM85" s="4"/>
      <c r="GN85" s="4"/>
      <c r="GO85" s="4"/>
      <c r="GP85" s="4"/>
      <c r="GQ85" s="4"/>
      <c r="GR85" s="4"/>
      <c r="GS85" s="4"/>
      <c r="GT85" s="4"/>
      <c r="GU85" s="4"/>
      <c r="GV85" s="4"/>
      <c r="GW85" s="4"/>
      <c r="GX85" s="4"/>
      <c r="GY85" s="4"/>
      <c r="GZ85" s="4"/>
      <c r="HA85" s="4"/>
      <c r="HB85" s="4"/>
      <c r="HC85" s="4"/>
      <c r="HD85" s="4"/>
      <c r="HE85" s="4"/>
      <c r="HF85" s="4"/>
      <c r="HG85" s="4"/>
      <c r="HH85" s="4"/>
      <c r="HI85" s="4"/>
      <c r="HJ85" s="4"/>
      <c r="HK85" s="4"/>
      <c r="HL85" s="4"/>
      <c r="HM85" s="4"/>
      <c r="HN85" s="4"/>
      <c r="HO85" s="4"/>
      <c r="HP85" s="4"/>
      <c r="HQ85" s="4"/>
      <c r="HR85" s="4"/>
      <c r="HS85" s="4"/>
      <c r="HT85" s="4"/>
      <c r="HU85" s="4"/>
      <c r="HV85" s="4"/>
      <c r="HW85" s="4"/>
      <c r="HX85" s="4"/>
      <c r="HY85" s="4"/>
      <c r="HZ85" s="4"/>
      <c r="IA85" s="4"/>
      <c r="IB85" s="4"/>
      <c r="IC85" s="4"/>
      <c r="ID85" s="4"/>
      <c r="IE85" s="4"/>
      <c r="IF85" s="4"/>
      <c r="IG85" s="4"/>
      <c r="IH85" s="4"/>
      <c r="II85" s="4"/>
      <c r="IJ85" s="4"/>
      <c r="IK85" s="4"/>
      <c r="IL85" s="4"/>
      <c r="IM85" s="4"/>
      <c r="IN85" s="4"/>
      <c r="IO85" s="4"/>
      <c r="IP85" s="4"/>
      <c r="IQ85" s="4"/>
      <c r="IR85" s="4"/>
      <c r="IS85" s="4"/>
      <c r="IT85" s="4"/>
      <c r="IU85" s="4"/>
      <c r="IV85" s="4"/>
      <c r="IW85" s="4"/>
      <c r="IX85" s="4"/>
      <c r="IY85" s="4"/>
      <c r="IZ85" s="4"/>
      <c r="JA85" s="4"/>
      <c r="JB85" s="4"/>
      <c r="JC85" s="4"/>
      <c r="JD85" s="4"/>
      <c r="JE85" s="4"/>
      <c r="JF85" s="4"/>
      <c r="JG85" s="4"/>
      <c r="JH85" s="4"/>
      <c r="JI85" s="4"/>
      <c r="JJ85" s="4"/>
      <c r="JK85" s="4"/>
      <c r="JL85" s="4"/>
      <c r="JM85" s="4"/>
      <c r="JN85" s="4"/>
      <c r="JO85" s="4"/>
      <c r="JP85" s="4"/>
      <c r="JQ85" s="4"/>
      <c r="JR85" s="4"/>
      <c r="JS85" s="4"/>
      <c r="JT85" s="4"/>
      <c r="JU85" s="4"/>
      <c r="JV85" s="4"/>
      <c r="JW85" s="4"/>
      <c r="JX85" s="4"/>
      <c r="JY85" s="4"/>
      <c r="JZ85" s="4"/>
      <c r="KA85" s="4"/>
      <c r="KB85" s="4"/>
      <c r="KC85" s="4"/>
      <c r="KD85" s="4"/>
      <c r="KE85" s="4"/>
      <c r="KF85" s="4"/>
      <c r="KG85" s="4"/>
      <c r="KH85" s="4"/>
      <c r="KI85" s="4"/>
      <c r="KJ85" s="4"/>
      <c r="KK85" s="4"/>
      <c r="KL85" s="4"/>
      <c r="KM85" s="4"/>
      <c r="KN85" s="4"/>
      <c r="KO85" s="4"/>
      <c r="KP85" s="4"/>
      <c r="KQ85" s="4"/>
      <c r="KR85" s="4"/>
      <c r="KS85" s="4"/>
      <c r="KT85" s="4"/>
      <c r="KU85" s="4"/>
      <c r="KV85" s="4"/>
      <c r="KW85" s="4"/>
      <c r="KX85" s="4"/>
      <c r="KY85" s="4"/>
      <c r="KZ85" s="4"/>
      <c r="LA85" s="4"/>
      <c r="LB85" s="4"/>
      <c r="LC85" s="4"/>
      <c r="LD85" s="4"/>
      <c r="LE85" s="4"/>
      <c r="LF85" s="4"/>
      <c r="LG85" s="4"/>
      <c r="LH85" s="4"/>
      <c r="LI85" s="4"/>
      <c r="LJ85" s="4"/>
      <c r="LK85" s="4"/>
      <c r="LL85" s="4"/>
      <c r="LM85" s="4"/>
      <c r="LN85" s="4"/>
      <c r="LO85" s="4"/>
      <c r="LP85" s="4"/>
      <c r="LQ85" s="4"/>
      <c r="LR85" s="4"/>
      <c r="LS85" s="4"/>
      <c r="LT85" s="4"/>
      <c r="LU85" s="4"/>
      <c r="LV85" s="4"/>
      <c r="LW85" s="4"/>
      <c r="LX85" s="4"/>
      <c r="LY85" s="4"/>
      <c r="LZ85" s="4"/>
      <c r="MA85" s="4"/>
      <c r="MB85" s="4"/>
      <c r="MC85" s="4"/>
      <c r="MD85" s="4"/>
      <c r="ME85" s="4"/>
      <c r="MF85" s="4"/>
      <c r="MG85" s="4"/>
      <c r="MH85" s="4"/>
      <c r="MI85" s="4"/>
      <c r="MJ85" s="4"/>
      <c r="MK85" s="4"/>
      <c r="ML85" s="4"/>
      <c r="MM85" s="4"/>
      <c r="MN85" s="4"/>
      <c r="MO85" s="4"/>
      <c r="MP85" s="4"/>
      <c r="MQ85" s="4"/>
      <c r="MR85" s="4"/>
      <c r="MS85" s="4"/>
      <c r="MT85" s="4"/>
      <c r="MU85" s="4"/>
      <c r="MV85" s="4"/>
      <c r="MW85" s="4"/>
      <c r="MX85" s="4"/>
      <c r="MY85" s="4"/>
      <c r="MZ85" s="4"/>
      <c r="NA85" s="4"/>
      <c r="NB85" s="4"/>
      <c r="NC85" s="4"/>
      <c r="ND85" s="4"/>
      <c r="NE85" s="4"/>
      <c r="NF85" s="4"/>
      <c r="NG85" s="4"/>
      <c r="NH85" s="4"/>
      <c r="NI85" s="4"/>
      <c r="NJ85" s="4"/>
      <c r="NK85" s="4"/>
      <c r="NL85" s="4"/>
      <c r="NM85" s="4"/>
      <c r="NN85" s="4"/>
      <c r="NO85" s="4"/>
      <c r="NP85" s="4"/>
      <c r="NQ85" s="4"/>
      <c r="NR85" s="4"/>
      <c r="NS85" s="4"/>
      <c r="NT85" s="4"/>
      <c r="NU85" s="4"/>
      <c r="NV85" s="4"/>
      <c r="NW85" s="4"/>
      <c r="NX85" s="4"/>
      <c r="NY85" s="4"/>
      <c r="NZ85" s="4"/>
      <c r="OA85" s="4"/>
      <c r="OB85" s="4"/>
      <c r="OC85" s="4"/>
      <c r="OD85" s="4"/>
      <c r="OE85" s="4"/>
      <c r="OF85" s="4"/>
      <c r="OG85" s="4"/>
      <c r="OH85" s="4"/>
      <c r="OI85" s="4"/>
    </row>
    <row r="86" spans="1:399" outlineLevel="1">
      <c r="A86" s="116"/>
      <c r="B86" s="116"/>
      <c r="C86" s="116">
        <v>2</v>
      </c>
      <c r="D86" s="3" t="s">
        <v>1227</v>
      </c>
      <c r="E86" s="183"/>
      <c r="F86" s="183" t="s">
        <v>1198</v>
      </c>
      <c r="G86" s="183"/>
      <c r="H86" s="183"/>
      <c r="I86" s="183"/>
      <c r="J86" s="183"/>
      <c r="K86" s="183"/>
      <c r="L86" s="183"/>
      <c r="M86" s="184"/>
      <c r="N86" s="184"/>
      <c r="O86" s="185"/>
      <c r="P86" s="186">
        <v>0</v>
      </c>
      <c r="Q86" s="186">
        <v>0</v>
      </c>
      <c r="R86" s="187">
        <v>2</v>
      </c>
      <c r="S86" s="187">
        <v>2</v>
      </c>
      <c r="T86" s="184"/>
      <c r="U86" s="184"/>
      <c r="V86" s="188">
        <v>0</v>
      </c>
      <c r="W86" s="189">
        <v>0</v>
      </c>
      <c r="X86" s="190">
        <v>1</v>
      </c>
      <c r="Y86" s="185"/>
      <c r="Z86" s="191"/>
      <c r="AA86" s="97">
        <v>0</v>
      </c>
      <c r="AB86" s="192">
        <v>0</v>
      </c>
      <c r="AC86" s="123"/>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c r="ER86" s="4"/>
      <c r="ES86" s="4"/>
      <c r="ET86" s="4"/>
      <c r="EU86" s="4"/>
      <c r="EV86" s="4"/>
      <c r="EW86" s="4"/>
      <c r="EX86" s="4"/>
      <c r="EY86" s="4"/>
      <c r="EZ86" s="4"/>
      <c r="FA86" s="4"/>
      <c r="FB86" s="4"/>
      <c r="FC86" s="4"/>
      <c r="FD86" s="4"/>
      <c r="FE86" s="4"/>
      <c r="FF86" s="4"/>
      <c r="FG86" s="4"/>
      <c r="FH86" s="4"/>
      <c r="FI86" s="4"/>
      <c r="FJ86" s="4"/>
      <c r="FK86" s="4"/>
      <c r="FL86" s="4"/>
      <c r="FM86" s="4"/>
      <c r="FN86" s="4"/>
      <c r="FO86" s="4"/>
      <c r="FP86" s="4"/>
      <c r="FQ86" s="4"/>
      <c r="FR86" s="4"/>
      <c r="FS86" s="4"/>
      <c r="FT86" s="4"/>
      <c r="FU86" s="4"/>
      <c r="FV86" s="4"/>
      <c r="FW86" s="4"/>
      <c r="FX86" s="4"/>
      <c r="FY86" s="4"/>
      <c r="FZ86" s="4"/>
      <c r="GA86" s="4"/>
      <c r="GB86" s="4"/>
      <c r="GC86" s="4"/>
      <c r="GD86" s="4"/>
      <c r="GE86" s="4"/>
      <c r="GF86" s="4"/>
      <c r="GG86" s="4"/>
      <c r="GH86" s="4"/>
      <c r="GI86" s="4"/>
      <c r="GJ86" s="4"/>
      <c r="GK86" s="4"/>
      <c r="GL86" s="4"/>
      <c r="GM86" s="4"/>
      <c r="GN86" s="4"/>
      <c r="GO86" s="4"/>
      <c r="GP86" s="4"/>
      <c r="GQ86" s="4"/>
      <c r="GR86" s="4"/>
      <c r="GS86" s="4"/>
      <c r="GT86" s="4"/>
      <c r="GU86" s="4"/>
      <c r="GV86" s="4"/>
      <c r="GW86" s="4"/>
      <c r="GX86" s="4"/>
      <c r="GY86" s="4"/>
      <c r="GZ86" s="4"/>
      <c r="HA86" s="4"/>
      <c r="HB86" s="4"/>
      <c r="HC86" s="4"/>
      <c r="HD86" s="4"/>
      <c r="HE86" s="4"/>
      <c r="HF86" s="4"/>
      <c r="HG86" s="4"/>
      <c r="HH86" s="4"/>
      <c r="HI86" s="4"/>
      <c r="HJ86" s="4"/>
      <c r="HK86" s="4"/>
      <c r="HL86" s="4"/>
      <c r="HM86" s="4"/>
      <c r="HN86" s="4"/>
      <c r="HO86" s="4"/>
      <c r="HP86" s="4"/>
      <c r="HQ86" s="4"/>
      <c r="HR86" s="4"/>
      <c r="HS86" s="4"/>
      <c r="HT86" s="4"/>
      <c r="HU86" s="4"/>
      <c r="HV86" s="4"/>
      <c r="HW86" s="4"/>
      <c r="HX86" s="4"/>
      <c r="HY86" s="4"/>
      <c r="HZ86" s="4"/>
      <c r="IA86" s="4"/>
      <c r="IB86" s="4"/>
      <c r="IC86" s="4"/>
      <c r="ID86" s="4"/>
      <c r="IE86" s="4"/>
      <c r="IF86" s="4"/>
      <c r="IG86" s="4"/>
      <c r="IH86" s="4"/>
      <c r="II86" s="4"/>
      <c r="IJ86" s="4"/>
      <c r="IK86" s="4"/>
      <c r="IL86" s="4"/>
      <c r="IM86" s="4"/>
      <c r="IN86" s="4"/>
      <c r="IO86" s="4"/>
      <c r="IP86" s="4"/>
      <c r="IQ86" s="4"/>
      <c r="IR86" s="4"/>
      <c r="IS86" s="4"/>
      <c r="IT86" s="4"/>
      <c r="IU86" s="4"/>
      <c r="IV86" s="4"/>
      <c r="IW86" s="4"/>
      <c r="IX86" s="4"/>
      <c r="IY86" s="4"/>
      <c r="IZ86" s="4"/>
      <c r="JA86" s="4"/>
      <c r="JB86" s="4"/>
      <c r="JC86" s="4"/>
      <c r="JD86" s="4"/>
      <c r="JE86" s="4"/>
      <c r="JF86" s="4"/>
      <c r="JG86" s="4"/>
      <c r="JH86" s="4"/>
      <c r="JI86" s="4"/>
      <c r="JJ86" s="4"/>
      <c r="JK86" s="4"/>
      <c r="JL86" s="4"/>
      <c r="JM86" s="4"/>
      <c r="JN86" s="4"/>
      <c r="JO86" s="4"/>
      <c r="JP86" s="4"/>
      <c r="JQ86" s="4"/>
      <c r="JR86" s="4"/>
      <c r="JS86" s="4"/>
      <c r="JT86" s="4"/>
      <c r="JU86" s="4"/>
      <c r="JV86" s="4"/>
      <c r="JW86" s="4"/>
      <c r="JX86" s="4"/>
      <c r="JY86" s="4"/>
      <c r="JZ86" s="4"/>
      <c r="KA86" s="4"/>
      <c r="KB86" s="4"/>
      <c r="KC86" s="4"/>
      <c r="KD86" s="4"/>
      <c r="KE86" s="4"/>
      <c r="KF86" s="4"/>
      <c r="KG86" s="4"/>
      <c r="KH86" s="4"/>
      <c r="KI86" s="4"/>
      <c r="KJ86" s="4"/>
      <c r="KK86" s="4"/>
      <c r="KL86" s="4"/>
      <c r="KM86" s="4"/>
      <c r="KN86" s="4"/>
      <c r="KO86" s="4"/>
      <c r="KP86" s="4"/>
      <c r="KQ86" s="4"/>
      <c r="KR86" s="4"/>
      <c r="KS86" s="4"/>
      <c r="KT86" s="4"/>
      <c r="KU86" s="4"/>
      <c r="KV86" s="4"/>
      <c r="KW86" s="4"/>
      <c r="KX86" s="4"/>
      <c r="KY86" s="4"/>
      <c r="KZ86" s="4"/>
      <c r="LA86" s="4"/>
      <c r="LB86" s="4"/>
      <c r="LC86" s="4"/>
      <c r="LD86" s="4"/>
      <c r="LE86" s="4"/>
      <c r="LF86" s="4"/>
      <c r="LG86" s="4"/>
      <c r="LH86" s="4"/>
      <c r="LI86" s="4"/>
      <c r="LJ86" s="4"/>
      <c r="LK86" s="4"/>
      <c r="LL86" s="4"/>
      <c r="LM86" s="4"/>
      <c r="LN86" s="4"/>
      <c r="LO86" s="4"/>
      <c r="LP86" s="4"/>
      <c r="LQ86" s="4"/>
      <c r="LR86" s="4"/>
      <c r="LS86" s="4"/>
      <c r="LT86" s="4"/>
      <c r="LU86" s="4"/>
      <c r="LV86" s="4"/>
      <c r="LW86" s="4"/>
      <c r="LX86" s="4"/>
      <c r="LY86" s="4"/>
      <c r="LZ86" s="4"/>
      <c r="MA86" s="4"/>
      <c r="MB86" s="4"/>
      <c r="MC86" s="4"/>
      <c r="MD86" s="4"/>
      <c r="ME86" s="4"/>
      <c r="MF86" s="4"/>
      <c r="MG86" s="4"/>
      <c r="MH86" s="4"/>
      <c r="MI86" s="4"/>
      <c r="MJ86" s="4"/>
      <c r="MK86" s="4"/>
      <c r="ML86" s="4"/>
      <c r="MM86" s="4"/>
      <c r="MN86" s="4"/>
      <c r="MO86" s="4"/>
      <c r="MP86" s="4"/>
      <c r="MQ86" s="4"/>
      <c r="MR86" s="4"/>
      <c r="MS86" s="4"/>
      <c r="MT86" s="4"/>
      <c r="MU86" s="4"/>
      <c r="MV86" s="4"/>
      <c r="MW86" s="4"/>
      <c r="MX86" s="4"/>
      <c r="MY86" s="4"/>
      <c r="MZ86" s="4"/>
      <c r="NA86" s="4"/>
      <c r="NB86" s="4"/>
      <c r="NC86" s="4"/>
      <c r="ND86" s="4"/>
      <c r="NE86" s="4"/>
      <c r="NF86" s="4"/>
      <c r="NG86" s="4"/>
      <c r="NH86" s="4"/>
      <c r="NI86" s="4"/>
      <c r="NJ86" s="4"/>
      <c r="NK86" s="4"/>
      <c r="NL86" s="4"/>
      <c r="NM86" s="4"/>
      <c r="NN86" s="4"/>
      <c r="NO86" s="4"/>
      <c r="NP86" s="4"/>
      <c r="NQ86" s="4"/>
      <c r="NR86" s="4"/>
      <c r="NS86" s="4"/>
      <c r="NT86" s="4"/>
      <c r="NU86" s="4"/>
      <c r="NV86" s="4"/>
      <c r="NW86" s="4"/>
      <c r="NX86" s="4"/>
      <c r="NY86" s="4"/>
      <c r="NZ86" s="4"/>
      <c r="OA86" s="4"/>
      <c r="OB86" s="4"/>
      <c r="OC86" s="4"/>
      <c r="OD86" s="4"/>
      <c r="OE86" s="4"/>
      <c r="OF86" s="4"/>
      <c r="OG86" s="4"/>
      <c r="OH86" s="4"/>
      <c r="OI86" s="4"/>
    </row>
    <row r="87" spans="1:399" outlineLevel="1">
      <c r="A87" s="116"/>
      <c r="B87" s="116"/>
      <c r="C87" s="116">
        <v>2</v>
      </c>
      <c r="D87" s="3" t="s">
        <v>1228</v>
      </c>
      <c r="E87" s="183"/>
      <c r="F87" s="183" t="s">
        <v>1178</v>
      </c>
      <c r="G87" s="183"/>
      <c r="H87" s="183"/>
      <c r="I87" s="183"/>
      <c r="J87" s="183"/>
      <c r="K87" s="183"/>
      <c r="L87" s="183"/>
      <c r="M87" s="184"/>
      <c r="N87" s="184"/>
      <c r="O87" s="185"/>
      <c r="P87" s="186">
        <v>0</v>
      </c>
      <c r="Q87" s="186">
        <v>0</v>
      </c>
      <c r="R87" s="187">
        <v>0</v>
      </c>
      <c r="S87" s="187">
        <v>0</v>
      </c>
      <c r="T87" s="184"/>
      <c r="U87" s="184"/>
      <c r="V87" s="188">
        <v>0</v>
      </c>
      <c r="W87" s="189">
        <v>0</v>
      </c>
      <c r="X87" s="190"/>
      <c r="Y87" s="185"/>
      <c r="Z87" s="191"/>
      <c r="AA87" s="97">
        <v>0</v>
      </c>
      <c r="AB87" s="192">
        <v>0</v>
      </c>
      <c r="AC87" s="123"/>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4"/>
      <c r="FC87" s="4"/>
      <c r="FD87" s="4"/>
      <c r="FE87" s="4"/>
      <c r="FF87" s="4"/>
      <c r="FG87" s="4"/>
      <c r="FH87" s="4"/>
      <c r="FI87" s="4"/>
      <c r="FJ87" s="4"/>
      <c r="FK87" s="4"/>
      <c r="FL87" s="4"/>
      <c r="FM87" s="4"/>
      <c r="FN87" s="4"/>
      <c r="FO87" s="4"/>
      <c r="FP87" s="4"/>
      <c r="FQ87" s="4"/>
      <c r="FR87" s="4"/>
      <c r="FS87" s="4"/>
      <c r="FT87" s="4"/>
      <c r="FU87" s="4"/>
      <c r="FV87" s="4"/>
      <c r="FW87" s="4"/>
      <c r="FX87" s="4"/>
      <c r="FY87" s="4"/>
      <c r="FZ87" s="4"/>
      <c r="GA87" s="4"/>
      <c r="GB87" s="4"/>
      <c r="GC87" s="4"/>
      <c r="GD87" s="4"/>
      <c r="GE87" s="4"/>
      <c r="GF87" s="4"/>
      <c r="GG87" s="4"/>
      <c r="GH87" s="4"/>
      <c r="GI87" s="4"/>
      <c r="GJ87" s="4"/>
      <c r="GK87" s="4"/>
      <c r="GL87" s="4"/>
      <c r="GM87" s="4"/>
      <c r="GN87" s="4"/>
      <c r="GO87" s="4"/>
      <c r="GP87" s="4"/>
      <c r="GQ87" s="4"/>
      <c r="GR87" s="4"/>
      <c r="GS87" s="4"/>
      <c r="GT87" s="4"/>
      <c r="GU87" s="4"/>
      <c r="GV87" s="4"/>
      <c r="GW87" s="4"/>
      <c r="GX87" s="4"/>
      <c r="GY87" s="4"/>
      <c r="GZ87" s="4"/>
      <c r="HA87" s="4"/>
      <c r="HB87" s="4"/>
      <c r="HC87" s="4"/>
      <c r="HD87" s="4"/>
      <c r="HE87" s="4"/>
      <c r="HF87" s="4"/>
      <c r="HG87" s="4"/>
      <c r="HH87" s="4"/>
      <c r="HI87" s="4"/>
      <c r="HJ87" s="4"/>
      <c r="HK87" s="4"/>
      <c r="HL87" s="4"/>
      <c r="HM87" s="4"/>
      <c r="HN87" s="4"/>
      <c r="HO87" s="4"/>
      <c r="HP87" s="4"/>
      <c r="HQ87" s="4"/>
      <c r="HR87" s="4"/>
      <c r="HS87" s="4"/>
      <c r="HT87" s="4"/>
      <c r="HU87" s="4"/>
      <c r="HV87" s="4"/>
      <c r="HW87" s="4"/>
      <c r="HX87" s="4"/>
      <c r="HY87" s="4"/>
      <c r="HZ87" s="4"/>
      <c r="IA87" s="4"/>
      <c r="IB87" s="4"/>
      <c r="IC87" s="4"/>
      <c r="ID87" s="4"/>
      <c r="IE87" s="4"/>
      <c r="IF87" s="4"/>
      <c r="IG87" s="4"/>
      <c r="IH87" s="4"/>
      <c r="II87" s="4"/>
      <c r="IJ87" s="4"/>
      <c r="IK87" s="4"/>
      <c r="IL87" s="4"/>
      <c r="IM87" s="4"/>
      <c r="IN87" s="4"/>
      <c r="IO87" s="4"/>
      <c r="IP87" s="4"/>
      <c r="IQ87" s="4"/>
      <c r="IR87" s="4"/>
      <c r="IS87" s="4"/>
      <c r="IT87" s="4"/>
      <c r="IU87" s="4"/>
      <c r="IV87" s="4"/>
      <c r="IW87" s="4"/>
      <c r="IX87" s="4"/>
      <c r="IY87" s="4"/>
      <c r="IZ87" s="4"/>
      <c r="JA87" s="4"/>
      <c r="JB87" s="4"/>
      <c r="JC87" s="4"/>
      <c r="JD87" s="4"/>
      <c r="JE87" s="4"/>
      <c r="JF87" s="4"/>
      <c r="JG87" s="4"/>
      <c r="JH87" s="4"/>
      <c r="JI87" s="4"/>
      <c r="JJ87" s="4"/>
      <c r="JK87" s="4"/>
      <c r="JL87" s="4"/>
      <c r="JM87" s="4"/>
      <c r="JN87" s="4"/>
      <c r="JO87" s="4"/>
      <c r="JP87" s="4"/>
      <c r="JQ87" s="4"/>
      <c r="JR87" s="4"/>
      <c r="JS87" s="4"/>
      <c r="JT87" s="4"/>
      <c r="JU87" s="4"/>
      <c r="JV87" s="4"/>
      <c r="JW87" s="4"/>
      <c r="JX87" s="4"/>
      <c r="JY87" s="4"/>
      <c r="JZ87" s="4"/>
      <c r="KA87" s="4"/>
      <c r="KB87" s="4"/>
      <c r="KC87" s="4"/>
      <c r="KD87" s="4"/>
      <c r="KE87" s="4"/>
      <c r="KF87" s="4"/>
      <c r="KG87" s="4"/>
      <c r="KH87" s="4"/>
      <c r="KI87" s="4"/>
      <c r="KJ87" s="4"/>
      <c r="KK87" s="4"/>
      <c r="KL87" s="4"/>
      <c r="KM87" s="4"/>
      <c r="KN87" s="4"/>
      <c r="KO87" s="4"/>
      <c r="KP87" s="4"/>
      <c r="KQ87" s="4"/>
      <c r="KR87" s="4"/>
      <c r="KS87" s="4"/>
      <c r="KT87" s="4"/>
      <c r="KU87" s="4"/>
      <c r="KV87" s="4"/>
      <c r="KW87" s="4"/>
      <c r="KX87" s="4"/>
      <c r="KY87" s="4"/>
      <c r="KZ87" s="4"/>
      <c r="LA87" s="4"/>
      <c r="LB87" s="4"/>
      <c r="LC87" s="4"/>
      <c r="LD87" s="4"/>
      <c r="LE87" s="4"/>
      <c r="LF87" s="4"/>
      <c r="LG87" s="4"/>
      <c r="LH87" s="4"/>
      <c r="LI87" s="4"/>
      <c r="LJ87" s="4"/>
      <c r="LK87" s="4"/>
      <c r="LL87" s="4"/>
      <c r="LM87" s="4"/>
      <c r="LN87" s="4"/>
      <c r="LO87" s="4"/>
      <c r="LP87" s="4"/>
      <c r="LQ87" s="4"/>
      <c r="LR87" s="4"/>
      <c r="LS87" s="4"/>
      <c r="LT87" s="4"/>
      <c r="LU87" s="4"/>
      <c r="LV87" s="4"/>
      <c r="LW87" s="4"/>
      <c r="LX87" s="4"/>
      <c r="LY87" s="4"/>
      <c r="LZ87" s="4"/>
      <c r="MA87" s="4"/>
      <c r="MB87" s="4"/>
      <c r="MC87" s="4"/>
      <c r="MD87" s="4"/>
      <c r="ME87" s="4"/>
      <c r="MF87" s="4"/>
      <c r="MG87" s="4"/>
      <c r="MH87" s="4"/>
      <c r="MI87" s="4"/>
      <c r="MJ87" s="4"/>
      <c r="MK87" s="4"/>
      <c r="ML87" s="4"/>
      <c r="MM87" s="4"/>
      <c r="MN87" s="4"/>
      <c r="MO87" s="4"/>
      <c r="MP87" s="4"/>
      <c r="MQ87" s="4"/>
      <c r="MR87" s="4"/>
      <c r="MS87" s="4"/>
      <c r="MT87" s="4"/>
      <c r="MU87" s="4"/>
      <c r="MV87" s="4"/>
      <c r="MW87" s="4"/>
      <c r="MX87" s="4"/>
      <c r="MY87" s="4"/>
      <c r="MZ87" s="4"/>
      <c r="NA87" s="4"/>
      <c r="NB87" s="4"/>
      <c r="NC87" s="4"/>
      <c r="ND87" s="4"/>
      <c r="NE87" s="4"/>
      <c r="NF87" s="4"/>
      <c r="NG87" s="4"/>
      <c r="NH87" s="4"/>
      <c r="NI87" s="4"/>
      <c r="NJ87" s="4"/>
      <c r="NK87" s="4"/>
      <c r="NL87" s="4"/>
      <c r="NM87" s="4"/>
      <c r="NN87" s="4"/>
      <c r="NO87" s="4"/>
      <c r="NP87" s="4"/>
      <c r="NQ87" s="4"/>
      <c r="NR87" s="4"/>
      <c r="NS87" s="4"/>
      <c r="NT87" s="4"/>
      <c r="NU87" s="4"/>
      <c r="NV87" s="4"/>
      <c r="NW87" s="4"/>
      <c r="NX87" s="4"/>
      <c r="NY87" s="4"/>
      <c r="NZ87" s="4"/>
      <c r="OA87" s="4"/>
      <c r="OB87" s="4"/>
      <c r="OC87" s="4"/>
      <c r="OD87" s="4"/>
      <c r="OE87" s="4"/>
      <c r="OF87" s="4"/>
      <c r="OG87" s="4"/>
      <c r="OH87" s="4"/>
      <c r="OI87" s="4"/>
    </row>
    <row r="88" spans="1:399" outlineLevel="1">
      <c r="A88" s="116"/>
      <c r="B88" s="116"/>
      <c r="C88" s="116">
        <v>2</v>
      </c>
      <c r="D88" s="3" t="s">
        <v>1229</v>
      </c>
      <c r="E88" s="183"/>
      <c r="F88" s="183" t="s">
        <v>1179</v>
      </c>
      <c r="G88" s="183"/>
      <c r="H88" s="183"/>
      <c r="I88" s="183"/>
      <c r="J88" s="183"/>
      <c r="K88" s="183"/>
      <c r="L88" s="183"/>
      <c r="M88" s="184"/>
      <c r="N88" s="184"/>
      <c r="O88" s="185"/>
      <c r="P88" s="186">
        <v>0</v>
      </c>
      <c r="Q88" s="186">
        <v>0</v>
      </c>
      <c r="R88" s="187">
        <v>0</v>
      </c>
      <c r="S88" s="187">
        <v>0</v>
      </c>
      <c r="T88" s="184"/>
      <c r="U88" s="184"/>
      <c r="V88" s="188">
        <v>0</v>
      </c>
      <c r="W88" s="189">
        <v>0</v>
      </c>
      <c r="X88" s="190"/>
      <c r="Y88" s="185"/>
      <c r="Z88" s="191"/>
      <c r="AA88" s="97">
        <v>0</v>
      </c>
      <c r="AB88" s="192">
        <v>0</v>
      </c>
      <c r="AC88" s="123"/>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c r="FF88" s="4"/>
      <c r="FG88" s="4"/>
      <c r="FH88" s="4"/>
      <c r="FI88" s="4"/>
      <c r="FJ88" s="4"/>
      <c r="FK88" s="4"/>
      <c r="FL88" s="4"/>
      <c r="FM88" s="4"/>
      <c r="FN88" s="4"/>
      <c r="FO88" s="4"/>
      <c r="FP88" s="4"/>
      <c r="FQ88" s="4"/>
      <c r="FR88" s="4"/>
      <c r="FS88" s="4"/>
      <c r="FT88" s="4"/>
      <c r="FU88" s="4"/>
      <c r="FV88" s="4"/>
      <c r="FW88" s="4"/>
      <c r="FX88" s="4"/>
      <c r="FY88" s="4"/>
      <c r="FZ88" s="4"/>
      <c r="GA88" s="4"/>
      <c r="GB88" s="4"/>
      <c r="GC88" s="4"/>
      <c r="GD88" s="4"/>
      <c r="GE88" s="4"/>
      <c r="GF88" s="4"/>
      <c r="GG88" s="4"/>
      <c r="GH88" s="4"/>
      <c r="GI88" s="4"/>
      <c r="GJ88" s="4"/>
      <c r="GK88" s="4"/>
      <c r="GL88" s="4"/>
      <c r="GM88" s="4"/>
      <c r="GN88" s="4"/>
      <c r="GO88" s="4"/>
      <c r="GP88" s="4"/>
      <c r="GQ88" s="4"/>
      <c r="GR88" s="4"/>
      <c r="GS88" s="4"/>
      <c r="GT88" s="4"/>
      <c r="GU88" s="4"/>
      <c r="GV88" s="4"/>
      <c r="GW88" s="4"/>
      <c r="GX88" s="4"/>
      <c r="GY88" s="4"/>
      <c r="GZ88" s="4"/>
      <c r="HA88" s="4"/>
      <c r="HB88" s="4"/>
      <c r="HC88" s="4"/>
      <c r="HD88" s="4"/>
      <c r="HE88" s="4"/>
      <c r="HF88" s="4"/>
      <c r="HG88" s="4"/>
      <c r="HH88" s="4"/>
      <c r="HI88" s="4"/>
      <c r="HJ88" s="4"/>
      <c r="HK88" s="4"/>
      <c r="HL88" s="4"/>
      <c r="HM88" s="4"/>
      <c r="HN88" s="4"/>
      <c r="HO88" s="4"/>
      <c r="HP88" s="4"/>
      <c r="HQ88" s="4"/>
      <c r="HR88" s="4"/>
      <c r="HS88" s="4"/>
      <c r="HT88" s="4"/>
      <c r="HU88" s="4"/>
      <c r="HV88" s="4"/>
      <c r="HW88" s="4"/>
      <c r="HX88" s="4"/>
      <c r="HY88" s="4"/>
      <c r="HZ88" s="4"/>
      <c r="IA88" s="4"/>
      <c r="IB88" s="4"/>
      <c r="IC88" s="4"/>
      <c r="ID88" s="4"/>
      <c r="IE88" s="4"/>
      <c r="IF88" s="4"/>
      <c r="IG88" s="4"/>
      <c r="IH88" s="4"/>
      <c r="II88" s="4"/>
      <c r="IJ88" s="4"/>
      <c r="IK88" s="4"/>
      <c r="IL88" s="4"/>
      <c r="IM88" s="4"/>
      <c r="IN88" s="4"/>
      <c r="IO88" s="4"/>
      <c r="IP88" s="4"/>
      <c r="IQ88" s="4"/>
      <c r="IR88" s="4"/>
      <c r="IS88" s="4"/>
      <c r="IT88" s="4"/>
      <c r="IU88" s="4"/>
      <c r="IV88" s="4"/>
      <c r="IW88" s="4"/>
      <c r="IX88" s="4"/>
      <c r="IY88" s="4"/>
      <c r="IZ88" s="4"/>
      <c r="JA88" s="4"/>
      <c r="JB88" s="4"/>
      <c r="JC88" s="4"/>
      <c r="JD88" s="4"/>
      <c r="JE88" s="4"/>
      <c r="JF88" s="4"/>
      <c r="JG88" s="4"/>
      <c r="JH88" s="4"/>
      <c r="JI88" s="4"/>
      <c r="JJ88" s="4"/>
      <c r="JK88" s="4"/>
      <c r="JL88" s="4"/>
      <c r="JM88" s="4"/>
      <c r="JN88" s="4"/>
      <c r="JO88" s="4"/>
      <c r="JP88" s="4"/>
      <c r="JQ88" s="4"/>
      <c r="JR88" s="4"/>
      <c r="JS88" s="4"/>
      <c r="JT88" s="4"/>
      <c r="JU88" s="4"/>
      <c r="JV88" s="4"/>
      <c r="JW88" s="4"/>
      <c r="JX88" s="4"/>
      <c r="JY88" s="4"/>
      <c r="JZ88" s="4"/>
      <c r="KA88" s="4"/>
      <c r="KB88" s="4"/>
      <c r="KC88" s="4"/>
      <c r="KD88" s="4"/>
      <c r="KE88" s="4"/>
      <c r="KF88" s="4"/>
      <c r="KG88" s="4"/>
      <c r="KH88" s="4"/>
      <c r="KI88" s="4"/>
      <c r="KJ88" s="4"/>
      <c r="KK88" s="4"/>
      <c r="KL88" s="4"/>
      <c r="KM88" s="4"/>
      <c r="KN88" s="4"/>
      <c r="KO88" s="4"/>
      <c r="KP88" s="4"/>
      <c r="KQ88" s="4"/>
      <c r="KR88" s="4"/>
      <c r="KS88" s="4"/>
      <c r="KT88" s="4"/>
      <c r="KU88" s="4"/>
      <c r="KV88" s="4"/>
      <c r="KW88" s="4"/>
      <c r="KX88" s="4"/>
      <c r="KY88" s="4"/>
      <c r="KZ88" s="4"/>
      <c r="LA88" s="4"/>
      <c r="LB88" s="4"/>
      <c r="LC88" s="4"/>
      <c r="LD88" s="4"/>
      <c r="LE88" s="4"/>
      <c r="LF88" s="4"/>
      <c r="LG88" s="4"/>
      <c r="LH88" s="4"/>
      <c r="LI88" s="4"/>
      <c r="LJ88" s="4"/>
      <c r="LK88" s="4"/>
      <c r="LL88" s="4"/>
      <c r="LM88" s="4"/>
      <c r="LN88" s="4"/>
      <c r="LO88" s="4"/>
      <c r="LP88" s="4"/>
      <c r="LQ88" s="4"/>
      <c r="LR88" s="4"/>
      <c r="LS88" s="4"/>
      <c r="LT88" s="4"/>
      <c r="LU88" s="4"/>
      <c r="LV88" s="4"/>
      <c r="LW88" s="4"/>
      <c r="LX88" s="4"/>
      <c r="LY88" s="4"/>
      <c r="LZ88" s="4"/>
      <c r="MA88" s="4"/>
      <c r="MB88" s="4"/>
      <c r="MC88" s="4"/>
      <c r="MD88" s="4"/>
      <c r="ME88" s="4"/>
      <c r="MF88" s="4"/>
      <c r="MG88" s="4"/>
      <c r="MH88" s="4"/>
      <c r="MI88" s="4"/>
      <c r="MJ88" s="4"/>
      <c r="MK88" s="4"/>
      <c r="ML88" s="4"/>
      <c r="MM88" s="4"/>
      <c r="MN88" s="4"/>
      <c r="MO88" s="4"/>
      <c r="MP88" s="4"/>
      <c r="MQ88" s="4"/>
      <c r="MR88" s="4"/>
      <c r="MS88" s="4"/>
      <c r="MT88" s="4"/>
      <c r="MU88" s="4"/>
      <c r="MV88" s="4"/>
      <c r="MW88" s="4"/>
      <c r="MX88" s="4"/>
      <c r="MY88" s="4"/>
      <c r="MZ88" s="4"/>
      <c r="NA88" s="4"/>
      <c r="NB88" s="4"/>
      <c r="NC88" s="4"/>
      <c r="ND88" s="4"/>
      <c r="NE88" s="4"/>
      <c r="NF88" s="4"/>
      <c r="NG88" s="4"/>
      <c r="NH88" s="4"/>
      <c r="NI88" s="4"/>
      <c r="NJ88" s="4"/>
      <c r="NK88" s="4"/>
      <c r="NL88" s="4"/>
      <c r="NM88" s="4"/>
      <c r="NN88" s="4"/>
      <c r="NO88" s="4"/>
      <c r="NP88" s="4"/>
      <c r="NQ88" s="4"/>
      <c r="NR88" s="4"/>
      <c r="NS88" s="4"/>
      <c r="NT88" s="4"/>
      <c r="NU88" s="4"/>
      <c r="NV88" s="4"/>
      <c r="NW88" s="4"/>
      <c r="NX88" s="4"/>
      <c r="NY88" s="4"/>
      <c r="NZ88" s="4"/>
      <c r="OA88" s="4"/>
      <c r="OB88" s="4"/>
      <c r="OC88" s="4"/>
      <c r="OD88" s="4"/>
      <c r="OE88" s="4"/>
      <c r="OF88" s="4"/>
      <c r="OG88" s="4"/>
      <c r="OH88" s="4"/>
      <c r="OI88" s="4"/>
    </row>
    <row r="89" spans="1:399" outlineLevel="1">
      <c r="A89" s="116"/>
      <c r="B89" s="116"/>
      <c r="C89" s="116">
        <v>2</v>
      </c>
      <c r="D89" s="3" t="s">
        <v>1230</v>
      </c>
      <c r="E89" s="183"/>
      <c r="F89" s="183" t="s">
        <v>1180</v>
      </c>
      <c r="G89" s="183"/>
      <c r="H89" s="183"/>
      <c r="I89" s="183"/>
      <c r="J89" s="183"/>
      <c r="K89" s="183"/>
      <c r="L89" s="183"/>
      <c r="M89" s="184"/>
      <c r="N89" s="184"/>
      <c r="O89" s="185"/>
      <c r="P89" s="186">
        <v>0</v>
      </c>
      <c r="Q89" s="186">
        <v>0</v>
      </c>
      <c r="R89" s="187">
        <v>0</v>
      </c>
      <c r="S89" s="187">
        <v>0</v>
      </c>
      <c r="T89" s="184"/>
      <c r="U89" s="184"/>
      <c r="V89" s="188">
        <v>0</v>
      </c>
      <c r="W89" s="189">
        <v>0</v>
      </c>
      <c r="X89" s="190"/>
      <c r="Y89" s="185"/>
      <c r="Z89" s="191"/>
      <c r="AA89" s="97">
        <v>0</v>
      </c>
      <c r="AB89" s="192">
        <v>0</v>
      </c>
      <c r="AC89" s="123"/>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c r="EY89" s="4"/>
      <c r="EZ89" s="4"/>
      <c r="FA89" s="4"/>
      <c r="FB89" s="4"/>
      <c r="FC89" s="4"/>
      <c r="FD89" s="4"/>
      <c r="FE89" s="4"/>
      <c r="FF89" s="4"/>
      <c r="FG89" s="4"/>
      <c r="FH89" s="4"/>
      <c r="FI89" s="4"/>
      <c r="FJ89" s="4"/>
      <c r="FK89" s="4"/>
      <c r="FL89" s="4"/>
      <c r="FM89" s="4"/>
      <c r="FN89" s="4"/>
      <c r="FO89" s="4"/>
      <c r="FP89" s="4"/>
      <c r="FQ89" s="4"/>
      <c r="FR89" s="4"/>
      <c r="FS89" s="4"/>
      <c r="FT89" s="4"/>
      <c r="FU89" s="4"/>
      <c r="FV89" s="4"/>
      <c r="FW89" s="4"/>
      <c r="FX89" s="4"/>
      <c r="FY89" s="4"/>
      <c r="FZ89" s="4"/>
      <c r="GA89" s="4"/>
      <c r="GB89" s="4"/>
      <c r="GC89" s="4"/>
      <c r="GD89" s="4"/>
      <c r="GE89" s="4"/>
      <c r="GF89" s="4"/>
      <c r="GG89" s="4"/>
      <c r="GH89" s="4"/>
      <c r="GI89" s="4"/>
      <c r="GJ89" s="4"/>
      <c r="GK89" s="4"/>
      <c r="GL89" s="4"/>
      <c r="GM89" s="4"/>
      <c r="GN89" s="4"/>
      <c r="GO89" s="4"/>
      <c r="GP89" s="4"/>
      <c r="GQ89" s="4"/>
      <c r="GR89" s="4"/>
      <c r="GS89" s="4"/>
      <c r="GT89" s="4"/>
      <c r="GU89" s="4"/>
      <c r="GV89" s="4"/>
      <c r="GW89" s="4"/>
      <c r="GX89" s="4"/>
      <c r="GY89" s="4"/>
      <c r="GZ89" s="4"/>
      <c r="HA89" s="4"/>
      <c r="HB89" s="4"/>
      <c r="HC89" s="4"/>
      <c r="HD89" s="4"/>
      <c r="HE89" s="4"/>
      <c r="HF89" s="4"/>
      <c r="HG89" s="4"/>
      <c r="HH89" s="4"/>
      <c r="HI89" s="4"/>
      <c r="HJ89" s="4"/>
      <c r="HK89" s="4"/>
      <c r="HL89" s="4"/>
      <c r="HM89" s="4"/>
      <c r="HN89" s="4"/>
      <c r="HO89" s="4"/>
      <c r="HP89" s="4"/>
      <c r="HQ89" s="4"/>
      <c r="HR89" s="4"/>
      <c r="HS89" s="4"/>
      <c r="HT89" s="4"/>
      <c r="HU89" s="4"/>
      <c r="HV89" s="4"/>
      <c r="HW89" s="4"/>
      <c r="HX89" s="4"/>
      <c r="HY89" s="4"/>
      <c r="HZ89" s="4"/>
      <c r="IA89" s="4"/>
      <c r="IB89" s="4"/>
      <c r="IC89" s="4"/>
      <c r="ID89" s="4"/>
      <c r="IE89" s="4"/>
      <c r="IF89" s="4"/>
      <c r="IG89" s="4"/>
      <c r="IH89" s="4"/>
      <c r="II89" s="4"/>
      <c r="IJ89" s="4"/>
      <c r="IK89" s="4"/>
      <c r="IL89" s="4"/>
      <c r="IM89" s="4"/>
      <c r="IN89" s="4"/>
      <c r="IO89" s="4"/>
      <c r="IP89" s="4"/>
      <c r="IQ89" s="4"/>
      <c r="IR89" s="4"/>
      <c r="IS89" s="4"/>
      <c r="IT89" s="4"/>
      <c r="IU89" s="4"/>
      <c r="IV89" s="4"/>
      <c r="IW89" s="4"/>
      <c r="IX89" s="4"/>
      <c r="IY89" s="4"/>
      <c r="IZ89" s="4"/>
      <c r="JA89" s="4"/>
      <c r="JB89" s="4"/>
      <c r="JC89" s="4"/>
      <c r="JD89" s="4"/>
      <c r="JE89" s="4"/>
      <c r="JF89" s="4"/>
      <c r="JG89" s="4"/>
      <c r="JH89" s="4"/>
      <c r="JI89" s="4"/>
      <c r="JJ89" s="4"/>
      <c r="JK89" s="4"/>
      <c r="JL89" s="4"/>
      <c r="JM89" s="4"/>
      <c r="JN89" s="4"/>
      <c r="JO89" s="4"/>
      <c r="JP89" s="4"/>
      <c r="JQ89" s="4"/>
      <c r="JR89" s="4"/>
      <c r="JS89" s="4"/>
      <c r="JT89" s="4"/>
      <c r="JU89" s="4"/>
      <c r="JV89" s="4"/>
      <c r="JW89" s="4"/>
      <c r="JX89" s="4"/>
      <c r="JY89" s="4"/>
      <c r="JZ89" s="4"/>
      <c r="KA89" s="4"/>
      <c r="KB89" s="4"/>
      <c r="KC89" s="4"/>
      <c r="KD89" s="4"/>
      <c r="KE89" s="4"/>
      <c r="KF89" s="4"/>
      <c r="KG89" s="4"/>
      <c r="KH89" s="4"/>
      <c r="KI89" s="4"/>
      <c r="KJ89" s="4"/>
      <c r="KK89" s="4"/>
      <c r="KL89" s="4"/>
      <c r="KM89" s="4"/>
      <c r="KN89" s="4"/>
      <c r="KO89" s="4"/>
      <c r="KP89" s="4"/>
      <c r="KQ89" s="4"/>
      <c r="KR89" s="4"/>
      <c r="KS89" s="4"/>
      <c r="KT89" s="4"/>
      <c r="KU89" s="4"/>
      <c r="KV89" s="4"/>
      <c r="KW89" s="4"/>
      <c r="KX89" s="4"/>
      <c r="KY89" s="4"/>
      <c r="KZ89" s="4"/>
      <c r="LA89" s="4"/>
      <c r="LB89" s="4"/>
      <c r="LC89" s="4"/>
      <c r="LD89" s="4"/>
      <c r="LE89" s="4"/>
      <c r="LF89" s="4"/>
      <c r="LG89" s="4"/>
      <c r="LH89" s="4"/>
      <c r="LI89" s="4"/>
      <c r="LJ89" s="4"/>
      <c r="LK89" s="4"/>
      <c r="LL89" s="4"/>
      <c r="LM89" s="4"/>
      <c r="LN89" s="4"/>
      <c r="LO89" s="4"/>
      <c r="LP89" s="4"/>
      <c r="LQ89" s="4"/>
      <c r="LR89" s="4"/>
      <c r="LS89" s="4"/>
      <c r="LT89" s="4"/>
      <c r="LU89" s="4"/>
      <c r="LV89" s="4"/>
      <c r="LW89" s="4"/>
      <c r="LX89" s="4"/>
      <c r="LY89" s="4"/>
      <c r="LZ89" s="4"/>
      <c r="MA89" s="4"/>
      <c r="MB89" s="4"/>
      <c r="MC89" s="4"/>
      <c r="MD89" s="4"/>
      <c r="ME89" s="4"/>
      <c r="MF89" s="4"/>
      <c r="MG89" s="4"/>
      <c r="MH89" s="4"/>
      <c r="MI89" s="4"/>
      <c r="MJ89" s="4"/>
      <c r="MK89" s="4"/>
      <c r="ML89" s="4"/>
      <c r="MM89" s="4"/>
      <c r="MN89" s="4"/>
      <c r="MO89" s="4"/>
      <c r="MP89" s="4"/>
      <c r="MQ89" s="4"/>
      <c r="MR89" s="4"/>
      <c r="MS89" s="4"/>
      <c r="MT89" s="4"/>
      <c r="MU89" s="4"/>
      <c r="MV89" s="4"/>
      <c r="MW89" s="4"/>
      <c r="MX89" s="4"/>
      <c r="MY89" s="4"/>
      <c r="MZ89" s="4"/>
      <c r="NA89" s="4"/>
      <c r="NB89" s="4"/>
      <c r="NC89" s="4"/>
      <c r="ND89" s="4"/>
      <c r="NE89" s="4"/>
      <c r="NF89" s="4"/>
      <c r="NG89" s="4"/>
      <c r="NH89" s="4"/>
      <c r="NI89" s="4"/>
      <c r="NJ89" s="4"/>
      <c r="NK89" s="4"/>
      <c r="NL89" s="4"/>
      <c r="NM89" s="4"/>
      <c r="NN89" s="4"/>
      <c r="NO89" s="4"/>
      <c r="NP89" s="4"/>
      <c r="NQ89" s="4"/>
      <c r="NR89" s="4"/>
      <c r="NS89" s="4"/>
      <c r="NT89" s="4"/>
      <c r="NU89" s="4"/>
      <c r="NV89" s="4"/>
      <c r="NW89" s="4"/>
      <c r="NX89" s="4"/>
      <c r="NY89" s="4"/>
      <c r="NZ89" s="4"/>
      <c r="OA89" s="4"/>
      <c r="OB89" s="4"/>
      <c r="OC89" s="4"/>
      <c r="OD89" s="4"/>
      <c r="OE89" s="4"/>
      <c r="OF89" s="4"/>
      <c r="OG89" s="4"/>
      <c r="OH89" s="4"/>
      <c r="OI89" s="4"/>
    </row>
    <row r="90" spans="1:399" outlineLevel="1">
      <c r="A90" s="116"/>
      <c r="B90" s="116"/>
      <c r="C90" s="116">
        <v>2</v>
      </c>
      <c r="D90" s="3" t="s">
        <v>1231</v>
      </c>
      <c r="E90" s="183"/>
      <c r="F90" s="183" t="s">
        <v>1199</v>
      </c>
      <c r="G90" s="183"/>
      <c r="H90" s="183"/>
      <c r="I90" s="183"/>
      <c r="J90" s="183"/>
      <c r="K90" s="183"/>
      <c r="L90" s="183"/>
      <c r="M90" s="184"/>
      <c r="N90" s="184"/>
      <c r="O90" s="185"/>
      <c r="P90" s="186">
        <v>0</v>
      </c>
      <c r="Q90" s="186">
        <v>0</v>
      </c>
      <c r="R90" s="187">
        <v>0</v>
      </c>
      <c r="S90" s="187">
        <v>0</v>
      </c>
      <c r="T90" s="184"/>
      <c r="U90" s="184"/>
      <c r="V90" s="188">
        <v>0</v>
      </c>
      <c r="W90" s="189">
        <v>0</v>
      </c>
      <c r="X90" s="190"/>
      <c r="Y90" s="185" t="s">
        <v>1181</v>
      </c>
      <c r="Z90" s="191"/>
      <c r="AA90" s="97">
        <v>0</v>
      </c>
      <c r="AB90" s="192">
        <v>0</v>
      </c>
      <c r="AC90" s="123"/>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4"/>
      <c r="FC90" s="4"/>
      <c r="FD90" s="4"/>
      <c r="FE90" s="4"/>
      <c r="FF90" s="4"/>
      <c r="FG90" s="4"/>
      <c r="FH90" s="4"/>
      <c r="FI90" s="4"/>
      <c r="FJ90" s="4"/>
      <c r="FK90" s="4"/>
      <c r="FL90" s="4"/>
      <c r="FM90" s="4"/>
      <c r="FN90" s="4"/>
      <c r="FO90" s="4"/>
      <c r="FP90" s="4"/>
      <c r="FQ90" s="4"/>
      <c r="FR90" s="4"/>
      <c r="FS90" s="4"/>
      <c r="FT90" s="4"/>
      <c r="FU90" s="4"/>
      <c r="FV90" s="4"/>
      <c r="FW90" s="4"/>
      <c r="FX90" s="4"/>
      <c r="FY90" s="4"/>
      <c r="FZ90" s="4"/>
      <c r="GA90" s="4"/>
      <c r="GB90" s="4"/>
      <c r="GC90" s="4"/>
      <c r="GD90" s="4"/>
      <c r="GE90" s="4"/>
      <c r="GF90" s="4"/>
      <c r="GG90" s="4"/>
      <c r="GH90" s="4"/>
      <c r="GI90" s="4"/>
      <c r="GJ90" s="4"/>
      <c r="GK90" s="4"/>
      <c r="GL90" s="4"/>
      <c r="GM90" s="4"/>
      <c r="GN90" s="4"/>
      <c r="GO90" s="4"/>
      <c r="GP90" s="4"/>
      <c r="GQ90" s="4"/>
      <c r="GR90" s="4"/>
      <c r="GS90" s="4"/>
      <c r="GT90" s="4"/>
      <c r="GU90" s="4"/>
      <c r="GV90" s="4"/>
      <c r="GW90" s="4"/>
      <c r="GX90" s="4"/>
      <c r="GY90" s="4"/>
      <c r="GZ90" s="4"/>
      <c r="HA90" s="4"/>
      <c r="HB90" s="4"/>
      <c r="HC90" s="4"/>
      <c r="HD90" s="4"/>
      <c r="HE90" s="4"/>
      <c r="HF90" s="4"/>
      <c r="HG90" s="4"/>
      <c r="HH90" s="4"/>
      <c r="HI90" s="4"/>
      <c r="HJ90" s="4"/>
      <c r="HK90" s="4"/>
      <c r="HL90" s="4"/>
      <c r="HM90" s="4"/>
      <c r="HN90" s="4"/>
      <c r="HO90" s="4"/>
      <c r="HP90" s="4"/>
      <c r="HQ90" s="4"/>
      <c r="HR90" s="4"/>
      <c r="HS90" s="4"/>
      <c r="HT90" s="4"/>
      <c r="HU90" s="4"/>
      <c r="HV90" s="4"/>
      <c r="HW90" s="4"/>
      <c r="HX90" s="4"/>
      <c r="HY90" s="4"/>
      <c r="HZ90" s="4"/>
      <c r="IA90" s="4"/>
      <c r="IB90" s="4"/>
      <c r="IC90" s="4"/>
      <c r="ID90" s="4"/>
      <c r="IE90" s="4"/>
      <c r="IF90" s="4"/>
      <c r="IG90" s="4"/>
      <c r="IH90" s="4"/>
      <c r="II90" s="4"/>
      <c r="IJ90" s="4"/>
      <c r="IK90" s="4"/>
      <c r="IL90" s="4"/>
      <c r="IM90" s="4"/>
      <c r="IN90" s="4"/>
      <c r="IO90" s="4"/>
      <c r="IP90" s="4"/>
      <c r="IQ90" s="4"/>
      <c r="IR90" s="4"/>
      <c r="IS90" s="4"/>
      <c r="IT90" s="4"/>
      <c r="IU90" s="4"/>
      <c r="IV90" s="4"/>
      <c r="IW90" s="4"/>
      <c r="IX90" s="4"/>
      <c r="IY90" s="4"/>
      <c r="IZ90" s="4"/>
      <c r="JA90" s="4"/>
      <c r="JB90" s="4"/>
      <c r="JC90" s="4"/>
      <c r="JD90" s="4"/>
      <c r="JE90" s="4"/>
      <c r="JF90" s="4"/>
      <c r="JG90" s="4"/>
      <c r="JH90" s="4"/>
      <c r="JI90" s="4"/>
      <c r="JJ90" s="4"/>
      <c r="JK90" s="4"/>
      <c r="JL90" s="4"/>
      <c r="JM90" s="4"/>
      <c r="JN90" s="4"/>
      <c r="JO90" s="4"/>
      <c r="JP90" s="4"/>
      <c r="JQ90" s="4"/>
      <c r="JR90" s="4"/>
      <c r="JS90" s="4"/>
      <c r="JT90" s="4"/>
      <c r="JU90" s="4"/>
      <c r="JV90" s="4"/>
      <c r="JW90" s="4"/>
      <c r="JX90" s="4"/>
      <c r="JY90" s="4"/>
      <c r="JZ90" s="4"/>
      <c r="KA90" s="4"/>
      <c r="KB90" s="4"/>
      <c r="KC90" s="4"/>
      <c r="KD90" s="4"/>
      <c r="KE90" s="4"/>
      <c r="KF90" s="4"/>
      <c r="KG90" s="4"/>
      <c r="KH90" s="4"/>
      <c r="KI90" s="4"/>
      <c r="KJ90" s="4"/>
      <c r="KK90" s="4"/>
      <c r="KL90" s="4"/>
      <c r="KM90" s="4"/>
      <c r="KN90" s="4"/>
      <c r="KO90" s="4"/>
      <c r="KP90" s="4"/>
      <c r="KQ90" s="4"/>
      <c r="KR90" s="4"/>
      <c r="KS90" s="4"/>
      <c r="KT90" s="4"/>
      <c r="KU90" s="4"/>
      <c r="KV90" s="4"/>
      <c r="KW90" s="4"/>
      <c r="KX90" s="4"/>
      <c r="KY90" s="4"/>
      <c r="KZ90" s="4"/>
      <c r="LA90" s="4"/>
      <c r="LB90" s="4"/>
      <c r="LC90" s="4"/>
      <c r="LD90" s="4"/>
      <c r="LE90" s="4"/>
      <c r="LF90" s="4"/>
      <c r="LG90" s="4"/>
      <c r="LH90" s="4"/>
      <c r="LI90" s="4"/>
      <c r="LJ90" s="4"/>
      <c r="LK90" s="4"/>
      <c r="LL90" s="4"/>
      <c r="LM90" s="4"/>
      <c r="LN90" s="4"/>
      <c r="LO90" s="4"/>
      <c r="LP90" s="4"/>
      <c r="LQ90" s="4"/>
      <c r="LR90" s="4"/>
      <c r="LS90" s="4"/>
      <c r="LT90" s="4"/>
      <c r="LU90" s="4"/>
      <c r="LV90" s="4"/>
      <c r="LW90" s="4"/>
      <c r="LX90" s="4"/>
      <c r="LY90" s="4"/>
      <c r="LZ90" s="4"/>
      <c r="MA90" s="4"/>
      <c r="MB90" s="4"/>
      <c r="MC90" s="4"/>
      <c r="MD90" s="4"/>
      <c r="ME90" s="4"/>
      <c r="MF90" s="4"/>
      <c r="MG90" s="4"/>
      <c r="MH90" s="4"/>
      <c r="MI90" s="4"/>
      <c r="MJ90" s="4"/>
      <c r="MK90" s="4"/>
      <c r="ML90" s="4"/>
      <c r="MM90" s="4"/>
      <c r="MN90" s="4"/>
      <c r="MO90" s="4"/>
      <c r="MP90" s="4"/>
      <c r="MQ90" s="4"/>
      <c r="MR90" s="4"/>
      <c r="MS90" s="4"/>
      <c r="MT90" s="4"/>
      <c r="MU90" s="4"/>
      <c r="MV90" s="4"/>
      <c r="MW90" s="4"/>
      <c r="MX90" s="4"/>
      <c r="MY90" s="4"/>
      <c r="MZ90" s="4"/>
      <c r="NA90" s="4"/>
      <c r="NB90" s="4"/>
      <c r="NC90" s="4"/>
      <c r="ND90" s="4"/>
      <c r="NE90" s="4"/>
      <c r="NF90" s="4"/>
      <c r="NG90" s="4"/>
      <c r="NH90" s="4"/>
      <c r="NI90" s="4"/>
      <c r="NJ90" s="4"/>
      <c r="NK90" s="4"/>
      <c r="NL90" s="4"/>
      <c r="NM90" s="4"/>
      <c r="NN90" s="4"/>
      <c r="NO90" s="4"/>
      <c r="NP90" s="4"/>
      <c r="NQ90" s="4"/>
      <c r="NR90" s="4"/>
      <c r="NS90" s="4"/>
      <c r="NT90" s="4"/>
      <c r="NU90" s="4"/>
      <c r="NV90" s="4"/>
      <c r="NW90" s="4"/>
      <c r="NX90" s="4"/>
      <c r="NY90" s="4"/>
      <c r="NZ90" s="4"/>
      <c r="OA90" s="4"/>
      <c r="OB90" s="4"/>
      <c r="OC90" s="4"/>
      <c r="OD90" s="4"/>
      <c r="OE90" s="4"/>
      <c r="OF90" s="4"/>
      <c r="OG90" s="4"/>
      <c r="OH90" s="4"/>
      <c r="OI90" s="4"/>
    </row>
    <row r="91" spans="1:399" outlineLevel="1">
      <c r="A91" s="116"/>
      <c r="B91" s="116"/>
      <c r="C91" s="116">
        <v>2</v>
      </c>
      <c r="D91" s="3" t="s">
        <v>1232</v>
      </c>
      <c r="E91" s="183"/>
      <c r="F91" s="183" t="s">
        <v>1182</v>
      </c>
      <c r="G91" s="183"/>
      <c r="H91" s="183"/>
      <c r="I91" s="183"/>
      <c r="J91" s="183"/>
      <c r="K91" s="183"/>
      <c r="L91" s="183"/>
      <c r="M91" s="184"/>
      <c r="N91" s="184"/>
      <c r="O91" s="185"/>
      <c r="P91" s="186">
        <v>0</v>
      </c>
      <c r="Q91" s="186">
        <v>0</v>
      </c>
      <c r="R91" s="187">
        <v>0</v>
      </c>
      <c r="S91" s="187">
        <v>0</v>
      </c>
      <c r="T91" s="184"/>
      <c r="U91" s="184"/>
      <c r="V91" s="188">
        <v>0</v>
      </c>
      <c r="W91" s="189">
        <v>0</v>
      </c>
      <c r="X91" s="190"/>
      <c r="Y91" s="185"/>
      <c r="Z91" s="191"/>
      <c r="AA91" s="97">
        <v>0</v>
      </c>
      <c r="AB91" s="192">
        <v>0</v>
      </c>
      <c r="AC91" s="123"/>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c r="EY91" s="4"/>
      <c r="EZ91" s="4"/>
      <c r="FA91" s="4"/>
      <c r="FB91" s="4"/>
      <c r="FC91" s="4"/>
      <c r="FD91" s="4"/>
      <c r="FE91" s="4"/>
      <c r="FF91" s="4"/>
      <c r="FG91" s="4"/>
      <c r="FH91" s="4"/>
      <c r="FI91" s="4"/>
      <c r="FJ91" s="4"/>
      <c r="FK91" s="4"/>
      <c r="FL91" s="4"/>
      <c r="FM91" s="4"/>
      <c r="FN91" s="4"/>
      <c r="FO91" s="4"/>
      <c r="FP91" s="4"/>
      <c r="FQ91" s="4"/>
      <c r="FR91" s="4"/>
      <c r="FS91" s="4"/>
      <c r="FT91" s="4"/>
      <c r="FU91" s="4"/>
      <c r="FV91" s="4"/>
      <c r="FW91" s="4"/>
      <c r="FX91" s="4"/>
      <c r="FY91" s="4"/>
      <c r="FZ91" s="4"/>
      <c r="GA91" s="4"/>
      <c r="GB91" s="4"/>
      <c r="GC91" s="4"/>
      <c r="GD91" s="4"/>
      <c r="GE91" s="4"/>
      <c r="GF91" s="4"/>
      <c r="GG91" s="4"/>
      <c r="GH91" s="4"/>
      <c r="GI91" s="4"/>
      <c r="GJ91" s="4"/>
      <c r="GK91" s="4"/>
      <c r="GL91" s="4"/>
      <c r="GM91" s="4"/>
      <c r="GN91" s="4"/>
      <c r="GO91" s="4"/>
      <c r="GP91" s="4"/>
      <c r="GQ91" s="4"/>
      <c r="GR91" s="4"/>
      <c r="GS91" s="4"/>
      <c r="GT91" s="4"/>
      <c r="GU91" s="4"/>
      <c r="GV91" s="4"/>
      <c r="GW91" s="4"/>
      <c r="GX91" s="4"/>
      <c r="GY91" s="4"/>
      <c r="GZ91" s="4"/>
      <c r="HA91" s="4"/>
      <c r="HB91" s="4"/>
      <c r="HC91" s="4"/>
      <c r="HD91" s="4"/>
      <c r="HE91" s="4"/>
      <c r="HF91" s="4"/>
      <c r="HG91" s="4"/>
      <c r="HH91" s="4"/>
      <c r="HI91" s="4"/>
      <c r="HJ91" s="4"/>
      <c r="HK91" s="4"/>
      <c r="HL91" s="4"/>
      <c r="HM91" s="4"/>
      <c r="HN91" s="4"/>
      <c r="HO91" s="4"/>
      <c r="HP91" s="4"/>
      <c r="HQ91" s="4"/>
      <c r="HR91" s="4"/>
      <c r="HS91" s="4"/>
      <c r="HT91" s="4"/>
      <c r="HU91" s="4"/>
      <c r="HV91" s="4"/>
      <c r="HW91" s="4"/>
      <c r="HX91" s="4"/>
      <c r="HY91" s="4"/>
      <c r="HZ91" s="4"/>
      <c r="IA91" s="4"/>
      <c r="IB91" s="4"/>
      <c r="IC91" s="4"/>
      <c r="ID91" s="4"/>
      <c r="IE91" s="4"/>
      <c r="IF91" s="4"/>
      <c r="IG91" s="4"/>
      <c r="IH91" s="4"/>
      <c r="II91" s="4"/>
      <c r="IJ91" s="4"/>
      <c r="IK91" s="4"/>
      <c r="IL91" s="4"/>
      <c r="IM91" s="4"/>
      <c r="IN91" s="4"/>
      <c r="IO91" s="4"/>
      <c r="IP91" s="4"/>
      <c r="IQ91" s="4"/>
      <c r="IR91" s="4"/>
      <c r="IS91" s="4"/>
      <c r="IT91" s="4"/>
      <c r="IU91" s="4"/>
      <c r="IV91" s="4"/>
      <c r="IW91" s="4"/>
      <c r="IX91" s="4"/>
      <c r="IY91" s="4"/>
      <c r="IZ91" s="4"/>
      <c r="JA91" s="4"/>
      <c r="JB91" s="4"/>
      <c r="JC91" s="4"/>
      <c r="JD91" s="4"/>
      <c r="JE91" s="4"/>
      <c r="JF91" s="4"/>
      <c r="JG91" s="4"/>
      <c r="JH91" s="4"/>
      <c r="JI91" s="4"/>
      <c r="JJ91" s="4"/>
      <c r="JK91" s="4"/>
      <c r="JL91" s="4"/>
      <c r="JM91" s="4"/>
      <c r="JN91" s="4"/>
      <c r="JO91" s="4"/>
      <c r="JP91" s="4"/>
      <c r="JQ91" s="4"/>
      <c r="JR91" s="4"/>
      <c r="JS91" s="4"/>
      <c r="JT91" s="4"/>
      <c r="JU91" s="4"/>
      <c r="JV91" s="4"/>
      <c r="JW91" s="4"/>
      <c r="JX91" s="4"/>
      <c r="JY91" s="4"/>
      <c r="JZ91" s="4"/>
      <c r="KA91" s="4"/>
      <c r="KB91" s="4"/>
      <c r="KC91" s="4"/>
      <c r="KD91" s="4"/>
      <c r="KE91" s="4"/>
      <c r="KF91" s="4"/>
      <c r="KG91" s="4"/>
      <c r="KH91" s="4"/>
      <c r="KI91" s="4"/>
      <c r="KJ91" s="4"/>
      <c r="KK91" s="4"/>
      <c r="KL91" s="4"/>
      <c r="KM91" s="4"/>
      <c r="KN91" s="4"/>
      <c r="KO91" s="4"/>
      <c r="KP91" s="4"/>
      <c r="KQ91" s="4"/>
      <c r="KR91" s="4"/>
      <c r="KS91" s="4"/>
      <c r="KT91" s="4"/>
      <c r="KU91" s="4"/>
      <c r="KV91" s="4"/>
      <c r="KW91" s="4"/>
      <c r="KX91" s="4"/>
      <c r="KY91" s="4"/>
      <c r="KZ91" s="4"/>
      <c r="LA91" s="4"/>
      <c r="LB91" s="4"/>
      <c r="LC91" s="4"/>
      <c r="LD91" s="4"/>
      <c r="LE91" s="4"/>
      <c r="LF91" s="4"/>
      <c r="LG91" s="4"/>
      <c r="LH91" s="4"/>
      <c r="LI91" s="4"/>
      <c r="LJ91" s="4"/>
      <c r="LK91" s="4"/>
      <c r="LL91" s="4"/>
      <c r="LM91" s="4"/>
      <c r="LN91" s="4"/>
      <c r="LO91" s="4"/>
      <c r="LP91" s="4"/>
      <c r="LQ91" s="4"/>
      <c r="LR91" s="4"/>
      <c r="LS91" s="4"/>
      <c r="LT91" s="4"/>
      <c r="LU91" s="4"/>
      <c r="LV91" s="4"/>
      <c r="LW91" s="4"/>
      <c r="LX91" s="4"/>
      <c r="LY91" s="4"/>
      <c r="LZ91" s="4"/>
      <c r="MA91" s="4"/>
      <c r="MB91" s="4"/>
      <c r="MC91" s="4"/>
      <c r="MD91" s="4"/>
      <c r="ME91" s="4"/>
      <c r="MF91" s="4"/>
      <c r="MG91" s="4"/>
      <c r="MH91" s="4"/>
      <c r="MI91" s="4"/>
      <c r="MJ91" s="4"/>
      <c r="MK91" s="4"/>
      <c r="ML91" s="4"/>
      <c r="MM91" s="4"/>
      <c r="MN91" s="4"/>
      <c r="MO91" s="4"/>
      <c r="MP91" s="4"/>
      <c r="MQ91" s="4"/>
      <c r="MR91" s="4"/>
      <c r="MS91" s="4"/>
      <c r="MT91" s="4"/>
      <c r="MU91" s="4"/>
      <c r="MV91" s="4"/>
      <c r="MW91" s="4"/>
      <c r="MX91" s="4"/>
      <c r="MY91" s="4"/>
      <c r="MZ91" s="4"/>
      <c r="NA91" s="4"/>
      <c r="NB91" s="4"/>
      <c r="NC91" s="4"/>
      <c r="ND91" s="4"/>
      <c r="NE91" s="4"/>
      <c r="NF91" s="4"/>
      <c r="NG91" s="4"/>
      <c r="NH91" s="4"/>
      <c r="NI91" s="4"/>
      <c r="NJ91" s="4"/>
      <c r="NK91" s="4"/>
      <c r="NL91" s="4"/>
      <c r="NM91" s="4"/>
      <c r="NN91" s="4"/>
      <c r="NO91" s="4"/>
      <c r="NP91" s="4"/>
      <c r="NQ91" s="4"/>
      <c r="NR91" s="4"/>
      <c r="NS91" s="4"/>
      <c r="NT91" s="4"/>
      <c r="NU91" s="4"/>
      <c r="NV91" s="4"/>
      <c r="NW91" s="4"/>
      <c r="NX91" s="4"/>
      <c r="NY91" s="4"/>
      <c r="NZ91" s="4"/>
      <c r="OA91" s="4"/>
      <c r="OB91" s="4"/>
      <c r="OC91" s="4"/>
      <c r="OD91" s="4"/>
      <c r="OE91" s="4"/>
      <c r="OF91" s="4"/>
      <c r="OG91" s="4"/>
      <c r="OH91" s="4"/>
      <c r="OI91" s="4"/>
    </row>
    <row r="92" spans="1:399" outlineLevel="1">
      <c r="A92" s="116"/>
      <c r="B92" s="116"/>
      <c r="C92" s="116">
        <v>2</v>
      </c>
      <c r="D92" s="3" t="s">
        <v>1233</v>
      </c>
      <c r="E92" s="183"/>
      <c r="F92" s="183" t="s">
        <v>1183</v>
      </c>
      <c r="G92" s="183"/>
      <c r="H92" s="183"/>
      <c r="I92" s="183"/>
      <c r="J92" s="183"/>
      <c r="K92" s="183"/>
      <c r="L92" s="183"/>
      <c r="M92" s="184"/>
      <c r="N92" s="184"/>
      <c r="O92" s="185"/>
      <c r="P92" s="186">
        <v>0</v>
      </c>
      <c r="Q92" s="186">
        <v>0</v>
      </c>
      <c r="R92" s="187">
        <v>0</v>
      </c>
      <c r="S92" s="187">
        <v>0</v>
      </c>
      <c r="T92" s="184"/>
      <c r="U92" s="184"/>
      <c r="V92" s="188">
        <v>0</v>
      </c>
      <c r="W92" s="189">
        <v>0</v>
      </c>
      <c r="X92" s="190"/>
      <c r="Y92" s="185"/>
      <c r="Z92" s="191"/>
      <c r="AA92" s="97">
        <v>0</v>
      </c>
      <c r="AB92" s="192">
        <v>0</v>
      </c>
      <c r="AC92" s="123"/>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c r="DW92" s="4"/>
      <c r="DX92" s="4"/>
      <c r="DY92" s="4"/>
      <c r="DZ92" s="4"/>
      <c r="EA92" s="4"/>
      <c r="EB92" s="4"/>
      <c r="EC92" s="4"/>
      <c r="ED92" s="4"/>
      <c r="EE92" s="4"/>
      <c r="EF92" s="4"/>
      <c r="EG92" s="4"/>
      <c r="EH92" s="4"/>
      <c r="EI92" s="4"/>
      <c r="EJ92" s="4"/>
      <c r="EK92" s="4"/>
      <c r="EL92" s="4"/>
      <c r="EM92" s="4"/>
      <c r="EN92" s="4"/>
      <c r="EO92" s="4"/>
      <c r="EP92" s="4"/>
      <c r="EQ92" s="4"/>
      <c r="ER92" s="4"/>
      <c r="ES92" s="4"/>
      <c r="ET92" s="4"/>
      <c r="EU92" s="4"/>
      <c r="EV92" s="4"/>
      <c r="EW92" s="4"/>
      <c r="EX92" s="4"/>
      <c r="EY92" s="4"/>
      <c r="EZ92" s="4"/>
      <c r="FA92" s="4"/>
      <c r="FB92" s="4"/>
      <c r="FC92" s="4"/>
      <c r="FD92" s="4"/>
      <c r="FE92" s="4"/>
      <c r="FF92" s="4"/>
      <c r="FG92" s="4"/>
      <c r="FH92" s="4"/>
      <c r="FI92" s="4"/>
      <c r="FJ92" s="4"/>
      <c r="FK92" s="4"/>
      <c r="FL92" s="4"/>
      <c r="FM92" s="4"/>
      <c r="FN92" s="4"/>
      <c r="FO92" s="4"/>
      <c r="FP92" s="4"/>
      <c r="FQ92" s="4"/>
      <c r="FR92" s="4"/>
      <c r="FS92" s="4"/>
      <c r="FT92" s="4"/>
      <c r="FU92" s="4"/>
      <c r="FV92" s="4"/>
      <c r="FW92" s="4"/>
      <c r="FX92" s="4"/>
      <c r="FY92" s="4"/>
      <c r="FZ92" s="4"/>
      <c r="GA92" s="4"/>
      <c r="GB92" s="4"/>
      <c r="GC92" s="4"/>
      <c r="GD92" s="4"/>
      <c r="GE92" s="4"/>
      <c r="GF92" s="4"/>
      <c r="GG92" s="4"/>
      <c r="GH92" s="4"/>
      <c r="GI92" s="4"/>
      <c r="GJ92" s="4"/>
      <c r="GK92" s="4"/>
      <c r="GL92" s="4"/>
      <c r="GM92" s="4"/>
      <c r="GN92" s="4"/>
      <c r="GO92" s="4"/>
      <c r="GP92" s="4"/>
      <c r="GQ92" s="4"/>
      <c r="GR92" s="4"/>
      <c r="GS92" s="4"/>
      <c r="GT92" s="4"/>
      <c r="GU92" s="4"/>
      <c r="GV92" s="4"/>
      <c r="GW92" s="4"/>
      <c r="GX92" s="4"/>
      <c r="GY92" s="4"/>
      <c r="GZ92" s="4"/>
      <c r="HA92" s="4"/>
      <c r="HB92" s="4"/>
      <c r="HC92" s="4"/>
      <c r="HD92" s="4"/>
      <c r="HE92" s="4"/>
      <c r="HF92" s="4"/>
      <c r="HG92" s="4"/>
      <c r="HH92" s="4"/>
      <c r="HI92" s="4"/>
      <c r="HJ92" s="4"/>
      <c r="HK92" s="4"/>
      <c r="HL92" s="4"/>
      <c r="HM92" s="4"/>
      <c r="HN92" s="4"/>
      <c r="HO92" s="4"/>
      <c r="HP92" s="4"/>
      <c r="HQ92" s="4"/>
      <c r="HR92" s="4"/>
      <c r="HS92" s="4"/>
      <c r="HT92" s="4"/>
      <c r="HU92" s="4"/>
      <c r="HV92" s="4"/>
      <c r="HW92" s="4"/>
      <c r="HX92" s="4"/>
      <c r="HY92" s="4"/>
      <c r="HZ92" s="4"/>
      <c r="IA92" s="4"/>
      <c r="IB92" s="4"/>
      <c r="IC92" s="4"/>
      <c r="ID92" s="4"/>
      <c r="IE92" s="4"/>
      <c r="IF92" s="4"/>
      <c r="IG92" s="4"/>
      <c r="IH92" s="4"/>
      <c r="II92" s="4"/>
      <c r="IJ92" s="4"/>
      <c r="IK92" s="4"/>
      <c r="IL92" s="4"/>
      <c r="IM92" s="4"/>
      <c r="IN92" s="4"/>
      <c r="IO92" s="4"/>
      <c r="IP92" s="4"/>
      <c r="IQ92" s="4"/>
      <c r="IR92" s="4"/>
      <c r="IS92" s="4"/>
      <c r="IT92" s="4"/>
      <c r="IU92" s="4"/>
      <c r="IV92" s="4"/>
      <c r="IW92" s="4"/>
      <c r="IX92" s="4"/>
      <c r="IY92" s="4"/>
      <c r="IZ92" s="4"/>
      <c r="JA92" s="4"/>
      <c r="JB92" s="4"/>
      <c r="JC92" s="4"/>
      <c r="JD92" s="4"/>
      <c r="JE92" s="4"/>
      <c r="JF92" s="4"/>
      <c r="JG92" s="4"/>
      <c r="JH92" s="4"/>
      <c r="JI92" s="4"/>
      <c r="JJ92" s="4"/>
      <c r="JK92" s="4"/>
      <c r="JL92" s="4"/>
      <c r="JM92" s="4"/>
      <c r="JN92" s="4"/>
      <c r="JO92" s="4"/>
      <c r="JP92" s="4"/>
      <c r="JQ92" s="4"/>
      <c r="JR92" s="4"/>
      <c r="JS92" s="4"/>
      <c r="JT92" s="4"/>
      <c r="JU92" s="4"/>
      <c r="JV92" s="4"/>
      <c r="JW92" s="4"/>
      <c r="JX92" s="4"/>
      <c r="JY92" s="4"/>
      <c r="JZ92" s="4"/>
      <c r="KA92" s="4"/>
      <c r="KB92" s="4"/>
      <c r="KC92" s="4"/>
      <c r="KD92" s="4"/>
      <c r="KE92" s="4"/>
      <c r="KF92" s="4"/>
      <c r="KG92" s="4"/>
      <c r="KH92" s="4"/>
      <c r="KI92" s="4"/>
      <c r="KJ92" s="4"/>
      <c r="KK92" s="4"/>
      <c r="KL92" s="4"/>
      <c r="KM92" s="4"/>
      <c r="KN92" s="4"/>
      <c r="KO92" s="4"/>
      <c r="KP92" s="4"/>
      <c r="KQ92" s="4"/>
      <c r="KR92" s="4"/>
      <c r="KS92" s="4"/>
      <c r="KT92" s="4"/>
      <c r="KU92" s="4"/>
      <c r="KV92" s="4"/>
      <c r="KW92" s="4"/>
      <c r="KX92" s="4"/>
      <c r="KY92" s="4"/>
      <c r="KZ92" s="4"/>
      <c r="LA92" s="4"/>
      <c r="LB92" s="4"/>
      <c r="LC92" s="4"/>
      <c r="LD92" s="4"/>
      <c r="LE92" s="4"/>
      <c r="LF92" s="4"/>
      <c r="LG92" s="4"/>
      <c r="LH92" s="4"/>
      <c r="LI92" s="4"/>
      <c r="LJ92" s="4"/>
      <c r="LK92" s="4"/>
      <c r="LL92" s="4"/>
      <c r="LM92" s="4"/>
      <c r="LN92" s="4"/>
      <c r="LO92" s="4"/>
      <c r="LP92" s="4"/>
      <c r="LQ92" s="4"/>
      <c r="LR92" s="4"/>
      <c r="LS92" s="4"/>
      <c r="LT92" s="4"/>
      <c r="LU92" s="4"/>
      <c r="LV92" s="4"/>
      <c r="LW92" s="4"/>
      <c r="LX92" s="4"/>
      <c r="LY92" s="4"/>
      <c r="LZ92" s="4"/>
      <c r="MA92" s="4"/>
      <c r="MB92" s="4"/>
      <c r="MC92" s="4"/>
      <c r="MD92" s="4"/>
      <c r="ME92" s="4"/>
      <c r="MF92" s="4"/>
      <c r="MG92" s="4"/>
      <c r="MH92" s="4"/>
      <c r="MI92" s="4"/>
      <c r="MJ92" s="4"/>
      <c r="MK92" s="4"/>
      <c r="ML92" s="4"/>
      <c r="MM92" s="4"/>
      <c r="MN92" s="4"/>
      <c r="MO92" s="4"/>
      <c r="MP92" s="4"/>
      <c r="MQ92" s="4"/>
      <c r="MR92" s="4"/>
      <c r="MS92" s="4"/>
      <c r="MT92" s="4"/>
      <c r="MU92" s="4"/>
      <c r="MV92" s="4"/>
      <c r="MW92" s="4"/>
      <c r="MX92" s="4"/>
      <c r="MY92" s="4"/>
      <c r="MZ92" s="4"/>
      <c r="NA92" s="4"/>
      <c r="NB92" s="4"/>
      <c r="NC92" s="4"/>
      <c r="ND92" s="4"/>
      <c r="NE92" s="4"/>
      <c r="NF92" s="4"/>
      <c r="NG92" s="4"/>
      <c r="NH92" s="4"/>
      <c r="NI92" s="4"/>
      <c r="NJ92" s="4"/>
      <c r="NK92" s="4"/>
      <c r="NL92" s="4"/>
      <c r="NM92" s="4"/>
      <c r="NN92" s="4"/>
      <c r="NO92" s="4"/>
      <c r="NP92" s="4"/>
      <c r="NQ92" s="4"/>
      <c r="NR92" s="4"/>
      <c r="NS92" s="4"/>
      <c r="NT92" s="4"/>
      <c r="NU92" s="4"/>
      <c r="NV92" s="4"/>
      <c r="NW92" s="4"/>
      <c r="NX92" s="4"/>
      <c r="NY92" s="4"/>
      <c r="NZ92" s="4"/>
      <c r="OA92" s="4"/>
      <c r="OB92" s="4"/>
      <c r="OC92" s="4"/>
      <c r="OD92" s="4"/>
      <c r="OE92" s="4"/>
      <c r="OF92" s="4"/>
      <c r="OG92" s="4"/>
      <c r="OH92" s="4"/>
      <c r="OI92" s="4"/>
    </row>
    <row r="93" spans="1:399" outlineLevel="1">
      <c r="A93" s="116"/>
      <c r="B93" s="116"/>
      <c r="C93" s="116">
        <v>0</v>
      </c>
      <c r="D93" s="3"/>
      <c r="E93" s="183"/>
      <c r="F93" s="183"/>
      <c r="G93" s="183"/>
      <c r="H93" s="183"/>
      <c r="I93" s="183"/>
      <c r="J93" s="183"/>
      <c r="K93" s="183"/>
      <c r="L93" s="183"/>
      <c r="M93" s="184"/>
      <c r="N93" s="184"/>
      <c r="O93" s="185"/>
      <c r="P93" s="186"/>
      <c r="Q93" s="186"/>
      <c r="R93" s="187">
        <v>0</v>
      </c>
      <c r="S93" s="187">
        <v>0</v>
      </c>
      <c r="T93" s="184"/>
      <c r="U93" s="184"/>
      <c r="V93" s="188"/>
      <c r="W93" s="189">
        <v>0</v>
      </c>
      <c r="X93" s="190"/>
      <c r="Y93" s="185"/>
      <c r="Z93" s="191"/>
      <c r="AA93" s="97"/>
      <c r="AB93" s="192"/>
      <c r="AC93" s="123"/>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c r="FF93" s="4"/>
      <c r="FG93" s="4"/>
      <c r="FH93" s="4"/>
      <c r="FI93" s="4"/>
      <c r="FJ93" s="4"/>
      <c r="FK93" s="4"/>
      <c r="FL93" s="4"/>
      <c r="FM93" s="4"/>
      <c r="FN93" s="4"/>
      <c r="FO93" s="4"/>
      <c r="FP93" s="4"/>
      <c r="FQ93" s="4"/>
      <c r="FR93" s="4"/>
      <c r="FS93" s="4"/>
      <c r="FT93" s="4"/>
      <c r="FU93" s="4"/>
      <c r="FV93" s="4"/>
      <c r="FW93" s="4"/>
      <c r="FX93" s="4"/>
      <c r="FY93" s="4"/>
      <c r="FZ93" s="4"/>
      <c r="GA93" s="4"/>
      <c r="GB93" s="4"/>
      <c r="GC93" s="4"/>
      <c r="GD93" s="4"/>
      <c r="GE93" s="4"/>
      <c r="GF93" s="4"/>
      <c r="GG93" s="4"/>
      <c r="GH93" s="4"/>
      <c r="GI93" s="4"/>
      <c r="GJ93" s="4"/>
      <c r="GK93" s="4"/>
      <c r="GL93" s="4"/>
      <c r="GM93" s="4"/>
      <c r="GN93" s="4"/>
      <c r="GO93" s="4"/>
      <c r="GP93" s="4"/>
      <c r="GQ93" s="4"/>
      <c r="GR93" s="4"/>
      <c r="GS93" s="4"/>
      <c r="GT93" s="4"/>
      <c r="GU93" s="4"/>
      <c r="GV93" s="4"/>
      <c r="GW93" s="4"/>
      <c r="GX93" s="4"/>
      <c r="GY93" s="4"/>
      <c r="GZ93" s="4"/>
      <c r="HA93" s="4"/>
      <c r="HB93" s="4"/>
      <c r="HC93" s="4"/>
      <c r="HD93" s="4"/>
      <c r="HE93" s="4"/>
      <c r="HF93" s="4"/>
      <c r="HG93" s="4"/>
      <c r="HH93" s="4"/>
      <c r="HI93" s="4"/>
      <c r="HJ93" s="4"/>
      <c r="HK93" s="4"/>
      <c r="HL93" s="4"/>
      <c r="HM93" s="4"/>
      <c r="HN93" s="4"/>
      <c r="HO93" s="4"/>
      <c r="HP93" s="4"/>
      <c r="HQ93" s="4"/>
      <c r="HR93" s="4"/>
      <c r="HS93" s="4"/>
      <c r="HT93" s="4"/>
      <c r="HU93" s="4"/>
      <c r="HV93" s="4"/>
      <c r="HW93" s="4"/>
      <c r="HX93" s="4"/>
      <c r="HY93" s="4"/>
      <c r="HZ93" s="4"/>
      <c r="IA93" s="4"/>
      <c r="IB93" s="4"/>
      <c r="IC93" s="4"/>
      <c r="ID93" s="4"/>
      <c r="IE93" s="4"/>
      <c r="IF93" s="4"/>
      <c r="IG93" s="4"/>
      <c r="IH93" s="4"/>
      <c r="II93" s="4"/>
      <c r="IJ93" s="4"/>
      <c r="IK93" s="4"/>
      <c r="IL93" s="4"/>
      <c r="IM93" s="4"/>
      <c r="IN93" s="4"/>
      <c r="IO93" s="4"/>
      <c r="IP93" s="4"/>
      <c r="IQ93" s="4"/>
      <c r="IR93" s="4"/>
      <c r="IS93" s="4"/>
      <c r="IT93" s="4"/>
      <c r="IU93" s="4"/>
      <c r="IV93" s="4"/>
      <c r="IW93" s="4"/>
      <c r="IX93" s="4"/>
      <c r="IY93" s="4"/>
      <c r="IZ93" s="4"/>
      <c r="JA93" s="4"/>
      <c r="JB93" s="4"/>
      <c r="JC93" s="4"/>
      <c r="JD93" s="4"/>
      <c r="JE93" s="4"/>
      <c r="JF93" s="4"/>
      <c r="JG93" s="4"/>
      <c r="JH93" s="4"/>
      <c r="JI93" s="4"/>
      <c r="JJ93" s="4"/>
      <c r="JK93" s="4"/>
      <c r="JL93" s="4"/>
      <c r="JM93" s="4"/>
      <c r="JN93" s="4"/>
      <c r="JO93" s="4"/>
      <c r="JP93" s="4"/>
      <c r="JQ93" s="4"/>
      <c r="JR93" s="4"/>
      <c r="JS93" s="4"/>
      <c r="JT93" s="4"/>
      <c r="JU93" s="4"/>
      <c r="JV93" s="4"/>
      <c r="JW93" s="4"/>
      <c r="JX93" s="4"/>
      <c r="JY93" s="4"/>
      <c r="JZ93" s="4"/>
      <c r="KA93" s="4"/>
      <c r="KB93" s="4"/>
      <c r="KC93" s="4"/>
      <c r="KD93" s="4"/>
      <c r="KE93" s="4"/>
      <c r="KF93" s="4"/>
      <c r="KG93" s="4"/>
      <c r="KH93" s="4"/>
      <c r="KI93" s="4"/>
      <c r="KJ93" s="4"/>
      <c r="KK93" s="4"/>
      <c r="KL93" s="4"/>
      <c r="KM93" s="4"/>
      <c r="KN93" s="4"/>
      <c r="KO93" s="4"/>
      <c r="KP93" s="4"/>
      <c r="KQ93" s="4"/>
      <c r="KR93" s="4"/>
      <c r="KS93" s="4"/>
      <c r="KT93" s="4"/>
      <c r="KU93" s="4"/>
      <c r="KV93" s="4"/>
      <c r="KW93" s="4"/>
      <c r="KX93" s="4"/>
      <c r="KY93" s="4"/>
      <c r="KZ93" s="4"/>
      <c r="LA93" s="4"/>
      <c r="LB93" s="4"/>
      <c r="LC93" s="4"/>
      <c r="LD93" s="4"/>
      <c r="LE93" s="4"/>
      <c r="LF93" s="4"/>
      <c r="LG93" s="4"/>
      <c r="LH93" s="4"/>
      <c r="LI93" s="4"/>
      <c r="LJ93" s="4"/>
      <c r="LK93" s="4"/>
      <c r="LL93" s="4"/>
      <c r="LM93" s="4"/>
      <c r="LN93" s="4"/>
      <c r="LO93" s="4"/>
      <c r="LP93" s="4"/>
      <c r="LQ93" s="4"/>
      <c r="LR93" s="4"/>
      <c r="LS93" s="4"/>
      <c r="LT93" s="4"/>
      <c r="LU93" s="4"/>
      <c r="LV93" s="4"/>
      <c r="LW93" s="4"/>
      <c r="LX93" s="4"/>
      <c r="LY93" s="4"/>
      <c r="LZ93" s="4"/>
      <c r="MA93" s="4"/>
      <c r="MB93" s="4"/>
      <c r="MC93" s="4"/>
      <c r="MD93" s="4"/>
      <c r="ME93" s="4"/>
      <c r="MF93" s="4"/>
      <c r="MG93" s="4"/>
      <c r="MH93" s="4"/>
      <c r="MI93" s="4"/>
      <c r="MJ93" s="4"/>
      <c r="MK93" s="4"/>
      <c r="ML93" s="4"/>
      <c r="MM93" s="4"/>
      <c r="MN93" s="4"/>
      <c r="MO93" s="4"/>
      <c r="MP93" s="4"/>
      <c r="MQ93" s="4"/>
      <c r="MR93" s="4"/>
      <c r="MS93" s="4"/>
      <c r="MT93" s="4"/>
      <c r="MU93" s="4"/>
      <c r="MV93" s="4"/>
      <c r="MW93" s="4"/>
      <c r="MX93" s="4"/>
      <c r="MY93" s="4"/>
      <c r="MZ93" s="4"/>
      <c r="NA93" s="4"/>
      <c r="NB93" s="4"/>
      <c r="NC93" s="4"/>
      <c r="ND93" s="4"/>
      <c r="NE93" s="4"/>
      <c r="NF93" s="4"/>
      <c r="NG93" s="4"/>
      <c r="NH93" s="4"/>
      <c r="NI93" s="4"/>
      <c r="NJ93" s="4"/>
      <c r="NK93" s="4"/>
      <c r="NL93" s="4"/>
      <c r="NM93" s="4"/>
      <c r="NN93" s="4"/>
      <c r="NO93" s="4"/>
      <c r="NP93" s="4"/>
      <c r="NQ93" s="4"/>
      <c r="NR93" s="4"/>
      <c r="NS93" s="4"/>
      <c r="NT93" s="4"/>
      <c r="NU93" s="4"/>
      <c r="NV93" s="4"/>
      <c r="NW93" s="4"/>
      <c r="NX93" s="4"/>
      <c r="NY93" s="4"/>
      <c r="NZ93" s="4"/>
      <c r="OA93" s="4"/>
      <c r="OB93" s="4"/>
      <c r="OC93" s="4"/>
      <c r="OD93" s="4"/>
      <c r="OE93" s="4"/>
      <c r="OF93" s="4"/>
      <c r="OG93" s="4"/>
      <c r="OH93" s="4"/>
      <c r="OI93" s="4"/>
    </row>
    <row r="94" spans="1:399">
      <c r="A94" s="116"/>
      <c r="B94" s="116" t="s">
        <v>1061</v>
      </c>
      <c r="C94" s="116">
        <v>1</v>
      </c>
      <c r="D94" s="3" t="s">
        <v>1234</v>
      </c>
      <c r="E94" s="183" t="s">
        <v>1256</v>
      </c>
      <c r="F94" s="183"/>
      <c r="G94" s="183"/>
      <c r="H94" s="183"/>
      <c r="I94" s="183"/>
      <c r="J94" s="183"/>
      <c r="K94" s="183"/>
      <c r="L94" s="183"/>
      <c r="M94" s="184"/>
      <c r="N94" s="184"/>
      <c r="O94" s="185"/>
      <c r="P94" s="186">
        <v>0</v>
      </c>
      <c r="Q94" s="186">
        <v>0</v>
      </c>
      <c r="R94" s="187">
        <v>40</v>
      </c>
      <c r="S94" s="187">
        <v>7</v>
      </c>
      <c r="T94" s="184"/>
      <c r="U94" s="184"/>
      <c r="V94" s="188">
        <v>0</v>
      </c>
      <c r="W94" s="189">
        <v>0</v>
      </c>
      <c r="X94" s="190"/>
      <c r="Y94" s="185"/>
      <c r="Z94" s="191"/>
      <c r="AA94" s="97">
        <v>0</v>
      </c>
      <c r="AB94" s="192">
        <v>0</v>
      </c>
      <c r="AC94" s="123"/>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c r="DP94" s="4"/>
      <c r="DQ94" s="4"/>
      <c r="DR94" s="4"/>
      <c r="DS94" s="4"/>
      <c r="DT94" s="4"/>
      <c r="DU94" s="4"/>
      <c r="DV94" s="4"/>
      <c r="DW94" s="4"/>
      <c r="DX94" s="4"/>
      <c r="DY94" s="4"/>
      <c r="DZ94" s="4"/>
      <c r="EA94" s="4"/>
      <c r="EB94" s="4"/>
      <c r="EC94" s="4"/>
      <c r="ED94" s="4"/>
      <c r="EE94" s="4"/>
      <c r="EF94" s="4"/>
      <c r="EG94" s="4"/>
      <c r="EH94" s="4"/>
      <c r="EI94" s="4"/>
      <c r="EJ94" s="4"/>
      <c r="EK94" s="4"/>
      <c r="EL94" s="4"/>
      <c r="EM94" s="4"/>
      <c r="EN94" s="4"/>
      <c r="EO94" s="4"/>
      <c r="EP94" s="4"/>
      <c r="EQ94" s="4"/>
      <c r="ER94" s="4"/>
      <c r="ES94" s="4"/>
      <c r="ET94" s="4"/>
      <c r="EU94" s="4"/>
      <c r="EV94" s="4"/>
      <c r="EW94" s="4"/>
      <c r="EX94" s="4"/>
      <c r="EY94" s="4"/>
      <c r="EZ94" s="4"/>
      <c r="FA94" s="4"/>
      <c r="FB94" s="4"/>
      <c r="FC94" s="4"/>
      <c r="FD94" s="4"/>
      <c r="FE94" s="4"/>
      <c r="FF94" s="4"/>
      <c r="FG94" s="4"/>
      <c r="FH94" s="4"/>
      <c r="FI94" s="4"/>
      <c r="FJ94" s="4"/>
      <c r="FK94" s="4"/>
      <c r="FL94" s="4"/>
      <c r="FM94" s="4"/>
      <c r="FN94" s="4"/>
      <c r="FO94" s="4"/>
      <c r="FP94" s="4"/>
      <c r="FQ94" s="4"/>
      <c r="FR94" s="4"/>
      <c r="FS94" s="4"/>
      <c r="FT94" s="4"/>
      <c r="FU94" s="4"/>
      <c r="FV94" s="4"/>
      <c r="FW94" s="4"/>
      <c r="FX94" s="4"/>
      <c r="FY94" s="4"/>
      <c r="FZ94" s="4"/>
      <c r="GA94" s="4"/>
      <c r="GB94" s="4"/>
      <c r="GC94" s="4"/>
      <c r="GD94" s="4"/>
      <c r="GE94" s="4"/>
      <c r="GF94" s="4"/>
      <c r="GG94" s="4"/>
      <c r="GH94" s="4"/>
      <c r="GI94" s="4"/>
      <c r="GJ94" s="4"/>
      <c r="GK94" s="4"/>
      <c r="GL94" s="4"/>
      <c r="GM94" s="4"/>
      <c r="GN94" s="4"/>
      <c r="GO94" s="4"/>
      <c r="GP94" s="4"/>
      <c r="GQ94" s="4"/>
      <c r="GR94" s="4"/>
      <c r="GS94" s="4"/>
      <c r="GT94" s="4"/>
      <c r="GU94" s="4"/>
      <c r="GV94" s="4"/>
      <c r="GW94" s="4"/>
      <c r="GX94" s="4"/>
      <c r="GY94" s="4"/>
      <c r="GZ94" s="4"/>
      <c r="HA94" s="4"/>
      <c r="HB94" s="4"/>
      <c r="HC94" s="4"/>
      <c r="HD94" s="4"/>
      <c r="HE94" s="4"/>
      <c r="HF94" s="4"/>
      <c r="HG94" s="4"/>
      <c r="HH94" s="4"/>
      <c r="HI94" s="4"/>
      <c r="HJ94" s="4"/>
      <c r="HK94" s="4"/>
      <c r="HL94" s="4"/>
      <c r="HM94" s="4"/>
      <c r="HN94" s="4"/>
      <c r="HO94" s="4"/>
      <c r="HP94" s="4"/>
      <c r="HQ94" s="4"/>
      <c r="HR94" s="4"/>
      <c r="HS94" s="4"/>
      <c r="HT94" s="4"/>
      <c r="HU94" s="4"/>
      <c r="HV94" s="4"/>
      <c r="HW94" s="4"/>
      <c r="HX94" s="4"/>
      <c r="HY94" s="4"/>
      <c r="HZ94" s="4"/>
      <c r="IA94" s="4"/>
      <c r="IB94" s="4"/>
      <c r="IC94" s="4"/>
      <c r="ID94" s="4"/>
      <c r="IE94" s="4"/>
      <c r="IF94" s="4"/>
      <c r="IG94" s="4"/>
      <c r="IH94" s="4"/>
      <c r="II94" s="4"/>
      <c r="IJ94" s="4"/>
      <c r="IK94" s="4"/>
      <c r="IL94" s="4"/>
      <c r="IM94" s="4"/>
      <c r="IN94" s="4"/>
      <c r="IO94" s="4"/>
      <c r="IP94" s="4"/>
      <c r="IQ94" s="4"/>
      <c r="IR94" s="4"/>
      <c r="IS94" s="4"/>
      <c r="IT94" s="4"/>
      <c r="IU94" s="4"/>
      <c r="IV94" s="4"/>
      <c r="IW94" s="4"/>
      <c r="IX94" s="4"/>
      <c r="IY94" s="4"/>
      <c r="IZ94" s="4"/>
      <c r="JA94" s="4"/>
      <c r="JB94" s="4"/>
      <c r="JC94" s="4"/>
      <c r="JD94" s="4"/>
      <c r="JE94" s="4"/>
      <c r="JF94" s="4"/>
      <c r="JG94" s="4"/>
      <c r="JH94" s="4"/>
      <c r="JI94" s="4"/>
      <c r="JJ94" s="4"/>
      <c r="JK94" s="4"/>
      <c r="JL94" s="4"/>
      <c r="JM94" s="4"/>
      <c r="JN94" s="4"/>
      <c r="JO94" s="4"/>
      <c r="JP94" s="4"/>
      <c r="JQ94" s="4"/>
      <c r="JR94" s="4"/>
      <c r="JS94" s="4"/>
      <c r="JT94" s="4"/>
      <c r="JU94" s="4"/>
      <c r="JV94" s="4"/>
      <c r="JW94" s="4"/>
      <c r="JX94" s="4"/>
      <c r="JY94" s="4"/>
      <c r="JZ94" s="4"/>
      <c r="KA94" s="4"/>
      <c r="KB94" s="4"/>
      <c r="KC94" s="4"/>
      <c r="KD94" s="4"/>
      <c r="KE94" s="4"/>
      <c r="KF94" s="4"/>
      <c r="KG94" s="4"/>
      <c r="KH94" s="4"/>
      <c r="KI94" s="4"/>
      <c r="KJ94" s="4"/>
      <c r="KK94" s="4"/>
      <c r="KL94" s="4"/>
      <c r="KM94" s="4"/>
      <c r="KN94" s="4"/>
      <c r="KO94" s="4"/>
      <c r="KP94" s="4"/>
      <c r="KQ94" s="4"/>
      <c r="KR94" s="4"/>
      <c r="KS94" s="4"/>
      <c r="KT94" s="4"/>
      <c r="KU94" s="4"/>
      <c r="KV94" s="4"/>
      <c r="KW94" s="4"/>
      <c r="KX94" s="4"/>
      <c r="KY94" s="4"/>
      <c r="KZ94" s="4"/>
      <c r="LA94" s="4"/>
      <c r="LB94" s="4"/>
      <c r="LC94" s="4"/>
      <c r="LD94" s="4"/>
      <c r="LE94" s="4"/>
      <c r="LF94" s="4"/>
      <c r="LG94" s="4"/>
      <c r="LH94" s="4"/>
      <c r="LI94" s="4"/>
      <c r="LJ94" s="4"/>
      <c r="LK94" s="4"/>
      <c r="LL94" s="4"/>
      <c r="LM94" s="4"/>
      <c r="LN94" s="4"/>
      <c r="LO94" s="4"/>
      <c r="LP94" s="4"/>
      <c r="LQ94" s="4"/>
      <c r="LR94" s="4"/>
      <c r="LS94" s="4"/>
      <c r="LT94" s="4"/>
      <c r="LU94" s="4"/>
      <c r="LV94" s="4"/>
      <c r="LW94" s="4"/>
      <c r="LX94" s="4"/>
      <c r="LY94" s="4"/>
      <c r="LZ94" s="4"/>
      <c r="MA94" s="4"/>
      <c r="MB94" s="4"/>
      <c r="MC94" s="4"/>
      <c r="MD94" s="4"/>
      <c r="ME94" s="4"/>
      <c r="MF94" s="4"/>
      <c r="MG94" s="4"/>
      <c r="MH94" s="4"/>
      <c r="MI94" s="4"/>
      <c r="MJ94" s="4"/>
      <c r="MK94" s="4"/>
      <c r="ML94" s="4"/>
      <c r="MM94" s="4"/>
      <c r="MN94" s="4"/>
      <c r="MO94" s="4"/>
      <c r="MP94" s="4"/>
      <c r="MQ94" s="4"/>
      <c r="MR94" s="4"/>
      <c r="MS94" s="4"/>
      <c r="MT94" s="4"/>
      <c r="MU94" s="4"/>
      <c r="MV94" s="4"/>
      <c r="MW94" s="4"/>
      <c r="MX94" s="4"/>
      <c r="MY94" s="4"/>
      <c r="MZ94" s="4"/>
      <c r="NA94" s="4"/>
      <c r="NB94" s="4"/>
      <c r="NC94" s="4"/>
      <c r="ND94" s="4"/>
      <c r="NE94" s="4"/>
      <c r="NF94" s="4"/>
      <c r="NG94" s="4"/>
      <c r="NH94" s="4"/>
      <c r="NI94" s="4"/>
      <c r="NJ94" s="4"/>
      <c r="NK94" s="4"/>
      <c r="NL94" s="4"/>
      <c r="NM94" s="4"/>
      <c r="NN94" s="4"/>
      <c r="NO94" s="4"/>
      <c r="NP94" s="4"/>
      <c r="NQ94" s="4"/>
      <c r="NR94" s="4"/>
      <c r="NS94" s="4"/>
      <c r="NT94" s="4"/>
      <c r="NU94" s="4"/>
      <c r="NV94" s="4"/>
      <c r="NW94" s="4"/>
      <c r="NX94" s="4"/>
      <c r="NY94" s="4"/>
      <c r="NZ94" s="4"/>
      <c r="OA94" s="4"/>
      <c r="OB94" s="4"/>
      <c r="OC94" s="4"/>
      <c r="OD94" s="4"/>
      <c r="OE94" s="4"/>
      <c r="OF94" s="4"/>
      <c r="OG94" s="4"/>
      <c r="OH94" s="4"/>
      <c r="OI94" s="4"/>
    </row>
    <row r="95" spans="1:399" outlineLevel="1">
      <c r="A95" s="116"/>
      <c r="B95" s="116"/>
      <c r="C95" s="116">
        <v>2</v>
      </c>
      <c r="D95" s="3" t="s">
        <v>1235</v>
      </c>
      <c r="E95" s="183"/>
      <c r="F95" s="183" t="s">
        <v>1198</v>
      </c>
      <c r="G95" s="183"/>
      <c r="H95" s="183"/>
      <c r="I95" s="183"/>
      <c r="J95" s="183"/>
      <c r="K95" s="183"/>
      <c r="L95" s="183"/>
      <c r="M95" s="184"/>
      <c r="N95" s="184"/>
      <c r="O95" s="185"/>
      <c r="P95" s="186">
        <v>0</v>
      </c>
      <c r="Q95" s="186">
        <v>0</v>
      </c>
      <c r="R95" s="187">
        <v>2</v>
      </c>
      <c r="S95" s="187">
        <v>2</v>
      </c>
      <c r="T95" s="184"/>
      <c r="U95" s="184"/>
      <c r="V95" s="188">
        <v>0</v>
      </c>
      <c r="W95" s="189">
        <v>0</v>
      </c>
      <c r="X95" s="190">
        <v>1</v>
      </c>
      <c r="Y95" s="185"/>
      <c r="Z95" s="191"/>
      <c r="AA95" s="97">
        <v>0</v>
      </c>
      <c r="AB95" s="192">
        <v>0</v>
      </c>
      <c r="AC95" s="123"/>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c r="DP95" s="4"/>
      <c r="DQ95" s="4"/>
      <c r="DR95" s="4"/>
      <c r="DS95" s="4"/>
      <c r="DT95" s="4"/>
      <c r="DU95" s="4"/>
      <c r="DV95" s="4"/>
      <c r="DW95" s="4"/>
      <c r="DX95" s="4"/>
      <c r="DY95" s="4"/>
      <c r="DZ95" s="4"/>
      <c r="EA95" s="4"/>
      <c r="EB95" s="4"/>
      <c r="EC95" s="4"/>
      <c r="ED95" s="4"/>
      <c r="EE95" s="4"/>
      <c r="EF95" s="4"/>
      <c r="EG95" s="4"/>
      <c r="EH95" s="4"/>
      <c r="EI95" s="4"/>
      <c r="EJ95" s="4"/>
      <c r="EK95" s="4"/>
      <c r="EL95" s="4"/>
      <c r="EM95" s="4"/>
      <c r="EN95" s="4"/>
      <c r="EO95" s="4"/>
      <c r="EP95" s="4"/>
      <c r="EQ95" s="4"/>
      <c r="ER95" s="4"/>
      <c r="ES95" s="4"/>
      <c r="ET95" s="4"/>
      <c r="EU95" s="4"/>
      <c r="EV95" s="4"/>
      <c r="EW95" s="4"/>
      <c r="EX95" s="4"/>
      <c r="EY95" s="4"/>
      <c r="EZ95" s="4"/>
      <c r="FA95" s="4"/>
      <c r="FB95" s="4"/>
      <c r="FC95" s="4"/>
      <c r="FD95" s="4"/>
      <c r="FE95" s="4"/>
      <c r="FF95" s="4"/>
      <c r="FG95" s="4"/>
      <c r="FH95" s="4"/>
      <c r="FI95" s="4"/>
      <c r="FJ95" s="4"/>
      <c r="FK95" s="4"/>
      <c r="FL95" s="4"/>
      <c r="FM95" s="4"/>
      <c r="FN95" s="4"/>
      <c r="FO95" s="4"/>
      <c r="FP95" s="4"/>
      <c r="FQ95" s="4"/>
      <c r="FR95" s="4"/>
      <c r="FS95" s="4"/>
      <c r="FT95" s="4"/>
      <c r="FU95" s="4"/>
      <c r="FV95" s="4"/>
      <c r="FW95" s="4"/>
      <c r="FX95" s="4"/>
      <c r="FY95" s="4"/>
      <c r="FZ95" s="4"/>
      <c r="GA95" s="4"/>
      <c r="GB95" s="4"/>
      <c r="GC95" s="4"/>
      <c r="GD95" s="4"/>
      <c r="GE95" s="4"/>
      <c r="GF95" s="4"/>
      <c r="GG95" s="4"/>
      <c r="GH95" s="4"/>
      <c r="GI95" s="4"/>
      <c r="GJ95" s="4"/>
      <c r="GK95" s="4"/>
      <c r="GL95" s="4"/>
      <c r="GM95" s="4"/>
      <c r="GN95" s="4"/>
      <c r="GO95" s="4"/>
      <c r="GP95" s="4"/>
      <c r="GQ95" s="4"/>
      <c r="GR95" s="4"/>
      <c r="GS95" s="4"/>
      <c r="GT95" s="4"/>
      <c r="GU95" s="4"/>
      <c r="GV95" s="4"/>
      <c r="GW95" s="4"/>
      <c r="GX95" s="4"/>
      <c r="GY95" s="4"/>
      <c r="GZ95" s="4"/>
      <c r="HA95" s="4"/>
      <c r="HB95" s="4"/>
      <c r="HC95" s="4"/>
      <c r="HD95" s="4"/>
      <c r="HE95" s="4"/>
      <c r="HF95" s="4"/>
      <c r="HG95" s="4"/>
      <c r="HH95" s="4"/>
      <c r="HI95" s="4"/>
      <c r="HJ95" s="4"/>
      <c r="HK95" s="4"/>
      <c r="HL95" s="4"/>
      <c r="HM95" s="4"/>
      <c r="HN95" s="4"/>
      <c r="HO95" s="4"/>
      <c r="HP95" s="4"/>
      <c r="HQ95" s="4"/>
      <c r="HR95" s="4"/>
      <c r="HS95" s="4"/>
      <c r="HT95" s="4"/>
      <c r="HU95" s="4"/>
      <c r="HV95" s="4"/>
      <c r="HW95" s="4"/>
      <c r="HX95" s="4"/>
      <c r="HY95" s="4"/>
      <c r="HZ95" s="4"/>
      <c r="IA95" s="4"/>
      <c r="IB95" s="4"/>
      <c r="IC95" s="4"/>
      <c r="ID95" s="4"/>
      <c r="IE95" s="4"/>
      <c r="IF95" s="4"/>
      <c r="IG95" s="4"/>
      <c r="IH95" s="4"/>
      <c r="II95" s="4"/>
      <c r="IJ95" s="4"/>
      <c r="IK95" s="4"/>
      <c r="IL95" s="4"/>
      <c r="IM95" s="4"/>
      <c r="IN95" s="4"/>
      <c r="IO95" s="4"/>
      <c r="IP95" s="4"/>
      <c r="IQ95" s="4"/>
      <c r="IR95" s="4"/>
      <c r="IS95" s="4"/>
      <c r="IT95" s="4"/>
      <c r="IU95" s="4"/>
      <c r="IV95" s="4"/>
      <c r="IW95" s="4"/>
      <c r="IX95" s="4"/>
      <c r="IY95" s="4"/>
      <c r="IZ95" s="4"/>
      <c r="JA95" s="4"/>
      <c r="JB95" s="4"/>
      <c r="JC95" s="4"/>
      <c r="JD95" s="4"/>
      <c r="JE95" s="4"/>
      <c r="JF95" s="4"/>
      <c r="JG95" s="4"/>
      <c r="JH95" s="4"/>
      <c r="JI95" s="4"/>
      <c r="JJ95" s="4"/>
      <c r="JK95" s="4"/>
      <c r="JL95" s="4"/>
      <c r="JM95" s="4"/>
      <c r="JN95" s="4"/>
      <c r="JO95" s="4"/>
      <c r="JP95" s="4"/>
      <c r="JQ95" s="4"/>
      <c r="JR95" s="4"/>
      <c r="JS95" s="4"/>
      <c r="JT95" s="4"/>
      <c r="JU95" s="4"/>
      <c r="JV95" s="4"/>
      <c r="JW95" s="4"/>
      <c r="JX95" s="4"/>
      <c r="JY95" s="4"/>
      <c r="JZ95" s="4"/>
      <c r="KA95" s="4"/>
      <c r="KB95" s="4"/>
      <c r="KC95" s="4"/>
      <c r="KD95" s="4"/>
      <c r="KE95" s="4"/>
      <c r="KF95" s="4"/>
      <c r="KG95" s="4"/>
      <c r="KH95" s="4"/>
      <c r="KI95" s="4"/>
      <c r="KJ95" s="4"/>
      <c r="KK95" s="4"/>
      <c r="KL95" s="4"/>
      <c r="KM95" s="4"/>
      <c r="KN95" s="4"/>
      <c r="KO95" s="4"/>
      <c r="KP95" s="4"/>
      <c r="KQ95" s="4"/>
      <c r="KR95" s="4"/>
      <c r="KS95" s="4"/>
      <c r="KT95" s="4"/>
      <c r="KU95" s="4"/>
      <c r="KV95" s="4"/>
      <c r="KW95" s="4"/>
      <c r="KX95" s="4"/>
      <c r="KY95" s="4"/>
      <c r="KZ95" s="4"/>
      <c r="LA95" s="4"/>
      <c r="LB95" s="4"/>
      <c r="LC95" s="4"/>
      <c r="LD95" s="4"/>
      <c r="LE95" s="4"/>
      <c r="LF95" s="4"/>
      <c r="LG95" s="4"/>
      <c r="LH95" s="4"/>
      <c r="LI95" s="4"/>
      <c r="LJ95" s="4"/>
      <c r="LK95" s="4"/>
      <c r="LL95" s="4"/>
      <c r="LM95" s="4"/>
      <c r="LN95" s="4"/>
      <c r="LO95" s="4"/>
      <c r="LP95" s="4"/>
      <c r="LQ95" s="4"/>
      <c r="LR95" s="4"/>
      <c r="LS95" s="4"/>
      <c r="LT95" s="4"/>
      <c r="LU95" s="4"/>
      <c r="LV95" s="4"/>
      <c r="LW95" s="4"/>
      <c r="LX95" s="4"/>
      <c r="LY95" s="4"/>
      <c r="LZ95" s="4"/>
      <c r="MA95" s="4"/>
      <c r="MB95" s="4"/>
      <c r="MC95" s="4"/>
      <c r="MD95" s="4"/>
      <c r="ME95" s="4"/>
      <c r="MF95" s="4"/>
      <c r="MG95" s="4"/>
      <c r="MH95" s="4"/>
      <c r="MI95" s="4"/>
      <c r="MJ95" s="4"/>
      <c r="MK95" s="4"/>
      <c r="ML95" s="4"/>
      <c r="MM95" s="4"/>
      <c r="MN95" s="4"/>
      <c r="MO95" s="4"/>
      <c r="MP95" s="4"/>
      <c r="MQ95" s="4"/>
      <c r="MR95" s="4"/>
      <c r="MS95" s="4"/>
      <c r="MT95" s="4"/>
      <c r="MU95" s="4"/>
      <c r="MV95" s="4"/>
      <c r="MW95" s="4"/>
      <c r="MX95" s="4"/>
      <c r="MY95" s="4"/>
      <c r="MZ95" s="4"/>
      <c r="NA95" s="4"/>
      <c r="NB95" s="4"/>
      <c r="NC95" s="4"/>
      <c r="ND95" s="4"/>
      <c r="NE95" s="4"/>
      <c r="NF95" s="4"/>
      <c r="NG95" s="4"/>
      <c r="NH95" s="4"/>
      <c r="NI95" s="4"/>
      <c r="NJ95" s="4"/>
      <c r="NK95" s="4"/>
      <c r="NL95" s="4"/>
      <c r="NM95" s="4"/>
      <c r="NN95" s="4"/>
      <c r="NO95" s="4"/>
      <c r="NP95" s="4"/>
      <c r="NQ95" s="4"/>
      <c r="NR95" s="4"/>
      <c r="NS95" s="4"/>
      <c r="NT95" s="4"/>
      <c r="NU95" s="4"/>
      <c r="NV95" s="4"/>
      <c r="NW95" s="4"/>
      <c r="NX95" s="4"/>
      <c r="NY95" s="4"/>
      <c r="NZ95" s="4"/>
      <c r="OA95" s="4"/>
      <c r="OB95" s="4"/>
      <c r="OC95" s="4"/>
      <c r="OD95" s="4"/>
      <c r="OE95" s="4"/>
      <c r="OF95" s="4"/>
      <c r="OG95" s="4"/>
      <c r="OH95" s="4"/>
      <c r="OI95" s="4"/>
    </row>
    <row r="96" spans="1:399" outlineLevel="1">
      <c r="A96" s="116"/>
      <c r="B96" s="116"/>
      <c r="C96" s="116">
        <v>2</v>
      </c>
      <c r="D96" s="3" t="s">
        <v>1236</v>
      </c>
      <c r="E96" s="183"/>
      <c r="F96" s="183" t="s">
        <v>1178</v>
      </c>
      <c r="G96" s="183"/>
      <c r="H96" s="183"/>
      <c r="I96" s="183"/>
      <c r="J96" s="183"/>
      <c r="K96" s="183"/>
      <c r="L96" s="183"/>
      <c r="M96" s="184"/>
      <c r="N96" s="184"/>
      <c r="O96" s="185"/>
      <c r="P96" s="186">
        <v>0</v>
      </c>
      <c r="Q96" s="186">
        <v>0</v>
      </c>
      <c r="R96" s="187">
        <v>0</v>
      </c>
      <c r="S96" s="187">
        <v>0</v>
      </c>
      <c r="T96" s="184"/>
      <c r="U96" s="184"/>
      <c r="V96" s="188">
        <v>0</v>
      </c>
      <c r="W96" s="189">
        <v>0</v>
      </c>
      <c r="X96" s="190"/>
      <c r="Y96" s="185"/>
      <c r="Z96" s="191"/>
      <c r="AA96" s="97">
        <v>0</v>
      </c>
      <c r="AB96" s="192">
        <v>0</v>
      </c>
      <c r="AC96" s="123"/>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c r="DP96" s="4"/>
      <c r="DQ96" s="4"/>
      <c r="DR96" s="4"/>
      <c r="DS96" s="4"/>
      <c r="DT96" s="4"/>
      <c r="DU96" s="4"/>
      <c r="DV96" s="4"/>
      <c r="DW96" s="4"/>
      <c r="DX96" s="4"/>
      <c r="DY96" s="4"/>
      <c r="DZ96" s="4"/>
      <c r="EA96" s="4"/>
      <c r="EB96" s="4"/>
      <c r="EC96" s="4"/>
      <c r="ED96" s="4"/>
      <c r="EE96" s="4"/>
      <c r="EF96" s="4"/>
      <c r="EG96" s="4"/>
      <c r="EH96" s="4"/>
      <c r="EI96" s="4"/>
      <c r="EJ96" s="4"/>
      <c r="EK96" s="4"/>
      <c r="EL96" s="4"/>
      <c r="EM96" s="4"/>
      <c r="EN96" s="4"/>
      <c r="EO96" s="4"/>
      <c r="EP96" s="4"/>
      <c r="EQ96" s="4"/>
      <c r="ER96" s="4"/>
      <c r="ES96" s="4"/>
      <c r="ET96" s="4"/>
      <c r="EU96" s="4"/>
      <c r="EV96" s="4"/>
      <c r="EW96" s="4"/>
      <c r="EX96" s="4"/>
      <c r="EY96" s="4"/>
      <c r="EZ96" s="4"/>
      <c r="FA96" s="4"/>
      <c r="FB96" s="4"/>
      <c r="FC96" s="4"/>
      <c r="FD96" s="4"/>
      <c r="FE96" s="4"/>
      <c r="FF96" s="4"/>
      <c r="FG96" s="4"/>
      <c r="FH96" s="4"/>
      <c r="FI96" s="4"/>
      <c r="FJ96" s="4"/>
      <c r="FK96" s="4"/>
      <c r="FL96" s="4"/>
      <c r="FM96" s="4"/>
      <c r="FN96" s="4"/>
      <c r="FO96" s="4"/>
      <c r="FP96" s="4"/>
      <c r="FQ96" s="4"/>
      <c r="FR96" s="4"/>
      <c r="FS96" s="4"/>
      <c r="FT96" s="4"/>
      <c r="FU96" s="4"/>
      <c r="FV96" s="4"/>
      <c r="FW96" s="4"/>
      <c r="FX96" s="4"/>
      <c r="FY96" s="4"/>
      <c r="FZ96" s="4"/>
      <c r="GA96" s="4"/>
      <c r="GB96" s="4"/>
      <c r="GC96" s="4"/>
      <c r="GD96" s="4"/>
      <c r="GE96" s="4"/>
      <c r="GF96" s="4"/>
      <c r="GG96" s="4"/>
      <c r="GH96" s="4"/>
      <c r="GI96" s="4"/>
      <c r="GJ96" s="4"/>
      <c r="GK96" s="4"/>
      <c r="GL96" s="4"/>
      <c r="GM96" s="4"/>
      <c r="GN96" s="4"/>
      <c r="GO96" s="4"/>
      <c r="GP96" s="4"/>
      <c r="GQ96" s="4"/>
      <c r="GR96" s="4"/>
      <c r="GS96" s="4"/>
      <c r="GT96" s="4"/>
      <c r="GU96" s="4"/>
      <c r="GV96" s="4"/>
      <c r="GW96" s="4"/>
      <c r="GX96" s="4"/>
      <c r="GY96" s="4"/>
      <c r="GZ96" s="4"/>
      <c r="HA96" s="4"/>
      <c r="HB96" s="4"/>
      <c r="HC96" s="4"/>
      <c r="HD96" s="4"/>
      <c r="HE96" s="4"/>
      <c r="HF96" s="4"/>
      <c r="HG96" s="4"/>
      <c r="HH96" s="4"/>
      <c r="HI96" s="4"/>
      <c r="HJ96" s="4"/>
      <c r="HK96" s="4"/>
      <c r="HL96" s="4"/>
      <c r="HM96" s="4"/>
      <c r="HN96" s="4"/>
      <c r="HO96" s="4"/>
      <c r="HP96" s="4"/>
      <c r="HQ96" s="4"/>
      <c r="HR96" s="4"/>
      <c r="HS96" s="4"/>
      <c r="HT96" s="4"/>
      <c r="HU96" s="4"/>
      <c r="HV96" s="4"/>
      <c r="HW96" s="4"/>
      <c r="HX96" s="4"/>
      <c r="HY96" s="4"/>
      <c r="HZ96" s="4"/>
      <c r="IA96" s="4"/>
      <c r="IB96" s="4"/>
      <c r="IC96" s="4"/>
      <c r="ID96" s="4"/>
      <c r="IE96" s="4"/>
      <c r="IF96" s="4"/>
      <c r="IG96" s="4"/>
      <c r="IH96" s="4"/>
      <c r="II96" s="4"/>
      <c r="IJ96" s="4"/>
      <c r="IK96" s="4"/>
      <c r="IL96" s="4"/>
      <c r="IM96" s="4"/>
      <c r="IN96" s="4"/>
      <c r="IO96" s="4"/>
      <c r="IP96" s="4"/>
      <c r="IQ96" s="4"/>
      <c r="IR96" s="4"/>
      <c r="IS96" s="4"/>
      <c r="IT96" s="4"/>
      <c r="IU96" s="4"/>
      <c r="IV96" s="4"/>
      <c r="IW96" s="4"/>
      <c r="IX96" s="4"/>
      <c r="IY96" s="4"/>
      <c r="IZ96" s="4"/>
      <c r="JA96" s="4"/>
      <c r="JB96" s="4"/>
      <c r="JC96" s="4"/>
      <c r="JD96" s="4"/>
      <c r="JE96" s="4"/>
      <c r="JF96" s="4"/>
      <c r="JG96" s="4"/>
      <c r="JH96" s="4"/>
      <c r="JI96" s="4"/>
      <c r="JJ96" s="4"/>
      <c r="JK96" s="4"/>
      <c r="JL96" s="4"/>
      <c r="JM96" s="4"/>
      <c r="JN96" s="4"/>
      <c r="JO96" s="4"/>
      <c r="JP96" s="4"/>
      <c r="JQ96" s="4"/>
      <c r="JR96" s="4"/>
      <c r="JS96" s="4"/>
      <c r="JT96" s="4"/>
      <c r="JU96" s="4"/>
      <c r="JV96" s="4"/>
      <c r="JW96" s="4"/>
      <c r="JX96" s="4"/>
      <c r="JY96" s="4"/>
      <c r="JZ96" s="4"/>
      <c r="KA96" s="4"/>
      <c r="KB96" s="4"/>
      <c r="KC96" s="4"/>
      <c r="KD96" s="4"/>
      <c r="KE96" s="4"/>
      <c r="KF96" s="4"/>
      <c r="KG96" s="4"/>
      <c r="KH96" s="4"/>
      <c r="KI96" s="4"/>
      <c r="KJ96" s="4"/>
      <c r="KK96" s="4"/>
      <c r="KL96" s="4"/>
      <c r="KM96" s="4"/>
      <c r="KN96" s="4"/>
      <c r="KO96" s="4"/>
      <c r="KP96" s="4"/>
      <c r="KQ96" s="4"/>
      <c r="KR96" s="4"/>
      <c r="KS96" s="4"/>
      <c r="KT96" s="4"/>
      <c r="KU96" s="4"/>
      <c r="KV96" s="4"/>
      <c r="KW96" s="4"/>
      <c r="KX96" s="4"/>
      <c r="KY96" s="4"/>
      <c r="KZ96" s="4"/>
      <c r="LA96" s="4"/>
      <c r="LB96" s="4"/>
      <c r="LC96" s="4"/>
      <c r="LD96" s="4"/>
      <c r="LE96" s="4"/>
      <c r="LF96" s="4"/>
      <c r="LG96" s="4"/>
      <c r="LH96" s="4"/>
      <c r="LI96" s="4"/>
      <c r="LJ96" s="4"/>
      <c r="LK96" s="4"/>
      <c r="LL96" s="4"/>
      <c r="LM96" s="4"/>
      <c r="LN96" s="4"/>
      <c r="LO96" s="4"/>
      <c r="LP96" s="4"/>
      <c r="LQ96" s="4"/>
      <c r="LR96" s="4"/>
      <c r="LS96" s="4"/>
      <c r="LT96" s="4"/>
      <c r="LU96" s="4"/>
      <c r="LV96" s="4"/>
      <c r="LW96" s="4"/>
      <c r="LX96" s="4"/>
      <c r="LY96" s="4"/>
      <c r="LZ96" s="4"/>
      <c r="MA96" s="4"/>
      <c r="MB96" s="4"/>
      <c r="MC96" s="4"/>
      <c r="MD96" s="4"/>
      <c r="ME96" s="4"/>
      <c r="MF96" s="4"/>
      <c r="MG96" s="4"/>
      <c r="MH96" s="4"/>
      <c r="MI96" s="4"/>
      <c r="MJ96" s="4"/>
      <c r="MK96" s="4"/>
      <c r="ML96" s="4"/>
      <c r="MM96" s="4"/>
      <c r="MN96" s="4"/>
      <c r="MO96" s="4"/>
      <c r="MP96" s="4"/>
      <c r="MQ96" s="4"/>
      <c r="MR96" s="4"/>
      <c r="MS96" s="4"/>
      <c r="MT96" s="4"/>
      <c r="MU96" s="4"/>
      <c r="MV96" s="4"/>
      <c r="MW96" s="4"/>
      <c r="MX96" s="4"/>
      <c r="MY96" s="4"/>
      <c r="MZ96" s="4"/>
      <c r="NA96" s="4"/>
      <c r="NB96" s="4"/>
      <c r="NC96" s="4"/>
      <c r="ND96" s="4"/>
      <c r="NE96" s="4"/>
      <c r="NF96" s="4"/>
      <c r="NG96" s="4"/>
      <c r="NH96" s="4"/>
      <c r="NI96" s="4"/>
      <c r="NJ96" s="4"/>
      <c r="NK96" s="4"/>
      <c r="NL96" s="4"/>
      <c r="NM96" s="4"/>
      <c r="NN96" s="4"/>
      <c r="NO96" s="4"/>
      <c r="NP96" s="4"/>
      <c r="NQ96" s="4"/>
      <c r="NR96" s="4"/>
      <c r="NS96" s="4"/>
      <c r="NT96" s="4"/>
      <c r="NU96" s="4"/>
      <c r="NV96" s="4"/>
      <c r="NW96" s="4"/>
      <c r="NX96" s="4"/>
      <c r="NY96" s="4"/>
      <c r="NZ96" s="4"/>
      <c r="OA96" s="4"/>
      <c r="OB96" s="4"/>
      <c r="OC96" s="4"/>
      <c r="OD96" s="4"/>
      <c r="OE96" s="4"/>
      <c r="OF96" s="4"/>
      <c r="OG96" s="4"/>
      <c r="OH96" s="4"/>
      <c r="OI96" s="4"/>
    </row>
    <row r="97" spans="1:399" outlineLevel="1">
      <c r="A97" s="116"/>
      <c r="B97" s="116"/>
      <c r="C97" s="116">
        <v>2</v>
      </c>
      <c r="D97" s="3" t="s">
        <v>1237</v>
      </c>
      <c r="E97" s="183"/>
      <c r="F97" s="183" t="s">
        <v>1179</v>
      </c>
      <c r="G97" s="183"/>
      <c r="H97" s="183"/>
      <c r="I97" s="183"/>
      <c r="J97" s="183"/>
      <c r="K97" s="183"/>
      <c r="L97" s="183"/>
      <c r="M97" s="184"/>
      <c r="N97" s="184"/>
      <c r="O97" s="185"/>
      <c r="P97" s="186">
        <v>0</v>
      </c>
      <c r="Q97" s="186">
        <v>0</v>
      </c>
      <c r="R97" s="187">
        <v>0</v>
      </c>
      <c r="S97" s="187">
        <v>0</v>
      </c>
      <c r="T97" s="184"/>
      <c r="U97" s="184"/>
      <c r="V97" s="188">
        <v>0</v>
      </c>
      <c r="W97" s="189">
        <v>0</v>
      </c>
      <c r="X97" s="190"/>
      <c r="Y97" s="185"/>
      <c r="Z97" s="191"/>
      <c r="AA97" s="97">
        <v>0</v>
      </c>
      <c r="AB97" s="192">
        <v>0</v>
      </c>
      <c r="AC97" s="123"/>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c r="EY97" s="4"/>
      <c r="EZ97" s="4"/>
      <c r="FA97" s="4"/>
      <c r="FB97" s="4"/>
      <c r="FC97" s="4"/>
      <c r="FD97" s="4"/>
      <c r="FE97" s="4"/>
      <c r="FF97" s="4"/>
      <c r="FG97" s="4"/>
      <c r="FH97" s="4"/>
      <c r="FI97" s="4"/>
      <c r="FJ97" s="4"/>
      <c r="FK97" s="4"/>
      <c r="FL97" s="4"/>
      <c r="FM97" s="4"/>
      <c r="FN97" s="4"/>
      <c r="FO97" s="4"/>
      <c r="FP97" s="4"/>
      <c r="FQ97" s="4"/>
      <c r="FR97" s="4"/>
      <c r="FS97" s="4"/>
      <c r="FT97" s="4"/>
      <c r="FU97" s="4"/>
      <c r="FV97" s="4"/>
      <c r="FW97" s="4"/>
      <c r="FX97" s="4"/>
      <c r="FY97" s="4"/>
      <c r="FZ97" s="4"/>
      <c r="GA97" s="4"/>
      <c r="GB97" s="4"/>
      <c r="GC97" s="4"/>
      <c r="GD97" s="4"/>
      <c r="GE97" s="4"/>
      <c r="GF97" s="4"/>
      <c r="GG97" s="4"/>
      <c r="GH97" s="4"/>
      <c r="GI97" s="4"/>
      <c r="GJ97" s="4"/>
      <c r="GK97" s="4"/>
      <c r="GL97" s="4"/>
      <c r="GM97" s="4"/>
      <c r="GN97" s="4"/>
      <c r="GO97" s="4"/>
      <c r="GP97" s="4"/>
      <c r="GQ97" s="4"/>
      <c r="GR97" s="4"/>
      <c r="GS97" s="4"/>
      <c r="GT97" s="4"/>
      <c r="GU97" s="4"/>
      <c r="GV97" s="4"/>
      <c r="GW97" s="4"/>
      <c r="GX97" s="4"/>
      <c r="GY97" s="4"/>
      <c r="GZ97" s="4"/>
      <c r="HA97" s="4"/>
      <c r="HB97" s="4"/>
      <c r="HC97" s="4"/>
      <c r="HD97" s="4"/>
      <c r="HE97" s="4"/>
      <c r="HF97" s="4"/>
      <c r="HG97" s="4"/>
      <c r="HH97" s="4"/>
      <c r="HI97" s="4"/>
      <c r="HJ97" s="4"/>
      <c r="HK97" s="4"/>
      <c r="HL97" s="4"/>
      <c r="HM97" s="4"/>
      <c r="HN97" s="4"/>
      <c r="HO97" s="4"/>
      <c r="HP97" s="4"/>
      <c r="HQ97" s="4"/>
      <c r="HR97" s="4"/>
      <c r="HS97" s="4"/>
      <c r="HT97" s="4"/>
      <c r="HU97" s="4"/>
      <c r="HV97" s="4"/>
      <c r="HW97" s="4"/>
      <c r="HX97" s="4"/>
      <c r="HY97" s="4"/>
      <c r="HZ97" s="4"/>
      <c r="IA97" s="4"/>
      <c r="IB97" s="4"/>
      <c r="IC97" s="4"/>
      <c r="ID97" s="4"/>
      <c r="IE97" s="4"/>
      <c r="IF97" s="4"/>
      <c r="IG97" s="4"/>
      <c r="IH97" s="4"/>
      <c r="II97" s="4"/>
      <c r="IJ97" s="4"/>
      <c r="IK97" s="4"/>
      <c r="IL97" s="4"/>
      <c r="IM97" s="4"/>
      <c r="IN97" s="4"/>
      <c r="IO97" s="4"/>
      <c r="IP97" s="4"/>
      <c r="IQ97" s="4"/>
      <c r="IR97" s="4"/>
      <c r="IS97" s="4"/>
      <c r="IT97" s="4"/>
      <c r="IU97" s="4"/>
      <c r="IV97" s="4"/>
      <c r="IW97" s="4"/>
      <c r="IX97" s="4"/>
      <c r="IY97" s="4"/>
      <c r="IZ97" s="4"/>
      <c r="JA97" s="4"/>
      <c r="JB97" s="4"/>
      <c r="JC97" s="4"/>
      <c r="JD97" s="4"/>
      <c r="JE97" s="4"/>
      <c r="JF97" s="4"/>
      <c r="JG97" s="4"/>
      <c r="JH97" s="4"/>
      <c r="JI97" s="4"/>
      <c r="JJ97" s="4"/>
      <c r="JK97" s="4"/>
      <c r="JL97" s="4"/>
      <c r="JM97" s="4"/>
      <c r="JN97" s="4"/>
      <c r="JO97" s="4"/>
      <c r="JP97" s="4"/>
      <c r="JQ97" s="4"/>
      <c r="JR97" s="4"/>
      <c r="JS97" s="4"/>
      <c r="JT97" s="4"/>
      <c r="JU97" s="4"/>
      <c r="JV97" s="4"/>
      <c r="JW97" s="4"/>
      <c r="JX97" s="4"/>
      <c r="JY97" s="4"/>
      <c r="JZ97" s="4"/>
      <c r="KA97" s="4"/>
      <c r="KB97" s="4"/>
      <c r="KC97" s="4"/>
      <c r="KD97" s="4"/>
      <c r="KE97" s="4"/>
      <c r="KF97" s="4"/>
      <c r="KG97" s="4"/>
      <c r="KH97" s="4"/>
      <c r="KI97" s="4"/>
      <c r="KJ97" s="4"/>
      <c r="KK97" s="4"/>
      <c r="KL97" s="4"/>
      <c r="KM97" s="4"/>
      <c r="KN97" s="4"/>
      <c r="KO97" s="4"/>
      <c r="KP97" s="4"/>
      <c r="KQ97" s="4"/>
      <c r="KR97" s="4"/>
      <c r="KS97" s="4"/>
      <c r="KT97" s="4"/>
      <c r="KU97" s="4"/>
      <c r="KV97" s="4"/>
      <c r="KW97" s="4"/>
      <c r="KX97" s="4"/>
      <c r="KY97" s="4"/>
      <c r="KZ97" s="4"/>
      <c r="LA97" s="4"/>
      <c r="LB97" s="4"/>
      <c r="LC97" s="4"/>
      <c r="LD97" s="4"/>
      <c r="LE97" s="4"/>
      <c r="LF97" s="4"/>
      <c r="LG97" s="4"/>
      <c r="LH97" s="4"/>
      <c r="LI97" s="4"/>
      <c r="LJ97" s="4"/>
      <c r="LK97" s="4"/>
      <c r="LL97" s="4"/>
      <c r="LM97" s="4"/>
      <c r="LN97" s="4"/>
      <c r="LO97" s="4"/>
      <c r="LP97" s="4"/>
      <c r="LQ97" s="4"/>
      <c r="LR97" s="4"/>
      <c r="LS97" s="4"/>
      <c r="LT97" s="4"/>
      <c r="LU97" s="4"/>
      <c r="LV97" s="4"/>
      <c r="LW97" s="4"/>
      <c r="LX97" s="4"/>
      <c r="LY97" s="4"/>
      <c r="LZ97" s="4"/>
      <c r="MA97" s="4"/>
      <c r="MB97" s="4"/>
      <c r="MC97" s="4"/>
      <c r="MD97" s="4"/>
      <c r="ME97" s="4"/>
      <c r="MF97" s="4"/>
      <c r="MG97" s="4"/>
      <c r="MH97" s="4"/>
      <c r="MI97" s="4"/>
      <c r="MJ97" s="4"/>
      <c r="MK97" s="4"/>
      <c r="ML97" s="4"/>
      <c r="MM97" s="4"/>
      <c r="MN97" s="4"/>
      <c r="MO97" s="4"/>
      <c r="MP97" s="4"/>
      <c r="MQ97" s="4"/>
      <c r="MR97" s="4"/>
      <c r="MS97" s="4"/>
      <c r="MT97" s="4"/>
      <c r="MU97" s="4"/>
      <c r="MV97" s="4"/>
      <c r="MW97" s="4"/>
      <c r="MX97" s="4"/>
      <c r="MY97" s="4"/>
      <c r="MZ97" s="4"/>
      <c r="NA97" s="4"/>
      <c r="NB97" s="4"/>
      <c r="NC97" s="4"/>
      <c r="ND97" s="4"/>
      <c r="NE97" s="4"/>
      <c r="NF97" s="4"/>
      <c r="NG97" s="4"/>
      <c r="NH97" s="4"/>
      <c r="NI97" s="4"/>
      <c r="NJ97" s="4"/>
      <c r="NK97" s="4"/>
      <c r="NL97" s="4"/>
      <c r="NM97" s="4"/>
      <c r="NN97" s="4"/>
      <c r="NO97" s="4"/>
      <c r="NP97" s="4"/>
      <c r="NQ97" s="4"/>
      <c r="NR97" s="4"/>
      <c r="NS97" s="4"/>
      <c r="NT97" s="4"/>
      <c r="NU97" s="4"/>
      <c r="NV97" s="4"/>
      <c r="NW97" s="4"/>
      <c r="NX97" s="4"/>
      <c r="NY97" s="4"/>
      <c r="NZ97" s="4"/>
      <c r="OA97" s="4"/>
      <c r="OB97" s="4"/>
      <c r="OC97" s="4"/>
      <c r="OD97" s="4"/>
      <c r="OE97" s="4"/>
      <c r="OF97" s="4"/>
      <c r="OG97" s="4"/>
      <c r="OH97" s="4"/>
      <c r="OI97" s="4"/>
    </row>
    <row r="98" spans="1:399" outlineLevel="1">
      <c r="A98" s="116"/>
      <c r="B98" s="116"/>
      <c r="C98" s="116">
        <v>2</v>
      </c>
      <c r="D98" s="3" t="s">
        <v>1238</v>
      </c>
      <c r="E98" s="183"/>
      <c r="F98" s="183" t="s">
        <v>1180</v>
      </c>
      <c r="G98" s="183"/>
      <c r="H98" s="183"/>
      <c r="I98" s="183"/>
      <c r="J98" s="183"/>
      <c r="K98" s="183"/>
      <c r="L98" s="183"/>
      <c r="M98" s="184"/>
      <c r="N98" s="184"/>
      <c r="O98" s="185"/>
      <c r="P98" s="186">
        <v>0</v>
      </c>
      <c r="Q98" s="186">
        <v>0</v>
      </c>
      <c r="R98" s="187">
        <v>0</v>
      </c>
      <c r="S98" s="187">
        <v>0</v>
      </c>
      <c r="T98" s="184"/>
      <c r="U98" s="184"/>
      <c r="V98" s="188">
        <v>0</v>
      </c>
      <c r="W98" s="189">
        <v>0</v>
      </c>
      <c r="X98" s="190"/>
      <c r="Y98" s="185"/>
      <c r="Z98" s="191"/>
      <c r="AA98" s="97">
        <v>0</v>
      </c>
      <c r="AB98" s="192">
        <v>0</v>
      </c>
      <c r="AC98" s="123"/>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c r="DF98" s="4"/>
      <c r="DG98" s="4"/>
      <c r="DH98" s="4"/>
      <c r="DI98" s="4"/>
      <c r="DJ98" s="4"/>
      <c r="DK98" s="4"/>
      <c r="DL98" s="4"/>
      <c r="DM98" s="4"/>
      <c r="DN98" s="4"/>
      <c r="DO98" s="4"/>
      <c r="DP98" s="4"/>
      <c r="DQ98" s="4"/>
      <c r="DR98" s="4"/>
      <c r="DS98" s="4"/>
      <c r="DT98" s="4"/>
      <c r="DU98" s="4"/>
      <c r="DV98" s="4"/>
      <c r="DW98" s="4"/>
      <c r="DX98" s="4"/>
      <c r="DY98" s="4"/>
      <c r="DZ98" s="4"/>
      <c r="EA98" s="4"/>
      <c r="EB98" s="4"/>
      <c r="EC98" s="4"/>
      <c r="ED98" s="4"/>
      <c r="EE98" s="4"/>
      <c r="EF98" s="4"/>
      <c r="EG98" s="4"/>
      <c r="EH98" s="4"/>
      <c r="EI98" s="4"/>
      <c r="EJ98" s="4"/>
      <c r="EK98" s="4"/>
      <c r="EL98" s="4"/>
      <c r="EM98" s="4"/>
      <c r="EN98" s="4"/>
      <c r="EO98" s="4"/>
      <c r="EP98" s="4"/>
      <c r="EQ98" s="4"/>
      <c r="ER98" s="4"/>
      <c r="ES98" s="4"/>
      <c r="ET98" s="4"/>
      <c r="EU98" s="4"/>
      <c r="EV98" s="4"/>
      <c r="EW98" s="4"/>
      <c r="EX98" s="4"/>
      <c r="EY98" s="4"/>
      <c r="EZ98" s="4"/>
      <c r="FA98" s="4"/>
      <c r="FB98" s="4"/>
      <c r="FC98" s="4"/>
      <c r="FD98" s="4"/>
      <c r="FE98" s="4"/>
      <c r="FF98" s="4"/>
      <c r="FG98" s="4"/>
      <c r="FH98" s="4"/>
      <c r="FI98" s="4"/>
      <c r="FJ98" s="4"/>
      <c r="FK98" s="4"/>
      <c r="FL98" s="4"/>
      <c r="FM98" s="4"/>
      <c r="FN98" s="4"/>
      <c r="FO98" s="4"/>
      <c r="FP98" s="4"/>
      <c r="FQ98" s="4"/>
      <c r="FR98" s="4"/>
      <c r="FS98" s="4"/>
      <c r="FT98" s="4"/>
      <c r="FU98" s="4"/>
      <c r="FV98" s="4"/>
      <c r="FW98" s="4"/>
      <c r="FX98" s="4"/>
      <c r="FY98" s="4"/>
      <c r="FZ98" s="4"/>
      <c r="GA98" s="4"/>
      <c r="GB98" s="4"/>
      <c r="GC98" s="4"/>
      <c r="GD98" s="4"/>
      <c r="GE98" s="4"/>
      <c r="GF98" s="4"/>
      <c r="GG98" s="4"/>
      <c r="GH98" s="4"/>
      <c r="GI98" s="4"/>
      <c r="GJ98" s="4"/>
      <c r="GK98" s="4"/>
      <c r="GL98" s="4"/>
      <c r="GM98" s="4"/>
      <c r="GN98" s="4"/>
      <c r="GO98" s="4"/>
      <c r="GP98" s="4"/>
      <c r="GQ98" s="4"/>
      <c r="GR98" s="4"/>
      <c r="GS98" s="4"/>
      <c r="GT98" s="4"/>
      <c r="GU98" s="4"/>
      <c r="GV98" s="4"/>
      <c r="GW98" s="4"/>
      <c r="GX98" s="4"/>
      <c r="GY98" s="4"/>
      <c r="GZ98" s="4"/>
      <c r="HA98" s="4"/>
      <c r="HB98" s="4"/>
      <c r="HC98" s="4"/>
      <c r="HD98" s="4"/>
      <c r="HE98" s="4"/>
      <c r="HF98" s="4"/>
      <c r="HG98" s="4"/>
      <c r="HH98" s="4"/>
      <c r="HI98" s="4"/>
      <c r="HJ98" s="4"/>
      <c r="HK98" s="4"/>
      <c r="HL98" s="4"/>
      <c r="HM98" s="4"/>
      <c r="HN98" s="4"/>
      <c r="HO98" s="4"/>
      <c r="HP98" s="4"/>
      <c r="HQ98" s="4"/>
      <c r="HR98" s="4"/>
      <c r="HS98" s="4"/>
      <c r="HT98" s="4"/>
      <c r="HU98" s="4"/>
      <c r="HV98" s="4"/>
      <c r="HW98" s="4"/>
      <c r="HX98" s="4"/>
      <c r="HY98" s="4"/>
      <c r="HZ98" s="4"/>
      <c r="IA98" s="4"/>
      <c r="IB98" s="4"/>
      <c r="IC98" s="4"/>
      <c r="ID98" s="4"/>
      <c r="IE98" s="4"/>
      <c r="IF98" s="4"/>
      <c r="IG98" s="4"/>
      <c r="IH98" s="4"/>
      <c r="II98" s="4"/>
      <c r="IJ98" s="4"/>
      <c r="IK98" s="4"/>
      <c r="IL98" s="4"/>
      <c r="IM98" s="4"/>
      <c r="IN98" s="4"/>
      <c r="IO98" s="4"/>
      <c r="IP98" s="4"/>
      <c r="IQ98" s="4"/>
      <c r="IR98" s="4"/>
      <c r="IS98" s="4"/>
      <c r="IT98" s="4"/>
      <c r="IU98" s="4"/>
      <c r="IV98" s="4"/>
      <c r="IW98" s="4"/>
      <c r="IX98" s="4"/>
      <c r="IY98" s="4"/>
      <c r="IZ98" s="4"/>
      <c r="JA98" s="4"/>
      <c r="JB98" s="4"/>
      <c r="JC98" s="4"/>
      <c r="JD98" s="4"/>
      <c r="JE98" s="4"/>
      <c r="JF98" s="4"/>
      <c r="JG98" s="4"/>
      <c r="JH98" s="4"/>
      <c r="JI98" s="4"/>
      <c r="JJ98" s="4"/>
      <c r="JK98" s="4"/>
      <c r="JL98" s="4"/>
      <c r="JM98" s="4"/>
      <c r="JN98" s="4"/>
      <c r="JO98" s="4"/>
      <c r="JP98" s="4"/>
      <c r="JQ98" s="4"/>
      <c r="JR98" s="4"/>
      <c r="JS98" s="4"/>
      <c r="JT98" s="4"/>
      <c r="JU98" s="4"/>
      <c r="JV98" s="4"/>
      <c r="JW98" s="4"/>
      <c r="JX98" s="4"/>
      <c r="JY98" s="4"/>
      <c r="JZ98" s="4"/>
      <c r="KA98" s="4"/>
      <c r="KB98" s="4"/>
      <c r="KC98" s="4"/>
      <c r="KD98" s="4"/>
      <c r="KE98" s="4"/>
      <c r="KF98" s="4"/>
      <c r="KG98" s="4"/>
      <c r="KH98" s="4"/>
      <c r="KI98" s="4"/>
      <c r="KJ98" s="4"/>
      <c r="KK98" s="4"/>
      <c r="KL98" s="4"/>
      <c r="KM98" s="4"/>
      <c r="KN98" s="4"/>
      <c r="KO98" s="4"/>
      <c r="KP98" s="4"/>
      <c r="KQ98" s="4"/>
      <c r="KR98" s="4"/>
      <c r="KS98" s="4"/>
      <c r="KT98" s="4"/>
      <c r="KU98" s="4"/>
      <c r="KV98" s="4"/>
      <c r="KW98" s="4"/>
      <c r="KX98" s="4"/>
      <c r="KY98" s="4"/>
      <c r="KZ98" s="4"/>
      <c r="LA98" s="4"/>
      <c r="LB98" s="4"/>
      <c r="LC98" s="4"/>
      <c r="LD98" s="4"/>
      <c r="LE98" s="4"/>
      <c r="LF98" s="4"/>
      <c r="LG98" s="4"/>
      <c r="LH98" s="4"/>
      <c r="LI98" s="4"/>
      <c r="LJ98" s="4"/>
      <c r="LK98" s="4"/>
      <c r="LL98" s="4"/>
      <c r="LM98" s="4"/>
      <c r="LN98" s="4"/>
      <c r="LO98" s="4"/>
      <c r="LP98" s="4"/>
      <c r="LQ98" s="4"/>
      <c r="LR98" s="4"/>
      <c r="LS98" s="4"/>
      <c r="LT98" s="4"/>
      <c r="LU98" s="4"/>
      <c r="LV98" s="4"/>
      <c r="LW98" s="4"/>
      <c r="LX98" s="4"/>
      <c r="LY98" s="4"/>
      <c r="LZ98" s="4"/>
      <c r="MA98" s="4"/>
      <c r="MB98" s="4"/>
      <c r="MC98" s="4"/>
      <c r="MD98" s="4"/>
      <c r="ME98" s="4"/>
      <c r="MF98" s="4"/>
      <c r="MG98" s="4"/>
      <c r="MH98" s="4"/>
      <c r="MI98" s="4"/>
      <c r="MJ98" s="4"/>
      <c r="MK98" s="4"/>
      <c r="ML98" s="4"/>
      <c r="MM98" s="4"/>
      <c r="MN98" s="4"/>
      <c r="MO98" s="4"/>
      <c r="MP98" s="4"/>
      <c r="MQ98" s="4"/>
      <c r="MR98" s="4"/>
      <c r="MS98" s="4"/>
      <c r="MT98" s="4"/>
      <c r="MU98" s="4"/>
      <c r="MV98" s="4"/>
      <c r="MW98" s="4"/>
      <c r="MX98" s="4"/>
      <c r="MY98" s="4"/>
      <c r="MZ98" s="4"/>
      <c r="NA98" s="4"/>
      <c r="NB98" s="4"/>
      <c r="NC98" s="4"/>
      <c r="ND98" s="4"/>
      <c r="NE98" s="4"/>
      <c r="NF98" s="4"/>
      <c r="NG98" s="4"/>
      <c r="NH98" s="4"/>
      <c r="NI98" s="4"/>
      <c r="NJ98" s="4"/>
      <c r="NK98" s="4"/>
      <c r="NL98" s="4"/>
      <c r="NM98" s="4"/>
      <c r="NN98" s="4"/>
      <c r="NO98" s="4"/>
      <c r="NP98" s="4"/>
      <c r="NQ98" s="4"/>
      <c r="NR98" s="4"/>
      <c r="NS98" s="4"/>
      <c r="NT98" s="4"/>
      <c r="NU98" s="4"/>
      <c r="NV98" s="4"/>
      <c r="NW98" s="4"/>
      <c r="NX98" s="4"/>
      <c r="NY98" s="4"/>
      <c r="NZ98" s="4"/>
      <c r="OA98" s="4"/>
      <c r="OB98" s="4"/>
      <c r="OC98" s="4"/>
      <c r="OD98" s="4"/>
      <c r="OE98" s="4"/>
      <c r="OF98" s="4"/>
      <c r="OG98" s="4"/>
      <c r="OH98" s="4"/>
      <c r="OI98" s="4"/>
    </row>
    <row r="99" spans="1:399" outlineLevel="1">
      <c r="A99" s="116"/>
      <c r="B99" s="116"/>
      <c r="C99" s="116">
        <v>2</v>
      </c>
      <c r="D99" s="3" t="s">
        <v>1239</v>
      </c>
      <c r="E99" s="183"/>
      <c r="F99" s="183" t="s">
        <v>1199</v>
      </c>
      <c r="G99" s="183"/>
      <c r="H99" s="183"/>
      <c r="I99" s="183"/>
      <c r="J99" s="183"/>
      <c r="K99" s="183"/>
      <c r="L99" s="183"/>
      <c r="M99" s="184"/>
      <c r="N99" s="184"/>
      <c r="O99" s="185"/>
      <c r="P99" s="186">
        <v>0</v>
      </c>
      <c r="Q99" s="186">
        <v>0</v>
      </c>
      <c r="R99" s="187">
        <v>0</v>
      </c>
      <c r="S99" s="187">
        <v>0</v>
      </c>
      <c r="T99" s="184"/>
      <c r="U99" s="184"/>
      <c r="V99" s="188">
        <v>0</v>
      </c>
      <c r="W99" s="189">
        <v>0</v>
      </c>
      <c r="X99" s="190"/>
      <c r="Y99" s="185" t="s">
        <v>1181</v>
      </c>
      <c r="Z99" s="191"/>
      <c r="AA99" s="97">
        <v>0</v>
      </c>
      <c r="AB99" s="192">
        <v>0</v>
      </c>
      <c r="AC99" s="123"/>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c r="DF99" s="4"/>
      <c r="DG99" s="4"/>
      <c r="DH99" s="4"/>
      <c r="DI99" s="4"/>
      <c r="DJ99" s="4"/>
      <c r="DK99" s="4"/>
      <c r="DL99" s="4"/>
      <c r="DM99" s="4"/>
      <c r="DN99" s="4"/>
      <c r="DO99" s="4"/>
      <c r="DP99" s="4"/>
      <c r="DQ99" s="4"/>
      <c r="DR99" s="4"/>
      <c r="DS99" s="4"/>
      <c r="DT99" s="4"/>
      <c r="DU99" s="4"/>
      <c r="DV99" s="4"/>
      <c r="DW99" s="4"/>
      <c r="DX99" s="4"/>
      <c r="DY99" s="4"/>
      <c r="DZ99" s="4"/>
      <c r="EA99" s="4"/>
      <c r="EB99" s="4"/>
      <c r="EC99" s="4"/>
      <c r="ED99" s="4"/>
      <c r="EE99" s="4"/>
      <c r="EF99" s="4"/>
      <c r="EG99" s="4"/>
      <c r="EH99" s="4"/>
      <c r="EI99" s="4"/>
      <c r="EJ99" s="4"/>
      <c r="EK99" s="4"/>
      <c r="EL99" s="4"/>
      <c r="EM99" s="4"/>
      <c r="EN99" s="4"/>
      <c r="EO99" s="4"/>
      <c r="EP99" s="4"/>
      <c r="EQ99" s="4"/>
      <c r="ER99" s="4"/>
      <c r="ES99" s="4"/>
      <c r="ET99" s="4"/>
      <c r="EU99" s="4"/>
      <c r="EV99" s="4"/>
      <c r="EW99" s="4"/>
      <c r="EX99" s="4"/>
      <c r="EY99" s="4"/>
      <c r="EZ99" s="4"/>
      <c r="FA99" s="4"/>
      <c r="FB99" s="4"/>
      <c r="FC99" s="4"/>
      <c r="FD99" s="4"/>
      <c r="FE99" s="4"/>
      <c r="FF99" s="4"/>
      <c r="FG99" s="4"/>
      <c r="FH99" s="4"/>
      <c r="FI99" s="4"/>
      <c r="FJ99" s="4"/>
      <c r="FK99" s="4"/>
      <c r="FL99" s="4"/>
      <c r="FM99" s="4"/>
      <c r="FN99" s="4"/>
      <c r="FO99" s="4"/>
      <c r="FP99" s="4"/>
      <c r="FQ99" s="4"/>
      <c r="FR99" s="4"/>
      <c r="FS99" s="4"/>
      <c r="FT99" s="4"/>
      <c r="FU99" s="4"/>
      <c r="FV99" s="4"/>
      <c r="FW99" s="4"/>
      <c r="FX99" s="4"/>
      <c r="FY99" s="4"/>
      <c r="FZ99" s="4"/>
      <c r="GA99" s="4"/>
      <c r="GB99" s="4"/>
      <c r="GC99" s="4"/>
      <c r="GD99" s="4"/>
      <c r="GE99" s="4"/>
      <c r="GF99" s="4"/>
      <c r="GG99" s="4"/>
      <c r="GH99" s="4"/>
      <c r="GI99" s="4"/>
      <c r="GJ99" s="4"/>
      <c r="GK99" s="4"/>
      <c r="GL99" s="4"/>
      <c r="GM99" s="4"/>
      <c r="GN99" s="4"/>
      <c r="GO99" s="4"/>
      <c r="GP99" s="4"/>
      <c r="GQ99" s="4"/>
      <c r="GR99" s="4"/>
      <c r="GS99" s="4"/>
      <c r="GT99" s="4"/>
      <c r="GU99" s="4"/>
      <c r="GV99" s="4"/>
      <c r="GW99" s="4"/>
      <c r="GX99" s="4"/>
      <c r="GY99" s="4"/>
      <c r="GZ99" s="4"/>
      <c r="HA99" s="4"/>
      <c r="HB99" s="4"/>
      <c r="HC99" s="4"/>
      <c r="HD99" s="4"/>
      <c r="HE99" s="4"/>
      <c r="HF99" s="4"/>
      <c r="HG99" s="4"/>
      <c r="HH99" s="4"/>
      <c r="HI99" s="4"/>
      <c r="HJ99" s="4"/>
      <c r="HK99" s="4"/>
      <c r="HL99" s="4"/>
      <c r="HM99" s="4"/>
      <c r="HN99" s="4"/>
      <c r="HO99" s="4"/>
      <c r="HP99" s="4"/>
      <c r="HQ99" s="4"/>
      <c r="HR99" s="4"/>
      <c r="HS99" s="4"/>
      <c r="HT99" s="4"/>
      <c r="HU99" s="4"/>
      <c r="HV99" s="4"/>
      <c r="HW99" s="4"/>
      <c r="HX99" s="4"/>
      <c r="HY99" s="4"/>
      <c r="HZ99" s="4"/>
      <c r="IA99" s="4"/>
      <c r="IB99" s="4"/>
      <c r="IC99" s="4"/>
      <c r="ID99" s="4"/>
      <c r="IE99" s="4"/>
      <c r="IF99" s="4"/>
      <c r="IG99" s="4"/>
      <c r="IH99" s="4"/>
      <c r="II99" s="4"/>
      <c r="IJ99" s="4"/>
      <c r="IK99" s="4"/>
      <c r="IL99" s="4"/>
      <c r="IM99" s="4"/>
      <c r="IN99" s="4"/>
      <c r="IO99" s="4"/>
      <c r="IP99" s="4"/>
      <c r="IQ99" s="4"/>
      <c r="IR99" s="4"/>
      <c r="IS99" s="4"/>
      <c r="IT99" s="4"/>
      <c r="IU99" s="4"/>
      <c r="IV99" s="4"/>
      <c r="IW99" s="4"/>
      <c r="IX99" s="4"/>
      <c r="IY99" s="4"/>
      <c r="IZ99" s="4"/>
      <c r="JA99" s="4"/>
      <c r="JB99" s="4"/>
      <c r="JC99" s="4"/>
      <c r="JD99" s="4"/>
      <c r="JE99" s="4"/>
      <c r="JF99" s="4"/>
      <c r="JG99" s="4"/>
      <c r="JH99" s="4"/>
      <c r="JI99" s="4"/>
      <c r="JJ99" s="4"/>
      <c r="JK99" s="4"/>
      <c r="JL99" s="4"/>
      <c r="JM99" s="4"/>
      <c r="JN99" s="4"/>
      <c r="JO99" s="4"/>
      <c r="JP99" s="4"/>
      <c r="JQ99" s="4"/>
      <c r="JR99" s="4"/>
      <c r="JS99" s="4"/>
      <c r="JT99" s="4"/>
      <c r="JU99" s="4"/>
      <c r="JV99" s="4"/>
      <c r="JW99" s="4"/>
      <c r="JX99" s="4"/>
      <c r="JY99" s="4"/>
      <c r="JZ99" s="4"/>
      <c r="KA99" s="4"/>
      <c r="KB99" s="4"/>
      <c r="KC99" s="4"/>
      <c r="KD99" s="4"/>
      <c r="KE99" s="4"/>
      <c r="KF99" s="4"/>
      <c r="KG99" s="4"/>
      <c r="KH99" s="4"/>
      <c r="KI99" s="4"/>
      <c r="KJ99" s="4"/>
      <c r="KK99" s="4"/>
      <c r="KL99" s="4"/>
      <c r="KM99" s="4"/>
      <c r="KN99" s="4"/>
      <c r="KO99" s="4"/>
      <c r="KP99" s="4"/>
      <c r="KQ99" s="4"/>
      <c r="KR99" s="4"/>
      <c r="KS99" s="4"/>
      <c r="KT99" s="4"/>
      <c r="KU99" s="4"/>
      <c r="KV99" s="4"/>
      <c r="KW99" s="4"/>
      <c r="KX99" s="4"/>
      <c r="KY99" s="4"/>
      <c r="KZ99" s="4"/>
      <c r="LA99" s="4"/>
      <c r="LB99" s="4"/>
      <c r="LC99" s="4"/>
      <c r="LD99" s="4"/>
      <c r="LE99" s="4"/>
      <c r="LF99" s="4"/>
      <c r="LG99" s="4"/>
      <c r="LH99" s="4"/>
      <c r="LI99" s="4"/>
      <c r="LJ99" s="4"/>
      <c r="LK99" s="4"/>
      <c r="LL99" s="4"/>
      <c r="LM99" s="4"/>
      <c r="LN99" s="4"/>
      <c r="LO99" s="4"/>
      <c r="LP99" s="4"/>
      <c r="LQ99" s="4"/>
      <c r="LR99" s="4"/>
      <c r="LS99" s="4"/>
      <c r="LT99" s="4"/>
      <c r="LU99" s="4"/>
      <c r="LV99" s="4"/>
      <c r="LW99" s="4"/>
      <c r="LX99" s="4"/>
      <c r="LY99" s="4"/>
      <c r="LZ99" s="4"/>
      <c r="MA99" s="4"/>
      <c r="MB99" s="4"/>
      <c r="MC99" s="4"/>
      <c r="MD99" s="4"/>
      <c r="ME99" s="4"/>
      <c r="MF99" s="4"/>
      <c r="MG99" s="4"/>
      <c r="MH99" s="4"/>
      <c r="MI99" s="4"/>
      <c r="MJ99" s="4"/>
      <c r="MK99" s="4"/>
      <c r="ML99" s="4"/>
      <c r="MM99" s="4"/>
      <c r="MN99" s="4"/>
      <c r="MO99" s="4"/>
      <c r="MP99" s="4"/>
      <c r="MQ99" s="4"/>
      <c r="MR99" s="4"/>
      <c r="MS99" s="4"/>
      <c r="MT99" s="4"/>
      <c r="MU99" s="4"/>
      <c r="MV99" s="4"/>
      <c r="MW99" s="4"/>
      <c r="MX99" s="4"/>
      <c r="MY99" s="4"/>
      <c r="MZ99" s="4"/>
      <c r="NA99" s="4"/>
      <c r="NB99" s="4"/>
      <c r="NC99" s="4"/>
      <c r="ND99" s="4"/>
      <c r="NE99" s="4"/>
      <c r="NF99" s="4"/>
      <c r="NG99" s="4"/>
      <c r="NH99" s="4"/>
      <c r="NI99" s="4"/>
      <c r="NJ99" s="4"/>
      <c r="NK99" s="4"/>
      <c r="NL99" s="4"/>
      <c r="NM99" s="4"/>
      <c r="NN99" s="4"/>
      <c r="NO99" s="4"/>
      <c r="NP99" s="4"/>
      <c r="NQ99" s="4"/>
      <c r="NR99" s="4"/>
      <c r="NS99" s="4"/>
      <c r="NT99" s="4"/>
      <c r="NU99" s="4"/>
      <c r="NV99" s="4"/>
      <c r="NW99" s="4"/>
      <c r="NX99" s="4"/>
      <c r="NY99" s="4"/>
      <c r="NZ99" s="4"/>
      <c r="OA99" s="4"/>
      <c r="OB99" s="4"/>
      <c r="OC99" s="4"/>
      <c r="OD99" s="4"/>
      <c r="OE99" s="4"/>
      <c r="OF99" s="4"/>
      <c r="OG99" s="4"/>
      <c r="OH99" s="4"/>
      <c r="OI99" s="4"/>
    </row>
    <row r="100" spans="1:399" outlineLevel="1">
      <c r="A100" s="116"/>
      <c r="B100" s="116"/>
      <c r="C100" s="116">
        <v>2</v>
      </c>
      <c r="D100" s="3" t="s">
        <v>1240</v>
      </c>
      <c r="E100" s="183"/>
      <c r="F100" s="183" t="s">
        <v>1182</v>
      </c>
      <c r="G100" s="183"/>
      <c r="H100" s="183"/>
      <c r="I100" s="183"/>
      <c r="J100" s="183"/>
      <c r="K100" s="183"/>
      <c r="L100" s="183"/>
      <c r="M100" s="184"/>
      <c r="N100" s="184"/>
      <c r="O100" s="185"/>
      <c r="P100" s="186">
        <v>0</v>
      </c>
      <c r="Q100" s="186">
        <v>0</v>
      </c>
      <c r="R100" s="187">
        <v>0</v>
      </c>
      <c r="S100" s="187">
        <v>0</v>
      </c>
      <c r="T100" s="184"/>
      <c r="U100" s="184"/>
      <c r="V100" s="188">
        <v>0</v>
      </c>
      <c r="W100" s="189">
        <v>0</v>
      </c>
      <c r="X100" s="190"/>
      <c r="Y100" s="185"/>
      <c r="Z100" s="191"/>
      <c r="AA100" s="97">
        <v>0</v>
      </c>
      <c r="AB100" s="192">
        <v>0</v>
      </c>
      <c r="AC100" s="123"/>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c r="DF100" s="4"/>
      <c r="DG100" s="4"/>
      <c r="DH100" s="4"/>
      <c r="DI100" s="4"/>
      <c r="DJ100" s="4"/>
      <c r="DK100" s="4"/>
      <c r="DL100" s="4"/>
      <c r="DM100" s="4"/>
      <c r="DN100" s="4"/>
      <c r="DO100" s="4"/>
      <c r="DP100" s="4"/>
      <c r="DQ100" s="4"/>
      <c r="DR100" s="4"/>
      <c r="DS100" s="4"/>
      <c r="DT100" s="4"/>
      <c r="DU100" s="4"/>
      <c r="DV100" s="4"/>
      <c r="DW100" s="4"/>
      <c r="DX100" s="4"/>
      <c r="DY100" s="4"/>
      <c r="DZ100" s="4"/>
      <c r="EA100" s="4"/>
      <c r="EB100" s="4"/>
      <c r="EC100" s="4"/>
      <c r="ED100" s="4"/>
      <c r="EE100" s="4"/>
      <c r="EF100" s="4"/>
      <c r="EG100" s="4"/>
      <c r="EH100" s="4"/>
      <c r="EI100" s="4"/>
      <c r="EJ100" s="4"/>
      <c r="EK100" s="4"/>
      <c r="EL100" s="4"/>
      <c r="EM100" s="4"/>
      <c r="EN100" s="4"/>
      <c r="EO100" s="4"/>
      <c r="EP100" s="4"/>
      <c r="EQ100" s="4"/>
      <c r="ER100" s="4"/>
      <c r="ES100" s="4"/>
      <c r="ET100" s="4"/>
      <c r="EU100" s="4"/>
      <c r="EV100" s="4"/>
      <c r="EW100" s="4"/>
      <c r="EX100" s="4"/>
      <c r="EY100" s="4"/>
      <c r="EZ100" s="4"/>
      <c r="FA100" s="4"/>
      <c r="FB100" s="4"/>
      <c r="FC100" s="4"/>
      <c r="FD100" s="4"/>
      <c r="FE100" s="4"/>
      <c r="FF100" s="4"/>
      <c r="FG100" s="4"/>
      <c r="FH100" s="4"/>
      <c r="FI100" s="4"/>
      <c r="FJ100" s="4"/>
      <c r="FK100" s="4"/>
      <c r="FL100" s="4"/>
      <c r="FM100" s="4"/>
      <c r="FN100" s="4"/>
      <c r="FO100" s="4"/>
      <c r="FP100" s="4"/>
      <c r="FQ100" s="4"/>
      <c r="FR100" s="4"/>
      <c r="FS100" s="4"/>
      <c r="FT100" s="4"/>
      <c r="FU100" s="4"/>
      <c r="FV100" s="4"/>
      <c r="FW100" s="4"/>
      <c r="FX100" s="4"/>
      <c r="FY100" s="4"/>
      <c r="FZ100" s="4"/>
      <c r="GA100" s="4"/>
      <c r="GB100" s="4"/>
      <c r="GC100" s="4"/>
      <c r="GD100" s="4"/>
      <c r="GE100" s="4"/>
      <c r="GF100" s="4"/>
      <c r="GG100" s="4"/>
      <c r="GH100" s="4"/>
      <c r="GI100" s="4"/>
      <c r="GJ100" s="4"/>
      <c r="GK100" s="4"/>
      <c r="GL100" s="4"/>
      <c r="GM100" s="4"/>
      <c r="GN100" s="4"/>
      <c r="GO100" s="4"/>
      <c r="GP100" s="4"/>
      <c r="GQ100" s="4"/>
      <c r="GR100" s="4"/>
      <c r="GS100" s="4"/>
      <c r="GT100" s="4"/>
      <c r="GU100" s="4"/>
      <c r="GV100" s="4"/>
      <c r="GW100" s="4"/>
      <c r="GX100" s="4"/>
      <c r="GY100" s="4"/>
      <c r="GZ100" s="4"/>
      <c r="HA100" s="4"/>
      <c r="HB100" s="4"/>
      <c r="HC100" s="4"/>
      <c r="HD100" s="4"/>
      <c r="HE100" s="4"/>
      <c r="HF100" s="4"/>
      <c r="HG100" s="4"/>
      <c r="HH100" s="4"/>
      <c r="HI100" s="4"/>
      <c r="HJ100" s="4"/>
      <c r="HK100" s="4"/>
      <c r="HL100" s="4"/>
      <c r="HM100" s="4"/>
      <c r="HN100" s="4"/>
      <c r="HO100" s="4"/>
      <c r="HP100" s="4"/>
      <c r="HQ100" s="4"/>
      <c r="HR100" s="4"/>
      <c r="HS100" s="4"/>
      <c r="HT100" s="4"/>
      <c r="HU100" s="4"/>
      <c r="HV100" s="4"/>
      <c r="HW100" s="4"/>
      <c r="HX100" s="4"/>
      <c r="HY100" s="4"/>
      <c r="HZ100" s="4"/>
      <c r="IA100" s="4"/>
      <c r="IB100" s="4"/>
      <c r="IC100" s="4"/>
      <c r="ID100" s="4"/>
      <c r="IE100" s="4"/>
      <c r="IF100" s="4"/>
      <c r="IG100" s="4"/>
      <c r="IH100" s="4"/>
      <c r="II100" s="4"/>
      <c r="IJ100" s="4"/>
      <c r="IK100" s="4"/>
      <c r="IL100" s="4"/>
      <c r="IM100" s="4"/>
      <c r="IN100" s="4"/>
      <c r="IO100" s="4"/>
      <c r="IP100" s="4"/>
      <c r="IQ100" s="4"/>
      <c r="IR100" s="4"/>
      <c r="IS100" s="4"/>
      <c r="IT100" s="4"/>
      <c r="IU100" s="4"/>
      <c r="IV100" s="4"/>
      <c r="IW100" s="4"/>
      <c r="IX100" s="4"/>
      <c r="IY100" s="4"/>
      <c r="IZ100" s="4"/>
      <c r="JA100" s="4"/>
      <c r="JB100" s="4"/>
      <c r="JC100" s="4"/>
      <c r="JD100" s="4"/>
      <c r="JE100" s="4"/>
      <c r="JF100" s="4"/>
      <c r="JG100" s="4"/>
      <c r="JH100" s="4"/>
      <c r="JI100" s="4"/>
      <c r="JJ100" s="4"/>
      <c r="JK100" s="4"/>
      <c r="JL100" s="4"/>
      <c r="JM100" s="4"/>
      <c r="JN100" s="4"/>
      <c r="JO100" s="4"/>
      <c r="JP100" s="4"/>
      <c r="JQ100" s="4"/>
      <c r="JR100" s="4"/>
      <c r="JS100" s="4"/>
      <c r="JT100" s="4"/>
      <c r="JU100" s="4"/>
      <c r="JV100" s="4"/>
      <c r="JW100" s="4"/>
      <c r="JX100" s="4"/>
      <c r="JY100" s="4"/>
      <c r="JZ100" s="4"/>
      <c r="KA100" s="4"/>
      <c r="KB100" s="4"/>
      <c r="KC100" s="4"/>
      <c r="KD100" s="4"/>
      <c r="KE100" s="4"/>
      <c r="KF100" s="4"/>
      <c r="KG100" s="4"/>
      <c r="KH100" s="4"/>
      <c r="KI100" s="4"/>
      <c r="KJ100" s="4"/>
      <c r="KK100" s="4"/>
      <c r="KL100" s="4"/>
      <c r="KM100" s="4"/>
      <c r="KN100" s="4"/>
      <c r="KO100" s="4"/>
      <c r="KP100" s="4"/>
      <c r="KQ100" s="4"/>
      <c r="KR100" s="4"/>
      <c r="KS100" s="4"/>
      <c r="KT100" s="4"/>
      <c r="KU100" s="4"/>
      <c r="KV100" s="4"/>
      <c r="KW100" s="4"/>
      <c r="KX100" s="4"/>
      <c r="KY100" s="4"/>
      <c r="KZ100" s="4"/>
      <c r="LA100" s="4"/>
      <c r="LB100" s="4"/>
      <c r="LC100" s="4"/>
      <c r="LD100" s="4"/>
      <c r="LE100" s="4"/>
      <c r="LF100" s="4"/>
      <c r="LG100" s="4"/>
      <c r="LH100" s="4"/>
      <c r="LI100" s="4"/>
      <c r="LJ100" s="4"/>
      <c r="LK100" s="4"/>
      <c r="LL100" s="4"/>
      <c r="LM100" s="4"/>
      <c r="LN100" s="4"/>
      <c r="LO100" s="4"/>
      <c r="LP100" s="4"/>
      <c r="LQ100" s="4"/>
      <c r="LR100" s="4"/>
      <c r="LS100" s="4"/>
      <c r="LT100" s="4"/>
      <c r="LU100" s="4"/>
      <c r="LV100" s="4"/>
      <c r="LW100" s="4"/>
      <c r="LX100" s="4"/>
      <c r="LY100" s="4"/>
      <c r="LZ100" s="4"/>
      <c r="MA100" s="4"/>
      <c r="MB100" s="4"/>
      <c r="MC100" s="4"/>
      <c r="MD100" s="4"/>
      <c r="ME100" s="4"/>
      <c r="MF100" s="4"/>
      <c r="MG100" s="4"/>
      <c r="MH100" s="4"/>
      <c r="MI100" s="4"/>
      <c r="MJ100" s="4"/>
      <c r="MK100" s="4"/>
      <c r="ML100" s="4"/>
      <c r="MM100" s="4"/>
      <c r="MN100" s="4"/>
      <c r="MO100" s="4"/>
      <c r="MP100" s="4"/>
      <c r="MQ100" s="4"/>
      <c r="MR100" s="4"/>
      <c r="MS100" s="4"/>
      <c r="MT100" s="4"/>
      <c r="MU100" s="4"/>
      <c r="MV100" s="4"/>
      <c r="MW100" s="4"/>
      <c r="MX100" s="4"/>
      <c r="MY100" s="4"/>
      <c r="MZ100" s="4"/>
      <c r="NA100" s="4"/>
      <c r="NB100" s="4"/>
      <c r="NC100" s="4"/>
      <c r="ND100" s="4"/>
      <c r="NE100" s="4"/>
      <c r="NF100" s="4"/>
      <c r="NG100" s="4"/>
      <c r="NH100" s="4"/>
      <c r="NI100" s="4"/>
      <c r="NJ100" s="4"/>
      <c r="NK100" s="4"/>
      <c r="NL100" s="4"/>
      <c r="NM100" s="4"/>
      <c r="NN100" s="4"/>
      <c r="NO100" s="4"/>
      <c r="NP100" s="4"/>
      <c r="NQ100" s="4"/>
      <c r="NR100" s="4"/>
      <c r="NS100" s="4"/>
      <c r="NT100" s="4"/>
      <c r="NU100" s="4"/>
      <c r="NV100" s="4"/>
      <c r="NW100" s="4"/>
      <c r="NX100" s="4"/>
      <c r="NY100" s="4"/>
      <c r="NZ100" s="4"/>
      <c r="OA100" s="4"/>
      <c r="OB100" s="4"/>
      <c r="OC100" s="4"/>
      <c r="OD100" s="4"/>
      <c r="OE100" s="4"/>
      <c r="OF100" s="4"/>
      <c r="OG100" s="4"/>
      <c r="OH100" s="4"/>
      <c r="OI100" s="4"/>
    </row>
    <row r="101" spans="1:399" outlineLevel="1">
      <c r="A101" s="116"/>
      <c r="B101" s="116"/>
      <c r="C101" s="116">
        <v>2</v>
      </c>
      <c r="D101" s="3" t="s">
        <v>1241</v>
      </c>
      <c r="E101" s="183"/>
      <c r="F101" s="183" t="s">
        <v>1183</v>
      </c>
      <c r="G101" s="183"/>
      <c r="H101" s="183"/>
      <c r="I101" s="183"/>
      <c r="J101" s="183"/>
      <c r="K101" s="183"/>
      <c r="L101" s="183"/>
      <c r="M101" s="184"/>
      <c r="N101" s="184"/>
      <c r="O101" s="185"/>
      <c r="P101" s="186">
        <v>0</v>
      </c>
      <c r="Q101" s="186">
        <v>0</v>
      </c>
      <c r="R101" s="187">
        <v>1</v>
      </c>
      <c r="S101" s="187">
        <v>0</v>
      </c>
      <c r="T101" s="184"/>
      <c r="U101" s="184"/>
      <c r="V101" s="188">
        <v>0</v>
      </c>
      <c r="W101" s="189">
        <v>0</v>
      </c>
      <c r="X101" s="190">
        <v>1</v>
      </c>
      <c r="Y101" s="185"/>
      <c r="Z101" s="191"/>
      <c r="AA101" s="97">
        <v>0</v>
      </c>
      <c r="AB101" s="192">
        <v>0</v>
      </c>
      <c r="AC101" s="123"/>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c r="DF101" s="4"/>
      <c r="DG101" s="4"/>
      <c r="DH101" s="4"/>
      <c r="DI101" s="4"/>
      <c r="DJ101" s="4"/>
      <c r="DK101" s="4"/>
      <c r="DL101" s="4"/>
      <c r="DM101" s="4"/>
      <c r="DN101" s="4"/>
      <c r="DO101" s="4"/>
      <c r="DP101" s="4"/>
      <c r="DQ101" s="4"/>
      <c r="DR101" s="4"/>
      <c r="DS101" s="4"/>
      <c r="DT101" s="4"/>
      <c r="DU101" s="4"/>
      <c r="DV101" s="4"/>
      <c r="DW101" s="4"/>
      <c r="DX101" s="4"/>
      <c r="DY101" s="4"/>
      <c r="DZ101" s="4"/>
      <c r="EA101" s="4"/>
      <c r="EB101" s="4"/>
      <c r="EC101" s="4"/>
      <c r="ED101" s="4"/>
      <c r="EE101" s="4"/>
      <c r="EF101" s="4"/>
      <c r="EG101" s="4"/>
      <c r="EH101" s="4"/>
      <c r="EI101" s="4"/>
      <c r="EJ101" s="4"/>
      <c r="EK101" s="4"/>
      <c r="EL101" s="4"/>
      <c r="EM101" s="4"/>
      <c r="EN101" s="4"/>
      <c r="EO101" s="4"/>
      <c r="EP101" s="4"/>
      <c r="EQ101" s="4"/>
      <c r="ER101" s="4"/>
      <c r="ES101" s="4"/>
      <c r="ET101" s="4"/>
      <c r="EU101" s="4"/>
      <c r="EV101" s="4"/>
      <c r="EW101" s="4"/>
      <c r="EX101" s="4"/>
      <c r="EY101" s="4"/>
      <c r="EZ101" s="4"/>
      <c r="FA101" s="4"/>
      <c r="FB101" s="4"/>
      <c r="FC101" s="4"/>
      <c r="FD101" s="4"/>
      <c r="FE101" s="4"/>
      <c r="FF101" s="4"/>
      <c r="FG101" s="4"/>
      <c r="FH101" s="4"/>
      <c r="FI101" s="4"/>
      <c r="FJ101" s="4"/>
      <c r="FK101" s="4"/>
      <c r="FL101" s="4"/>
      <c r="FM101" s="4"/>
      <c r="FN101" s="4"/>
      <c r="FO101" s="4"/>
      <c r="FP101" s="4"/>
      <c r="FQ101" s="4"/>
      <c r="FR101" s="4"/>
      <c r="FS101" s="4"/>
      <c r="FT101" s="4"/>
      <c r="FU101" s="4"/>
      <c r="FV101" s="4"/>
      <c r="FW101" s="4"/>
      <c r="FX101" s="4"/>
      <c r="FY101" s="4"/>
      <c r="FZ101" s="4"/>
      <c r="GA101" s="4"/>
      <c r="GB101" s="4"/>
      <c r="GC101" s="4"/>
      <c r="GD101" s="4"/>
      <c r="GE101" s="4"/>
      <c r="GF101" s="4"/>
      <c r="GG101" s="4"/>
      <c r="GH101" s="4"/>
      <c r="GI101" s="4"/>
      <c r="GJ101" s="4"/>
      <c r="GK101" s="4"/>
      <c r="GL101" s="4"/>
      <c r="GM101" s="4"/>
      <c r="GN101" s="4"/>
      <c r="GO101" s="4"/>
      <c r="GP101" s="4"/>
      <c r="GQ101" s="4"/>
      <c r="GR101" s="4"/>
      <c r="GS101" s="4"/>
      <c r="GT101" s="4"/>
      <c r="GU101" s="4"/>
      <c r="GV101" s="4"/>
      <c r="GW101" s="4"/>
      <c r="GX101" s="4"/>
      <c r="GY101" s="4"/>
      <c r="GZ101" s="4"/>
      <c r="HA101" s="4"/>
      <c r="HB101" s="4"/>
      <c r="HC101" s="4"/>
      <c r="HD101" s="4"/>
      <c r="HE101" s="4"/>
      <c r="HF101" s="4"/>
      <c r="HG101" s="4"/>
      <c r="HH101" s="4"/>
      <c r="HI101" s="4"/>
      <c r="HJ101" s="4"/>
      <c r="HK101" s="4"/>
      <c r="HL101" s="4"/>
      <c r="HM101" s="4"/>
      <c r="HN101" s="4"/>
      <c r="HO101" s="4"/>
      <c r="HP101" s="4"/>
      <c r="HQ101" s="4"/>
      <c r="HR101" s="4"/>
      <c r="HS101" s="4"/>
      <c r="HT101" s="4"/>
      <c r="HU101" s="4"/>
      <c r="HV101" s="4"/>
      <c r="HW101" s="4"/>
      <c r="HX101" s="4"/>
      <c r="HY101" s="4"/>
      <c r="HZ101" s="4"/>
      <c r="IA101" s="4"/>
      <c r="IB101" s="4"/>
      <c r="IC101" s="4"/>
      <c r="ID101" s="4"/>
      <c r="IE101" s="4"/>
      <c r="IF101" s="4"/>
      <c r="IG101" s="4"/>
      <c r="IH101" s="4"/>
      <c r="II101" s="4"/>
      <c r="IJ101" s="4"/>
      <c r="IK101" s="4"/>
      <c r="IL101" s="4"/>
      <c r="IM101" s="4"/>
      <c r="IN101" s="4"/>
      <c r="IO101" s="4"/>
      <c r="IP101" s="4"/>
      <c r="IQ101" s="4"/>
      <c r="IR101" s="4"/>
      <c r="IS101" s="4"/>
      <c r="IT101" s="4"/>
      <c r="IU101" s="4"/>
      <c r="IV101" s="4"/>
      <c r="IW101" s="4"/>
      <c r="IX101" s="4"/>
      <c r="IY101" s="4"/>
      <c r="IZ101" s="4"/>
      <c r="JA101" s="4"/>
      <c r="JB101" s="4"/>
      <c r="JC101" s="4"/>
      <c r="JD101" s="4"/>
      <c r="JE101" s="4"/>
      <c r="JF101" s="4"/>
      <c r="JG101" s="4"/>
      <c r="JH101" s="4"/>
      <c r="JI101" s="4"/>
      <c r="JJ101" s="4"/>
      <c r="JK101" s="4"/>
      <c r="JL101" s="4"/>
      <c r="JM101" s="4"/>
      <c r="JN101" s="4"/>
      <c r="JO101" s="4"/>
      <c r="JP101" s="4"/>
      <c r="JQ101" s="4"/>
      <c r="JR101" s="4"/>
      <c r="JS101" s="4"/>
      <c r="JT101" s="4"/>
      <c r="JU101" s="4"/>
      <c r="JV101" s="4"/>
      <c r="JW101" s="4"/>
      <c r="JX101" s="4"/>
      <c r="JY101" s="4"/>
      <c r="JZ101" s="4"/>
      <c r="KA101" s="4"/>
      <c r="KB101" s="4"/>
      <c r="KC101" s="4"/>
      <c r="KD101" s="4"/>
      <c r="KE101" s="4"/>
      <c r="KF101" s="4"/>
      <c r="KG101" s="4"/>
      <c r="KH101" s="4"/>
      <c r="KI101" s="4"/>
      <c r="KJ101" s="4"/>
      <c r="KK101" s="4"/>
      <c r="KL101" s="4"/>
      <c r="KM101" s="4"/>
      <c r="KN101" s="4"/>
      <c r="KO101" s="4"/>
      <c r="KP101" s="4"/>
      <c r="KQ101" s="4"/>
      <c r="KR101" s="4"/>
      <c r="KS101" s="4"/>
      <c r="KT101" s="4"/>
      <c r="KU101" s="4"/>
      <c r="KV101" s="4"/>
      <c r="KW101" s="4"/>
      <c r="KX101" s="4"/>
      <c r="KY101" s="4"/>
      <c r="KZ101" s="4"/>
      <c r="LA101" s="4"/>
      <c r="LB101" s="4"/>
      <c r="LC101" s="4"/>
      <c r="LD101" s="4"/>
      <c r="LE101" s="4"/>
      <c r="LF101" s="4"/>
      <c r="LG101" s="4"/>
      <c r="LH101" s="4"/>
      <c r="LI101" s="4"/>
      <c r="LJ101" s="4"/>
      <c r="LK101" s="4"/>
      <c r="LL101" s="4"/>
      <c r="LM101" s="4"/>
      <c r="LN101" s="4"/>
      <c r="LO101" s="4"/>
      <c r="LP101" s="4"/>
      <c r="LQ101" s="4"/>
      <c r="LR101" s="4"/>
      <c r="LS101" s="4"/>
      <c r="LT101" s="4"/>
      <c r="LU101" s="4"/>
      <c r="LV101" s="4"/>
      <c r="LW101" s="4"/>
      <c r="LX101" s="4"/>
      <c r="LY101" s="4"/>
      <c r="LZ101" s="4"/>
      <c r="MA101" s="4"/>
      <c r="MB101" s="4"/>
      <c r="MC101" s="4"/>
      <c r="MD101" s="4"/>
      <c r="ME101" s="4"/>
      <c r="MF101" s="4"/>
      <c r="MG101" s="4"/>
      <c r="MH101" s="4"/>
      <c r="MI101" s="4"/>
      <c r="MJ101" s="4"/>
      <c r="MK101" s="4"/>
      <c r="ML101" s="4"/>
      <c r="MM101" s="4"/>
      <c r="MN101" s="4"/>
      <c r="MO101" s="4"/>
      <c r="MP101" s="4"/>
      <c r="MQ101" s="4"/>
      <c r="MR101" s="4"/>
      <c r="MS101" s="4"/>
      <c r="MT101" s="4"/>
      <c r="MU101" s="4"/>
      <c r="MV101" s="4"/>
      <c r="MW101" s="4"/>
      <c r="MX101" s="4"/>
      <c r="MY101" s="4"/>
      <c r="MZ101" s="4"/>
      <c r="NA101" s="4"/>
      <c r="NB101" s="4"/>
      <c r="NC101" s="4"/>
      <c r="ND101" s="4"/>
      <c r="NE101" s="4"/>
      <c r="NF101" s="4"/>
      <c r="NG101" s="4"/>
      <c r="NH101" s="4"/>
      <c r="NI101" s="4"/>
      <c r="NJ101" s="4"/>
      <c r="NK101" s="4"/>
      <c r="NL101" s="4"/>
      <c r="NM101" s="4"/>
      <c r="NN101" s="4"/>
      <c r="NO101" s="4"/>
      <c r="NP101" s="4"/>
      <c r="NQ101" s="4"/>
      <c r="NR101" s="4"/>
      <c r="NS101" s="4"/>
      <c r="NT101" s="4"/>
      <c r="NU101" s="4"/>
      <c r="NV101" s="4"/>
      <c r="NW101" s="4"/>
      <c r="NX101" s="4"/>
      <c r="NY101" s="4"/>
      <c r="NZ101" s="4"/>
      <c r="OA101" s="4"/>
      <c r="OB101" s="4"/>
      <c r="OC101" s="4"/>
      <c r="OD101" s="4"/>
      <c r="OE101" s="4"/>
      <c r="OF101" s="4"/>
      <c r="OG101" s="4"/>
      <c r="OH101" s="4"/>
      <c r="OI101" s="4"/>
    </row>
    <row r="102" spans="1:399" outlineLevel="1">
      <c r="A102" s="116"/>
      <c r="B102" s="116"/>
      <c r="C102" s="116">
        <v>0</v>
      </c>
      <c r="D102" s="3"/>
      <c r="E102" s="183"/>
      <c r="F102" s="183"/>
      <c r="G102" s="183"/>
      <c r="H102" s="183"/>
      <c r="I102" s="183"/>
      <c r="J102" s="183"/>
      <c r="K102" s="183"/>
      <c r="L102" s="183"/>
      <c r="M102" s="184"/>
      <c r="N102" s="184"/>
      <c r="O102" s="185"/>
      <c r="P102" s="186"/>
      <c r="Q102" s="186"/>
      <c r="R102" s="187">
        <v>0</v>
      </c>
      <c r="S102" s="187">
        <v>0</v>
      </c>
      <c r="T102" s="184"/>
      <c r="U102" s="184"/>
      <c r="V102" s="188"/>
      <c r="W102" s="189">
        <v>0</v>
      </c>
      <c r="X102" s="190"/>
      <c r="Y102" s="185"/>
      <c r="Z102" s="191"/>
      <c r="AA102" s="97"/>
      <c r="AB102" s="192"/>
      <c r="AC102" s="123"/>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c r="DF102" s="4"/>
      <c r="DG102" s="4"/>
      <c r="DH102" s="4"/>
      <c r="DI102" s="4"/>
      <c r="DJ102" s="4"/>
      <c r="DK102" s="4"/>
      <c r="DL102" s="4"/>
      <c r="DM102" s="4"/>
      <c r="DN102" s="4"/>
      <c r="DO102" s="4"/>
      <c r="DP102" s="4"/>
      <c r="DQ102" s="4"/>
      <c r="DR102" s="4"/>
      <c r="DS102" s="4"/>
      <c r="DT102" s="4"/>
      <c r="DU102" s="4"/>
      <c r="DV102" s="4"/>
      <c r="DW102" s="4"/>
      <c r="DX102" s="4"/>
      <c r="DY102" s="4"/>
      <c r="DZ102" s="4"/>
      <c r="EA102" s="4"/>
      <c r="EB102" s="4"/>
      <c r="EC102" s="4"/>
      <c r="ED102" s="4"/>
      <c r="EE102" s="4"/>
      <c r="EF102" s="4"/>
      <c r="EG102" s="4"/>
      <c r="EH102" s="4"/>
      <c r="EI102" s="4"/>
      <c r="EJ102" s="4"/>
      <c r="EK102" s="4"/>
      <c r="EL102" s="4"/>
      <c r="EM102" s="4"/>
      <c r="EN102" s="4"/>
      <c r="EO102" s="4"/>
      <c r="EP102" s="4"/>
      <c r="EQ102" s="4"/>
      <c r="ER102" s="4"/>
      <c r="ES102" s="4"/>
      <c r="ET102" s="4"/>
      <c r="EU102" s="4"/>
      <c r="EV102" s="4"/>
      <c r="EW102" s="4"/>
      <c r="EX102" s="4"/>
      <c r="EY102" s="4"/>
      <c r="EZ102" s="4"/>
      <c r="FA102" s="4"/>
      <c r="FB102" s="4"/>
      <c r="FC102" s="4"/>
      <c r="FD102" s="4"/>
      <c r="FE102" s="4"/>
      <c r="FF102" s="4"/>
      <c r="FG102" s="4"/>
      <c r="FH102" s="4"/>
      <c r="FI102" s="4"/>
      <c r="FJ102" s="4"/>
      <c r="FK102" s="4"/>
      <c r="FL102" s="4"/>
      <c r="FM102" s="4"/>
      <c r="FN102" s="4"/>
      <c r="FO102" s="4"/>
      <c r="FP102" s="4"/>
      <c r="FQ102" s="4"/>
      <c r="FR102" s="4"/>
      <c r="FS102" s="4"/>
      <c r="FT102" s="4"/>
      <c r="FU102" s="4"/>
      <c r="FV102" s="4"/>
      <c r="FW102" s="4"/>
      <c r="FX102" s="4"/>
      <c r="FY102" s="4"/>
      <c r="FZ102" s="4"/>
      <c r="GA102" s="4"/>
      <c r="GB102" s="4"/>
      <c r="GC102" s="4"/>
      <c r="GD102" s="4"/>
      <c r="GE102" s="4"/>
      <c r="GF102" s="4"/>
      <c r="GG102" s="4"/>
      <c r="GH102" s="4"/>
      <c r="GI102" s="4"/>
      <c r="GJ102" s="4"/>
      <c r="GK102" s="4"/>
      <c r="GL102" s="4"/>
      <c r="GM102" s="4"/>
      <c r="GN102" s="4"/>
      <c r="GO102" s="4"/>
      <c r="GP102" s="4"/>
      <c r="GQ102" s="4"/>
      <c r="GR102" s="4"/>
      <c r="GS102" s="4"/>
      <c r="GT102" s="4"/>
      <c r="GU102" s="4"/>
      <c r="GV102" s="4"/>
      <c r="GW102" s="4"/>
      <c r="GX102" s="4"/>
      <c r="GY102" s="4"/>
      <c r="GZ102" s="4"/>
      <c r="HA102" s="4"/>
      <c r="HB102" s="4"/>
      <c r="HC102" s="4"/>
      <c r="HD102" s="4"/>
      <c r="HE102" s="4"/>
      <c r="HF102" s="4"/>
      <c r="HG102" s="4"/>
      <c r="HH102" s="4"/>
      <c r="HI102" s="4"/>
      <c r="HJ102" s="4"/>
      <c r="HK102" s="4"/>
      <c r="HL102" s="4"/>
      <c r="HM102" s="4"/>
      <c r="HN102" s="4"/>
      <c r="HO102" s="4"/>
      <c r="HP102" s="4"/>
      <c r="HQ102" s="4"/>
      <c r="HR102" s="4"/>
      <c r="HS102" s="4"/>
      <c r="HT102" s="4"/>
      <c r="HU102" s="4"/>
      <c r="HV102" s="4"/>
      <c r="HW102" s="4"/>
      <c r="HX102" s="4"/>
      <c r="HY102" s="4"/>
      <c r="HZ102" s="4"/>
      <c r="IA102" s="4"/>
      <c r="IB102" s="4"/>
      <c r="IC102" s="4"/>
      <c r="ID102" s="4"/>
      <c r="IE102" s="4"/>
      <c r="IF102" s="4"/>
      <c r="IG102" s="4"/>
      <c r="IH102" s="4"/>
      <c r="II102" s="4"/>
      <c r="IJ102" s="4"/>
      <c r="IK102" s="4"/>
      <c r="IL102" s="4"/>
      <c r="IM102" s="4"/>
      <c r="IN102" s="4"/>
      <c r="IO102" s="4"/>
      <c r="IP102" s="4"/>
      <c r="IQ102" s="4"/>
      <c r="IR102" s="4"/>
      <c r="IS102" s="4"/>
      <c r="IT102" s="4"/>
      <c r="IU102" s="4"/>
      <c r="IV102" s="4"/>
      <c r="IW102" s="4"/>
      <c r="IX102" s="4"/>
      <c r="IY102" s="4"/>
      <c r="IZ102" s="4"/>
      <c r="JA102" s="4"/>
      <c r="JB102" s="4"/>
      <c r="JC102" s="4"/>
      <c r="JD102" s="4"/>
      <c r="JE102" s="4"/>
      <c r="JF102" s="4"/>
      <c r="JG102" s="4"/>
      <c r="JH102" s="4"/>
      <c r="JI102" s="4"/>
      <c r="JJ102" s="4"/>
      <c r="JK102" s="4"/>
      <c r="JL102" s="4"/>
      <c r="JM102" s="4"/>
      <c r="JN102" s="4"/>
      <c r="JO102" s="4"/>
      <c r="JP102" s="4"/>
      <c r="JQ102" s="4"/>
      <c r="JR102" s="4"/>
      <c r="JS102" s="4"/>
      <c r="JT102" s="4"/>
      <c r="JU102" s="4"/>
      <c r="JV102" s="4"/>
      <c r="JW102" s="4"/>
      <c r="JX102" s="4"/>
      <c r="JY102" s="4"/>
      <c r="JZ102" s="4"/>
      <c r="KA102" s="4"/>
      <c r="KB102" s="4"/>
      <c r="KC102" s="4"/>
      <c r="KD102" s="4"/>
      <c r="KE102" s="4"/>
      <c r="KF102" s="4"/>
      <c r="KG102" s="4"/>
      <c r="KH102" s="4"/>
      <c r="KI102" s="4"/>
      <c r="KJ102" s="4"/>
      <c r="KK102" s="4"/>
      <c r="KL102" s="4"/>
      <c r="KM102" s="4"/>
      <c r="KN102" s="4"/>
      <c r="KO102" s="4"/>
      <c r="KP102" s="4"/>
      <c r="KQ102" s="4"/>
      <c r="KR102" s="4"/>
      <c r="KS102" s="4"/>
      <c r="KT102" s="4"/>
      <c r="KU102" s="4"/>
      <c r="KV102" s="4"/>
      <c r="KW102" s="4"/>
      <c r="KX102" s="4"/>
      <c r="KY102" s="4"/>
      <c r="KZ102" s="4"/>
      <c r="LA102" s="4"/>
      <c r="LB102" s="4"/>
      <c r="LC102" s="4"/>
      <c r="LD102" s="4"/>
      <c r="LE102" s="4"/>
      <c r="LF102" s="4"/>
      <c r="LG102" s="4"/>
      <c r="LH102" s="4"/>
      <c r="LI102" s="4"/>
      <c r="LJ102" s="4"/>
      <c r="LK102" s="4"/>
      <c r="LL102" s="4"/>
      <c r="LM102" s="4"/>
      <c r="LN102" s="4"/>
      <c r="LO102" s="4"/>
      <c r="LP102" s="4"/>
      <c r="LQ102" s="4"/>
      <c r="LR102" s="4"/>
      <c r="LS102" s="4"/>
      <c r="LT102" s="4"/>
      <c r="LU102" s="4"/>
      <c r="LV102" s="4"/>
      <c r="LW102" s="4"/>
      <c r="LX102" s="4"/>
      <c r="LY102" s="4"/>
      <c r="LZ102" s="4"/>
      <c r="MA102" s="4"/>
      <c r="MB102" s="4"/>
      <c r="MC102" s="4"/>
      <c r="MD102" s="4"/>
      <c r="ME102" s="4"/>
      <c r="MF102" s="4"/>
      <c r="MG102" s="4"/>
      <c r="MH102" s="4"/>
      <c r="MI102" s="4"/>
      <c r="MJ102" s="4"/>
      <c r="MK102" s="4"/>
      <c r="ML102" s="4"/>
      <c r="MM102" s="4"/>
      <c r="MN102" s="4"/>
      <c r="MO102" s="4"/>
      <c r="MP102" s="4"/>
      <c r="MQ102" s="4"/>
      <c r="MR102" s="4"/>
      <c r="MS102" s="4"/>
      <c r="MT102" s="4"/>
      <c r="MU102" s="4"/>
      <c r="MV102" s="4"/>
      <c r="MW102" s="4"/>
      <c r="MX102" s="4"/>
      <c r="MY102" s="4"/>
      <c r="MZ102" s="4"/>
      <c r="NA102" s="4"/>
      <c r="NB102" s="4"/>
      <c r="NC102" s="4"/>
      <c r="ND102" s="4"/>
      <c r="NE102" s="4"/>
      <c r="NF102" s="4"/>
      <c r="NG102" s="4"/>
      <c r="NH102" s="4"/>
      <c r="NI102" s="4"/>
      <c r="NJ102" s="4"/>
      <c r="NK102" s="4"/>
      <c r="NL102" s="4"/>
      <c r="NM102" s="4"/>
      <c r="NN102" s="4"/>
      <c r="NO102" s="4"/>
      <c r="NP102" s="4"/>
      <c r="NQ102" s="4"/>
      <c r="NR102" s="4"/>
      <c r="NS102" s="4"/>
      <c r="NT102" s="4"/>
      <c r="NU102" s="4"/>
      <c r="NV102" s="4"/>
      <c r="NW102" s="4"/>
      <c r="NX102" s="4"/>
      <c r="NY102" s="4"/>
      <c r="NZ102" s="4"/>
      <c r="OA102" s="4"/>
      <c r="OB102" s="4"/>
      <c r="OC102" s="4"/>
      <c r="OD102" s="4"/>
      <c r="OE102" s="4"/>
      <c r="OF102" s="4"/>
      <c r="OG102" s="4"/>
      <c r="OH102" s="4"/>
      <c r="OI102" s="4"/>
    </row>
    <row r="103" spans="1:399">
      <c r="A103" s="116"/>
      <c r="B103" s="116" t="s">
        <v>1061</v>
      </c>
      <c r="C103" s="116">
        <v>1</v>
      </c>
      <c r="D103" s="3" t="s">
        <v>1257</v>
      </c>
      <c r="E103" s="183" t="s">
        <v>1265</v>
      </c>
      <c r="F103" s="183"/>
      <c r="G103" s="183"/>
      <c r="H103" s="183"/>
      <c r="I103" s="183"/>
      <c r="J103" s="183"/>
      <c r="K103" s="183"/>
      <c r="L103" s="183"/>
      <c r="M103" s="184"/>
      <c r="N103" s="184"/>
      <c r="O103" s="185"/>
      <c r="P103" s="186">
        <v>0</v>
      </c>
      <c r="Q103" s="186">
        <v>0</v>
      </c>
      <c r="R103" s="187">
        <v>40</v>
      </c>
      <c r="S103" s="187">
        <v>7</v>
      </c>
      <c r="T103" s="184"/>
      <c r="U103" s="184"/>
      <c r="V103" s="188">
        <v>0</v>
      </c>
      <c r="W103" s="189">
        <v>0</v>
      </c>
      <c r="X103" s="190"/>
      <c r="Y103" s="185"/>
      <c r="Z103" s="191"/>
      <c r="AA103" s="97">
        <v>0</v>
      </c>
      <c r="AB103" s="192">
        <v>0</v>
      </c>
      <c r="AC103" s="123"/>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c r="DF103" s="4"/>
      <c r="DG103" s="4"/>
      <c r="DH103" s="4"/>
      <c r="DI103" s="4"/>
      <c r="DJ103" s="4"/>
      <c r="DK103" s="4"/>
      <c r="DL103" s="4"/>
      <c r="DM103" s="4"/>
      <c r="DN103" s="4"/>
      <c r="DO103" s="4"/>
      <c r="DP103" s="4"/>
      <c r="DQ103" s="4"/>
      <c r="DR103" s="4"/>
      <c r="DS103" s="4"/>
      <c r="DT103" s="4"/>
      <c r="DU103" s="4"/>
      <c r="DV103" s="4"/>
      <c r="DW103" s="4"/>
      <c r="DX103" s="4"/>
      <c r="DY103" s="4"/>
      <c r="DZ103" s="4"/>
      <c r="EA103" s="4"/>
      <c r="EB103" s="4"/>
      <c r="EC103" s="4"/>
      <c r="ED103" s="4"/>
      <c r="EE103" s="4"/>
      <c r="EF103" s="4"/>
      <c r="EG103" s="4"/>
      <c r="EH103" s="4"/>
      <c r="EI103" s="4"/>
      <c r="EJ103" s="4"/>
      <c r="EK103" s="4"/>
      <c r="EL103" s="4"/>
      <c r="EM103" s="4"/>
      <c r="EN103" s="4"/>
      <c r="EO103" s="4"/>
      <c r="EP103" s="4"/>
      <c r="EQ103" s="4"/>
      <c r="ER103" s="4"/>
      <c r="ES103" s="4"/>
      <c r="ET103" s="4"/>
      <c r="EU103" s="4"/>
      <c r="EV103" s="4"/>
      <c r="EW103" s="4"/>
      <c r="EX103" s="4"/>
      <c r="EY103" s="4"/>
      <c r="EZ103" s="4"/>
      <c r="FA103" s="4"/>
      <c r="FB103" s="4"/>
      <c r="FC103" s="4"/>
      <c r="FD103" s="4"/>
      <c r="FE103" s="4"/>
      <c r="FF103" s="4"/>
      <c r="FG103" s="4"/>
      <c r="FH103" s="4"/>
      <c r="FI103" s="4"/>
      <c r="FJ103" s="4"/>
      <c r="FK103" s="4"/>
      <c r="FL103" s="4"/>
      <c r="FM103" s="4"/>
      <c r="FN103" s="4"/>
      <c r="FO103" s="4"/>
      <c r="FP103" s="4"/>
      <c r="FQ103" s="4"/>
      <c r="FR103" s="4"/>
      <c r="FS103" s="4"/>
      <c r="FT103" s="4"/>
      <c r="FU103" s="4"/>
      <c r="FV103" s="4"/>
      <c r="FW103" s="4"/>
      <c r="FX103" s="4"/>
      <c r="FY103" s="4"/>
      <c r="FZ103" s="4"/>
      <c r="GA103" s="4"/>
      <c r="GB103" s="4"/>
      <c r="GC103" s="4"/>
      <c r="GD103" s="4"/>
      <c r="GE103" s="4"/>
      <c r="GF103" s="4"/>
      <c r="GG103" s="4"/>
      <c r="GH103" s="4"/>
      <c r="GI103" s="4"/>
      <c r="GJ103" s="4"/>
      <c r="GK103" s="4"/>
      <c r="GL103" s="4"/>
      <c r="GM103" s="4"/>
      <c r="GN103" s="4"/>
      <c r="GO103" s="4"/>
      <c r="GP103" s="4"/>
      <c r="GQ103" s="4"/>
      <c r="GR103" s="4"/>
      <c r="GS103" s="4"/>
      <c r="GT103" s="4"/>
      <c r="GU103" s="4"/>
      <c r="GV103" s="4"/>
      <c r="GW103" s="4"/>
      <c r="GX103" s="4"/>
      <c r="GY103" s="4"/>
      <c r="GZ103" s="4"/>
      <c r="HA103" s="4"/>
      <c r="HB103" s="4"/>
      <c r="HC103" s="4"/>
      <c r="HD103" s="4"/>
      <c r="HE103" s="4"/>
      <c r="HF103" s="4"/>
      <c r="HG103" s="4"/>
      <c r="HH103" s="4"/>
      <c r="HI103" s="4"/>
      <c r="HJ103" s="4"/>
      <c r="HK103" s="4"/>
      <c r="HL103" s="4"/>
      <c r="HM103" s="4"/>
      <c r="HN103" s="4"/>
      <c r="HO103" s="4"/>
      <c r="HP103" s="4"/>
      <c r="HQ103" s="4"/>
      <c r="HR103" s="4"/>
      <c r="HS103" s="4"/>
      <c r="HT103" s="4"/>
      <c r="HU103" s="4"/>
      <c r="HV103" s="4"/>
      <c r="HW103" s="4"/>
      <c r="HX103" s="4"/>
      <c r="HY103" s="4"/>
      <c r="HZ103" s="4"/>
      <c r="IA103" s="4"/>
      <c r="IB103" s="4"/>
      <c r="IC103" s="4"/>
      <c r="ID103" s="4"/>
      <c r="IE103" s="4"/>
      <c r="IF103" s="4"/>
      <c r="IG103" s="4"/>
      <c r="IH103" s="4"/>
      <c r="II103" s="4"/>
      <c r="IJ103" s="4"/>
      <c r="IK103" s="4"/>
      <c r="IL103" s="4"/>
      <c r="IM103" s="4"/>
      <c r="IN103" s="4"/>
      <c r="IO103" s="4"/>
      <c r="IP103" s="4"/>
      <c r="IQ103" s="4"/>
      <c r="IR103" s="4"/>
      <c r="IS103" s="4"/>
      <c r="IT103" s="4"/>
      <c r="IU103" s="4"/>
      <c r="IV103" s="4"/>
      <c r="IW103" s="4"/>
      <c r="IX103" s="4"/>
      <c r="IY103" s="4"/>
      <c r="IZ103" s="4"/>
      <c r="JA103" s="4"/>
      <c r="JB103" s="4"/>
      <c r="JC103" s="4"/>
      <c r="JD103" s="4"/>
      <c r="JE103" s="4"/>
      <c r="JF103" s="4"/>
      <c r="JG103" s="4"/>
      <c r="JH103" s="4"/>
      <c r="JI103" s="4"/>
      <c r="JJ103" s="4"/>
      <c r="JK103" s="4"/>
      <c r="JL103" s="4"/>
      <c r="JM103" s="4"/>
      <c r="JN103" s="4"/>
      <c r="JO103" s="4"/>
      <c r="JP103" s="4"/>
      <c r="JQ103" s="4"/>
      <c r="JR103" s="4"/>
      <c r="JS103" s="4"/>
      <c r="JT103" s="4"/>
      <c r="JU103" s="4"/>
      <c r="JV103" s="4"/>
      <c r="JW103" s="4"/>
      <c r="JX103" s="4"/>
      <c r="JY103" s="4"/>
      <c r="JZ103" s="4"/>
      <c r="KA103" s="4"/>
      <c r="KB103" s="4"/>
      <c r="KC103" s="4"/>
      <c r="KD103" s="4"/>
      <c r="KE103" s="4"/>
      <c r="KF103" s="4"/>
      <c r="KG103" s="4"/>
      <c r="KH103" s="4"/>
      <c r="KI103" s="4"/>
      <c r="KJ103" s="4"/>
      <c r="KK103" s="4"/>
      <c r="KL103" s="4"/>
      <c r="KM103" s="4"/>
      <c r="KN103" s="4"/>
      <c r="KO103" s="4"/>
      <c r="KP103" s="4"/>
      <c r="KQ103" s="4"/>
      <c r="KR103" s="4"/>
      <c r="KS103" s="4"/>
      <c r="KT103" s="4"/>
      <c r="KU103" s="4"/>
      <c r="KV103" s="4"/>
      <c r="KW103" s="4"/>
      <c r="KX103" s="4"/>
      <c r="KY103" s="4"/>
      <c r="KZ103" s="4"/>
      <c r="LA103" s="4"/>
      <c r="LB103" s="4"/>
      <c r="LC103" s="4"/>
      <c r="LD103" s="4"/>
      <c r="LE103" s="4"/>
      <c r="LF103" s="4"/>
      <c r="LG103" s="4"/>
      <c r="LH103" s="4"/>
      <c r="LI103" s="4"/>
      <c r="LJ103" s="4"/>
      <c r="LK103" s="4"/>
      <c r="LL103" s="4"/>
      <c r="LM103" s="4"/>
      <c r="LN103" s="4"/>
      <c r="LO103" s="4"/>
      <c r="LP103" s="4"/>
      <c r="LQ103" s="4"/>
      <c r="LR103" s="4"/>
      <c r="LS103" s="4"/>
      <c r="LT103" s="4"/>
      <c r="LU103" s="4"/>
      <c r="LV103" s="4"/>
      <c r="LW103" s="4"/>
      <c r="LX103" s="4"/>
      <c r="LY103" s="4"/>
      <c r="LZ103" s="4"/>
      <c r="MA103" s="4"/>
      <c r="MB103" s="4"/>
      <c r="MC103" s="4"/>
      <c r="MD103" s="4"/>
      <c r="ME103" s="4"/>
      <c r="MF103" s="4"/>
      <c r="MG103" s="4"/>
      <c r="MH103" s="4"/>
      <c r="MI103" s="4"/>
      <c r="MJ103" s="4"/>
      <c r="MK103" s="4"/>
      <c r="ML103" s="4"/>
      <c r="MM103" s="4"/>
      <c r="MN103" s="4"/>
      <c r="MO103" s="4"/>
      <c r="MP103" s="4"/>
      <c r="MQ103" s="4"/>
      <c r="MR103" s="4"/>
      <c r="MS103" s="4"/>
      <c r="MT103" s="4"/>
      <c r="MU103" s="4"/>
      <c r="MV103" s="4"/>
      <c r="MW103" s="4"/>
      <c r="MX103" s="4"/>
      <c r="MY103" s="4"/>
      <c r="MZ103" s="4"/>
      <c r="NA103" s="4"/>
      <c r="NB103" s="4"/>
      <c r="NC103" s="4"/>
      <c r="ND103" s="4"/>
      <c r="NE103" s="4"/>
      <c r="NF103" s="4"/>
      <c r="NG103" s="4"/>
      <c r="NH103" s="4"/>
      <c r="NI103" s="4"/>
      <c r="NJ103" s="4"/>
      <c r="NK103" s="4"/>
      <c r="NL103" s="4"/>
      <c r="NM103" s="4"/>
      <c r="NN103" s="4"/>
      <c r="NO103" s="4"/>
      <c r="NP103" s="4"/>
      <c r="NQ103" s="4"/>
      <c r="NR103" s="4"/>
      <c r="NS103" s="4"/>
      <c r="NT103" s="4"/>
      <c r="NU103" s="4"/>
      <c r="NV103" s="4"/>
      <c r="NW103" s="4"/>
      <c r="NX103" s="4"/>
      <c r="NY103" s="4"/>
      <c r="NZ103" s="4"/>
      <c r="OA103" s="4"/>
      <c r="OB103" s="4"/>
      <c r="OC103" s="4"/>
      <c r="OD103" s="4"/>
      <c r="OE103" s="4"/>
      <c r="OF103" s="4"/>
      <c r="OG103" s="4"/>
      <c r="OH103" s="4"/>
      <c r="OI103" s="4"/>
    </row>
    <row r="104" spans="1:399" outlineLevel="1">
      <c r="A104" s="116"/>
      <c r="B104" s="116"/>
      <c r="C104" s="116">
        <v>2</v>
      </c>
      <c r="D104" s="3" t="s">
        <v>1258</v>
      </c>
      <c r="E104" s="183"/>
      <c r="F104" s="183" t="s">
        <v>1198</v>
      </c>
      <c r="G104" s="183"/>
      <c r="H104" s="183"/>
      <c r="I104" s="183"/>
      <c r="J104" s="183"/>
      <c r="K104" s="183"/>
      <c r="L104" s="183"/>
      <c r="M104" s="184"/>
      <c r="N104" s="184"/>
      <c r="O104" s="185"/>
      <c r="P104" s="186">
        <v>0</v>
      </c>
      <c r="Q104" s="186">
        <v>0</v>
      </c>
      <c r="R104" s="187">
        <v>2</v>
      </c>
      <c r="S104" s="187">
        <v>2</v>
      </c>
      <c r="T104" s="184"/>
      <c r="U104" s="184"/>
      <c r="V104" s="188">
        <v>0</v>
      </c>
      <c r="W104" s="189">
        <v>0</v>
      </c>
      <c r="X104" s="190">
        <v>1</v>
      </c>
      <c r="Y104" s="185"/>
      <c r="Z104" s="191"/>
      <c r="AA104" s="97">
        <v>0</v>
      </c>
      <c r="AB104" s="192">
        <v>0</v>
      </c>
      <c r="AC104" s="123"/>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c r="DF104" s="4"/>
      <c r="DG104" s="4"/>
      <c r="DH104" s="4"/>
      <c r="DI104" s="4"/>
      <c r="DJ104" s="4"/>
      <c r="DK104" s="4"/>
      <c r="DL104" s="4"/>
      <c r="DM104" s="4"/>
      <c r="DN104" s="4"/>
      <c r="DO104" s="4"/>
      <c r="DP104" s="4"/>
      <c r="DQ104" s="4"/>
      <c r="DR104" s="4"/>
      <c r="DS104" s="4"/>
      <c r="DT104" s="4"/>
      <c r="DU104" s="4"/>
      <c r="DV104" s="4"/>
      <c r="DW104" s="4"/>
      <c r="DX104" s="4"/>
      <c r="DY104" s="4"/>
      <c r="DZ104" s="4"/>
      <c r="EA104" s="4"/>
      <c r="EB104" s="4"/>
      <c r="EC104" s="4"/>
      <c r="ED104" s="4"/>
      <c r="EE104" s="4"/>
      <c r="EF104" s="4"/>
      <c r="EG104" s="4"/>
      <c r="EH104" s="4"/>
      <c r="EI104" s="4"/>
      <c r="EJ104" s="4"/>
      <c r="EK104" s="4"/>
      <c r="EL104" s="4"/>
      <c r="EM104" s="4"/>
      <c r="EN104" s="4"/>
      <c r="EO104" s="4"/>
      <c r="EP104" s="4"/>
      <c r="EQ104" s="4"/>
      <c r="ER104" s="4"/>
      <c r="ES104" s="4"/>
      <c r="ET104" s="4"/>
      <c r="EU104" s="4"/>
      <c r="EV104" s="4"/>
      <c r="EW104" s="4"/>
      <c r="EX104" s="4"/>
      <c r="EY104" s="4"/>
      <c r="EZ104" s="4"/>
      <c r="FA104" s="4"/>
      <c r="FB104" s="4"/>
      <c r="FC104" s="4"/>
      <c r="FD104" s="4"/>
      <c r="FE104" s="4"/>
      <c r="FF104" s="4"/>
      <c r="FG104" s="4"/>
      <c r="FH104" s="4"/>
      <c r="FI104" s="4"/>
      <c r="FJ104" s="4"/>
      <c r="FK104" s="4"/>
      <c r="FL104" s="4"/>
      <c r="FM104" s="4"/>
      <c r="FN104" s="4"/>
      <c r="FO104" s="4"/>
      <c r="FP104" s="4"/>
      <c r="FQ104" s="4"/>
      <c r="FR104" s="4"/>
      <c r="FS104" s="4"/>
      <c r="FT104" s="4"/>
      <c r="FU104" s="4"/>
      <c r="FV104" s="4"/>
      <c r="FW104" s="4"/>
      <c r="FX104" s="4"/>
      <c r="FY104" s="4"/>
      <c r="FZ104" s="4"/>
      <c r="GA104" s="4"/>
      <c r="GB104" s="4"/>
      <c r="GC104" s="4"/>
      <c r="GD104" s="4"/>
      <c r="GE104" s="4"/>
      <c r="GF104" s="4"/>
      <c r="GG104" s="4"/>
      <c r="GH104" s="4"/>
      <c r="GI104" s="4"/>
      <c r="GJ104" s="4"/>
      <c r="GK104" s="4"/>
      <c r="GL104" s="4"/>
      <c r="GM104" s="4"/>
      <c r="GN104" s="4"/>
      <c r="GO104" s="4"/>
      <c r="GP104" s="4"/>
      <c r="GQ104" s="4"/>
      <c r="GR104" s="4"/>
      <c r="GS104" s="4"/>
      <c r="GT104" s="4"/>
      <c r="GU104" s="4"/>
      <c r="GV104" s="4"/>
      <c r="GW104" s="4"/>
      <c r="GX104" s="4"/>
      <c r="GY104" s="4"/>
      <c r="GZ104" s="4"/>
      <c r="HA104" s="4"/>
      <c r="HB104" s="4"/>
      <c r="HC104" s="4"/>
      <c r="HD104" s="4"/>
      <c r="HE104" s="4"/>
      <c r="HF104" s="4"/>
      <c r="HG104" s="4"/>
      <c r="HH104" s="4"/>
      <c r="HI104" s="4"/>
      <c r="HJ104" s="4"/>
      <c r="HK104" s="4"/>
      <c r="HL104" s="4"/>
      <c r="HM104" s="4"/>
      <c r="HN104" s="4"/>
      <c r="HO104" s="4"/>
      <c r="HP104" s="4"/>
      <c r="HQ104" s="4"/>
      <c r="HR104" s="4"/>
      <c r="HS104" s="4"/>
      <c r="HT104" s="4"/>
      <c r="HU104" s="4"/>
      <c r="HV104" s="4"/>
      <c r="HW104" s="4"/>
      <c r="HX104" s="4"/>
      <c r="HY104" s="4"/>
      <c r="HZ104" s="4"/>
      <c r="IA104" s="4"/>
      <c r="IB104" s="4"/>
      <c r="IC104" s="4"/>
      <c r="ID104" s="4"/>
      <c r="IE104" s="4"/>
      <c r="IF104" s="4"/>
      <c r="IG104" s="4"/>
      <c r="IH104" s="4"/>
      <c r="II104" s="4"/>
      <c r="IJ104" s="4"/>
      <c r="IK104" s="4"/>
      <c r="IL104" s="4"/>
      <c r="IM104" s="4"/>
      <c r="IN104" s="4"/>
      <c r="IO104" s="4"/>
      <c r="IP104" s="4"/>
      <c r="IQ104" s="4"/>
      <c r="IR104" s="4"/>
      <c r="IS104" s="4"/>
      <c r="IT104" s="4"/>
      <c r="IU104" s="4"/>
      <c r="IV104" s="4"/>
      <c r="IW104" s="4"/>
      <c r="IX104" s="4"/>
      <c r="IY104" s="4"/>
      <c r="IZ104" s="4"/>
      <c r="JA104" s="4"/>
      <c r="JB104" s="4"/>
      <c r="JC104" s="4"/>
      <c r="JD104" s="4"/>
      <c r="JE104" s="4"/>
      <c r="JF104" s="4"/>
      <c r="JG104" s="4"/>
      <c r="JH104" s="4"/>
      <c r="JI104" s="4"/>
      <c r="JJ104" s="4"/>
      <c r="JK104" s="4"/>
      <c r="JL104" s="4"/>
      <c r="JM104" s="4"/>
      <c r="JN104" s="4"/>
      <c r="JO104" s="4"/>
      <c r="JP104" s="4"/>
      <c r="JQ104" s="4"/>
      <c r="JR104" s="4"/>
      <c r="JS104" s="4"/>
      <c r="JT104" s="4"/>
      <c r="JU104" s="4"/>
      <c r="JV104" s="4"/>
      <c r="JW104" s="4"/>
      <c r="JX104" s="4"/>
      <c r="JY104" s="4"/>
      <c r="JZ104" s="4"/>
      <c r="KA104" s="4"/>
      <c r="KB104" s="4"/>
      <c r="KC104" s="4"/>
      <c r="KD104" s="4"/>
      <c r="KE104" s="4"/>
      <c r="KF104" s="4"/>
      <c r="KG104" s="4"/>
      <c r="KH104" s="4"/>
      <c r="KI104" s="4"/>
      <c r="KJ104" s="4"/>
      <c r="KK104" s="4"/>
      <c r="KL104" s="4"/>
      <c r="KM104" s="4"/>
      <c r="KN104" s="4"/>
      <c r="KO104" s="4"/>
      <c r="KP104" s="4"/>
      <c r="KQ104" s="4"/>
      <c r="KR104" s="4"/>
      <c r="KS104" s="4"/>
      <c r="KT104" s="4"/>
      <c r="KU104" s="4"/>
      <c r="KV104" s="4"/>
      <c r="KW104" s="4"/>
      <c r="KX104" s="4"/>
      <c r="KY104" s="4"/>
      <c r="KZ104" s="4"/>
      <c r="LA104" s="4"/>
      <c r="LB104" s="4"/>
      <c r="LC104" s="4"/>
      <c r="LD104" s="4"/>
      <c r="LE104" s="4"/>
      <c r="LF104" s="4"/>
      <c r="LG104" s="4"/>
      <c r="LH104" s="4"/>
      <c r="LI104" s="4"/>
      <c r="LJ104" s="4"/>
      <c r="LK104" s="4"/>
      <c r="LL104" s="4"/>
      <c r="LM104" s="4"/>
      <c r="LN104" s="4"/>
      <c r="LO104" s="4"/>
      <c r="LP104" s="4"/>
      <c r="LQ104" s="4"/>
      <c r="LR104" s="4"/>
      <c r="LS104" s="4"/>
      <c r="LT104" s="4"/>
      <c r="LU104" s="4"/>
      <c r="LV104" s="4"/>
      <c r="LW104" s="4"/>
      <c r="LX104" s="4"/>
      <c r="LY104" s="4"/>
      <c r="LZ104" s="4"/>
      <c r="MA104" s="4"/>
      <c r="MB104" s="4"/>
      <c r="MC104" s="4"/>
      <c r="MD104" s="4"/>
      <c r="ME104" s="4"/>
      <c r="MF104" s="4"/>
      <c r="MG104" s="4"/>
      <c r="MH104" s="4"/>
      <c r="MI104" s="4"/>
      <c r="MJ104" s="4"/>
      <c r="MK104" s="4"/>
      <c r="ML104" s="4"/>
      <c r="MM104" s="4"/>
      <c r="MN104" s="4"/>
      <c r="MO104" s="4"/>
      <c r="MP104" s="4"/>
      <c r="MQ104" s="4"/>
      <c r="MR104" s="4"/>
      <c r="MS104" s="4"/>
      <c r="MT104" s="4"/>
      <c r="MU104" s="4"/>
      <c r="MV104" s="4"/>
      <c r="MW104" s="4"/>
      <c r="MX104" s="4"/>
      <c r="MY104" s="4"/>
      <c r="MZ104" s="4"/>
      <c r="NA104" s="4"/>
      <c r="NB104" s="4"/>
      <c r="NC104" s="4"/>
      <c r="ND104" s="4"/>
      <c r="NE104" s="4"/>
      <c r="NF104" s="4"/>
      <c r="NG104" s="4"/>
      <c r="NH104" s="4"/>
      <c r="NI104" s="4"/>
      <c r="NJ104" s="4"/>
      <c r="NK104" s="4"/>
      <c r="NL104" s="4"/>
      <c r="NM104" s="4"/>
      <c r="NN104" s="4"/>
      <c r="NO104" s="4"/>
      <c r="NP104" s="4"/>
      <c r="NQ104" s="4"/>
      <c r="NR104" s="4"/>
      <c r="NS104" s="4"/>
      <c r="NT104" s="4"/>
      <c r="NU104" s="4"/>
      <c r="NV104" s="4"/>
      <c r="NW104" s="4"/>
      <c r="NX104" s="4"/>
      <c r="NY104" s="4"/>
      <c r="NZ104" s="4"/>
      <c r="OA104" s="4"/>
      <c r="OB104" s="4"/>
      <c r="OC104" s="4"/>
      <c r="OD104" s="4"/>
      <c r="OE104" s="4"/>
      <c r="OF104" s="4"/>
      <c r="OG104" s="4"/>
      <c r="OH104" s="4"/>
      <c r="OI104" s="4"/>
    </row>
    <row r="105" spans="1:399" outlineLevel="1">
      <c r="A105" s="116"/>
      <c r="B105" s="116"/>
      <c r="C105" s="116">
        <v>2</v>
      </c>
      <c r="D105" s="3" t="s">
        <v>1259</v>
      </c>
      <c r="E105" s="183"/>
      <c r="F105" s="183" t="s">
        <v>1178</v>
      </c>
      <c r="G105" s="183"/>
      <c r="H105" s="183"/>
      <c r="I105" s="183"/>
      <c r="J105" s="183"/>
      <c r="K105" s="183"/>
      <c r="L105" s="183"/>
      <c r="M105" s="184"/>
      <c r="N105" s="184"/>
      <c r="O105" s="185"/>
      <c r="P105" s="186">
        <v>0</v>
      </c>
      <c r="Q105" s="186">
        <v>0</v>
      </c>
      <c r="R105" s="187">
        <v>0</v>
      </c>
      <c r="S105" s="187">
        <v>0</v>
      </c>
      <c r="T105" s="184"/>
      <c r="U105" s="184"/>
      <c r="V105" s="188">
        <v>0</v>
      </c>
      <c r="W105" s="189">
        <v>0</v>
      </c>
      <c r="X105" s="190"/>
      <c r="Y105" s="185"/>
      <c r="Z105" s="191"/>
      <c r="AA105" s="97">
        <v>0</v>
      </c>
      <c r="AB105" s="192">
        <v>0</v>
      </c>
      <c r="AC105" s="123"/>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c r="DF105" s="4"/>
      <c r="DG105" s="4"/>
      <c r="DH105" s="4"/>
      <c r="DI105" s="4"/>
      <c r="DJ105" s="4"/>
      <c r="DK105" s="4"/>
      <c r="DL105" s="4"/>
      <c r="DM105" s="4"/>
      <c r="DN105" s="4"/>
      <c r="DO105" s="4"/>
      <c r="DP105" s="4"/>
      <c r="DQ105" s="4"/>
      <c r="DR105" s="4"/>
      <c r="DS105" s="4"/>
      <c r="DT105" s="4"/>
      <c r="DU105" s="4"/>
      <c r="DV105" s="4"/>
      <c r="DW105" s="4"/>
      <c r="DX105" s="4"/>
      <c r="DY105" s="4"/>
      <c r="DZ105" s="4"/>
      <c r="EA105" s="4"/>
      <c r="EB105" s="4"/>
      <c r="EC105" s="4"/>
      <c r="ED105" s="4"/>
      <c r="EE105" s="4"/>
      <c r="EF105" s="4"/>
      <c r="EG105" s="4"/>
      <c r="EH105" s="4"/>
      <c r="EI105" s="4"/>
      <c r="EJ105" s="4"/>
      <c r="EK105" s="4"/>
      <c r="EL105" s="4"/>
      <c r="EM105" s="4"/>
      <c r="EN105" s="4"/>
      <c r="EO105" s="4"/>
      <c r="EP105" s="4"/>
      <c r="EQ105" s="4"/>
      <c r="ER105" s="4"/>
      <c r="ES105" s="4"/>
      <c r="ET105" s="4"/>
      <c r="EU105" s="4"/>
      <c r="EV105" s="4"/>
      <c r="EW105" s="4"/>
      <c r="EX105" s="4"/>
      <c r="EY105" s="4"/>
      <c r="EZ105" s="4"/>
      <c r="FA105" s="4"/>
      <c r="FB105" s="4"/>
      <c r="FC105" s="4"/>
      <c r="FD105" s="4"/>
      <c r="FE105" s="4"/>
      <c r="FF105" s="4"/>
      <c r="FG105" s="4"/>
      <c r="FH105" s="4"/>
      <c r="FI105" s="4"/>
      <c r="FJ105" s="4"/>
      <c r="FK105" s="4"/>
      <c r="FL105" s="4"/>
      <c r="FM105" s="4"/>
      <c r="FN105" s="4"/>
      <c r="FO105" s="4"/>
      <c r="FP105" s="4"/>
      <c r="FQ105" s="4"/>
      <c r="FR105" s="4"/>
      <c r="FS105" s="4"/>
      <c r="FT105" s="4"/>
      <c r="FU105" s="4"/>
      <c r="FV105" s="4"/>
      <c r="FW105" s="4"/>
      <c r="FX105" s="4"/>
      <c r="FY105" s="4"/>
      <c r="FZ105" s="4"/>
      <c r="GA105" s="4"/>
      <c r="GB105" s="4"/>
      <c r="GC105" s="4"/>
      <c r="GD105" s="4"/>
      <c r="GE105" s="4"/>
      <c r="GF105" s="4"/>
      <c r="GG105" s="4"/>
      <c r="GH105" s="4"/>
      <c r="GI105" s="4"/>
      <c r="GJ105" s="4"/>
      <c r="GK105" s="4"/>
      <c r="GL105" s="4"/>
      <c r="GM105" s="4"/>
      <c r="GN105" s="4"/>
      <c r="GO105" s="4"/>
      <c r="GP105" s="4"/>
      <c r="GQ105" s="4"/>
      <c r="GR105" s="4"/>
      <c r="GS105" s="4"/>
      <c r="GT105" s="4"/>
      <c r="GU105" s="4"/>
      <c r="GV105" s="4"/>
      <c r="GW105" s="4"/>
      <c r="GX105" s="4"/>
      <c r="GY105" s="4"/>
      <c r="GZ105" s="4"/>
      <c r="HA105" s="4"/>
      <c r="HB105" s="4"/>
      <c r="HC105" s="4"/>
      <c r="HD105" s="4"/>
      <c r="HE105" s="4"/>
      <c r="HF105" s="4"/>
      <c r="HG105" s="4"/>
      <c r="HH105" s="4"/>
      <c r="HI105" s="4"/>
      <c r="HJ105" s="4"/>
      <c r="HK105" s="4"/>
      <c r="HL105" s="4"/>
      <c r="HM105" s="4"/>
      <c r="HN105" s="4"/>
      <c r="HO105" s="4"/>
      <c r="HP105" s="4"/>
      <c r="HQ105" s="4"/>
      <c r="HR105" s="4"/>
      <c r="HS105" s="4"/>
      <c r="HT105" s="4"/>
      <c r="HU105" s="4"/>
      <c r="HV105" s="4"/>
      <c r="HW105" s="4"/>
      <c r="HX105" s="4"/>
      <c r="HY105" s="4"/>
      <c r="HZ105" s="4"/>
      <c r="IA105" s="4"/>
      <c r="IB105" s="4"/>
      <c r="IC105" s="4"/>
      <c r="ID105" s="4"/>
      <c r="IE105" s="4"/>
      <c r="IF105" s="4"/>
      <c r="IG105" s="4"/>
      <c r="IH105" s="4"/>
      <c r="II105" s="4"/>
      <c r="IJ105" s="4"/>
      <c r="IK105" s="4"/>
      <c r="IL105" s="4"/>
      <c r="IM105" s="4"/>
      <c r="IN105" s="4"/>
      <c r="IO105" s="4"/>
      <c r="IP105" s="4"/>
      <c r="IQ105" s="4"/>
      <c r="IR105" s="4"/>
      <c r="IS105" s="4"/>
      <c r="IT105" s="4"/>
      <c r="IU105" s="4"/>
      <c r="IV105" s="4"/>
      <c r="IW105" s="4"/>
      <c r="IX105" s="4"/>
      <c r="IY105" s="4"/>
      <c r="IZ105" s="4"/>
      <c r="JA105" s="4"/>
      <c r="JB105" s="4"/>
      <c r="JC105" s="4"/>
      <c r="JD105" s="4"/>
      <c r="JE105" s="4"/>
      <c r="JF105" s="4"/>
      <c r="JG105" s="4"/>
      <c r="JH105" s="4"/>
      <c r="JI105" s="4"/>
      <c r="JJ105" s="4"/>
      <c r="JK105" s="4"/>
      <c r="JL105" s="4"/>
      <c r="JM105" s="4"/>
      <c r="JN105" s="4"/>
      <c r="JO105" s="4"/>
      <c r="JP105" s="4"/>
      <c r="JQ105" s="4"/>
      <c r="JR105" s="4"/>
      <c r="JS105" s="4"/>
      <c r="JT105" s="4"/>
      <c r="JU105" s="4"/>
      <c r="JV105" s="4"/>
      <c r="JW105" s="4"/>
      <c r="JX105" s="4"/>
      <c r="JY105" s="4"/>
      <c r="JZ105" s="4"/>
      <c r="KA105" s="4"/>
      <c r="KB105" s="4"/>
      <c r="KC105" s="4"/>
      <c r="KD105" s="4"/>
      <c r="KE105" s="4"/>
      <c r="KF105" s="4"/>
      <c r="KG105" s="4"/>
      <c r="KH105" s="4"/>
      <c r="KI105" s="4"/>
      <c r="KJ105" s="4"/>
      <c r="KK105" s="4"/>
      <c r="KL105" s="4"/>
      <c r="KM105" s="4"/>
      <c r="KN105" s="4"/>
      <c r="KO105" s="4"/>
      <c r="KP105" s="4"/>
      <c r="KQ105" s="4"/>
      <c r="KR105" s="4"/>
      <c r="KS105" s="4"/>
      <c r="KT105" s="4"/>
      <c r="KU105" s="4"/>
      <c r="KV105" s="4"/>
      <c r="KW105" s="4"/>
      <c r="KX105" s="4"/>
      <c r="KY105" s="4"/>
      <c r="KZ105" s="4"/>
      <c r="LA105" s="4"/>
      <c r="LB105" s="4"/>
      <c r="LC105" s="4"/>
      <c r="LD105" s="4"/>
      <c r="LE105" s="4"/>
      <c r="LF105" s="4"/>
      <c r="LG105" s="4"/>
      <c r="LH105" s="4"/>
      <c r="LI105" s="4"/>
      <c r="LJ105" s="4"/>
      <c r="LK105" s="4"/>
      <c r="LL105" s="4"/>
      <c r="LM105" s="4"/>
      <c r="LN105" s="4"/>
      <c r="LO105" s="4"/>
      <c r="LP105" s="4"/>
      <c r="LQ105" s="4"/>
      <c r="LR105" s="4"/>
      <c r="LS105" s="4"/>
      <c r="LT105" s="4"/>
      <c r="LU105" s="4"/>
      <c r="LV105" s="4"/>
      <c r="LW105" s="4"/>
      <c r="LX105" s="4"/>
      <c r="LY105" s="4"/>
      <c r="LZ105" s="4"/>
      <c r="MA105" s="4"/>
      <c r="MB105" s="4"/>
      <c r="MC105" s="4"/>
      <c r="MD105" s="4"/>
      <c r="ME105" s="4"/>
      <c r="MF105" s="4"/>
      <c r="MG105" s="4"/>
      <c r="MH105" s="4"/>
      <c r="MI105" s="4"/>
      <c r="MJ105" s="4"/>
      <c r="MK105" s="4"/>
      <c r="ML105" s="4"/>
      <c r="MM105" s="4"/>
      <c r="MN105" s="4"/>
      <c r="MO105" s="4"/>
      <c r="MP105" s="4"/>
      <c r="MQ105" s="4"/>
      <c r="MR105" s="4"/>
      <c r="MS105" s="4"/>
      <c r="MT105" s="4"/>
      <c r="MU105" s="4"/>
      <c r="MV105" s="4"/>
      <c r="MW105" s="4"/>
      <c r="MX105" s="4"/>
      <c r="MY105" s="4"/>
      <c r="MZ105" s="4"/>
      <c r="NA105" s="4"/>
      <c r="NB105" s="4"/>
      <c r="NC105" s="4"/>
      <c r="ND105" s="4"/>
      <c r="NE105" s="4"/>
      <c r="NF105" s="4"/>
      <c r="NG105" s="4"/>
      <c r="NH105" s="4"/>
      <c r="NI105" s="4"/>
      <c r="NJ105" s="4"/>
      <c r="NK105" s="4"/>
      <c r="NL105" s="4"/>
      <c r="NM105" s="4"/>
      <c r="NN105" s="4"/>
      <c r="NO105" s="4"/>
      <c r="NP105" s="4"/>
      <c r="NQ105" s="4"/>
      <c r="NR105" s="4"/>
      <c r="NS105" s="4"/>
      <c r="NT105" s="4"/>
      <c r="NU105" s="4"/>
      <c r="NV105" s="4"/>
      <c r="NW105" s="4"/>
      <c r="NX105" s="4"/>
      <c r="NY105" s="4"/>
      <c r="NZ105" s="4"/>
      <c r="OA105" s="4"/>
      <c r="OB105" s="4"/>
      <c r="OC105" s="4"/>
      <c r="OD105" s="4"/>
      <c r="OE105" s="4"/>
      <c r="OF105" s="4"/>
      <c r="OG105" s="4"/>
      <c r="OH105" s="4"/>
      <c r="OI105" s="4"/>
    </row>
    <row r="106" spans="1:399" outlineLevel="1">
      <c r="A106" s="116"/>
      <c r="B106" s="116"/>
      <c r="C106" s="116">
        <v>2</v>
      </c>
      <c r="D106" s="3" t="s">
        <v>1260</v>
      </c>
      <c r="E106" s="183"/>
      <c r="F106" s="183" t="s">
        <v>1179</v>
      </c>
      <c r="G106" s="183"/>
      <c r="H106" s="183"/>
      <c r="I106" s="183"/>
      <c r="J106" s="183"/>
      <c r="K106" s="183"/>
      <c r="L106" s="183"/>
      <c r="M106" s="184"/>
      <c r="N106" s="184"/>
      <c r="O106" s="185"/>
      <c r="P106" s="186">
        <v>0</v>
      </c>
      <c r="Q106" s="186">
        <v>0</v>
      </c>
      <c r="R106" s="187">
        <v>0</v>
      </c>
      <c r="S106" s="187">
        <v>0</v>
      </c>
      <c r="T106" s="184"/>
      <c r="U106" s="184"/>
      <c r="V106" s="188">
        <v>0</v>
      </c>
      <c r="W106" s="189">
        <v>0</v>
      </c>
      <c r="X106" s="190"/>
      <c r="Y106" s="185"/>
      <c r="Z106" s="191"/>
      <c r="AA106" s="97">
        <v>0</v>
      </c>
      <c r="AB106" s="192">
        <v>0</v>
      </c>
      <c r="AC106" s="123"/>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c r="DF106" s="4"/>
      <c r="DG106" s="4"/>
      <c r="DH106" s="4"/>
      <c r="DI106" s="4"/>
      <c r="DJ106" s="4"/>
      <c r="DK106" s="4"/>
      <c r="DL106" s="4"/>
      <c r="DM106" s="4"/>
      <c r="DN106" s="4"/>
      <c r="DO106" s="4"/>
      <c r="DP106" s="4"/>
      <c r="DQ106" s="4"/>
      <c r="DR106" s="4"/>
      <c r="DS106" s="4"/>
      <c r="DT106" s="4"/>
      <c r="DU106" s="4"/>
      <c r="DV106" s="4"/>
      <c r="DW106" s="4"/>
      <c r="DX106" s="4"/>
      <c r="DY106" s="4"/>
      <c r="DZ106" s="4"/>
      <c r="EA106" s="4"/>
      <c r="EB106" s="4"/>
      <c r="EC106" s="4"/>
      <c r="ED106" s="4"/>
      <c r="EE106" s="4"/>
      <c r="EF106" s="4"/>
      <c r="EG106" s="4"/>
      <c r="EH106" s="4"/>
      <c r="EI106" s="4"/>
      <c r="EJ106" s="4"/>
      <c r="EK106" s="4"/>
      <c r="EL106" s="4"/>
      <c r="EM106" s="4"/>
      <c r="EN106" s="4"/>
      <c r="EO106" s="4"/>
      <c r="EP106" s="4"/>
      <c r="EQ106" s="4"/>
      <c r="ER106" s="4"/>
      <c r="ES106" s="4"/>
      <c r="ET106" s="4"/>
      <c r="EU106" s="4"/>
      <c r="EV106" s="4"/>
      <c r="EW106" s="4"/>
      <c r="EX106" s="4"/>
      <c r="EY106" s="4"/>
      <c r="EZ106" s="4"/>
      <c r="FA106" s="4"/>
      <c r="FB106" s="4"/>
      <c r="FC106" s="4"/>
      <c r="FD106" s="4"/>
      <c r="FE106" s="4"/>
      <c r="FF106" s="4"/>
      <c r="FG106" s="4"/>
      <c r="FH106" s="4"/>
      <c r="FI106" s="4"/>
      <c r="FJ106" s="4"/>
      <c r="FK106" s="4"/>
      <c r="FL106" s="4"/>
      <c r="FM106" s="4"/>
      <c r="FN106" s="4"/>
      <c r="FO106" s="4"/>
      <c r="FP106" s="4"/>
      <c r="FQ106" s="4"/>
      <c r="FR106" s="4"/>
      <c r="FS106" s="4"/>
      <c r="FT106" s="4"/>
      <c r="FU106" s="4"/>
      <c r="FV106" s="4"/>
      <c r="FW106" s="4"/>
      <c r="FX106" s="4"/>
      <c r="FY106" s="4"/>
      <c r="FZ106" s="4"/>
      <c r="GA106" s="4"/>
      <c r="GB106" s="4"/>
      <c r="GC106" s="4"/>
      <c r="GD106" s="4"/>
      <c r="GE106" s="4"/>
      <c r="GF106" s="4"/>
      <c r="GG106" s="4"/>
      <c r="GH106" s="4"/>
      <c r="GI106" s="4"/>
      <c r="GJ106" s="4"/>
      <c r="GK106" s="4"/>
      <c r="GL106" s="4"/>
      <c r="GM106" s="4"/>
      <c r="GN106" s="4"/>
      <c r="GO106" s="4"/>
      <c r="GP106" s="4"/>
      <c r="GQ106" s="4"/>
      <c r="GR106" s="4"/>
      <c r="GS106" s="4"/>
      <c r="GT106" s="4"/>
      <c r="GU106" s="4"/>
      <c r="GV106" s="4"/>
      <c r="GW106" s="4"/>
      <c r="GX106" s="4"/>
      <c r="GY106" s="4"/>
      <c r="GZ106" s="4"/>
      <c r="HA106" s="4"/>
      <c r="HB106" s="4"/>
      <c r="HC106" s="4"/>
      <c r="HD106" s="4"/>
      <c r="HE106" s="4"/>
      <c r="HF106" s="4"/>
      <c r="HG106" s="4"/>
      <c r="HH106" s="4"/>
      <c r="HI106" s="4"/>
      <c r="HJ106" s="4"/>
      <c r="HK106" s="4"/>
      <c r="HL106" s="4"/>
      <c r="HM106" s="4"/>
      <c r="HN106" s="4"/>
      <c r="HO106" s="4"/>
      <c r="HP106" s="4"/>
      <c r="HQ106" s="4"/>
      <c r="HR106" s="4"/>
      <c r="HS106" s="4"/>
      <c r="HT106" s="4"/>
      <c r="HU106" s="4"/>
      <c r="HV106" s="4"/>
      <c r="HW106" s="4"/>
      <c r="HX106" s="4"/>
      <c r="HY106" s="4"/>
      <c r="HZ106" s="4"/>
      <c r="IA106" s="4"/>
      <c r="IB106" s="4"/>
      <c r="IC106" s="4"/>
      <c r="ID106" s="4"/>
      <c r="IE106" s="4"/>
      <c r="IF106" s="4"/>
      <c r="IG106" s="4"/>
      <c r="IH106" s="4"/>
      <c r="II106" s="4"/>
      <c r="IJ106" s="4"/>
      <c r="IK106" s="4"/>
      <c r="IL106" s="4"/>
      <c r="IM106" s="4"/>
      <c r="IN106" s="4"/>
      <c r="IO106" s="4"/>
      <c r="IP106" s="4"/>
      <c r="IQ106" s="4"/>
      <c r="IR106" s="4"/>
      <c r="IS106" s="4"/>
      <c r="IT106" s="4"/>
      <c r="IU106" s="4"/>
      <c r="IV106" s="4"/>
      <c r="IW106" s="4"/>
      <c r="IX106" s="4"/>
      <c r="IY106" s="4"/>
      <c r="IZ106" s="4"/>
      <c r="JA106" s="4"/>
      <c r="JB106" s="4"/>
      <c r="JC106" s="4"/>
      <c r="JD106" s="4"/>
      <c r="JE106" s="4"/>
      <c r="JF106" s="4"/>
      <c r="JG106" s="4"/>
      <c r="JH106" s="4"/>
      <c r="JI106" s="4"/>
      <c r="JJ106" s="4"/>
      <c r="JK106" s="4"/>
      <c r="JL106" s="4"/>
      <c r="JM106" s="4"/>
      <c r="JN106" s="4"/>
      <c r="JO106" s="4"/>
      <c r="JP106" s="4"/>
      <c r="JQ106" s="4"/>
      <c r="JR106" s="4"/>
      <c r="JS106" s="4"/>
      <c r="JT106" s="4"/>
      <c r="JU106" s="4"/>
      <c r="JV106" s="4"/>
      <c r="JW106" s="4"/>
      <c r="JX106" s="4"/>
      <c r="JY106" s="4"/>
      <c r="JZ106" s="4"/>
      <c r="KA106" s="4"/>
      <c r="KB106" s="4"/>
      <c r="KC106" s="4"/>
      <c r="KD106" s="4"/>
      <c r="KE106" s="4"/>
      <c r="KF106" s="4"/>
      <c r="KG106" s="4"/>
      <c r="KH106" s="4"/>
      <c r="KI106" s="4"/>
      <c r="KJ106" s="4"/>
      <c r="KK106" s="4"/>
      <c r="KL106" s="4"/>
      <c r="KM106" s="4"/>
      <c r="KN106" s="4"/>
      <c r="KO106" s="4"/>
      <c r="KP106" s="4"/>
      <c r="KQ106" s="4"/>
      <c r="KR106" s="4"/>
      <c r="KS106" s="4"/>
      <c r="KT106" s="4"/>
      <c r="KU106" s="4"/>
      <c r="KV106" s="4"/>
      <c r="KW106" s="4"/>
      <c r="KX106" s="4"/>
      <c r="KY106" s="4"/>
      <c r="KZ106" s="4"/>
      <c r="LA106" s="4"/>
      <c r="LB106" s="4"/>
      <c r="LC106" s="4"/>
      <c r="LD106" s="4"/>
      <c r="LE106" s="4"/>
      <c r="LF106" s="4"/>
      <c r="LG106" s="4"/>
      <c r="LH106" s="4"/>
      <c r="LI106" s="4"/>
      <c r="LJ106" s="4"/>
      <c r="LK106" s="4"/>
      <c r="LL106" s="4"/>
      <c r="LM106" s="4"/>
      <c r="LN106" s="4"/>
      <c r="LO106" s="4"/>
      <c r="LP106" s="4"/>
      <c r="LQ106" s="4"/>
      <c r="LR106" s="4"/>
      <c r="LS106" s="4"/>
      <c r="LT106" s="4"/>
      <c r="LU106" s="4"/>
      <c r="LV106" s="4"/>
      <c r="LW106" s="4"/>
      <c r="LX106" s="4"/>
      <c r="LY106" s="4"/>
      <c r="LZ106" s="4"/>
      <c r="MA106" s="4"/>
      <c r="MB106" s="4"/>
      <c r="MC106" s="4"/>
      <c r="MD106" s="4"/>
      <c r="ME106" s="4"/>
      <c r="MF106" s="4"/>
      <c r="MG106" s="4"/>
      <c r="MH106" s="4"/>
      <c r="MI106" s="4"/>
      <c r="MJ106" s="4"/>
      <c r="MK106" s="4"/>
      <c r="ML106" s="4"/>
      <c r="MM106" s="4"/>
      <c r="MN106" s="4"/>
      <c r="MO106" s="4"/>
      <c r="MP106" s="4"/>
      <c r="MQ106" s="4"/>
      <c r="MR106" s="4"/>
      <c r="MS106" s="4"/>
      <c r="MT106" s="4"/>
      <c r="MU106" s="4"/>
      <c r="MV106" s="4"/>
      <c r="MW106" s="4"/>
      <c r="MX106" s="4"/>
      <c r="MY106" s="4"/>
      <c r="MZ106" s="4"/>
      <c r="NA106" s="4"/>
      <c r="NB106" s="4"/>
      <c r="NC106" s="4"/>
      <c r="ND106" s="4"/>
      <c r="NE106" s="4"/>
      <c r="NF106" s="4"/>
      <c r="NG106" s="4"/>
      <c r="NH106" s="4"/>
      <c r="NI106" s="4"/>
      <c r="NJ106" s="4"/>
      <c r="NK106" s="4"/>
      <c r="NL106" s="4"/>
      <c r="NM106" s="4"/>
      <c r="NN106" s="4"/>
      <c r="NO106" s="4"/>
      <c r="NP106" s="4"/>
      <c r="NQ106" s="4"/>
      <c r="NR106" s="4"/>
      <c r="NS106" s="4"/>
      <c r="NT106" s="4"/>
      <c r="NU106" s="4"/>
      <c r="NV106" s="4"/>
      <c r="NW106" s="4"/>
      <c r="NX106" s="4"/>
      <c r="NY106" s="4"/>
      <c r="NZ106" s="4"/>
      <c r="OA106" s="4"/>
      <c r="OB106" s="4"/>
      <c r="OC106" s="4"/>
      <c r="OD106" s="4"/>
      <c r="OE106" s="4"/>
      <c r="OF106" s="4"/>
      <c r="OG106" s="4"/>
      <c r="OH106" s="4"/>
      <c r="OI106" s="4"/>
    </row>
    <row r="107" spans="1:399" outlineLevel="1">
      <c r="A107" s="116"/>
      <c r="B107" s="116"/>
      <c r="C107" s="116">
        <v>2</v>
      </c>
      <c r="D107" s="3" t="s">
        <v>1261</v>
      </c>
      <c r="E107" s="183"/>
      <c r="F107" s="183" t="s">
        <v>1180</v>
      </c>
      <c r="G107" s="183"/>
      <c r="H107" s="183"/>
      <c r="I107" s="183"/>
      <c r="J107" s="183"/>
      <c r="K107" s="183"/>
      <c r="L107" s="183"/>
      <c r="M107" s="184"/>
      <c r="N107" s="184"/>
      <c r="O107" s="185"/>
      <c r="P107" s="186">
        <v>0</v>
      </c>
      <c r="Q107" s="186">
        <v>0</v>
      </c>
      <c r="R107" s="187">
        <v>0</v>
      </c>
      <c r="S107" s="187">
        <v>0</v>
      </c>
      <c r="T107" s="184"/>
      <c r="U107" s="184"/>
      <c r="V107" s="188">
        <v>0</v>
      </c>
      <c r="W107" s="189">
        <v>0</v>
      </c>
      <c r="X107" s="190"/>
      <c r="Y107" s="185"/>
      <c r="Z107" s="191"/>
      <c r="AA107" s="97">
        <v>0</v>
      </c>
      <c r="AB107" s="192">
        <v>0</v>
      </c>
      <c r="AC107" s="123"/>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c r="DF107" s="4"/>
      <c r="DG107" s="4"/>
      <c r="DH107" s="4"/>
      <c r="DI107" s="4"/>
      <c r="DJ107" s="4"/>
      <c r="DK107" s="4"/>
      <c r="DL107" s="4"/>
      <c r="DM107" s="4"/>
      <c r="DN107" s="4"/>
      <c r="DO107" s="4"/>
      <c r="DP107" s="4"/>
      <c r="DQ107" s="4"/>
      <c r="DR107" s="4"/>
      <c r="DS107" s="4"/>
      <c r="DT107" s="4"/>
      <c r="DU107" s="4"/>
      <c r="DV107" s="4"/>
      <c r="DW107" s="4"/>
      <c r="DX107" s="4"/>
      <c r="DY107" s="4"/>
      <c r="DZ107" s="4"/>
      <c r="EA107" s="4"/>
      <c r="EB107" s="4"/>
      <c r="EC107" s="4"/>
      <c r="ED107" s="4"/>
      <c r="EE107" s="4"/>
      <c r="EF107" s="4"/>
      <c r="EG107" s="4"/>
      <c r="EH107" s="4"/>
      <c r="EI107" s="4"/>
      <c r="EJ107" s="4"/>
      <c r="EK107" s="4"/>
      <c r="EL107" s="4"/>
      <c r="EM107" s="4"/>
      <c r="EN107" s="4"/>
      <c r="EO107" s="4"/>
      <c r="EP107" s="4"/>
      <c r="EQ107" s="4"/>
      <c r="ER107" s="4"/>
      <c r="ES107" s="4"/>
      <c r="ET107" s="4"/>
      <c r="EU107" s="4"/>
      <c r="EV107" s="4"/>
      <c r="EW107" s="4"/>
      <c r="EX107" s="4"/>
      <c r="EY107" s="4"/>
      <c r="EZ107" s="4"/>
      <c r="FA107" s="4"/>
      <c r="FB107" s="4"/>
      <c r="FC107" s="4"/>
      <c r="FD107" s="4"/>
      <c r="FE107" s="4"/>
      <c r="FF107" s="4"/>
      <c r="FG107" s="4"/>
      <c r="FH107" s="4"/>
      <c r="FI107" s="4"/>
      <c r="FJ107" s="4"/>
      <c r="FK107" s="4"/>
      <c r="FL107" s="4"/>
      <c r="FM107" s="4"/>
      <c r="FN107" s="4"/>
      <c r="FO107" s="4"/>
      <c r="FP107" s="4"/>
      <c r="FQ107" s="4"/>
      <c r="FR107" s="4"/>
      <c r="FS107" s="4"/>
      <c r="FT107" s="4"/>
      <c r="FU107" s="4"/>
      <c r="FV107" s="4"/>
      <c r="FW107" s="4"/>
      <c r="FX107" s="4"/>
      <c r="FY107" s="4"/>
      <c r="FZ107" s="4"/>
      <c r="GA107" s="4"/>
      <c r="GB107" s="4"/>
      <c r="GC107" s="4"/>
      <c r="GD107" s="4"/>
      <c r="GE107" s="4"/>
      <c r="GF107" s="4"/>
      <c r="GG107" s="4"/>
      <c r="GH107" s="4"/>
      <c r="GI107" s="4"/>
      <c r="GJ107" s="4"/>
      <c r="GK107" s="4"/>
      <c r="GL107" s="4"/>
      <c r="GM107" s="4"/>
      <c r="GN107" s="4"/>
      <c r="GO107" s="4"/>
      <c r="GP107" s="4"/>
      <c r="GQ107" s="4"/>
      <c r="GR107" s="4"/>
      <c r="GS107" s="4"/>
      <c r="GT107" s="4"/>
      <c r="GU107" s="4"/>
      <c r="GV107" s="4"/>
      <c r="GW107" s="4"/>
      <c r="GX107" s="4"/>
      <c r="GY107" s="4"/>
      <c r="GZ107" s="4"/>
      <c r="HA107" s="4"/>
      <c r="HB107" s="4"/>
      <c r="HC107" s="4"/>
      <c r="HD107" s="4"/>
      <c r="HE107" s="4"/>
      <c r="HF107" s="4"/>
      <c r="HG107" s="4"/>
      <c r="HH107" s="4"/>
      <c r="HI107" s="4"/>
      <c r="HJ107" s="4"/>
      <c r="HK107" s="4"/>
      <c r="HL107" s="4"/>
      <c r="HM107" s="4"/>
      <c r="HN107" s="4"/>
      <c r="HO107" s="4"/>
      <c r="HP107" s="4"/>
      <c r="HQ107" s="4"/>
      <c r="HR107" s="4"/>
      <c r="HS107" s="4"/>
      <c r="HT107" s="4"/>
      <c r="HU107" s="4"/>
      <c r="HV107" s="4"/>
      <c r="HW107" s="4"/>
      <c r="HX107" s="4"/>
      <c r="HY107" s="4"/>
      <c r="HZ107" s="4"/>
      <c r="IA107" s="4"/>
      <c r="IB107" s="4"/>
      <c r="IC107" s="4"/>
      <c r="ID107" s="4"/>
      <c r="IE107" s="4"/>
      <c r="IF107" s="4"/>
      <c r="IG107" s="4"/>
      <c r="IH107" s="4"/>
      <c r="II107" s="4"/>
      <c r="IJ107" s="4"/>
      <c r="IK107" s="4"/>
      <c r="IL107" s="4"/>
      <c r="IM107" s="4"/>
      <c r="IN107" s="4"/>
      <c r="IO107" s="4"/>
      <c r="IP107" s="4"/>
      <c r="IQ107" s="4"/>
      <c r="IR107" s="4"/>
      <c r="IS107" s="4"/>
      <c r="IT107" s="4"/>
      <c r="IU107" s="4"/>
      <c r="IV107" s="4"/>
      <c r="IW107" s="4"/>
      <c r="IX107" s="4"/>
      <c r="IY107" s="4"/>
      <c r="IZ107" s="4"/>
      <c r="JA107" s="4"/>
      <c r="JB107" s="4"/>
      <c r="JC107" s="4"/>
      <c r="JD107" s="4"/>
      <c r="JE107" s="4"/>
      <c r="JF107" s="4"/>
      <c r="JG107" s="4"/>
      <c r="JH107" s="4"/>
      <c r="JI107" s="4"/>
      <c r="JJ107" s="4"/>
      <c r="JK107" s="4"/>
      <c r="JL107" s="4"/>
      <c r="JM107" s="4"/>
      <c r="JN107" s="4"/>
      <c r="JO107" s="4"/>
      <c r="JP107" s="4"/>
      <c r="JQ107" s="4"/>
      <c r="JR107" s="4"/>
      <c r="JS107" s="4"/>
      <c r="JT107" s="4"/>
      <c r="JU107" s="4"/>
      <c r="JV107" s="4"/>
      <c r="JW107" s="4"/>
      <c r="JX107" s="4"/>
      <c r="JY107" s="4"/>
      <c r="JZ107" s="4"/>
      <c r="KA107" s="4"/>
      <c r="KB107" s="4"/>
      <c r="KC107" s="4"/>
      <c r="KD107" s="4"/>
      <c r="KE107" s="4"/>
      <c r="KF107" s="4"/>
      <c r="KG107" s="4"/>
      <c r="KH107" s="4"/>
      <c r="KI107" s="4"/>
      <c r="KJ107" s="4"/>
      <c r="KK107" s="4"/>
      <c r="KL107" s="4"/>
      <c r="KM107" s="4"/>
      <c r="KN107" s="4"/>
      <c r="KO107" s="4"/>
      <c r="KP107" s="4"/>
      <c r="KQ107" s="4"/>
      <c r="KR107" s="4"/>
      <c r="KS107" s="4"/>
      <c r="KT107" s="4"/>
      <c r="KU107" s="4"/>
      <c r="KV107" s="4"/>
      <c r="KW107" s="4"/>
      <c r="KX107" s="4"/>
      <c r="KY107" s="4"/>
      <c r="KZ107" s="4"/>
      <c r="LA107" s="4"/>
      <c r="LB107" s="4"/>
      <c r="LC107" s="4"/>
      <c r="LD107" s="4"/>
      <c r="LE107" s="4"/>
      <c r="LF107" s="4"/>
      <c r="LG107" s="4"/>
      <c r="LH107" s="4"/>
      <c r="LI107" s="4"/>
      <c r="LJ107" s="4"/>
      <c r="LK107" s="4"/>
      <c r="LL107" s="4"/>
      <c r="LM107" s="4"/>
      <c r="LN107" s="4"/>
      <c r="LO107" s="4"/>
      <c r="LP107" s="4"/>
      <c r="LQ107" s="4"/>
      <c r="LR107" s="4"/>
      <c r="LS107" s="4"/>
      <c r="LT107" s="4"/>
      <c r="LU107" s="4"/>
      <c r="LV107" s="4"/>
      <c r="LW107" s="4"/>
      <c r="LX107" s="4"/>
      <c r="LY107" s="4"/>
      <c r="LZ107" s="4"/>
      <c r="MA107" s="4"/>
      <c r="MB107" s="4"/>
      <c r="MC107" s="4"/>
      <c r="MD107" s="4"/>
      <c r="ME107" s="4"/>
      <c r="MF107" s="4"/>
      <c r="MG107" s="4"/>
      <c r="MH107" s="4"/>
      <c r="MI107" s="4"/>
      <c r="MJ107" s="4"/>
      <c r="MK107" s="4"/>
      <c r="ML107" s="4"/>
      <c r="MM107" s="4"/>
      <c r="MN107" s="4"/>
      <c r="MO107" s="4"/>
      <c r="MP107" s="4"/>
      <c r="MQ107" s="4"/>
      <c r="MR107" s="4"/>
      <c r="MS107" s="4"/>
      <c r="MT107" s="4"/>
      <c r="MU107" s="4"/>
      <c r="MV107" s="4"/>
      <c r="MW107" s="4"/>
      <c r="MX107" s="4"/>
      <c r="MY107" s="4"/>
      <c r="MZ107" s="4"/>
      <c r="NA107" s="4"/>
      <c r="NB107" s="4"/>
      <c r="NC107" s="4"/>
      <c r="ND107" s="4"/>
      <c r="NE107" s="4"/>
      <c r="NF107" s="4"/>
      <c r="NG107" s="4"/>
      <c r="NH107" s="4"/>
      <c r="NI107" s="4"/>
      <c r="NJ107" s="4"/>
      <c r="NK107" s="4"/>
      <c r="NL107" s="4"/>
      <c r="NM107" s="4"/>
      <c r="NN107" s="4"/>
      <c r="NO107" s="4"/>
      <c r="NP107" s="4"/>
      <c r="NQ107" s="4"/>
      <c r="NR107" s="4"/>
      <c r="NS107" s="4"/>
      <c r="NT107" s="4"/>
      <c r="NU107" s="4"/>
      <c r="NV107" s="4"/>
      <c r="NW107" s="4"/>
      <c r="NX107" s="4"/>
      <c r="NY107" s="4"/>
      <c r="NZ107" s="4"/>
      <c r="OA107" s="4"/>
      <c r="OB107" s="4"/>
      <c r="OC107" s="4"/>
      <c r="OD107" s="4"/>
      <c r="OE107" s="4"/>
      <c r="OF107" s="4"/>
      <c r="OG107" s="4"/>
      <c r="OH107" s="4"/>
      <c r="OI107" s="4"/>
    </row>
    <row r="108" spans="1:399" outlineLevel="1">
      <c r="A108" s="116"/>
      <c r="B108" s="116"/>
      <c r="C108" s="116">
        <v>2</v>
      </c>
      <c r="D108" s="3" t="s">
        <v>1262</v>
      </c>
      <c r="E108" s="183"/>
      <c r="F108" s="183" t="s">
        <v>1199</v>
      </c>
      <c r="G108" s="183"/>
      <c r="H108" s="183"/>
      <c r="I108" s="183"/>
      <c r="J108" s="183"/>
      <c r="K108" s="183"/>
      <c r="L108" s="183"/>
      <c r="M108" s="184"/>
      <c r="N108" s="184"/>
      <c r="O108" s="185"/>
      <c r="P108" s="186">
        <v>0</v>
      </c>
      <c r="Q108" s="186">
        <v>0</v>
      </c>
      <c r="R108" s="187">
        <v>0</v>
      </c>
      <c r="S108" s="187">
        <v>0</v>
      </c>
      <c r="T108" s="184"/>
      <c r="U108" s="184"/>
      <c r="V108" s="188">
        <v>0</v>
      </c>
      <c r="W108" s="189">
        <v>0</v>
      </c>
      <c r="X108" s="190"/>
      <c r="Y108" s="185" t="s">
        <v>1181</v>
      </c>
      <c r="Z108" s="191"/>
      <c r="AA108" s="97">
        <v>0</v>
      </c>
      <c r="AB108" s="192">
        <v>0</v>
      </c>
      <c r="AC108" s="123"/>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c r="DW108" s="4"/>
      <c r="DX108" s="4"/>
      <c r="DY108" s="4"/>
      <c r="DZ108" s="4"/>
      <c r="EA108" s="4"/>
      <c r="EB108" s="4"/>
      <c r="EC108" s="4"/>
      <c r="ED108" s="4"/>
      <c r="EE108" s="4"/>
      <c r="EF108" s="4"/>
      <c r="EG108" s="4"/>
      <c r="EH108" s="4"/>
      <c r="EI108" s="4"/>
      <c r="EJ108" s="4"/>
      <c r="EK108" s="4"/>
      <c r="EL108" s="4"/>
      <c r="EM108" s="4"/>
      <c r="EN108" s="4"/>
      <c r="EO108" s="4"/>
      <c r="EP108" s="4"/>
      <c r="EQ108" s="4"/>
      <c r="ER108" s="4"/>
      <c r="ES108" s="4"/>
      <c r="ET108" s="4"/>
      <c r="EU108" s="4"/>
      <c r="EV108" s="4"/>
      <c r="EW108" s="4"/>
      <c r="EX108" s="4"/>
      <c r="EY108" s="4"/>
      <c r="EZ108" s="4"/>
      <c r="FA108" s="4"/>
      <c r="FB108" s="4"/>
      <c r="FC108" s="4"/>
      <c r="FD108" s="4"/>
      <c r="FE108" s="4"/>
      <c r="FF108" s="4"/>
      <c r="FG108" s="4"/>
      <c r="FH108" s="4"/>
      <c r="FI108" s="4"/>
      <c r="FJ108" s="4"/>
      <c r="FK108" s="4"/>
      <c r="FL108" s="4"/>
      <c r="FM108" s="4"/>
      <c r="FN108" s="4"/>
      <c r="FO108" s="4"/>
      <c r="FP108" s="4"/>
      <c r="FQ108" s="4"/>
      <c r="FR108" s="4"/>
      <c r="FS108" s="4"/>
      <c r="FT108" s="4"/>
      <c r="FU108" s="4"/>
      <c r="FV108" s="4"/>
      <c r="FW108" s="4"/>
      <c r="FX108" s="4"/>
      <c r="FY108" s="4"/>
      <c r="FZ108" s="4"/>
      <c r="GA108" s="4"/>
      <c r="GB108" s="4"/>
      <c r="GC108" s="4"/>
      <c r="GD108" s="4"/>
      <c r="GE108" s="4"/>
      <c r="GF108" s="4"/>
      <c r="GG108" s="4"/>
      <c r="GH108" s="4"/>
      <c r="GI108" s="4"/>
      <c r="GJ108" s="4"/>
      <c r="GK108" s="4"/>
      <c r="GL108" s="4"/>
      <c r="GM108" s="4"/>
      <c r="GN108" s="4"/>
      <c r="GO108" s="4"/>
      <c r="GP108" s="4"/>
      <c r="GQ108" s="4"/>
      <c r="GR108" s="4"/>
      <c r="GS108" s="4"/>
      <c r="GT108" s="4"/>
      <c r="GU108" s="4"/>
      <c r="GV108" s="4"/>
      <c r="GW108" s="4"/>
      <c r="GX108" s="4"/>
      <c r="GY108" s="4"/>
      <c r="GZ108" s="4"/>
      <c r="HA108" s="4"/>
      <c r="HB108" s="4"/>
      <c r="HC108" s="4"/>
      <c r="HD108" s="4"/>
      <c r="HE108" s="4"/>
      <c r="HF108" s="4"/>
      <c r="HG108" s="4"/>
      <c r="HH108" s="4"/>
      <c r="HI108" s="4"/>
      <c r="HJ108" s="4"/>
      <c r="HK108" s="4"/>
      <c r="HL108" s="4"/>
      <c r="HM108" s="4"/>
      <c r="HN108" s="4"/>
      <c r="HO108" s="4"/>
      <c r="HP108" s="4"/>
      <c r="HQ108" s="4"/>
      <c r="HR108" s="4"/>
      <c r="HS108" s="4"/>
      <c r="HT108" s="4"/>
      <c r="HU108" s="4"/>
      <c r="HV108" s="4"/>
      <c r="HW108" s="4"/>
      <c r="HX108" s="4"/>
      <c r="HY108" s="4"/>
      <c r="HZ108" s="4"/>
      <c r="IA108" s="4"/>
      <c r="IB108" s="4"/>
      <c r="IC108" s="4"/>
      <c r="ID108" s="4"/>
      <c r="IE108" s="4"/>
      <c r="IF108" s="4"/>
      <c r="IG108" s="4"/>
      <c r="IH108" s="4"/>
      <c r="II108" s="4"/>
      <c r="IJ108" s="4"/>
      <c r="IK108" s="4"/>
      <c r="IL108" s="4"/>
      <c r="IM108" s="4"/>
      <c r="IN108" s="4"/>
      <c r="IO108" s="4"/>
      <c r="IP108" s="4"/>
      <c r="IQ108" s="4"/>
      <c r="IR108" s="4"/>
      <c r="IS108" s="4"/>
      <c r="IT108" s="4"/>
      <c r="IU108" s="4"/>
      <c r="IV108" s="4"/>
      <c r="IW108" s="4"/>
      <c r="IX108" s="4"/>
      <c r="IY108" s="4"/>
      <c r="IZ108" s="4"/>
      <c r="JA108" s="4"/>
      <c r="JB108" s="4"/>
      <c r="JC108" s="4"/>
      <c r="JD108" s="4"/>
      <c r="JE108" s="4"/>
      <c r="JF108" s="4"/>
      <c r="JG108" s="4"/>
      <c r="JH108" s="4"/>
      <c r="JI108" s="4"/>
      <c r="JJ108" s="4"/>
      <c r="JK108" s="4"/>
      <c r="JL108" s="4"/>
      <c r="JM108" s="4"/>
      <c r="JN108" s="4"/>
      <c r="JO108" s="4"/>
      <c r="JP108" s="4"/>
      <c r="JQ108" s="4"/>
      <c r="JR108" s="4"/>
      <c r="JS108" s="4"/>
      <c r="JT108" s="4"/>
      <c r="JU108" s="4"/>
      <c r="JV108" s="4"/>
      <c r="JW108" s="4"/>
      <c r="JX108" s="4"/>
      <c r="JY108" s="4"/>
      <c r="JZ108" s="4"/>
      <c r="KA108" s="4"/>
      <c r="KB108" s="4"/>
      <c r="KC108" s="4"/>
      <c r="KD108" s="4"/>
      <c r="KE108" s="4"/>
      <c r="KF108" s="4"/>
      <c r="KG108" s="4"/>
      <c r="KH108" s="4"/>
      <c r="KI108" s="4"/>
      <c r="KJ108" s="4"/>
      <c r="KK108" s="4"/>
      <c r="KL108" s="4"/>
      <c r="KM108" s="4"/>
      <c r="KN108" s="4"/>
      <c r="KO108" s="4"/>
      <c r="KP108" s="4"/>
      <c r="KQ108" s="4"/>
      <c r="KR108" s="4"/>
      <c r="KS108" s="4"/>
      <c r="KT108" s="4"/>
      <c r="KU108" s="4"/>
      <c r="KV108" s="4"/>
      <c r="KW108" s="4"/>
      <c r="KX108" s="4"/>
      <c r="KY108" s="4"/>
      <c r="KZ108" s="4"/>
      <c r="LA108" s="4"/>
      <c r="LB108" s="4"/>
      <c r="LC108" s="4"/>
      <c r="LD108" s="4"/>
      <c r="LE108" s="4"/>
      <c r="LF108" s="4"/>
      <c r="LG108" s="4"/>
      <c r="LH108" s="4"/>
      <c r="LI108" s="4"/>
      <c r="LJ108" s="4"/>
      <c r="LK108" s="4"/>
      <c r="LL108" s="4"/>
      <c r="LM108" s="4"/>
      <c r="LN108" s="4"/>
      <c r="LO108" s="4"/>
      <c r="LP108" s="4"/>
      <c r="LQ108" s="4"/>
      <c r="LR108" s="4"/>
      <c r="LS108" s="4"/>
      <c r="LT108" s="4"/>
      <c r="LU108" s="4"/>
      <c r="LV108" s="4"/>
      <c r="LW108" s="4"/>
      <c r="LX108" s="4"/>
      <c r="LY108" s="4"/>
      <c r="LZ108" s="4"/>
      <c r="MA108" s="4"/>
      <c r="MB108" s="4"/>
      <c r="MC108" s="4"/>
      <c r="MD108" s="4"/>
      <c r="ME108" s="4"/>
      <c r="MF108" s="4"/>
      <c r="MG108" s="4"/>
      <c r="MH108" s="4"/>
      <c r="MI108" s="4"/>
      <c r="MJ108" s="4"/>
      <c r="MK108" s="4"/>
      <c r="ML108" s="4"/>
      <c r="MM108" s="4"/>
      <c r="MN108" s="4"/>
      <c r="MO108" s="4"/>
      <c r="MP108" s="4"/>
      <c r="MQ108" s="4"/>
      <c r="MR108" s="4"/>
      <c r="MS108" s="4"/>
      <c r="MT108" s="4"/>
      <c r="MU108" s="4"/>
      <c r="MV108" s="4"/>
      <c r="MW108" s="4"/>
      <c r="MX108" s="4"/>
      <c r="MY108" s="4"/>
      <c r="MZ108" s="4"/>
      <c r="NA108" s="4"/>
      <c r="NB108" s="4"/>
      <c r="NC108" s="4"/>
      <c r="ND108" s="4"/>
      <c r="NE108" s="4"/>
      <c r="NF108" s="4"/>
      <c r="NG108" s="4"/>
      <c r="NH108" s="4"/>
      <c r="NI108" s="4"/>
      <c r="NJ108" s="4"/>
      <c r="NK108" s="4"/>
      <c r="NL108" s="4"/>
      <c r="NM108" s="4"/>
      <c r="NN108" s="4"/>
      <c r="NO108" s="4"/>
      <c r="NP108" s="4"/>
      <c r="NQ108" s="4"/>
      <c r="NR108" s="4"/>
      <c r="NS108" s="4"/>
      <c r="NT108" s="4"/>
      <c r="NU108" s="4"/>
      <c r="NV108" s="4"/>
      <c r="NW108" s="4"/>
      <c r="NX108" s="4"/>
      <c r="NY108" s="4"/>
      <c r="NZ108" s="4"/>
      <c r="OA108" s="4"/>
      <c r="OB108" s="4"/>
      <c r="OC108" s="4"/>
      <c r="OD108" s="4"/>
      <c r="OE108" s="4"/>
      <c r="OF108" s="4"/>
      <c r="OG108" s="4"/>
      <c r="OH108" s="4"/>
      <c r="OI108" s="4"/>
    </row>
    <row r="109" spans="1:399" outlineLevel="1">
      <c r="A109" s="116"/>
      <c r="B109" s="116"/>
      <c r="C109" s="116">
        <v>2</v>
      </c>
      <c r="D109" s="3" t="s">
        <v>1263</v>
      </c>
      <c r="E109" s="183"/>
      <c r="F109" s="183" t="s">
        <v>1182</v>
      </c>
      <c r="G109" s="183"/>
      <c r="H109" s="183"/>
      <c r="I109" s="183"/>
      <c r="J109" s="183"/>
      <c r="K109" s="183"/>
      <c r="L109" s="183"/>
      <c r="M109" s="184"/>
      <c r="N109" s="184"/>
      <c r="O109" s="185"/>
      <c r="P109" s="186">
        <v>0</v>
      </c>
      <c r="Q109" s="186">
        <v>0</v>
      </c>
      <c r="R109" s="187">
        <v>0</v>
      </c>
      <c r="S109" s="187">
        <v>0</v>
      </c>
      <c r="T109" s="184"/>
      <c r="U109" s="184"/>
      <c r="V109" s="188">
        <v>0</v>
      </c>
      <c r="W109" s="189">
        <v>0</v>
      </c>
      <c r="X109" s="190"/>
      <c r="Y109" s="185"/>
      <c r="Z109" s="191"/>
      <c r="AA109" s="97">
        <v>0</v>
      </c>
      <c r="AB109" s="192">
        <v>0</v>
      </c>
      <c r="AC109" s="123"/>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c r="DF109" s="4"/>
      <c r="DG109" s="4"/>
      <c r="DH109" s="4"/>
      <c r="DI109" s="4"/>
      <c r="DJ109" s="4"/>
      <c r="DK109" s="4"/>
      <c r="DL109" s="4"/>
      <c r="DM109" s="4"/>
      <c r="DN109" s="4"/>
      <c r="DO109" s="4"/>
      <c r="DP109" s="4"/>
      <c r="DQ109" s="4"/>
      <c r="DR109" s="4"/>
      <c r="DS109" s="4"/>
      <c r="DT109" s="4"/>
      <c r="DU109" s="4"/>
      <c r="DV109" s="4"/>
      <c r="DW109" s="4"/>
      <c r="DX109" s="4"/>
      <c r="DY109" s="4"/>
      <c r="DZ109" s="4"/>
      <c r="EA109" s="4"/>
      <c r="EB109" s="4"/>
      <c r="EC109" s="4"/>
      <c r="ED109" s="4"/>
      <c r="EE109" s="4"/>
      <c r="EF109" s="4"/>
      <c r="EG109" s="4"/>
      <c r="EH109" s="4"/>
      <c r="EI109" s="4"/>
      <c r="EJ109" s="4"/>
      <c r="EK109" s="4"/>
      <c r="EL109" s="4"/>
      <c r="EM109" s="4"/>
      <c r="EN109" s="4"/>
      <c r="EO109" s="4"/>
      <c r="EP109" s="4"/>
      <c r="EQ109" s="4"/>
      <c r="ER109" s="4"/>
      <c r="ES109" s="4"/>
      <c r="ET109" s="4"/>
      <c r="EU109" s="4"/>
      <c r="EV109" s="4"/>
      <c r="EW109" s="4"/>
      <c r="EX109" s="4"/>
      <c r="EY109" s="4"/>
      <c r="EZ109" s="4"/>
      <c r="FA109" s="4"/>
      <c r="FB109" s="4"/>
      <c r="FC109" s="4"/>
      <c r="FD109" s="4"/>
      <c r="FE109" s="4"/>
      <c r="FF109" s="4"/>
      <c r="FG109" s="4"/>
      <c r="FH109" s="4"/>
      <c r="FI109" s="4"/>
      <c r="FJ109" s="4"/>
      <c r="FK109" s="4"/>
      <c r="FL109" s="4"/>
      <c r="FM109" s="4"/>
      <c r="FN109" s="4"/>
      <c r="FO109" s="4"/>
      <c r="FP109" s="4"/>
      <c r="FQ109" s="4"/>
      <c r="FR109" s="4"/>
      <c r="FS109" s="4"/>
      <c r="FT109" s="4"/>
      <c r="FU109" s="4"/>
      <c r="FV109" s="4"/>
      <c r="FW109" s="4"/>
      <c r="FX109" s="4"/>
      <c r="FY109" s="4"/>
      <c r="FZ109" s="4"/>
      <c r="GA109" s="4"/>
      <c r="GB109" s="4"/>
      <c r="GC109" s="4"/>
      <c r="GD109" s="4"/>
      <c r="GE109" s="4"/>
      <c r="GF109" s="4"/>
      <c r="GG109" s="4"/>
      <c r="GH109" s="4"/>
      <c r="GI109" s="4"/>
      <c r="GJ109" s="4"/>
      <c r="GK109" s="4"/>
      <c r="GL109" s="4"/>
      <c r="GM109" s="4"/>
      <c r="GN109" s="4"/>
      <c r="GO109" s="4"/>
      <c r="GP109" s="4"/>
      <c r="GQ109" s="4"/>
      <c r="GR109" s="4"/>
      <c r="GS109" s="4"/>
      <c r="GT109" s="4"/>
      <c r="GU109" s="4"/>
      <c r="GV109" s="4"/>
      <c r="GW109" s="4"/>
      <c r="GX109" s="4"/>
      <c r="GY109" s="4"/>
      <c r="GZ109" s="4"/>
      <c r="HA109" s="4"/>
      <c r="HB109" s="4"/>
      <c r="HC109" s="4"/>
      <c r="HD109" s="4"/>
      <c r="HE109" s="4"/>
      <c r="HF109" s="4"/>
      <c r="HG109" s="4"/>
      <c r="HH109" s="4"/>
      <c r="HI109" s="4"/>
      <c r="HJ109" s="4"/>
      <c r="HK109" s="4"/>
      <c r="HL109" s="4"/>
      <c r="HM109" s="4"/>
      <c r="HN109" s="4"/>
      <c r="HO109" s="4"/>
      <c r="HP109" s="4"/>
      <c r="HQ109" s="4"/>
      <c r="HR109" s="4"/>
      <c r="HS109" s="4"/>
      <c r="HT109" s="4"/>
      <c r="HU109" s="4"/>
      <c r="HV109" s="4"/>
      <c r="HW109" s="4"/>
      <c r="HX109" s="4"/>
      <c r="HY109" s="4"/>
      <c r="HZ109" s="4"/>
      <c r="IA109" s="4"/>
      <c r="IB109" s="4"/>
      <c r="IC109" s="4"/>
      <c r="ID109" s="4"/>
      <c r="IE109" s="4"/>
      <c r="IF109" s="4"/>
      <c r="IG109" s="4"/>
      <c r="IH109" s="4"/>
      <c r="II109" s="4"/>
      <c r="IJ109" s="4"/>
      <c r="IK109" s="4"/>
      <c r="IL109" s="4"/>
      <c r="IM109" s="4"/>
      <c r="IN109" s="4"/>
      <c r="IO109" s="4"/>
      <c r="IP109" s="4"/>
      <c r="IQ109" s="4"/>
      <c r="IR109" s="4"/>
      <c r="IS109" s="4"/>
      <c r="IT109" s="4"/>
      <c r="IU109" s="4"/>
      <c r="IV109" s="4"/>
      <c r="IW109" s="4"/>
      <c r="IX109" s="4"/>
      <c r="IY109" s="4"/>
      <c r="IZ109" s="4"/>
      <c r="JA109" s="4"/>
      <c r="JB109" s="4"/>
      <c r="JC109" s="4"/>
      <c r="JD109" s="4"/>
      <c r="JE109" s="4"/>
      <c r="JF109" s="4"/>
      <c r="JG109" s="4"/>
      <c r="JH109" s="4"/>
      <c r="JI109" s="4"/>
      <c r="JJ109" s="4"/>
      <c r="JK109" s="4"/>
      <c r="JL109" s="4"/>
      <c r="JM109" s="4"/>
      <c r="JN109" s="4"/>
      <c r="JO109" s="4"/>
      <c r="JP109" s="4"/>
      <c r="JQ109" s="4"/>
      <c r="JR109" s="4"/>
      <c r="JS109" s="4"/>
      <c r="JT109" s="4"/>
      <c r="JU109" s="4"/>
      <c r="JV109" s="4"/>
      <c r="JW109" s="4"/>
      <c r="JX109" s="4"/>
      <c r="JY109" s="4"/>
      <c r="JZ109" s="4"/>
      <c r="KA109" s="4"/>
      <c r="KB109" s="4"/>
      <c r="KC109" s="4"/>
      <c r="KD109" s="4"/>
      <c r="KE109" s="4"/>
      <c r="KF109" s="4"/>
      <c r="KG109" s="4"/>
      <c r="KH109" s="4"/>
      <c r="KI109" s="4"/>
      <c r="KJ109" s="4"/>
      <c r="KK109" s="4"/>
      <c r="KL109" s="4"/>
      <c r="KM109" s="4"/>
      <c r="KN109" s="4"/>
      <c r="KO109" s="4"/>
      <c r="KP109" s="4"/>
      <c r="KQ109" s="4"/>
      <c r="KR109" s="4"/>
      <c r="KS109" s="4"/>
      <c r="KT109" s="4"/>
      <c r="KU109" s="4"/>
      <c r="KV109" s="4"/>
      <c r="KW109" s="4"/>
      <c r="KX109" s="4"/>
      <c r="KY109" s="4"/>
      <c r="KZ109" s="4"/>
      <c r="LA109" s="4"/>
      <c r="LB109" s="4"/>
      <c r="LC109" s="4"/>
      <c r="LD109" s="4"/>
      <c r="LE109" s="4"/>
      <c r="LF109" s="4"/>
      <c r="LG109" s="4"/>
      <c r="LH109" s="4"/>
      <c r="LI109" s="4"/>
      <c r="LJ109" s="4"/>
      <c r="LK109" s="4"/>
      <c r="LL109" s="4"/>
      <c r="LM109" s="4"/>
      <c r="LN109" s="4"/>
      <c r="LO109" s="4"/>
      <c r="LP109" s="4"/>
      <c r="LQ109" s="4"/>
      <c r="LR109" s="4"/>
      <c r="LS109" s="4"/>
      <c r="LT109" s="4"/>
      <c r="LU109" s="4"/>
      <c r="LV109" s="4"/>
      <c r="LW109" s="4"/>
      <c r="LX109" s="4"/>
      <c r="LY109" s="4"/>
      <c r="LZ109" s="4"/>
      <c r="MA109" s="4"/>
      <c r="MB109" s="4"/>
      <c r="MC109" s="4"/>
      <c r="MD109" s="4"/>
      <c r="ME109" s="4"/>
      <c r="MF109" s="4"/>
      <c r="MG109" s="4"/>
      <c r="MH109" s="4"/>
      <c r="MI109" s="4"/>
      <c r="MJ109" s="4"/>
      <c r="MK109" s="4"/>
      <c r="ML109" s="4"/>
      <c r="MM109" s="4"/>
      <c r="MN109" s="4"/>
      <c r="MO109" s="4"/>
      <c r="MP109" s="4"/>
      <c r="MQ109" s="4"/>
      <c r="MR109" s="4"/>
      <c r="MS109" s="4"/>
      <c r="MT109" s="4"/>
      <c r="MU109" s="4"/>
      <c r="MV109" s="4"/>
      <c r="MW109" s="4"/>
      <c r="MX109" s="4"/>
      <c r="MY109" s="4"/>
      <c r="MZ109" s="4"/>
      <c r="NA109" s="4"/>
      <c r="NB109" s="4"/>
      <c r="NC109" s="4"/>
      <c r="ND109" s="4"/>
      <c r="NE109" s="4"/>
      <c r="NF109" s="4"/>
      <c r="NG109" s="4"/>
      <c r="NH109" s="4"/>
      <c r="NI109" s="4"/>
      <c r="NJ109" s="4"/>
      <c r="NK109" s="4"/>
      <c r="NL109" s="4"/>
      <c r="NM109" s="4"/>
      <c r="NN109" s="4"/>
      <c r="NO109" s="4"/>
      <c r="NP109" s="4"/>
      <c r="NQ109" s="4"/>
      <c r="NR109" s="4"/>
      <c r="NS109" s="4"/>
      <c r="NT109" s="4"/>
      <c r="NU109" s="4"/>
      <c r="NV109" s="4"/>
      <c r="NW109" s="4"/>
      <c r="NX109" s="4"/>
      <c r="NY109" s="4"/>
      <c r="NZ109" s="4"/>
      <c r="OA109" s="4"/>
      <c r="OB109" s="4"/>
      <c r="OC109" s="4"/>
      <c r="OD109" s="4"/>
      <c r="OE109" s="4"/>
      <c r="OF109" s="4"/>
      <c r="OG109" s="4"/>
      <c r="OH109" s="4"/>
      <c r="OI109" s="4"/>
    </row>
    <row r="110" spans="1:399" outlineLevel="1">
      <c r="A110" s="116"/>
      <c r="B110" s="116"/>
      <c r="C110" s="116">
        <v>2</v>
      </c>
      <c r="D110" s="3" t="s">
        <v>1264</v>
      </c>
      <c r="E110" s="183"/>
      <c r="F110" s="183" t="s">
        <v>1183</v>
      </c>
      <c r="G110" s="183"/>
      <c r="H110" s="183"/>
      <c r="I110" s="183"/>
      <c r="J110" s="183"/>
      <c r="K110" s="183"/>
      <c r="L110" s="183"/>
      <c r="M110" s="184"/>
      <c r="N110" s="184"/>
      <c r="O110" s="185"/>
      <c r="P110" s="186">
        <v>0</v>
      </c>
      <c r="Q110" s="186">
        <v>0</v>
      </c>
      <c r="R110" s="187">
        <v>1</v>
      </c>
      <c r="S110" s="187">
        <v>0</v>
      </c>
      <c r="T110" s="184"/>
      <c r="U110" s="184"/>
      <c r="V110" s="188">
        <v>0</v>
      </c>
      <c r="W110" s="189">
        <v>0</v>
      </c>
      <c r="X110" s="190">
        <v>1</v>
      </c>
      <c r="Y110" s="185"/>
      <c r="Z110" s="191"/>
      <c r="AA110" s="97">
        <v>0</v>
      </c>
      <c r="AB110" s="192">
        <v>0</v>
      </c>
      <c r="AC110" s="123"/>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c r="CX110" s="4"/>
      <c r="CY110" s="4"/>
      <c r="CZ110" s="4"/>
      <c r="DA110" s="4"/>
      <c r="DB110" s="4"/>
      <c r="DC110" s="4"/>
      <c r="DD110" s="4"/>
      <c r="DE110" s="4"/>
      <c r="DF110" s="4"/>
      <c r="DG110" s="4"/>
      <c r="DH110" s="4"/>
      <c r="DI110" s="4"/>
      <c r="DJ110" s="4"/>
      <c r="DK110" s="4"/>
      <c r="DL110" s="4"/>
      <c r="DM110" s="4"/>
      <c r="DN110" s="4"/>
      <c r="DO110" s="4"/>
      <c r="DP110" s="4"/>
      <c r="DQ110" s="4"/>
      <c r="DR110" s="4"/>
      <c r="DS110" s="4"/>
      <c r="DT110" s="4"/>
      <c r="DU110" s="4"/>
      <c r="DV110" s="4"/>
      <c r="DW110" s="4"/>
      <c r="DX110" s="4"/>
      <c r="DY110" s="4"/>
      <c r="DZ110" s="4"/>
      <c r="EA110" s="4"/>
      <c r="EB110" s="4"/>
      <c r="EC110" s="4"/>
      <c r="ED110" s="4"/>
      <c r="EE110" s="4"/>
      <c r="EF110" s="4"/>
      <c r="EG110" s="4"/>
      <c r="EH110" s="4"/>
      <c r="EI110" s="4"/>
      <c r="EJ110" s="4"/>
      <c r="EK110" s="4"/>
      <c r="EL110" s="4"/>
      <c r="EM110" s="4"/>
      <c r="EN110" s="4"/>
      <c r="EO110" s="4"/>
      <c r="EP110" s="4"/>
      <c r="EQ110" s="4"/>
      <c r="ER110" s="4"/>
      <c r="ES110" s="4"/>
      <c r="ET110" s="4"/>
      <c r="EU110" s="4"/>
      <c r="EV110" s="4"/>
      <c r="EW110" s="4"/>
      <c r="EX110" s="4"/>
      <c r="EY110" s="4"/>
      <c r="EZ110" s="4"/>
      <c r="FA110" s="4"/>
      <c r="FB110" s="4"/>
      <c r="FC110" s="4"/>
      <c r="FD110" s="4"/>
      <c r="FE110" s="4"/>
      <c r="FF110" s="4"/>
      <c r="FG110" s="4"/>
      <c r="FH110" s="4"/>
      <c r="FI110" s="4"/>
      <c r="FJ110" s="4"/>
      <c r="FK110" s="4"/>
      <c r="FL110" s="4"/>
      <c r="FM110" s="4"/>
      <c r="FN110" s="4"/>
      <c r="FO110" s="4"/>
      <c r="FP110" s="4"/>
      <c r="FQ110" s="4"/>
      <c r="FR110" s="4"/>
      <c r="FS110" s="4"/>
      <c r="FT110" s="4"/>
      <c r="FU110" s="4"/>
      <c r="FV110" s="4"/>
      <c r="FW110" s="4"/>
      <c r="FX110" s="4"/>
      <c r="FY110" s="4"/>
      <c r="FZ110" s="4"/>
      <c r="GA110" s="4"/>
      <c r="GB110" s="4"/>
      <c r="GC110" s="4"/>
      <c r="GD110" s="4"/>
      <c r="GE110" s="4"/>
      <c r="GF110" s="4"/>
      <c r="GG110" s="4"/>
      <c r="GH110" s="4"/>
      <c r="GI110" s="4"/>
      <c r="GJ110" s="4"/>
      <c r="GK110" s="4"/>
      <c r="GL110" s="4"/>
      <c r="GM110" s="4"/>
      <c r="GN110" s="4"/>
      <c r="GO110" s="4"/>
      <c r="GP110" s="4"/>
      <c r="GQ110" s="4"/>
      <c r="GR110" s="4"/>
      <c r="GS110" s="4"/>
      <c r="GT110" s="4"/>
      <c r="GU110" s="4"/>
      <c r="GV110" s="4"/>
      <c r="GW110" s="4"/>
      <c r="GX110" s="4"/>
      <c r="GY110" s="4"/>
      <c r="GZ110" s="4"/>
      <c r="HA110" s="4"/>
      <c r="HB110" s="4"/>
      <c r="HC110" s="4"/>
      <c r="HD110" s="4"/>
      <c r="HE110" s="4"/>
      <c r="HF110" s="4"/>
      <c r="HG110" s="4"/>
      <c r="HH110" s="4"/>
      <c r="HI110" s="4"/>
      <c r="HJ110" s="4"/>
      <c r="HK110" s="4"/>
      <c r="HL110" s="4"/>
      <c r="HM110" s="4"/>
      <c r="HN110" s="4"/>
      <c r="HO110" s="4"/>
      <c r="HP110" s="4"/>
      <c r="HQ110" s="4"/>
      <c r="HR110" s="4"/>
      <c r="HS110" s="4"/>
      <c r="HT110" s="4"/>
      <c r="HU110" s="4"/>
      <c r="HV110" s="4"/>
      <c r="HW110" s="4"/>
      <c r="HX110" s="4"/>
      <c r="HY110" s="4"/>
      <c r="HZ110" s="4"/>
      <c r="IA110" s="4"/>
      <c r="IB110" s="4"/>
      <c r="IC110" s="4"/>
      <c r="ID110" s="4"/>
      <c r="IE110" s="4"/>
      <c r="IF110" s="4"/>
      <c r="IG110" s="4"/>
      <c r="IH110" s="4"/>
      <c r="II110" s="4"/>
      <c r="IJ110" s="4"/>
      <c r="IK110" s="4"/>
      <c r="IL110" s="4"/>
      <c r="IM110" s="4"/>
      <c r="IN110" s="4"/>
      <c r="IO110" s="4"/>
      <c r="IP110" s="4"/>
      <c r="IQ110" s="4"/>
      <c r="IR110" s="4"/>
      <c r="IS110" s="4"/>
      <c r="IT110" s="4"/>
      <c r="IU110" s="4"/>
      <c r="IV110" s="4"/>
      <c r="IW110" s="4"/>
      <c r="IX110" s="4"/>
      <c r="IY110" s="4"/>
      <c r="IZ110" s="4"/>
      <c r="JA110" s="4"/>
      <c r="JB110" s="4"/>
      <c r="JC110" s="4"/>
      <c r="JD110" s="4"/>
      <c r="JE110" s="4"/>
      <c r="JF110" s="4"/>
      <c r="JG110" s="4"/>
      <c r="JH110" s="4"/>
      <c r="JI110" s="4"/>
      <c r="JJ110" s="4"/>
      <c r="JK110" s="4"/>
      <c r="JL110" s="4"/>
      <c r="JM110" s="4"/>
      <c r="JN110" s="4"/>
      <c r="JO110" s="4"/>
      <c r="JP110" s="4"/>
      <c r="JQ110" s="4"/>
      <c r="JR110" s="4"/>
      <c r="JS110" s="4"/>
      <c r="JT110" s="4"/>
      <c r="JU110" s="4"/>
      <c r="JV110" s="4"/>
      <c r="JW110" s="4"/>
      <c r="JX110" s="4"/>
      <c r="JY110" s="4"/>
      <c r="JZ110" s="4"/>
      <c r="KA110" s="4"/>
      <c r="KB110" s="4"/>
      <c r="KC110" s="4"/>
      <c r="KD110" s="4"/>
      <c r="KE110" s="4"/>
      <c r="KF110" s="4"/>
      <c r="KG110" s="4"/>
      <c r="KH110" s="4"/>
      <c r="KI110" s="4"/>
      <c r="KJ110" s="4"/>
      <c r="KK110" s="4"/>
      <c r="KL110" s="4"/>
      <c r="KM110" s="4"/>
      <c r="KN110" s="4"/>
      <c r="KO110" s="4"/>
      <c r="KP110" s="4"/>
      <c r="KQ110" s="4"/>
      <c r="KR110" s="4"/>
      <c r="KS110" s="4"/>
      <c r="KT110" s="4"/>
      <c r="KU110" s="4"/>
      <c r="KV110" s="4"/>
      <c r="KW110" s="4"/>
      <c r="KX110" s="4"/>
      <c r="KY110" s="4"/>
      <c r="KZ110" s="4"/>
      <c r="LA110" s="4"/>
      <c r="LB110" s="4"/>
      <c r="LC110" s="4"/>
      <c r="LD110" s="4"/>
      <c r="LE110" s="4"/>
      <c r="LF110" s="4"/>
      <c r="LG110" s="4"/>
      <c r="LH110" s="4"/>
      <c r="LI110" s="4"/>
      <c r="LJ110" s="4"/>
      <c r="LK110" s="4"/>
      <c r="LL110" s="4"/>
      <c r="LM110" s="4"/>
      <c r="LN110" s="4"/>
      <c r="LO110" s="4"/>
      <c r="LP110" s="4"/>
      <c r="LQ110" s="4"/>
      <c r="LR110" s="4"/>
      <c r="LS110" s="4"/>
      <c r="LT110" s="4"/>
      <c r="LU110" s="4"/>
      <c r="LV110" s="4"/>
      <c r="LW110" s="4"/>
      <c r="LX110" s="4"/>
      <c r="LY110" s="4"/>
      <c r="LZ110" s="4"/>
      <c r="MA110" s="4"/>
      <c r="MB110" s="4"/>
      <c r="MC110" s="4"/>
      <c r="MD110" s="4"/>
      <c r="ME110" s="4"/>
      <c r="MF110" s="4"/>
      <c r="MG110" s="4"/>
      <c r="MH110" s="4"/>
      <c r="MI110" s="4"/>
      <c r="MJ110" s="4"/>
      <c r="MK110" s="4"/>
      <c r="ML110" s="4"/>
      <c r="MM110" s="4"/>
      <c r="MN110" s="4"/>
      <c r="MO110" s="4"/>
      <c r="MP110" s="4"/>
      <c r="MQ110" s="4"/>
      <c r="MR110" s="4"/>
      <c r="MS110" s="4"/>
      <c r="MT110" s="4"/>
      <c r="MU110" s="4"/>
      <c r="MV110" s="4"/>
      <c r="MW110" s="4"/>
      <c r="MX110" s="4"/>
      <c r="MY110" s="4"/>
      <c r="MZ110" s="4"/>
      <c r="NA110" s="4"/>
      <c r="NB110" s="4"/>
      <c r="NC110" s="4"/>
      <c r="ND110" s="4"/>
      <c r="NE110" s="4"/>
      <c r="NF110" s="4"/>
      <c r="NG110" s="4"/>
      <c r="NH110" s="4"/>
      <c r="NI110" s="4"/>
      <c r="NJ110" s="4"/>
      <c r="NK110" s="4"/>
      <c r="NL110" s="4"/>
      <c r="NM110" s="4"/>
      <c r="NN110" s="4"/>
      <c r="NO110" s="4"/>
      <c r="NP110" s="4"/>
      <c r="NQ110" s="4"/>
      <c r="NR110" s="4"/>
      <c r="NS110" s="4"/>
      <c r="NT110" s="4"/>
      <c r="NU110" s="4"/>
      <c r="NV110" s="4"/>
      <c r="NW110" s="4"/>
      <c r="NX110" s="4"/>
      <c r="NY110" s="4"/>
      <c r="NZ110" s="4"/>
      <c r="OA110" s="4"/>
      <c r="OB110" s="4"/>
      <c r="OC110" s="4"/>
      <c r="OD110" s="4"/>
      <c r="OE110" s="4"/>
      <c r="OF110" s="4"/>
      <c r="OG110" s="4"/>
      <c r="OH110" s="4"/>
      <c r="OI110" s="4"/>
    </row>
    <row r="111" spans="1:399" outlineLevel="1">
      <c r="A111" s="116"/>
      <c r="B111" s="116"/>
      <c r="C111" s="116">
        <v>0</v>
      </c>
      <c r="D111" s="3"/>
      <c r="E111" s="183"/>
      <c r="F111" s="183"/>
      <c r="G111" s="183"/>
      <c r="H111" s="183"/>
      <c r="I111" s="183"/>
      <c r="J111" s="183"/>
      <c r="K111" s="183"/>
      <c r="L111" s="183"/>
      <c r="M111" s="184"/>
      <c r="N111" s="184"/>
      <c r="O111" s="185"/>
      <c r="P111" s="186"/>
      <c r="Q111" s="186"/>
      <c r="R111" s="187"/>
      <c r="S111" s="187"/>
      <c r="T111" s="184"/>
      <c r="U111" s="184"/>
      <c r="V111" s="188"/>
      <c r="W111" s="189"/>
      <c r="X111" s="190"/>
      <c r="Y111" s="185"/>
      <c r="Z111" s="191"/>
      <c r="AA111" s="97"/>
      <c r="AB111" s="192"/>
      <c r="AC111" s="123"/>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c r="CX111" s="4"/>
      <c r="CY111" s="4"/>
      <c r="CZ111" s="4"/>
      <c r="DA111" s="4"/>
      <c r="DB111" s="4"/>
      <c r="DC111" s="4"/>
      <c r="DD111" s="4"/>
      <c r="DE111" s="4"/>
      <c r="DF111" s="4"/>
      <c r="DG111" s="4"/>
      <c r="DH111" s="4"/>
      <c r="DI111" s="4"/>
      <c r="DJ111" s="4"/>
      <c r="DK111" s="4"/>
      <c r="DL111" s="4"/>
      <c r="DM111" s="4"/>
      <c r="DN111" s="4"/>
      <c r="DO111" s="4"/>
      <c r="DP111" s="4"/>
      <c r="DQ111" s="4"/>
      <c r="DR111" s="4"/>
      <c r="DS111" s="4"/>
      <c r="DT111" s="4"/>
      <c r="DU111" s="4"/>
      <c r="DV111" s="4"/>
      <c r="DW111" s="4"/>
      <c r="DX111" s="4"/>
      <c r="DY111" s="4"/>
      <c r="DZ111" s="4"/>
      <c r="EA111" s="4"/>
      <c r="EB111" s="4"/>
      <c r="EC111" s="4"/>
      <c r="ED111" s="4"/>
      <c r="EE111" s="4"/>
      <c r="EF111" s="4"/>
      <c r="EG111" s="4"/>
      <c r="EH111" s="4"/>
      <c r="EI111" s="4"/>
      <c r="EJ111" s="4"/>
      <c r="EK111" s="4"/>
      <c r="EL111" s="4"/>
      <c r="EM111" s="4"/>
      <c r="EN111" s="4"/>
      <c r="EO111" s="4"/>
      <c r="EP111" s="4"/>
      <c r="EQ111" s="4"/>
      <c r="ER111" s="4"/>
      <c r="ES111" s="4"/>
      <c r="ET111" s="4"/>
      <c r="EU111" s="4"/>
      <c r="EV111" s="4"/>
      <c r="EW111" s="4"/>
      <c r="EX111" s="4"/>
      <c r="EY111" s="4"/>
      <c r="EZ111" s="4"/>
      <c r="FA111" s="4"/>
      <c r="FB111" s="4"/>
      <c r="FC111" s="4"/>
      <c r="FD111" s="4"/>
      <c r="FE111" s="4"/>
      <c r="FF111" s="4"/>
      <c r="FG111" s="4"/>
      <c r="FH111" s="4"/>
      <c r="FI111" s="4"/>
      <c r="FJ111" s="4"/>
      <c r="FK111" s="4"/>
      <c r="FL111" s="4"/>
      <c r="FM111" s="4"/>
      <c r="FN111" s="4"/>
      <c r="FO111" s="4"/>
      <c r="FP111" s="4"/>
      <c r="FQ111" s="4"/>
      <c r="FR111" s="4"/>
      <c r="FS111" s="4"/>
      <c r="FT111" s="4"/>
      <c r="FU111" s="4"/>
      <c r="FV111" s="4"/>
      <c r="FW111" s="4"/>
      <c r="FX111" s="4"/>
      <c r="FY111" s="4"/>
      <c r="FZ111" s="4"/>
      <c r="GA111" s="4"/>
      <c r="GB111" s="4"/>
      <c r="GC111" s="4"/>
      <c r="GD111" s="4"/>
      <c r="GE111" s="4"/>
      <c r="GF111" s="4"/>
      <c r="GG111" s="4"/>
      <c r="GH111" s="4"/>
      <c r="GI111" s="4"/>
      <c r="GJ111" s="4"/>
      <c r="GK111" s="4"/>
      <c r="GL111" s="4"/>
      <c r="GM111" s="4"/>
      <c r="GN111" s="4"/>
      <c r="GO111" s="4"/>
      <c r="GP111" s="4"/>
      <c r="GQ111" s="4"/>
      <c r="GR111" s="4"/>
      <c r="GS111" s="4"/>
      <c r="GT111" s="4"/>
      <c r="GU111" s="4"/>
      <c r="GV111" s="4"/>
      <c r="GW111" s="4"/>
      <c r="GX111" s="4"/>
      <c r="GY111" s="4"/>
      <c r="GZ111" s="4"/>
      <c r="HA111" s="4"/>
      <c r="HB111" s="4"/>
      <c r="HC111" s="4"/>
      <c r="HD111" s="4"/>
      <c r="HE111" s="4"/>
      <c r="HF111" s="4"/>
      <c r="HG111" s="4"/>
      <c r="HH111" s="4"/>
      <c r="HI111" s="4"/>
      <c r="HJ111" s="4"/>
      <c r="HK111" s="4"/>
      <c r="HL111" s="4"/>
      <c r="HM111" s="4"/>
      <c r="HN111" s="4"/>
      <c r="HO111" s="4"/>
      <c r="HP111" s="4"/>
      <c r="HQ111" s="4"/>
      <c r="HR111" s="4"/>
      <c r="HS111" s="4"/>
      <c r="HT111" s="4"/>
      <c r="HU111" s="4"/>
      <c r="HV111" s="4"/>
      <c r="HW111" s="4"/>
      <c r="HX111" s="4"/>
      <c r="HY111" s="4"/>
      <c r="HZ111" s="4"/>
      <c r="IA111" s="4"/>
      <c r="IB111" s="4"/>
      <c r="IC111" s="4"/>
      <c r="ID111" s="4"/>
      <c r="IE111" s="4"/>
      <c r="IF111" s="4"/>
      <c r="IG111" s="4"/>
      <c r="IH111" s="4"/>
      <c r="II111" s="4"/>
      <c r="IJ111" s="4"/>
      <c r="IK111" s="4"/>
      <c r="IL111" s="4"/>
      <c r="IM111" s="4"/>
      <c r="IN111" s="4"/>
      <c r="IO111" s="4"/>
      <c r="IP111" s="4"/>
      <c r="IQ111" s="4"/>
      <c r="IR111" s="4"/>
      <c r="IS111" s="4"/>
      <c r="IT111" s="4"/>
      <c r="IU111" s="4"/>
      <c r="IV111" s="4"/>
      <c r="IW111" s="4"/>
      <c r="IX111" s="4"/>
      <c r="IY111" s="4"/>
      <c r="IZ111" s="4"/>
      <c r="JA111" s="4"/>
      <c r="JB111" s="4"/>
      <c r="JC111" s="4"/>
      <c r="JD111" s="4"/>
      <c r="JE111" s="4"/>
      <c r="JF111" s="4"/>
      <c r="JG111" s="4"/>
      <c r="JH111" s="4"/>
      <c r="JI111" s="4"/>
      <c r="JJ111" s="4"/>
      <c r="JK111" s="4"/>
      <c r="JL111" s="4"/>
      <c r="JM111" s="4"/>
      <c r="JN111" s="4"/>
      <c r="JO111" s="4"/>
      <c r="JP111" s="4"/>
      <c r="JQ111" s="4"/>
      <c r="JR111" s="4"/>
      <c r="JS111" s="4"/>
      <c r="JT111" s="4"/>
      <c r="JU111" s="4"/>
      <c r="JV111" s="4"/>
      <c r="JW111" s="4"/>
      <c r="JX111" s="4"/>
      <c r="JY111" s="4"/>
      <c r="JZ111" s="4"/>
      <c r="KA111" s="4"/>
      <c r="KB111" s="4"/>
      <c r="KC111" s="4"/>
      <c r="KD111" s="4"/>
      <c r="KE111" s="4"/>
      <c r="KF111" s="4"/>
      <c r="KG111" s="4"/>
      <c r="KH111" s="4"/>
      <c r="KI111" s="4"/>
      <c r="KJ111" s="4"/>
      <c r="KK111" s="4"/>
      <c r="KL111" s="4"/>
      <c r="KM111" s="4"/>
      <c r="KN111" s="4"/>
      <c r="KO111" s="4"/>
      <c r="KP111" s="4"/>
      <c r="KQ111" s="4"/>
      <c r="KR111" s="4"/>
      <c r="KS111" s="4"/>
      <c r="KT111" s="4"/>
      <c r="KU111" s="4"/>
      <c r="KV111" s="4"/>
      <c r="KW111" s="4"/>
      <c r="KX111" s="4"/>
      <c r="KY111" s="4"/>
      <c r="KZ111" s="4"/>
      <c r="LA111" s="4"/>
      <c r="LB111" s="4"/>
      <c r="LC111" s="4"/>
      <c r="LD111" s="4"/>
      <c r="LE111" s="4"/>
      <c r="LF111" s="4"/>
      <c r="LG111" s="4"/>
      <c r="LH111" s="4"/>
      <c r="LI111" s="4"/>
      <c r="LJ111" s="4"/>
      <c r="LK111" s="4"/>
      <c r="LL111" s="4"/>
      <c r="LM111" s="4"/>
      <c r="LN111" s="4"/>
      <c r="LO111" s="4"/>
      <c r="LP111" s="4"/>
      <c r="LQ111" s="4"/>
      <c r="LR111" s="4"/>
      <c r="LS111" s="4"/>
      <c r="LT111" s="4"/>
      <c r="LU111" s="4"/>
      <c r="LV111" s="4"/>
      <c r="LW111" s="4"/>
      <c r="LX111" s="4"/>
      <c r="LY111" s="4"/>
      <c r="LZ111" s="4"/>
      <c r="MA111" s="4"/>
      <c r="MB111" s="4"/>
      <c r="MC111" s="4"/>
      <c r="MD111" s="4"/>
      <c r="ME111" s="4"/>
      <c r="MF111" s="4"/>
      <c r="MG111" s="4"/>
      <c r="MH111" s="4"/>
      <c r="MI111" s="4"/>
      <c r="MJ111" s="4"/>
      <c r="MK111" s="4"/>
      <c r="ML111" s="4"/>
      <c r="MM111" s="4"/>
      <c r="MN111" s="4"/>
      <c r="MO111" s="4"/>
      <c r="MP111" s="4"/>
      <c r="MQ111" s="4"/>
      <c r="MR111" s="4"/>
      <c r="MS111" s="4"/>
      <c r="MT111" s="4"/>
      <c r="MU111" s="4"/>
      <c r="MV111" s="4"/>
      <c r="MW111" s="4"/>
      <c r="MX111" s="4"/>
      <c r="MY111" s="4"/>
      <c r="MZ111" s="4"/>
      <c r="NA111" s="4"/>
      <c r="NB111" s="4"/>
      <c r="NC111" s="4"/>
      <c r="ND111" s="4"/>
      <c r="NE111" s="4"/>
      <c r="NF111" s="4"/>
      <c r="NG111" s="4"/>
      <c r="NH111" s="4"/>
      <c r="NI111" s="4"/>
      <c r="NJ111" s="4"/>
      <c r="NK111" s="4"/>
      <c r="NL111" s="4"/>
      <c r="NM111" s="4"/>
      <c r="NN111" s="4"/>
      <c r="NO111" s="4"/>
      <c r="NP111" s="4"/>
      <c r="NQ111" s="4"/>
      <c r="NR111" s="4"/>
      <c r="NS111" s="4"/>
      <c r="NT111" s="4"/>
      <c r="NU111" s="4"/>
      <c r="NV111" s="4"/>
      <c r="NW111" s="4"/>
      <c r="NX111" s="4"/>
      <c r="NY111" s="4"/>
      <c r="NZ111" s="4"/>
      <c r="OA111" s="4"/>
      <c r="OB111" s="4"/>
      <c r="OC111" s="4"/>
      <c r="OD111" s="4"/>
      <c r="OE111" s="4"/>
      <c r="OF111" s="4"/>
      <c r="OG111" s="4"/>
      <c r="OH111" s="4"/>
      <c r="OI111" s="4"/>
    </row>
    <row r="112" spans="1:399">
      <c r="A112" s="116"/>
      <c r="B112" s="116" t="s">
        <v>1061</v>
      </c>
      <c r="C112" s="116">
        <v>1</v>
      </c>
      <c r="D112" s="3" t="s">
        <v>1269</v>
      </c>
      <c r="E112" s="217" t="s">
        <v>1247</v>
      </c>
      <c r="F112" s="183"/>
      <c r="G112" s="183"/>
      <c r="H112" s="183"/>
      <c r="I112" s="183"/>
      <c r="J112" s="183"/>
      <c r="K112" s="183"/>
      <c r="L112" s="183"/>
      <c r="M112" s="184"/>
      <c r="N112" s="184"/>
      <c r="O112" s="185"/>
      <c r="P112" s="186">
        <v>0</v>
      </c>
      <c r="Q112" s="186">
        <v>0</v>
      </c>
      <c r="R112" s="187">
        <v>0</v>
      </c>
      <c r="S112" s="187">
        <v>0</v>
      </c>
      <c r="T112" s="184"/>
      <c r="U112" s="184"/>
      <c r="V112" s="188">
        <v>0</v>
      </c>
      <c r="W112" s="189">
        <v>0</v>
      </c>
      <c r="X112" s="190"/>
      <c r="Y112" s="185"/>
      <c r="Z112" s="191"/>
      <c r="AA112" s="97">
        <v>0</v>
      </c>
      <c r="AB112" s="192">
        <v>0</v>
      </c>
      <c r="AC112" s="123"/>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c r="CX112" s="4"/>
      <c r="CY112" s="4"/>
      <c r="CZ112" s="4"/>
      <c r="DA112" s="4"/>
      <c r="DB112" s="4"/>
      <c r="DC112" s="4"/>
      <c r="DD112" s="4"/>
      <c r="DE112" s="4"/>
      <c r="DF112" s="4"/>
      <c r="DG112" s="4"/>
      <c r="DH112" s="4"/>
      <c r="DI112" s="4"/>
      <c r="DJ112" s="4"/>
      <c r="DK112" s="4"/>
      <c r="DL112" s="4"/>
      <c r="DM112" s="4"/>
      <c r="DN112" s="4"/>
      <c r="DO112" s="4"/>
      <c r="DP112" s="4"/>
      <c r="DQ112" s="4"/>
      <c r="DR112" s="4"/>
      <c r="DS112" s="4"/>
      <c r="DT112" s="4"/>
      <c r="DU112" s="4"/>
      <c r="DV112" s="4"/>
      <c r="DW112" s="4"/>
      <c r="DX112" s="4"/>
      <c r="DY112" s="4"/>
      <c r="DZ112" s="4"/>
      <c r="EA112" s="4"/>
      <c r="EB112" s="4"/>
      <c r="EC112" s="4"/>
      <c r="ED112" s="4"/>
      <c r="EE112" s="4"/>
      <c r="EF112" s="4"/>
      <c r="EG112" s="4"/>
      <c r="EH112" s="4"/>
      <c r="EI112" s="4"/>
      <c r="EJ112" s="4"/>
      <c r="EK112" s="4"/>
      <c r="EL112" s="4"/>
      <c r="EM112" s="4"/>
      <c r="EN112" s="4"/>
      <c r="EO112" s="4"/>
      <c r="EP112" s="4"/>
      <c r="EQ112" s="4"/>
      <c r="ER112" s="4"/>
      <c r="ES112" s="4"/>
      <c r="ET112" s="4"/>
      <c r="EU112" s="4"/>
      <c r="EV112" s="4"/>
      <c r="EW112" s="4"/>
      <c r="EX112" s="4"/>
      <c r="EY112" s="4"/>
      <c r="EZ112" s="4"/>
      <c r="FA112" s="4"/>
      <c r="FB112" s="4"/>
      <c r="FC112" s="4"/>
      <c r="FD112" s="4"/>
      <c r="FE112" s="4"/>
      <c r="FF112" s="4"/>
      <c r="FG112" s="4"/>
      <c r="FH112" s="4"/>
      <c r="FI112" s="4"/>
      <c r="FJ112" s="4"/>
      <c r="FK112" s="4"/>
      <c r="FL112" s="4"/>
      <c r="FM112" s="4"/>
      <c r="FN112" s="4"/>
      <c r="FO112" s="4"/>
      <c r="FP112" s="4"/>
      <c r="FQ112" s="4"/>
      <c r="FR112" s="4"/>
      <c r="FS112" s="4"/>
      <c r="FT112" s="4"/>
      <c r="FU112" s="4"/>
      <c r="FV112" s="4"/>
      <c r="FW112" s="4"/>
      <c r="FX112" s="4"/>
      <c r="FY112" s="4"/>
      <c r="FZ112" s="4"/>
      <c r="GA112" s="4"/>
      <c r="GB112" s="4"/>
      <c r="GC112" s="4"/>
      <c r="GD112" s="4"/>
      <c r="GE112" s="4"/>
      <c r="GF112" s="4"/>
      <c r="GG112" s="4"/>
      <c r="GH112" s="4"/>
      <c r="GI112" s="4"/>
      <c r="GJ112" s="4"/>
      <c r="GK112" s="4"/>
      <c r="GL112" s="4"/>
      <c r="GM112" s="4"/>
      <c r="GN112" s="4"/>
      <c r="GO112" s="4"/>
      <c r="GP112" s="4"/>
      <c r="GQ112" s="4"/>
      <c r="GR112" s="4"/>
      <c r="GS112" s="4"/>
      <c r="GT112" s="4"/>
      <c r="GU112" s="4"/>
      <c r="GV112" s="4"/>
      <c r="GW112" s="4"/>
      <c r="GX112" s="4"/>
      <c r="GY112" s="4"/>
      <c r="GZ112" s="4"/>
      <c r="HA112" s="4"/>
      <c r="HB112" s="4"/>
      <c r="HC112" s="4"/>
      <c r="HD112" s="4"/>
      <c r="HE112" s="4"/>
      <c r="HF112" s="4"/>
      <c r="HG112" s="4"/>
      <c r="HH112" s="4"/>
      <c r="HI112" s="4"/>
      <c r="HJ112" s="4"/>
      <c r="HK112" s="4"/>
      <c r="HL112" s="4"/>
      <c r="HM112" s="4"/>
      <c r="HN112" s="4"/>
      <c r="HO112" s="4"/>
      <c r="HP112" s="4"/>
      <c r="HQ112" s="4"/>
      <c r="HR112" s="4"/>
      <c r="HS112" s="4"/>
      <c r="HT112" s="4"/>
      <c r="HU112" s="4"/>
      <c r="HV112" s="4"/>
      <c r="HW112" s="4"/>
      <c r="HX112" s="4"/>
      <c r="HY112" s="4"/>
      <c r="HZ112" s="4"/>
      <c r="IA112" s="4"/>
      <c r="IB112" s="4"/>
      <c r="IC112" s="4"/>
      <c r="ID112" s="4"/>
      <c r="IE112" s="4"/>
      <c r="IF112" s="4"/>
      <c r="IG112" s="4"/>
      <c r="IH112" s="4"/>
      <c r="II112" s="4"/>
      <c r="IJ112" s="4"/>
      <c r="IK112" s="4"/>
      <c r="IL112" s="4"/>
      <c r="IM112" s="4"/>
      <c r="IN112" s="4"/>
      <c r="IO112" s="4"/>
      <c r="IP112" s="4"/>
      <c r="IQ112" s="4"/>
      <c r="IR112" s="4"/>
      <c r="IS112" s="4"/>
      <c r="IT112" s="4"/>
      <c r="IU112" s="4"/>
      <c r="IV112" s="4"/>
      <c r="IW112" s="4"/>
      <c r="IX112" s="4"/>
      <c r="IY112" s="4"/>
      <c r="IZ112" s="4"/>
      <c r="JA112" s="4"/>
      <c r="JB112" s="4"/>
      <c r="JC112" s="4"/>
      <c r="JD112" s="4"/>
      <c r="JE112" s="4"/>
      <c r="JF112" s="4"/>
      <c r="JG112" s="4"/>
      <c r="JH112" s="4"/>
      <c r="JI112" s="4"/>
      <c r="JJ112" s="4"/>
      <c r="JK112" s="4"/>
      <c r="JL112" s="4"/>
      <c r="JM112" s="4"/>
      <c r="JN112" s="4"/>
      <c r="JO112" s="4"/>
      <c r="JP112" s="4"/>
      <c r="JQ112" s="4"/>
      <c r="JR112" s="4"/>
      <c r="JS112" s="4"/>
      <c r="JT112" s="4"/>
      <c r="JU112" s="4"/>
      <c r="JV112" s="4"/>
      <c r="JW112" s="4"/>
      <c r="JX112" s="4"/>
      <c r="JY112" s="4"/>
      <c r="JZ112" s="4"/>
      <c r="KA112" s="4"/>
      <c r="KB112" s="4"/>
      <c r="KC112" s="4"/>
      <c r="KD112" s="4"/>
      <c r="KE112" s="4"/>
      <c r="KF112" s="4"/>
      <c r="KG112" s="4"/>
      <c r="KH112" s="4"/>
      <c r="KI112" s="4"/>
      <c r="KJ112" s="4"/>
      <c r="KK112" s="4"/>
      <c r="KL112" s="4"/>
      <c r="KM112" s="4"/>
      <c r="KN112" s="4"/>
      <c r="KO112" s="4"/>
      <c r="KP112" s="4"/>
      <c r="KQ112" s="4"/>
      <c r="KR112" s="4"/>
      <c r="KS112" s="4"/>
      <c r="KT112" s="4"/>
      <c r="KU112" s="4"/>
      <c r="KV112" s="4"/>
      <c r="KW112" s="4"/>
      <c r="KX112" s="4"/>
      <c r="KY112" s="4"/>
      <c r="KZ112" s="4"/>
      <c r="LA112" s="4"/>
      <c r="LB112" s="4"/>
      <c r="LC112" s="4"/>
      <c r="LD112" s="4"/>
      <c r="LE112" s="4"/>
      <c r="LF112" s="4"/>
      <c r="LG112" s="4"/>
      <c r="LH112" s="4"/>
      <c r="LI112" s="4"/>
      <c r="LJ112" s="4"/>
      <c r="LK112" s="4"/>
      <c r="LL112" s="4"/>
      <c r="LM112" s="4"/>
      <c r="LN112" s="4"/>
      <c r="LO112" s="4"/>
      <c r="LP112" s="4"/>
      <c r="LQ112" s="4"/>
      <c r="LR112" s="4"/>
      <c r="LS112" s="4"/>
      <c r="LT112" s="4"/>
      <c r="LU112" s="4"/>
      <c r="LV112" s="4"/>
      <c r="LW112" s="4"/>
      <c r="LX112" s="4"/>
      <c r="LY112" s="4"/>
      <c r="LZ112" s="4"/>
      <c r="MA112" s="4"/>
      <c r="MB112" s="4"/>
      <c r="MC112" s="4"/>
      <c r="MD112" s="4"/>
      <c r="ME112" s="4"/>
      <c r="MF112" s="4"/>
      <c r="MG112" s="4"/>
      <c r="MH112" s="4"/>
      <c r="MI112" s="4"/>
      <c r="MJ112" s="4"/>
      <c r="MK112" s="4"/>
      <c r="ML112" s="4"/>
      <c r="MM112" s="4"/>
      <c r="MN112" s="4"/>
      <c r="MO112" s="4"/>
      <c r="MP112" s="4"/>
      <c r="MQ112" s="4"/>
      <c r="MR112" s="4"/>
      <c r="MS112" s="4"/>
      <c r="MT112" s="4"/>
      <c r="MU112" s="4"/>
      <c r="MV112" s="4"/>
      <c r="MW112" s="4"/>
      <c r="MX112" s="4"/>
      <c r="MY112" s="4"/>
      <c r="MZ112" s="4"/>
      <c r="NA112" s="4"/>
      <c r="NB112" s="4"/>
      <c r="NC112" s="4"/>
      <c r="ND112" s="4"/>
      <c r="NE112" s="4"/>
      <c r="NF112" s="4"/>
      <c r="NG112" s="4"/>
      <c r="NH112" s="4"/>
      <c r="NI112" s="4"/>
      <c r="NJ112" s="4"/>
      <c r="NK112" s="4"/>
      <c r="NL112" s="4"/>
      <c r="NM112" s="4"/>
      <c r="NN112" s="4"/>
      <c r="NO112" s="4"/>
      <c r="NP112" s="4"/>
      <c r="NQ112" s="4"/>
      <c r="NR112" s="4"/>
      <c r="NS112" s="4"/>
      <c r="NT112" s="4"/>
      <c r="NU112" s="4"/>
      <c r="NV112" s="4"/>
      <c r="NW112" s="4"/>
      <c r="NX112" s="4"/>
      <c r="NY112" s="4"/>
      <c r="NZ112" s="4"/>
      <c r="OA112" s="4"/>
      <c r="OB112" s="4"/>
      <c r="OC112" s="4"/>
      <c r="OD112" s="4"/>
      <c r="OE112" s="4"/>
      <c r="OF112" s="4"/>
      <c r="OG112" s="4"/>
      <c r="OH112" s="4"/>
      <c r="OI112" s="4"/>
    </row>
    <row r="113" spans="1:399" outlineLevel="1">
      <c r="A113" s="116"/>
      <c r="B113" s="116"/>
      <c r="C113" s="116">
        <v>2</v>
      </c>
      <c r="D113" s="3" t="s">
        <v>1270</v>
      </c>
      <c r="E113" s="183"/>
      <c r="F113" s="183" t="s">
        <v>1248</v>
      </c>
      <c r="G113" s="183"/>
      <c r="H113" s="183"/>
      <c r="I113" s="183"/>
      <c r="J113" s="183"/>
      <c r="K113" s="183"/>
      <c r="L113" s="183"/>
      <c r="M113" s="184"/>
      <c r="N113" s="184"/>
      <c r="O113" s="185"/>
      <c r="P113" s="186">
        <v>0</v>
      </c>
      <c r="Q113" s="186">
        <v>0</v>
      </c>
      <c r="R113" s="187">
        <v>4</v>
      </c>
      <c r="S113" s="187">
        <v>4</v>
      </c>
      <c r="T113" s="184"/>
      <c r="U113" s="184"/>
      <c r="V113" s="188">
        <v>0</v>
      </c>
      <c r="W113" s="189">
        <v>0</v>
      </c>
      <c r="X113" s="190">
        <v>1</v>
      </c>
      <c r="Y113" s="185"/>
      <c r="Z113" s="191"/>
      <c r="AA113" s="97">
        <v>0</v>
      </c>
      <c r="AB113" s="192">
        <v>0</v>
      </c>
      <c r="AC113" s="123"/>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c r="DP113" s="4"/>
      <c r="DQ113" s="4"/>
      <c r="DR113" s="4"/>
      <c r="DS113" s="4"/>
      <c r="DT113" s="4"/>
      <c r="DU113" s="4"/>
      <c r="DV113" s="4"/>
      <c r="DW113" s="4"/>
      <c r="DX113" s="4"/>
      <c r="DY113" s="4"/>
      <c r="DZ113" s="4"/>
      <c r="EA113" s="4"/>
      <c r="EB113" s="4"/>
      <c r="EC113" s="4"/>
      <c r="ED113" s="4"/>
      <c r="EE113" s="4"/>
      <c r="EF113" s="4"/>
      <c r="EG113" s="4"/>
      <c r="EH113" s="4"/>
      <c r="EI113" s="4"/>
      <c r="EJ113" s="4"/>
      <c r="EK113" s="4"/>
      <c r="EL113" s="4"/>
      <c r="EM113" s="4"/>
      <c r="EN113" s="4"/>
      <c r="EO113" s="4"/>
      <c r="EP113" s="4"/>
      <c r="EQ113" s="4"/>
      <c r="ER113" s="4"/>
      <c r="ES113" s="4"/>
      <c r="ET113" s="4"/>
      <c r="EU113" s="4"/>
      <c r="EV113" s="4"/>
      <c r="EW113" s="4"/>
      <c r="EX113" s="4"/>
      <c r="EY113" s="4"/>
      <c r="EZ113" s="4"/>
      <c r="FA113" s="4"/>
      <c r="FB113" s="4"/>
      <c r="FC113" s="4"/>
      <c r="FD113" s="4"/>
      <c r="FE113" s="4"/>
      <c r="FF113" s="4"/>
      <c r="FG113" s="4"/>
      <c r="FH113" s="4"/>
      <c r="FI113" s="4"/>
      <c r="FJ113" s="4"/>
      <c r="FK113" s="4"/>
      <c r="FL113" s="4"/>
      <c r="FM113" s="4"/>
      <c r="FN113" s="4"/>
      <c r="FO113" s="4"/>
      <c r="FP113" s="4"/>
      <c r="FQ113" s="4"/>
      <c r="FR113" s="4"/>
      <c r="FS113" s="4"/>
      <c r="FT113" s="4"/>
      <c r="FU113" s="4"/>
      <c r="FV113" s="4"/>
      <c r="FW113" s="4"/>
      <c r="FX113" s="4"/>
      <c r="FY113" s="4"/>
      <c r="FZ113" s="4"/>
      <c r="GA113" s="4"/>
      <c r="GB113" s="4"/>
      <c r="GC113" s="4"/>
      <c r="GD113" s="4"/>
      <c r="GE113" s="4"/>
      <c r="GF113" s="4"/>
      <c r="GG113" s="4"/>
      <c r="GH113" s="4"/>
      <c r="GI113" s="4"/>
      <c r="GJ113" s="4"/>
      <c r="GK113" s="4"/>
      <c r="GL113" s="4"/>
      <c r="GM113" s="4"/>
      <c r="GN113" s="4"/>
      <c r="GO113" s="4"/>
      <c r="GP113" s="4"/>
      <c r="GQ113" s="4"/>
      <c r="GR113" s="4"/>
      <c r="GS113" s="4"/>
      <c r="GT113" s="4"/>
      <c r="GU113" s="4"/>
      <c r="GV113" s="4"/>
      <c r="GW113" s="4"/>
      <c r="GX113" s="4"/>
      <c r="GY113" s="4"/>
      <c r="GZ113" s="4"/>
      <c r="HA113" s="4"/>
      <c r="HB113" s="4"/>
      <c r="HC113" s="4"/>
      <c r="HD113" s="4"/>
      <c r="HE113" s="4"/>
      <c r="HF113" s="4"/>
      <c r="HG113" s="4"/>
      <c r="HH113" s="4"/>
      <c r="HI113" s="4"/>
      <c r="HJ113" s="4"/>
      <c r="HK113" s="4"/>
      <c r="HL113" s="4"/>
      <c r="HM113" s="4"/>
      <c r="HN113" s="4"/>
      <c r="HO113" s="4"/>
      <c r="HP113" s="4"/>
      <c r="HQ113" s="4"/>
      <c r="HR113" s="4"/>
      <c r="HS113" s="4"/>
      <c r="HT113" s="4"/>
      <c r="HU113" s="4"/>
      <c r="HV113" s="4"/>
      <c r="HW113" s="4"/>
      <c r="HX113" s="4"/>
      <c r="HY113" s="4"/>
      <c r="HZ113" s="4"/>
      <c r="IA113" s="4"/>
      <c r="IB113" s="4"/>
      <c r="IC113" s="4"/>
      <c r="ID113" s="4"/>
      <c r="IE113" s="4"/>
      <c r="IF113" s="4"/>
      <c r="IG113" s="4"/>
      <c r="IH113" s="4"/>
      <c r="II113" s="4"/>
      <c r="IJ113" s="4"/>
      <c r="IK113" s="4"/>
      <c r="IL113" s="4"/>
      <c r="IM113" s="4"/>
      <c r="IN113" s="4"/>
      <c r="IO113" s="4"/>
      <c r="IP113" s="4"/>
      <c r="IQ113" s="4"/>
      <c r="IR113" s="4"/>
      <c r="IS113" s="4"/>
      <c r="IT113" s="4"/>
      <c r="IU113" s="4"/>
      <c r="IV113" s="4"/>
      <c r="IW113" s="4"/>
      <c r="IX113" s="4"/>
      <c r="IY113" s="4"/>
      <c r="IZ113" s="4"/>
      <c r="JA113" s="4"/>
      <c r="JB113" s="4"/>
      <c r="JC113" s="4"/>
      <c r="JD113" s="4"/>
      <c r="JE113" s="4"/>
      <c r="JF113" s="4"/>
      <c r="JG113" s="4"/>
      <c r="JH113" s="4"/>
      <c r="JI113" s="4"/>
      <c r="JJ113" s="4"/>
      <c r="JK113" s="4"/>
      <c r="JL113" s="4"/>
      <c r="JM113" s="4"/>
      <c r="JN113" s="4"/>
      <c r="JO113" s="4"/>
      <c r="JP113" s="4"/>
      <c r="JQ113" s="4"/>
      <c r="JR113" s="4"/>
      <c r="JS113" s="4"/>
      <c r="JT113" s="4"/>
      <c r="JU113" s="4"/>
      <c r="JV113" s="4"/>
      <c r="JW113" s="4"/>
      <c r="JX113" s="4"/>
      <c r="JY113" s="4"/>
      <c r="JZ113" s="4"/>
      <c r="KA113" s="4"/>
      <c r="KB113" s="4"/>
      <c r="KC113" s="4"/>
      <c r="KD113" s="4"/>
      <c r="KE113" s="4"/>
      <c r="KF113" s="4"/>
      <c r="KG113" s="4"/>
      <c r="KH113" s="4"/>
      <c r="KI113" s="4"/>
      <c r="KJ113" s="4"/>
      <c r="KK113" s="4"/>
      <c r="KL113" s="4"/>
      <c r="KM113" s="4"/>
      <c r="KN113" s="4"/>
      <c r="KO113" s="4"/>
      <c r="KP113" s="4"/>
      <c r="KQ113" s="4"/>
      <c r="KR113" s="4"/>
      <c r="KS113" s="4"/>
      <c r="KT113" s="4"/>
      <c r="KU113" s="4"/>
      <c r="KV113" s="4"/>
      <c r="KW113" s="4"/>
      <c r="KX113" s="4"/>
      <c r="KY113" s="4"/>
      <c r="KZ113" s="4"/>
      <c r="LA113" s="4"/>
      <c r="LB113" s="4"/>
      <c r="LC113" s="4"/>
      <c r="LD113" s="4"/>
      <c r="LE113" s="4"/>
      <c r="LF113" s="4"/>
      <c r="LG113" s="4"/>
      <c r="LH113" s="4"/>
      <c r="LI113" s="4"/>
      <c r="LJ113" s="4"/>
      <c r="LK113" s="4"/>
      <c r="LL113" s="4"/>
      <c r="LM113" s="4"/>
      <c r="LN113" s="4"/>
      <c r="LO113" s="4"/>
      <c r="LP113" s="4"/>
      <c r="LQ113" s="4"/>
      <c r="LR113" s="4"/>
      <c r="LS113" s="4"/>
      <c r="LT113" s="4"/>
      <c r="LU113" s="4"/>
      <c r="LV113" s="4"/>
      <c r="LW113" s="4"/>
      <c r="LX113" s="4"/>
      <c r="LY113" s="4"/>
      <c r="LZ113" s="4"/>
      <c r="MA113" s="4"/>
      <c r="MB113" s="4"/>
      <c r="MC113" s="4"/>
      <c r="MD113" s="4"/>
      <c r="ME113" s="4"/>
      <c r="MF113" s="4"/>
      <c r="MG113" s="4"/>
      <c r="MH113" s="4"/>
      <c r="MI113" s="4"/>
      <c r="MJ113" s="4"/>
      <c r="MK113" s="4"/>
      <c r="ML113" s="4"/>
      <c r="MM113" s="4"/>
      <c r="MN113" s="4"/>
      <c r="MO113" s="4"/>
      <c r="MP113" s="4"/>
      <c r="MQ113" s="4"/>
      <c r="MR113" s="4"/>
      <c r="MS113" s="4"/>
      <c r="MT113" s="4"/>
      <c r="MU113" s="4"/>
      <c r="MV113" s="4"/>
      <c r="MW113" s="4"/>
      <c r="MX113" s="4"/>
      <c r="MY113" s="4"/>
      <c r="MZ113" s="4"/>
      <c r="NA113" s="4"/>
      <c r="NB113" s="4"/>
      <c r="NC113" s="4"/>
      <c r="ND113" s="4"/>
      <c r="NE113" s="4"/>
      <c r="NF113" s="4"/>
      <c r="NG113" s="4"/>
      <c r="NH113" s="4"/>
      <c r="NI113" s="4"/>
      <c r="NJ113" s="4"/>
      <c r="NK113" s="4"/>
      <c r="NL113" s="4"/>
      <c r="NM113" s="4"/>
      <c r="NN113" s="4"/>
      <c r="NO113" s="4"/>
      <c r="NP113" s="4"/>
      <c r="NQ113" s="4"/>
      <c r="NR113" s="4"/>
      <c r="NS113" s="4"/>
      <c r="NT113" s="4"/>
      <c r="NU113" s="4"/>
      <c r="NV113" s="4"/>
      <c r="NW113" s="4"/>
      <c r="NX113" s="4"/>
      <c r="NY113" s="4"/>
      <c r="NZ113" s="4"/>
      <c r="OA113" s="4"/>
      <c r="OB113" s="4"/>
      <c r="OC113" s="4"/>
      <c r="OD113" s="4"/>
      <c r="OE113" s="4"/>
      <c r="OF113" s="4"/>
      <c r="OG113" s="4"/>
      <c r="OH113" s="4"/>
      <c r="OI113" s="4"/>
    </row>
    <row r="114" spans="1:399" outlineLevel="1">
      <c r="A114" s="116"/>
      <c r="B114" s="116"/>
      <c r="C114" s="116">
        <v>2</v>
      </c>
      <c r="D114" s="3" t="s">
        <v>1271</v>
      </c>
      <c r="E114" s="183"/>
      <c r="F114" s="183" t="s">
        <v>1249</v>
      </c>
      <c r="G114" s="183"/>
      <c r="H114" s="183"/>
      <c r="I114" s="183"/>
      <c r="J114" s="183"/>
      <c r="K114" s="183"/>
      <c r="L114" s="183"/>
      <c r="M114" s="184"/>
      <c r="N114" s="184"/>
      <c r="O114" s="185"/>
      <c r="P114" s="186">
        <v>0</v>
      </c>
      <c r="Q114" s="186">
        <v>0</v>
      </c>
      <c r="R114" s="187">
        <v>0</v>
      </c>
      <c r="S114" s="187">
        <v>0</v>
      </c>
      <c r="T114" s="184"/>
      <c r="U114" s="184"/>
      <c r="V114" s="188">
        <v>0</v>
      </c>
      <c r="W114" s="189">
        <v>0</v>
      </c>
      <c r="X114" s="190"/>
      <c r="Y114" s="185"/>
      <c r="Z114" s="191"/>
      <c r="AA114" s="97">
        <v>0</v>
      </c>
      <c r="AB114" s="192">
        <v>0</v>
      </c>
      <c r="AC114" s="123"/>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c r="CX114" s="4"/>
      <c r="CY114" s="4"/>
      <c r="CZ114" s="4"/>
      <c r="DA114" s="4"/>
      <c r="DB114" s="4"/>
      <c r="DC114" s="4"/>
      <c r="DD114" s="4"/>
      <c r="DE114" s="4"/>
      <c r="DF114" s="4"/>
      <c r="DG114" s="4"/>
      <c r="DH114" s="4"/>
      <c r="DI114" s="4"/>
      <c r="DJ114" s="4"/>
      <c r="DK114" s="4"/>
      <c r="DL114" s="4"/>
      <c r="DM114" s="4"/>
      <c r="DN114" s="4"/>
      <c r="DO114" s="4"/>
      <c r="DP114" s="4"/>
      <c r="DQ114" s="4"/>
      <c r="DR114" s="4"/>
      <c r="DS114" s="4"/>
      <c r="DT114" s="4"/>
      <c r="DU114" s="4"/>
      <c r="DV114" s="4"/>
      <c r="DW114" s="4"/>
      <c r="DX114" s="4"/>
      <c r="DY114" s="4"/>
      <c r="DZ114" s="4"/>
      <c r="EA114" s="4"/>
      <c r="EB114" s="4"/>
      <c r="EC114" s="4"/>
      <c r="ED114" s="4"/>
      <c r="EE114" s="4"/>
      <c r="EF114" s="4"/>
      <c r="EG114" s="4"/>
      <c r="EH114" s="4"/>
      <c r="EI114" s="4"/>
      <c r="EJ114" s="4"/>
      <c r="EK114" s="4"/>
      <c r="EL114" s="4"/>
      <c r="EM114" s="4"/>
      <c r="EN114" s="4"/>
      <c r="EO114" s="4"/>
      <c r="EP114" s="4"/>
      <c r="EQ114" s="4"/>
      <c r="ER114" s="4"/>
      <c r="ES114" s="4"/>
      <c r="ET114" s="4"/>
      <c r="EU114" s="4"/>
      <c r="EV114" s="4"/>
      <c r="EW114" s="4"/>
      <c r="EX114" s="4"/>
      <c r="EY114" s="4"/>
      <c r="EZ114" s="4"/>
      <c r="FA114" s="4"/>
      <c r="FB114" s="4"/>
      <c r="FC114" s="4"/>
      <c r="FD114" s="4"/>
      <c r="FE114" s="4"/>
      <c r="FF114" s="4"/>
      <c r="FG114" s="4"/>
      <c r="FH114" s="4"/>
      <c r="FI114" s="4"/>
      <c r="FJ114" s="4"/>
      <c r="FK114" s="4"/>
      <c r="FL114" s="4"/>
      <c r="FM114" s="4"/>
      <c r="FN114" s="4"/>
      <c r="FO114" s="4"/>
      <c r="FP114" s="4"/>
      <c r="FQ114" s="4"/>
      <c r="FR114" s="4"/>
      <c r="FS114" s="4"/>
      <c r="FT114" s="4"/>
      <c r="FU114" s="4"/>
      <c r="FV114" s="4"/>
      <c r="FW114" s="4"/>
      <c r="FX114" s="4"/>
      <c r="FY114" s="4"/>
      <c r="FZ114" s="4"/>
      <c r="GA114" s="4"/>
      <c r="GB114" s="4"/>
      <c r="GC114" s="4"/>
      <c r="GD114" s="4"/>
      <c r="GE114" s="4"/>
      <c r="GF114" s="4"/>
      <c r="GG114" s="4"/>
      <c r="GH114" s="4"/>
      <c r="GI114" s="4"/>
      <c r="GJ114" s="4"/>
      <c r="GK114" s="4"/>
      <c r="GL114" s="4"/>
      <c r="GM114" s="4"/>
      <c r="GN114" s="4"/>
      <c r="GO114" s="4"/>
      <c r="GP114" s="4"/>
      <c r="GQ114" s="4"/>
      <c r="GR114" s="4"/>
      <c r="GS114" s="4"/>
      <c r="GT114" s="4"/>
      <c r="GU114" s="4"/>
      <c r="GV114" s="4"/>
      <c r="GW114" s="4"/>
      <c r="GX114" s="4"/>
      <c r="GY114" s="4"/>
      <c r="GZ114" s="4"/>
      <c r="HA114" s="4"/>
      <c r="HB114" s="4"/>
      <c r="HC114" s="4"/>
      <c r="HD114" s="4"/>
      <c r="HE114" s="4"/>
      <c r="HF114" s="4"/>
      <c r="HG114" s="4"/>
      <c r="HH114" s="4"/>
      <c r="HI114" s="4"/>
      <c r="HJ114" s="4"/>
      <c r="HK114" s="4"/>
      <c r="HL114" s="4"/>
      <c r="HM114" s="4"/>
      <c r="HN114" s="4"/>
      <c r="HO114" s="4"/>
      <c r="HP114" s="4"/>
      <c r="HQ114" s="4"/>
      <c r="HR114" s="4"/>
      <c r="HS114" s="4"/>
      <c r="HT114" s="4"/>
      <c r="HU114" s="4"/>
      <c r="HV114" s="4"/>
      <c r="HW114" s="4"/>
      <c r="HX114" s="4"/>
      <c r="HY114" s="4"/>
      <c r="HZ114" s="4"/>
      <c r="IA114" s="4"/>
      <c r="IB114" s="4"/>
      <c r="IC114" s="4"/>
      <c r="ID114" s="4"/>
      <c r="IE114" s="4"/>
      <c r="IF114" s="4"/>
      <c r="IG114" s="4"/>
      <c r="IH114" s="4"/>
      <c r="II114" s="4"/>
      <c r="IJ114" s="4"/>
      <c r="IK114" s="4"/>
      <c r="IL114" s="4"/>
      <c r="IM114" s="4"/>
      <c r="IN114" s="4"/>
      <c r="IO114" s="4"/>
      <c r="IP114" s="4"/>
      <c r="IQ114" s="4"/>
      <c r="IR114" s="4"/>
      <c r="IS114" s="4"/>
      <c r="IT114" s="4"/>
      <c r="IU114" s="4"/>
      <c r="IV114" s="4"/>
      <c r="IW114" s="4"/>
      <c r="IX114" s="4"/>
      <c r="IY114" s="4"/>
      <c r="IZ114" s="4"/>
      <c r="JA114" s="4"/>
      <c r="JB114" s="4"/>
      <c r="JC114" s="4"/>
      <c r="JD114" s="4"/>
      <c r="JE114" s="4"/>
      <c r="JF114" s="4"/>
      <c r="JG114" s="4"/>
      <c r="JH114" s="4"/>
      <c r="JI114" s="4"/>
      <c r="JJ114" s="4"/>
      <c r="JK114" s="4"/>
      <c r="JL114" s="4"/>
      <c r="JM114" s="4"/>
      <c r="JN114" s="4"/>
      <c r="JO114" s="4"/>
      <c r="JP114" s="4"/>
      <c r="JQ114" s="4"/>
      <c r="JR114" s="4"/>
      <c r="JS114" s="4"/>
      <c r="JT114" s="4"/>
      <c r="JU114" s="4"/>
      <c r="JV114" s="4"/>
      <c r="JW114" s="4"/>
      <c r="JX114" s="4"/>
      <c r="JY114" s="4"/>
      <c r="JZ114" s="4"/>
      <c r="KA114" s="4"/>
      <c r="KB114" s="4"/>
      <c r="KC114" s="4"/>
      <c r="KD114" s="4"/>
      <c r="KE114" s="4"/>
      <c r="KF114" s="4"/>
      <c r="KG114" s="4"/>
      <c r="KH114" s="4"/>
      <c r="KI114" s="4"/>
      <c r="KJ114" s="4"/>
      <c r="KK114" s="4"/>
      <c r="KL114" s="4"/>
      <c r="KM114" s="4"/>
      <c r="KN114" s="4"/>
      <c r="KO114" s="4"/>
      <c r="KP114" s="4"/>
      <c r="KQ114" s="4"/>
      <c r="KR114" s="4"/>
      <c r="KS114" s="4"/>
      <c r="KT114" s="4"/>
      <c r="KU114" s="4"/>
      <c r="KV114" s="4"/>
      <c r="KW114" s="4"/>
      <c r="KX114" s="4"/>
      <c r="KY114" s="4"/>
      <c r="KZ114" s="4"/>
      <c r="LA114" s="4"/>
      <c r="LB114" s="4"/>
      <c r="LC114" s="4"/>
      <c r="LD114" s="4"/>
      <c r="LE114" s="4"/>
      <c r="LF114" s="4"/>
      <c r="LG114" s="4"/>
      <c r="LH114" s="4"/>
      <c r="LI114" s="4"/>
      <c r="LJ114" s="4"/>
      <c r="LK114" s="4"/>
      <c r="LL114" s="4"/>
      <c r="LM114" s="4"/>
      <c r="LN114" s="4"/>
      <c r="LO114" s="4"/>
      <c r="LP114" s="4"/>
      <c r="LQ114" s="4"/>
      <c r="LR114" s="4"/>
      <c r="LS114" s="4"/>
      <c r="LT114" s="4"/>
      <c r="LU114" s="4"/>
      <c r="LV114" s="4"/>
      <c r="LW114" s="4"/>
      <c r="LX114" s="4"/>
      <c r="LY114" s="4"/>
      <c r="LZ114" s="4"/>
      <c r="MA114" s="4"/>
      <c r="MB114" s="4"/>
      <c r="MC114" s="4"/>
      <c r="MD114" s="4"/>
      <c r="ME114" s="4"/>
      <c r="MF114" s="4"/>
      <c r="MG114" s="4"/>
      <c r="MH114" s="4"/>
      <c r="MI114" s="4"/>
      <c r="MJ114" s="4"/>
      <c r="MK114" s="4"/>
      <c r="ML114" s="4"/>
      <c r="MM114" s="4"/>
      <c r="MN114" s="4"/>
      <c r="MO114" s="4"/>
      <c r="MP114" s="4"/>
      <c r="MQ114" s="4"/>
      <c r="MR114" s="4"/>
      <c r="MS114" s="4"/>
      <c r="MT114" s="4"/>
      <c r="MU114" s="4"/>
      <c r="MV114" s="4"/>
      <c r="MW114" s="4"/>
      <c r="MX114" s="4"/>
      <c r="MY114" s="4"/>
      <c r="MZ114" s="4"/>
      <c r="NA114" s="4"/>
      <c r="NB114" s="4"/>
      <c r="NC114" s="4"/>
      <c r="ND114" s="4"/>
      <c r="NE114" s="4"/>
      <c r="NF114" s="4"/>
      <c r="NG114" s="4"/>
      <c r="NH114" s="4"/>
      <c r="NI114" s="4"/>
      <c r="NJ114" s="4"/>
      <c r="NK114" s="4"/>
      <c r="NL114" s="4"/>
      <c r="NM114" s="4"/>
      <c r="NN114" s="4"/>
      <c r="NO114" s="4"/>
      <c r="NP114" s="4"/>
      <c r="NQ114" s="4"/>
      <c r="NR114" s="4"/>
      <c r="NS114" s="4"/>
      <c r="NT114" s="4"/>
      <c r="NU114" s="4"/>
      <c r="NV114" s="4"/>
      <c r="NW114" s="4"/>
      <c r="NX114" s="4"/>
      <c r="NY114" s="4"/>
      <c r="NZ114" s="4"/>
      <c r="OA114" s="4"/>
      <c r="OB114" s="4"/>
      <c r="OC114" s="4"/>
      <c r="OD114" s="4"/>
      <c r="OE114" s="4"/>
      <c r="OF114" s="4"/>
      <c r="OG114" s="4"/>
      <c r="OH114" s="4"/>
      <c r="OI114" s="4"/>
    </row>
    <row r="115" spans="1:399" outlineLevel="1">
      <c r="A115" s="116"/>
      <c r="B115" s="116"/>
      <c r="C115" s="116">
        <v>2</v>
      </c>
      <c r="D115" s="3" t="s">
        <v>1272</v>
      </c>
      <c r="E115" s="183"/>
      <c r="F115" s="183" t="s">
        <v>1250</v>
      </c>
      <c r="G115" s="183"/>
      <c r="H115" s="183"/>
      <c r="I115" s="183"/>
      <c r="J115" s="183"/>
      <c r="K115" s="183"/>
      <c r="L115" s="183"/>
      <c r="M115" s="184"/>
      <c r="N115" s="184"/>
      <c r="O115" s="185"/>
      <c r="P115" s="186">
        <v>0</v>
      </c>
      <c r="Q115" s="186">
        <v>0</v>
      </c>
      <c r="R115" s="187">
        <v>0</v>
      </c>
      <c r="S115" s="187">
        <v>0</v>
      </c>
      <c r="T115" s="184"/>
      <c r="U115" s="184"/>
      <c r="V115" s="188">
        <v>0</v>
      </c>
      <c r="W115" s="189">
        <v>0</v>
      </c>
      <c r="X115" s="190"/>
      <c r="Y115" s="185"/>
      <c r="Z115" s="191"/>
      <c r="AA115" s="97">
        <v>0</v>
      </c>
      <c r="AB115" s="192">
        <v>0</v>
      </c>
      <c r="AC115" s="123"/>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c r="CX115" s="4"/>
      <c r="CY115" s="4"/>
      <c r="CZ115" s="4"/>
      <c r="DA115" s="4"/>
      <c r="DB115" s="4"/>
      <c r="DC115" s="4"/>
      <c r="DD115" s="4"/>
      <c r="DE115" s="4"/>
      <c r="DF115" s="4"/>
      <c r="DG115" s="4"/>
      <c r="DH115" s="4"/>
      <c r="DI115" s="4"/>
      <c r="DJ115" s="4"/>
      <c r="DK115" s="4"/>
      <c r="DL115" s="4"/>
      <c r="DM115" s="4"/>
      <c r="DN115" s="4"/>
      <c r="DO115" s="4"/>
      <c r="DP115" s="4"/>
      <c r="DQ115" s="4"/>
      <c r="DR115" s="4"/>
      <c r="DS115" s="4"/>
      <c r="DT115" s="4"/>
      <c r="DU115" s="4"/>
      <c r="DV115" s="4"/>
      <c r="DW115" s="4"/>
      <c r="DX115" s="4"/>
      <c r="DY115" s="4"/>
      <c r="DZ115" s="4"/>
      <c r="EA115" s="4"/>
      <c r="EB115" s="4"/>
      <c r="EC115" s="4"/>
      <c r="ED115" s="4"/>
      <c r="EE115" s="4"/>
      <c r="EF115" s="4"/>
      <c r="EG115" s="4"/>
      <c r="EH115" s="4"/>
      <c r="EI115" s="4"/>
      <c r="EJ115" s="4"/>
      <c r="EK115" s="4"/>
      <c r="EL115" s="4"/>
      <c r="EM115" s="4"/>
      <c r="EN115" s="4"/>
      <c r="EO115" s="4"/>
      <c r="EP115" s="4"/>
      <c r="EQ115" s="4"/>
      <c r="ER115" s="4"/>
      <c r="ES115" s="4"/>
      <c r="ET115" s="4"/>
      <c r="EU115" s="4"/>
      <c r="EV115" s="4"/>
      <c r="EW115" s="4"/>
      <c r="EX115" s="4"/>
      <c r="EY115" s="4"/>
      <c r="EZ115" s="4"/>
      <c r="FA115" s="4"/>
      <c r="FB115" s="4"/>
      <c r="FC115" s="4"/>
      <c r="FD115" s="4"/>
      <c r="FE115" s="4"/>
      <c r="FF115" s="4"/>
      <c r="FG115" s="4"/>
      <c r="FH115" s="4"/>
      <c r="FI115" s="4"/>
      <c r="FJ115" s="4"/>
      <c r="FK115" s="4"/>
      <c r="FL115" s="4"/>
      <c r="FM115" s="4"/>
      <c r="FN115" s="4"/>
      <c r="FO115" s="4"/>
      <c r="FP115" s="4"/>
      <c r="FQ115" s="4"/>
      <c r="FR115" s="4"/>
      <c r="FS115" s="4"/>
      <c r="FT115" s="4"/>
      <c r="FU115" s="4"/>
      <c r="FV115" s="4"/>
      <c r="FW115" s="4"/>
      <c r="FX115" s="4"/>
      <c r="FY115" s="4"/>
      <c r="FZ115" s="4"/>
      <c r="GA115" s="4"/>
      <c r="GB115" s="4"/>
      <c r="GC115" s="4"/>
      <c r="GD115" s="4"/>
      <c r="GE115" s="4"/>
      <c r="GF115" s="4"/>
      <c r="GG115" s="4"/>
      <c r="GH115" s="4"/>
      <c r="GI115" s="4"/>
      <c r="GJ115" s="4"/>
      <c r="GK115" s="4"/>
      <c r="GL115" s="4"/>
      <c r="GM115" s="4"/>
      <c r="GN115" s="4"/>
      <c r="GO115" s="4"/>
      <c r="GP115" s="4"/>
      <c r="GQ115" s="4"/>
      <c r="GR115" s="4"/>
      <c r="GS115" s="4"/>
      <c r="GT115" s="4"/>
      <c r="GU115" s="4"/>
      <c r="GV115" s="4"/>
      <c r="GW115" s="4"/>
      <c r="GX115" s="4"/>
      <c r="GY115" s="4"/>
      <c r="GZ115" s="4"/>
      <c r="HA115" s="4"/>
      <c r="HB115" s="4"/>
      <c r="HC115" s="4"/>
      <c r="HD115" s="4"/>
      <c r="HE115" s="4"/>
      <c r="HF115" s="4"/>
      <c r="HG115" s="4"/>
      <c r="HH115" s="4"/>
      <c r="HI115" s="4"/>
      <c r="HJ115" s="4"/>
      <c r="HK115" s="4"/>
      <c r="HL115" s="4"/>
      <c r="HM115" s="4"/>
      <c r="HN115" s="4"/>
      <c r="HO115" s="4"/>
      <c r="HP115" s="4"/>
      <c r="HQ115" s="4"/>
      <c r="HR115" s="4"/>
      <c r="HS115" s="4"/>
      <c r="HT115" s="4"/>
      <c r="HU115" s="4"/>
      <c r="HV115" s="4"/>
      <c r="HW115" s="4"/>
      <c r="HX115" s="4"/>
      <c r="HY115" s="4"/>
      <c r="HZ115" s="4"/>
      <c r="IA115" s="4"/>
      <c r="IB115" s="4"/>
      <c r="IC115" s="4"/>
      <c r="ID115" s="4"/>
      <c r="IE115" s="4"/>
      <c r="IF115" s="4"/>
      <c r="IG115" s="4"/>
      <c r="IH115" s="4"/>
      <c r="II115" s="4"/>
      <c r="IJ115" s="4"/>
      <c r="IK115" s="4"/>
      <c r="IL115" s="4"/>
      <c r="IM115" s="4"/>
      <c r="IN115" s="4"/>
      <c r="IO115" s="4"/>
      <c r="IP115" s="4"/>
      <c r="IQ115" s="4"/>
      <c r="IR115" s="4"/>
      <c r="IS115" s="4"/>
      <c r="IT115" s="4"/>
      <c r="IU115" s="4"/>
      <c r="IV115" s="4"/>
      <c r="IW115" s="4"/>
      <c r="IX115" s="4"/>
      <c r="IY115" s="4"/>
      <c r="IZ115" s="4"/>
      <c r="JA115" s="4"/>
      <c r="JB115" s="4"/>
      <c r="JC115" s="4"/>
      <c r="JD115" s="4"/>
      <c r="JE115" s="4"/>
      <c r="JF115" s="4"/>
      <c r="JG115" s="4"/>
      <c r="JH115" s="4"/>
      <c r="JI115" s="4"/>
      <c r="JJ115" s="4"/>
      <c r="JK115" s="4"/>
      <c r="JL115" s="4"/>
      <c r="JM115" s="4"/>
      <c r="JN115" s="4"/>
      <c r="JO115" s="4"/>
      <c r="JP115" s="4"/>
      <c r="JQ115" s="4"/>
      <c r="JR115" s="4"/>
      <c r="JS115" s="4"/>
      <c r="JT115" s="4"/>
      <c r="JU115" s="4"/>
      <c r="JV115" s="4"/>
      <c r="JW115" s="4"/>
      <c r="JX115" s="4"/>
      <c r="JY115" s="4"/>
      <c r="JZ115" s="4"/>
      <c r="KA115" s="4"/>
      <c r="KB115" s="4"/>
      <c r="KC115" s="4"/>
      <c r="KD115" s="4"/>
      <c r="KE115" s="4"/>
      <c r="KF115" s="4"/>
      <c r="KG115" s="4"/>
      <c r="KH115" s="4"/>
      <c r="KI115" s="4"/>
      <c r="KJ115" s="4"/>
      <c r="KK115" s="4"/>
      <c r="KL115" s="4"/>
      <c r="KM115" s="4"/>
      <c r="KN115" s="4"/>
      <c r="KO115" s="4"/>
      <c r="KP115" s="4"/>
      <c r="KQ115" s="4"/>
      <c r="KR115" s="4"/>
      <c r="KS115" s="4"/>
      <c r="KT115" s="4"/>
      <c r="KU115" s="4"/>
      <c r="KV115" s="4"/>
      <c r="KW115" s="4"/>
      <c r="KX115" s="4"/>
      <c r="KY115" s="4"/>
      <c r="KZ115" s="4"/>
      <c r="LA115" s="4"/>
      <c r="LB115" s="4"/>
      <c r="LC115" s="4"/>
      <c r="LD115" s="4"/>
      <c r="LE115" s="4"/>
      <c r="LF115" s="4"/>
      <c r="LG115" s="4"/>
      <c r="LH115" s="4"/>
      <c r="LI115" s="4"/>
      <c r="LJ115" s="4"/>
      <c r="LK115" s="4"/>
      <c r="LL115" s="4"/>
      <c r="LM115" s="4"/>
      <c r="LN115" s="4"/>
      <c r="LO115" s="4"/>
      <c r="LP115" s="4"/>
      <c r="LQ115" s="4"/>
      <c r="LR115" s="4"/>
      <c r="LS115" s="4"/>
      <c r="LT115" s="4"/>
      <c r="LU115" s="4"/>
      <c r="LV115" s="4"/>
      <c r="LW115" s="4"/>
      <c r="LX115" s="4"/>
      <c r="LY115" s="4"/>
      <c r="LZ115" s="4"/>
      <c r="MA115" s="4"/>
      <c r="MB115" s="4"/>
      <c r="MC115" s="4"/>
      <c r="MD115" s="4"/>
      <c r="ME115" s="4"/>
      <c r="MF115" s="4"/>
      <c r="MG115" s="4"/>
      <c r="MH115" s="4"/>
      <c r="MI115" s="4"/>
      <c r="MJ115" s="4"/>
      <c r="MK115" s="4"/>
      <c r="ML115" s="4"/>
      <c r="MM115" s="4"/>
      <c r="MN115" s="4"/>
      <c r="MO115" s="4"/>
      <c r="MP115" s="4"/>
      <c r="MQ115" s="4"/>
      <c r="MR115" s="4"/>
      <c r="MS115" s="4"/>
      <c r="MT115" s="4"/>
      <c r="MU115" s="4"/>
      <c r="MV115" s="4"/>
      <c r="MW115" s="4"/>
      <c r="MX115" s="4"/>
      <c r="MY115" s="4"/>
      <c r="MZ115" s="4"/>
      <c r="NA115" s="4"/>
      <c r="NB115" s="4"/>
      <c r="NC115" s="4"/>
      <c r="ND115" s="4"/>
      <c r="NE115" s="4"/>
      <c r="NF115" s="4"/>
      <c r="NG115" s="4"/>
      <c r="NH115" s="4"/>
      <c r="NI115" s="4"/>
      <c r="NJ115" s="4"/>
      <c r="NK115" s="4"/>
      <c r="NL115" s="4"/>
      <c r="NM115" s="4"/>
      <c r="NN115" s="4"/>
      <c r="NO115" s="4"/>
      <c r="NP115" s="4"/>
      <c r="NQ115" s="4"/>
      <c r="NR115" s="4"/>
      <c r="NS115" s="4"/>
      <c r="NT115" s="4"/>
      <c r="NU115" s="4"/>
      <c r="NV115" s="4"/>
      <c r="NW115" s="4"/>
      <c r="NX115" s="4"/>
      <c r="NY115" s="4"/>
      <c r="NZ115" s="4"/>
      <c r="OA115" s="4"/>
      <c r="OB115" s="4"/>
      <c r="OC115" s="4"/>
      <c r="OD115" s="4"/>
      <c r="OE115" s="4"/>
      <c r="OF115" s="4"/>
      <c r="OG115" s="4"/>
      <c r="OH115" s="4"/>
      <c r="OI115" s="4"/>
    </row>
    <row r="116" spans="1:399" outlineLevel="1">
      <c r="A116" s="116"/>
      <c r="B116" s="116"/>
      <c r="C116" s="116">
        <v>2</v>
      </c>
      <c r="D116" s="3" t="s">
        <v>1273</v>
      </c>
      <c r="E116" s="183"/>
      <c r="F116" s="183" t="s">
        <v>1198</v>
      </c>
      <c r="G116" s="183"/>
      <c r="H116" s="183"/>
      <c r="I116" s="183"/>
      <c r="J116" s="183"/>
      <c r="K116" s="183"/>
      <c r="L116" s="183"/>
      <c r="M116" s="184"/>
      <c r="N116" s="184"/>
      <c r="O116" s="185"/>
      <c r="P116" s="186">
        <v>0</v>
      </c>
      <c r="Q116" s="186">
        <v>0</v>
      </c>
      <c r="R116" s="187">
        <v>2</v>
      </c>
      <c r="S116" s="187">
        <v>2</v>
      </c>
      <c r="T116" s="184"/>
      <c r="U116" s="184"/>
      <c r="V116" s="188">
        <v>0</v>
      </c>
      <c r="W116" s="189">
        <v>0</v>
      </c>
      <c r="X116" s="190">
        <v>1</v>
      </c>
      <c r="Y116" s="185"/>
      <c r="Z116" s="191"/>
      <c r="AA116" s="97">
        <v>0</v>
      </c>
      <c r="AB116" s="192">
        <v>0</v>
      </c>
      <c r="AC116" s="123"/>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c r="DP116" s="4"/>
      <c r="DQ116" s="4"/>
      <c r="DR116" s="4"/>
      <c r="DS116" s="4"/>
      <c r="DT116" s="4"/>
      <c r="DU116" s="4"/>
      <c r="DV116" s="4"/>
      <c r="DW116" s="4"/>
      <c r="DX116" s="4"/>
      <c r="DY116" s="4"/>
      <c r="DZ116" s="4"/>
      <c r="EA116" s="4"/>
      <c r="EB116" s="4"/>
      <c r="EC116" s="4"/>
      <c r="ED116" s="4"/>
      <c r="EE116" s="4"/>
      <c r="EF116" s="4"/>
      <c r="EG116" s="4"/>
      <c r="EH116" s="4"/>
      <c r="EI116" s="4"/>
      <c r="EJ116" s="4"/>
      <c r="EK116" s="4"/>
      <c r="EL116" s="4"/>
      <c r="EM116" s="4"/>
      <c r="EN116" s="4"/>
      <c r="EO116" s="4"/>
      <c r="EP116" s="4"/>
      <c r="EQ116" s="4"/>
      <c r="ER116" s="4"/>
      <c r="ES116" s="4"/>
      <c r="ET116" s="4"/>
      <c r="EU116" s="4"/>
      <c r="EV116" s="4"/>
      <c r="EW116" s="4"/>
      <c r="EX116" s="4"/>
      <c r="EY116" s="4"/>
      <c r="EZ116" s="4"/>
      <c r="FA116" s="4"/>
      <c r="FB116" s="4"/>
      <c r="FC116" s="4"/>
      <c r="FD116" s="4"/>
      <c r="FE116" s="4"/>
      <c r="FF116" s="4"/>
      <c r="FG116" s="4"/>
      <c r="FH116" s="4"/>
      <c r="FI116" s="4"/>
      <c r="FJ116" s="4"/>
      <c r="FK116" s="4"/>
      <c r="FL116" s="4"/>
      <c r="FM116" s="4"/>
      <c r="FN116" s="4"/>
      <c r="FO116" s="4"/>
      <c r="FP116" s="4"/>
      <c r="FQ116" s="4"/>
      <c r="FR116" s="4"/>
      <c r="FS116" s="4"/>
      <c r="FT116" s="4"/>
      <c r="FU116" s="4"/>
      <c r="FV116" s="4"/>
      <c r="FW116" s="4"/>
      <c r="FX116" s="4"/>
      <c r="FY116" s="4"/>
      <c r="FZ116" s="4"/>
      <c r="GA116" s="4"/>
      <c r="GB116" s="4"/>
      <c r="GC116" s="4"/>
      <c r="GD116" s="4"/>
      <c r="GE116" s="4"/>
      <c r="GF116" s="4"/>
      <c r="GG116" s="4"/>
      <c r="GH116" s="4"/>
      <c r="GI116" s="4"/>
      <c r="GJ116" s="4"/>
      <c r="GK116" s="4"/>
      <c r="GL116" s="4"/>
      <c r="GM116" s="4"/>
      <c r="GN116" s="4"/>
      <c r="GO116" s="4"/>
      <c r="GP116" s="4"/>
      <c r="GQ116" s="4"/>
      <c r="GR116" s="4"/>
      <c r="GS116" s="4"/>
      <c r="GT116" s="4"/>
      <c r="GU116" s="4"/>
      <c r="GV116" s="4"/>
      <c r="GW116" s="4"/>
      <c r="GX116" s="4"/>
      <c r="GY116" s="4"/>
      <c r="GZ116" s="4"/>
      <c r="HA116" s="4"/>
      <c r="HB116" s="4"/>
      <c r="HC116" s="4"/>
      <c r="HD116" s="4"/>
      <c r="HE116" s="4"/>
      <c r="HF116" s="4"/>
      <c r="HG116" s="4"/>
      <c r="HH116" s="4"/>
      <c r="HI116" s="4"/>
      <c r="HJ116" s="4"/>
      <c r="HK116" s="4"/>
      <c r="HL116" s="4"/>
      <c r="HM116" s="4"/>
      <c r="HN116" s="4"/>
      <c r="HO116" s="4"/>
      <c r="HP116" s="4"/>
      <c r="HQ116" s="4"/>
      <c r="HR116" s="4"/>
      <c r="HS116" s="4"/>
      <c r="HT116" s="4"/>
      <c r="HU116" s="4"/>
      <c r="HV116" s="4"/>
      <c r="HW116" s="4"/>
      <c r="HX116" s="4"/>
      <c r="HY116" s="4"/>
      <c r="HZ116" s="4"/>
      <c r="IA116" s="4"/>
      <c r="IB116" s="4"/>
      <c r="IC116" s="4"/>
      <c r="ID116" s="4"/>
      <c r="IE116" s="4"/>
      <c r="IF116" s="4"/>
      <c r="IG116" s="4"/>
      <c r="IH116" s="4"/>
      <c r="II116" s="4"/>
      <c r="IJ116" s="4"/>
      <c r="IK116" s="4"/>
      <c r="IL116" s="4"/>
      <c r="IM116" s="4"/>
      <c r="IN116" s="4"/>
      <c r="IO116" s="4"/>
      <c r="IP116" s="4"/>
      <c r="IQ116" s="4"/>
      <c r="IR116" s="4"/>
      <c r="IS116" s="4"/>
      <c r="IT116" s="4"/>
      <c r="IU116" s="4"/>
      <c r="IV116" s="4"/>
      <c r="IW116" s="4"/>
      <c r="IX116" s="4"/>
      <c r="IY116" s="4"/>
      <c r="IZ116" s="4"/>
      <c r="JA116" s="4"/>
      <c r="JB116" s="4"/>
      <c r="JC116" s="4"/>
      <c r="JD116" s="4"/>
      <c r="JE116" s="4"/>
      <c r="JF116" s="4"/>
      <c r="JG116" s="4"/>
      <c r="JH116" s="4"/>
      <c r="JI116" s="4"/>
      <c r="JJ116" s="4"/>
      <c r="JK116" s="4"/>
      <c r="JL116" s="4"/>
      <c r="JM116" s="4"/>
      <c r="JN116" s="4"/>
      <c r="JO116" s="4"/>
      <c r="JP116" s="4"/>
      <c r="JQ116" s="4"/>
      <c r="JR116" s="4"/>
      <c r="JS116" s="4"/>
      <c r="JT116" s="4"/>
      <c r="JU116" s="4"/>
      <c r="JV116" s="4"/>
      <c r="JW116" s="4"/>
      <c r="JX116" s="4"/>
      <c r="JY116" s="4"/>
      <c r="JZ116" s="4"/>
      <c r="KA116" s="4"/>
      <c r="KB116" s="4"/>
      <c r="KC116" s="4"/>
      <c r="KD116" s="4"/>
      <c r="KE116" s="4"/>
      <c r="KF116" s="4"/>
      <c r="KG116" s="4"/>
      <c r="KH116" s="4"/>
      <c r="KI116" s="4"/>
      <c r="KJ116" s="4"/>
      <c r="KK116" s="4"/>
      <c r="KL116" s="4"/>
      <c r="KM116" s="4"/>
      <c r="KN116" s="4"/>
      <c r="KO116" s="4"/>
      <c r="KP116" s="4"/>
      <c r="KQ116" s="4"/>
      <c r="KR116" s="4"/>
      <c r="KS116" s="4"/>
      <c r="KT116" s="4"/>
      <c r="KU116" s="4"/>
      <c r="KV116" s="4"/>
      <c r="KW116" s="4"/>
      <c r="KX116" s="4"/>
      <c r="KY116" s="4"/>
      <c r="KZ116" s="4"/>
      <c r="LA116" s="4"/>
      <c r="LB116" s="4"/>
      <c r="LC116" s="4"/>
      <c r="LD116" s="4"/>
      <c r="LE116" s="4"/>
      <c r="LF116" s="4"/>
      <c r="LG116" s="4"/>
      <c r="LH116" s="4"/>
      <c r="LI116" s="4"/>
      <c r="LJ116" s="4"/>
      <c r="LK116" s="4"/>
      <c r="LL116" s="4"/>
      <c r="LM116" s="4"/>
      <c r="LN116" s="4"/>
      <c r="LO116" s="4"/>
      <c r="LP116" s="4"/>
      <c r="LQ116" s="4"/>
      <c r="LR116" s="4"/>
      <c r="LS116" s="4"/>
      <c r="LT116" s="4"/>
      <c r="LU116" s="4"/>
      <c r="LV116" s="4"/>
      <c r="LW116" s="4"/>
      <c r="LX116" s="4"/>
      <c r="LY116" s="4"/>
      <c r="LZ116" s="4"/>
      <c r="MA116" s="4"/>
      <c r="MB116" s="4"/>
      <c r="MC116" s="4"/>
      <c r="MD116" s="4"/>
      <c r="ME116" s="4"/>
      <c r="MF116" s="4"/>
      <c r="MG116" s="4"/>
      <c r="MH116" s="4"/>
      <c r="MI116" s="4"/>
      <c r="MJ116" s="4"/>
      <c r="MK116" s="4"/>
      <c r="ML116" s="4"/>
      <c r="MM116" s="4"/>
      <c r="MN116" s="4"/>
      <c r="MO116" s="4"/>
      <c r="MP116" s="4"/>
      <c r="MQ116" s="4"/>
      <c r="MR116" s="4"/>
      <c r="MS116" s="4"/>
      <c r="MT116" s="4"/>
      <c r="MU116" s="4"/>
      <c r="MV116" s="4"/>
      <c r="MW116" s="4"/>
      <c r="MX116" s="4"/>
      <c r="MY116" s="4"/>
      <c r="MZ116" s="4"/>
      <c r="NA116" s="4"/>
      <c r="NB116" s="4"/>
      <c r="NC116" s="4"/>
      <c r="ND116" s="4"/>
      <c r="NE116" s="4"/>
      <c r="NF116" s="4"/>
      <c r="NG116" s="4"/>
      <c r="NH116" s="4"/>
      <c r="NI116" s="4"/>
      <c r="NJ116" s="4"/>
      <c r="NK116" s="4"/>
      <c r="NL116" s="4"/>
      <c r="NM116" s="4"/>
      <c r="NN116" s="4"/>
      <c r="NO116" s="4"/>
      <c r="NP116" s="4"/>
      <c r="NQ116" s="4"/>
      <c r="NR116" s="4"/>
      <c r="NS116" s="4"/>
      <c r="NT116" s="4"/>
      <c r="NU116" s="4"/>
      <c r="NV116" s="4"/>
      <c r="NW116" s="4"/>
      <c r="NX116" s="4"/>
      <c r="NY116" s="4"/>
      <c r="NZ116" s="4"/>
      <c r="OA116" s="4"/>
      <c r="OB116" s="4"/>
      <c r="OC116" s="4"/>
      <c r="OD116" s="4"/>
      <c r="OE116" s="4"/>
      <c r="OF116" s="4"/>
      <c r="OG116" s="4"/>
      <c r="OH116" s="4"/>
      <c r="OI116" s="4"/>
    </row>
    <row r="117" spans="1:399" outlineLevel="1">
      <c r="A117" s="116"/>
      <c r="B117" s="116"/>
      <c r="C117" s="116">
        <v>2</v>
      </c>
      <c r="D117" s="3" t="s">
        <v>1274</v>
      </c>
      <c r="E117" s="183"/>
      <c r="F117" s="183" t="s">
        <v>1178</v>
      </c>
      <c r="G117" s="183"/>
      <c r="H117" s="183"/>
      <c r="I117" s="183"/>
      <c r="J117" s="183"/>
      <c r="K117" s="183"/>
      <c r="L117" s="183"/>
      <c r="M117" s="184"/>
      <c r="N117" s="184"/>
      <c r="O117" s="185"/>
      <c r="P117" s="186">
        <v>0</v>
      </c>
      <c r="Q117" s="186">
        <v>0</v>
      </c>
      <c r="R117" s="187">
        <v>2</v>
      </c>
      <c r="S117" s="187">
        <v>2</v>
      </c>
      <c r="T117" s="184"/>
      <c r="U117" s="184"/>
      <c r="V117" s="188">
        <v>0</v>
      </c>
      <c r="W117" s="189">
        <v>0</v>
      </c>
      <c r="X117" s="190">
        <v>1</v>
      </c>
      <c r="Y117" s="185"/>
      <c r="Z117" s="191"/>
      <c r="AA117" s="97">
        <v>0</v>
      </c>
      <c r="AB117" s="192">
        <v>0</v>
      </c>
      <c r="AC117" s="123"/>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c r="CX117" s="4"/>
      <c r="CY117" s="4"/>
      <c r="CZ117" s="4"/>
      <c r="DA117" s="4"/>
      <c r="DB117" s="4"/>
      <c r="DC117" s="4"/>
      <c r="DD117" s="4"/>
      <c r="DE117" s="4"/>
      <c r="DF117" s="4"/>
      <c r="DG117" s="4"/>
      <c r="DH117" s="4"/>
      <c r="DI117" s="4"/>
      <c r="DJ117" s="4"/>
      <c r="DK117" s="4"/>
      <c r="DL117" s="4"/>
      <c r="DM117" s="4"/>
      <c r="DN117" s="4"/>
      <c r="DO117" s="4"/>
      <c r="DP117" s="4"/>
      <c r="DQ117" s="4"/>
      <c r="DR117" s="4"/>
      <c r="DS117" s="4"/>
      <c r="DT117" s="4"/>
      <c r="DU117" s="4"/>
      <c r="DV117" s="4"/>
      <c r="DW117" s="4"/>
      <c r="DX117" s="4"/>
      <c r="DY117" s="4"/>
      <c r="DZ117" s="4"/>
      <c r="EA117" s="4"/>
      <c r="EB117" s="4"/>
      <c r="EC117" s="4"/>
      <c r="ED117" s="4"/>
      <c r="EE117" s="4"/>
      <c r="EF117" s="4"/>
      <c r="EG117" s="4"/>
      <c r="EH117" s="4"/>
      <c r="EI117" s="4"/>
      <c r="EJ117" s="4"/>
      <c r="EK117" s="4"/>
      <c r="EL117" s="4"/>
      <c r="EM117" s="4"/>
      <c r="EN117" s="4"/>
      <c r="EO117" s="4"/>
      <c r="EP117" s="4"/>
      <c r="EQ117" s="4"/>
      <c r="ER117" s="4"/>
      <c r="ES117" s="4"/>
      <c r="ET117" s="4"/>
      <c r="EU117" s="4"/>
      <c r="EV117" s="4"/>
      <c r="EW117" s="4"/>
      <c r="EX117" s="4"/>
      <c r="EY117" s="4"/>
      <c r="EZ117" s="4"/>
      <c r="FA117" s="4"/>
      <c r="FB117" s="4"/>
      <c r="FC117" s="4"/>
      <c r="FD117" s="4"/>
      <c r="FE117" s="4"/>
      <c r="FF117" s="4"/>
      <c r="FG117" s="4"/>
      <c r="FH117" s="4"/>
      <c r="FI117" s="4"/>
      <c r="FJ117" s="4"/>
      <c r="FK117" s="4"/>
      <c r="FL117" s="4"/>
      <c r="FM117" s="4"/>
      <c r="FN117" s="4"/>
      <c r="FO117" s="4"/>
      <c r="FP117" s="4"/>
      <c r="FQ117" s="4"/>
      <c r="FR117" s="4"/>
      <c r="FS117" s="4"/>
      <c r="FT117" s="4"/>
      <c r="FU117" s="4"/>
      <c r="FV117" s="4"/>
      <c r="FW117" s="4"/>
      <c r="FX117" s="4"/>
      <c r="FY117" s="4"/>
      <c r="FZ117" s="4"/>
      <c r="GA117" s="4"/>
      <c r="GB117" s="4"/>
      <c r="GC117" s="4"/>
      <c r="GD117" s="4"/>
      <c r="GE117" s="4"/>
      <c r="GF117" s="4"/>
      <c r="GG117" s="4"/>
      <c r="GH117" s="4"/>
      <c r="GI117" s="4"/>
      <c r="GJ117" s="4"/>
      <c r="GK117" s="4"/>
      <c r="GL117" s="4"/>
      <c r="GM117" s="4"/>
      <c r="GN117" s="4"/>
      <c r="GO117" s="4"/>
      <c r="GP117" s="4"/>
      <c r="GQ117" s="4"/>
      <c r="GR117" s="4"/>
      <c r="GS117" s="4"/>
      <c r="GT117" s="4"/>
      <c r="GU117" s="4"/>
      <c r="GV117" s="4"/>
      <c r="GW117" s="4"/>
      <c r="GX117" s="4"/>
      <c r="GY117" s="4"/>
      <c r="GZ117" s="4"/>
      <c r="HA117" s="4"/>
      <c r="HB117" s="4"/>
      <c r="HC117" s="4"/>
      <c r="HD117" s="4"/>
      <c r="HE117" s="4"/>
      <c r="HF117" s="4"/>
      <c r="HG117" s="4"/>
      <c r="HH117" s="4"/>
      <c r="HI117" s="4"/>
      <c r="HJ117" s="4"/>
      <c r="HK117" s="4"/>
      <c r="HL117" s="4"/>
      <c r="HM117" s="4"/>
      <c r="HN117" s="4"/>
      <c r="HO117" s="4"/>
      <c r="HP117" s="4"/>
      <c r="HQ117" s="4"/>
      <c r="HR117" s="4"/>
      <c r="HS117" s="4"/>
      <c r="HT117" s="4"/>
      <c r="HU117" s="4"/>
      <c r="HV117" s="4"/>
      <c r="HW117" s="4"/>
      <c r="HX117" s="4"/>
      <c r="HY117" s="4"/>
      <c r="HZ117" s="4"/>
      <c r="IA117" s="4"/>
      <c r="IB117" s="4"/>
      <c r="IC117" s="4"/>
      <c r="ID117" s="4"/>
      <c r="IE117" s="4"/>
      <c r="IF117" s="4"/>
      <c r="IG117" s="4"/>
      <c r="IH117" s="4"/>
      <c r="II117" s="4"/>
      <c r="IJ117" s="4"/>
      <c r="IK117" s="4"/>
      <c r="IL117" s="4"/>
      <c r="IM117" s="4"/>
      <c r="IN117" s="4"/>
      <c r="IO117" s="4"/>
      <c r="IP117" s="4"/>
      <c r="IQ117" s="4"/>
      <c r="IR117" s="4"/>
      <c r="IS117" s="4"/>
      <c r="IT117" s="4"/>
      <c r="IU117" s="4"/>
      <c r="IV117" s="4"/>
      <c r="IW117" s="4"/>
      <c r="IX117" s="4"/>
      <c r="IY117" s="4"/>
      <c r="IZ117" s="4"/>
      <c r="JA117" s="4"/>
      <c r="JB117" s="4"/>
      <c r="JC117" s="4"/>
      <c r="JD117" s="4"/>
      <c r="JE117" s="4"/>
      <c r="JF117" s="4"/>
      <c r="JG117" s="4"/>
      <c r="JH117" s="4"/>
      <c r="JI117" s="4"/>
      <c r="JJ117" s="4"/>
      <c r="JK117" s="4"/>
      <c r="JL117" s="4"/>
      <c r="JM117" s="4"/>
      <c r="JN117" s="4"/>
      <c r="JO117" s="4"/>
      <c r="JP117" s="4"/>
      <c r="JQ117" s="4"/>
      <c r="JR117" s="4"/>
      <c r="JS117" s="4"/>
      <c r="JT117" s="4"/>
      <c r="JU117" s="4"/>
      <c r="JV117" s="4"/>
      <c r="JW117" s="4"/>
      <c r="JX117" s="4"/>
      <c r="JY117" s="4"/>
      <c r="JZ117" s="4"/>
      <c r="KA117" s="4"/>
      <c r="KB117" s="4"/>
      <c r="KC117" s="4"/>
      <c r="KD117" s="4"/>
      <c r="KE117" s="4"/>
      <c r="KF117" s="4"/>
      <c r="KG117" s="4"/>
      <c r="KH117" s="4"/>
      <c r="KI117" s="4"/>
      <c r="KJ117" s="4"/>
      <c r="KK117" s="4"/>
      <c r="KL117" s="4"/>
      <c r="KM117" s="4"/>
      <c r="KN117" s="4"/>
      <c r="KO117" s="4"/>
      <c r="KP117" s="4"/>
      <c r="KQ117" s="4"/>
      <c r="KR117" s="4"/>
      <c r="KS117" s="4"/>
      <c r="KT117" s="4"/>
      <c r="KU117" s="4"/>
      <c r="KV117" s="4"/>
      <c r="KW117" s="4"/>
      <c r="KX117" s="4"/>
      <c r="KY117" s="4"/>
      <c r="KZ117" s="4"/>
      <c r="LA117" s="4"/>
      <c r="LB117" s="4"/>
      <c r="LC117" s="4"/>
      <c r="LD117" s="4"/>
      <c r="LE117" s="4"/>
      <c r="LF117" s="4"/>
      <c r="LG117" s="4"/>
      <c r="LH117" s="4"/>
      <c r="LI117" s="4"/>
      <c r="LJ117" s="4"/>
      <c r="LK117" s="4"/>
      <c r="LL117" s="4"/>
      <c r="LM117" s="4"/>
      <c r="LN117" s="4"/>
      <c r="LO117" s="4"/>
      <c r="LP117" s="4"/>
      <c r="LQ117" s="4"/>
      <c r="LR117" s="4"/>
      <c r="LS117" s="4"/>
      <c r="LT117" s="4"/>
      <c r="LU117" s="4"/>
      <c r="LV117" s="4"/>
      <c r="LW117" s="4"/>
      <c r="LX117" s="4"/>
      <c r="LY117" s="4"/>
      <c r="LZ117" s="4"/>
      <c r="MA117" s="4"/>
      <c r="MB117" s="4"/>
      <c r="MC117" s="4"/>
      <c r="MD117" s="4"/>
      <c r="ME117" s="4"/>
      <c r="MF117" s="4"/>
      <c r="MG117" s="4"/>
      <c r="MH117" s="4"/>
      <c r="MI117" s="4"/>
      <c r="MJ117" s="4"/>
      <c r="MK117" s="4"/>
      <c r="ML117" s="4"/>
      <c r="MM117" s="4"/>
      <c r="MN117" s="4"/>
      <c r="MO117" s="4"/>
      <c r="MP117" s="4"/>
      <c r="MQ117" s="4"/>
      <c r="MR117" s="4"/>
      <c r="MS117" s="4"/>
      <c r="MT117" s="4"/>
      <c r="MU117" s="4"/>
      <c r="MV117" s="4"/>
      <c r="MW117" s="4"/>
      <c r="MX117" s="4"/>
      <c r="MY117" s="4"/>
      <c r="MZ117" s="4"/>
      <c r="NA117" s="4"/>
      <c r="NB117" s="4"/>
      <c r="NC117" s="4"/>
      <c r="ND117" s="4"/>
      <c r="NE117" s="4"/>
      <c r="NF117" s="4"/>
      <c r="NG117" s="4"/>
      <c r="NH117" s="4"/>
      <c r="NI117" s="4"/>
      <c r="NJ117" s="4"/>
      <c r="NK117" s="4"/>
      <c r="NL117" s="4"/>
      <c r="NM117" s="4"/>
      <c r="NN117" s="4"/>
      <c r="NO117" s="4"/>
      <c r="NP117" s="4"/>
      <c r="NQ117" s="4"/>
      <c r="NR117" s="4"/>
      <c r="NS117" s="4"/>
      <c r="NT117" s="4"/>
      <c r="NU117" s="4"/>
      <c r="NV117" s="4"/>
      <c r="NW117" s="4"/>
      <c r="NX117" s="4"/>
      <c r="NY117" s="4"/>
      <c r="NZ117" s="4"/>
      <c r="OA117" s="4"/>
      <c r="OB117" s="4"/>
      <c r="OC117" s="4"/>
      <c r="OD117" s="4"/>
      <c r="OE117" s="4"/>
      <c r="OF117" s="4"/>
      <c r="OG117" s="4"/>
      <c r="OH117" s="4"/>
      <c r="OI117" s="4"/>
    </row>
    <row r="118" spans="1:399" outlineLevel="1">
      <c r="A118" s="116"/>
      <c r="B118" s="116"/>
      <c r="C118" s="116">
        <v>2</v>
      </c>
      <c r="D118" s="3" t="s">
        <v>1275</v>
      </c>
      <c r="E118" s="183"/>
      <c r="F118" s="183" t="s">
        <v>1180</v>
      </c>
      <c r="G118" s="183"/>
      <c r="H118" s="183"/>
      <c r="I118" s="183"/>
      <c r="J118" s="183"/>
      <c r="K118" s="183"/>
      <c r="L118" s="183"/>
      <c r="M118" s="184"/>
      <c r="N118" s="184"/>
      <c r="O118" s="185"/>
      <c r="P118" s="186">
        <v>0</v>
      </c>
      <c r="Q118" s="186">
        <v>0</v>
      </c>
      <c r="R118" s="187">
        <v>3</v>
      </c>
      <c r="S118" s="187">
        <v>3</v>
      </c>
      <c r="T118" s="184"/>
      <c r="U118" s="184"/>
      <c r="V118" s="188">
        <v>0</v>
      </c>
      <c r="W118" s="189">
        <v>0</v>
      </c>
      <c r="X118" s="190">
        <v>1</v>
      </c>
      <c r="Y118" s="185"/>
      <c r="Z118" s="191"/>
      <c r="AA118" s="97">
        <v>0</v>
      </c>
      <c r="AB118" s="192">
        <v>0</v>
      </c>
      <c r="AC118" s="123"/>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c r="CX118" s="4"/>
      <c r="CY118" s="4"/>
      <c r="CZ118" s="4"/>
      <c r="DA118" s="4"/>
      <c r="DB118" s="4"/>
      <c r="DC118" s="4"/>
      <c r="DD118" s="4"/>
      <c r="DE118" s="4"/>
      <c r="DF118" s="4"/>
      <c r="DG118" s="4"/>
      <c r="DH118" s="4"/>
      <c r="DI118" s="4"/>
      <c r="DJ118" s="4"/>
      <c r="DK118" s="4"/>
      <c r="DL118" s="4"/>
      <c r="DM118" s="4"/>
      <c r="DN118" s="4"/>
      <c r="DO118" s="4"/>
      <c r="DP118" s="4"/>
      <c r="DQ118" s="4"/>
      <c r="DR118" s="4"/>
      <c r="DS118" s="4"/>
      <c r="DT118" s="4"/>
      <c r="DU118" s="4"/>
      <c r="DV118" s="4"/>
      <c r="DW118" s="4"/>
      <c r="DX118" s="4"/>
      <c r="DY118" s="4"/>
      <c r="DZ118" s="4"/>
      <c r="EA118" s="4"/>
      <c r="EB118" s="4"/>
      <c r="EC118" s="4"/>
      <c r="ED118" s="4"/>
      <c r="EE118" s="4"/>
      <c r="EF118" s="4"/>
      <c r="EG118" s="4"/>
      <c r="EH118" s="4"/>
      <c r="EI118" s="4"/>
      <c r="EJ118" s="4"/>
      <c r="EK118" s="4"/>
      <c r="EL118" s="4"/>
      <c r="EM118" s="4"/>
      <c r="EN118" s="4"/>
      <c r="EO118" s="4"/>
      <c r="EP118" s="4"/>
      <c r="EQ118" s="4"/>
      <c r="ER118" s="4"/>
      <c r="ES118" s="4"/>
      <c r="ET118" s="4"/>
      <c r="EU118" s="4"/>
      <c r="EV118" s="4"/>
      <c r="EW118" s="4"/>
      <c r="EX118" s="4"/>
      <c r="EY118" s="4"/>
      <c r="EZ118" s="4"/>
      <c r="FA118" s="4"/>
      <c r="FB118" s="4"/>
      <c r="FC118" s="4"/>
      <c r="FD118" s="4"/>
      <c r="FE118" s="4"/>
      <c r="FF118" s="4"/>
      <c r="FG118" s="4"/>
      <c r="FH118" s="4"/>
      <c r="FI118" s="4"/>
      <c r="FJ118" s="4"/>
      <c r="FK118" s="4"/>
      <c r="FL118" s="4"/>
      <c r="FM118" s="4"/>
      <c r="FN118" s="4"/>
      <c r="FO118" s="4"/>
      <c r="FP118" s="4"/>
      <c r="FQ118" s="4"/>
      <c r="FR118" s="4"/>
      <c r="FS118" s="4"/>
      <c r="FT118" s="4"/>
      <c r="FU118" s="4"/>
      <c r="FV118" s="4"/>
      <c r="FW118" s="4"/>
      <c r="FX118" s="4"/>
      <c r="FY118" s="4"/>
      <c r="FZ118" s="4"/>
      <c r="GA118" s="4"/>
      <c r="GB118" s="4"/>
      <c r="GC118" s="4"/>
      <c r="GD118" s="4"/>
      <c r="GE118" s="4"/>
      <c r="GF118" s="4"/>
      <c r="GG118" s="4"/>
      <c r="GH118" s="4"/>
      <c r="GI118" s="4"/>
      <c r="GJ118" s="4"/>
      <c r="GK118" s="4"/>
      <c r="GL118" s="4"/>
      <c r="GM118" s="4"/>
      <c r="GN118" s="4"/>
      <c r="GO118" s="4"/>
      <c r="GP118" s="4"/>
      <c r="GQ118" s="4"/>
      <c r="GR118" s="4"/>
      <c r="GS118" s="4"/>
      <c r="GT118" s="4"/>
      <c r="GU118" s="4"/>
      <c r="GV118" s="4"/>
      <c r="GW118" s="4"/>
      <c r="GX118" s="4"/>
      <c r="GY118" s="4"/>
      <c r="GZ118" s="4"/>
      <c r="HA118" s="4"/>
      <c r="HB118" s="4"/>
      <c r="HC118" s="4"/>
      <c r="HD118" s="4"/>
      <c r="HE118" s="4"/>
      <c r="HF118" s="4"/>
      <c r="HG118" s="4"/>
      <c r="HH118" s="4"/>
      <c r="HI118" s="4"/>
      <c r="HJ118" s="4"/>
      <c r="HK118" s="4"/>
      <c r="HL118" s="4"/>
      <c r="HM118" s="4"/>
      <c r="HN118" s="4"/>
      <c r="HO118" s="4"/>
      <c r="HP118" s="4"/>
      <c r="HQ118" s="4"/>
      <c r="HR118" s="4"/>
      <c r="HS118" s="4"/>
      <c r="HT118" s="4"/>
      <c r="HU118" s="4"/>
      <c r="HV118" s="4"/>
      <c r="HW118" s="4"/>
      <c r="HX118" s="4"/>
      <c r="HY118" s="4"/>
      <c r="HZ118" s="4"/>
      <c r="IA118" s="4"/>
      <c r="IB118" s="4"/>
      <c r="IC118" s="4"/>
      <c r="ID118" s="4"/>
      <c r="IE118" s="4"/>
      <c r="IF118" s="4"/>
      <c r="IG118" s="4"/>
      <c r="IH118" s="4"/>
      <c r="II118" s="4"/>
      <c r="IJ118" s="4"/>
      <c r="IK118" s="4"/>
      <c r="IL118" s="4"/>
      <c r="IM118" s="4"/>
      <c r="IN118" s="4"/>
      <c r="IO118" s="4"/>
      <c r="IP118" s="4"/>
      <c r="IQ118" s="4"/>
      <c r="IR118" s="4"/>
      <c r="IS118" s="4"/>
      <c r="IT118" s="4"/>
      <c r="IU118" s="4"/>
      <c r="IV118" s="4"/>
      <c r="IW118" s="4"/>
      <c r="IX118" s="4"/>
      <c r="IY118" s="4"/>
      <c r="IZ118" s="4"/>
      <c r="JA118" s="4"/>
      <c r="JB118" s="4"/>
      <c r="JC118" s="4"/>
      <c r="JD118" s="4"/>
      <c r="JE118" s="4"/>
      <c r="JF118" s="4"/>
      <c r="JG118" s="4"/>
      <c r="JH118" s="4"/>
      <c r="JI118" s="4"/>
      <c r="JJ118" s="4"/>
      <c r="JK118" s="4"/>
      <c r="JL118" s="4"/>
      <c r="JM118" s="4"/>
      <c r="JN118" s="4"/>
      <c r="JO118" s="4"/>
      <c r="JP118" s="4"/>
      <c r="JQ118" s="4"/>
      <c r="JR118" s="4"/>
      <c r="JS118" s="4"/>
      <c r="JT118" s="4"/>
      <c r="JU118" s="4"/>
      <c r="JV118" s="4"/>
      <c r="JW118" s="4"/>
      <c r="JX118" s="4"/>
      <c r="JY118" s="4"/>
      <c r="JZ118" s="4"/>
      <c r="KA118" s="4"/>
      <c r="KB118" s="4"/>
      <c r="KC118" s="4"/>
      <c r="KD118" s="4"/>
      <c r="KE118" s="4"/>
      <c r="KF118" s="4"/>
      <c r="KG118" s="4"/>
      <c r="KH118" s="4"/>
      <c r="KI118" s="4"/>
      <c r="KJ118" s="4"/>
      <c r="KK118" s="4"/>
      <c r="KL118" s="4"/>
      <c r="KM118" s="4"/>
      <c r="KN118" s="4"/>
      <c r="KO118" s="4"/>
      <c r="KP118" s="4"/>
      <c r="KQ118" s="4"/>
      <c r="KR118" s="4"/>
      <c r="KS118" s="4"/>
      <c r="KT118" s="4"/>
      <c r="KU118" s="4"/>
      <c r="KV118" s="4"/>
      <c r="KW118" s="4"/>
      <c r="KX118" s="4"/>
      <c r="KY118" s="4"/>
      <c r="KZ118" s="4"/>
      <c r="LA118" s="4"/>
      <c r="LB118" s="4"/>
      <c r="LC118" s="4"/>
      <c r="LD118" s="4"/>
      <c r="LE118" s="4"/>
      <c r="LF118" s="4"/>
      <c r="LG118" s="4"/>
      <c r="LH118" s="4"/>
      <c r="LI118" s="4"/>
      <c r="LJ118" s="4"/>
      <c r="LK118" s="4"/>
      <c r="LL118" s="4"/>
      <c r="LM118" s="4"/>
      <c r="LN118" s="4"/>
      <c r="LO118" s="4"/>
      <c r="LP118" s="4"/>
      <c r="LQ118" s="4"/>
      <c r="LR118" s="4"/>
      <c r="LS118" s="4"/>
      <c r="LT118" s="4"/>
      <c r="LU118" s="4"/>
      <c r="LV118" s="4"/>
      <c r="LW118" s="4"/>
      <c r="LX118" s="4"/>
      <c r="LY118" s="4"/>
      <c r="LZ118" s="4"/>
      <c r="MA118" s="4"/>
      <c r="MB118" s="4"/>
      <c r="MC118" s="4"/>
      <c r="MD118" s="4"/>
      <c r="ME118" s="4"/>
      <c r="MF118" s="4"/>
      <c r="MG118" s="4"/>
      <c r="MH118" s="4"/>
      <c r="MI118" s="4"/>
      <c r="MJ118" s="4"/>
      <c r="MK118" s="4"/>
      <c r="ML118" s="4"/>
      <c r="MM118" s="4"/>
      <c r="MN118" s="4"/>
      <c r="MO118" s="4"/>
      <c r="MP118" s="4"/>
      <c r="MQ118" s="4"/>
      <c r="MR118" s="4"/>
      <c r="MS118" s="4"/>
      <c r="MT118" s="4"/>
      <c r="MU118" s="4"/>
      <c r="MV118" s="4"/>
      <c r="MW118" s="4"/>
      <c r="MX118" s="4"/>
      <c r="MY118" s="4"/>
      <c r="MZ118" s="4"/>
      <c r="NA118" s="4"/>
      <c r="NB118" s="4"/>
      <c r="NC118" s="4"/>
      <c r="ND118" s="4"/>
      <c r="NE118" s="4"/>
      <c r="NF118" s="4"/>
      <c r="NG118" s="4"/>
      <c r="NH118" s="4"/>
      <c r="NI118" s="4"/>
      <c r="NJ118" s="4"/>
      <c r="NK118" s="4"/>
      <c r="NL118" s="4"/>
      <c r="NM118" s="4"/>
      <c r="NN118" s="4"/>
      <c r="NO118" s="4"/>
      <c r="NP118" s="4"/>
      <c r="NQ118" s="4"/>
      <c r="NR118" s="4"/>
      <c r="NS118" s="4"/>
      <c r="NT118" s="4"/>
      <c r="NU118" s="4"/>
      <c r="NV118" s="4"/>
      <c r="NW118" s="4"/>
      <c r="NX118" s="4"/>
      <c r="NY118" s="4"/>
      <c r="NZ118" s="4"/>
      <c r="OA118" s="4"/>
      <c r="OB118" s="4"/>
      <c r="OC118" s="4"/>
      <c r="OD118" s="4"/>
      <c r="OE118" s="4"/>
      <c r="OF118" s="4"/>
      <c r="OG118" s="4"/>
      <c r="OH118" s="4"/>
      <c r="OI118" s="4"/>
    </row>
    <row r="119" spans="1:399" outlineLevel="1">
      <c r="A119" s="116"/>
      <c r="B119" s="116"/>
      <c r="C119" s="116">
        <v>2</v>
      </c>
      <c r="D119" s="3" t="s">
        <v>1276</v>
      </c>
      <c r="E119" s="183"/>
      <c r="F119" s="183" t="s">
        <v>1199</v>
      </c>
      <c r="G119" s="183"/>
      <c r="H119" s="183"/>
      <c r="I119" s="183"/>
      <c r="J119" s="183"/>
      <c r="K119" s="183"/>
      <c r="L119" s="183"/>
      <c r="M119" s="184"/>
      <c r="N119" s="184"/>
      <c r="O119" s="185"/>
      <c r="P119" s="186">
        <v>0</v>
      </c>
      <c r="Q119" s="186">
        <v>0</v>
      </c>
      <c r="R119" s="187">
        <v>1</v>
      </c>
      <c r="S119" s="187">
        <v>1</v>
      </c>
      <c r="T119" s="184"/>
      <c r="U119" s="184"/>
      <c r="V119" s="188">
        <v>0</v>
      </c>
      <c r="W119" s="189">
        <v>0</v>
      </c>
      <c r="X119" s="190">
        <v>1</v>
      </c>
      <c r="Y119" s="185"/>
      <c r="Z119" s="191"/>
      <c r="AA119" s="97">
        <v>0</v>
      </c>
      <c r="AB119" s="192">
        <v>0</v>
      </c>
      <c r="AC119" s="123"/>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c r="CX119" s="4"/>
      <c r="CY119" s="4"/>
      <c r="CZ119" s="4"/>
      <c r="DA119" s="4"/>
      <c r="DB119" s="4"/>
      <c r="DC119" s="4"/>
      <c r="DD119" s="4"/>
      <c r="DE119" s="4"/>
      <c r="DF119" s="4"/>
      <c r="DG119" s="4"/>
      <c r="DH119" s="4"/>
      <c r="DI119" s="4"/>
      <c r="DJ119" s="4"/>
      <c r="DK119" s="4"/>
      <c r="DL119" s="4"/>
      <c r="DM119" s="4"/>
      <c r="DN119" s="4"/>
      <c r="DO119" s="4"/>
      <c r="DP119" s="4"/>
      <c r="DQ119" s="4"/>
      <c r="DR119" s="4"/>
      <c r="DS119" s="4"/>
      <c r="DT119" s="4"/>
      <c r="DU119" s="4"/>
      <c r="DV119" s="4"/>
      <c r="DW119" s="4"/>
      <c r="DX119" s="4"/>
      <c r="DY119" s="4"/>
      <c r="DZ119" s="4"/>
      <c r="EA119" s="4"/>
      <c r="EB119" s="4"/>
      <c r="EC119" s="4"/>
      <c r="ED119" s="4"/>
      <c r="EE119" s="4"/>
      <c r="EF119" s="4"/>
      <c r="EG119" s="4"/>
      <c r="EH119" s="4"/>
      <c r="EI119" s="4"/>
      <c r="EJ119" s="4"/>
      <c r="EK119" s="4"/>
      <c r="EL119" s="4"/>
      <c r="EM119" s="4"/>
      <c r="EN119" s="4"/>
      <c r="EO119" s="4"/>
      <c r="EP119" s="4"/>
      <c r="EQ119" s="4"/>
      <c r="ER119" s="4"/>
      <c r="ES119" s="4"/>
      <c r="ET119" s="4"/>
      <c r="EU119" s="4"/>
      <c r="EV119" s="4"/>
      <c r="EW119" s="4"/>
      <c r="EX119" s="4"/>
      <c r="EY119" s="4"/>
      <c r="EZ119" s="4"/>
      <c r="FA119" s="4"/>
      <c r="FB119" s="4"/>
      <c r="FC119" s="4"/>
      <c r="FD119" s="4"/>
      <c r="FE119" s="4"/>
      <c r="FF119" s="4"/>
      <c r="FG119" s="4"/>
      <c r="FH119" s="4"/>
      <c r="FI119" s="4"/>
      <c r="FJ119" s="4"/>
      <c r="FK119" s="4"/>
      <c r="FL119" s="4"/>
      <c r="FM119" s="4"/>
      <c r="FN119" s="4"/>
      <c r="FO119" s="4"/>
      <c r="FP119" s="4"/>
      <c r="FQ119" s="4"/>
      <c r="FR119" s="4"/>
      <c r="FS119" s="4"/>
      <c r="FT119" s="4"/>
      <c r="FU119" s="4"/>
      <c r="FV119" s="4"/>
      <c r="FW119" s="4"/>
      <c r="FX119" s="4"/>
      <c r="FY119" s="4"/>
      <c r="FZ119" s="4"/>
      <c r="GA119" s="4"/>
      <c r="GB119" s="4"/>
      <c r="GC119" s="4"/>
      <c r="GD119" s="4"/>
      <c r="GE119" s="4"/>
      <c r="GF119" s="4"/>
      <c r="GG119" s="4"/>
      <c r="GH119" s="4"/>
      <c r="GI119" s="4"/>
      <c r="GJ119" s="4"/>
      <c r="GK119" s="4"/>
      <c r="GL119" s="4"/>
      <c r="GM119" s="4"/>
      <c r="GN119" s="4"/>
      <c r="GO119" s="4"/>
      <c r="GP119" s="4"/>
      <c r="GQ119" s="4"/>
      <c r="GR119" s="4"/>
      <c r="GS119" s="4"/>
      <c r="GT119" s="4"/>
      <c r="GU119" s="4"/>
      <c r="GV119" s="4"/>
      <c r="GW119" s="4"/>
      <c r="GX119" s="4"/>
      <c r="GY119" s="4"/>
      <c r="GZ119" s="4"/>
      <c r="HA119" s="4"/>
      <c r="HB119" s="4"/>
      <c r="HC119" s="4"/>
      <c r="HD119" s="4"/>
      <c r="HE119" s="4"/>
      <c r="HF119" s="4"/>
      <c r="HG119" s="4"/>
      <c r="HH119" s="4"/>
      <c r="HI119" s="4"/>
      <c r="HJ119" s="4"/>
      <c r="HK119" s="4"/>
      <c r="HL119" s="4"/>
      <c r="HM119" s="4"/>
      <c r="HN119" s="4"/>
      <c r="HO119" s="4"/>
      <c r="HP119" s="4"/>
      <c r="HQ119" s="4"/>
      <c r="HR119" s="4"/>
      <c r="HS119" s="4"/>
      <c r="HT119" s="4"/>
      <c r="HU119" s="4"/>
      <c r="HV119" s="4"/>
      <c r="HW119" s="4"/>
      <c r="HX119" s="4"/>
      <c r="HY119" s="4"/>
      <c r="HZ119" s="4"/>
      <c r="IA119" s="4"/>
      <c r="IB119" s="4"/>
      <c r="IC119" s="4"/>
      <c r="ID119" s="4"/>
      <c r="IE119" s="4"/>
      <c r="IF119" s="4"/>
      <c r="IG119" s="4"/>
      <c r="IH119" s="4"/>
      <c r="II119" s="4"/>
      <c r="IJ119" s="4"/>
      <c r="IK119" s="4"/>
      <c r="IL119" s="4"/>
      <c r="IM119" s="4"/>
      <c r="IN119" s="4"/>
      <c r="IO119" s="4"/>
      <c r="IP119" s="4"/>
      <c r="IQ119" s="4"/>
      <c r="IR119" s="4"/>
      <c r="IS119" s="4"/>
      <c r="IT119" s="4"/>
      <c r="IU119" s="4"/>
      <c r="IV119" s="4"/>
      <c r="IW119" s="4"/>
      <c r="IX119" s="4"/>
      <c r="IY119" s="4"/>
      <c r="IZ119" s="4"/>
      <c r="JA119" s="4"/>
      <c r="JB119" s="4"/>
      <c r="JC119" s="4"/>
      <c r="JD119" s="4"/>
      <c r="JE119" s="4"/>
      <c r="JF119" s="4"/>
      <c r="JG119" s="4"/>
      <c r="JH119" s="4"/>
      <c r="JI119" s="4"/>
      <c r="JJ119" s="4"/>
      <c r="JK119" s="4"/>
      <c r="JL119" s="4"/>
      <c r="JM119" s="4"/>
      <c r="JN119" s="4"/>
      <c r="JO119" s="4"/>
      <c r="JP119" s="4"/>
      <c r="JQ119" s="4"/>
      <c r="JR119" s="4"/>
      <c r="JS119" s="4"/>
      <c r="JT119" s="4"/>
      <c r="JU119" s="4"/>
      <c r="JV119" s="4"/>
      <c r="JW119" s="4"/>
      <c r="JX119" s="4"/>
      <c r="JY119" s="4"/>
      <c r="JZ119" s="4"/>
      <c r="KA119" s="4"/>
      <c r="KB119" s="4"/>
      <c r="KC119" s="4"/>
      <c r="KD119" s="4"/>
      <c r="KE119" s="4"/>
      <c r="KF119" s="4"/>
      <c r="KG119" s="4"/>
      <c r="KH119" s="4"/>
      <c r="KI119" s="4"/>
      <c r="KJ119" s="4"/>
      <c r="KK119" s="4"/>
      <c r="KL119" s="4"/>
      <c r="KM119" s="4"/>
      <c r="KN119" s="4"/>
      <c r="KO119" s="4"/>
      <c r="KP119" s="4"/>
      <c r="KQ119" s="4"/>
      <c r="KR119" s="4"/>
      <c r="KS119" s="4"/>
      <c r="KT119" s="4"/>
      <c r="KU119" s="4"/>
      <c r="KV119" s="4"/>
      <c r="KW119" s="4"/>
      <c r="KX119" s="4"/>
      <c r="KY119" s="4"/>
      <c r="KZ119" s="4"/>
      <c r="LA119" s="4"/>
      <c r="LB119" s="4"/>
      <c r="LC119" s="4"/>
      <c r="LD119" s="4"/>
      <c r="LE119" s="4"/>
      <c r="LF119" s="4"/>
      <c r="LG119" s="4"/>
      <c r="LH119" s="4"/>
      <c r="LI119" s="4"/>
      <c r="LJ119" s="4"/>
      <c r="LK119" s="4"/>
      <c r="LL119" s="4"/>
      <c r="LM119" s="4"/>
      <c r="LN119" s="4"/>
      <c r="LO119" s="4"/>
      <c r="LP119" s="4"/>
      <c r="LQ119" s="4"/>
      <c r="LR119" s="4"/>
      <c r="LS119" s="4"/>
      <c r="LT119" s="4"/>
      <c r="LU119" s="4"/>
      <c r="LV119" s="4"/>
      <c r="LW119" s="4"/>
      <c r="LX119" s="4"/>
      <c r="LY119" s="4"/>
      <c r="LZ119" s="4"/>
      <c r="MA119" s="4"/>
      <c r="MB119" s="4"/>
      <c r="MC119" s="4"/>
      <c r="MD119" s="4"/>
      <c r="ME119" s="4"/>
      <c r="MF119" s="4"/>
      <c r="MG119" s="4"/>
      <c r="MH119" s="4"/>
      <c r="MI119" s="4"/>
      <c r="MJ119" s="4"/>
      <c r="MK119" s="4"/>
      <c r="ML119" s="4"/>
      <c r="MM119" s="4"/>
      <c r="MN119" s="4"/>
      <c r="MO119" s="4"/>
      <c r="MP119" s="4"/>
      <c r="MQ119" s="4"/>
      <c r="MR119" s="4"/>
      <c r="MS119" s="4"/>
      <c r="MT119" s="4"/>
      <c r="MU119" s="4"/>
      <c r="MV119" s="4"/>
      <c r="MW119" s="4"/>
      <c r="MX119" s="4"/>
      <c r="MY119" s="4"/>
      <c r="MZ119" s="4"/>
      <c r="NA119" s="4"/>
      <c r="NB119" s="4"/>
      <c r="NC119" s="4"/>
      <c r="ND119" s="4"/>
      <c r="NE119" s="4"/>
      <c r="NF119" s="4"/>
      <c r="NG119" s="4"/>
      <c r="NH119" s="4"/>
      <c r="NI119" s="4"/>
      <c r="NJ119" s="4"/>
      <c r="NK119" s="4"/>
      <c r="NL119" s="4"/>
      <c r="NM119" s="4"/>
      <c r="NN119" s="4"/>
      <c r="NO119" s="4"/>
      <c r="NP119" s="4"/>
      <c r="NQ119" s="4"/>
      <c r="NR119" s="4"/>
      <c r="NS119" s="4"/>
      <c r="NT119" s="4"/>
      <c r="NU119" s="4"/>
      <c r="NV119" s="4"/>
      <c r="NW119" s="4"/>
      <c r="NX119" s="4"/>
      <c r="NY119" s="4"/>
      <c r="NZ119" s="4"/>
      <c r="OA119" s="4"/>
      <c r="OB119" s="4"/>
      <c r="OC119" s="4"/>
      <c r="OD119" s="4"/>
      <c r="OE119" s="4"/>
      <c r="OF119" s="4"/>
      <c r="OG119" s="4"/>
      <c r="OH119" s="4"/>
      <c r="OI119" s="4"/>
    </row>
    <row r="120" spans="1:399" outlineLevel="1">
      <c r="A120" s="116"/>
      <c r="B120" s="116"/>
      <c r="C120" s="116">
        <v>2</v>
      </c>
      <c r="D120" s="3" t="s">
        <v>1277</v>
      </c>
      <c r="E120" s="183"/>
      <c r="F120" s="183" t="s">
        <v>1182</v>
      </c>
      <c r="G120" s="183"/>
      <c r="H120" s="183"/>
      <c r="I120" s="183"/>
      <c r="J120" s="183"/>
      <c r="K120" s="183"/>
      <c r="L120" s="183"/>
      <c r="M120" s="184"/>
      <c r="N120" s="184"/>
      <c r="O120" s="185"/>
      <c r="P120" s="186">
        <v>0</v>
      </c>
      <c r="Q120" s="186">
        <v>0</v>
      </c>
      <c r="R120" s="187"/>
      <c r="S120" s="187"/>
      <c r="T120" s="184"/>
      <c r="U120" s="184"/>
      <c r="V120" s="188">
        <v>0</v>
      </c>
      <c r="W120" s="189"/>
      <c r="X120" s="190"/>
      <c r="Y120" s="185"/>
      <c r="Z120" s="191"/>
      <c r="AA120" s="97">
        <v>0</v>
      </c>
      <c r="AB120" s="192">
        <v>0</v>
      </c>
      <c r="AC120" s="123"/>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c r="CX120" s="4"/>
      <c r="CY120" s="4"/>
      <c r="CZ120" s="4"/>
      <c r="DA120" s="4"/>
      <c r="DB120" s="4"/>
      <c r="DC120" s="4"/>
      <c r="DD120" s="4"/>
      <c r="DE120" s="4"/>
      <c r="DF120" s="4"/>
      <c r="DG120" s="4"/>
      <c r="DH120" s="4"/>
      <c r="DI120" s="4"/>
      <c r="DJ120" s="4"/>
      <c r="DK120" s="4"/>
      <c r="DL120" s="4"/>
      <c r="DM120" s="4"/>
      <c r="DN120" s="4"/>
      <c r="DO120" s="4"/>
      <c r="DP120" s="4"/>
      <c r="DQ120" s="4"/>
      <c r="DR120" s="4"/>
      <c r="DS120" s="4"/>
      <c r="DT120" s="4"/>
      <c r="DU120" s="4"/>
      <c r="DV120" s="4"/>
      <c r="DW120" s="4"/>
      <c r="DX120" s="4"/>
      <c r="DY120" s="4"/>
      <c r="DZ120" s="4"/>
      <c r="EA120" s="4"/>
      <c r="EB120" s="4"/>
      <c r="EC120" s="4"/>
      <c r="ED120" s="4"/>
      <c r="EE120" s="4"/>
      <c r="EF120" s="4"/>
      <c r="EG120" s="4"/>
      <c r="EH120" s="4"/>
      <c r="EI120" s="4"/>
      <c r="EJ120" s="4"/>
      <c r="EK120" s="4"/>
      <c r="EL120" s="4"/>
      <c r="EM120" s="4"/>
      <c r="EN120" s="4"/>
      <c r="EO120" s="4"/>
      <c r="EP120" s="4"/>
      <c r="EQ120" s="4"/>
      <c r="ER120" s="4"/>
      <c r="ES120" s="4"/>
      <c r="ET120" s="4"/>
      <c r="EU120" s="4"/>
      <c r="EV120" s="4"/>
      <c r="EW120" s="4"/>
      <c r="EX120" s="4"/>
      <c r="EY120" s="4"/>
      <c r="EZ120" s="4"/>
      <c r="FA120" s="4"/>
      <c r="FB120" s="4"/>
      <c r="FC120" s="4"/>
      <c r="FD120" s="4"/>
      <c r="FE120" s="4"/>
      <c r="FF120" s="4"/>
      <c r="FG120" s="4"/>
      <c r="FH120" s="4"/>
      <c r="FI120" s="4"/>
      <c r="FJ120" s="4"/>
      <c r="FK120" s="4"/>
      <c r="FL120" s="4"/>
      <c r="FM120" s="4"/>
      <c r="FN120" s="4"/>
      <c r="FO120" s="4"/>
      <c r="FP120" s="4"/>
      <c r="FQ120" s="4"/>
      <c r="FR120" s="4"/>
      <c r="FS120" s="4"/>
      <c r="FT120" s="4"/>
      <c r="FU120" s="4"/>
      <c r="FV120" s="4"/>
      <c r="FW120" s="4"/>
      <c r="FX120" s="4"/>
      <c r="FY120" s="4"/>
      <c r="FZ120" s="4"/>
      <c r="GA120" s="4"/>
      <c r="GB120" s="4"/>
      <c r="GC120" s="4"/>
      <c r="GD120" s="4"/>
      <c r="GE120" s="4"/>
      <c r="GF120" s="4"/>
      <c r="GG120" s="4"/>
      <c r="GH120" s="4"/>
      <c r="GI120" s="4"/>
      <c r="GJ120" s="4"/>
      <c r="GK120" s="4"/>
      <c r="GL120" s="4"/>
      <c r="GM120" s="4"/>
      <c r="GN120" s="4"/>
      <c r="GO120" s="4"/>
      <c r="GP120" s="4"/>
      <c r="GQ120" s="4"/>
      <c r="GR120" s="4"/>
      <c r="GS120" s="4"/>
      <c r="GT120" s="4"/>
      <c r="GU120" s="4"/>
      <c r="GV120" s="4"/>
      <c r="GW120" s="4"/>
      <c r="GX120" s="4"/>
      <c r="GY120" s="4"/>
      <c r="GZ120" s="4"/>
      <c r="HA120" s="4"/>
      <c r="HB120" s="4"/>
      <c r="HC120" s="4"/>
      <c r="HD120" s="4"/>
      <c r="HE120" s="4"/>
      <c r="HF120" s="4"/>
      <c r="HG120" s="4"/>
      <c r="HH120" s="4"/>
      <c r="HI120" s="4"/>
      <c r="HJ120" s="4"/>
      <c r="HK120" s="4"/>
      <c r="HL120" s="4"/>
      <c r="HM120" s="4"/>
      <c r="HN120" s="4"/>
      <c r="HO120" s="4"/>
      <c r="HP120" s="4"/>
      <c r="HQ120" s="4"/>
      <c r="HR120" s="4"/>
      <c r="HS120" s="4"/>
      <c r="HT120" s="4"/>
      <c r="HU120" s="4"/>
      <c r="HV120" s="4"/>
      <c r="HW120" s="4"/>
      <c r="HX120" s="4"/>
      <c r="HY120" s="4"/>
      <c r="HZ120" s="4"/>
      <c r="IA120" s="4"/>
      <c r="IB120" s="4"/>
      <c r="IC120" s="4"/>
      <c r="ID120" s="4"/>
      <c r="IE120" s="4"/>
      <c r="IF120" s="4"/>
      <c r="IG120" s="4"/>
      <c r="IH120" s="4"/>
      <c r="II120" s="4"/>
      <c r="IJ120" s="4"/>
      <c r="IK120" s="4"/>
      <c r="IL120" s="4"/>
      <c r="IM120" s="4"/>
      <c r="IN120" s="4"/>
      <c r="IO120" s="4"/>
      <c r="IP120" s="4"/>
      <c r="IQ120" s="4"/>
      <c r="IR120" s="4"/>
      <c r="IS120" s="4"/>
      <c r="IT120" s="4"/>
      <c r="IU120" s="4"/>
      <c r="IV120" s="4"/>
      <c r="IW120" s="4"/>
      <c r="IX120" s="4"/>
      <c r="IY120" s="4"/>
      <c r="IZ120" s="4"/>
      <c r="JA120" s="4"/>
      <c r="JB120" s="4"/>
      <c r="JC120" s="4"/>
      <c r="JD120" s="4"/>
      <c r="JE120" s="4"/>
      <c r="JF120" s="4"/>
      <c r="JG120" s="4"/>
      <c r="JH120" s="4"/>
      <c r="JI120" s="4"/>
      <c r="JJ120" s="4"/>
      <c r="JK120" s="4"/>
      <c r="JL120" s="4"/>
      <c r="JM120" s="4"/>
      <c r="JN120" s="4"/>
      <c r="JO120" s="4"/>
      <c r="JP120" s="4"/>
      <c r="JQ120" s="4"/>
      <c r="JR120" s="4"/>
      <c r="JS120" s="4"/>
      <c r="JT120" s="4"/>
      <c r="JU120" s="4"/>
      <c r="JV120" s="4"/>
      <c r="JW120" s="4"/>
      <c r="JX120" s="4"/>
      <c r="JY120" s="4"/>
      <c r="JZ120" s="4"/>
      <c r="KA120" s="4"/>
      <c r="KB120" s="4"/>
      <c r="KC120" s="4"/>
      <c r="KD120" s="4"/>
      <c r="KE120" s="4"/>
      <c r="KF120" s="4"/>
      <c r="KG120" s="4"/>
      <c r="KH120" s="4"/>
      <c r="KI120" s="4"/>
      <c r="KJ120" s="4"/>
      <c r="KK120" s="4"/>
      <c r="KL120" s="4"/>
      <c r="KM120" s="4"/>
      <c r="KN120" s="4"/>
      <c r="KO120" s="4"/>
      <c r="KP120" s="4"/>
      <c r="KQ120" s="4"/>
      <c r="KR120" s="4"/>
      <c r="KS120" s="4"/>
      <c r="KT120" s="4"/>
      <c r="KU120" s="4"/>
      <c r="KV120" s="4"/>
      <c r="KW120" s="4"/>
      <c r="KX120" s="4"/>
      <c r="KY120" s="4"/>
      <c r="KZ120" s="4"/>
      <c r="LA120" s="4"/>
      <c r="LB120" s="4"/>
      <c r="LC120" s="4"/>
      <c r="LD120" s="4"/>
      <c r="LE120" s="4"/>
      <c r="LF120" s="4"/>
      <c r="LG120" s="4"/>
      <c r="LH120" s="4"/>
      <c r="LI120" s="4"/>
      <c r="LJ120" s="4"/>
      <c r="LK120" s="4"/>
      <c r="LL120" s="4"/>
      <c r="LM120" s="4"/>
      <c r="LN120" s="4"/>
      <c r="LO120" s="4"/>
      <c r="LP120" s="4"/>
      <c r="LQ120" s="4"/>
      <c r="LR120" s="4"/>
      <c r="LS120" s="4"/>
      <c r="LT120" s="4"/>
      <c r="LU120" s="4"/>
      <c r="LV120" s="4"/>
      <c r="LW120" s="4"/>
      <c r="LX120" s="4"/>
      <c r="LY120" s="4"/>
      <c r="LZ120" s="4"/>
      <c r="MA120" s="4"/>
      <c r="MB120" s="4"/>
      <c r="MC120" s="4"/>
      <c r="MD120" s="4"/>
      <c r="ME120" s="4"/>
      <c r="MF120" s="4"/>
      <c r="MG120" s="4"/>
      <c r="MH120" s="4"/>
      <c r="MI120" s="4"/>
      <c r="MJ120" s="4"/>
      <c r="MK120" s="4"/>
      <c r="ML120" s="4"/>
      <c r="MM120" s="4"/>
      <c r="MN120" s="4"/>
      <c r="MO120" s="4"/>
      <c r="MP120" s="4"/>
      <c r="MQ120" s="4"/>
      <c r="MR120" s="4"/>
      <c r="MS120" s="4"/>
      <c r="MT120" s="4"/>
      <c r="MU120" s="4"/>
      <c r="MV120" s="4"/>
      <c r="MW120" s="4"/>
      <c r="MX120" s="4"/>
      <c r="MY120" s="4"/>
      <c r="MZ120" s="4"/>
      <c r="NA120" s="4"/>
      <c r="NB120" s="4"/>
      <c r="NC120" s="4"/>
      <c r="ND120" s="4"/>
      <c r="NE120" s="4"/>
      <c r="NF120" s="4"/>
      <c r="NG120" s="4"/>
      <c r="NH120" s="4"/>
      <c r="NI120" s="4"/>
      <c r="NJ120" s="4"/>
      <c r="NK120" s="4"/>
      <c r="NL120" s="4"/>
      <c r="NM120" s="4"/>
      <c r="NN120" s="4"/>
      <c r="NO120" s="4"/>
      <c r="NP120" s="4"/>
      <c r="NQ120" s="4"/>
      <c r="NR120" s="4"/>
      <c r="NS120" s="4"/>
      <c r="NT120" s="4"/>
      <c r="NU120" s="4"/>
      <c r="NV120" s="4"/>
      <c r="NW120" s="4"/>
      <c r="NX120" s="4"/>
      <c r="NY120" s="4"/>
      <c r="NZ120" s="4"/>
      <c r="OA120" s="4"/>
      <c r="OB120" s="4"/>
      <c r="OC120" s="4"/>
      <c r="OD120" s="4"/>
      <c r="OE120" s="4"/>
      <c r="OF120" s="4"/>
      <c r="OG120" s="4"/>
      <c r="OH120" s="4"/>
      <c r="OI120" s="4"/>
    </row>
    <row r="121" spans="1:399" outlineLevel="1">
      <c r="A121" s="116"/>
      <c r="B121" s="116"/>
      <c r="C121" s="116">
        <v>2</v>
      </c>
      <c r="D121" s="3" t="s">
        <v>1278</v>
      </c>
      <c r="E121" s="183"/>
      <c r="F121" s="183" t="s">
        <v>1251</v>
      </c>
      <c r="G121" s="183"/>
      <c r="H121" s="183"/>
      <c r="I121" s="183"/>
      <c r="J121" s="183"/>
      <c r="K121" s="183"/>
      <c r="L121" s="183"/>
      <c r="M121" s="184"/>
      <c r="N121" s="184"/>
      <c r="O121" s="185"/>
      <c r="P121" s="186">
        <v>0</v>
      </c>
      <c r="Q121" s="186">
        <v>0</v>
      </c>
      <c r="R121" s="187"/>
      <c r="S121" s="187"/>
      <c r="T121" s="184"/>
      <c r="U121" s="184"/>
      <c r="V121" s="188">
        <v>0</v>
      </c>
      <c r="W121" s="189"/>
      <c r="X121" s="190"/>
      <c r="Y121" s="185"/>
      <c r="Z121" s="191"/>
      <c r="AA121" s="97">
        <v>0</v>
      </c>
      <c r="AB121" s="192">
        <v>0</v>
      </c>
      <c r="AC121" s="123"/>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c r="CX121" s="4"/>
      <c r="CY121" s="4"/>
      <c r="CZ121" s="4"/>
      <c r="DA121" s="4"/>
      <c r="DB121" s="4"/>
      <c r="DC121" s="4"/>
      <c r="DD121" s="4"/>
      <c r="DE121" s="4"/>
      <c r="DF121" s="4"/>
      <c r="DG121" s="4"/>
      <c r="DH121" s="4"/>
      <c r="DI121" s="4"/>
      <c r="DJ121" s="4"/>
      <c r="DK121" s="4"/>
      <c r="DL121" s="4"/>
      <c r="DM121" s="4"/>
      <c r="DN121" s="4"/>
      <c r="DO121" s="4"/>
      <c r="DP121" s="4"/>
      <c r="DQ121" s="4"/>
      <c r="DR121" s="4"/>
      <c r="DS121" s="4"/>
      <c r="DT121" s="4"/>
      <c r="DU121" s="4"/>
      <c r="DV121" s="4"/>
      <c r="DW121" s="4"/>
      <c r="DX121" s="4"/>
      <c r="DY121" s="4"/>
      <c r="DZ121" s="4"/>
      <c r="EA121" s="4"/>
      <c r="EB121" s="4"/>
      <c r="EC121" s="4"/>
      <c r="ED121" s="4"/>
      <c r="EE121" s="4"/>
      <c r="EF121" s="4"/>
      <c r="EG121" s="4"/>
      <c r="EH121" s="4"/>
      <c r="EI121" s="4"/>
      <c r="EJ121" s="4"/>
      <c r="EK121" s="4"/>
      <c r="EL121" s="4"/>
      <c r="EM121" s="4"/>
      <c r="EN121" s="4"/>
      <c r="EO121" s="4"/>
      <c r="EP121" s="4"/>
      <c r="EQ121" s="4"/>
      <c r="ER121" s="4"/>
      <c r="ES121" s="4"/>
      <c r="ET121" s="4"/>
      <c r="EU121" s="4"/>
      <c r="EV121" s="4"/>
      <c r="EW121" s="4"/>
      <c r="EX121" s="4"/>
      <c r="EY121" s="4"/>
      <c r="EZ121" s="4"/>
      <c r="FA121" s="4"/>
      <c r="FB121" s="4"/>
      <c r="FC121" s="4"/>
      <c r="FD121" s="4"/>
      <c r="FE121" s="4"/>
      <c r="FF121" s="4"/>
      <c r="FG121" s="4"/>
      <c r="FH121" s="4"/>
      <c r="FI121" s="4"/>
      <c r="FJ121" s="4"/>
      <c r="FK121" s="4"/>
      <c r="FL121" s="4"/>
      <c r="FM121" s="4"/>
      <c r="FN121" s="4"/>
      <c r="FO121" s="4"/>
      <c r="FP121" s="4"/>
      <c r="FQ121" s="4"/>
      <c r="FR121" s="4"/>
      <c r="FS121" s="4"/>
      <c r="FT121" s="4"/>
      <c r="FU121" s="4"/>
      <c r="FV121" s="4"/>
      <c r="FW121" s="4"/>
      <c r="FX121" s="4"/>
      <c r="FY121" s="4"/>
      <c r="FZ121" s="4"/>
      <c r="GA121" s="4"/>
      <c r="GB121" s="4"/>
      <c r="GC121" s="4"/>
      <c r="GD121" s="4"/>
      <c r="GE121" s="4"/>
      <c r="GF121" s="4"/>
      <c r="GG121" s="4"/>
      <c r="GH121" s="4"/>
      <c r="GI121" s="4"/>
      <c r="GJ121" s="4"/>
      <c r="GK121" s="4"/>
      <c r="GL121" s="4"/>
      <c r="GM121" s="4"/>
      <c r="GN121" s="4"/>
      <c r="GO121" s="4"/>
      <c r="GP121" s="4"/>
      <c r="GQ121" s="4"/>
      <c r="GR121" s="4"/>
      <c r="GS121" s="4"/>
      <c r="GT121" s="4"/>
      <c r="GU121" s="4"/>
      <c r="GV121" s="4"/>
      <c r="GW121" s="4"/>
      <c r="GX121" s="4"/>
      <c r="GY121" s="4"/>
      <c r="GZ121" s="4"/>
      <c r="HA121" s="4"/>
      <c r="HB121" s="4"/>
      <c r="HC121" s="4"/>
      <c r="HD121" s="4"/>
      <c r="HE121" s="4"/>
      <c r="HF121" s="4"/>
      <c r="HG121" s="4"/>
      <c r="HH121" s="4"/>
      <c r="HI121" s="4"/>
      <c r="HJ121" s="4"/>
      <c r="HK121" s="4"/>
      <c r="HL121" s="4"/>
      <c r="HM121" s="4"/>
      <c r="HN121" s="4"/>
      <c r="HO121" s="4"/>
      <c r="HP121" s="4"/>
      <c r="HQ121" s="4"/>
      <c r="HR121" s="4"/>
      <c r="HS121" s="4"/>
      <c r="HT121" s="4"/>
      <c r="HU121" s="4"/>
      <c r="HV121" s="4"/>
      <c r="HW121" s="4"/>
      <c r="HX121" s="4"/>
      <c r="HY121" s="4"/>
      <c r="HZ121" s="4"/>
      <c r="IA121" s="4"/>
      <c r="IB121" s="4"/>
      <c r="IC121" s="4"/>
      <c r="ID121" s="4"/>
      <c r="IE121" s="4"/>
      <c r="IF121" s="4"/>
      <c r="IG121" s="4"/>
      <c r="IH121" s="4"/>
      <c r="II121" s="4"/>
      <c r="IJ121" s="4"/>
      <c r="IK121" s="4"/>
      <c r="IL121" s="4"/>
      <c r="IM121" s="4"/>
      <c r="IN121" s="4"/>
      <c r="IO121" s="4"/>
      <c r="IP121" s="4"/>
      <c r="IQ121" s="4"/>
      <c r="IR121" s="4"/>
      <c r="IS121" s="4"/>
      <c r="IT121" s="4"/>
      <c r="IU121" s="4"/>
      <c r="IV121" s="4"/>
      <c r="IW121" s="4"/>
      <c r="IX121" s="4"/>
      <c r="IY121" s="4"/>
      <c r="IZ121" s="4"/>
      <c r="JA121" s="4"/>
      <c r="JB121" s="4"/>
      <c r="JC121" s="4"/>
      <c r="JD121" s="4"/>
      <c r="JE121" s="4"/>
      <c r="JF121" s="4"/>
      <c r="JG121" s="4"/>
      <c r="JH121" s="4"/>
      <c r="JI121" s="4"/>
      <c r="JJ121" s="4"/>
      <c r="JK121" s="4"/>
      <c r="JL121" s="4"/>
      <c r="JM121" s="4"/>
      <c r="JN121" s="4"/>
      <c r="JO121" s="4"/>
      <c r="JP121" s="4"/>
      <c r="JQ121" s="4"/>
      <c r="JR121" s="4"/>
      <c r="JS121" s="4"/>
      <c r="JT121" s="4"/>
      <c r="JU121" s="4"/>
      <c r="JV121" s="4"/>
      <c r="JW121" s="4"/>
      <c r="JX121" s="4"/>
      <c r="JY121" s="4"/>
      <c r="JZ121" s="4"/>
      <c r="KA121" s="4"/>
      <c r="KB121" s="4"/>
      <c r="KC121" s="4"/>
      <c r="KD121" s="4"/>
      <c r="KE121" s="4"/>
      <c r="KF121" s="4"/>
      <c r="KG121" s="4"/>
      <c r="KH121" s="4"/>
      <c r="KI121" s="4"/>
      <c r="KJ121" s="4"/>
      <c r="KK121" s="4"/>
      <c r="KL121" s="4"/>
      <c r="KM121" s="4"/>
      <c r="KN121" s="4"/>
      <c r="KO121" s="4"/>
      <c r="KP121" s="4"/>
      <c r="KQ121" s="4"/>
      <c r="KR121" s="4"/>
      <c r="KS121" s="4"/>
      <c r="KT121" s="4"/>
      <c r="KU121" s="4"/>
      <c r="KV121" s="4"/>
      <c r="KW121" s="4"/>
      <c r="KX121" s="4"/>
      <c r="KY121" s="4"/>
      <c r="KZ121" s="4"/>
      <c r="LA121" s="4"/>
      <c r="LB121" s="4"/>
      <c r="LC121" s="4"/>
      <c r="LD121" s="4"/>
      <c r="LE121" s="4"/>
      <c r="LF121" s="4"/>
      <c r="LG121" s="4"/>
      <c r="LH121" s="4"/>
      <c r="LI121" s="4"/>
      <c r="LJ121" s="4"/>
      <c r="LK121" s="4"/>
      <c r="LL121" s="4"/>
      <c r="LM121" s="4"/>
      <c r="LN121" s="4"/>
      <c r="LO121" s="4"/>
      <c r="LP121" s="4"/>
      <c r="LQ121" s="4"/>
      <c r="LR121" s="4"/>
      <c r="LS121" s="4"/>
      <c r="LT121" s="4"/>
      <c r="LU121" s="4"/>
      <c r="LV121" s="4"/>
      <c r="LW121" s="4"/>
      <c r="LX121" s="4"/>
      <c r="LY121" s="4"/>
      <c r="LZ121" s="4"/>
      <c r="MA121" s="4"/>
      <c r="MB121" s="4"/>
      <c r="MC121" s="4"/>
      <c r="MD121" s="4"/>
      <c r="ME121" s="4"/>
      <c r="MF121" s="4"/>
      <c r="MG121" s="4"/>
      <c r="MH121" s="4"/>
      <c r="MI121" s="4"/>
      <c r="MJ121" s="4"/>
      <c r="MK121" s="4"/>
      <c r="ML121" s="4"/>
      <c r="MM121" s="4"/>
      <c r="MN121" s="4"/>
      <c r="MO121" s="4"/>
      <c r="MP121" s="4"/>
      <c r="MQ121" s="4"/>
      <c r="MR121" s="4"/>
      <c r="MS121" s="4"/>
      <c r="MT121" s="4"/>
      <c r="MU121" s="4"/>
      <c r="MV121" s="4"/>
      <c r="MW121" s="4"/>
      <c r="MX121" s="4"/>
      <c r="MY121" s="4"/>
      <c r="MZ121" s="4"/>
      <c r="NA121" s="4"/>
      <c r="NB121" s="4"/>
      <c r="NC121" s="4"/>
      <c r="ND121" s="4"/>
      <c r="NE121" s="4"/>
      <c r="NF121" s="4"/>
      <c r="NG121" s="4"/>
      <c r="NH121" s="4"/>
      <c r="NI121" s="4"/>
      <c r="NJ121" s="4"/>
      <c r="NK121" s="4"/>
      <c r="NL121" s="4"/>
      <c r="NM121" s="4"/>
      <c r="NN121" s="4"/>
      <c r="NO121" s="4"/>
      <c r="NP121" s="4"/>
      <c r="NQ121" s="4"/>
      <c r="NR121" s="4"/>
      <c r="NS121" s="4"/>
      <c r="NT121" s="4"/>
      <c r="NU121" s="4"/>
      <c r="NV121" s="4"/>
      <c r="NW121" s="4"/>
      <c r="NX121" s="4"/>
      <c r="NY121" s="4"/>
      <c r="NZ121" s="4"/>
      <c r="OA121" s="4"/>
      <c r="OB121" s="4"/>
      <c r="OC121" s="4"/>
      <c r="OD121" s="4"/>
      <c r="OE121" s="4"/>
      <c r="OF121" s="4"/>
      <c r="OG121" s="4"/>
      <c r="OH121" s="4"/>
      <c r="OI121" s="4"/>
    </row>
    <row r="122" spans="1:399">
      <c r="A122" s="193"/>
      <c r="B122" s="193"/>
      <c r="C122" s="193">
        <v>0</v>
      </c>
      <c r="D122" s="194"/>
      <c r="E122" s="195"/>
      <c r="F122" s="195"/>
      <c r="G122" s="195"/>
      <c r="H122" s="195"/>
      <c r="I122" s="195"/>
      <c r="J122" s="195"/>
      <c r="K122" s="195"/>
      <c r="L122" s="195"/>
      <c r="M122" s="196"/>
      <c r="N122" s="196"/>
      <c r="O122" s="197"/>
      <c r="P122" s="198"/>
      <c r="Q122" s="198"/>
      <c r="R122" s="199"/>
      <c r="S122" s="199"/>
      <c r="T122" s="196"/>
      <c r="U122" s="196"/>
      <c r="V122" s="200"/>
      <c r="W122" s="201"/>
      <c r="X122" s="202"/>
      <c r="Y122" s="197"/>
      <c r="Z122" s="203"/>
      <c r="AA122" s="204"/>
      <c r="AB122" s="205"/>
    </row>
    <row r="123" spans="1:399">
      <c r="A123" s="116"/>
      <c r="B123" s="116"/>
      <c r="C123" s="116">
        <v>0</v>
      </c>
      <c r="D123" s="3"/>
      <c r="E123" s="183"/>
      <c r="F123" s="183"/>
      <c r="G123" s="183"/>
      <c r="H123" s="183"/>
      <c r="I123" s="183"/>
      <c r="J123" s="183"/>
      <c r="K123" s="183"/>
      <c r="L123" s="183"/>
      <c r="M123" s="184"/>
      <c r="N123" s="184"/>
      <c r="O123" s="185"/>
      <c r="P123" s="186"/>
      <c r="Q123" s="186"/>
      <c r="R123" s="187"/>
      <c r="S123" s="187"/>
      <c r="T123" s="184"/>
      <c r="U123" s="184"/>
      <c r="V123" s="188"/>
      <c r="W123" s="189"/>
      <c r="X123" s="190"/>
      <c r="Y123" s="185"/>
      <c r="Z123" s="191"/>
      <c r="AA123" s="97"/>
      <c r="AB123" s="192"/>
    </row>
    <row r="124" spans="1:399">
      <c r="A124" s="116"/>
      <c r="B124" s="116" t="s">
        <v>1061</v>
      </c>
      <c r="C124" s="116">
        <v>1</v>
      </c>
      <c r="D124" s="3"/>
      <c r="E124" s="214"/>
      <c r="F124" s="183"/>
      <c r="G124" s="183"/>
      <c r="H124" s="183"/>
      <c r="I124" s="183"/>
      <c r="J124" s="183"/>
      <c r="K124" s="183"/>
      <c r="L124" s="183"/>
      <c r="M124" s="184"/>
      <c r="N124" s="184"/>
      <c r="O124" s="185"/>
      <c r="P124" s="186"/>
      <c r="Q124" s="186"/>
      <c r="R124" s="187"/>
      <c r="S124" s="187"/>
      <c r="T124" s="184"/>
      <c r="U124" s="184"/>
      <c r="V124" s="188"/>
      <c r="W124" s="189"/>
      <c r="X124" s="190"/>
      <c r="Y124" s="185"/>
      <c r="Z124" s="191"/>
      <c r="AA124" s="97"/>
      <c r="AB124" s="192"/>
    </row>
    <row r="125" spans="1:399">
      <c r="A125" s="116"/>
      <c r="B125" s="116"/>
      <c r="C125" s="116">
        <v>2</v>
      </c>
      <c r="D125" s="3"/>
      <c r="E125" s="214"/>
      <c r="F125" s="216"/>
      <c r="G125" s="183"/>
      <c r="H125" s="183"/>
      <c r="I125" s="183"/>
      <c r="J125" s="183"/>
      <c r="K125" s="183"/>
      <c r="L125" s="183"/>
      <c r="M125" s="184"/>
      <c r="N125" s="184"/>
      <c r="O125" s="185"/>
      <c r="P125" s="186"/>
      <c r="Q125" s="186"/>
      <c r="R125" s="187"/>
      <c r="S125" s="187"/>
      <c r="T125" s="184"/>
      <c r="U125" s="184"/>
      <c r="V125" s="188"/>
      <c r="W125" s="189"/>
      <c r="X125" s="190"/>
      <c r="Y125" s="185"/>
      <c r="Z125" s="191"/>
      <c r="AA125" s="97"/>
      <c r="AB125" s="192"/>
    </row>
    <row r="126" spans="1:399">
      <c r="A126" s="116"/>
      <c r="B126" s="116"/>
      <c r="C126" s="116">
        <v>2</v>
      </c>
      <c r="D126" s="3"/>
      <c r="E126" s="214"/>
      <c r="F126" s="216"/>
      <c r="G126" s="183"/>
      <c r="H126" s="183"/>
      <c r="I126" s="183"/>
      <c r="J126" s="183"/>
      <c r="K126" s="183"/>
      <c r="L126" s="183"/>
      <c r="M126" s="184"/>
      <c r="N126" s="184"/>
      <c r="O126" s="185"/>
      <c r="P126" s="186"/>
      <c r="Q126" s="186"/>
      <c r="R126" s="187"/>
      <c r="S126" s="187"/>
      <c r="T126" s="184"/>
      <c r="U126" s="184"/>
      <c r="V126" s="188"/>
      <c r="W126" s="189"/>
      <c r="X126" s="190"/>
      <c r="Y126" s="185"/>
      <c r="Z126" s="191"/>
      <c r="AA126" s="97"/>
      <c r="AB126" s="192"/>
    </row>
    <row r="127" spans="1:399">
      <c r="A127" s="116"/>
      <c r="B127" s="116"/>
      <c r="C127" s="116">
        <v>2</v>
      </c>
      <c r="D127" s="3"/>
      <c r="E127" s="183"/>
      <c r="F127" s="216"/>
      <c r="G127" s="183"/>
      <c r="H127" s="183"/>
      <c r="I127" s="183"/>
      <c r="J127" s="183"/>
      <c r="K127" s="183"/>
      <c r="L127" s="183"/>
      <c r="M127" s="184"/>
      <c r="N127" s="184"/>
      <c r="O127" s="185"/>
      <c r="P127" s="186"/>
      <c r="Q127" s="186"/>
      <c r="R127" s="187"/>
      <c r="S127" s="187"/>
      <c r="T127" s="184"/>
      <c r="U127" s="184"/>
      <c r="V127" s="188"/>
      <c r="W127" s="189"/>
      <c r="X127" s="190"/>
      <c r="Y127" s="185"/>
      <c r="Z127" s="191"/>
      <c r="AA127" s="97"/>
      <c r="AB127" s="192"/>
    </row>
    <row r="128" spans="1:399">
      <c r="A128" s="116"/>
      <c r="B128" s="116"/>
      <c r="C128" s="116">
        <v>2</v>
      </c>
      <c r="D128" s="3"/>
      <c r="E128" s="183"/>
      <c r="F128" s="216"/>
      <c r="G128" s="183"/>
      <c r="H128" s="183"/>
      <c r="I128" s="183"/>
      <c r="J128" s="183"/>
      <c r="K128" s="183"/>
      <c r="L128" s="183"/>
      <c r="M128" s="184"/>
      <c r="N128" s="184"/>
      <c r="O128" s="185"/>
      <c r="P128" s="186"/>
      <c r="Q128" s="186"/>
      <c r="R128" s="187"/>
      <c r="S128" s="187"/>
      <c r="T128" s="184"/>
      <c r="U128" s="184"/>
      <c r="V128" s="188"/>
      <c r="W128" s="189"/>
      <c r="X128" s="190"/>
      <c r="Y128" s="185"/>
      <c r="Z128" s="191"/>
      <c r="AA128" s="97"/>
      <c r="AB128" s="192"/>
    </row>
    <row r="129" spans="1:28">
      <c r="A129" s="116"/>
      <c r="B129" s="116"/>
      <c r="C129" s="116">
        <v>2</v>
      </c>
      <c r="D129" s="3"/>
      <c r="E129" s="183"/>
      <c r="F129" s="216"/>
      <c r="G129" s="183"/>
      <c r="H129" s="183"/>
      <c r="I129" s="183"/>
      <c r="J129" s="183"/>
      <c r="K129" s="183"/>
      <c r="L129" s="183"/>
      <c r="M129" s="184"/>
      <c r="N129" s="184"/>
      <c r="O129" s="185"/>
      <c r="P129" s="186"/>
      <c r="Q129" s="186"/>
      <c r="R129" s="187"/>
      <c r="S129" s="187"/>
      <c r="T129" s="184"/>
      <c r="U129" s="184"/>
      <c r="V129" s="188"/>
      <c r="W129" s="189"/>
      <c r="X129" s="190"/>
      <c r="Y129" s="185"/>
      <c r="Z129" s="191"/>
      <c r="AA129" s="97"/>
      <c r="AB129" s="192"/>
    </row>
    <row r="130" spans="1:28">
      <c r="A130" s="116"/>
      <c r="B130" s="116"/>
      <c r="C130" s="116">
        <v>2</v>
      </c>
      <c r="D130" s="3"/>
      <c r="E130" s="183"/>
      <c r="F130" s="216"/>
      <c r="G130" s="183"/>
      <c r="H130" s="183"/>
      <c r="I130" s="183"/>
      <c r="J130" s="183"/>
      <c r="K130" s="183"/>
      <c r="L130" s="183"/>
      <c r="M130" s="184"/>
      <c r="N130" s="184"/>
      <c r="O130" s="185"/>
      <c r="P130" s="186"/>
      <c r="Q130" s="186"/>
      <c r="R130" s="187"/>
      <c r="S130" s="187"/>
      <c r="T130" s="184"/>
      <c r="U130" s="184"/>
      <c r="V130" s="188"/>
      <c r="W130" s="189"/>
      <c r="X130" s="190"/>
      <c r="Y130" s="185"/>
      <c r="Z130" s="191"/>
      <c r="AA130" s="97"/>
      <c r="AB130" s="192"/>
    </row>
    <row r="131" spans="1:28">
      <c r="A131" s="116"/>
      <c r="B131" s="116"/>
      <c r="C131" s="116">
        <v>2</v>
      </c>
      <c r="D131" s="3"/>
      <c r="E131" s="183"/>
      <c r="F131" s="216"/>
      <c r="G131" s="183"/>
      <c r="H131" s="183"/>
      <c r="I131" s="183"/>
      <c r="J131" s="183"/>
      <c r="K131" s="183"/>
      <c r="L131" s="183"/>
      <c r="M131" s="184"/>
      <c r="N131" s="184"/>
      <c r="O131" s="185"/>
      <c r="P131" s="186"/>
      <c r="Q131" s="186"/>
      <c r="R131" s="187"/>
      <c r="S131" s="187"/>
      <c r="T131" s="184"/>
      <c r="U131" s="184"/>
      <c r="V131" s="188"/>
      <c r="W131" s="189"/>
      <c r="X131" s="190"/>
      <c r="Y131" s="185"/>
      <c r="Z131" s="191"/>
      <c r="AA131" s="97"/>
      <c r="AB131" s="192"/>
    </row>
    <row r="132" spans="1:28">
      <c r="A132" s="116"/>
      <c r="B132" s="116"/>
      <c r="C132" s="116">
        <v>2</v>
      </c>
      <c r="D132" s="3"/>
      <c r="E132" s="183"/>
      <c r="F132" s="216"/>
      <c r="G132" s="183"/>
      <c r="H132" s="183"/>
      <c r="I132" s="183"/>
      <c r="J132" s="183"/>
      <c r="K132" s="183"/>
      <c r="L132" s="183"/>
      <c r="M132" s="184"/>
      <c r="N132" s="184"/>
      <c r="O132" s="185"/>
      <c r="P132" s="186"/>
      <c r="Q132" s="186"/>
      <c r="R132" s="187"/>
      <c r="S132" s="187"/>
      <c r="T132" s="184"/>
      <c r="U132" s="184"/>
      <c r="V132" s="188"/>
      <c r="W132" s="189"/>
      <c r="X132" s="190"/>
      <c r="Y132" s="185"/>
      <c r="Z132" s="191"/>
      <c r="AA132" s="97"/>
      <c r="AB132" s="192"/>
    </row>
    <row r="133" spans="1:28">
      <c r="A133" s="116"/>
      <c r="B133" s="116"/>
      <c r="C133" s="116">
        <v>2</v>
      </c>
      <c r="D133" s="3"/>
      <c r="E133" s="183"/>
      <c r="F133" s="216"/>
      <c r="G133" s="183"/>
      <c r="H133" s="183"/>
      <c r="I133" s="183"/>
      <c r="J133" s="183"/>
      <c r="K133" s="183"/>
      <c r="L133" s="183"/>
      <c r="M133" s="184"/>
      <c r="N133" s="184"/>
      <c r="O133" s="185"/>
      <c r="P133" s="186"/>
      <c r="Q133" s="186"/>
      <c r="R133" s="187"/>
      <c r="S133" s="187"/>
      <c r="T133" s="184"/>
      <c r="U133" s="184"/>
      <c r="V133" s="188"/>
      <c r="W133" s="189"/>
      <c r="X133" s="190"/>
      <c r="Y133" s="185"/>
      <c r="Z133" s="191"/>
      <c r="AA133" s="97"/>
      <c r="AB133" s="192"/>
    </row>
    <row r="134" spans="1:28">
      <c r="A134" s="116"/>
      <c r="B134" s="116"/>
      <c r="C134" s="116">
        <v>2</v>
      </c>
      <c r="D134" s="3"/>
      <c r="E134" s="183"/>
      <c r="F134" s="216"/>
      <c r="G134" s="183"/>
      <c r="H134" s="183"/>
      <c r="I134" s="183"/>
      <c r="J134" s="183"/>
      <c r="K134" s="183"/>
      <c r="L134" s="183"/>
      <c r="M134" s="184"/>
      <c r="N134" s="184"/>
      <c r="O134" s="185"/>
      <c r="P134" s="186"/>
      <c r="Q134" s="186"/>
      <c r="R134" s="187"/>
      <c r="S134" s="187"/>
      <c r="T134" s="184"/>
      <c r="U134" s="184"/>
      <c r="V134" s="188"/>
      <c r="W134" s="189"/>
      <c r="X134" s="190"/>
      <c r="Y134" s="185"/>
      <c r="Z134" s="191"/>
      <c r="AA134" s="97"/>
      <c r="AB134" s="192"/>
    </row>
    <row r="135" spans="1:28">
      <c r="A135" s="116"/>
      <c r="B135" s="116"/>
      <c r="C135" s="116">
        <v>2</v>
      </c>
      <c r="D135" s="3"/>
      <c r="E135" s="183"/>
      <c r="F135" s="216"/>
      <c r="G135" s="183"/>
      <c r="H135" s="183"/>
      <c r="I135" s="183"/>
      <c r="J135" s="183"/>
      <c r="K135" s="183"/>
      <c r="L135" s="183"/>
      <c r="M135" s="184"/>
      <c r="N135" s="184"/>
      <c r="O135" s="185"/>
      <c r="P135" s="186"/>
      <c r="Q135" s="186"/>
      <c r="R135" s="187"/>
      <c r="S135" s="187"/>
      <c r="T135" s="184"/>
      <c r="U135" s="184"/>
      <c r="V135" s="188"/>
      <c r="W135" s="189"/>
      <c r="X135" s="190"/>
      <c r="Y135" s="185"/>
      <c r="Z135" s="191"/>
      <c r="AA135" s="97"/>
      <c r="AB135" s="192"/>
    </row>
    <row r="136" spans="1:28">
      <c r="A136" s="116"/>
      <c r="B136" s="116"/>
      <c r="C136" s="116">
        <v>2</v>
      </c>
      <c r="D136" s="3"/>
      <c r="E136" s="183"/>
      <c r="F136" s="216"/>
      <c r="G136" s="183"/>
      <c r="H136" s="183"/>
      <c r="I136" s="183"/>
      <c r="J136" s="183"/>
      <c r="K136" s="183"/>
      <c r="L136" s="183"/>
      <c r="M136" s="184"/>
      <c r="N136" s="184"/>
      <c r="O136" s="185"/>
      <c r="P136" s="186"/>
      <c r="Q136" s="186"/>
      <c r="R136" s="187"/>
      <c r="S136" s="187"/>
      <c r="T136" s="184"/>
      <c r="U136" s="184"/>
      <c r="V136" s="188"/>
      <c r="W136" s="189"/>
      <c r="X136" s="190"/>
      <c r="Y136" s="185"/>
      <c r="Z136" s="191"/>
      <c r="AA136" s="97"/>
      <c r="AB136" s="192"/>
    </row>
    <row r="137" spans="1:28">
      <c r="A137" s="116"/>
      <c r="B137" s="116"/>
      <c r="C137" s="116">
        <v>2</v>
      </c>
      <c r="D137" s="3"/>
      <c r="E137" s="183"/>
      <c r="F137" s="216"/>
      <c r="G137" s="183"/>
      <c r="H137" s="183"/>
      <c r="I137" s="183"/>
      <c r="J137" s="183"/>
      <c r="K137" s="183"/>
      <c r="L137" s="183"/>
      <c r="M137" s="184"/>
      <c r="N137" s="184"/>
      <c r="O137" s="185"/>
      <c r="P137" s="186"/>
      <c r="Q137" s="186"/>
      <c r="R137" s="187"/>
      <c r="S137" s="187"/>
      <c r="T137" s="184"/>
      <c r="U137" s="184"/>
      <c r="V137" s="188"/>
      <c r="W137" s="189"/>
      <c r="X137" s="190"/>
      <c r="Y137" s="185"/>
      <c r="Z137" s="191"/>
      <c r="AA137" s="97"/>
      <c r="AB137" s="192"/>
    </row>
    <row r="138" spans="1:28">
      <c r="A138" s="116"/>
      <c r="B138" s="116"/>
      <c r="C138" s="116">
        <v>2</v>
      </c>
      <c r="D138" s="3"/>
      <c r="E138" s="183"/>
      <c r="F138" s="216"/>
      <c r="G138" s="183"/>
      <c r="H138" s="183"/>
      <c r="I138" s="183"/>
      <c r="J138" s="183"/>
      <c r="K138" s="183"/>
      <c r="L138" s="183"/>
      <c r="M138" s="184"/>
      <c r="N138" s="184"/>
      <c r="O138" s="185"/>
      <c r="P138" s="186"/>
      <c r="Q138" s="186"/>
      <c r="R138" s="187"/>
      <c r="S138" s="187"/>
      <c r="T138" s="184"/>
      <c r="U138" s="184"/>
      <c r="V138" s="188"/>
      <c r="W138" s="189"/>
      <c r="X138" s="190"/>
      <c r="Y138" s="185"/>
      <c r="Z138" s="191"/>
      <c r="AA138" s="97"/>
      <c r="AB138" s="192"/>
    </row>
    <row r="139" spans="1:28">
      <c r="A139" s="116"/>
      <c r="B139" s="116"/>
      <c r="C139" s="116">
        <v>2</v>
      </c>
      <c r="D139" s="3"/>
      <c r="E139" s="183"/>
      <c r="F139" s="216"/>
      <c r="G139" s="183"/>
      <c r="H139" s="183"/>
      <c r="I139" s="183"/>
      <c r="J139" s="183"/>
      <c r="K139" s="183"/>
      <c r="L139" s="183"/>
      <c r="M139" s="184"/>
      <c r="N139" s="184"/>
      <c r="O139" s="185"/>
      <c r="P139" s="186"/>
      <c r="Q139" s="186"/>
      <c r="R139" s="187"/>
      <c r="S139" s="187"/>
      <c r="T139" s="184"/>
      <c r="U139" s="184"/>
      <c r="V139" s="188"/>
      <c r="W139" s="189"/>
      <c r="X139" s="190"/>
      <c r="Y139" s="185"/>
      <c r="Z139" s="191"/>
      <c r="AA139" s="97"/>
      <c r="AB139" s="192"/>
    </row>
    <row r="140" spans="1:28">
      <c r="A140" s="116"/>
      <c r="B140" s="116"/>
      <c r="C140" s="116">
        <v>2</v>
      </c>
      <c r="D140" s="3"/>
      <c r="E140" s="183"/>
      <c r="F140" s="216"/>
      <c r="G140" s="183"/>
      <c r="H140" s="183"/>
      <c r="I140" s="183"/>
      <c r="J140" s="183"/>
      <c r="K140" s="183"/>
      <c r="L140" s="183"/>
      <c r="M140" s="184"/>
      <c r="N140" s="184"/>
      <c r="O140" s="185"/>
      <c r="P140" s="186"/>
      <c r="Q140" s="186"/>
      <c r="R140" s="187"/>
      <c r="S140" s="187"/>
      <c r="T140" s="184"/>
      <c r="U140" s="184"/>
      <c r="V140" s="188"/>
      <c r="W140" s="189"/>
      <c r="X140" s="190"/>
      <c r="Y140" s="185"/>
      <c r="Z140" s="191"/>
      <c r="AA140" s="97"/>
      <c r="AB140" s="192"/>
    </row>
    <row r="141" spans="1:28">
      <c r="A141" s="116"/>
      <c r="B141" s="116"/>
      <c r="C141" s="116">
        <v>0</v>
      </c>
      <c r="D141" s="3"/>
      <c r="E141" s="183"/>
      <c r="F141" s="216"/>
      <c r="G141" s="183"/>
      <c r="H141" s="183"/>
      <c r="I141" s="183"/>
      <c r="J141" s="183"/>
      <c r="K141" s="183"/>
      <c r="L141" s="183"/>
      <c r="M141" s="184"/>
      <c r="N141" s="184"/>
      <c r="O141" s="185"/>
      <c r="P141" s="186"/>
      <c r="Q141" s="186"/>
      <c r="R141" s="187"/>
      <c r="S141" s="187"/>
      <c r="T141" s="184"/>
      <c r="U141" s="184"/>
      <c r="V141" s="188"/>
      <c r="W141" s="189"/>
      <c r="X141" s="190"/>
      <c r="Y141" s="185"/>
      <c r="Z141" s="191"/>
      <c r="AA141" s="97"/>
      <c r="AB141" s="192"/>
    </row>
    <row r="142" spans="1:28">
      <c r="A142" s="116"/>
      <c r="B142" s="116"/>
      <c r="C142" s="116">
        <v>0</v>
      </c>
      <c r="D142" s="3"/>
      <c r="E142" s="183"/>
      <c r="F142" s="183"/>
      <c r="G142" s="183"/>
      <c r="H142" s="183"/>
      <c r="I142" s="183"/>
      <c r="J142" s="183"/>
      <c r="K142" s="183"/>
      <c r="L142" s="183"/>
      <c r="M142" s="184"/>
      <c r="N142" s="184"/>
      <c r="O142" s="185"/>
      <c r="P142" s="186"/>
      <c r="Q142" s="186"/>
      <c r="R142" s="187"/>
      <c r="S142" s="187"/>
      <c r="T142" s="184"/>
      <c r="U142" s="184"/>
      <c r="V142" s="188"/>
      <c r="W142" s="189"/>
      <c r="X142" s="190"/>
      <c r="Y142" s="185"/>
      <c r="Z142" s="191"/>
      <c r="AA142" s="97"/>
      <c r="AB142" s="192"/>
    </row>
    <row r="143" spans="1:28">
      <c r="A143" s="116"/>
      <c r="B143" s="116" t="s">
        <v>1061</v>
      </c>
      <c r="C143" s="116">
        <v>1</v>
      </c>
      <c r="D143" s="3"/>
      <c r="E143" s="214"/>
      <c r="F143" s="183"/>
      <c r="G143" s="183"/>
      <c r="H143" s="183"/>
      <c r="I143" s="183"/>
      <c r="J143" s="183"/>
      <c r="K143" s="183"/>
      <c r="L143" s="183"/>
      <c r="M143" s="184"/>
      <c r="N143" s="184"/>
      <c r="O143" s="185"/>
      <c r="P143" s="186"/>
      <c r="Q143" s="186"/>
      <c r="R143" s="187"/>
      <c r="S143" s="187"/>
      <c r="T143" s="184"/>
      <c r="U143" s="184"/>
      <c r="V143" s="188"/>
      <c r="W143" s="189"/>
      <c r="X143" s="190"/>
      <c r="Y143" s="185"/>
      <c r="Z143" s="191"/>
      <c r="AA143" s="97"/>
      <c r="AB143" s="192"/>
    </row>
    <row r="144" spans="1:28">
      <c r="A144" s="116"/>
      <c r="B144" s="116" t="s">
        <v>1061</v>
      </c>
      <c r="C144" s="116">
        <v>2</v>
      </c>
      <c r="D144" s="3"/>
      <c r="E144" s="214"/>
      <c r="F144" s="216"/>
      <c r="G144" s="216"/>
      <c r="H144" s="183"/>
      <c r="I144" s="183"/>
      <c r="J144" s="183"/>
      <c r="K144" s="183"/>
      <c r="L144" s="183"/>
      <c r="M144" s="184"/>
      <c r="N144" s="184"/>
      <c r="O144" s="185"/>
      <c r="P144" s="186"/>
      <c r="Q144" s="186"/>
      <c r="R144" s="187"/>
      <c r="S144" s="187"/>
      <c r="T144" s="184"/>
      <c r="U144" s="184"/>
      <c r="V144" s="188"/>
      <c r="W144" s="189"/>
      <c r="X144" s="190"/>
      <c r="Y144" s="185"/>
      <c r="Z144" s="191"/>
      <c r="AA144" s="97"/>
      <c r="AB144" s="192"/>
    </row>
    <row r="145" spans="1:28">
      <c r="A145" s="116"/>
      <c r="B145" s="116"/>
      <c r="C145" s="116">
        <v>3</v>
      </c>
      <c r="D145" s="3"/>
      <c r="E145" s="214"/>
      <c r="F145" s="216"/>
      <c r="G145" s="216"/>
      <c r="H145" s="183"/>
      <c r="I145" s="183"/>
      <c r="J145" s="183"/>
      <c r="K145" s="183"/>
      <c r="L145" s="183"/>
      <c r="M145" s="184"/>
      <c r="N145" s="184"/>
      <c r="O145" s="185"/>
      <c r="P145" s="186"/>
      <c r="Q145" s="186"/>
      <c r="R145" s="187"/>
      <c r="S145" s="187"/>
      <c r="T145" s="184"/>
      <c r="U145" s="184"/>
      <c r="V145" s="188"/>
      <c r="W145" s="189"/>
      <c r="X145" s="190"/>
      <c r="Y145" s="185"/>
      <c r="Z145" s="191"/>
      <c r="AA145" s="97"/>
      <c r="AB145" s="192"/>
    </row>
    <row r="146" spans="1:28">
      <c r="A146" s="116"/>
      <c r="B146" s="116"/>
      <c r="C146" s="116">
        <v>3</v>
      </c>
      <c r="D146" s="3"/>
      <c r="E146" s="214"/>
      <c r="F146" s="216"/>
      <c r="G146" s="216"/>
      <c r="H146" s="183"/>
      <c r="I146" s="183"/>
      <c r="J146" s="183"/>
      <c r="K146" s="183"/>
      <c r="L146" s="183"/>
      <c r="M146" s="184"/>
      <c r="N146" s="184"/>
      <c r="O146" s="185"/>
      <c r="P146" s="186"/>
      <c r="Q146" s="186"/>
      <c r="R146" s="187"/>
      <c r="S146" s="187"/>
      <c r="T146" s="184"/>
      <c r="U146" s="184"/>
      <c r="V146" s="188"/>
      <c r="W146" s="189"/>
      <c r="X146" s="190"/>
      <c r="Y146" s="185"/>
      <c r="Z146" s="191"/>
      <c r="AA146" s="97"/>
      <c r="AB146" s="192"/>
    </row>
    <row r="147" spans="1:28">
      <c r="A147" s="116"/>
      <c r="B147" s="116"/>
      <c r="C147" s="116">
        <v>3</v>
      </c>
      <c r="D147" s="3"/>
      <c r="E147" s="214"/>
      <c r="F147" s="216"/>
      <c r="G147" s="216"/>
      <c r="H147" s="183"/>
      <c r="I147" s="183"/>
      <c r="J147" s="183"/>
      <c r="K147" s="183"/>
      <c r="L147" s="183"/>
      <c r="M147" s="184"/>
      <c r="N147" s="184"/>
      <c r="O147" s="185"/>
      <c r="P147" s="186"/>
      <c r="Q147" s="186"/>
      <c r="R147" s="187"/>
      <c r="S147" s="187"/>
      <c r="T147" s="184"/>
      <c r="U147" s="184"/>
      <c r="V147" s="188"/>
      <c r="W147" s="189"/>
      <c r="X147" s="190"/>
      <c r="Y147" s="185"/>
      <c r="Z147" s="191"/>
      <c r="AA147" s="97"/>
      <c r="AB147" s="192"/>
    </row>
    <row r="148" spans="1:28">
      <c r="A148" s="116"/>
      <c r="B148" s="116"/>
      <c r="C148" s="116">
        <v>3</v>
      </c>
      <c r="D148" s="3"/>
      <c r="E148" s="214"/>
      <c r="F148" s="216"/>
      <c r="G148" s="216"/>
      <c r="H148" s="183"/>
      <c r="I148" s="183"/>
      <c r="J148" s="183"/>
      <c r="K148" s="183"/>
      <c r="L148" s="183"/>
      <c r="M148" s="184"/>
      <c r="N148" s="184"/>
      <c r="O148" s="185"/>
      <c r="P148" s="186"/>
      <c r="Q148" s="186"/>
      <c r="R148" s="187"/>
      <c r="S148" s="187"/>
      <c r="T148" s="184"/>
      <c r="U148" s="184"/>
      <c r="V148" s="188"/>
      <c r="W148" s="189"/>
      <c r="X148" s="190"/>
      <c r="Y148" s="185"/>
      <c r="Z148" s="191"/>
      <c r="AA148" s="97"/>
      <c r="AB148" s="192"/>
    </row>
    <row r="149" spans="1:28">
      <c r="A149" s="116"/>
      <c r="B149" s="116"/>
      <c r="C149" s="116">
        <v>0</v>
      </c>
      <c r="D149" s="3"/>
      <c r="E149" s="214"/>
      <c r="F149" s="216"/>
      <c r="G149" s="216"/>
      <c r="H149" s="183"/>
      <c r="I149" s="183"/>
      <c r="J149" s="183"/>
      <c r="K149" s="183"/>
      <c r="L149" s="183"/>
      <c r="M149" s="184"/>
      <c r="N149" s="184"/>
      <c r="O149" s="185"/>
      <c r="P149" s="186"/>
      <c r="Q149" s="186"/>
      <c r="R149" s="187"/>
      <c r="S149" s="187"/>
      <c r="T149" s="184"/>
      <c r="U149" s="184"/>
      <c r="V149" s="188"/>
      <c r="W149" s="189"/>
      <c r="X149" s="190"/>
      <c r="Y149" s="185"/>
      <c r="Z149" s="191"/>
      <c r="AA149" s="97"/>
      <c r="AB149" s="192"/>
    </row>
    <row r="150" spans="1:28">
      <c r="A150" s="116"/>
      <c r="B150" s="116" t="s">
        <v>1061</v>
      </c>
      <c r="C150" s="116">
        <v>2</v>
      </c>
      <c r="D150" s="3"/>
      <c r="E150" s="214"/>
      <c r="F150" s="216"/>
      <c r="G150" s="216"/>
      <c r="H150" s="183"/>
      <c r="I150" s="183"/>
      <c r="J150" s="183"/>
      <c r="K150" s="183"/>
      <c r="L150" s="183"/>
      <c r="M150" s="184"/>
      <c r="N150" s="184"/>
      <c r="O150" s="185"/>
      <c r="P150" s="186"/>
      <c r="Q150" s="186"/>
      <c r="R150" s="187"/>
      <c r="S150" s="187"/>
      <c r="T150" s="184"/>
      <c r="U150" s="184"/>
      <c r="V150" s="188"/>
      <c r="W150" s="189"/>
      <c r="X150" s="190"/>
      <c r="Y150" s="185"/>
      <c r="Z150" s="191"/>
      <c r="AA150" s="97"/>
      <c r="AB150" s="192"/>
    </row>
    <row r="151" spans="1:28">
      <c r="A151" s="116"/>
      <c r="B151" s="116"/>
      <c r="C151" s="116">
        <v>3</v>
      </c>
      <c r="D151" s="3"/>
      <c r="E151" s="214"/>
      <c r="F151" s="216"/>
      <c r="G151" s="216"/>
      <c r="H151" s="183"/>
      <c r="I151" s="183"/>
      <c r="J151" s="183"/>
      <c r="K151" s="183"/>
      <c r="L151" s="183"/>
      <c r="M151" s="184"/>
      <c r="N151" s="184"/>
      <c r="O151" s="185"/>
      <c r="P151" s="186"/>
      <c r="Q151" s="186"/>
      <c r="R151" s="187"/>
      <c r="S151" s="187"/>
      <c r="T151" s="184"/>
      <c r="U151" s="184"/>
      <c r="V151" s="188"/>
      <c r="W151" s="189"/>
      <c r="X151" s="190"/>
      <c r="Y151" s="185"/>
      <c r="Z151" s="191"/>
      <c r="AA151" s="97"/>
      <c r="AB151" s="192"/>
    </row>
    <row r="152" spans="1:28">
      <c r="A152" s="116"/>
      <c r="B152" s="116"/>
      <c r="C152" s="116">
        <v>3</v>
      </c>
      <c r="D152" s="3"/>
      <c r="E152" s="214"/>
      <c r="F152" s="216"/>
      <c r="G152" s="216"/>
      <c r="H152" s="183"/>
      <c r="I152" s="183"/>
      <c r="J152" s="183"/>
      <c r="K152" s="183"/>
      <c r="L152" s="183"/>
      <c r="M152" s="184"/>
      <c r="N152" s="184"/>
      <c r="O152" s="185"/>
      <c r="P152" s="186"/>
      <c r="Q152" s="186"/>
      <c r="R152" s="187"/>
      <c r="S152" s="187"/>
      <c r="T152" s="184"/>
      <c r="U152" s="184"/>
      <c r="V152" s="188"/>
      <c r="W152" s="189"/>
      <c r="X152" s="190"/>
      <c r="Y152" s="185"/>
      <c r="Z152" s="191"/>
      <c r="AA152" s="97"/>
      <c r="AB152" s="192"/>
    </row>
    <row r="153" spans="1:28">
      <c r="A153" s="116"/>
      <c r="B153" s="116"/>
      <c r="C153" s="116">
        <v>3</v>
      </c>
      <c r="D153" s="3"/>
      <c r="E153" s="214"/>
      <c r="F153" s="216"/>
      <c r="G153" s="216"/>
      <c r="H153" s="183"/>
      <c r="I153" s="183"/>
      <c r="J153" s="183"/>
      <c r="K153" s="183"/>
      <c r="L153" s="183"/>
      <c r="M153" s="184"/>
      <c r="N153" s="184"/>
      <c r="O153" s="185"/>
      <c r="P153" s="186"/>
      <c r="Q153" s="186"/>
      <c r="R153" s="187"/>
      <c r="S153" s="187"/>
      <c r="T153" s="184"/>
      <c r="U153" s="184"/>
      <c r="V153" s="188"/>
      <c r="W153" s="189"/>
      <c r="X153" s="190"/>
      <c r="Y153" s="185"/>
      <c r="Z153" s="191"/>
      <c r="AA153" s="97"/>
      <c r="AB153" s="192"/>
    </row>
    <row r="154" spans="1:28">
      <c r="A154" s="116"/>
      <c r="B154" s="116"/>
      <c r="C154" s="116">
        <v>3</v>
      </c>
      <c r="D154" s="3"/>
      <c r="E154" s="214"/>
      <c r="F154" s="216"/>
      <c r="G154" s="216"/>
      <c r="H154" s="183"/>
      <c r="I154" s="183"/>
      <c r="J154" s="183"/>
      <c r="K154" s="183"/>
      <c r="L154" s="183"/>
      <c r="M154" s="184"/>
      <c r="N154" s="184"/>
      <c r="O154" s="185"/>
      <c r="P154" s="186"/>
      <c r="Q154" s="186"/>
      <c r="R154" s="187"/>
      <c r="S154" s="187"/>
      <c r="T154" s="184"/>
      <c r="U154" s="184"/>
      <c r="V154" s="188"/>
      <c r="W154" s="189"/>
      <c r="X154" s="190"/>
      <c r="Y154" s="185"/>
      <c r="Z154" s="191"/>
      <c r="AA154" s="97"/>
      <c r="AB154" s="192"/>
    </row>
    <row r="155" spans="1:28">
      <c r="A155" s="116"/>
      <c r="B155" s="116"/>
      <c r="C155" s="116">
        <v>0</v>
      </c>
      <c r="D155" s="3"/>
      <c r="E155" s="214"/>
      <c r="F155" s="216"/>
      <c r="G155" s="216"/>
      <c r="H155" s="183"/>
      <c r="I155" s="183"/>
      <c r="J155" s="183"/>
      <c r="K155" s="183"/>
      <c r="L155" s="183"/>
      <c r="M155" s="184"/>
      <c r="N155" s="184"/>
      <c r="O155" s="185"/>
      <c r="P155" s="186"/>
      <c r="Q155" s="186"/>
      <c r="R155" s="187"/>
      <c r="S155" s="187"/>
      <c r="T155" s="184"/>
      <c r="U155" s="184"/>
      <c r="V155" s="188"/>
      <c r="W155" s="189"/>
      <c r="X155" s="190"/>
      <c r="Y155" s="185"/>
      <c r="Z155" s="191"/>
      <c r="AA155" s="97"/>
      <c r="AB155" s="192"/>
    </row>
    <row r="156" spans="1:28">
      <c r="A156" s="116"/>
      <c r="B156" s="116" t="s">
        <v>1061</v>
      </c>
      <c r="C156" s="116">
        <v>2</v>
      </c>
      <c r="D156" s="3"/>
      <c r="E156" s="214"/>
      <c r="F156" s="216"/>
      <c r="G156" s="216"/>
      <c r="H156" s="183"/>
      <c r="I156" s="183"/>
      <c r="J156" s="183"/>
      <c r="K156" s="183"/>
      <c r="L156" s="183"/>
      <c r="M156" s="184"/>
      <c r="N156" s="184"/>
      <c r="O156" s="185"/>
      <c r="P156" s="186"/>
      <c r="Q156" s="186"/>
      <c r="R156" s="187"/>
      <c r="S156" s="187"/>
      <c r="T156" s="184"/>
      <c r="U156" s="184"/>
      <c r="V156" s="188"/>
      <c r="W156" s="189"/>
      <c r="X156" s="190"/>
      <c r="Y156" s="185"/>
      <c r="Z156" s="191"/>
      <c r="AA156" s="97"/>
      <c r="AB156" s="192"/>
    </row>
    <row r="157" spans="1:28">
      <c r="A157" s="116"/>
      <c r="B157" s="116"/>
      <c r="C157" s="116">
        <v>3</v>
      </c>
      <c r="D157" s="3"/>
      <c r="E157" s="214"/>
      <c r="F157" s="216"/>
      <c r="G157" s="216"/>
      <c r="H157" s="183"/>
      <c r="I157" s="183"/>
      <c r="J157" s="183"/>
      <c r="K157" s="183"/>
      <c r="L157" s="183"/>
      <c r="M157" s="184"/>
      <c r="N157" s="184"/>
      <c r="O157" s="185"/>
      <c r="P157" s="186"/>
      <c r="Q157" s="186"/>
      <c r="R157" s="187"/>
      <c r="S157" s="187"/>
      <c r="T157" s="184"/>
      <c r="U157" s="184"/>
      <c r="V157" s="188"/>
      <c r="W157" s="189"/>
      <c r="X157" s="190"/>
      <c r="Y157" s="185"/>
      <c r="Z157" s="191"/>
      <c r="AA157" s="97"/>
      <c r="AB157" s="192"/>
    </row>
    <row r="158" spans="1:28">
      <c r="A158" s="116"/>
      <c r="B158" s="116"/>
      <c r="C158" s="116">
        <v>3</v>
      </c>
      <c r="D158" s="3"/>
      <c r="E158" s="214"/>
      <c r="F158" s="216"/>
      <c r="G158" s="216"/>
      <c r="H158" s="183"/>
      <c r="I158" s="183"/>
      <c r="J158" s="183"/>
      <c r="K158" s="183"/>
      <c r="L158" s="183"/>
      <c r="M158" s="184"/>
      <c r="N158" s="184"/>
      <c r="O158" s="185"/>
      <c r="P158" s="186"/>
      <c r="Q158" s="186"/>
      <c r="R158" s="187"/>
      <c r="S158" s="187"/>
      <c r="T158" s="184"/>
      <c r="U158" s="184"/>
      <c r="V158" s="188"/>
      <c r="W158" s="189"/>
      <c r="X158" s="190"/>
      <c r="Y158" s="185"/>
      <c r="Z158" s="191"/>
      <c r="AA158" s="97"/>
      <c r="AB158" s="192"/>
    </row>
    <row r="159" spans="1:28">
      <c r="A159" s="116"/>
      <c r="B159" s="116"/>
      <c r="C159" s="116">
        <v>3</v>
      </c>
      <c r="D159" s="3"/>
      <c r="E159" s="214"/>
      <c r="F159" s="216"/>
      <c r="G159" s="216"/>
      <c r="H159" s="183"/>
      <c r="I159" s="183"/>
      <c r="J159" s="183"/>
      <c r="K159" s="183"/>
      <c r="L159" s="183"/>
      <c r="M159" s="184"/>
      <c r="N159" s="184"/>
      <c r="O159" s="185"/>
      <c r="P159" s="186"/>
      <c r="Q159" s="186"/>
      <c r="R159" s="187"/>
      <c r="S159" s="187"/>
      <c r="T159" s="184"/>
      <c r="U159" s="184"/>
      <c r="V159" s="188"/>
      <c r="W159" s="189"/>
      <c r="X159" s="190"/>
      <c r="Y159" s="185"/>
      <c r="Z159" s="191"/>
      <c r="AA159" s="97"/>
      <c r="AB159" s="192"/>
    </row>
    <row r="160" spans="1:28">
      <c r="A160" s="116"/>
      <c r="B160" s="116"/>
      <c r="C160" s="116">
        <v>3</v>
      </c>
      <c r="D160" s="3"/>
      <c r="E160" s="214"/>
      <c r="F160" s="216"/>
      <c r="G160" s="216"/>
      <c r="H160" s="183"/>
      <c r="I160" s="183"/>
      <c r="J160" s="183"/>
      <c r="K160" s="183"/>
      <c r="L160" s="183"/>
      <c r="M160" s="184"/>
      <c r="N160" s="184"/>
      <c r="O160" s="185"/>
      <c r="P160" s="186"/>
      <c r="Q160" s="186"/>
      <c r="R160" s="187"/>
      <c r="S160" s="187"/>
      <c r="T160" s="184"/>
      <c r="U160" s="184"/>
      <c r="V160" s="188"/>
      <c r="W160" s="189"/>
      <c r="X160" s="190"/>
      <c r="Y160" s="185"/>
      <c r="Z160" s="191"/>
      <c r="AA160" s="97"/>
      <c r="AB160" s="192"/>
    </row>
    <row r="161" spans="1:28">
      <c r="A161" s="116"/>
      <c r="B161" s="116"/>
      <c r="C161" s="116">
        <v>0</v>
      </c>
      <c r="D161" s="3"/>
      <c r="E161" s="214"/>
      <c r="F161" s="216"/>
      <c r="G161" s="216"/>
      <c r="H161" s="183"/>
      <c r="I161" s="183"/>
      <c r="J161" s="183"/>
      <c r="K161" s="183"/>
      <c r="L161" s="183"/>
      <c r="M161" s="184"/>
      <c r="N161" s="184"/>
      <c r="O161" s="185"/>
      <c r="P161" s="186"/>
      <c r="Q161" s="186"/>
      <c r="R161" s="187"/>
      <c r="S161" s="187"/>
      <c r="T161" s="184"/>
      <c r="U161" s="184"/>
      <c r="V161" s="188"/>
      <c r="W161" s="189"/>
      <c r="X161" s="190"/>
      <c r="Y161" s="185"/>
      <c r="Z161" s="191"/>
      <c r="AA161" s="97"/>
      <c r="AB161" s="192"/>
    </row>
    <row r="162" spans="1:28">
      <c r="A162" s="116"/>
      <c r="B162" s="116" t="s">
        <v>1061</v>
      </c>
      <c r="C162" s="116">
        <v>2</v>
      </c>
      <c r="D162" s="3"/>
      <c r="E162" s="214"/>
      <c r="F162" s="216"/>
      <c r="G162" s="216"/>
      <c r="H162" s="183"/>
      <c r="I162" s="183"/>
      <c r="J162" s="183"/>
      <c r="K162" s="183"/>
      <c r="L162" s="183"/>
      <c r="M162" s="184"/>
      <c r="N162" s="184"/>
      <c r="O162" s="185"/>
      <c r="P162" s="186"/>
      <c r="Q162" s="186"/>
      <c r="R162" s="187"/>
      <c r="S162" s="187"/>
      <c r="T162" s="184"/>
      <c r="U162" s="184"/>
      <c r="V162" s="188"/>
      <c r="W162" s="189"/>
      <c r="X162" s="190"/>
      <c r="Y162" s="185"/>
      <c r="Z162" s="191"/>
      <c r="AA162" s="97"/>
      <c r="AB162" s="192"/>
    </row>
    <row r="163" spans="1:28">
      <c r="A163" s="116"/>
      <c r="B163" s="116"/>
      <c r="C163" s="116">
        <v>3</v>
      </c>
      <c r="D163" s="3"/>
      <c r="E163" s="214"/>
      <c r="F163" s="216"/>
      <c r="G163" s="216"/>
      <c r="H163" s="183"/>
      <c r="I163" s="183"/>
      <c r="J163" s="183"/>
      <c r="K163" s="183"/>
      <c r="L163" s="183"/>
      <c r="M163" s="184"/>
      <c r="N163" s="184"/>
      <c r="O163" s="185"/>
      <c r="P163" s="186"/>
      <c r="Q163" s="186"/>
      <c r="R163" s="187"/>
      <c r="S163" s="187"/>
      <c r="T163" s="184"/>
      <c r="U163" s="184"/>
      <c r="V163" s="188"/>
      <c r="W163" s="189"/>
      <c r="X163" s="190"/>
      <c r="Y163" s="185"/>
      <c r="Z163" s="191"/>
      <c r="AA163" s="97"/>
      <c r="AB163" s="192"/>
    </row>
    <row r="164" spans="1:28">
      <c r="A164" s="116"/>
      <c r="B164" s="116"/>
      <c r="C164" s="116">
        <v>3</v>
      </c>
      <c r="D164" s="3"/>
      <c r="E164" s="214"/>
      <c r="F164" s="216"/>
      <c r="G164" s="216"/>
      <c r="H164" s="183"/>
      <c r="I164" s="183"/>
      <c r="J164" s="183"/>
      <c r="K164" s="183"/>
      <c r="L164" s="183"/>
      <c r="M164" s="184"/>
      <c r="N164" s="184"/>
      <c r="O164" s="185"/>
      <c r="P164" s="186"/>
      <c r="Q164" s="186"/>
      <c r="R164" s="187"/>
      <c r="S164" s="187"/>
      <c r="T164" s="184"/>
      <c r="U164" s="184"/>
      <c r="V164" s="188"/>
      <c r="W164" s="189"/>
      <c r="X164" s="190"/>
      <c r="Y164" s="185"/>
      <c r="Z164" s="191"/>
      <c r="AA164" s="97"/>
      <c r="AB164" s="192"/>
    </row>
    <row r="165" spans="1:28">
      <c r="A165" s="116"/>
      <c r="B165" s="116"/>
      <c r="C165" s="116">
        <v>3</v>
      </c>
      <c r="D165" s="3"/>
      <c r="E165" s="214"/>
      <c r="F165" s="216"/>
      <c r="G165" s="216"/>
      <c r="H165" s="183"/>
      <c r="I165" s="183"/>
      <c r="J165" s="183"/>
      <c r="K165" s="183"/>
      <c r="L165" s="183"/>
      <c r="M165" s="184"/>
      <c r="N165" s="184"/>
      <c r="O165" s="185"/>
      <c r="P165" s="186"/>
      <c r="Q165" s="186"/>
      <c r="R165" s="187"/>
      <c r="S165" s="187"/>
      <c r="T165" s="184"/>
      <c r="U165" s="184"/>
      <c r="V165" s="188"/>
      <c r="W165" s="189"/>
      <c r="X165" s="190"/>
      <c r="Y165" s="185"/>
      <c r="Z165" s="191"/>
      <c r="AA165" s="97"/>
      <c r="AB165" s="192"/>
    </row>
    <row r="166" spans="1:28">
      <c r="A166" s="116"/>
      <c r="B166" s="116"/>
      <c r="C166" s="116">
        <v>3</v>
      </c>
      <c r="D166" s="3"/>
      <c r="E166" s="214"/>
      <c r="F166" s="216"/>
      <c r="G166" s="216"/>
      <c r="H166" s="183"/>
      <c r="I166" s="183"/>
      <c r="J166" s="183"/>
      <c r="K166" s="183"/>
      <c r="L166" s="183"/>
      <c r="M166" s="184"/>
      <c r="N166" s="184"/>
      <c r="O166" s="185"/>
      <c r="P166" s="186"/>
      <c r="Q166" s="186"/>
      <c r="R166" s="187"/>
      <c r="S166" s="187"/>
      <c r="T166" s="184"/>
      <c r="U166" s="184"/>
      <c r="V166" s="188"/>
      <c r="W166" s="189"/>
      <c r="X166" s="190"/>
      <c r="Y166" s="185"/>
      <c r="Z166" s="191"/>
      <c r="AA166" s="97"/>
      <c r="AB166" s="192"/>
    </row>
    <row r="167" spans="1:28">
      <c r="A167" s="116"/>
      <c r="B167" s="116"/>
      <c r="C167" s="116">
        <v>0</v>
      </c>
      <c r="D167" s="3"/>
      <c r="E167" s="214"/>
      <c r="F167" s="216"/>
      <c r="G167" s="216"/>
      <c r="H167" s="183"/>
      <c r="I167" s="183"/>
      <c r="J167" s="183"/>
      <c r="K167" s="183"/>
      <c r="L167" s="183"/>
      <c r="M167" s="184"/>
      <c r="N167" s="184"/>
      <c r="O167" s="185"/>
      <c r="P167" s="186"/>
      <c r="Q167" s="186"/>
      <c r="R167" s="187"/>
      <c r="S167" s="187"/>
      <c r="T167" s="184"/>
      <c r="U167" s="184"/>
      <c r="V167" s="188"/>
      <c r="W167" s="189"/>
      <c r="X167" s="190"/>
      <c r="Y167" s="185"/>
      <c r="Z167" s="191"/>
      <c r="AA167" s="97"/>
      <c r="AB167" s="192"/>
    </row>
    <row r="168" spans="1:28">
      <c r="A168" s="116"/>
      <c r="B168" s="116" t="s">
        <v>1061</v>
      </c>
      <c r="C168" s="116">
        <v>2</v>
      </c>
      <c r="D168" s="3"/>
      <c r="E168" s="214"/>
      <c r="F168" s="216"/>
      <c r="G168" s="216"/>
      <c r="H168" s="183"/>
      <c r="I168" s="183"/>
      <c r="J168" s="183"/>
      <c r="K168" s="183"/>
      <c r="L168" s="183"/>
      <c r="M168" s="184"/>
      <c r="N168" s="184"/>
      <c r="O168" s="185"/>
      <c r="P168" s="186"/>
      <c r="Q168" s="186"/>
      <c r="R168" s="187"/>
      <c r="S168" s="187"/>
      <c r="T168" s="184"/>
      <c r="U168" s="184"/>
      <c r="V168" s="188"/>
      <c r="W168" s="189"/>
      <c r="X168" s="190"/>
      <c r="Y168" s="185"/>
      <c r="Z168" s="191"/>
      <c r="AA168" s="97"/>
      <c r="AB168" s="192"/>
    </row>
    <row r="169" spans="1:28">
      <c r="A169" s="116"/>
      <c r="B169" s="116"/>
      <c r="C169" s="116">
        <v>3</v>
      </c>
      <c r="D169" s="3"/>
      <c r="E169" s="214"/>
      <c r="F169" s="216"/>
      <c r="G169" s="216"/>
      <c r="H169" s="183"/>
      <c r="I169" s="183"/>
      <c r="J169" s="183"/>
      <c r="K169" s="183"/>
      <c r="L169" s="183"/>
      <c r="M169" s="184"/>
      <c r="N169" s="184"/>
      <c r="O169" s="185"/>
      <c r="P169" s="186"/>
      <c r="Q169" s="186"/>
      <c r="R169" s="187"/>
      <c r="S169" s="187"/>
      <c r="T169" s="184"/>
      <c r="U169" s="184"/>
      <c r="V169" s="188"/>
      <c r="W169" s="189"/>
      <c r="X169" s="190"/>
      <c r="Y169" s="185"/>
      <c r="Z169" s="191"/>
      <c r="AA169" s="97"/>
      <c r="AB169" s="192"/>
    </row>
    <row r="170" spans="1:28">
      <c r="A170" s="116"/>
      <c r="B170" s="116"/>
      <c r="C170" s="116">
        <v>3</v>
      </c>
      <c r="D170" s="3"/>
      <c r="E170" s="214"/>
      <c r="F170" s="216"/>
      <c r="G170" s="216"/>
      <c r="H170" s="183"/>
      <c r="I170" s="183"/>
      <c r="J170" s="183"/>
      <c r="K170" s="183"/>
      <c r="L170" s="183"/>
      <c r="M170" s="184"/>
      <c r="N170" s="184"/>
      <c r="O170" s="185"/>
      <c r="P170" s="186"/>
      <c r="Q170" s="186"/>
      <c r="R170" s="187"/>
      <c r="S170" s="187"/>
      <c r="T170" s="184"/>
      <c r="U170" s="184"/>
      <c r="V170" s="188"/>
      <c r="W170" s="189"/>
      <c r="X170" s="190"/>
      <c r="Y170" s="185"/>
      <c r="Z170" s="191"/>
      <c r="AA170" s="97"/>
      <c r="AB170" s="192"/>
    </row>
    <row r="171" spans="1:28">
      <c r="A171" s="116"/>
      <c r="B171" s="116"/>
      <c r="C171" s="116">
        <v>3</v>
      </c>
      <c r="D171" s="3"/>
      <c r="E171" s="214"/>
      <c r="F171" s="216"/>
      <c r="G171" s="216"/>
      <c r="H171" s="183"/>
      <c r="I171" s="183"/>
      <c r="J171" s="183"/>
      <c r="K171" s="183"/>
      <c r="L171" s="183"/>
      <c r="M171" s="184"/>
      <c r="N171" s="184"/>
      <c r="O171" s="185"/>
      <c r="P171" s="186"/>
      <c r="Q171" s="186"/>
      <c r="R171" s="187"/>
      <c r="S171" s="187"/>
      <c r="T171" s="184"/>
      <c r="U171" s="184"/>
      <c r="V171" s="188"/>
      <c r="W171" s="189"/>
      <c r="X171" s="190"/>
      <c r="Y171" s="185"/>
      <c r="Z171" s="191"/>
      <c r="AA171" s="97"/>
      <c r="AB171" s="192"/>
    </row>
    <row r="172" spans="1:28">
      <c r="A172" s="116"/>
      <c r="B172" s="116"/>
      <c r="C172" s="116">
        <v>3</v>
      </c>
      <c r="D172" s="3"/>
      <c r="E172" s="214"/>
      <c r="F172" s="216"/>
      <c r="G172" s="216"/>
      <c r="H172" s="183"/>
      <c r="I172" s="183"/>
      <c r="J172" s="183"/>
      <c r="K172" s="183"/>
      <c r="L172" s="183"/>
      <c r="M172" s="184"/>
      <c r="N172" s="184"/>
      <c r="O172" s="185"/>
      <c r="P172" s="186"/>
      <c r="Q172" s="186"/>
      <c r="R172" s="187"/>
      <c r="S172" s="187"/>
      <c r="T172" s="184"/>
      <c r="U172" s="184"/>
      <c r="V172" s="188"/>
      <c r="W172" s="189"/>
      <c r="X172" s="190"/>
      <c r="Y172" s="185"/>
      <c r="Z172" s="191"/>
      <c r="AA172" s="97"/>
      <c r="AB172" s="192"/>
    </row>
    <row r="173" spans="1:28">
      <c r="A173" s="116"/>
      <c r="B173" s="116"/>
      <c r="C173" s="116">
        <v>0</v>
      </c>
      <c r="D173" s="3"/>
      <c r="E173" s="214"/>
      <c r="F173" s="216"/>
      <c r="G173" s="216"/>
      <c r="H173" s="183"/>
      <c r="I173" s="183"/>
      <c r="J173" s="183"/>
      <c r="K173" s="183"/>
      <c r="L173" s="183"/>
      <c r="M173" s="184"/>
      <c r="N173" s="184"/>
      <c r="O173" s="185"/>
      <c r="P173" s="186"/>
      <c r="Q173" s="186"/>
      <c r="R173" s="187"/>
      <c r="S173" s="187"/>
      <c r="T173" s="184"/>
      <c r="U173" s="184"/>
      <c r="V173" s="188"/>
      <c r="W173" s="189"/>
      <c r="X173" s="190"/>
      <c r="Y173" s="185"/>
      <c r="Z173" s="191"/>
      <c r="AA173" s="97"/>
      <c r="AB173" s="192"/>
    </row>
    <row r="174" spans="1:28">
      <c r="A174" s="116"/>
      <c r="B174" s="116" t="s">
        <v>1061</v>
      </c>
      <c r="C174" s="116">
        <v>2</v>
      </c>
      <c r="D174" s="3"/>
      <c r="E174" s="214"/>
      <c r="F174" s="216"/>
      <c r="G174" s="216"/>
      <c r="H174" s="183"/>
      <c r="I174" s="183"/>
      <c r="J174" s="183"/>
      <c r="K174" s="183"/>
      <c r="L174" s="183"/>
      <c r="M174" s="184"/>
      <c r="N174" s="184"/>
      <c r="O174" s="185"/>
      <c r="P174" s="186"/>
      <c r="Q174" s="186"/>
      <c r="R174" s="187"/>
      <c r="S174" s="187"/>
      <c r="T174" s="184"/>
      <c r="U174" s="184"/>
      <c r="V174" s="188"/>
      <c r="W174" s="189"/>
      <c r="X174" s="190"/>
      <c r="Y174" s="185"/>
      <c r="Z174" s="191"/>
      <c r="AA174" s="97"/>
      <c r="AB174" s="192"/>
    </row>
    <row r="175" spans="1:28">
      <c r="A175" s="116"/>
      <c r="B175" s="116"/>
      <c r="C175" s="116">
        <v>3</v>
      </c>
      <c r="D175" s="3"/>
      <c r="E175" s="214"/>
      <c r="F175" s="216"/>
      <c r="G175" s="216"/>
      <c r="H175" s="183"/>
      <c r="I175" s="183"/>
      <c r="J175" s="183"/>
      <c r="K175" s="183"/>
      <c r="L175" s="183"/>
      <c r="M175" s="184"/>
      <c r="N175" s="184"/>
      <c r="O175" s="185"/>
      <c r="P175" s="186"/>
      <c r="Q175" s="186"/>
      <c r="R175" s="187"/>
      <c r="S175" s="187"/>
      <c r="T175" s="184"/>
      <c r="U175" s="184"/>
      <c r="V175" s="188"/>
      <c r="W175" s="189"/>
      <c r="X175" s="190"/>
      <c r="Y175" s="185"/>
      <c r="Z175" s="191"/>
      <c r="AA175" s="97"/>
      <c r="AB175" s="192"/>
    </row>
    <row r="176" spans="1:28">
      <c r="A176" s="116"/>
      <c r="B176" s="116"/>
      <c r="C176" s="116">
        <v>3</v>
      </c>
      <c r="D176" s="3"/>
      <c r="E176" s="214"/>
      <c r="F176" s="216"/>
      <c r="G176" s="216"/>
      <c r="H176" s="183"/>
      <c r="I176" s="183"/>
      <c r="J176" s="183"/>
      <c r="K176" s="183"/>
      <c r="L176" s="183"/>
      <c r="M176" s="184"/>
      <c r="N176" s="184"/>
      <c r="O176" s="185"/>
      <c r="P176" s="186"/>
      <c r="Q176" s="186"/>
      <c r="R176" s="187"/>
      <c r="S176" s="187"/>
      <c r="T176" s="184"/>
      <c r="U176" s="184"/>
      <c r="V176" s="188"/>
      <c r="W176" s="189"/>
      <c r="X176" s="190"/>
      <c r="Y176" s="185"/>
      <c r="Z176" s="191"/>
      <c r="AA176" s="97"/>
      <c r="AB176" s="192"/>
    </row>
    <row r="177" spans="1:28">
      <c r="A177" s="116"/>
      <c r="B177" s="116"/>
      <c r="C177" s="116">
        <v>3</v>
      </c>
      <c r="D177" s="3"/>
      <c r="E177" s="214"/>
      <c r="F177" s="216"/>
      <c r="G177" s="216"/>
      <c r="H177" s="183"/>
      <c r="I177" s="183"/>
      <c r="J177" s="183"/>
      <c r="K177" s="183"/>
      <c r="L177" s="183"/>
      <c r="M177" s="184"/>
      <c r="N177" s="184"/>
      <c r="O177" s="185"/>
      <c r="P177" s="186"/>
      <c r="Q177" s="186"/>
      <c r="R177" s="187"/>
      <c r="S177" s="187"/>
      <c r="T177" s="184"/>
      <c r="U177" s="184"/>
      <c r="V177" s="188"/>
      <c r="W177" s="189"/>
      <c r="X177" s="190"/>
      <c r="Y177" s="185"/>
      <c r="Z177" s="191"/>
      <c r="AA177" s="97"/>
      <c r="AB177" s="192"/>
    </row>
    <row r="178" spans="1:28">
      <c r="A178" s="116"/>
      <c r="B178" s="116"/>
      <c r="C178" s="116">
        <v>3</v>
      </c>
      <c r="D178" s="3"/>
      <c r="E178" s="214"/>
      <c r="F178" s="216"/>
      <c r="G178" s="216"/>
      <c r="H178" s="183"/>
      <c r="I178" s="183"/>
      <c r="J178" s="183"/>
      <c r="K178" s="183"/>
      <c r="L178" s="183"/>
      <c r="M178" s="184"/>
      <c r="N178" s="184"/>
      <c r="O178" s="185"/>
      <c r="P178" s="186"/>
      <c r="Q178" s="186"/>
      <c r="R178" s="187"/>
      <c r="S178" s="187"/>
      <c r="T178" s="184"/>
      <c r="U178" s="184"/>
      <c r="V178" s="188"/>
      <c r="W178" s="189"/>
      <c r="X178" s="190"/>
      <c r="Y178" s="185"/>
      <c r="Z178" s="191"/>
      <c r="AA178" s="97"/>
      <c r="AB178" s="192"/>
    </row>
    <row r="179" spans="1:28">
      <c r="A179" s="116"/>
      <c r="B179" s="116"/>
      <c r="C179" s="116">
        <v>0</v>
      </c>
      <c r="D179" s="3"/>
      <c r="E179" s="214"/>
      <c r="F179" s="216"/>
      <c r="G179" s="216"/>
      <c r="H179" s="183"/>
      <c r="I179" s="183"/>
      <c r="J179" s="183"/>
      <c r="K179" s="183"/>
      <c r="L179" s="183"/>
      <c r="M179" s="184"/>
      <c r="N179" s="184"/>
      <c r="O179" s="185"/>
      <c r="P179" s="186"/>
      <c r="Q179" s="186"/>
      <c r="R179" s="187"/>
      <c r="S179" s="187"/>
      <c r="T179" s="184"/>
      <c r="U179" s="184"/>
      <c r="V179" s="188"/>
      <c r="W179" s="189"/>
      <c r="X179" s="190"/>
      <c r="Y179" s="185"/>
      <c r="Z179" s="191"/>
      <c r="AA179" s="97"/>
      <c r="AB179" s="192"/>
    </row>
    <row r="180" spans="1:28">
      <c r="A180" s="116"/>
      <c r="B180" s="116" t="s">
        <v>1061</v>
      </c>
      <c r="C180" s="116">
        <v>2</v>
      </c>
      <c r="D180" s="3"/>
      <c r="E180" s="214"/>
      <c r="F180" s="216"/>
      <c r="G180" s="216"/>
      <c r="H180" s="183"/>
      <c r="I180" s="183"/>
      <c r="J180" s="183"/>
      <c r="K180" s="183"/>
      <c r="L180" s="183"/>
      <c r="M180" s="184"/>
      <c r="N180" s="184"/>
      <c r="O180" s="185"/>
      <c r="P180" s="186"/>
      <c r="Q180" s="186"/>
      <c r="R180" s="187"/>
      <c r="S180" s="187"/>
      <c r="T180" s="184"/>
      <c r="U180" s="184"/>
      <c r="V180" s="188"/>
      <c r="W180" s="189"/>
      <c r="X180" s="190"/>
      <c r="Y180" s="185"/>
      <c r="Z180" s="191"/>
      <c r="AA180" s="97"/>
      <c r="AB180" s="192"/>
    </row>
    <row r="181" spans="1:28">
      <c r="A181" s="116"/>
      <c r="B181" s="116"/>
      <c r="C181" s="116">
        <v>3</v>
      </c>
      <c r="D181" s="3"/>
      <c r="E181" s="214"/>
      <c r="F181" s="216"/>
      <c r="G181" s="216"/>
      <c r="H181" s="183"/>
      <c r="I181" s="183"/>
      <c r="J181" s="183"/>
      <c r="K181" s="183"/>
      <c r="L181" s="183"/>
      <c r="M181" s="184"/>
      <c r="N181" s="184"/>
      <c r="O181" s="185"/>
      <c r="P181" s="186"/>
      <c r="Q181" s="186"/>
      <c r="R181" s="187"/>
      <c r="S181" s="187"/>
      <c r="T181" s="184"/>
      <c r="U181" s="184"/>
      <c r="V181" s="188"/>
      <c r="W181" s="189"/>
      <c r="X181" s="190"/>
      <c r="Y181" s="185"/>
      <c r="Z181" s="191"/>
      <c r="AA181" s="97"/>
      <c r="AB181" s="192"/>
    </row>
    <row r="182" spans="1:28">
      <c r="A182" s="116"/>
      <c r="B182" s="116"/>
      <c r="C182" s="116">
        <v>3</v>
      </c>
      <c r="D182" s="3"/>
      <c r="E182" s="214"/>
      <c r="F182" s="216"/>
      <c r="G182" s="216"/>
      <c r="H182" s="183"/>
      <c r="I182" s="183"/>
      <c r="J182" s="183"/>
      <c r="K182" s="183"/>
      <c r="L182" s="183"/>
      <c r="M182" s="184"/>
      <c r="N182" s="184"/>
      <c r="O182" s="185"/>
      <c r="P182" s="186"/>
      <c r="Q182" s="186"/>
      <c r="R182" s="187"/>
      <c r="S182" s="187"/>
      <c r="T182" s="184"/>
      <c r="U182" s="184"/>
      <c r="V182" s="188"/>
      <c r="W182" s="189"/>
      <c r="X182" s="190"/>
      <c r="Y182" s="185"/>
      <c r="Z182" s="191"/>
      <c r="AA182" s="97"/>
      <c r="AB182" s="192"/>
    </row>
    <row r="183" spans="1:28">
      <c r="A183" s="116"/>
      <c r="B183" s="116"/>
      <c r="C183" s="116">
        <v>3</v>
      </c>
      <c r="D183" s="3"/>
      <c r="E183" s="214"/>
      <c r="F183" s="216"/>
      <c r="G183" s="216"/>
      <c r="H183" s="183"/>
      <c r="I183" s="183"/>
      <c r="J183" s="183"/>
      <c r="K183" s="183"/>
      <c r="L183" s="183"/>
      <c r="M183" s="184"/>
      <c r="N183" s="184"/>
      <c r="O183" s="185"/>
      <c r="P183" s="186"/>
      <c r="Q183" s="186"/>
      <c r="R183" s="187"/>
      <c r="S183" s="187"/>
      <c r="T183" s="184"/>
      <c r="U183" s="184"/>
      <c r="V183" s="188"/>
      <c r="W183" s="189"/>
      <c r="X183" s="190"/>
      <c r="Y183" s="185"/>
      <c r="Z183" s="191"/>
      <c r="AA183" s="97"/>
      <c r="AB183" s="192"/>
    </row>
    <row r="184" spans="1:28">
      <c r="A184" s="116"/>
      <c r="B184" s="116"/>
      <c r="C184" s="116">
        <v>3</v>
      </c>
      <c r="D184" s="3"/>
      <c r="E184" s="214"/>
      <c r="F184" s="216"/>
      <c r="G184" s="216"/>
      <c r="H184" s="183"/>
      <c r="I184" s="183"/>
      <c r="J184" s="183"/>
      <c r="K184" s="183"/>
      <c r="L184" s="183"/>
      <c r="M184" s="184"/>
      <c r="N184" s="184"/>
      <c r="O184" s="185"/>
      <c r="P184" s="186"/>
      <c r="Q184" s="186"/>
      <c r="R184" s="187"/>
      <c r="S184" s="187"/>
      <c r="T184" s="184"/>
      <c r="U184" s="184"/>
      <c r="V184" s="188"/>
      <c r="W184" s="189"/>
      <c r="X184" s="190"/>
      <c r="Y184" s="185"/>
      <c r="Z184" s="191"/>
      <c r="AA184" s="97"/>
      <c r="AB184" s="192"/>
    </row>
    <row r="185" spans="1:28">
      <c r="A185" s="116"/>
      <c r="B185" s="116"/>
      <c r="C185" s="116">
        <v>0</v>
      </c>
      <c r="D185" s="3"/>
      <c r="E185" s="214"/>
      <c r="F185" s="216"/>
      <c r="G185" s="216"/>
      <c r="H185" s="183"/>
      <c r="I185" s="183"/>
      <c r="J185" s="183"/>
      <c r="K185" s="183"/>
      <c r="L185" s="183"/>
      <c r="M185" s="184"/>
      <c r="N185" s="184"/>
      <c r="O185" s="185"/>
      <c r="P185" s="186"/>
      <c r="Q185" s="186"/>
      <c r="R185" s="187"/>
      <c r="S185" s="187"/>
      <c r="T185" s="184"/>
      <c r="U185" s="184"/>
      <c r="V185" s="188"/>
      <c r="W185" s="189"/>
      <c r="X185" s="190"/>
      <c r="Y185" s="185"/>
      <c r="Z185" s="191"/>
      <c r="AA185" s="97"/>
      <c r="AB185" s="192"/>
    </row>
    <row r="186" spans="1:28">
      <c r="A186" s="116"/>
      <c r="B186" s="116" t="s">
        <v>1061</v>
      </c>
      <c r="C186" s="116">
        <v>2</v>
      </c>
      <c r="D186" s="3"/>
      <c r="E186" s="214"/>
      <c r="F186" s="216"/>
      <c r="G186" s="216"/>
      <c r="H186" s="183"/>
      <c r="I186" s="183"/>
      <c r="J186" s="183"/>
      <c r="K186" s="183"/>
      <c r="L186" s="183"/>
      <c r="M186" s="184"/>
      <c r="N186" s="184"/>
      <c r="O186" s="185"/>
      <c r="P186" s="186"/>
      <c r="Q186" s="186"/>
      <c r="R186" s="187"/>
      <c r="S186" s="187"/>
      <c r="T186" s="184"/>
      <c r="U186" s="184"/>
      <c r="V186" s="188"/>
      <c r="W186" s="189"/>
      <c r="X186" s="190"/>
      <c r="Y186" s="185"/>
      <c r="Z186" s="191"/>
      <c r="AA186" s="97"/>
      <c r="AB186" s="192"/>
    </row>
    <row r="187" spans="1:28">
      <c r="A187" s="116"/>
      <c r="B187" s="116"/>
      <c r="C187" s="116">
        <v>3</v>
      </c>
      <c r="D187" s="3"/>
      <c r="E187" s="214"/>
      <c r="F187" s="216"/>
      <c r="G187" s="216"/>
      <c r="H187" s="183"/>
      <c r="I187" s="183"/>
      <c r="J187" s="183"/>
      <c r="K187" s="183"/>
      <c r="L187" s="183"/>
      <c r="M187" s="184"/>
      <c r="N187" s="184"/>
      <c r="O187" s="185"/>
      <c r="P187" s="186"/>
      <c r="Q187" s="186"/>
      <c r="R187" s="187"/>
      <c r="S187" s="187"/>
      <c r="T187" s="184"/>
      <c r="U187" s="184"/>
      <c r="V187" s="188"/>
      <c r="W187" s="189"/>
      <c r="X187" s="190"/>
      <c r="Y187" s="185"/>
      <c r="Z187" s="191"/>
      <c r="AA187" s="97"/>
      <c r="AB187" s="192"/>
    </row>
    <row r="188" spans="1:28">
      <c r="A188" s="116"/>
      <c r="B188" s="116"/>
      <c r="C188" s="116">
        <v>3</v>
      </c>
      <c r="D188" s="3"/>
      <c r="E188" s="214"/>
      <c r="F188" s="216"/>
      <c r="G188" s="216"/>
      <c r="H188" s="183"/>
      <c r="I188" s="183"/>
      <c r="J188" s="183"/>
      <c r="K188" s="183"/>
      <c r="L188" s="183"/>
      <c r="M188" s="184"/>
      <c r="N188" s="184"/>
      <c r="O188" s="185"/>
      <c r="P188" s="186"/>
      <c r="Q188" s="186"/>
      <c r="R188" s="187"/>
      <c r="S188" s="187"/>
      <c r="T188" s="184"/>
      <c r="U188" s="184"/>
      <c r="V188" s="188"/>
      <c r="W188" s="189"/>
      <c r="X188" s="190"/>
      <c r="Y188" s="185"/>
      <c r="Z188" s="191"/>
      <c r="AA188" s="97"/>
      <c r="AB188" s="192"/>
    </row>
    <row r="189" spans="1:28">
      <c r="A189" s="116"/>
      <c r="B189" s="116"/>
      <c r="C189" s="116">
        <v>3</v>
      </c>
      <c r="D189" s="3"/>
      <c r="E189" s="214"/>
      <c r="F189" s="216"/>
      <c r="G189" s="216"/>
      <c r="H189" s="183"/>
      <c r="I189" s="183"/>
      <c r="J189" s="183"/>
      <c r="K189" s="183"/>
      <c r="L189" s="183"/>
      <c r="M189" s="184"/>
      <c r="N189" s="184"/>
      <c r="O189" s="185"/>
      <c r="P189" s="186"/>
      <c r="Q189" s="186"/>
      <c r="R189" s="187"/>
      <c r="S189" s="187"/>
      <c r="T189" s="184"/>
      <c r="U189" s="184"/>
      <c r="V189" s="188"/>
      <c r="W189" s="189"/>
      <c r="X189" s="190"/>
      <c r="Y189" s="185"/>
      <c r="Z189" s="191"/>
      <c r="AA189" s="97"/>
      <c r="AB189" s="192"/>
    </row>
    <row r="190" spans="1:28">
      <c r="A190" s="116"/>
      <c r="B190" s="116"/>
      <c r="C190" s="116">
        <v>3</v>
      </c>
      <c r="D190" s="3"/>
      <c r="E190" s="214"/>
      <c r="F190" s="216"/>
      <c r="G190" s="216"/>
      <c r="H190" s="183"/>
      <c r="I190" s="183"/>
      <c r="J190" s="183"/>
      <c r="K190" s="183"/>
      <c r="L190" s="183"/>
      <c r="M190" s="184"/>
      <c r="N190" s="184"/>
      <c r="O190" s="185"/>
      <c r="P190" s="186"/>
      <c r="Q190" s="186"/>
      <c r="R190" s="187"/>
      <c r="S190" s="187"/>
      <c r="T190" s="184"/>
      <c r="U190" s="184"/>
      <c r="V190" s="188"/>
      <c r="W190" s="189"/>
      <c r="X190" s="190"/>
      <c r="Y190" s="185"/>
      <c r="Z190" s="191"/>
      <c r="AA190" s="97"/>
      <c r="AB190" s="192"/>
    </row>
    <row r="191" spans="1:28">
      <c r="A191" s="116"/>
      <c r="B191" s="116"/>
      <c r="C191" s="116">
        <v>0</v>
      </c>
      <c r="D191" s="3"/>
      <c r="E191" s="214"/>
      <c r="F191" s="216"/>
      <c r="G191" s="216"/>
      <c r="H191" s="183"/>
      <c r="I191" s="183"/>
      <c r="J191" s="183"/>
      <c r="K191" s="183"/>
      <c r="L191" s="183"/>
      <c r="M191" s="184"/>
      <c r="N191" s="184"/>
      <c r="O191" s="185"/>
      <c r="P191" s="186"/>
      <c r="Q191" s="186"/>
      <c r="R191" s="187"/>
      <c r="S191" s="187"/>
      <c r="T191" s="184"/>
      <c r="U191" s="184"/>
      <c r="V191" s="188"/>
      <c r="W191" s="189"/>
      <c r="X191" s="190"/>
      <c r="Y191" s="185"/>
      <c r="Z191" s="191"/>
      <c r="AA191" s="97"/>
      <c r="AB191" s="192"/>
    </row>
    <row r="192" spans="1:28">
      <c r="A192" s="116"/>
      <c r="B192" s="116" t="s">
        <v>1061</v>
      </c>
      <c r="C192" s="116">
        <v>2</v>
      </c>
      <c r="D192" s="3"/>
      <c r="E192" s="214"/>
      <c r="F192" s="216"/>
      <c r="G192" s="216"/>
      <c r="H192" s="183"/>
      <c r="I192" s="183"/>
      <c r="J192" s="183"/>
      <c r="K192" s="183"/>
      <c r="L192" s="183"/>
      <c r="M192" s="184"/>
      <c r="N192" s="184"/>
      <c r="O192" s="185"/>
      <c r="P192" s="186"/>
      <c r="Q192" s="186"/>
      <c r="R192" s="187"/>
      <c r="S192" s="187"/>
      <c r="T192" s="184"/>
      <c r="U192" s="184"/>
      <c r="V192" s="188"/>
      <c r="W192" s="189"/>
      <c r="X192" s="190"/>
      <c r="Y192" s="185"/>
      <c r="Z192" s="191"/>
      <c r="AA192" s="97"/>
      <c r="AB192" s="192"/>
    </row>
    <row r="193" spans="1:28">
      <c r="A193" s="116"/>
      <c r="B193" s="116"/>
      <c r="C193" s="116">
        <v>3</v>
      </c>
      <c r="D193" s="3"/>
      <c r="E193" s="214"/>
      <c r="F193" s="216"/>
      <c r="G193" s="216"/>
      <c r="H193" s="183"/>
      <c r="I193" s="183"/>
      <c r="J193" s="183"/>
      <c r="K193" s="183"/>
      <c r="L193" s="183"/>
      <c r="M193" s="184"/>
      <c r="N193" s="184"/>
      <c r="O193" s="185"/>
      <c r="P193" s="186"/>
      <c r="Q193" s="186"/>
      <c r="R193" s="187"/>
      <c r="S193" s="187"/>
      <c r="T193" s="184"/>
      <c r="U193" s="184"/>
      <c r="V193" s="188"/>
      <c r="W193" s="189"/>
      <c r="X193" s="190"/>
      <c r="Y193" s="185"/>
      <c r="Z193" s="191"/>
      <c r="AA193" s="97"/>
      <c r="AB193" s="192"/>
    </row>
    <row r="194" spans="1:28">
      <c r="A194" s="116"/>
      <c r="B194" s="116"/>
      <c r="C194" s="116">
        <v>3</v>
      </c>
      <c r="D194" s="3"/>
      <c r="E194" s="214"/>
      <c r="F194" s="216"/>
      <c r="G194" s="216"/>
      <c r="H194" s="183"/>
      <c r="I194" s="183"/>
      <c r="J194" s="183"/>
      <c r="K194" s="183"/>
      <c r="L194" s="183"/>
      <c r="M194" s="184"/>
      <c r="N194" s="184"/>
      <c r="O194" s="185"/>
      <c r="P194" s="186"/>
      <c r="Q194" s="186"/>
      <c r="R194" s="187"/>
      <c r="S194" s="187"/>
      <c r="T194" s="184"/>
      <c r="U194" s="184"/>
      <c r="V194" s="188"/>
      <c r="W194" s="189"/>
      <c r="X194" s="190"/>
      <c r="Y194" s="185"/>
      <c r="Z194" s="191"/>
      <c r="AA194" s="97"/>
      <c r="AB194" s="192"/>
    </row>
    <row r="195" spans="1:28">
      <c r="A195" s="116"/>
      <c r="B195" s="116"/>
      <c r="C195" s="116">
        <v>3</v>
      </c>
      <c r="D195" s="3"/>
      <c r="E195" s="214"/>
      <c r="F195" s="216"/>
      <c r="G195" s="216"/>
      <c r="H195" s="183"/>
      <c r="I195" s="183"/>
      <c r="J195" s="183"/>
      <c r="K195" s="183"/>
      <c r="L195" s="183"/>
      <c r="M195" s="184"/>
      <c r="N195" s="184"/>
      <c r="O195" s="185"/>
      <c r="P195" s="186"/>
      <c r="Q195" s="186"/>
      <c r="R195" s="187"/>
      <c r="S195" s="187"/>
      <c r="T195" s="184"/>
      <c r="U195" s="184"/>
      <c r="V195" s="188"/>
      <c r="W195" s="189"/>
      <c r="X195" s="190"/>
      <c r="Y195" s="185"/>
      <c r="Z195" s="191"/>
      <c r="AA195" s="97"/>
      <c r="AB195" s="192"/>
    </row>
    <row r="196" spans="1:28">
      <c r="A196" s="116"/>
      <c r="B196" s="116"/>
      <c r="C196" s="116">
        <v>3</v>
      </c>
      <c r="D196" s="3"/>
      <c r="E196" s="214"/>
      <c r="F196" s="216"/>
      <c r="G196" s="216"/>
      <c r="H196" s="183"/>
      <c r="I196" s="183"/>
      <c r="J196" s="183"/>
      <c r="K196" s="183"/>
      <c r="L196" s="183"/>
      <c r="M196" s="184"/>
      <c r="N196" s="184"/>
      <c r="O196" s="185"/>
      <c r="P196" s="186"/>
      <c r="Q196" s="186"/>
      <c r="R196" s="187"/>
      <c r="S196" s="187"/>
      <c r="T196" s="184"/>
      <c r="U196" s="184"/>
      <c r="V196" s="188"/>
      <c r="W196" s="189"/>
      <c r="X196" s="190"/>
      <c r="Y196" s="185"/>
      <c r="Z196" s="191"/>
      <c r="AA196" s="97"/>
      <c r="AB196" s="192"/>
    </row>
    <row r="197" spans="1:28">
      <c r="A197" s="116"/>
      <c r="B197" s="116"/>
      <c r="C197" s="116">
        <v>0</v>
      </c>
      <c r="D197" s="3"/>
      <c r="E197" s="214"/>
      <c r="F197" s="216"/>
      <c r="G197" s="216"/>
      <c r="H197" s="183"/>
      <c r="I197" s="183"/>
      <c r="J197" s="183"/>
      <c r="K197" s="183"/>
      <c r="L197" s="183"/>
      <c r="M197" s="184"/>
      <c r="N197" s="184"/>
      <c r="O197" s="185"/>
      <c r="P197" s="186"/>
      <c r="Q197" s="186"/>
      <c r="R197" s="187"/>
      <c r="S197" s="187"/>
      <c r="T197" s="184"/>
      <c r="U197" s="184"/>
      <c r="V197" s="188"/>
      <c r="W197" s="189"/>
      <c r="X197" s="190"/>
      <c r="Y197" s="185"/>
      <c r="Z197" s="191"/>
      <c r="AA197" s="97"/>
      <c r="AB197" s="192"/>
    </row>
    <row r="198" spans="1:28">
      <c r="A198" s="116"/>
      <c r="B198" s="116" t="s">
        <v>1061</v>
      </c>
      <c r="C198" s="116">
        <v>2</v>
      </c>
      <c r="D198" s="3"/>
      <c r="E198" s="214"/>
      <c r="F198" s="216"/>
      <c r="G198" s="216"/>
      <c r="H198" s="183"/>
      <c r="I198" s="183"/>
      <c r="J198" s="183"/>
      <c r="K198" s="183"/>
      <c r="L198" s="183"/>
      <c r="M198" s="184"/>
      <c r="N198" s="184"/>
      <c r="O198" s="185"/>
      <c r="P198" s="186"/>
      <c r="Q198" s="186"/>
      <c r="R198" s="187"/>
      <c r="S198" s="187"/>
      <c r="T198" s="184"/>
      <c r="U198" s="184"/>
      <c r="V198" s="188"/>
      <c r="W198" s="189"/>
      <c r="X198" s="190"/>
      <c r="Y198" s="185"/>
      <c r="Z198" s="191"/>
      <c r="AA198" s="97"/>
      <c r="AB198" s="192"/>
    </row>
    <row r="199" spans="1:28">
      <c r="A199" s="116"/>
      <c r="B199" s="116"/>
      <c r="C199" s="116">
        <v>3</v>
      </c>
      <c r="D199" s="3"/>
      <c r="E199" s="214"/>
      <c r="F199" s="216"/>
      <c r="G199" s="216"/>
      <c r="H199" s="183"/>
      <c r="I199" s="183"/>
      <c r="J199" s="183"/>
      <c r="K199" s="183"/>
      <c r="L199" s="183"/>
      <c r="M199" s="184"/>
      <c r="N199" s="184"/>
      <c r="O199" s="185"/>
      <c r="P199" s="186"/>
      <c r="Q199" s="186"/>
      <c r="R199" s="187"/>
      <c r="S199" s="187"/>
      <c r="T199" s="184"/>
      <c r="U199" s="184"/>
      <c r="V199" s="188"/>
      <c r="W199" s="189"/>
      <c r="X199" s="190"/>
      <c r="Y199" s="185"/>
      <c r="Z199" s="191"/>
      <c r="AA199" s="97"/>
      <c r="AB199" s="192"/>
    </row>
    <row r="200" spans="1:28">
      <c r="A200" s="116"/>
      <c r="B200" s="116"/>
      <c r="C200" s="116">
        <v>3</v>
      </c>
      <c r="D200" s="3"/>
      <c r="E200" s="214"/>
      <c r="F200" s="216"/>
      <c r="G200" s="216"/>
      <c r="H200" s="183"/>
      <c r="I200" s="183"/>
      <c r="J200" s="183"/>
      <c r="K200" s="183"/>
      <c r="L200" s="183"/>
      <c r="M200" s="184"/>
      <c r="N200" s="184"/>
      <c r="O200" s="185"/>
      <c r="P200" s="186"/>
      <c r="Q200" s="186"/>
      <c r="R200" s="187"/>
      <c r="S200" s="187"/>
      <c r="T200" s="184"/>
      <c r="U200" s="184"/>
      <c r="V200" s="188"/>
      <c r="W200" s="189"/>
      <c r="X200" s="190"/>
      <c r="Y200" s="185"/>
      <c r="Z200" s="191"/>
      <c r="AA200" s="97"/>
      <c r="AB200" s="192"/>
    </row>
    <row r="201" spans="1:28">
      <c r="A201" s="116"/>
      <c r="B201" s="116"/>
      <c r="C201" s="116">
        <v>3</v>
      </c>
      <c r="D201" s="3"/>
      <c r="E201" s="214"/>
      <c r="F201" s="216"/>
      <c r="G201" s="216"/>
      <c r="H201" s="183"/>
      <c r="I201" s="183"/>
      <c r="J201" s="183"/>
      <c r="K201" s="183"/>
      <c r="L201" s="183"/>
      <c r="M201" s="184"/>
      <c r="N201" s="184"/>
      <c r="O201" s="185"/>
      <c r="P201" s="186"/>
      <c r="Q201" s="186"/>
      <c r="R201" s="187"/>
      <c r="S201" s="187"/>
      <c r="T201" s="184"/>
      <c r="U201" s="184"/>
      <c r="V201" s="188"/>
      <c r="W201" s="189"/>
      <c r="X201" s="190"/>
      <c r="Y201" s="185"/>
      <c r="Z201" s="191"/>
      <c r="AA201" s="97"/>
      <c r="AB201" s="192"/>
    </row>
    <row r="202" spans="1:28">
      <c r="A202" s="116"/>
      <c r="B202" s="116"/>
      <c r="C202" s="116">
        <v>3</v>
      </c>
      <c r="D202" s="3"/>
      <c r="E202" s="214"/>
      <c r="F202" s="216"/>
      <c r="G202" s="216"/>
      <c r="H202" s="183"/>
      <c r="I202" s="183"/>
      <c r="J202" s="183"/>
      <c r="K202" s="183"/>
      <c r="L202" s="183"/>
      <c r="M202" s="184"/>
      <c r="N202" s="184"/>
      <c r="O202" s="185"/>
      <c r="P202" s="186"/>
      <c r="Q202" s="186"/>
      <c r="R202" s="187"/>
      <c r="S202" s="187"/>
      <c r="T202" s="184"/>
      <c r="U202" s="184"/>
      <c r="V202" s="188"/>
      <c r="W202" s="189"/>
      <c r="X202" s="190"/>
      <c r="Y202" s="185"/>
      <c r="Z202" s="191"/>
      <c r="AA202" s="97"/>
      <c r="AB202" s="192"/>
    </row>
    <row r="203" spans="1:28">
      <c r="A203" s="116"/>
      <c r="B203" s="116"/>
      <c r="C203" s="116">
        <v>0</v>
      </c>
      <c r="D203" s="3"/>
      <c r="E203" s="214"/>
      <c r="F203" s="216"/>
      <c r="G203" s="216"/>
      <c r="H203" s="183"/>
      <c r="I203" s="183"/>
      <c r="J203" s="183"/>
      <c r="K203" s="183"/>
      <c r="L203" s="183"/>
      <c r="M203" s="184"/>
      <c r="N203" s="184"/>
      <c r="O203" s="185"/>
      <c r="P203" s="186"/>
      <c r="Q203" s="186"/>
      <c r="R203" s="187"/>
      <c r="S203" s="187"/>
      <c r="T203" s="184"/>
      <c r="U203" s="184"/>
      <c r="V203" s="188"/>
      <c r="W203" s="189"/>
      <c r="X203" s="190"/>
      <c r="Y203" s="185"/>
      <c r="Z203" s="191"/>
      <c r="AA203" s="97"/>
      <c r="AB203" s="192"/>
    </row>
    <row r="204" spans="1:28">
      <c r="A204" s="116"/>
      <c r="B204" s="116" t="s">
        <v>1061</v>
      </c>
      <c r="C204" s="116">
        <v>2</v>
      </c>
      <c r="D204" s="3"/>
      <c r="E204" s="214"/>
      <c r="F204" s="216"/>
      <c r="G204" s="216"/>
      <c r="H204" s="183"/>
      <c r="I204" s="183"/>
      <c r="J204" s="183"/>
      <c r="K204" s="183"/>
      <c r="L204" s="183"/>
      <c r="M204" s="184"/>
      <c r="N204" s="184"/>
      <c r="O204" s="185"/>
      <c r="P204" s="186"/>
      <c r="Q204" s="186"/>
      <c r="R204" s="187"/>
      <c r="S204" s="187"/>
      <c r="T204" s="184"/>
      <c r="U204" s="184"/>
      <c r="V204" s="188"/>
      <c r="W204" s="189"/>
      <c r="X204" s="190"/>
      <c r="Y204" s="185"/>
      <c r="Z204" s="191"/>
      <c r="AA204" s="97"/>
      <c r="AB204" s="192"/>
    </row>
    <row r="205" spans="1:28">
      <c r="A205" s="116"/>
      <c r="B205" s="116"/>
      <c r="C205" s="116">
        <v>3</v>
      </c>
      <c r="D205" s="3"/>
      <c r="E205" s="214"/>
      <c r="F205" s="216"/>
      <c r="G205" s="216"/>
      <c r="H205" s="183"/>
      <c r="I205" s="183"/>
      <c r="J205" s="183"/>
      <c r="K205" s="183"/>
      <c r="L205" s="183"/>
      <c r="M205" s="184"/>
      <c r="N205" s="184"/>
      <c r="O205" s="185"/>
      <c r="P205" s="186"/>
      <c r="Q205" s="186"/>
      <c r="R205" s="187"/>
      <c r="S205" s="187"/>
      <c r="T205" s="184"/>
      <c r="U205" s="184"/>
      <c r="V205" s="188"/>
      <c r="W205" s="189"/>
      <c r="X205" s="190"/>
      <c r="Y205" s="185"/>
      <c r="Z205" s="191"/>
      <c r="AA205" s="97"/>
      <c r="AB205" s="192"/>
    </row>
    <row r="206" spans="1:28">
      <c r="A206" s="116"/>
      <c r="B206" s="116"/>
      <c r="C206" s="116">
        <v>3</v>
      </c>
      <c r="D206" s="3"/>
      <c r="E206" s="214"/>
      <c r="F206" s="216"/>
      <c r="G206" s="216"/>
      <c r="H206" s="183"/>
      <c r="I206" s="183"/>
      <c r="J206" s="183"/>
      <c r="K206" s="183"/>
      <c r="L206" s="183"/>
      <c r="M206" s="184"/>
      <c r="N206" s="184"/>
      <c r="O206" s="185"/>
      <c r="P206" s="186"/>
      <c r="Q206" s="186"/>
      <c r="R206" s="187"/>
      <c r="S206" s="187"/>
      <c r="T206" s="184"/>
      <c r="U206" s="184"/>
      <c r="V206" s="188"/>
      <c r="W206" s="189"/>
      <c r="X206" s="190"/>
      <c r="Y206" s="185"/>
      <c r="Z206" s="191"/>
      <c r="AA206" s="97"/>
      <c r="AB206" s="192"/>
    </row>
    <row r="207" spans="1:28">
      <c r="A207" s="116"/>
      <c r="B207" s="116"/>
      <c r="C207" s="116">
        <v>3</v>
      </c>
      <c r="D207" s="3"/>
      <c r="E207" s="214"/>
      <c r="F207" s="216"/>
      <c r="G207" s="216"/>
      <c r="H207" s="183"/>
      <c r="I207" s="183"/>
      <c r="J207" s="183"/>
      <c r="K207" s="183"/>
      <c r="L207" s="183"/>
      <c r="M207" s="184"/>
      <c r="N207" s="184"/>
      <c r="O207" s="185"/>
      <c r="P207" s="186"/>
      <c r="Q207" s="186"/>
      <c r="R207" s="187"/>
      <c r="S207" s="187"/>
      <c r="T207" s="184"/>
      <c r="U207" s="184"/>
      <c r="V207" s="188"/>
      <c r="W207" s="189"/>
      <c r="X207" s="190"/>
      <c r="Y207" s="185"/>
      <c r="Z207" s="191"/>
      <c r="AA207" s="97"/>
      <c r="AB207" s="192"/>
    </row>
    <row r="208" spans="1:28">
      <c r="A208" s="116"/>
      <c r="B208" s="116"/>
      <c r="C208" s="116">
        <v>3</v>
      </c>
      <c r="D208" s="3"/>
      <c r="E208" s="214"/>
      <c r="F208" s="216"/>
      <c r="G208" s="216"/>
      <c r="H208" s="183"/>
      <c r="I208" s="183"/>
      <c r="J208" s="183"/>
      <c r="K208" s="183"/>
      <c r="L208" s="183"/>
      <c r="M208" s="184"/>
      <c r="N208" s="184"/>
      <c r="O208" s="185"/>
      <c r="P208" s="186"/>
      <c r="Q208" s="186"/>
      <c r="R208" s="187"/>
      <c r="S208" s="187"/>
      <c r="T208" s="184"/>
      <c r="U208" s="184"/>
      <c r="V208" s="188"/>
      <c r="W208" s="189"/>
      <c r="X208" s="190"/>
      <c r="Y208" s="185"/>
      <c r="Z208" s="191"/>
      <c r="AA208" s="97"/>
      <c r="AB208" s="192"/>
    </row>
    <row r="209" spans="1:28">
      <c r="A209" s="116"/>
      <c r="B209" s="116"/>
      <c r="C209" s="116">
        <v>0</v>
      </c>
      <c r="D209" s="3"/>
      <c r="E209" s="214"/>
      <c r="F209" s="216"/>
      <c r="G209" s="216"/>
      <c r="H209" s="183"/>
      <c r="I209" s="183"/>
      <c r="J209" s="183"/>
      <c r="K209" s="183"/>
      <c r="L209" s="183"/>
      <c r="M209" s="184"/>
      <c r="N209" s="184"/>
      <c r="O209" s="185"/>
      <c r="P209" s="186"/>
      <c r="Q209" s="186"/>
      <c r="R209" s="187"/>
      <c r="S209" s="187"/>
      <c r="T209" s="184"/>
      <c r="U209" s="184"/>
      <c r="V209" s="188"/>
      <c r="W209" s="189"/>
      <c r="X209" s="190"/>
      <c r="Y209" s="185"/>
      <c r="Z209" s="191"/>
      <c r="AA209" s="97"/>
      <c r="AB209" s="192"/>
    </row>
    <row r="210" spans="1:28">
      <c r="A210" s="116"/>
      <c r="B210" s="116" t="s">
        <v>1061</v>
      </c>
      <c r="C210" s="116">
        <v>2</v>
      </c>
      <c r="D210" s="3"/>
      <c r="E210" s="214"/>
      <c r="F210" s="216"/>
      <c r="G210" s="216"/>
      <c r="H210" s="183"/>
      <c r="I210" s="183"/>
      <c r="J210" s="183"/>
      <c r="K210" s="183"/>
      <c r="L210" s="183"/>
      <c r="M210" s="184"/>
      <c r="N210" s="184"/>
      <c r="O210" s="185"/>
      <c r="P210" s="186"/>
      <c r="Q210" s="186"/>
      <c r="R210" s="187"/>
      <c r="S210" s="187"/>
      <c r="T210" s="184"/>
      <c r="U210" s="184"/>
      <c r="V210" s="188"/>
      <c r="W210" s="189"/>
      <c r="X210" s="190"/>
      <c r="Y210" s="185"/>
      <c r="Z210" s="191"/>
      <c r="AA210" s="97"/>
      <c r="AB210" s="192"/>
    </row>
    <row r="211" spans="1:28">
      <c r="A211" s="116"/>
      <c r="B211" s="116"/>
      <c r="C211" s="116">
        <v>3</v>
      </c>
      <c r="D211" s="3"/>
      <c r="E211" s="214"/>
      <c r="F211" s="216"/>
      <c r="G211" s="216"/>
      <c r="H211" s="183"/>
      <c r="I211" s="183"/>
      <c r="J211" s="183"/>
      <c r="K211" s="183"/>
      <c r="L211" s="183"/>
      <c r="M211" s="184"/>
      <c r="N211" s="184"/>
      <c r="O211" s="185"/>
      <c r="P211" s="186"/>
      <c r="Q211" s="186"/>
      <c r="R211" s="187"/>
      <c r="S211" s="187"/>
      <c r="T211" s="184"/>
      <c r="U211" s="184"/>
      <c r="V211" s="188"/>
      <c r="W211" s="189"/>
      <c r="X211" s="190"/>
      <c r="Y211" s="185"/>
      <c r="Z211" s="191"/>
      <c r="AA211" s="97"/>
      <c r="AB211" s="192"/>
    </row>
    <row r="212" spans="1:28">
      <c r="A212" s="116"/>
      <c r="B212" s="116"/>
      <c r="C212" s="116">
        <v>3</v>
      </c>
      <c r="D212" s="3"/>
      <c r="E212" s="214"/>
      <c r="F212" s="216"/>
      <c r="G212" s="216"/>
      <c r="H212" s="183"/>
      <c r="I212" s="183"/>
      <c r="J212" s="183"/>
      <c r="K212" s="183"/>
      <c r="L212" s="183"/>
      <c r="M212" s="184"/>
      <c r="N212" s="184"/>
      <c r="O212" s="185"/>
      <c r="P212" s="186"/>
      <c r="Q212" s="186"/>
      <c r="R212" s="187"/>
      <c r="S212" s="187"/>
      <c r="T212" s="184"/>
      <c r="U212" s="184"/>
      <c r="V212" s="188"/>
      <c r="W212" s="189"/>
      <c r="X212" s="190"/>
      <c r="Y212" s="185"/>
      <c r="Z212" s="191"/>
      <c r="AA212" s="97"/>
      <c r="AB212" s="192"/>
    </row>
    <row r="213" spans="1:28">
      <c r="A213" s="116"/>
      <c r="B213" s="116"/>
      <c r="C213" s="116">
        <v>3</v>
      </c>
      <c r="D213" s="3"/>
      <c r="E213" s="214"/>
      <c r="F213" s="216"/>
      <c r="G213" s="216"/>
      <c r="H213" s="183"/>
      <c r="I213" s="183"/>
      <c r="J213" s="183"/>
      <c r="K213" s="183"/>
      <c r="L213" s="183"/>
      <c r="M213" s="184"/>
      <c r="N213" s="184"/>
      <c r="O213" s="185"/>
      <c r="P213" s="186"/>
      <c r="Q213" s="186"/>
      <c r="R213" s="187"/>
      <c r="S213" s="187"/>
      <c r="T213" s="184"/>
      <c r="U213" s="184"/>
      <c r="V213" s="188"/>
      <c r="W213" s="189"/>
      <c r="X213" s="190"/>
      <c r="Y213" s="185"/>
      <c r="Z213" s="191"/>
      <c r="AA213" s="97"/>
      <c r="AB213" s="192"/>
    </row>
    <row r="214" spans="1:28">
      <c r="A214" s="116"/>
      <c r="B214" s="116"/>
      <c r="C214" s="116">
        <v>3</v>
      </c>
      <c r="D214" s="3"/>
      <c r="E214" s="214"/>
      <c r="F214" s="216"/>
      <c r="G214" s="216"/>
      <c r="H214" s="183"/>
      <c r="I214" s="183"/>
      <c r="J214" s="183"/>
      <c r="K214" s="183"/>
      <c r="L214" s="183"/>
      <c r="M214" s="184"/>
      <c r="N214" s="184"/>
      <c r="O214" s="185"/>
      <c r="P214" s="186"/>
      <c r="Q214" s="186"/>
      <c r="R214" s="187"/>
      <c r="S214" s="187"/>
      <c r="T214" s="184"/>
      <c r="U214" s="184"/>
      <c r="V214" s="188"/>
      <c r="W214" s="189"/>
      <c r="X214" s="190"/>
      <c r="Y214" s="185"/>
      <c r="Z214" s="191"/>
      <c r="AA214" s="97"/>
      <c r="AB214" s="192"/>
    </row>
    <row r="215" spans="1:28">
      <c r="A215" s="116"/>
      <c r="B215" s="116"/>
      <c r="C215" s="116">
        <v>0</v>
      </c>
      <c r="D215" s="3"/>
      <c r="E215" s="214"/>
      <c r="F215" s="216"/>
      <c r="G215" s="216"/>
      <c r="H215" s="183"/>
      <c r="I215" s="183"/>
      <c r="J215" s="183"/>
      <c r="K215" s="183"/>
      <c r="L215" s="183"/>
      <c r="M215" s="184"/>
      <c r="N215" s="184"/>
      <c r="O215" s="185"/>
      <c r="P215" s="186"/>
      <c r="Q215" s="186"/>
      <c r="R215" s="187"/>
      <c r="S215" s="187"/>
      <c r="T215" s="184"/>
      <c r="U215" s="184"/>
      <c r="V215" s="188"/>
      <c r="W215" s="189"/>
      <c r="X215" s="190"/>
      <c r="Y215" s="185"/>
      <c r="Z215" s="191"/>
      <c r="AA215" s="97"/>
      <c r="AB215" s="192"/>
    </row>
    <row r="216" spans="1:28">
      <c r="A216" s="116"/>
      <c r="B216" s="116" t="s">
        <v>1061</v>
      </c>
      <c r="C216" s="116">
        <v>2</v>
      </c>
      <c r="D216" s="3"/>
      <c r="E216" s="214"/>
      <c r="F216" s="216"/>
      <c r="G216" s="216"/>
      <c r="H216" s="183"/>
      <c r="I216" s="183"/>
      <c r="J216" s="183"/>
      <c r="K216" s="183"/>
      <c r="L216" s="183"/>
      <c r="M216" s="184"/>
      <c r="N216" s="184"/>
      <c r="O216" s="185"/>
      <c r="P216" s="186"/>
      <c r="Q216" s="186"/>
      <c r="R216" s="187"/>
      <c r="S216" s="187"/>
      <c r="T216" s="184"/>
      <c r="U216" s="184"/>
      <c r="V216" s="188"/>
      <c r="W216" s="189"/>
      <c r="X216" s="190"/>
      <c r="Y216" s="185"/>
      <c r="Z216" s="191"/>
      <c r="AA216" s="97"/>
      <c r="AB216" s="192"/>
    </row>
    <row r="217" spans="1:28">
      <c r="A217" s="116"/>
      <c r="B217" s="116"/>
      <c r="C217" s="116">
        <v>3</v>
      </c>
      <c r="D217" s="3"/>
      <c r="E217" s="214"/>
      <c r="F217" s="216"/>
      <c r="G217" s="216"/>
      <c r="H217" s="183"/>
      <c r="I217" s="183"/>
      <c r="J217" s="183"/>
      <c r="K217" s="183"/>
      <c r="L217" s="183"/>
      <c r="M217" s="184"/>
      <c r="N217" s="184"/>
      <c r="O217" s="185"/>
      <c r="P217" s="186"/>
      <c r="Q217" s="186"/>
      <c r="R217" s="187"/>
      <c r="S217" s="187"/>
      <c r="T217" s="184"/>
      <c r="U217" s="184"/>
      <c r="V217" s="188"/>
      <c r="W217" s="189"/>
      <c r="X217" s="190"/>
      <c r="Y217" s="185"/>
      <c r="Z217" s="191"/>
      <c r="AA217" s="97"/>
      <c r="AB217" s="192"/>
    </row>
    <row r="218" spans="1:28">
      <c r="A218" s="116"/>
      <c r="B218" s="116"/>
      <c r="C218" s="116">
        <v>3</v>
      </c>
      <c r="D218" s="3"/>
      <c r="E218" s="214"/>
      <c r="F218" s="216"/>
      <c r="G218" s="216"/>
      <c r="H218" s="183"/>
      <c r="I218" s="183"/>
      <c r="J218" s="183"/>
      <c r="K218" s="183"/>
      <c r="L218" s="183"/>
      <c r="M218" s="184"/>
      <c r="N218" s="184"/>
      <c r="O218" s="185"/>
      <c r="P218" s="186"/>
      <c r="Q218" s="186"/>
      <c r="R218" s="187"/>
      <c r="S218" s="187"/>
      <c r="T218" s="184"/>
      <c r="U218" s="184"/>
      <c r="V218" s="188"/>
      <c r="W218" s="189"/>
      <c r="X218" s="190"/>
      <c r="Y218" s="185"/>
      <c r="Z218" s="191"/>
      <c r="AA218" s="97"/>
      <c r="AB218" s="192"/>
    </row>
    <row r="219" spans="1:28">
      <c r="A219" s="116"/>
      <c r="B219" s="116"/>
      <c r="C219" s="116">
        <v>3</v>
      </c>
      <c r="D219" s="3"/>
      <c r="E219" s="214"/>
      <c r="F219" s="216"/>
      <c r="G219" s="216"/>
      <c r="H219" s="183"/>
      <c r="I219" s="183"/>
      <c r="J219" s="183"/>
      <c r="K219" s="183"/>
      <c r="L219" s="183"/>
      <c r="M219" s="184"/>
      <c r="N219" s="184"/>
      <c r="O219" s="185"/>
      <c r="P219" s="186"/>
      <c r="Q219" s="186"/>
      <c r="R219" s="187"/>
      <c r="S219" s="187"/>
      <c r="T219" s="184"/>
      <c r="U219" s="184"/>
      <c r="V219" s="188"/>
      <c r="W219" s="189"/>
      <c r="X219" s="190"/>
      <c r="Y219" s="185"/>
      <c r="Z219" s="191"/>
      <c r="AA219" s="97"/>
      <c r="AB219" s="192"/>
    </row>
    <row r="220" spans="1:28">
      <c r="A220" s="116"/>
      <c r="B220" s="116"/>
      <c r="C220" s="116">
        <v>3</v>
      </c>
      <c r="D220" s="3"/>
      <c r="E220" s="214"/>
      <c r="F220" s="216"/>
      <c r="G220" s="216"/>
      <c r="H220" s="183"/>
      <c r="I220" s="183"/>
      <c r="J220" s="183"/>
      <c r="K220" s="183"/>
      <c r="L220" s="183"/>
      <c r="M220" s="184"/>
      <c r="N220" s="184"/>
      <c r="O220" s="185"/>
      <c r="P220" s="186"/>
      <c r="Q220" s="186"/>
      <c r="R220" s="187"/>
      <c r="S220" s="187"/>
      <c r="T220" s="184"/>
      <c r="U220" s="184"/>
      <c r="V220" s="188"/>
      <c r="W220" s="189"/>
      <c r="X220" s="190"/>
      <c r="Y220" s="185"/>
      <c r="Z220" s="191"/>
      <c r="AA220" s="97"/>
      <c r="AB220" s="192"/>
    </row>
    <row r="221" spans="1:28">
      <c r="A221" s="116"/>
      <c r="B221" s="116"/>
      <c r="C221" s="116">
        <v>0</v>
      </c>
      <c r="D221" s="3"/>
      <c r="E221" s="214"/>
      <c r="F221" s="183"/>
      <c r="G221" s="183"/>
      <c r="H221" s="183"/>
      <c r="I221" s="183"/>
      <c r="J221" s="183"/>
      <c r="K221" s="183"/>
      <c r="L221" s="183"/>
      <c r="M221" s="184"/>
      <c r="N221" s="184"/>
      <c r="O221" s="185"/>
      <c r="P221" s="186"/>
      <c r="Q221" s="186"/>
      <c r="R221" s="187"/>
      <c r="S221" s="187"/>
      <c r="T221" s="184"/>
      <c r="U221" s="184"/>
      <c r="V221" s="188"/>
      <c r="W221" s="189"/>
      <c r="X221" s="190"/>
      <c r="Y221" s="185"/>
      <c r="Z221" s="191"/>
      <c r="AA221" s="97"/>
      <c r="AB221" s="192"/>
    </row>
    <row r="222" spans="1:28">
      <c r="A222" s="116"/>
      <c r="B222" s="116" t="s">
        <v>1061</v>
      </c>
      <c r="C222" s="116">
        <v>2</v>
      </c>
      <c r="D222" s="3"/>
      <c r="E222" s="214"/>
      <c r="F222" s="216"/>
      <c r="G222" s="216"/>
      <c r="H222" s="183"/>
      <c r="I222" s="183"/>
      <c r="J222" s="183"/>
      <c r="K222" s="183"/>
      <c r="L222" s="183"/>
      <c r="M222" s="184"/>
      <c r="N222" s="184"/>
      <c r="O222" s="185"/>
      <c r="P222" s="186"/>
      <c r="Q222" s="186"/>
      <c r="R222" s="187"/>
      <c r="S222" s="187"/>
      <c r="T222" s="184"/>
      <c r="U222" s="184"/>
      <c r="V222" s="188"/>
      <c r="W222" s="189"/>
      <c r="X222" s="190"/>
      <c r="Y222" s="185"/>
      <c r="Z222" s="191"/>
      <c r="AA222" s="97"/>
      <c r="AB222" s="192"/>
    </row>
    <row r="223" spans="1:28">
      <c r="A223" s="116"/>
      <c r="B223" s="116"/>
      <c r="C223" s="116">
        <v>3</v>
      </c>
      <c r="D223" s="3"/>
      <c r="E223" s="214"/>
      <c r="F223" s="216"/>
      <c r="G223" s="216"/>
      <c r="H223" s="183"/>
      <c r="I223" s="183"/>
      <c r="J223" s="183"/>
      <c r="K223" s="183"/>
      <c r="L223" s="183"/>
      <c r="M223" s="184"/>
      <c r="N223" s="184"/>
      <c r="O223" s="185"/>
      <c r="P223" s="186"/>
      <c r="Q223" s="186"/>
      <c r="R223" s="187"/>
      <c r="S223" s="187"/>
      <c r="T223" s="184"/>
      <c r="U223" s="184"/>
      <c r="V223" s="188"/>
      <c r="W223" s="189"/>
      <c r="X223" s="190"/>
      <c r="Y223" s="185"/>
      <c r="Z223" s="191"/>
      <c r="AA223" s="97"/>
      <c r="AB223" s="192"/>
    </row>
    <row r="224" spans="1:28">
      <c r="A224" s="116"/>
      <c r="B224" s="116"/>
      <c r="C224" s="116">
        <v>3</v>
      </c>
      <c r="D224" s="3"/>
      <c r="E224" s="214"/>
      <c r="F224" s="216"/>
      <c r="G224" s="216"/>
      <c r="H224" s="183"/>
      <c r="I224" s="183"/>
      <c r="J224" s="183"/>
      <c r="K224" s="183"/>
      <c r="L224" s="183"/>
      <c r="M224" s="184"/>
      <c r="N224" s="184"/>
      <c r="O224" s="185"/>
      <c r="P224" s="186"/>
      <c r="Q224" s="186"/>
      <c r="R224" s="187"/>
      <c r="S224" s="187"/>
      <c r="T224" s="184"/>
      <c r="U224" s="184"/>
      <c r="V224" s="188"/>
      <c r="W224" s="189"/>
      <c r="X224" s="190"/>
      <c r="Y224" s="185"/>
      <c r="Z224" s="191"/>
      <c r="AA224" s="97"/>
      <c r="AB224" s="192"/>
    </row>
    <row r="225" spans="1:28">
      <c r="A225" s="116"/>
      <c r="B225" s="116"/>
      <c r="C225" s="116">
        <v>3</v>
      </c>
      <c r="D225" s="3"/>
      <c r="E225" s="214"/>
      <c r="F225" s="216"/>
      <c r="G225" s="216"/>
      <c r="H225" s="183"/>
      <c r="I225" s="183"/>
      <c r="J225" s="183"/>
      <c r="K225" s="183"/>
      <c r="L225" s="183"/>
      <c r="M225" s="184"/>
      <c r="N225" s="184"/>
      <c r="O225" s="185"/>
      <c r="P225" s="186"/>
      <c r="Q225" s="186"/>
      <c r="R225" s="187"/>
      <c r="S225" s="187"/>
      <c r="T225" s="184"/>
      <c r="U225" s="184"/>
      <c r="V225" s="188"/>
      <c r="W225" s="189"/>
      <c r="X225" s="190"/>
      <c r="Y225" s="185"/>
      <c r="Z225" s="191"/>
      <c r="AA225" s="97"/>
      <c r="AB225" s="192"/>
    </row>
    <row r="226" spans="1:28">
      <c r="A226" s="116"/>
      <c r="B226" s="116"/>
      <c r="C226" s="116">
        <v>3</v>
      </c>
      <c r="D226" s="3"/>
      <c r="E226" s="214"/>
      <c r="F226" s="216"/>
      <c r="G226" s="216"/>
      <c r="H226" s="183"/>
      <c r="I226" s="183"/>
      <c r="J226" s="183"/>
      <c r="K226" s="183"/>
      <c r="L226" s="183"/>
      <c r="M226" s="184"/>
      <c r="N226" s="184"/>
      <c r="O226" s="185"/>
      <c r="P226" s="186"/>
      <c r="Q226" s="186"/>
      <c r="R226" s="187"/>
      <c r="S226" s="187"/>
      <c r="T226" s="184"/>
      <c r="U226" s="184"/>
      <c r="V226" s="188"/>
      <c r="W226" s="189"/>
      <c r="X226" s="190"/>
      <c r="Y226" s="185"/>
      <c r="Z226" s="191"/>
      <c r="AA226" s="97"/>
      <c r="AB226" s="192"/>
    </row>
    <row r="227" spans="1:28">
      <c r="A227" s="116"/>
      <c r="B227" s="116"/>
      <c r="C227" s="116">
        <v>0</v>
      </c>
      <c r="D227" s="3"/>
      <c r="E227" s="214"/>
      <c r="F227" s="183"/>
      <c r="G227" s="183"/>
      <c r="H227" s="183"/>
      <c r="I227" s="183"/>
      <c r="J227" s="183"/>
      <c r="K227" s="183"/>
      <c r="L227" s="183"/>
      <c r="M227" s="184"/>
      <c r="N227" s="184"/>
      <c r="O227" s="185"/>
      <c r="P227" s="186"/>
      <c r="Q227" s="186"/>
      <c r="R227" s="187"/>
      <c r="S227" s="187"/>
      <c r="T227" s="184"/>
      <c r="U227" s="184"/>
      <c r="V227" s="188"/>
      <c r="W227" s="189"/>
      <c r="X227" s="190"/>
      <c r="Y227" s="185"/>
      <c r="Z227" s="191"/>
      <c r="AA227" s="97"/>
      <c r="AB227" s="192"/>
    </row>
    <row r="228" spans="1:28">
      <c r="A228" s="116"/>
      <c r="B228" s="116" t="s">
        <v>1061</v>
      </c>
      <c r="C228" s="116">
        <v>2</v>
      </c>
      <c r="D228" s="3"/>
      <c r="E228" s="214"/>
      <c r="F228" s="216"/>
      <c r="G228" s="216"/>
      <c r="H228" s="183"/>
      <c r="I228" s="183"/>
      <c r="J228" s="183"/>
      <c r="K228" s="183"/>
      <c r="L228" s="183"/>
      <c r="M228" s="184"/>
      <c r="N228" s="184"/>
      <c r="O228" s="185"/>
      <c r="P228" s="186"/>
      <c r="Q228" s="186"/>
      <c r="R228" s="187"/>
      <c r="S228" s="187"/>
      <c r="T228" s="184"/>
      <c r="U228" s="184"/>
      <c r="V228" s="188"/>
      <c r="W228" s="189"/>
      <c r="X228" s="190"/>
      <c r="Y228" s="185"/>
      <c r="Z228" s="191"/>
      <c r="AA228" s="97"/>
      <c r="AB228" s="192"/>
    </row>
    <row r="229" spans="1:28">
      <c r="A229" s="116"/>
      <c r="B229" s="116"/>
      <c r="C229" s="116">
        <v>3</v>
      </c>
      <c r="D229" s="3"/>
      <c r="E229" s="214"/>
      <c r="F229" s="216"/>
      <c r="G229" s="216"/>
      <c r="H229" s="183"/>
      <c r="I229" s="183"/>
      <c r="J229" s="183"/>
      <c r="K229" s="183"/>
      <c r="L229" s="183"/>
      <c r="M229" s="184"/>
      <c r="N229" s="184"/>
      <c r="O229" s="185"/>
      <c r="P229" s="186"/>
      <c r="Q229" s="186"/>
      <c r="R229" s="187"/>
      <c r="S229" s="187"/>
      <c r="T229" s="184"/>
      <c r="U229" s="184"/>
      <c r="V229" s="188"/>
      <c r="W229" s="189"/>
      <c r="X229" s="190"/>
      <c r="Y229" s="185"/>
      <c r="Z229" s="191"/>
      <c r="AA229" s="97"/>
      <c r="AB229" s="192"/>
    </row>
    <row r="230" spans="1:28">
      <c r="A230" s="116"/>
      <c r="B230" s="116"/>
      <c r="C230" s="116">
        <v>3</v>
      </c>
      <c r="D230" s="3"/>
      <c r="E230" s="214"/>
      <c r="F230" s="216"/>
      <c r="G230" s="216"/>
      <c r="H230" s="183"/>
      <c r="I230" s="183"/>
      <c r="J230" s="183"/>
      <c r="K230" s="183"/>
      <c r="L230" s="183"/>
      <c r="M230" s="184"/>
      <c r="N230" s="184"/>
      <c r="O230" s="185"/>
      <c r="P230" s="186"/>
      <c r="Q230" s="186"/>
      <c r="R230" s="187"/>
      <c r="S230" s="187"/>
      <c r="T230" s="184"/>
      <c r="U230" s="184"/>
      <c r="V230" s="188"/>
      <c r="W230" s="189"/>
      <c r="X230" s="190"/>
      <c r="Y230" s="185"/>
      <c r="Z230" s="191"/>
      <c r="AA230" s="97"/>
      <c r="AB230" s="192"/>
    </row>
    <row r="231" spans="1:28">
      <c r="A231" s="116"/>
      <c r="B231" s="116"/>
      <c r="C231" s="116">
        <v>3</v>
      </c>
      <c r="D231" s="3"/>
      <c r="E231" s="214"/>
      <c r="F231" s="216"/>
      <c r="G231" s="216"/>
      <c r="H231" s="183"/>
      <c r="I231" s="183"/>
      <c r="J231" s="183"/>
      <c r="K231" s="183"/>
      <c r="L231" s="183"/>
      <c r="M231" s="184"/>
      <c r="N231" s="184"/>
      <c r="O231" s="185"/>
      <c r="P231" s="186"/>
      <c r="Q231" s="186"/>
      <c r="R231" s="187"/>
      <c r="S231" s="187"/>
      <c r="T231" s="184"/>
      <c r="U231" s="184"/>
      <c r="V231" s="188"/>
      <c r="W231" s="189"/>
      <c r="X231" s="190"/>
      <c r="Y231" s="185"/>
      <c r="Z231" s="191"/>
      <c r="AA231" s="97"/>
      <c r="AB231" s="192"/>
    </row>
    <row r="232" spans="1:28">
      <c r="A232" s="116"/>
      <c r="B232" s="116"/>
      <c r="C232" s="116">
        <v>3</v>
      </c>
      <c r="D232" s="3"/>
      <c r="E232" s="214"/>
      <c r="F232" s="216"/>
      <c r="G232" s="216"/>
      <c r="H232" s="183"/>
      <c r="I232" s="183"/>
      <c r="J232" s="183"/>
      <c r="K232" s="183"/>
      <c r="L232" s="183"/>
      <c r="M232" s="184"/>
      <c r="N232" s="184"/>
      <c r="O232" s="185"/>
      <c r="P232" s="186"/>
      <c r="Q232" s="186"/>
      <c r="R232" s="187"/>
      <c r="S232" s="187"/>
      <c r="T232" s="184"/>
      <c r="U232" s="184"/>
      <c r="V232" s="188"/>
      <c r="W232" s="189"/>
      <c r="X232" s="190"/>
      <c r="Y232" s="185"/>
      <c r="Z232" s="191"/>
      <c r="AA232" s="97"/>
      <c r="AB232" s="192"/>
    </row>
    <row r="233" spans="1:28">
      <c r="A233" s="116"/>
      <c r="B233" s="116"/>
      <c r="C233" s="116">
        <v>0</v>
      </c>
      <c r="D233" s="3"/>
      <c r="E233" s="214"/>
      <c r="F233" s="183"/>
      <c r="G233" s="183"/>
      <c r="H233" s="183"/>
      <c r="I233" s="183"/>
      <c r="J233" s="183"/>
      <c r="K233" s="183"/>
      <c r="L233" s="183"/>
      <c r="M233" s="184"/>
      <c r="N233" s="184"/>
      <c r="O233" s="185"/>
      <c r="P233" s="186"/>
      <c r="Q233" s="186"/>
      <c r="R233" s="187"/>
      <c r="S233" s="187"/>
      <c r="T233" s="184"/>
      <c r="U233" s="184"/>
      <c r="V233" s="188"/>
      <c r="W233" s="189"/>
      <c r="X233" s="190"/>
      <c r="Y233" s="185"/>
      <c r="Z233" s="191"/>
      <c r="AA233" s="97"/>
      <c r="AB233" s="192"/>
    </row>
    <row r="234" spans="1:28">
      <c r="A234" s="116"/>
      <c r="B234" s="116" t="s">
        <v>1061</v>
      </c>
      <c r="C234" s="116">
        <v>2</v>
      </c>
      <c r="D234" s="3"/>
      <c r="E234" s="214"/>
      <c r="F234" s="216"/>
      <c r="G234" s="216"/>
      <c r="H234" s="183"/>
      <c r="I234" s="183"/>
      <c r="J234" s="183"/>
      <c r="K234" s="183"/>
      <c r="L234" s="183"/>
      <c r="M234" s="184"/>
      <c r="N234" s="184"/>
      <c r="O234" s="185"/>
      <c r="P234" s="186"/>
      <c r="Q234" s="186"/>
      <c r="R234" s="187"/>
      <c r="S234" s="187"/>
      <c r="T234" s="184"/>
      <c r="U234" s="184"/>
      <c r="V234" s="188"/>
      <c r="W234" s="189"/>
      <c r="X234" s="190"/>
      <c r="Y234" s="185"/>
      <c r="Z234" s="191"/>
      <c r="AA234" s="97"/>
      <c r="AB234" s="192"/>
    </row>
    <row r="235" spans="1:28">
      <c r="A235" s="116"/>
      <c r="B235" s="116"/>
      <c r="C235" s="116">
        <v>3</v>
      </c>
      <c r="D235" s="3"/>
      <c r="E235" s="214"/>
      <c r="F235" s="216"/>
      <c r="G235" s="216"/>
      <c r="H235" s="183"/>
      <c r="I235" s="183"/>
      <c r="J235" s="183"/>
      <c r="K235" s="183"/>
      <c r="L235" s="183"/>
      <c r="M235" s="184"/>
      <c r="N235" s="184"/>
      <c r="O235" s="185"/>
      <c r="P235" s="186"/>
      <c r="Q235" s="186"/>
      <c r="R235" s="187"/>
      <c r="S235" s="187"/>
      <c r="T235" s="184"/>
      <c r="U235" s="184"/>
      <c r="V235" s="188"/>
      <c r="W235" s="189"/>
      <c r="X235" s="190"/>
      <c r="Y235" s="185"/>
      <c r="Z235" s="191"/>
      <c r="AA235" s="97"/>
      <c r="AB235" s="192"/>
    </row>
    <row r="236" spans="1:28">
      <c r="A236" s="116"/>
      <c r="B236" s="116"/>
      <c r="C236" s="116">
        <v>3</v>
      </c>
      <c r="D236" s="3"/>
      <c r="E236" s="214"/>
      <c r="F236" s="216"/>
      <c r="G236" s="216"/>
      <c r="H236" s="183"/>
      <c r="I236" s="183"/>
      <c r="J236" s="183"/>
      <c r="K236" s="183"/>
      <c r="L236" s="183"/>
      <c r="M236" s="184"/>
      <c r="N236" s="184"/>
      <c r="O236" s="185"/>
      <c r="P236" s="186"/>
      <c r="Q236" s="186"/>
      <c r="R236" s="187"/>
      <c r="S236" s="187"/>
      <c r="T236" s="184"/>
      <c r="U236" s="184"/>
      <c r="V236" s="188"/>
      <c r="W236" s="189"/>
      <c r="X236" s="190"/>
      <c r="Y236" s="185"/>
      <c r="Z236" s="191"/>
      <c r="AA236" s="97"/>
      <c r="AB236" s="192"/>
    </row>
    <row r="237" spans="1:28">
      <c r="A237" s="116"/>
      <c r="B237" s="116"/>
      <c r="C237" s="116">
        <v>3</v>
      </c>
      <c r="D237" s="3"/>
      <c r="E237" s="214"/>
      <c r="F237" s="216"/>
      <c r="G237" s="216"/>
      <c r="H237" s="183"/>
      <c r="I237" s="183"/>
      <c r="J237" s="183"/>
      <c r="K237" s="183"/>
      <c r="L237" s="183"/>
      <c r="M237" s="184"/>
      <c r="N237" s="184"/>
      <c r="O237" s="185"/>
      <c r="P237" s="186"/>
      <c r="Q237" s="186"/>
      <c r="R237" s="187"/>
      <c r="S237" s="187"/>
      <c r="T237" s="184"/>
      <c r="U237" s="184"/>
      <c r="V237" s="188"/>
      <c r="W237" s="189"/>
      <c r="X237" s="190"/>
      <c r="Y237" s="185"/>
      <c r="Z237" s="191"/>
      <c r="AA237" s="97"/>
      <c r="AB237" s="192"/>
    </row>
    <row r="238" spans="1:28">
      <c r="A238" s="116"/>
      <c r="B238" s="116"/>
      <c r="C238" s="116">
        <v>3</v>
      </c>
      <c r="D238" s="3"/>
      <c r="E238" s="214"/>
      <c r="F238" s="216"/>
      <c r="G238" s="216"/>
      <c r="H238" s="183"/>
      <c r="I238" s="183"/>
      <c r="J238" s="183"/>
      <c r="K238" s="183"/>
      <c r="L238" s="183"/>
      <c r="M238" s="184"/>
      <c r="N238" s="184"/>
      <c r="O238" s="185"/>
      <c r="P238" s="186"/>
      <c r="Q238" s="186"/>
      <c r="R238" s="187"/>
      <c r="S238" s="187"/>
      <c r="T238" s="184"/>
      <c r="U238" s="184"/>
      <c r="V238" s="188"/>
      <c r="W238" s="189"/>
      <c r="X238" s="190"/>
      <c r="Y238" s="185"/>
      <c r="Z238" s="191"/>
      <c r="AA238" s="97"/>
      <c r="AB238" s="192"/>
    </row>
    <row r="239" spans="1:28">
      <c r="A239" s="116"/>
      <c r="B239" s="116"/>
      <c r="C239" s="116">
        <v>0</v>
      </c>
      <c r="D239" s="3"/>
      <c r="E239" s="183"/>
      <c r="F239" s="183"/>
      <c r="G239" s="183"/>
      <c r="H239" s="183"/>
      <c r="I239" s="183"/>
      <c r="J239" s="183"/>
      <c r="K239" s="183"/>
      <c r="L239" s="183"/>
      <c r="M239" s="184"/>
      <c r="N239" s="184"/>
      <c r="O239" s="185"/>
      <c r="P239" s="186"/>
      <c r="Q239" s="186"/>
      <c r="R239" s="187"/>
      <c r="S239" s="187"/>
      <c r="T239" s="184"/>
      <c r="U239" s="184"/>
      <c r="V239" s="188"/>
      <c r="W239" s="189"/>
      <c r="X239" s="190"/>
      <c r="Y239" s="185"/>
      <c r="Z239" s="191"/>
      <c r="AA239" s="97"/>
      <c r="AB239" s="192"/>
    </row>
    <row r="240" spans="1:28">
      <c r="A240" s="116"/>
      <c r="B240" s="116" t="s">
        <v>1061</v>
      </c>
      <c r="C240" s="116">
        <v>2</v>
      </c>
      <c r="D240" s="3"/>
      <c r="E240" s="214"/>
      <c r="F240" s="216"/>
      <c r="G240" s="216"/>
      <c r="H240" s="183"/>
      <c r="I240" s="183"/>
      <c r="J240" s="183"/>
      <c r="K240" s="183"/>
      <c r="L240" s="183"/>
      <c r="M240" s="184"/>
      <c r="N240" s="184"/>
      <c r="O240" s="185"/>
      <c r="P240" s="186"/>
      <c r="Q240" s="186"/>
      <c r="R240" s="187"/>
      <c r="S240" s="187"/>
      <c r="T240" s="184"/>
      <c r="U240" s="184"/>
      <c r="V240" s="188"/>
      <c r="W240" s="189"/>
      <c r="X240" s="190"/>
      <c r="Y240" s="185"/>
      <c r="Z240" s="191"/>
      <c r="AA240" s="97"/>
      <c r="AB240" s="192"/>
    </row>
    <row r="241" spans="1:28">
      <c r="A241" s="116"/>
      <c r="B241" s="116"/>
      <c r="C241" s="116">
        <v>3</v>
      </c>
      <c r="D241" s="3"/>
      <c r="E241" s="214"/>
      <c r="F241" s="216"/>
      <c r="G241" s="216"/>
      <c r="H241" s="183"/>
      <c r="I241" s="183"/>
      <c r="J241" s="183"/>
      <c r="K241" s="183"/>
      <c r="L241" s="183"/>
      <c r="M241" s="184"/>
      <c r="N241" s="184"/>
      <c r="O241" s="185"/>
      <c r="P241" s="186"/>
      <c r="Q241" s="186"/>
      <c r="R241" s="187"/>
      <c r="S241" s="187"/>
      <c r="T241" s="184"/>
      <c r="U241" s="184"/>
      <c r="V241" s="188"/>
      <c r="W241" s="189"/>
      <c r="X241" s="190"/>
      <c r="Y241" s="185"/>
      <c r="Z241" s="191"/>
      <c r="AA241" s="97"/>
      <c r="AB241" s="192"/>
    </row>
    <row r="242" spans="1:28">
      <c r="A242" s="116"/>
      <c r="B242" s="116"/>
      <c r="C242" s="116">
        <v>3</v>
      </c>
      <c r="D242" s="3"/>
      <c r="E242" s="214"/>
      <c r="F242" s="216"/>
      <c r="G242" s="216"/>
      <c r="H242" s="183"/>
      <c r="I242" s="183"/>
      <c r="J242" s="183"/>
      <c r="K242" s="183"/>
      <c r="L242" s="183"/>
      <c r="M242" s="184"/>
      <c r="N242" s="184"/>
      <c r="O242" s="185"/>
      <c r="P242" s="186"/>
      <c r="Q242" s="186"/>
      <c r="R242" s="187"/>
      <c r="S242" s="187"/>
      <c r="T242" s="184"/>
      <c r="U242" s="184"/>
      <c r="V242" s="188"/>
      <c r="W242" s="189"/>
      <c r="X242" s="190"/>
      <c r="Y242" s="185"/>
      <c r="Z242" s="191"/>
      <c r="AA242" s="97"/>
      <c r="AB242" s="192"/>
    </row>
    <row r="243" spans="1:28">
      <c r="A243" s="116"/>
      <c r="B243" s="116"/>
      <c r="C243" s="116">
        <v>3</v>
      </c>
      <c r="D243" s="3"/>
      <c r="E243" s="214"/>
      <c r="F243" s="216"/>
      <c r="G243" s="216"/>
      <c r="H243" s="183"/>
      <c r="I243" s="183"/>
      <c r="J243" s="183"/>
      <c r="K243" s="183"/>
      <c r="L243" s="183"/>
      <c r="M243" s="184"/>
      <c r="N243" s="184"/>
      <c r="O243" s="185"/>
      <c r="P243" s="186"/>
      <c r="Q243" s="186"/>
      <c r="R243" s="187"/>
      <c r="S243" s="187"/>
      <c r="T243" s="184"/>
      <c r="U243" s="184"/>
      <c r="V243" s="188"/>
      <c r="W243" s="189"/>
      <c r="X243" s="190"/>
      <c r="Y243" s="185"/>
      <c r="Z243" s="191"/>
      <c r="AA243" s="97"/>
      <c r="AB243" s="192"/>
    </row>
    <row r="244" spans="1:28">
      <c r="A244" s="116"/>
      <c r="B244" s="116"/>
      <c r="C244" s="116">
        <v>3</v>
      </c>
      <c r="D244" s="3"/>
      <c r="E244" s="214"/>
      <c r="F244" s="216"/>
      <c r="G244" s="216"/>
      <c r="H244" s="183"/>
      <c r="I244" s="183"/>
      <c r="J244" s="183"/>
      <c r="K244" s="183"/>
      <c r="L244" s="183"/>
      <c r="M244" s="184"/>
      <c r="N244" s="184"/>
      <c r="O244" s="185"/>
      <c r="P244" s="186"/>
      <c r="Q244" s="186"/>
      <c r="R244" s="187"/>
      <c r="S244" s="187"/>
      <c r="T244" s="184"/>
      <c r="U244" s="184"/>
      <c r="V244" s="188"/>
      <c r="W244" s="189"/>
      <c r="X244" s="190"/>
      <c r="Y244" s="185"/>
      <c r="Z244" s="191"/>
      <c r="AA244" s="97"/>
      <c r="AB244" s="192"/>
    </row>
    <row r="245" spans="1:28">
      <c r="A245" s="116"/>
      <c r="B245" s="116"/>
      <c r="C245" s="116">
        <v>0</v>
      </c>
      <c r="D245" s="3"/>
      <c r="E245" s="183"/>
      <c r="F245" s="183"/>
      <c r="G245" s="183"/>
      <c r="H245" s="183"/>
      <c r="I245" s="183"/>
      <c r="J245" s="183"/>
      <c r="K245" s="183"/>
      <c r="L245" s="183"/>
      <c r="M245" s="184"/>
      <c r="N245" s="184"/>
      <c r="O245" s="185"/>
      <c r="P245" s="186"/>
      <c r="Q245" s="186"/>
      <c r="R245" s="187"/>
      <c r="S245" s="187"/>
      <c r="T245" s="184"/>
      <c r="U245" s="184"/>
      <c r="V245" s="188"/>
      <c r="W245" s="189"/>
      <c r="X245" s="190"/>
      <c r="Y245" s="185"/>
      <c r="Z245" s="191"/>
      <c r="AA245" s="97"/>
      <c r="AB245" s="192"/>
    </row>
    <row r="246" spans="1:28">
      <c r="A246" s="116"/>
      <c r="B246" s="116" t="s">
        <v>1061</v>
      </c>
      <c r="C246" s="116">
        <v>1</v>
      </c>
      <c r="D246" s="3"/>
      <c r="E246" s="214"/>
      <c r="F246" s="183"/>
      <c r="G246" s="183"/>
      <c r="H246" s="183"/>
      <c r="I246" s="183"/>
      <c r="J246" s="183"/>
      <c r="K246" s="183"/>
      <c r="L246" s="183"/>
      <c r="M246" s="184"/>
      <c r="N246" s="184"/>
      <c r="O246" s="185"/>
      <c r="P246" s="186"/>
      <c r="Q246" s="186"/>
      <c r="R246" s="187"/>
      <c r="S246" s="187"/>
      <c r="T246" s="184"/>
      <c r="U246" s="184"/>
      <c r="V246" s="188"/>
      <c r="W246" s="189"/>
      <c r="X246" s="190"/>
      <c r="Y246" s="185"/>
      <c r="Z246" s="191"/>
      <c r="AA246" s="97"/>
      <c r="AB246" s="192"/>
    </row>
    <row r="247" spans="1:28">
      <c r="A247" s="116"/>
      <c r="B247" s="116" t="s">
        <v>1061</v>
      </c>
      <c r="C247" s="116">
        <v>2</v>
      </c>
      <c r="D247" s="3"/>
      <c r="E247" s="215"/>
      <c r="F247" s="216"/>
      <c r="G247" s="216"/>
      <c r="H247" s="183"/>
      <c r="I247" s="183"/>
      <c r="J247" s="183"/>
      <c r="K247" s="183"/>
      <c r="L247" s="183"/>
      <c r="M247" s="184"/>
      <c r="N247" s="184"/>
      <c r="O247" s="185"/>
      <c r="P247" s="186"/>
      <c r="Q247" s="186"/>
      <c r="R247" s="187"/>
      <c r="S247" s="187"/>
      <c r="T247" s="184"/>
      <c r="U247" s="184"/>
      <c r="V247" s="188"/>
      <c r="W247" s="189"/>
      <c r="X247" s="190"/>
      <c r="Y247" s="185"/>
      <c r="Z247" s="191"/>
      <c r="AA247" s="97"/>
      <c r="AB247" s="192"/>
    </row>
    <row r="248" spans="1:28">
      <c r="A248" s="116"/>
      <c r="B248" s="116"/>
      <c r="C248" s="116">
        <v>3</v>
      </c>
      <c r="D248" s="3"/>
      <c r="E248" s="215"/>
      <c r="F248" s="216"/>
      <c r="G248" s="216"/>
      <c r="H248" s="183"/>
      <c r="I248" s="183"/>
      <c r="J248" s="183"/>
      <c r="K248" s="183"/>
      <c r="L248" s="183"/>
      <c r="M248" s="184"/>
      <c r="N248" s="184"/>
      <c r="O248" s="185"/>
      <c r="P248" s="186"/>
      <c r="Q248" s="186"/>
      <c r="R248" s="187"/>
      <c r="S248" s="187"/>
      <c r="T248" s="184"/>
      <c r="U248" s="184"/>
      <c r="V248" s="188"/>
      <c r="W248" s="189"/>
      <c r="X248" s="190"/>
      <c r="Y248" s="185"/>
      <c r="Z248" s="191"/>
      <c r="AA248" s="97"/>
      <c r="AB248" s="192"/>
    </row>
    <row r="249" spans="1:28">
      <c r="A249" s="116"/>
      <c r="B249" s="116"/>
      <c r="C249" s="116">
        <v>3</v>
      </c>
      <c r="D249" s="3"/>
      <c r="E249" s="215"/>
      <c r="F249" s="216"/>
      <c r="G249" s="216"/>
      <c r="H249" s="183"/>
      <c r="I249" s="183"/>
      <c r="J249" s="183"/>
      <c r="K249" s="183"/>
      <c r="L249" s="183"/>
      <c r="M249" s="184"/>
      <c r="N249" s="184"/>
      <c r="O249" s="185"/>
      <c r="P249" s="186"/>
      <c r="Q249" s="186"/>
      <c r="R249" s="187"/>
      <c r="S249" s="187"/>
      <c r="T249" s="184"/>
      <c r="U249" s="184"/>
      <c r="V249" s="188"/>
      <c r="W249" s="189"/>
      <c r="X249" s="190"/>
      <c r="Y249" s="185"/>
      <c r="Z249" s="191"/>
      <c r="AA249" s="97"/>
      <c r="AB249" s="192"/>
    </row>
    <row r="250" spans="1:28">
      <c r="A250" s="116"/>
      <c r="B250" s="116"/>
      <c r="C250" s="116">
        <v>0</v>
      </c>
      <c r="D250" s="3"/>
      <c r="E250" s="215"/>
      <c r="F250" s="216"/>
      <c r="G250" s="216"/>
      <c r="H250" s="183"/>
      <c r="I250" s="183"/>
      <c r="J250" s="183"/>
      <c r="K250" s="183"/>
      <c r="L250" s="183"/>
      <c r="M250" s="184"/>
      <c r="N250" s="184"/>
      <c r="O250" s="185"/>
      <c r="P250" s="186"/>
      <c r="Q250" s="186"/>
      <c r="R250" s="187"/>
      <c r="S250" s="187"/>
      <c r="T250" s="184"/>
      <c r="U250" s="184"/>
      <c r="V250" s="188"/>
      <c r="W250" s="189"/>
      <c r="X250" s="190"/>
      <c r="Y250" s="185"/>
      <c r="Z250" s="191"/>
      <c r="AA250" s="97"/>
      <c r="AB250" s="192"/>
    </row>
    <row r="251" spans="1:28">
      <c r="A251" s="116"/>
      <c r="B251" s="116" t="s">
        <v>1061</v>
      </c>
      <c r="C251" s="116">
        <v>2</v>
      </c>
      <c r="D251" s="3"/>
      <c r="E251" s="183"/>
      <c r="F251" s="216"/>
      <c r="G251" s="216"/>
      <c r="H251" s="183"/>
      <c r="I251" s="183"/>
      <c r="J251" s="183"/>
      <c r="K251" s="183"/>
      <c r="L251" s="183"/>
      <c r="M251" s="184"/>
      <c r="N251" s="184"/>
      <c r="O251" s="185"/>
      <c r="P251" s="186"/>
      <c r="Q251" s="186"/>
      <c r="R251" s="187"/>
      <c r="S251" s="187"/>
      <c r="T251" s="184"/>
      <c r="U251" s="184"/>
      <c r="V251" s="188"/>
      <c r="W251" s="189"/>
      <c r="X251" s="190"/>
      <c r="Y251" s="185"/>
      <c r="Z251" s="191"/>
      <c r="AA251" s="97"/>
      <c r="AB251" s="192"/>
    </row>
    <row r="252" spans="1:28">
      <c r="A252" s="116"/>
      <c r="B252" s="116"/>
      <c r="C252" s="116">
        <v>3</v>
      </c>
      <c r="D252" s="3"/>
      <c r="E252" s="215"/>
      <c r="F252" s="216"/>
      <c r="G252" s="216"/>
      <c r="H252" s="183"/>
      <c r="I252" s="183"/>
      <c r="J252" s="183"/>
      <c r="K252" s="183"/>
      <c r="L252" s="183"/>
      <c r="M252" s="184"/>
      <c r="N252" s="184"/>
      <c r="O252" s="185"/>
      <c r="P252" s="186"/>
      <c r="Q252" s="186"/>
      <c r="R252" s="187"/>
      <c r="S252" s="187"/>
      <c r="T252" s="184"/>
      <c r="U252" s="184"/>
      <c r="V252" s="188"/>
      <c r="W252" s="189"/>
      <c r="X252" s="190"/>
      <c r="Y252" s="185"/>
      <c r="Z252" s="191"/>
      <c r="AA252" s="97"/>
      <c r="AB252" s="192"/>
    </row>
    <row r="253" spans="1:28">
      <c r="A253" s="116"/>
      <c r="B253" s="116"/>
      <c r="C253" s="116">
        <v>3</v>
      </c>
      <c r="D253" s="3"/>
      <c r="E253" s="215"/>
      <c r="F253" s="216"/>
      <c r="G253" s="216"/>
      <c r="H253" s="183"/>
      <c r="I253" s="183"/>
      <c r="J253" s="183"/>
      <c r="K253" s="183"/>
      <c r="L253" s="183"/>
      <c r="M253" s="184"/>
      <c r="N253" s="184"/>
      <c r="O253" s="185"/>
      <c r="P253" s="186"/>
      <c r="Q253" s="186"/>
      <c r="R253" s="187"/>
      <c r="S253" s="187"/>
      <c r="T253" s="184"/>
      <c r="U253" s="184"/>
      <c r="V253" s="188"/>
      <c r="W253" s="189"/>
      <c r="X253" s="190"/>
      <c r="Y253" s="185"/>
      <c r="Z253" s="191"/>
      <c r="AA253" s="97"/>
      <c r="AB253" s="192"/>
    </row>
    <row r="254" spans="1:28">
      <c r="A254" s="116"/>
      <c r="B254" s="116"/>
      <c r="C254" s="116">
        <v>0</v>
      </c>
      <c r="D254" s="3"/>
      <c r="E254" s="214"/>
      <c r="F254" s="216"/>
      <c r="G254" s="216"/>
      <c r="H254" s="183"/>
      <c r="I254" s="183"/>
      <c r="J254" s="183"/>
      <c r="K254" s="183"/>
      <c r="L254" s="183"/>
      <c r="M254" s="184"/>
      <c r="N254" s="184"/>
      <c r="O254" s="185"/>
      <c r="P254" s="186"/>
      <c r="Q254" s="186"/>
      <c r="R254" s="187"/>
      <c r="S254" s="187"/>
      <c r="T254" s="184"/>
      <c r="U254" s="184"/>
      <c r="V254" s="188"/>
      <c r="W254" s="189"/>
      <c r="X254" s="190"/>
      <c r="Y254" s="185"/>
      <c r="Z254" s="191"/>
      <c r="AA254" s="97"/>
      <c r="AB254" s="192"/>
    </row>
    <row r="255" spans="1:28">
      <c r="A255" s="116"/>
      <c r="B255" s="116" t="s">
        <v>1061</v>
      </c>
      <c r="C255" s="116">
        <v>2</v>
      </c>
      <c r="D255" s="3"/>
      <c r="E255" s="183"/>
      <c r="F255" s="216"/>
      <c r="G255" s="216"/>
      <c r="H255" s="183"/>
      <c r="I255" s="183"/>
      <c r="J255" s="183"/>
      <c r="K255" s="183"/>
      <c r="L255" s="183"/>
      <c r="M255" s="184"/>
      <c r="N255" s="184"/>
      <c r="O255" s="185"/>
      <c r="P255" s="186"/>
      <c r="Q255" s="186"/>
      <c r="R255" s="187"/>
      <c r="S255" s="187"/>
      <c r="T255" s="184"/>
      <c r="U255" s="184"/>
      <c r="V255" s="188"/>
      <c r="W255" s="189"/>
      <c r="X255" s="190"/>
      <c r="Y255" s="185"/>
      <c r="Z255" s="191"/>
      <c r="AA255" s="97"/>
      <c r="AB255" s="192"/>
    </row>
    <row r="256" spans="1:28">
      <c r="A256" s="116"/>
      <c r="B256" s="116"/>
      <c r="C256" s="116">
        <v>3</v>
      </c>
      <c r="D256" s="3"/>
      <c r="E256" s="215"/>
      <c r="F256" s="216"/>
      <c r="G256" s="216"/>
      <c r="H256" s="183"/>
      <c r="I256" s="183"/>
      <c r="J256" s="183"/>
      <c r="K256" s="183"/>
      <c r="L256" s="183"/>
      <c r="M256" s="184"/>
      <c r="N256" s="184"/>
      <c r="O256" s="185"/>
      <c r="P256" s="186"/>
      <c r="Q256" s="186"/>
      <c r="R256" s="187"/>
      <c r="S256" s="187"/>
      <c r="T256" s="184"/>
      <c r="U256" s="184"/>
      <c r="V256" s="188"/>
      <c r="W256" s="189"/>
      <c r="X256" s="190"/>
      <c r="Y256" s="185"/>
      <c r="Z256" s="191"/>
      <c r="AA256" s="97"/>
      <c r="AB256" s="192"/>
    </row>
    <row r="257" spans="1:28">
      <c r="A257" s="116"/>
      <c r="B257" s="116"/>
      <c r="C257" s="116">
        <v>3</v>
      </c>
      <c r="D257" s="3"/>
      <c r="E257" s="215"/>
      <c r="F257" s="216"/>
      <c r="G257" s="216"/>
      <c r="H257" s="183"/>
      <c r="I257" s="183"/>
      <c r="J257" s="183"/>
      <c r="K257" s="183"/>
      <c r="L257" s="183"/>
      <c r="M257" s="184"/>
      <c r="N257" s="184"/>
      <c r="O257" s="185"/>
      <c r="P257" s="186"/>
      <c r="Q257" s="186"/>
      <c r="R257" s="187"/>
      <c r="S257" s="187"/>
      <c r="T257" s="184"/>
      <c r="U257" s="184"/>
      <c r="V257" s="188"/>
      <c r="W257" s="189"/>
      <c r="X257" s="190"/>
      <c r="Y257" s="185"/>
      <c r="Z257" s="191"/>
      <c r="AA257" s="97"/>
      <c r="AB257" s="192"/>
    </row>
    <row r="258" spans="1:28">
      <c r="A258" s="116"/>
      <c r="B258" s="116"/>
      <c r="C258" s="116">
        <v>0</v>
      </c>
      <c r="D258" s="3"/>
      <c r="E258" s="183"/>
      <c r="F258" s="216"/>
      <c r="G258" s="216"/>
      <c r="H258" s="183"/>
      <c r="I258" s="183"/>
      <c r="J258" s="183"/>
      <c r="K258" s="183"/>
      <c r="L258" s="183"/>
      <c r="M258" s="184"/>
      <c r="N258" s="184"/>
      <c r="O258" s="185"/>
      <c r="P258" s="186"/>
      <c r="Q258" s="186"/>
      <c r="R258" s="187"/>
      <c r="S258" s="187"/>
      <c r="T258" s="184"/>
      <c r="U258" s="184"/>
      <c r="V258" s="188"/>
      <c r="W258" s="189"/>
      <c r="X258" s="190"/>
      <c r="Y258" s="185"/>
      <c r="Z258" s="191"/>
      <c r="AA258" s="97"/>
      <c r="AB258" s="192"/>
    </row>
    <row r="259" spans="1:28">
      <c r="A259" s="116"/>
      <c r="B259" s="116" t="s">
        <v>1061</v>
      </c>
      <c r="C259" s="116">
        <v>2</v>
      </c>
      <c r="D259" s="3"/>
      <c r="E259" s="183"/>
      <c r="F259" s="216"/>
      <c r="G259" s="216"/>
      <c r="H259" s="183"/>
      <c r="I259" s="183"/>
      <c r="J259" s="183"/>
      <c r="K259" s="183"/>
      <c r="L259" s="183"/>
      <c r="M259" s="184"/>
      <c r="N259" s="184"/>
      <c r="O259" s="185"/>
      <c r="P259" s="186"/>
      <c r="Q259" s="186"/>
      <c r="R259" s="187"/>
      <c r="S259" s="187"/>
      <c r="T259" s="184"/>
      <c r="U259" s="184"/>
      <c r="V259" s="188"/>
      <c r="W259" s="189"/>
      <c r="X259" s="190"/>
      <c r="Y259" s="185"/>
      <c r="Z259" s="191"/>
      <c r="AA259" s="97"/>
      <c r="AB259" s="192"/>
    </row>
    <row r="260" spans="1:28">
      <c r="A260" s="116"/>
      <c r="B260" s="116"/>
      <c r="C260" s="116">
        <v>3</v>
      </c>
      <c r="D260" s="3"/>
      <c r="E260" s="215"/>
      <c r="F260" s="216"/>
      <c r="G260" s="216"/>
      <c r="H260" s="183"/>
      <c r="I260" s="183"/>
      <c r="J260" s="183"/>
      <c r="K260" s="183"/>
      <c r="L260" s="183"/>
      <c r="M260" s="184"/>
      <c r="N260" s="184"/>
      <c r="O260" s="185"/>
      <c r="P260" s="186"/>
      <c r="Q260" s="186"/>
      <c r="R260" s="187"/>
      <c r="S260" s="187"/>
      <c r="T260" s="184"/>
      <c r="U260" s="184"/>
      <c r="V260" s="188"/>
      <c r="W260" s="189"/>
      <c r="X260" s="190"/>
      <c r="Y260" s="185"/>
      <c r="Z260" s="191"/>
      <c r="AA260" s="97"/>
      <c r="AB260" s="192"/>
    </row>
    <row r="261" spans="1:28">
      <c r="A261" s="116"/>
      <c r="B261" s="116"/>
      <c r="C261" s="116">
        <v>3</v>
      </c>
      <c r="D261" s="3"/>
      <c r="E261" s="215"/>
      <c r="F261" s="216"/>
      <c r="G261" s="216"/>
      <c r="H261" s="183"/>
      <c r="I261" s="183"/>
      <c r="J261" s="183"/>
      <c r="K261" s="183"/>
      <c r="L261" s="183"/>
      <c r="M261" s="184"/>
      <c r="N261" s="184"/>
      <c r="O261" s="185"/>
      <c r="P261" s="186"/>
      <c r="Q261" s="186"/>
      <c r="R261" s="187"/>
      <c r="S261" s="187"/>
      <c r="T261" s="184"/>
      <c r="U261" s="184"/>
      <c r="V261" s="188"/>
      <c r="W261" s="189"/>
      <c r="X261" s="190"/>
      <c r="Y261" s="185"/>
      <c r="Z261" s="191"/>
      <c r="AA261" s="97"/>
      <c r="AB261" s="192"/>
    </row>
    <row r="262" spans="1:28">
      <c r="A262" s="116"/>
      <c r="B262" s="116"/>
      <c r="C262" s="116">
        <v>0</v>
      </c>
      <c r="D262" s="3"/>
      <c r="E262" s="183"/>
      <c r="F262" s="216"/>
      <c r="G262" s="216"/>
      <c r="H262" s="183"/>
      <c r="I262" s="183"/>
      <c r="J262" s="183"/>
      <c r="K262" s="183"/>
      <c r="L262" s="183"/>
      <c r="M262" s="184"/>
      <c r="N262" s="184"/>
      <c r="O262" s="185"/>
      <c r="P262" s="186"/>
      <c r="Q262" s="186"/>
      <c r="R262" s="187"/>
      <c r="S262" s="187"/>
      <c r="T262" s="184"/>
      <c r="U262" s="184"/>
      <c r="V262" s="188"/>
      <c r="W262" s="189"/>
      <c r="X262" s="190"/>
      <c r="Y262" s="185"/>
      <c r="Z262" s="191"/>
      <c r="AA262" s="97"/>
      <c r="AB262" s="192"/>
    </row>
    <row r="263" spans="1:28">
      <c r="A263" s="116"/>
      <c r="B263" s="116" t="s">
        <v>1061</v>
      </c>
      <c r="C263" s="116">
        <v>2</v>
      </c>
      <c r="D263" s="3"/>
      <c r="E263" s="183"/>
      <c r="F263" s="216"/>
      <c r="G263" s="216"/>
      <c r="H263" s="183"/>
      <c r="I263" s="183"/>
      <c r="J263" s="183"/>
      <c r="K263" s="183"/>
      <c r="L263" s="183"/>
      <c r="M263" s="184"/>
      <c r="N263" s="184"/>
      <c r="O263" s="185"/>
      <c r="P263" s="186"/>
      <c r="Q263" s="186"/>
      <c r="R263" s="187"/>
      <c r="S263" s="187"/>
      <c r="T263" s="184"/>
      <c r="U263" s="184"/>
      <c r="V263" s="188"/>
      <c r="W263" s="189"/>
      <c r="X263" s="190"/>
      <c r="Y263" s="185"/>
      <c r="Z263" s="191"/>
      <c r="AA263" s="97"/>
      <c r="AB263" s="192"/>
    </row>
    <row r="264" spans="1:28">
      <c r="A264" s="116"/>
      <c r="B264" s="116"/>
      <c r="C264" s="116">
        <v>3</v>
      </c>
      <c r="D264" s="3"/>
      <c r="E264" s="215"/>
      <c r="F264" s="216"/>
      <c r="G264" s="216"/>
      <c r="H264" s="183"/>
      <c r="I264" s="183"/>
      <c r="J264" s="183"/>
      <c r="K264" s="183"/>
      <c r="L264" s="183"/>
      <c r="M264" s="184"/>
      <c r="N264" s="184"/>
      <c r="O264" s="185"/>
      <c r="P264" s="186"/>
      <c r="Q264" s="186"/>
      <c r="R264" s="187"/>
      <c r="S264" s="187"/>
      <c r="T264" s="184"/>
      <c r="U264" s="184"/>
      <c r="V264" s="188"/>
      <c r="W264" s="189"/>
      <c r="X264" s="190"/>
      <c r="Y264" s="185"/>
      <c r="Z264" s="191"/>
      <c r="AA264" s="97"/>
      <c r="AB264" s="192"/>
    </row>
    <row r="265" spans="1:28">
      <c r="A265" s="116"/>
      <c r="B265" s="116"/>
      <c r="C265" s="116">
        <v>3</v>
      </c>
      <c r="D265" s="3"/>
      <c r="E265" s="215"/>
      <c r="F265" s="216"/>
      <c r="G265" s="216"/>
      <c r="H265" s="183"/>
      <c r="I265" s="183"/>
      <c r="J265" s="183"/>
      <c r="K265" s="183"/>
      <c r="L265" s="183"/>
      <c r="M265" s="184"/>
      <c r="N265" s="184"/>
      <c r="O265" s="185"/>
      <c r="P265" s="186"/>
      <c r="Q265" s="186"/>
      <c r="R265" s="187"/>
      <c r="S265" s="187"/>
      <c r="T265" s="184"/>
      <c r="U265" s="184"/>
      <c r="V265" s="188"/>
      <c r="W265" s="189"/>
      <c r="X265" s="190"/>
      <c r="Y265" s="185"/>
      <c r="Z265" s="191"/>
      <c r="AA265" s="97"/>
      <c r="AB265" s="192"/>
    </row>
    <row r="266" spans="1:28">
      <c r="A266" s="116"/>
      <c r="B266" s="116"/>
      <c r="C266" s="116">
        <v>0</v>
      </c>
      <c r="D266" s="3"/>
      <c r="E266" s="183"/>
      <c r="F266" s="216"/>
      <c r="G266" s="216"/>
      <c r="H266" s="183"/>
      <c r="I266" s="183"/>
      <c r="J266" s="183"/>
      <c r="K266" s="183"/>
      <c r="L266" s="183"/>
      <c r="M266" s="184"/>
      <c r="N266" s="184"/>
      <c r="O266" s="185"/>
      <c r="P266" s="186"/>
      <c r="Q266" s="186"/>
      <c r="R266" s="187"/>
      <c r="S266" s="187"/>
      <c r="T266" s="184"/>
      <c r="U266" s="184"/>
      <c r="V266" s="188"/>
      <c r="W266" s="189"/>
      <c r="X266" s="190"/>
      <c r="Y266" s="185"/>
      <c r="Z266" s="191"/>
      <c r="AA266" s="97"/>
      <c r="AB266" s="192"/>
    </row>
    <row r="267" spans="1:28">
      <c r="A267" s="116"/>
      <c r="B267" s="116" t="s">
        <v>1061</v>
      </c>
      <c r="C267" s="116">
        <v>2</v>
      </c>
      <c r="D267" s="3"/>
      <c r="E267" s="183"/>
      <c r="F267" s="216"/>
      <c r="G267" s="216"/>
      <c r="H267" s="183"/>
      <c r="I267" s="183"/>
      <c r="J267" s="183"/>
      <c r="K267" s="183"/>
      <c r="L267" s="183"/>
      <c r="M267" s="184"/>
      <c r="N267" s="184"/>
      <c r="O267" s="185"/>
      <c r="P267" s="186"/>
      <c r="Q267" s="186"/>
      <c r="R267" s="187"/>
      <c r="S267" s="187"/>
      <c r="T267" s="184"/>
      <c r="U267" s="184"/>
      <c r="V267" s="188"/>
      <c r="W267" s="189"/>
      <c r="X267" s="190"/>
      <c r="Y267" s="185"/>
      <c r="Z267" s="191"/>
      <c r="AA267" s="97"/>
      <c r="AB267" s="192"/>
    </row>
    <row r="268" spans="1:28">
      <c r="A268" s="116"/>
      <c r="B268" s="116"/>
      <c r="C268" s="116">
        <v>3</v>
      </c>
      <c r="D268" s="3"/>
      <c r="E268" s="215"/>
      <c r="F268" s="216"/>
      <c r="G268" s="216"/>
      <c r="H268" s="183"/>
      <c r="I268" s="183"/>
      <c r="J268" s="183"/>
      <c r="K268" s="183"/>
      <c r="L268" s="183"/>
      <c r="M268" s="184"/>
      <c r="N268" s="184"/>
      <c r="O268" s="185"/>
      <c r="P268" s="186"/>
      <c r="Q268" s="186"/>
      <c r="R268" s="187"/>
      <c r="S268" s="187"/>
      <c r="T268" s="184"/>
      <c r="U268" s="184"/>
      <c r="V268" s="188"/>
      <c r="W268" s="189"/>
      <c r="X268" s="190"/>
      <c r="Y268" s="185"/>
      <c r="Z268" s="191"/>
      <c r="AA268" s="97"/>
      <c r="AB268" s="192"/>
    </row>
    <row r="269" spans="1:28">
      <c r="A269" s="116"/>
      <c r="B269" s="116"/>
      <c r="C269" s="116">
        <v>3</v>
      </c>
      <c r="D269" s="3"/>
      <c r="E269" s="215"/>
      <c r="F269" s="216"/>
      <c r="G269" s="216"/>
      <c r="H269" s="183"/>
      <c r="I269" s="183"/>
      <c r="J269" s="183"/>
      <c r="K269" s="183"/>
      <c r="L269" s="183"/>
      <c r="M269" s="184"/>
      <c r="N269" s="184"/>
      <c r="O269" s="185"/>
      <c r="P269" s="186"/>
      <c r="Q269" s="186"/>
      <c r="R269" s="187"/>
      <c r="S269" s="187"/>
      <c r="T269" s="184"/>
      <c r="U269" s="184"/>
      <c r="V269" s="188"/>
      <c r="W269" s="189"/>
      <c r="X269" s="190"/>
      <c r="Y269" s="185"/>
      <c r="Z269" s="191"/>
      <c r="AA269" s="97"/>
      <c r="AB269" s="192"/>
    </row>
    <row r="270" spans="1:28">
      <c r="A270" s="116"/>
      <c r="B270" s="116"/>
      <c r="C270" s="116">
        <v>0</v>
      </c>
      <c r="D270" s="3"/>
      <c r="E270" s="183"/>
      <c r="F270" s="216"/>
      <c r="G270" s="216"/>
      <c r="H270" s="183"/>
      <c r="I270" s="183"/>
      <c r="J270" s="183"/>
      <c r="K270" s="183"/>
      <c r="L270" s="183"/>
      <c r="M270" s="184"/>
      <c r="N270" s="184"/>
      <c r="O270" s="185"/>
      <c r="P270" s="186"/>
      <c r="Q270" s="186"/>
      <c r="R270" s="187"/>
      <c r="S270" s="187"/>
      <c r="T270" s="184"/>
      <c r="U270" s="184"/>
      <c r="V270" s="188"/>
      <c r="W270" s="189"/>
      <c r="X270" s="190"/>
      <c r="Y270" s="185"/>
      <c r="Z270" s="191"/>
      <c r="AA270" s="97"/>
      <c r="AB270" s="192"/>
    </row>
    <row r="271" spans="1:28">
      <c r="A271" s="116"/>
      <c r="B271" s="116" t="s">
        <v>1061</v>
      </c>
      <c r="C271" s="116">
        <v>2</v>
      </c>
      <c r="D271" s="3"/>
      <c r="E271" s="183"/>
      <c r="F271" s="216"/>
      <c r="G271" s="216"/>
      <c r="H271" s="183"/>
      <c r="I271" s="183"/>
      <c r="J271" s="183"/>
      <c r="K271" s="183"/>
      <c r="L271" s="183"/>
      <c r="M271" s="184"/>
      <c r="N271" s="184"/>
      <c r="O271" s="185"/>
      <c r="P271" s="186"/>
      <c r="Q271" s="186"/>
      <c r="R271" s="187"/>
      <c r="S271" s="187"/>
      <c r="T271" s="184"/>
      <c r="U271" s="184"/>
      <c r="V271" s="188"/>
      <c r="W271" s="189"/>
      <c r="X271" s="190"/>
      <c r="Y271" s="185"/>
      <c r="Z271" s="191"/>
      <c r="AA271" s="97"/>
      <c r="AB271" s="192"/>
    </row>
    <row r="272" spans="1:28">
      <c r="A272" s="116"/>
      <c r="B272" s="116"/>
      <c r="C272" s="116">
        <v>3</v>
      </c>
      <c r="D272" s="3"/>
      <c r="E272" s="215"/>
      <c r="F272" s="216"/>
      <c r="G272" s="216"/>
      <c r="H272" s="183"/>
      <c r="I272" s="183"/>
      <c r="J272" s="183"/>
      <c r="K272" s="183"/>
      <c r="L272" s="183"/>
      <c r="M272" s="184"/>
      <c r="N272" s="184"/>
      <c r="O272" s="185"/>
      <c r="P272" s="186"/>
      <c r="Q272" s="186"/>
      <c r="R272" s="187"/>
      <c r="S272" s="187"/>
      <c r="T272" s="184"/>
      <c r="U272" s="184"/>
      <c r="V272" s="188"/>
      <c r="W272" s="189"/>
      <c r="X272" s="190"/>
      <c r="Y272" s="185"/>
      <c r="Z272" s="191"/>
      <c r="AA272" s="97"/>
      <c r="AB272" s="192"/>
    </row>
    <row r="273" spans="1:28">
      <c r="A273" s="116"/>
      <c r="B273" s="116"/>
      <c r="C273" s="116">
        <v>3</v>
      </c>
      <c r="D273" s="3"/>
      <c r="E273" s="215"/>
      <c r="F273" s="216"/>
      <c r="G273" s="216"/>
      <c r="H273" s="183"/>
      <c r="I273" s="183"/>
      <c r="J273" s="183"/>
      <c r="K273" s="183"/>
      <c r="L273" s="183"/>
      <c r="M273" s="184"/>
      <c r="N273" s="184"/>
      <c r="O273" s="185"/>
      <c r="P273" s="186"/>
      <c r="Q273" s="186"/>
      <c r="R273" s="187"/>
      <c r="S273" s="187"/>
      <c r="T273" s="184"/>
      <c r="U273" s="184"/>
      <c r="V273" s="188"/>
      <c r="W273" s="189"/>
      <c r="X273" s="190"/>
      <c r="Y273" s="185"/>
      <c r="Z273" s="191"/>
      <c r="AA273" s="97"/>
      <c r="AB273" s="192"/>
    </row>
    <row r="274" spans="1:28">
      <c r="A274" s="116"/>
      <c r="B274" s="116"/>
      <c r="C274" s="116">
        <v>0</v>
      </c>
      <c r="D274" s="3"/>
      <c r="E274" s="183"/>
      <c r="F274" s="216"/>
      <c r="G274" s="216"/>
      <c r="H274" s="183"/>
      <c r="I274" s="183"/>
      <c r="J274" s="183"/>
      <c r="K274" s="183"/>
      <c r="L274" s="183"/>
      <c r="M274" s="184"/>
      <c r="N274" s="184"/>
      <c r="O274" s="185"/>
      <c r="P274" s="186"/>
      <c r="Q274" s="186"/>
      <c r="R274" s="187"/>
      <c r="S274" s="187"/>
      <c r="T274" s="184"/>
      <c r="U274" s="184"/>
      <c r="V274" s="188"/>
      <c r="W274" s="189"/>
      <c r="X274" s="190"/>
      <c r="Y274" s="185"/>
      <c r="Z274" s="191"/>
      <c r="AA274" s="97"/>
      <c r="AB274" s="192"/>
    </row>
    <row r="275" spans="1:28">
      <c r="A275" s="116"/>
      <c r="B275" s="116" t="s">
        <v>1061</v>
      </c>
      <c r="C275" s="116">
        <v>2</v>
      </c>
      <c r="D275" s="3"/>
      <c r="E275" s="183"/>
      <c r="F275" s="216"/>
      <c r="G275" s="216"/>
      <c r="H275" s="183"/>
      <c r="I275" s="183"/>
      <c r="J275" s="183"/>
      <c r="K275" s="183"/>
      <c r="L275" s="183"/>
      <c r="M275" s="184"/>
      <c r="N275" s="184"/>
      <c r="O275" s="185"/>
      <c r="P275" s="186"/>
      <c r="Q275" s="186"/>
      <c r="R275" s="187"/>
      <c r="S275" s="187"/>
      <c r="T275" s="184"/>
      <c r="U275" s="184"/>
      <c r="V275" s="188"/>
      <c r="W275" s="189"/>
      <c r="X275" s="190"/>
      <c r="Y275" s="185"/>
      <c r="Z275" s="191"/>
      <c r="AA275" s="97"/>
      <c r="AB275" s="192"/>
    </row>
    <row r="276" spans="1:28">
      <c r="A276" s="116"/>
      <c r="B276" s="116"/>
      <c r="C276" s="116">
        <v>3</v>
      </c>
      <c r="D276" s="3"/>
      <c r="E276" s="215"/>
      <c r="F276" s="216"/>
      <c r="G276" s="216"/>
      <c r="H276" s="183"/>
      <c r="I276" s="183"/>
      <c r="J276" s="183"/>
      <c r="K276" s="183"/>
      <c r="L276" s="183"/>
      <c r="M276" s="184"/>
      <c r="N276" s="184"/>
      <c r="O276" s="185"/>
      <c r="P276" s="186"/>
      <c r="Q276" s="186"/>
      <c r="R276" s="187"/>
      <c r="S276" s="187"/>
      <c r="T276" s="184"/>
      <c r="U276" s="184"/>
      <c r="V276" s="188"/>
      <c r="W276" s="189"/>
      <c r="X276" s="190"/>
      <c r="Y276" s="185"/>
      <c r="Z276" s="191"/>
      <c r="AA276" s="97"/>
      <c r="AB276" s="192"/>
    </row>
    <row r="277" spans="1:28">
      <c r="A277" s="116"/>
      <c r="B277" s="116"/>
      <c r="C277" s="116">
        <v>3</v>
      </c>
      <c r="D277" s="3"/>
      <c r="E277" s="215"/>
      <c r="F277" s="216"/>
      <c r="G277" s="216"/>
      <c r="H277" s="183"/>
      <c r="I277" s="183"/>
      <c r="J277" s="183"/>
      <c r="K277" s="183"/>
      <c r="L277" s="183"/>
      <c r="M277" s="184"/>
      <c r="N277" s="184"/>
      <c r="O277" s="185"/>
      <c r="P277" s="186"/>
      <c r="Q277" s="186"/>
      <c r="R277" s="187"/>
      <c r="S277" s="187"/>
      <c r="T277" s="184"/>
      <c r="U277" s="184"/>
      <c r="V277" s="188"/>
      <c r="W277" s="189"/>
      <c r="X277" s="190"/>
      <c r="Y277" s="185"/>
      <c r="Z277" s="191"/>
      <c r="AA277" s="97"/>
      <c r="AB277" s="192"/>
    </row>
    <row r="278" spans="1:28">
      <c r="A278" s="116"/>
      <c r="B278" s="116"/>
      <c r="C278" s="116">
        <v>0</v>
      </c>
      <c r="D278" s="3"/>
      <c r="E278" s="183"/>
      <c r="F278" s="216"/>
      <c r="G278" s="216"/>
      <c r="H278" s="183"/>
      <c r="I278" s="183"/>
      <c r="J278" s="183"/>
      <c r="K278" s="183"/>
      <c r="L278" s="183"/>
      <c r="M278" s="184"/>
      <c r="N278" s="184"/>
      <c r="O278" s="185"/>
      <c r="P278" s="186"/>
      <c r="Q278" s="186"/>
      <c r="R278" s="187"/>
      <c r="S278" s="187"/>
      <c r="T278" s="184"/>
      <c r="U278" s="184"/>
      <c r="V278" s="188"/>
      <c r="W278" s="189"/>
      <c r="X278" s="190"/>
      <c r="Y278" s="185"/>
      <c r="Z278" s="191"/>
      <c r="AA278" s="97"/>
      <c r="AB278" s="192"/>
    </row>
    <row r="279" spans="1:28">
      <c r="A279" s="116"/>
      <c r="B279" s="116" t="s">
        <v>1061</v>
      </c>
      <c r="C279" s="116">
        <v>2</v>
      </c>
      <c r="D279" s="3"/>
      <c r="E279" s="183"/>
      <c r="F279" s="216"/>
      <c r="G279" s="216"/>
      <c r="H279" s="183"/>
      <c r="I279" s="183"/>
      <c r="J279" s="183"/>
      <c r="K279" s="183"/>
      <c r="L279" s="183"/>
      <c r="M279" s="184"/>
      <c r="N279" s="184"/>
      <c r="O279" s="185"/>
      <c r="P279" s="186"/>
      <c r="Q279" s="186"/>
      <c r="R279" s="187"/>
      <c r="S279" s="187"/>
      <c r="T279" s="184"/>
      <c r="U279" s="184"/>
      <c r="V279" s="188"/>
      <c r="W279" s="189"/>
      <c r="X279" s="190"/>
      <c r="Y279" s="185"/>
      <c r="Z279" s="191"/>
      <c r="AA279" s="97"/>
      <c r="AB279" s="192"/>
    </row>
    <row r="280" spans="1:28">
      <c r="A280" s="116"/>
      <c r="B280" s="116"/>
      <c r="C280" s="116">
        <v>3</v>
      </c>
      <c r="D280" s="3"/>
      <c r="E280" s="215"/>
      <c r="F280" s="216"/>
      <c r="G280" s="216"/>
      <c r="H280" s="183"/>
      <c r="I280" s="183"/>
      <c r="J280" s="183"/>
      <c r="K280" s="183"/>
      <c r="L280" s="183"/>
      <c r="M280" s="184"/>
      <c r="N280" s="184"/>
      <c r="O280" s="185"/>
      <c r="P280" s="186"/>
      <c r="Q280" s="186"/>
      <c r="R280" s="187"/>
      <c r="S280" s="187"/>
      <c r="T280" s="184"/>
      <c r="U280" s="184"/>
      <c r="V280" s="188"/>
      <c r="W280" s="189"/>
      <c r="X280" s="190"/>
      <c r="Y280" s="185"/>
      <c r="Z280" s="191"/>
      <c r="AA280" s="97"/>
      <c r="AB280" s="192"/>
    </row>
    <row r="281" spans="1:28">
      <c r="A281" s="116"/>
      <c r="B281" s="116"/>
      <c r="C281" s="116">
        <v>3</v>
      </c>
      <c r="D281" s="3"/>
      <c r="E281" s="215"/>
      <c r="F281" s="216"/>
      <c r="G281" s="216"/>
      <c r="H281" s="183"/>
      <c r="I281" s="183"/>
      <c r="J281" s="183"/>
      <c r="K281" s="183"/>
      <c r="L281" s="183"/>
      <c r="M281" s="184"/>
      <c r="N281" s="184"/>
      <c r="O281" s="185"/>
      <c r="P281" s="186"/>
      <c r="Q281" s="186"/>
      <c r="R281" s="187"/>
      <c r="S281" s="187"/>
      <c r="T281" s="184"/>
      <c r="U281" s="184"/>
      <c r="V281" s="188"/>
      <c r="W281" s="189"/>
      <c r="X281" s="190"/>
      <c r="Y281" s="185"/>
      <c r="Z281" s="191"/>
      <c r="AA281" s="97"/>
      <c r="AB281" s="192"/>
    </row>
    <row r="282" spans="1:28">
      <c r="A282" s="116"/>
      <c r="B282" s="116"/>
      <c r="C282" s="116">
        <v>0</v>
      </c>
      <c r="D282" s="3"/>
      <c r="E282" s="183"/>
      <c r="F282" s="216"/>
      <c r="G282" s="216"/>
      <c r="H282" s="183"/>
      <c r="I282" s="183"/>
      <c r="J282" s="183"/>
      <c r="K282" s="183"/>
      <c r="L282" s="183"/>
      <c r="M282" s="184"/>
      <c r="N282" s="184"/>
      <c r="O282" s="185"/>
      <c r="P282" s="186"/>
      <c r="Q282" s="186"/>
      <c r="R282" s="187"/>
      <c r="S282" s="187"/>
      <c r="T282" s="184"/>
      <c r="U282" s="184"/>
      <c r="V282" s="188"/>
      <c r="W282" s="189"/>
      <c r="X282" s="190"/>
      <c r="Y282" s="185"/>
      <c r="Z282" s="191"/>
      <c r="AA282" s="97"/>
      <c r="AB282" s="192"/>
    </row>
    <row r="283" spans="1:28">
      <c r="A283" s="116"/>
      <c r="B283" s="116" t="s">
        <v>1061</v>
      </c>
      <c r="C283" s="116">
        <v>2</v>
      </c>
      <c r="D283" s="3"/>
      <c r="E283" s="183"/>
      <c r="F283" s="216"/>
      <c r="G283" s="216"/>
      <c r="H283" s="183"/>
      <c r="I283" s="183"/>
      <c r="J283" s="183"/>
      <c r="K283" s="183"/>
      <c r="L283" s="183"/>
      <c r="M283" s="184"/>
      <c r="N283" s="184"/>
      <c r="O283" s="185"/>
      <c r="P283" s="186"/>
      <c r="Q283" s="186"/>
      <c r="R283" s="187"/>
      <c r="S283" s="187"/>
      <c r="T283" s="184"/>
      <c r="U283" s="184"/>
      <c r="V283" s="188"/>
      <c r="W283" s="189"/>
      <c r="X283" s="190"/>
      <c r="Y283" s="185"/>
      <c r="Z283" s="191"/>
      <c r="AA283" s="97"/>
      <c r="AB283" s="192"/>
    </row>
    <row r="284" spans="1:28">
      <c r="A284" s="116"/>
      <c r="B284" s="116"/>
      <c r="C284" s="116">
        <v>3</v>
      </c>
      <c r="D284" s="3"/>
      <c r="E284" s="215"/>
      <c r="F284" s="216"/>
      <c r="G284" s="216"/>
      <c r="H284" s="183"/>
      <c r="I284" s="183"/>
      <c r="J284" s="183"/>
      <c r="K284" s="183"/>
      <c r="L284" s="183"/>
      <c r="M284" s="184"/>
      <c r="N284" s="184"/>
      <c r="O284" s="185"/>
      <c r="P284" s="186"/>
      <c r="Q284" s="186"/>
      <c r="R284" s="187"/>
      <c r="S284" s="187"/>
      <c r="T284" s="184"/>
      <c r="U284" s="184"/>
      <c r="V284" s="188"/>
      <c r="W284" s="189"/>
      <c r="X284" s="190"/>
      <c r="Y284" s="185"/>
      <c r="Z284" s="191"/>
      <c r="AA284" s="97"/>
      <c r="AB284" s="192"/>
    </row>
    <row r="285" spans="1:28">
      <c r="A285" s="116"/>
      <c r="B285" s="116"/>
      <c r="C285" s="116">
        <v>3</v>
      </c>
      <c r="D285" s="3"/>
      <c r="E285" s="215"/>
      <c r="F285" s="216"/>
      <c r="G285" s="216"/>
      <c r="H285" s="183"/>
      <c r="I285" s="183"/>
      <c r="J285" s="183"/>
      <c r="K285" s="183"/>
      <c r="L285" s="183"/>
      <c r="M285" s="184"/>
      <c r="N285" s="184"/>
      <c r="O285" s="185"/>
      <c r="P285" s="186"/>
      <c r="Q285" s="186"/>
      <c r="R285" s="187"/>
      <c r="S285" s="187"/>
      <c r="T285" s="184"/>
      <c r="U285" s="184"/>
      <c r="V285" s="188"/>
      <c r="W285" s="189"/>
      <c r="X285" s="190"/>
      <c r="Y285" s="185"/>
      <c r="Z285" s="191"/>
      <c r="AA285" s="97"/>
      <c r="AB285" s="192"/>
    </row>
    <row r="286" spans="1:28">
      <c r="A286" s="116"/>
      <c r="B286" s="116"/>
      <c r="C286" s="116">
        <v>0</v>
      </c>
      <c r="D286" s="3"/>
      <c r="E286" s="183"/>
      <c r="F286" s="216"/>
      <c r="G286" s="216"/>
      <c r="H286" s="183"/>
      <c r="I286" s="183"/>
      <c r="J286" s="183"/>
      <c r="K286" s="183"/>
      <c r="L286" s="183"/>
      <c r="M286" s="184"/>
      <c r="N286" s="184"/>
      <c r="O286" s="185"/>
      <c r="P286" s="186"/>
      <c r="Q286" s="186"/>
      <c r="R286" s="187"/>
      <c r="S286" s="187"/>
      <c r="T286" s="184"/>
      <c r="U286" s="184"/>
      <c r="V286" s="188"/>
      <c r="W286" s="189"/>
      <c r="X286" s="190"/>
      <c r="Y286" s="185"/>
      <c r="Z286" s="191"/>
      <c r="AA286" s="97"/>
      <c r="AB286" s="192"/>
    </row>
    <row r="287" spans="1:28">
      <c r="A287" s="116"/>
      <c r="B287" s="116" t="s">
        <v>1061</v>
      </c>
      <c r="C287" s="116">
        <v>2</v>
      </c>
      <c r="D287" s="3"/>
      <c r="E287" s="183"/>
      <c r="F287" s="216"/>
      <c r="G287" s="216"/>
      <c r="H287" s="183"/>
      <c r="I287" s="183"/>
      <c r="J287" s="183"/>
      <c r="K287" s="183"/>
      <c r="L287" s="183"/>
      <c r="M287" s="184"/>
      <c r="N287" s="184"/>
      <c r="O287" s="185"/>
      <c r="P287" s="186"/>
      <c r="Q287" s="186"/>
      <c r="R287" s="187"/>
      <c r="S287" s="187"/>
      <c r="T287" s="184"/>
      <c r="U287" s="184"/>
      <c r="V287" s="188"/>
      <c r="W287" s="189"/>
      <c r="X287" s="190"/>
      <c r="Y287" s="185"/>
      <c r="Z287" s="191"/>
      <c r="AA287" s="97"/>
      <c r="AB287" s="192"/>
    </row>
    <row r="288" spans="1:28">
      <c r="A288" s="116"/>
      <c r="B288" s="116"/>
      <c r="C288" s="116">
        <v>3</v>
      </c>
      <c r="D288" s="3"/>
      <c r="E288" s="215"/>
      <c r="F288" s="216"/>
      <c r="G288" s="216"/>
      <c r="H288" s="183"/>
      <c r="I288" s="183"/>
      <c r="J288" s="183"/>
      <c r="K288" s="183"/>
      <c r="L288" s="183"/>
      <c r="M288" s="184"/>
      <c r="N288" s="184"/>
      <c r="O288" s="185"/>
      <c r="P288" s="186"/>
      <c r="Q288" s="186"/>
      <c r="R288" s="187"/>
      <c r="S288" s="187"/>
      <c r="T288" s="184"/>
      <c r="U288" s="184"/>
      <c r="V288" s="188"/>
      <c r="W288" s="189"/>
      <c r="X288" s="190"/>
      <c r="Y288" s="185"/>
      <c r="Z288" s="191"/>
      <c r="AA288" s="97"/>
      <c r="AB288" s="192"/>
    </row>
    <row r="289" spans="1:28">
      <c r="A289" s="116"/>
      <c r="B289" s="116"/>
      <c r="C289" s="116">
        <v>3</v>
      </c>
      <c r="D289" s="3"/>
      <c r="E289" s="215"/>
      <c r="F289" s="216"/>
      <c r="G289" s="216"/>
      <c r="H289" s="183"/>
      <c r="I289" s="183"/>
      <c r="J289" s="183"/>
      <c r="K289" s="183"/>
      <c r="L289" s="183"/>
      <c r="M289" s="184"/>
      <c r="N289" s="184"/>
      <c r="O289" s="185"/>
      <c r="P289" s="186"/>
      <c r="Q289" s="186"/>
      <c r="R289" s="187"/>
      <c r="S289" s="187"/>
      <c r="T289" s="184"/>
      <c r="U289" s="184"/>
      <c r="V289" s="188"/>
      <c r="W289" s="189"/>
      <c r="X289" s="190"/>
      <c r="Y289" s="185"/>
      <c r="Z289" s="191"/>
      <c r="AA289" s="97"/>
      <c r="AB289" s="192"/>
    </row>
    <row r="290" spans="1:28">
      <c r="A290" s="116"/>
      <c r="B290" s="116"/>
      <c r="C290" s="116">
        <v>0</v>
      </c>
      <c r="D290" s="3"/>
      <c r="E290" s="183"/>
      <c r="F290" s="216"/>
      <c r="G290" s="216"/>
      <c r="H290" s="183"/>
      <c r="I290" s="183"/>
      <c r="J290" s="183"/>
      <c r="K290" s="183"/>
      <c r="L290" s="183"/>
      <c r="M290" s="184"/>
      <c r="N290" s="184"/>
      <c r="O290" s="185"/>
      <c r="P290" s="186"/>
      <c r="Q290" s="186"/>
      <c r="R290" s="187"/>
      <c r="S290" s="187"/>
      <c r="T290" s="184"/>
      <c r="U290" s="184"/>
      <c r="V290" s="188"/>
      <c r="W290" s="189"/>
      <c r="X290" s="190"/>
      <c r="Y290" s="185"/>
      <c r="Z290" s="191"/>
      <c r="AA290" s="97"/>
      <c r="AB290" s="192"/>
    </row>
    <row r="291" spans="1:28">
      <c r="A291" s="116"/>
      <c r="B291" s="116" t="s">
        <v>1061</v>
      </c>
      <c r="C291" s="116">
        <v>2</v>
      </c>
      <c r="D291" s="3"/>
      <c r="E291" s="183"/>
      <c r="F291" s="216"/>
      <c r="G291" s="216"/>
      <c r="H291" s="183"/>
      <c r="I291" s="183"/>
      <c r="J291" s="183"/>
      <c r="K291" s="183"/>
      <c r="L291" s="183"/>
      <c r="M291" s="184"/>
      <c r="N291" s="184"/>
      <c r="O291" s="185"/>
      <c r="P291" s="186"/>
      <c r="Q291" s="186"/>
      <c r="R291" s="187"/>
      <c r="S291" s="187"/>
      <c r="T291" s="184"/>
      <c r="U291" s="184"/>
      <c r="V291" s="188"/>
      <c r="W291" s="189"/>
      <c r="X291" s="190"/>
      <c r="Y291" s="185"/>
      <c r="Z291" s="191"/>
      <c r="AA291" s="97"/>
      <c r="AB291" s="192"/>
    </row>
    <row r="292" spans="1:28">
      <c r="A292" s="116"/>
      <c r="B292" s="116"/>
      <c r="C292" s="116">
        <v>3</v>
      </c>
      <c r="D292" s="3"/>
      <c r="E292" s="215"/>
      <c r="F292" s="216"/>
      <c r="G292" s="216"/>
      <c r="H292" s="183"/>
      <c r="I292" s="183"/>
      <c r="J292" s="183"/>
      <c r="K292" s="183"/>
      <c r="L292" s="183"/>
      <c r="M292" s="184"/>
      <c r="N292" s="184"/>
      <c r="O292" s="185"/>
      <c r="P292" s="186"/>
      <c r="Q292" s="186"/>
      <c r="R292" s="187"/>
      <c r="S292" s="187"/>
      <c r="T292" s="184"/>
      <c r="U292" s="184"/>
      <c r="V292" s="188"/>
      <c r="W292" s="189"/>
      <c r="X292" s="190"/>
      <c r="Y292" s="185"/>
      <c r="Z292" s="191"/>
      <c r="AA292" s="97"/>
      <c r="AB292" s="192"/>
    </row>
    <row r="293" spans="1:28">
      <c r="A293" s="116"/>
      <c r="B293" s="116"/>
      <c r="C293" s="116">
        <v>3</v>
      </c>
      <c r="D293" s="3"/>
      <c r="E293" s="215"/>
      <c r="F293" s="216"/>
      <c r="G293" s="216"/>
      <c r="H293" s="183"/>
      <c r="I293" s="183"/>
      <c r="J293" s="183"/>
      <c r="K293" s="183"/>
      <c r="L293" s="183"/>
      <c r="M293" s="184"/>
      <c r="N293" s="184"/>
      <c r="O293" s="185"/>
      <c r="P293" s="186"/>
      <c r="Q293" s="186"/>
      <c r="R293" s="187"/>
      <c r="S293" s="187"/>
      <c r="T293" s="184"/>
      <c r="U293" s="184"/>
      <c r="V293" s="188"/>
      <c r="W293" s="189"/>
      <c r="X293" s="190"/>
      <c r="Y293" s="185"/>
      <c r="Z293" s="191"/>
      <c r="AA293" s="97"/>
      <c r="AB293" s="192"/>
    </row>
    <row r="294" spans="1:28">
      <c r="A294" s="116"/>
      <c r="B294" s="116"/>
      <c r="C294" s="116">
        <v>0</v>
      </c>
      <c r="D294" s="3"/>
      <c r="E294" s="183"/>
      <c r="F294" s="216"/>
      <c r="G294" s="216"/>
      <c r="H294" s="183"/>
      <c r="I294" s="183"/>
      <c r="J294" s="183"/>
      <c r="K294" s="183"/>
      <c r="L294" s="183"/>
      <c r="M294" s="184"/>
      <c r="N294" s="184"/>
      <c r="O294" s="185"/>
      <c r="P294" s="186"/>
      <c r="Q294" s="186"/>
      <c r="R294" s="187"/>
      <c r="S294" s="187"/>
      <c r="T294" s="184"/>
      <c r="U294" s="184"/>
      <c r="V294" s="188"/>
      <c r="W294" s="189"/>
      <c r="X294" s="190"/>
      <c r="Y294" s="185"/>
      <c r="Z294" s="191"/>
      <c r="AA294" s="97"/>
      <c r="AB294" s="192"/>
    </row>
    <row r="295" spans="1:28">
      <c r="A295" s="116"/>
      <c r="B295" s="116" t="s">
        <v>1061</v>
      </c>
      <c r="C295" s="116">
        <v>2</v>
      </c>
      <c r="D295" s="3"/>
      <c r="E295" s="183"/>
      <c r="F295" s="216"/>
      <c r="G295" s="216"/>
      <c r="H295" s="183"/>
      <c r="I295" s="183"/>
      <c r="J295" s="183"/>
      <c r="K295" s="183"/>
      <c r="L295" s="183"/>
      <c r="M295" s="184"/>
      <c r="N295" s="184"/>
      <c r="O295" s="185"/>
      <c r="P295" s="186"/>
      <c r="Q295" s="186"/>
      <c r="R295" s="187"/>
      <c r="S295" s="187"/>
      <c r="T295" s="184"/>
      <c r="U295" s="184"/>
      <c r="V295" s="188"/>
      <c r="W295" s="189"/>
      <c r="X295" s="190"/>
      <c r="Y295" s="185"/>
      <c r="Z295" s="191"/>
      <c r="AA295" s="97"/>
      <c r="AB295" s="192"/>
    </row>
    <row r="296" spans="1:28">
      <c r="A296" s="116"/>
      <c r="B296" s="116"/>
      <c r="C296" s="116">
        <v>3</v>
      </c>
      <c r="D296" s="3"/>
      <c r="E296" s="215"/>
      <c r="F296" s="216"/>
      <c r="G296" s="216"/>
      <c r="H296" s="183"/>
      <c r="I296" s="183"/>
      <c r="J296" s="183"/>
      <c r="K296" s="183"/>
      <c r="L296" s="183"/>
      <c r="M296" s="184"/>
      <c r="N296" s="184"/>
      <c r="O296" s="185"/>
      <c r="P296" s="186"/>
      <c r="Q296" s="186"/>
      <c r="R296" s="187"/>
      <c r="S296" s="187"/>
      <c r="T296" s="184"/>
      <c r="U296" s="184"/>
      <c r="V296" s="188"/>
      <c r="W296" s="189"/>
      <c r="X296" s="190"/>
      <c r="Y296" s="185"/>
      <c r="Z296" s="191"/>
      <c r="AA296" s="97"/>
      <c r="AB296" s="192"/>
    </row>
    <row r="297" spans="1:28">
      <c r="A297" s="116"/>
      <c r="B297" s="116"/>
      <c r="C297" s="116">
        <v>3</v>
      </c>
      <c r="D297" s="3"/>
      <c r="E297" s="215"/>
      <c r="F297" s="216"/>
      <c r="G297" s="216"/>
      <c r="H297" s="183"/>
      <c r="I297" s="183"/>
      <c r="J297" s="183"/>
      <c r="K297" s="183"/>
      <c r="L297" s="183"/>
      <c r="M297" s="184"/>
      <c r="N297" s="184"/>
      <c r="O297" s="185"/>
      <c r="P297" s="186"/>
      <c r="Q297" s="186"/>
      <c r="R297" s="187"/>
      <c r="S297" s="187"/>
      <c r="T297" s="184"/>
      <c r="U297" s="184"/>
      <c r="V297" s="188"/>
      <c r="W297" s="189"/>
      <c r="X297" s="190"/>
      <c r="Y297" s="185"/>
      <c r="Z297" s="191"/>
      <c r="AA297" s="97"/>
      <c r="AB297" s="192"/>
    </row>
    <row r="298" spans="1:28">
      <c r="A298" s="116"/>
      <c r="B298" s="116"/>
      <c r="C298" s="116">
        <v>0</v>
      </c>
      <c r="D298" s="3"/>
      <c r="E298" s="183"/>
      <c r="F298" s="216"/>
      <c r="G298" s="216"/>
      <c r="H298" s="183"/>
      <c r="I298" s="183"/>
      <c r="J298" s="183"/>
      <c r="K298" s="183"/>
      <c r="L298" s="183"/>
      <c r="M298" s="184"/>
      <c r="N298" s="184"/>
      <c r="O298" s="185"/>
      <c r="P298" s="186"/>
      <c r="Q298" s="186"/>
      <c r="R298" s="187"/>
      <c r="S298" s="187"/>
      <c r="T298" s="184"/>
      <c r="U298" s="184"/>
      <c r="V298" s="188"/>
      <c r="W298" s="189"/>
      <c r="X298" s="190"/>
      <c r="Y298" s="185"/>
      <c r="Z298" s="191"/>
      <c r="AA298" s="97"/>
      <c r="AB298" s="192"/>
    </row>
    <row r="299" spans="1:28">
      <c r="A299" s="116"/>
      <c r="B299" s="116" t="s">
        <v>1061</v>
      </c>
      <c r="C299" s="116">
        <v>2</v>
      </c>
      <c r="D299" s="3"/>
      <c r="E299" s="183"/>
      <c r="F299" s="216"/>
      <c r="G299" s="216"/>
      <c r="H299" s="183"/>
      <c r="I299" s="183"/>
      <c r="J299" s="183"/>
      <c r="K299" s="183"/>
      <c r="L299" s="183"/>
      <c r="M299" s="184"/>
      <c r="N299" s="184"/>
      <c r="O299" s="185"/>
      <c r="P299" s="186"/>
      <c r="Q299" s="186"/>
      <c r="R299" s="187"/>
      <c r="S299" s="187"/>
      <c r="T299" s="184"/>
      <c r="U299" s="184"/>
      <c r="V299" s="188"/>
      <c r="W299" s="189"/>
      <c r="X299" s="190"/>
      <c r="Y299" s="185"/>
      <c r="Z299" s="191"/>
      <c r="AA299" s="97"/>
      <c r="AB299" s="192"/>
    </row>
    <row r="300" spans="1:28">
      <c r="A300" s="116"/>
      <c r="B300" s="116"/>
      <c r="C300" s="116">
        <v>3</v>
      </c>
      <c r="D300" s="3"/>
      <c r="E300" s="215"/>
      <c r="F300" s="216"/>
      <c r="G300" s="216"/>
      <c r="H300" s="183"/>
      <c r="I300" s="183"/>
      <c r="J300" s="183"/>
      <c r="K300" s="183"/>
      <c r="L300" s="183"/>
      <c r="M300" s="184"/>
      <c r="N300" s="184"/>
      <c r="O300" s="185"/>
      <c r="P300" s="186"/>
      <c r="Q300" s="186"/>
      <c r="R300" s="187"/>
      <c r="S300" s="187"/>
      <c r="T300" s="184"/>
      <c r="U300" s="184"/>
      <c r="V300" s="188"/>
      <c r="W300" s="189"/>
      <c r="X300" s="190"/>
      <c r="Y300" s="185"/>
      <c r="Z300" s="191"/>
      <c r="AA300" s="97"/>
      <c r="AB300" s="192"/>
    </row>
    <row r="301" spans="1:28">
      <c r="A301" s="116"/>
      <c r="B301" s="116"/>
      <c r="C301" s="116">
        <v>3</v>
      </c>
      <c r="D301" s="3"/>
      <c r="E301" s="215"/>
      <c r="F301" s="216"/>
      <c r="G301" s="216"/>
      <c r="H301" s="183"/>
      <c r="I301" s="183"/>
      <c r="J301" s="183"/>
      <c r="K301" s="183"/>
      <c r="L301" s="183"/>
      <c r="M301" s="184"/>
      <c r="N301" s="184"/>
      <c r="O301" s="185"/>
      <c r="P301" s="186"/>
      <c r="Q301" s="186"/>
      <c r="R301" s="187"/>
      <c r="S301" s="187"/>
      <c r="T301" s="184"/>
      <c r="U301" s="184"/>
      <c r="V301" s="188"/>
      <c r="W301" s="189"/>
      <c r="X301" s="190"/>
      <c r="Y301" s="185"/>
      <c r="Z301" s="191"/>
      <c r="AA301" s="97"/>
      <c r="AB301" s="192"/>
    </row>
    <row r="302" spans="1:28">
      <c r="A302" s="116"/>
      <c r="B302" s="116"/>
      <c r="C302" s="116">
        <v>0</v>
      </c>
      <c r="D302" s="3"/>
      <c r="E302" s="215"/>
      <c r="F302" s="216"/>
      <c r="G302" s="216"/>
      <c r="H302" s="183"/>
      <c r="I302" s="183"/>
      <c r="J302" s="183"/>
      <c r="K302" s="183"/>
      <c r="L302" s="183"/>
      <c r="M302" s="184"/>
      <c r="N302" s="184"/>
      <c r="O302" s="185"/>
      <c r="P302" s="186"/>
      <c r="Q302" s="186"/>
      <c r="R302" s="187"/>
      <c r="S302" s="187"/>
      <c r="T302" s="184"/>
      <c r="U302" s="184"/>
      <c r="V302" s="188"/>
      <c r="W302" s="189"/>
      <c r="X302" s="190"/>
      <c r="Y302" s="185"/>
      <c r="Z302" s="191"/>
      <c r="AA302" s="97"/>
      <c r="AB302" s="192"/>
    </row>
    <row r="303" spans="1:28">
      <c r="A303" s="116"/>
      <c r="B303" s="116" t="s">
        <v>1061</v>
      </c>
      <c r="C303" s="116">
        <v>2</v>
      </c>
      <c r="D303" s="3"/>
      <c r="E303" s="183"/>
      <c r="F303" s="216"/>
      <c r="G303" s="216"/>
      <c r="H303" s="183"/>
      <c r="I303" s="183"/>
      <c r="J303" s="183"/>
      <c r="K303" s="183"/>
      <c r="L303" s="183"/>
      <c r="M303" s="184"/>
      <c r="N303" s="184"/>
      <c r="O303" s="185"/>
      <c r="P303" s="186"/>
      <c r="Q303" s="186"/>
      <c r="R303" s="187"/>
      <c r="S303" s="187"/>
      <c r="T303" s="184"/>
      <c r="U303" s="184"/>
      <c r="V303" s="188"/>
      <c r="W303" s="189"/>
      <c r="X303" s="190"/>
      <c r="Y303" s="185"/>
      <c r="Z303" s="191"/>
      <c r="AA303" s="97"/>
      <c r="AB303" s="192"/>
    </row>
    <row r="304" spans="1:28">
      <c r="A304" s="116"/>
      <c r="B304" s="116"/>
      <c r="C304" s="116">
        <v>3</v>
      </c>
      <c r="D304" s="3"/>
      <c r="E304" s="215"/>
      <c r="F304" s="216"/>
      <c r="G304" s="216"/>
      <c r="H304" s="183"/>
      <c r="I304" s="183"/>
      <c r="J304" s="183"/>
      <c r="K304" s="183"/>
      <c r="L304" s="183"/>
      <c r="M304" s="184"/>
      <c r="N304" s="184"/>
      <c r="O304" s="185"/>
      <c r="P304" s="186"/>
      <c r="Q304" s="186"/>
      <c r="R304" s="187"/>
      <c r="S304" s="187"/>
      <c r="T304" s="184"/>
      <c r="U304" s="184"/>
      <c r="V304" s="188"/>
      <c r="W304" s="189"/>
      <c r="X304" s="190"/>
      <c r="Y304" s="185"/>
      <c r="Z304" s="191"/>
      <c r="AA304" s="97"/>
      <c r="AB304" s="192"/>
    </row>
    <row r="305" spans="1:28">
      <c r="A305" s="116"/>
      <c r="B305" s="116"/>
      <c r="C305" s="116">
        <v>3</v>
      </c>
      <c r="D305" s="3"/>
      <c r="E305" s="215"/>
      <c r="F305" s="216"/>
      <c r="G305" s="216"/>
      <c r="H305" s="183"/>
      <c r="I305" s="183"/>
      <c r="J305" s="183"/>
      <c r="K305" s="183"/>
      <c r="L305" s="183"/>
      <c r="M305" s="184"/>
      <c r="N305" s="184"/>
      <c r="O305" s="185"/>
      <c r="P305" s="186"/>
      <c r="Q305" s="186"/>
      <c r="R305" s="187"/>
      <c r="S305" s="187"/>
      <c r="T305" s="184"/>
      <c r="U305" s="184"/>
      <c r="V305" s="188"/>
      <c r="W305" s="189"/>
      <c r="X305" s="190"/>
      <c r="Y305" s="185"/>
      <c r="Z305" s="191"/>
      <c r="AA305" s="97"/>
      <c r="AB305" s="192"/>
    </row>
    <row r="306" spans="1:28">
      <c r="A306" s="116"/>
      <c r="B306" s="116"/>
      <c r="C306" s="116">
        <v>0</v>
      </c>
      <c r="D306" s="3"/>
      <c r="E306" s="215"/>
      <c r="F306" s="216"/>
      <c r="G306" s="216"/>
      <c r="H306" s="183"/>
      <c r="I306" s="183"/>
      <c r="J306" s="183"/>
      <c r="K306" s="183"/>
      <c r="L306" s="183"/>
      <c r="M306" s="184"/>
      <c r="N306" s="184"/>
      <c r="O306" s="185"/>
      <c r="P306" s="186"/>
      <c r="Q306" s="186"/>
      <c r="R306" s="187"/>
      <c r="S306" s="187"/>
      <c r="T306" s="184"/>
      <c r="U306" s="184"/>
      <c r="V306" s="188"/>
      <c r="W306" s="189"/>
      <c r="X306" s="190"/>
      <c r="Y306" s="185"/>
      <c r="Z306" s="191"/>
      <c r="AA306" s="97"/>
      <c r="AB306" s="192"/>
    </row>
    <row r="307" spans="1:28">
      <c r="A307" s="116"/>
      <c r="B307" s="116" t="s">
        <v>1061</v>
      </c>
      <c r="C307" s="116">
        <v>2</v>
      </c>
      <c r="D307" s="3"/>
      <c r="E307" s="183"/>
      <c r="F307" s="216"/>
      <c r="G307" s="216"/>
      <c r="H307" s="183"/>
      <c r="I307" s="183"/>
      <c r="J307" s="183"/>
      <c r="K307" s="183"/>
      <c r="L307" s="183"/>
      <c r="M307" s="184"/>
      <c r="N307" s="184"/>
      <c r="O307" s="185"/>
      <c r="P307" s="186"/>
      <c r="Q307" s="186"/>
      <c r="R307" s="187"/>
      <c r="S307" s="187"/>
      <c r="T307" s="184"/>
      <c r="U307" s="184"/>
      <c r="V307" s="188"/>
      <c r="W307" s="189"/>
      <c r="X307" s="190"/>
      <c r="Y307" s="185"/>
      <c r="Z307" s="191"/>
      <c r="AA307" s="97"/>
      <c r="AB307" s="192"/>
    </row>
    <row r="308" spans="1:28">
      <c r="A308" s="116"/>
      <c r="B308" s="116"/>
      <c r="C308" s="116">
        <v>3</v>
      </c>
      <c r="D308" s="3"/>
      <c r="E308" s="215"/>
      <c r="F308" s="216"/>
      <c r="G308" s="216"/>
      <c r="H308" s="183"/>
      <c r="I308" s="183"/>
      <c r="J308" s="183"/>
      <c r="K308" s="183"/>
      <c r="L308" s="183"/>
      <c r="M308" s="184"/>
      <c r="N308" s="184"/>
      <c r="O308" s="185"/>
      <c r="P308" s="186"/>
      <c r="Q308" s="186"/>
      <c r="R308" s="187"/>
      <c r="S308" s="187"/>
      <c r="T308" s="184"/>
      <c r="U308" s="184"/>
      <c r="V308" s="188"/>
      <c r="W308" s="189"/>
      <c r="X308" s="190"/>
      <c r="Y308" s="185"/>
      <c r="Z308" s="191"/>
      <c r="AA308" s="97"/>
      <c r="AB308" s="192"/>
    </row>
    <row r="309" spans="1:28">
      <c r="A309" s="116"/>
      <c r="B309" s="116"/>
      <c r="C309" s="116">
        <v>3</v>
      </c>
      <c r="D309" s="3"/>
      <c r="E309" s="215"/>
      <c r="F309" s="216"/>
      <c r="G309" s="216"/>
      <c r="H309" s="183"/>
      <c r="I309" s="183"/>
      <c r="J309" s="183"/>
      <c r="K309" s="183"/>
      <c r="L309" s="183"/>
      <c r="M309" s="184"/>
      <c r="N309" s="184"/>
      <c r="O309" s="185"/>
      <c r="P309" s="186"/>
      <c r="Q309" s="186"/>
      <c r="R309" s="187"/>
      <c r="S309" s="187"/>
      <c r="T309" s="184"/>
      <c r="U309" s="184"/>
      <c r="V309" s="188"/>
      <c r="W309" s="189"/>
      <c r="X309" s="190"/>
      <c r="Y309" s="185"/>
      <c r="Z309" s="191"/>
      <c r="AA309" s="97"/>
      <c r="AB309" s="192"/>
    </row>
    <row r="310" spans="1:28">
      <c r="A310" s="116"/>
      <c r="B310" s="116"/>
      <c r="C310" s="116">
        <v>0</v>
      </c>
      <c r="D310" s="3"/>
      <c r="E310" s="215"/>
      <c r="F310" s="216"/>
      <c r="G310" s="216"/>
      <c r="H310" s="183"/>
      <c r="I310" s="183"/>
      <c r="J310" s="183"/>
      <c r="K310" s="183"/>
      <c r="L310" s="183"/>
      <c r="M310" s="184"/>
      <c r="N310" s="184"/>
      <c r="O310" s="185"/>
      <c r="P310" s="186"/>
      <c r="Q310" s="186"/>
      <c r="R310" s="187"/>
      <c r="S310" s="187"/>
      <c r="T310" s="184"/>
      <c r="U310" s="184"/>
      <c r="V310" s="188"/>
      <c r="W310" s="189"/>
      <c r="X310" s="190"/>
      <c r="Y310" s="185"/>
      <c r="Z310" s="191"/>
      <c r="AA310" s="97"/>
      <c r="AB310" s="192"/>
    </row>
    <row r="311" spans="1:28">
      <c r="A311" s="116"/>
      <c r="B311" s="116" t="s">
        <v>1061</v>
      </c>
      <c r="C311" s="116">
        <v>2</v>
      </c>
      <c r="D311" s="3"/>
      <c r="E311" s="183"/>
      <c r="F311" s="216"/>
      <c r="G311" s="216"/>
      <c r="H311" s="183"/>
      <c r="I311" s="183"/>
      <c r="J311" s="183"/>
      <c r="K311" s="183"/>
      <c r="L311" s="183"/>
      <c r="M311" s="184"/>
      <c r="N311" s="184"/>
      <c r="O311" s="185"/>
      <c r="P311" s="186"/>
      <c r="Q311" s="186"/>
      <c r="R311" s="187"/>
      <c r="S311" s="187"/>
      <c r="T311" s="184"/>
      <c r="U311" s="184"/>
      <c r="V311" s="188"/>
      <c r="W311" s="189"/>
      <c r="X311" s="190"/>
      <c r="Y311" s="185"/>
      <c r="Z311" s="191"/>
      <c r="AA311" s="97"/>
      <c r="AB311" s="192"/>
    </row>
    <row r="312" spans="1:28">
      <c r="A312" s="116"/>
      <c r="B312" s="116"/>
      <c r="C312" s="116">
        <v>3</v>
      </c>
      <c r="D312" s="3"/>
      <c r="E312" s="215"/>
      <c r="F312" s="216"/>
      <c r="G312" s="216"/>
      <c r="H312" s="183"/>
      <c r="I312" s="183"/>
      <c r="J312" s="183"/>
      <c r="K312" s="183"/>
      <c r="L312" s="183"/>
      <c r="M312" s="184"/>
      <c r="N312" s="184"/>
      <c r="O312" s="185"/>
      <c r="P312" s="186"/>
      <c r="Q312" s="186"/>
      <c r="R312" s="187"/>
      <c r="S312" s="187"/>
      <c r="T312" s="184"/>
      <c r="U312" s="184"/>
      <c r="V312" s="188"/>
      <c r="W312" s="189"/>
      <c r="X312" s="190"/>
      <c r="Y312" s="185"/>
      <c r="Z312" s="191"/>
      <c r="AA312" s="97"/>
      <c r="AB312" s="192"/>
    </row>
    <row r="313" spans="1:28">
      <c r="A313" s="116"/>
      <c r="B313" s="116"/>
      <c r="C313" s="116">
        <v>3</v>
      </c>
      <c r="D313" s="3"/>
      <c r="E313" s="215"/>
      <c r="F313" s="216"/>
      <c r="G313" s="216"/>
      <c r="H313" s="183"/>
      <c r="I313" s="183"/>
      <c r="J313" s="183"/>
      <c r="K313" s="183"/>
      <c r="L313" s="183"/>
      <c r="M313" s="184"/>
      <c r="N313" s="184"/>
      <c r="O313" s="185"/>
      <c r="P313" s="186"/>
      <c r="Q313" s="186"/>
      <c r="R313" s="187"/>
      <c r="S313" s="187"/>
      <c r="T313" s="184"/>
      <c r="U313" s="184"/>
      <c r="V313" s="188"/>
      <c r="W313" s="189"/>
      <c r="X313" s="190"/>
      <c r="Y313" s="185"/>
      <c r="Z313" s="191"/>
      <c r="AA313" s="97"/>
      <c r="AB313" s="192"/>
    </row>
    <row r="314" spans="1:28">
      <c r="A314" s="116"/>
      <c r="B314" s="116"/>
      <c r="C314" s="116">
        <v>0</v>
      </c>
      <c r="D314" s="3"/>
      <c r="E314" s="215"/>
      <c r="F314" s="216"/>
      <c r="G314" s="216"/>
      <c r="H314" s="183"/>
      <c r="I314" s="183"/>
      <c r="J314" s="183"/>
      <c r="K314" s="183"/>
      <c r="L314" s="183"/>
      <c r="M314" s="184"/>
      <c r="N314" s="184"/>
      <c r="O314" s="185"/>
      <c r="P314" s="186"/>
      <c r="Q314" s="186"/>
      <c r="R314" s="187"/>
      <c r="S314" s="187"/>
      <c r="T314" s="184"/>
      <c r="U314" s="184"/>
      <c r="V314" s="188"/>
      <c r="W314" s="189"/>
      <c r="X314" s="190"/>
      <c r="Y314" s="185"/>
      <c r="Z314" s="191"/>
      <c r="AA314" s="97"/>
      <c r="AB314" s="192"/>
    </row>
    <row r="315" spans="1:28">
      <c r="A315" s="116"/>
      <c r="B315" s="116"/>
      <c r="C315" s="116">
        <v>0</v>
      </c>
      <c r="D315" s="3"/>
      <c r="E315" s="183"/>
      <c r="F315" s="183"/>
      <c r="G315" s="183"/>
      <c r="H315" s="183"/>
      <c r="I315" s="183"/>
      <c r="J315" s="183"/>
      <c r="K315" s="183"/>
      <c r="L315" s="183"/>
      <c r="M315" s="184"/>
      <c r="N315" s="184"/>
      <c r="O315" s="185"/>
      <c r="P315" s="186"/>
      <c r="Q315" s="186"/>
      <c r="R315" s="187"/>
      <c r="S315" s="187"/>
      <c r="T315" s="184"/>
      <c r="U315" s="184"/>
      <c r="V315" s="188"/>
      <c r="W315" s="189"/>
      <c r="X315" s="190"/>
      <c r="Y315" s="185"/>
      <c r="Z315" s="191"/>
      <c r="AA315" s="97"/>
      <c r="AB315" s="192"/>
    </row>
    <row r="316" spans="1:28">
      <c r="A316" s="116"/>
      <c r="B316" s="116" t="s">
        <v>1061</v>
      </c>
      <c r="C316" s="116">
        <v>1</v>
      </c>
      <c r="D316" s="3"/>
      <c r="E316" s="214"/>
      <c r="F316" s="183"/>
      <c r="G316" s="183"/>
      <c r="H316" s="183"/>
      <c r="I316" s="183"/>
      <c r="J316" s="183"/>
      <c r="K316" s="183"/>
      <c r="L316" s="183"/>
      <c r="M316" s="184"/>
      <c r="N316" s="184"/>
      <c r="O316" s="185"/>
      <c r="P316" s="186"/>
      <c r="Q316" s="186"/>
      <c r="R316" s="187"/>
      <c r="S316" s="187"/>
      <c r="T316" s="184"/>
      <c r="U316" s="184"/>
      <c r="V316" s="188"/>
      <c r="W316" s="189"/>
      <c r="X316" s="190"/>
      <c r="Y316" s="185"/>
      <c r="Z316" s="191"/>
      <c r="AA316" s="97"/>
      <c r="AB316" s="192"/>
    </row>
    <row r="317" spans="1:28">
      <c r="A317" s="116"/>
      <c r="B317" s="116"/>
      <c r="C317" s="116">
        <v>2</v>
      </c>
      <c r="D317" s="3"/>
      <c r="E317" s="215"/>
      <c r="F317" s="216"/>
      <c r="G317" s="183"/>
      <c r="H317" s="183"/>
      <c r="I317" s="183"/>
      <c r="J317" s="183"/>
      <c r="K317" s="183"/>
      <c r="L317" s="183"/>
      <c r="M317" s="184"/>
      <c r="N317" s="184"/>
      <c r="O317" s="185"/>
      <c r="P317" s="186"/>
      <c r="Q317" s="186"/>
      <c r="R317" s="187"/>
      <c r="S317" s="187"/>
      <c r="T317" s="184"/>
      <c r="U317" s="184"/>
      <c r="V317" s="188"/>
      <c r="W317" s="189"/>
      <c r="X317" s="190"/>
      <c r="Y317" s="185"/>
      <c r="Z317" s="191"/>
      <c r="AA317" s="97"/>
      <c r="AB317" s="192"/>
    </row>
    <row r="318" spans="1:28">
      <c r="A318" s="116"/>
      <c r="B318" s="116"/>
      <c r="C318" s="116">
        <v>2</v>
      </c>
      <c r="D318" s="3"/>
      <c r="E318" s="183"/>
      <c r="F318" s="216"/>
      <c r="G318" s="183"/>
      <c r="H318" s="183"/>
      <c r="I318" s="183"/>
      <c r="J318" s="183"/>
      <c r="K318" s="183"/>
      <c r="L318" s="183"/>
      <c r="M318" s="184"/>
      <c r="N318" s="184"/>
      <c r="O318" s="185"/>
      <c r="P318" s="186"/>
      <c r="Q318" s="186"/>
      <c r="R318" s="187"/>
      <c r="S318" s="187"/>
      <c r="T318" s="184"/>
      <c r="U318" s="184"/>
      <c r="V318" s="188"/>
      <c r="W318" s="189"/>
      <c r="X318" s="190"/>
      <c r="Y318" s="185"/>
      <c r="Z318" s="191"/>
      <c r="AA318" s="97"/>
      <c r="AB318" s="192"/>
    </row>
    <row r="319" spans="1:28">
      <c r="A319" s="116"/>
      <c r="B319" s="116"/>
      <c r="C319" s="116">
        <v>2</v>
      </c>
      <c r="D319" s="3"/>
      <c r="E319" s="183"/>
      <c r="F319" s="216"/>
      <c r="G319" s="183"/>
      <c r="H319" s="183"/>
      <c r="I319" s="183"/>
      <c r="J319" s="183"/>
      <c r="K319" s="183"/>
      <c r="L319" s="183"/>
      <c r="M319" s="184"/>
      <c r="N319" s="184"/>
      <c r="O319" s="185"/>
      <c r="P319" s="186"/>
      <c r="Q319" s="186"/>
      <c r="R319" s="187"/>
      <c r="S319" s="187"/>
      <c r="T319" s="184"/>
      <c r="U319" s="184"/>
      <c r="V319" s="188"/>
      <c r="W319" s="189"/>
      <c r="X319" s="190"/>
      <c r="Y319" s="185"/>
      <c r="Z319" s="191"/>
      <c r="AA319" s="97"/>
      <c r="AB319" s="192"/>
    </row>
    <row r="320" spans="1:28">
      <c r="A320" s="116"/>
      <c r="B320" s="116"/>
      <c r="C320" s="116">
        <v>2</v>
      </c>
      <c r="D320" s="3"/>
      <c r="E320" s="183"/>
      <c r="F320" s="216"/>
      <c r="G320" s="183"/>
      <c r="H320" s="183"/>
      <c r="I320" s="183"/>
      <c r="J320" s="183"/>
      <c r="K320" s="183"/>
      <c r="L320" s="183"/>
      <c r="M320" s="184"/>
      <c r="N320" s="184"/>
      <c r="O320" s="185"/>
      <c r="P320" s="186"/>
      <c r="Q320" s="186"/>
      <c r="R320" s="187"/>
      <c r="S320" s="187"/>
      <c r="T320" s="184"/>
      <c r="U320" s="184"/>
      <c r="V320" s="188"/>
      <c r="W320" s="189"/>
      <c r="X320" s="190"/>
      <c r="Y320" s="185"/>
      <c r="Z320" s="191"/>
      <c r="AA320" s="97"/>
      <c r="AB320" s="192"/>
    </row>
    <row r="321" spans="1:28">
      <c r="A321" s="116"/>
      <c r="B321" s="116"/>
      <c r="C321" s="116">
        <v>2</v>
      </c>
      <c r="D321" s="3"/>
      <c r="E321" s="183"/>
      <c r="F321" s="216"/>
      <c r="G321" s="183"/>
      <c r="H321" s="183"/>
      <c r="I321" s="183"/>
      <c r="J321" s="183"/>
      <c r="K321" s="183"/>
      <c r="L321" s="183"/>
      <c r="M321" s="184"/>
      <c r="N321" s="184"/>
      <c r="O321" s="185"/>
      <c r="P321" s="186"/>
      <c r="Q321" s="186"/>
      <c r="R321" s="187"/>
      <c r="S321" s="187"/>
      <c r="T321" s="184"/>
      <c r="U321" s="184"/>
      <c r="V321" s="188"/>
      <c r="W321" s="189"/>
      <c r="X321" s="190"/>
      <c r="Y321" s="185"/>
      <c r="Z321" s="191"/>
      <c r="AA321" s="97"/>
      <c r="AB321" s="192"/>
    </row>
    <row r="322" spans="1:28">
      <c r="A322" s="116"/>
      <c r="B322" s="116"/>
      <c r="C322" s="116">
        <v>2</v>
      </c>
      <c r="D322" s="3"/>
      <c r="E322" s="183"/>
      <c r="F322" s="216"/>
      <c r="G322" s="183"/>
      <c r="H322" s="183"/>
      <c r="I322" s="183"/>
      <c r="J322" s="183"/>
      <c r="K322" s="183"/>
      <c r="L322" s="183"/>
      <c r="M322" s="184"/>
      <c r="N322" s="184"/>
      <c r="O322" s="185"/>
      <c r="P322" s="186"/>
      <c r="Q322" s="186"/>
      <c r="R322" s="187"/>
      <c r="S322" s="187"/>
      <c r="T322" s="184"/>
      <c r="U322" s="184"/>
      <c r="V322" s="188"/>
      <c r="W322" s="189"/>
      <c r="X322" s="190"/>
      <c r="Y322" s="185"/>
      <c r="Z322" s="191"/>
      <c r="AA322" s="97"/>
      <c r="AB322" s="192"/>
    </row>
    <row r="323" spans="1:28">
      <c r="A323" s="116"/>
      <c r="B323" s="116"/>
      <c r="C323" s="116">
        <v>2</v>
      </c>
      <c r="D323" s="3"/>
      <c r="E323" s="183"/>
      <c r="F323" s="216"/>
      <c r="G323" s="183"/>
      <c r="H323" s="183"/>
      <c r="I323" s="183"/>
      <c r="J323" s="183"/>
      <c r="K323" s="183"/>
      <c r="L323" s="183"/>
      <c r="M323" s="184"/>
      <c r="N323" s="184"/>
      <c r="O323" s="185"/>
      <c r="P323" s="186"/>
      <c r="Q323" s="186"/>
      <c r="R323" s="187"/>
      <c r="S323" s="187"/>
      <c r="T323" s="184"/>
      <c r="U323" s="184"/>
      <c r="V323" s="188"/>
      <c r="W323" s="189"/>
      <c r="X323" s="190"/>
      <c r="Y323" s="185"/>
      <c r="Z323" s="191"/>
      <c r="AA323" s="97"/>
      <c r="AB323" s="192"/>
    </row>
    <row r="324" spans="1:28">
      <c r="A324" s="116"/>
      <c r="B324" s="116"/>
      <c r="C324" s="116">
        <v>2</v>
      </c>
      <c r="D324" s="3"/>
      <c r="E324" s="183"/>
      <c r="F324" s="216"/>
      <c r="G324" s="183"/>
      <c r="H324" s="183"/>
      <c r="I324" s="183"/>
      <c r="J324" s="183"/>
      <c r="K324" s="183"/>
      <c r="L324" s="183"/>
      <c r="M324" s="184"/>
      <c r="N324" s="184"/>
      <c r="O324" s="185"/>
      <c r="P324" s="186"/>
      <c r="Q324" s="186"/>
      <c r="R324" s="187"/>
      <c r="S324" s="187"/>
      <c r="T324" s="184"/>
      <c r="U324" s="184"/>
      <c r="V324" s="188"/>
      <c r="W324" s="189"/>
      <c r="X324" s="190"/>
      <c r="Y324" s="185"/>
      <c r="Z324" s="191"/>
      <c r="AA324" s="97"/>
      <c r="AB324" s="192"/>
    </row>
    <row r="325" spans="1:28">
      <c r="A325" s="116"/>
      <c r="B325" s="116"/>
      <c r="C325" s="116">
        <v>2</v>
      </c>
      <c r="D325" s="3"/>
      <c r="E325" s="183"/>
      <c r="F325" s="216"/>
      <c r="G325" s="183"/>
      <c r="H325" s="183"/>
      <c r="I325" s="183"/>
      <c r="J325" s="183"/>
      <c r="K325" s="183"/>
      <c r="L325" s="183"/>
      <c r="M325" s="184"/>
      <c r="N325" s="184"/>
      <c r="O325" s="185"/>
      <c r="P325" s="186"/>
      <c r="Q325" s="186"/>
      <c r="R325" s="187"/>
      <c r="S325" s="187"/>
      <c r="T325" s="184"/>
      <c r="U325" s="184"/>
      <c r="V325" s="188"/>
      <c r="W325" s="189"/>
      <c r="X325" s="190"/>
      <c r="Y325" s="185"/>
      <c r="Z325" s="191"/>
      <c r="AA325" s="97"/>
      <c r="AB325" s="192"/>
    </row>
    <row r="326" spans="1:28">
      <c r="A326" s="116"/>
      <c r="B326" s="116"/>
      <c r="C326" s="116">
        <v>2</v>
      </c>
      <c r="D326" s="3"/>
      <c r="E326" s="183"/>
      <c r="F326" s="216"/>
      <c r="G326" s="183"/>
      <c r="H326" s="183"/>
      <c r="I326" s="183"/>
      <c r="J326" s="183"/>
      <c r="K326" s="183"/>
      <c r="L326" s="183"/>
      <c r="M326" s="184"/>
      <c r="N326" s="184"/>
      <c r="O326" s="185"/>
      <c r="P326" s="186"/>
      <c r="Q326" s="186"/>
      <c r="R326" s="187"/>
      <c r="S326" s="187"/>
      <c r="T326" s="184"/>
      <c r="U326" s="184"/>
      <c r="V326" s="188"/>
      <c r="W326" s="189"/>
      <c r="X326" s="190"/>
      <c r="Y326" s="185"/>
      <c r="Z326" s="191"/>
      <c r="AA326" s="97"/>
      <c r="AB326" s="192"/>
    </row>
    <row r="327" spans="1:28">
      <c r="A327" s="116"/>
      <c r="B327" s="116"/>
      <c r="C327" s="116">
        <v>2</v>
      </c>
      <c r="D327" s="3"/>
      <c r="E327" s="183"/>
      <c r="F327" s="216"/>
      <c r="G327" s="183"/>
      <c r="H327" s="183"/>
      <c r="I327" s="183"/>
      <c r="J327" s="183"/>
      <c r="K327" s="183"/>
      <c r="L327" s="183"/>
      <c r="M327" s="184"/>
      <c r="N327" s="184"/>
      <c r="O327" s="185"/>
      <c r="P327" s="186"/>
      <c r="Q327" s="186"/>
      <c r="R327" s="187"/>
      <c r="S327" s="187"/>
      <c r="T327" s="184"/>
      <c r="U327" s="184"/>
      <c r="V327" s="188"/>
      <c r="W327" s="189"/>
      <c r="X327" s="190"/>
      <c r="Y327" s="185"/>
      <c r="Z327" s="191"/>
      <c r="AA327" s="97"/>
      <c r="AB327" s="192"/>
    </row>
    <row r="328" spans="1:28">
      <c r="A328" s="116"/>
      <c r="B328" s="116"/>
      <c r="C328" s="116">
        <v>2</v>
      </c>
      <c r="D328" s="3"/>
      <c r="E328" s="183"/>
      <c r="F328" s="216"/>
      <c r="G328" s="183"/>
      <c r="H328" s="183"/>
      <c r="I328" s="183"/>
      <c r="J328" s="183"/>
      <c r="K328" s="183"/>
      <c r="L328" s="183"/>
      <c r="M328" s="184"/>
      <c r="N328" s="184"/>
      <c r="O328" s="185"/>
      <c r="P328" s="186"/>
      <c r="Q328" s="186"/>
      <c r="R328" s="187"/>
      <c r="S328" s="187"/>
      <c r="T328" s="184"/>
      <c r="U328" s="184"/>
      <c r="V328" s="188"/>
      <c r="W328" s="189"/>
      <c r="X328" s="190"/>
      <c r="Y328" s="185"/>
      <c r="Z328" s="191"/>
      <c r="AA328" s="97"/>
      <c r="AB328" s="192"/>
    </row>
    <row r="329" spans="1:28">
      <c r="A329" s="116"/>
      <c r="B329" s="116"/>
      <c r="C329" s="116">
        <v>2</v>
      </c>
      <c r="D329" s="3"/>
      <c r="E329" s="183"/>
      <c r="F329" s="216"/>
      <c r="G329" s="183"/>
      <c r="H329" s="183"/>
      <c r="I329" s="183"/>
      <c r="J329" s="183"/>
      <c r="K329" s="183"/>
      <c r="L329" s="183"/>
      <c r="M329" s="184"/>
      <c r="N329" s="184"/>
      <c r="O329" s="185"/>
      <c r="P329" s="186"/>
      <c r="Q329" s="186"/>
      <c r="R329" s="187"/>
      <c r="S329" s="187"/>
      <c r="T329" s="184"/>
      <c r="U329" s="184"/>
      <c r="V329" s="188"/>
      <c r="W329" s="189"/>
      <c r="X329" s="190"/>
      <c r="Y329" s="185"/>
      <c r="Z329" s="191"/>
      <c r="AA329" s="97"/>
      <c r="AB329" s="192"/>
    </row>
    <row r="330" spans="1:28">
      <c r="A330" s="116"/>
      <c r="B330" s="116"/>
      <c r="C330" s="116">
        <v>2</v>
      </c>
      <c r="D330" s="3"/>
      <c r="E330" s="183"/>
      <c r="F330" s="183"/>
      <c r="G330" s="183"/>
      <c r="H330" s="183"/>
      <c r="I330" s="183"/>
      <c r="J330" s="183"/>
      <c r="K330" s="183"/>
      <c r="L330" s="183"/>
      <c r="M330" s="184"/>
      <c r="N330" s="184"/>
      <c r="O330" s="185"/>
      <c r="P330" s="186"/>
      <c r="Q330" s="186"/>
      <c r="R330" s="187"/>
      <c r="S330" s="187"/>
      <c r="T330" s="184"/>
      <c r="U330" s="184"/>
      <c r="V330" s="188"/>
      <c r="W330" s="189"/>
      <c r="X330" s="190"/>
      <c r="Y330" s="185"/>
      <c r="Z330" s="191"/>
      <c r="AA330" s="97"/>
      <c r="AB330" s="192"/>
    </row>
    <row r="331" spans="1:28">
      <c r="A331" s="116"/>
      <c r="B331" s="116"/>
      <c r="C331" s="116">
        <v>2</v>
      </c>
      <c r="D331" s="3"/>
      <c r="E331" s="183"/>
      <c r="F331" s="183"/>
      <c r="G331" s="183"/>
      <c r="H331" s="183"/>
      <c r="I331" s="183"/>
      <c r="J331" s="183"/>
      <c r="K331" s="183"/>
      <c r="L331" s="183"/>
      <c r="M331" s="184"/>
      <c r="N331" s="184"/>
      <c r="O331" s="185"/>
      <c r="P331" s="186"/>
      <c r="Q331" s="186"/>
      <c r="R331" s="187"/>
      <c r="S331" s="187"/>
      <c r="T331" s="184"/>
      <c r="U331" s="184"/>
      <c r="V331" s="188"/>
      <c r="W331" s="189"/>
      <c r="X331" s="190"/>
      <c r="Y331" s="185"/>
      <c r="Z331" s="191"/>
      <c r="AA331" s="97"/>
      <c r="AB331" s="192"/>
    </row>
    <row r="332" spans="1:28">
      <c r="A332" s="116"/>
      <c r="B332" s="116"/>
      <c r="C332" s="116">
        <v>2</v>
      </c>
      <c r="D332" s="3"/>
      <c r="E332" s="183"/>
      <c r="F332" s="183"/>
      <c r="G332" s="183"/>
      <c r="H332" s="183"/>
      <c r="I332" s="183"/>
      <c r="J332" s="183"/>
      <c r="K332" s="183"/>
      <c r="L332" s="183"/>
      <c r="M332" s="184"/>
      <c r="N332" s="184"/>
      <c r="O332" s="185"/>
      <c r="P332" s="186"/>
      <c r="Q332" s="186"/>
      <c r="R332" s="187"/>
      <c r="S332" s="187"/>
      <c r="T332" s="184"/>
      <c r="U332" s="184"/>
      <c r="V332" s="188"/>
      <c r="W332" s="189"/>
      <c r="X332" s="190"/>
      <c r="Y332" s="185"/>
      <c r="Z332" s="191"/>
      <c r="AA332" s="97"/>
      <c r="AB332" s="192"/>
    </row>
    <row r="333" spans="1:28">
      <c r="A333" s="116"/>
      <c r="B333" s="116"/>
      <c r="C333" s="116">
        <v>2</v>
      </c>
      <c r="D333" s="3"/>
      <c r="E333" s="183"/>
      <c r="F333" s="183"/>
      <c r="G333" s="183"/>
      <c r="H333" s="183"/>
      <c r="I333" s="183"/>
      <c r="J333" s="183"/>
      <c r="K333" s="183"/>
      <c r="L333" s="183"/>
      <c r="M333" s="184"/>
      <c r="N333" s="184"/>
      <c r="O333" s="185"/>
      <c r="P333" s="186"/>
      <c r="Q333" s="186"/>
      <c r="R333" s="187"/>
      <c r="S333" s="187"/>
      <c r="T333" s="184"/>
      <c r="U333" s="184"/>
      <c r="V333" s="188"/>
      <c r="W333" s="189"/>
      <c r="X333" s="190"/>
      <c r="Y333" s="185"/>
      <c r="Z333" s="191"/>
      <c r="AA333" s="97"/>
      <c r="AB333" s="192"/>
    </row>
    <row r="334" spans="1:28">
      <c r="A334" s="193"/>
      <c r="B334" s="193"/>
      <c r="C334" s="193">
        <v>0</v>
      </c>
      <c r="D334" s="194"/>
      <c r="E334" s="195"/>
      <c r="F334" s="195"/>
      <c r="G334" s="195"/>
      <c r="H334" s="195"/>
      <c r="I334" s="195"/>
      <c r="J334" s="195"/>
      <c r="K334" s="195"/>
      <c r="L334" s="195"/>
      <c r="M334" s="196"/>
      <c r="N334" s="196"/>
      <c r="O334" s="197"/>
      <c r="P334" s="198"/>
      <c r="Q334" s="198"/>
      <c r="R334" s="199"/>
      <c r="S334" s="199"/>
      <c r="T334" s="196"/>
      <c r="U334" s="196"/>
      <c r="V334" s="200"/>
      <c r="W334" s="201"/>
      <c r="X334" s="202"/>
      <c r="Y334" s="197"/>
      <c r="Z334" s="203"/>
      <c r="AA334" s="204"/>
      <c r="AB334" s="205"/>
    </row>
    <row r="335" spans="1:28">
      <c r="A335" s="193"/>
      <c r="B335" s="193"/>
      <c r="C335" s="193"/>
      <c r="D335" s="194"/>
      <c r="E335" s="195"/>
      <c r="F335" s="195"/>
      <c r="G335" s="195"/>
      <c r="H335" s="195"/>
      <c r="I335" s="195"/>
      <c r="J335" s="195"/>
      <c r="K335" s="195"/>
      <c r="L335" s="195"/>
      <c r="M335" s="196"/>
      <c r="N335" s="196"/>
      <c r="O335" s="197"/>
      <c r="P335" s="198"/>
      <c r="Q335" s="198"/>
      <c r="R335" s="199"/>
      <c r="S335" s="199"/>
      <c r="T335" s="196"/>
      <c r="U335" s="196"/>
      <c r="V335" s="200"/>
      <c r="W335" s="201"/>
      <c r="X335" s="202"/>
      <c r="Y335" s="197"/>
      <c r="Z335" s="203"/>
      <c r="AA335" s="204"/>
      <c r="AB335" s="205"/>
    </row>
    <row r="336" spans="1:28">
      <c r="A336" s="116"/>
      <c r="B336" s="116"/>
      <c r="C336" s="116"/>
      <c r="D336" s="3"/>
      <c r="E336" s="183"/>
      <c r="F336" s="183"/>
      <c r="G336" s="183"/>
      <c r="H336" s="183"/>
      <c r="I336" s="183"/>
      <c r="J336" s="183"/>
      <c r="K336" s="183"/>
      <c r="L336" s="183"/>
      <c r="M336" s="184"/>
      <c r="N336" s="184"/>
      <c r="O336" s="185"/>
      <c r="P336" s="186"/>
      <c r="Q336" s="186"/>
      <c r="R336" s="187"/>
      <c r="S336" s="187"/>
      <c r="T336" s="184"/>
      <c r="U336" s="184"/>
      <c r="V336" s="188"/>
      <c r="W336" s="189"/>
      <c r="X336" s="190"/>
      <c r="Y336" s="185"/>
      <c r="Z336" s="191"/>
      <c r="AA336" s="97"/>
      <c r="AB336" s="192"/>
    </row>
    <row r="337" spans="1:28">
      <c r="A337" s="116"/>
      <c r="B337" s="116"/>
      <c r="C337" s="116"/>
      <c r="D337" s="3"/>
      <c r="E337" s="183"/>
      <c r="F337" s="183"/>
      <c r="G337" s="183"/>
      <c r="H337" s="183"/>
      <c r="I337" s="183"/>
      <c r="J337" s="183"/>
      <c r="K337" s="183"/>
      <c r="L337" s="183"/>
      <c r="M337" s="184"/>
      <c r="N337" s="184"/>
      <c r="O337" s="185"/>
      <c r="P337" s="186"/>
      <c r="Q337" s="186"/>
      <c r="R337" s="187"/>
      <c r="S337" s="187"/>
      <c r="T337" s="184"/>
      <c r="U337" s="184"/>
      <c r="V337" s="188"/>
      <c r="W337" s="189"/>
      <c r="X337" s="190"/>
      <c r="Y337" s="185"/>
      <c r="Z337" s="191"/>
      <c r="AA337" s="97"/>
      <c r="AB337" s="192"/>
    </row>
    <row r="338" spans="1:28">
      <c r="A338" s="116"/>
      <c r="B338" s="116"/>
      <c r="C338" s="116"/>
      <c r="D338" s="3"/>
      <c r="E338" s="183"/>
      <c r="F338" s="183"/>
      <c r="G338" s="183"/>
      <c r="H338" s="183"/>
      <c r="I338" s="183"/>
      <c r="J338" s="183"/>
      <c r="K338" s="183"/>
      <c r="L338" s="183"/>
      <c r="M338" s="184"/>
      <c r="N338" s="184"/>
      <c r="O338" s="185"/>
      <c r="P338" s="186"/>
      <c r="Q338" s="186"/>
      <c r="R338" s="187"/>
      <c r="S338" s="187"/>
      <c r="T338" s="184"/>
      <c r="U338" s="184"/>
      <c r="V338" s="188"/>
      <c r="W338" s="189"/>
      <c r="X338" s="190"/>
      <c r="Y338" s="185"/>
      <c r="Z338" s="191"/>
      <c r="AA338" s="97"/>
      <c r="AB338" s="192"/>
    </row>
    <row r="339" spans="1:28">
      <c r="A339" s="116"/>
      <c r="B339" s="116"/>
      <c r="C339" s="116"/>
      <c r="D339" s="3"/>
      <c r="E339" s="183"/>
      <c r="F339" s="183"/>
      <c r="G339" s="183"/>
      <c r="H339" s="183"/>
      <c r="I339" s="183"/>
      <c r="J339" s="183"/>
      <c r="K339" s="183"/>
      <c r="L339" s="183"/>
      <c r="M339" s="184"/>
      <c r="N339" s="184"/>
      <c r="O339" s="185"/>
      <c r="P339" s="186"/>
      <c r="Q339" s="186"/>
      <c r="R339" s="187"/>
      <c r="S339" s="187"/>
      <c r="T339" s="184"/>
      <c r="U339" s="184"/>
      <c r="V339" s="188"/>
      <c r="W339" s="189"/>
      <c r="X339" s="190"/>
      <c r="Y339" s="185"/>
      <c r="Z339" s="191"/>
      <c r="AA339" s="97"/>
      <c r="AB339" s="192"/>
    </row>
    <row r="340" spans="1:28">
      <c r="A340" s="116"/>
      <c r="B340" s="116"/>
      <c r="C340" s="116"/>
      <c r="D340" s="3"/>
      <c r="E340" s="183"/>
      <c r="F340" s="183"/>
      <c r="G340" s="183"/>
      <c r="H340" s="183"/>
      <c r="I340" s="183"/>
      <c r="J340" s="183"/>
      <c r="K340" s="183"/>
      <c r="L340" s="183"/>
      <c r="M340" s="184"/>
      <c r="N340" s="184"/>
      <c r="O340" s="185"/>
      <c r="P340" s="186"/>
      <c r="Q340" s="186"/>
      <c r="R340" s="187"/>
      <c r="S340" s="187"/>
      <c r="T340" s="184"/>
      <c r="U340" s="184"/>
      <c r="V340" s="188"/>
      <c r="W340" s="189"/>
      <c r="X340" s="190"/>
      <c r="Y340" s="185"/>
      <c r="Z340" s="191"/>
      <c r="AA340" s="97"/>
      <c r="AB340" s="192"/>
    </row>
    <row r="341" spans="1:28">
      <c r="A341" s="116"/>
      <c r="B341" s="116"/>
      <c r="C341" s="116"/>
      <c r="D341" s="3"/>
      <c r="E341" s="183"/>
      <c r="F341" s="183"/>
      <c r="G341" s="183"/>
      <c r="H341" s="183"/>
      <c r="I341" s="183"/>
      <c r="J341" s="183"/>
      <c r="K341" s="183"/>
      <c r="L341" s="183"/>
      <c r="M341" s="184"/>
      <c r="N341" s="184"/>
      <c r="O341" s="185"/>
      <c r="P341" s="186"/>
      <c r="Q341" s="186"/>
      <c r="R341" s="187"/>
      <c r="S341" s="187"/>
      <c r="T341" s="184"/>
      <c r="U341" s="184"/>
      <c r="V341" s="188"/>
      <c r="W341" s="189"/>
      <c r="X341" s="190"/>
      <c r="Y341" s="185"/>
      <c r="Z341" s="191"/>
      <c r="AA341" s="97"/>
      <c r="AB341" s="192"/>
    </row>
    <row r="342" spans="1:28">
      <c r="A342" s="116"/>
      <c r="B342" s="116"/>
      <c r="C342" s="116"/>
      <c r="D342" s="3"/>
      <c r="E342" s="183"/>
      <c r="F342" s="183"/>
      <c r="G342" s="183"/>
      <c r="H342" s="183"/>
      <c r="I342" s="183"/>
      <c r="J342" s="183"/>
      <c r="K342" s="183"/>
      <c r="L342" s="183"/>
      <c r="M342" s="184"/>
      <c r="N342" s="184"/>
      <c r="O342" s="185"/>
      <c r="P342" s="186"/>
      <c r="Q342" s="186"/>
      <c r="R342" s="187"/>
      <c r="S342" s="187"/>
      <c r="T342" s="184"/>
      <c r="U342" s="184"/>
      <c r="V342" s="188"/>
      <c r="W342" s="189"/>
      <c r="X342" s="190"/>
      <c r="Y342" s="185"/>
      <c r="Z342" s="191"/>
      <c r="AA342" s="97"/>
      <c r="AB342" s="192"/>
    </row>
    <row r="343" spans="1:28">
      <c r="A343" s="116"/>
      <c r="B343" s="116"/>
      <c r="C343" s="116"/>
      <c r="D343" s="3"/>
      <c r="E343" s="183"/>
      <c r="F343" s="183"/>
      <c r="G343" s="183"/>
      <c r="H343" s="183"/>
      <c r="I343" s="183"/>
      <c r="J343" s="183"/>
      <c r="K343" s="183"/>
      <c r="L343" s="183"/>
      <c r="M343" s="184"/>
      <c r="N343" s="184"/>
      <c r="O343" s="185"/>
      <c r="P343" s="186"/>
      <c r="Q343" s="186"/>
      <c r="R343" s="187"/>
      <c r="S343" s="187"/>
      <c r="T343" s="184"/>
      <c r="U343" s="184"/>
      <c r="V343" s="188"/>
      <c r="W343" s="189"/>
      <c r="X343" s="190"/>
      <c r="Y343" s="185"/>
      <c r="Z343" s="191"/>
      <c r="AA343" s="97"/>
      <c r="AB343" s="192"/>
    </row>
    <row r="344" spans="1:28">
      <c r="A344" s="116"/>
      <c r="B344" s="116"/>
      <c r="C344" s="116"/>
      <c r="D344" s="3"/>
      <c r="E344" s="183"/>
      <c r="F344" s="183"/>
      <c r="G344" s="183"/>
      <c r="H344" s="183"/>
      <c r="I344" s="183"/>
      <c r="J344" s="183"/>
      <c r="K344" s="183"/>
      <c r="L344" s="183"/>
      <c r="M344" s="184"/>
      <c r="N344" s="184"/>
      <c r="O344" s="185"/>
      <c r="P344" s="186"/>
      <c r="Q344" s="186"/>
      <c r="R344" s="187"/>
      <c r="S344" s="187"/>
      <c r="T344" s="184"/>
      <c r="U344" s="184"/>
      <c r="V344" s="188"/>
      <c r="W344" s="189"/>
      <c r="X344" s="190"/>
      <c r="Y344" s="185"/>
      <c r="Z344" s="191"/>
      <c r="AA344" s="97"/>
      <c r="AB344" s="192"/>
    </row>
    <row r="345" spans="1:28">
      <c r="A345" s="116"/>
      <c r="B345" s="116"/>
      <c r="C345" s="116"/>
      <c r="D345" s="3"/>
      <c r="E345" s="183"/>
      <c r="F345" s="183"/>
      <c r="G345" s="183"/>
      <c r="H345" s="183"/>
      <c r="I345" s="183"/>
      <c r="J345" s="183"/>
      <c r="K345" s="183"/>
      <c r="L345" s="183"/>
      <c r="M345" s="184"/>
      <c r="N345" s="184"/>
      <c r="O345" s="185"/>
      <c r="P345" s="186"/>
      <c r="Q345" s="186"/>
      <c r="R345" s="187"/>
      <c r="S345" s="187"/>
      <c r="T345" s="184"/>
      <c r="U345" s="184"/>
      <c r="V345" s="188"/>
      <c r="W345" s="189"/>
      <c r="X345" s="190"/>
      <c r="Y345" s="185"/>
      <c r="Z345" s="191"/>
      <c r="AA345" s="97"/>
      <c r="AB345" s="192"/>
    </row>
    <row r="346" spans="1:28">
      <c r="A346" s="116"/>
      <c r="B346" s="116"/>
      <c r="C346" s="116"/>
      <c r="D346" s="3"/>
      <c r="E346" s="183"/>
      <c r="F346" s="183"/>
      <c r="G346" s="183"/>
      <c r="H346" s="183"/>
      <c r="I346" s="183"/>
      <c r="J346" s="183"/>
      <c r="K346" s="183"/>
      <c r="L346" s="183"/>
      <c r="M346" s="184"/>
      <c r="N346" s="184"/>
      <c r="O346" s="185"/>
      <c r="P346" s="186"/>
      <c r="Q346" s="186"/>
      <c r="R346" s="187"/>
      <c r="S346" s="187"/>
      <c r="T346" s="184"/>
      <c r="U346" s="184"/>
      <c r="V346" s="188"/>
      <c r="W346" s="189"/>
      <c r="X346" s="190"/>
      <c r="Y346" s="185"/>
      <c r="Z346" s="191"/>
      <c r="AA346" s="97"/>
      <c r="AB346" s="192"/>
    </row>
    <row r="347" spans="1:28">
      <c r="A347" s="116"/>
      <c r="B347" s="116"/>
      <c r="C347" s="116"/>
      <c r="D347" s="3"/>
      <c r="E347" s="183"/>
      <c r="F347" s="183"/>
      <c r="G347" s="183"/>
      <c r="H347" s="183"/>
      <c r="I347" s="183"/>
      <c r="J347" s="183"/>
      <c r="K347" s="183"/>
      <c r="L347" s="183"/>
      <c r="M347" s="184"/>
      <c r="N347" s="184"/>
      <c r="O347" s="185"/>
      <c r="P347" s="186"/>
      <c r="Q347" s="186"/>
      <c r="R347" s="187"/>
      <c r="S347" s="187"/>
      <c r="T347" s="184"/>
      <c r="U347" s="184"/>
      <c r="V347" s="188"/>
      <c r="W347" s="189"/>
      <c r="X347" s="190"/>
      <c r="Y347" s="185"/>
      <c r="Z347" s="191"/>
      <c r="AA347" s="97"/>
      <c r="AB347" s="192"/>
    </row>
    <row r="348" spans="1:28">
      <c r="A348" s="116"/>
      <c r="B348" s="116"/>
      <c r="C348" s="116"/>
      <c r="D348" s="3"/>
      <c r="E348" s="183"/>
      <c r="F348" s="183"/>
      <c r="G348" s="183"/>
      <c r="H348" s="183"/>
      <c r="I348" s="183"/>
      <c r="J348" s="183"/>
      <c r="K348" s="183"/>
      <c r="L348" s="183"/>
      <c r="M348" s="184"/>
      <c r="N348" s="184"/>
      <c r="O348" s="185"/>
      <c r="P348" s="186"/>
      <c r="Q348" s="186"/>
      <c r="R348" s="187"/>
      <c r="S348" s="187"/>
      <c r="T348" s="184"/>
      <c r="U348" s="184"/>
      <c r="V348" s="188"/>
      <c r="W348" s="189"/>
      <c r="X348" s="190"/>
      <c r="Y348" s="185"/>
      <c r="Z348" s="191"/>
      <c r="AA348" s="97"/>
      <c r="AB348" s="192"/>
    </row>
    <row r="349" spans="1:28">
      <c r="A349" s="116"/>
      <c r="B349" s="116"/>
      <c r="C349" s="116"/>
      <c r="D349" s="3"/>
      <c r="E349" s="183"/>
      <c r="F349" s="183"/>
      <c r="G349" s="183"/>
      <c r="H349" s="183"/>
      <c r="I349" s="183"/>
      <c r="J349" s="183"/>
      <c r="K349" s="183"/>
      <c r="L349" s="183"/>
      <c r="M349" s="184"/>
      <c r="N349" s="184"/>
      <c r="O349" s="185"/>
      <c r="P349" s="186"/>
      <c r="Q349" s="186"/>
      <c r="R349" s="187"/>
      <c r="S349" s="187"/>
      <c r="T349" s="184"/>
      <c r="U349" s="184"/>
      <c r="V349" s="188"/>
      <c r="W349" s="189"/>
      <c r="X349" s="190"/>
      <c r="Y349" s="185"/>
      <c r="Z349" s="191"/>
      <c r="AA349" s="97"/>
      <c r="AB349" s="192"/>
    </row>
    <row r="350" spans="1:28">
      <c r="A350" s="116"/>
      <c r="B350" s="116"/>
      <c r="C350" s="116"/>
      <c r="D350" s="3"/>
      <c r="E350" s="183"/>
      <c r="F350" s="183"/>
      <c r="G350" s="183"/>
      <c r="H350" s="183"/>
      <c r="I350" s="183"/>
      <c r="J350" s="183"/>
      <c r="K350" s="183"/>
      <c r="L350" s="183"/>
      <c r="M350" s="184"/>
      <c r="N350" s="184"/>
      <c r="O350" s="185"/>
      <c r="P350" s="186"/>
      <c r="Q350" s="186"/>
      <c r="R350" s="187"/>
      <c r="S350" s="187"/>
      <c r="T350" s="184"/>
      <c r="U350" s="184"/>
      <c r="V350" s="188"/>
      <c r="W350" s="189"/>
      <c r="X350" s="190"/>
      <c r="Y350" s="185"/>
      <c r="Z350" s="191"/>
      <c r="AA350" s="97"/>
      <c r="AB350" s="192"/>
    </row>
    <row r="351" spans="1:28">
      <c r="A351" s="116"/>
      <c r="B351" s="116"/>
      <c r="C351" s="116"/>
      <c r="D351" s="3"/>
      <c r="E351" s="183"/>
      <c r="F351" s="183"/>
      <c r="G351" s="183"/>
      <c r="H351" s="183"/>
      <c r="I351" s="183"/>
      <c r="J351" s="183"/>
      <c r="K351" s="183"/>
      <c r="L351" s="183"/>
      <c r="M351" s="184"/>
      <c r="N351" s="184"/>
      <c r="O351" s="185"/>
      <c r="P351" s="186"/>
      <c r="Q351" s="186"/>
      <c r="R351" s="187"/>
      <c r="S351" s="187"/>
      <c r="T351" s="184"/>
      <c r="U351" s="184"/>
      <c r="V351" s="188"/>
      <c r="W351" s="189"/>
      <c r="X351" s="190"/>
      <c r="Y351" s="185"/>
      <c r="Z351" s="191"/>
      <c r="AA351" s="97"/>
      <c r="AB351" s="192"/>
    </row>
    <row r="352" spans="1:28">
      <c r="A352" s="116"/>
      <c r="B352" s="116"/>
      <c r="C352" s="116"/>
      <c r="D352" s="3"/>
      <c r="E352" s="183"/>
      <c r="F352" s="183"/>
      <c r="G352" s="183"/>
      <c r="H352" s="183"/>
      <c r="I352" s="183"/>
      <c r="J352" s="183"/>
      <c r="K352" s="183"/>
      <c r="L352" s="183"/>
      <c r="M352" s="184"/>
      <c r="N352" s="184"/>
      <c r="O352" s="185"/>
      <c r="P352" s="186"/>
      <c r="Q352" s="186"/>
      <c r="R352" s="187"/>
      <c r="S352" s="187"/>
      <c r="T352" s="184"/>
      <c r="U352" s="184"/>
      <c r="V352" s="188"/>
      <c r="W352" s="189"/>
      <c r="X352" s="190"/>
      <c r="Y352" s="185"/>
      <c r="Z352" s="191"/>
      <c r="AA352" s="97"/>
      <c r="AB352" s="192"/>
    </row>
    <row r="353" spans="1:28">
      <c r="A353" s="116"/>
      <c r="B353" s="116"/>
      <c r="C353" s="116"/>
      <c r="D353" s="3"/>
      <c r="E353" s="183"/>
      <c r="F353" s="183"/>
      <c r="G353" s="183"/>
      <c r="H353" s="183"/>
      <c r="I353" s="183"/>
      <c r="J353" s="183"/>
      <c r="K353" s="183"/>
      <c r="L353" s="183"/>
      <c r="M353" s="184"/>
      <c r="N353" s="184"/>
      <c r="O353" s="185"/>
      <c r="P353" s="186"/>
      <c r="Q353" s="186"/>
      <c r="R353" s="187"/>
      <c r="S353" s="187"/>
      <c r="T353" s="184"/>
      <c r="U353" s="184"/>
      <c r="V353" s="188"/>
      <c r="W353" s="189"/>
      <c r="X353" s="190"/>
      <c r="Y353" s="185"/>
      <c r="Z353" s="191"/>
      <c r="AA353" s="97"/>
      <c r="AB353" s="192"/>
    </row>
    <row r="354" spans="1:28">
      <c r="A354" s="116"/>
      <c r="B354" s="116"/>
      <c r="C354" s="116"/>
      <c r="D354" s="3"/>
      <c r="E354" s="183"/>
      <c r="F354" s="183"/>
      <c r="G354" s="183"/>
      <c r="H354" s="183"/>
      <c r="I354" s="183"/>
      <c r="J354" s="183"/>
      <c r="K354" s="183"/>
      <c r="L354" s="183"/>
      <c r="M354" s="184"/>
      <c r="N354" s="184"/>
      <c r="O354" s="185"/>
      <c r="P354" s="186"/>
      <c r="Q354" s="186"/>
      <c r="R354" s="187"/>
      <c r="S354" s="187"/>
      <c r="T354" s="184"/>
      <c r="U354" s="184"/>
      <c r="V354" s="188"/>
      <c r="W354" s="189"/>
      <c r="X354" s="190"/>
      <c r="Y354" s="185"/>
      <c r="Z354" s="191"/>
      <c r="AA354" s="97"/>
      <c r="AB354" s="192"/>
    </row>
    <row r="355" spans="1:28">
      <c r="A355" s="116"/>
      <c r="B355" s="116"/>
      <c r="C355" s="116"/>
      <c r="D355" s="3"/>
      <c r="E355" s="183"/>
      <c r="F355" s="183"/>
      <c r="G355" s="183"/>
      <c r="H355" s="183"/>
      <c r="I355" s="183"/>
      <c r="J355" s="183"/>
      <c r="K355" s="183"/>
      <c r="L355" s="183"/>
      <c r="M355" s="184"/>
      <c r="N355" s="184"/>
      <c r="O355" s="185"/>
      <c r="P355" s="186"/>
      <c r="Q355" s="186"/>
      <c r="R355" s="187"/>
      <c r="S355" s="187"/>
      <c r="T355" s="184"/>
      <c r="U355" s="184"/>
      <c r="V355" s="188"/>
      <c r="W355" s="189"/>
      <c r="X355" s="190"/>
      <c r="Y355" s="185"/>
      <c r="Z355" s="191"/>
      <c r="AA355" s="97"/>
      <c r="AB355" s="192"/>
    </row>
    <row r="356" spans="1:28">
      <c r="A356" s="116"/>
      <c r="B356" s="116"/>
      <c r="C356" s="116"/>
      <c r="D356" s="3"/>
      <c r="E356" s="183"/>
      <c r="F356" s="183"/>
      <c r="G356" s="183"/>
      <c r="H356" s="183"/>
      <c r="I356" s="183"/>
      <c r="J356" s="183"/>
      <c r="K356" s="183"/>
      <c r="L356" s="183"/>
      <c r="M356" s="184"/>
      <c r="N356" s="184"/>
      <c r="O356" s="185"/>
      <c r="P356" s="186"/>
      <c r="Q356" s="186"/>
      <c r="R356" s="187"/>
      <c r="S356" s="187"/>
      <c r="T356" s="184"/>
      <c r="U356" s="184"/>
      <c r="V356" s="188"/>
      <c r="W356" s="189"/>
      <c r="X356" s="190"/>
      <c r="Y356" s="185"/>
      <c r="Z356" s="191"/>
      <c r="AA356" s="97"/>
      <c r="AB356" s="192"/>
    </row>
    <row r="357" spans="1:28">
      <c r="A357" s="116"/>
      <c r="B357" s="116"/>
      <c r="C357" s="116"/>
      <c r="D357" s="3"/>
      <c r="E357" s="183"/>
      <c r="F357" s="183"/>
      <c r="G357" s="183"/>
      <c r="H357" s="183"/>
      <c r="I357" s="183"/>
      <c r="J357" s="183"/>
      <c r="K357" s="183"/>
      <c r="L357" s="183"/>
      <c r="M357" s="184"/>
      <c r="N357" s="184"/>
      <c r="O357" s="185"/>
      <c r="P357" s="186"/>
      <c r="Q357" s="186"/>
      <c r="R357" s="187"/>
      <c r="S357" s="187"/>
      <c r="T357" s="184"/>
      <c r="U357" s="184"/>
      <c r="V357" s="188"/>
      <c r="W357" s="189"/>
      <c r="X357" s="190"/>
      <c r="Y357" s="185"/>
      <c r="Z357" s="191"/>
      <c r="AA357" s="97"/>
      <c r="AB357" s="192"/>
    </row>
    <row r="358" spans="1:28">
      <c r="A358" s="116"/>
      <c r="B358" s="116"/>
      <c r="C358" s="116"/>
      <c r="D358" s="3"/>
      <c r="E358" s="183"/>
      <c r="F358" s="183"/>
      <c r="G358" s="183"/>
      <c r="H358" s="183"/>
      <c r="I358" s="183"/>
      <c r="J358" s="183"/>
      <c r="K358" s="183"/>
      <c r="L358" s="183"/>
      <c r="M358" s="184"/>
      <c r="N358" s="184"/>
      <c r="O358" s="185"/>
      <c r="P358" s="186"/>
      <c r="Q358" s="186"/>
      <c r="R358" s="187"/>
      <c r="S358" s="187"/>
      <c r="T358" s="184"/>
      <c r="U358" s="184"/>
      <c r="V358" s="188"/>
      <c r="W358" s="189"/>
      <c r="X358" s="190"/>
      <c r="Y358" s="185"/>
      <c r="Z358" s="191"/>
      <c r="AA358" s="97"/>
      <c r="AB358" s="192"/>
    </row>
    <row r="359" spans="1:28">
      <c r="A359" s="116"/>
      <c r="B359" s="116"/>
      <c r="C359" s="116"/>
      <c r="D359" s="3"/>
      <c r="E359" s="183"/>
      <c r="F359" s="183"/>
      <c r="G359" s="183"/>
      <c r="H359" s="183"/>
      <c r="I359" s="183"/>
      <c r="J359" s="183"/>
      <c r="K359" s="183"/>
      <c r="L359" s="183"/>
      <c r="M359" s="184"/>
      <c r="N359" s="184"/>
      <c r="O359" s="185"/>
      <c r="P359" s="186"/>
      <c r="Q359" s="186"/>
      <c r="R359" s="187"/>
      <c r="S359" s="187"/>
      <c r="T359" s="184"/>
      <c r="U359" s="184"/>
      <c r="V359" s="188"/>
      <c r="W359" s="189"/>
      <c r="X359" s="190"/>
      <c r="Y359" s="185"/>
      <c r="Z359" s="191"/>
      <c r="AA359" s="97"/>
      <c r="AB359" s="192"/>
    </row>
    <row r="360" spans="1:28">
      <c r="A360" s="116"/>
      <c r="B360" s="116"/>
      <c r="C360" s="116"/>
      <c r="D360" s="3"/>
      <c r="E360" s="183"/>
      <c r="F360" s="183"/>
      <c r="G360" s="183"/>
      <c r="H360" s="183"/>
      <c r="I360" s="183"/>
      <c r="J360" s="183"/>
      <c r="K360" s="183"/>
      <c r="L360" s="183"/>
      <c r="M360" s="184"/>
      <c r="N360" s="184"/>
      <c r="O360" s="185"/>
      <c r="P360" s="186"/>
      <c r="Q360" s="186"/>
      <c r="R360" s="187"/>
      <c r="S360" s="187"/>
      <c r="T360" s="184"/>
      <c r="U360" s="184"/>
      <c r="V360" s="188"/>
      <c r="W360" s="189"/>
      <c r="X360" s="190"/>
      <c r="Y360" s="185"/>
      <c r="Z360" s="191"/>
      <c r="AA360" s="97"/>
      <c r="AB360" s="192"/>
    </row>
    <row r="361" spans="1:28">
      <c r="A361" s="116"/>
      <c r="B361" s="116"/>
      <c r="C361" s="116"/>
      <c r="D361" s="3"/>
      <c r="E361" s="183"/>
      <c r="F361" s="183"/>
      <c r="G361" s="183"/>
      <c r="H361" s="183"/>
      <c r="I361" s="183"/>
      <c r="J361" s="183"/>
      <c r="K361" s="183"/>
      <c r="L361" s="183"/>
      <c r="M361" s="184"/>
      <c r="N361" s="184"/>
      <c r="O361" s="185"/>
      <c r="P361" s="186"/>
      <c r="Q361" s="186"/>
      <c r="R361" s="187"/>
      <c r="S361" s="187"/>
      <c r="T361" s="184"/>
      <c r="U361" s="184"/>
      <c r="V361" s="188"/>
      <c r="W361" s="189"/>
      <c r="X361" s="190"/>
      <c r="Y361" s="185"/>
      <c r="Z361" s="191"/>
      <c r="AA361" s="97"/>
      <c r="AB361" s="192"/>
    </row>
    <row r="362" spans="1:28">
      <c r="A362" s="116"/>
      <c r="B362" s="116"/>
      <c r="C362" s="116"/>
      <c r="D362" s="3"/>
      <c r="E362" s="183"/>
      <c r="F362" s="183"/>
      <c r="G362" s="183"/>
      <c r="H362" s="183"/>
      <c r="I362" s="183"/>
      <c r="J362" s="183"/>
      <c r="K362" s="183"/>
      <c r="L362" s="183"/>
      <c r="M362" s="184"/>
      <c r="N362" s="184"/>
      <c r="O362" s="185"/>
      <c r="P362" s="186"/>
      <c r="Q362" s="186"/>
      <c r="R362" s="187"/>
      <c r="S362" s="187"/>
      <c r="T362" s="184"/>
      <c r="U362" s="184"/>
      <c r="V362" s="188"/>
      <c r="W362" s="189"/>
      <c r="X362" s="190"/>
      <c r="Y362" s="185"/>
      <c r="Z362" s="191"/>
      <c r="AA362" s="97"/>
      <c r="AB362" s="192"/>
    </row>
    <row r="363" spans="1:28">
      <c r="A363" s="116"/>
      <c r="B363" s="116"/>
      <c r="C363" s="116"/>
      <c r="D363" s="3"/>
      <c r="E363" s="183"/>
      <c r="F363" s="183"/>
      <c r="G363" s="183"/>
      <c r="H363" s="183"/>
      <c r="I363" s="183"/>
      <c r="J363" s="183"/>
      <c r="K363" s="183"/>
      <c r="L363" s="183"/>
      <c r="M363" s="184"/>
      <c r="N363" s="184"/>
      <c r="O363" s="185"/>
      <c r="P363" s="186"/>
      <c r="Q363" s="186"/>
      <c r="R363" s="187"/>
      <c r="S363" s="187"/>
      <c r="T363" s="184"/>
      <c r="U363" s="184"/>
      <c r="V363" s="188"/>
      <c r="W363" s="189"/>
      <c r="X363" s="190"/>
      <c r="Y363" s="185"/>
      <c r="Z363" s="191"/>
      <c r="AA363" s="97"/>
      <c r="AB363" s="192"/>
    </row>
    <row r="364" spans="1:28">
      <c r="A364" s="116"/>
      <c r="B364" s="116"/>
      <c r="C364" s="116"/>
      <c r="D364" s="3"/>
      <c r="E364" s="183"/>
      <c r="F364" s="183"/>
      <c r="G364" s="183"/>
      <c r="H364" s="183"/>
      <c r="I364" s="183"/>
      <c r="J364" s="183"/>
      <c r="K364" s="183"/>
      <c r="L364" s="183"/>
      <c r="M364" s="184"/>
      <c r="N364" s="184"/>
      <c r="O364" s="185"/>
      <c r="P364" s="186"/>
      <c r="Q364" s="186"/>
      <c r="R364" s="187"/>
      <c r="S364" s="187"/>
      <c r="T364" s="184"/>
      <c r="U364" s="184"/>
      <c r="V364" s="188"/>
      <c r="W364" s="189"/>
      <c r="X364" s="190"/>
      <c r="Y364" s="185"/>
      <c r="Z364" s="191"/>
      <c r="AA364" s="97"/>
      <c r="AB364" s="192"/>
    </row>
    <row r="365" spans="1:28">
      <c r="A365" s="169"/>
      <c r="B365" s="169"/>
      <c r="C365" s="169"/>
      <c r="D365" s="170"/>
      <c r="E365" s="171"/>
      <c r="F365" s="171"/>
      <c r="G365" s="171"/>
      <c r="H365" s="171"/>
      <c r="I365" s="171"/>
      <c r="J365" s="171"/>
      <c r="K365" s="171"/>
      <c r="L365" s="171"/>
      <c r="M365" s="172"/>
      <c r="N365" s="172"/>
      <c r="O365" s="173"/>
      <c r="P365" s="174"/>
      <c r="Q365" s="174"/>
      <c r="R365" s="175"/>
      <c r="S365" s="175"/>
      <c r="T365" s="172"/>
      <c r="U365" s="172"/>
      <c r="V365" s="176"/>
      <c r="W365" s="177"/>
      <c r="X365" s="178"/>
      <c r="Y365" s="173"/>
      <c r="Z365" s="179"/>
      <c r="AA365" s="180"/>
      <c r="AB365" s="181"/>
    </row>
  </sheetData>
  <sheetProtection formatCells="0" formatColumns="0" formatRows="0" insertColumns="0" insertRows="0" insertHyperlinks="0" deleteColumns="0" deleteRows="0" sort="0" autoFilter="0" pivotTables="0"/>
  <dataConsolidate/>
  <mergeCells count="38">
    <mergeCell ref="AC3:AF3"/>
    <mergeCell ref="Q3:Q4"/>
    <mergeCell ref="R3:R4"/>
    <mergeCell ref="S3:S4"/>
    <mergeCell ref="Y3:Y4"/>
    <mergeCell ref="AB3:AB4"/>
    <mergeCell ref="T3:T4"/>
    <mergeCell ref="U3:U4"/>
    <mergeCell ref="V3:V4"/>
    <mergeCell ref="W3:W4"/>
    <mergeCell ref="X3:X4"/>
    <mergeCell ref="AA3:AA4"/>
    <mergeCell ref="AC1:CA1"/>
    <mergeCell ref="AG3:AJ3"/>
    <mergeCell ref="AK3:AN3"/>
    <mergeCell ref="A3:A4"/>
    <mergeCell ref="B3:B4"/>
    <mergeCell ref="C3:C4"/>
    <mergeCell ref="D3:D4"/>
    <mergeCell ref="E3:K4"/>
    <mergeCell ref="D2:F2"/>
    <mergeCell ref="L3:L4"/>
    <mergeCell ref="M3:M4"/>
    <mergeCell ref="N3:N4"/>
    <mergeCell ref="Z3:Z4"/>
    <mergeCell ref="O3:O4"/>
    <mergeCell ref="P3:P4"/>
    <mergeCell ref="AO3:AR3"/>
    <mergeCell ref="AS3:AV3"/>
    <mergeCell ref="AW3:AZ3"/>
    <mergeCell ref="BA3:BD3"/>
    <mergeCell ref="BE3:BH3"/>
    <mergeCell ref="BI3:BL3"/>
    <mergeCell ref="BM3:BP3"/>
    <mergeCell ref="BQ3:BT3"/>
    <mergeCell ref="BU3:BX3"/>
    <mergeCell ref="BY3:CB3"/>
    <mergeCell ref="CC3:CF3"/>
  </mergeCells>
  <phoneticPr fontId="8" type="noConversion"/>
  <conditionalFormatting sqref="D5:AB121">
    <cfRule type="expression" dxfId="1" priority="2">
      <formula>($B5="G")</formula>
    </cfRule>
    <cfRule type="expression" dxfId="0" priority="1">
      <formula>($AB5=1)</formula>
    </cfRule>
  </conditionalFormatting>
  <hyperlinks>
    <hyperlink ref="AC1:CA1" r:id="rId1" display="http://xlworks.net/" xr:uid="{35B7BD47-8AC2-406D-9016-DCA8C3F3BA5F}"/>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activeCell="E5" sqref="E5"/>
      <selection pane="bottomLeft" activeCell="D31" sqref="D31"/>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1138</v>
      </c>
      <c r="B1" s="18"/>
      <c r="C1" s="18"/>
      <c r="D1" s="18"/>
      <c r="E1" s="18"/>
      <c r="F1" s="18"/>
      <c r="G1" s="18"/>
      <c r="H1" s="18"/>
      <c r="I1" s="18"/>
      <c r="J1" s="18"/>
      <c r="K1" s="18"/>
      <c r="L1" s="243"/>
      <c r="M1" s="244"/>
      <c r="N1" s="244"/>
      <c r="O1" s="19"/>
      <c r="P1" s="19"/>
      <c r="Q1" s="19"/>
    </row>
    <row r="2" spans="1:17" s="23" customFormat="1" ht="13.8">
      <c r="A2" s="21" t="s">
        <v>1072</v>
      </c>
      <c r="B2" s="22"/>
    </row>
    <row r="3" spans="1:17" s="23" customFormat="1" ht="13.8">
      <c r="A3" s="21" t="s">
        <v>1073</v>
      </c>
      <c r="B3" s="22"/>
    </row>
    <row r="4" spans="1:17" s="23" customFormat="1" ht="13.8">
      <c r="A4" s="245"/>
      <c r="B4" s="245"/>
      <c r="C4" s="24"/>
      <c r="D4" s="25"/>
      <c r="E4" s="25"/>
      <c r="F4" s="25"/>
    </row>
    <row r="5" spans="1:17" s="31" customFormat="1" ht="13.8">
      <c r="A5" s="26"/>
      <c r="B5" s="27"/>
      <c r="C5" s="28"/>
      <c r="D5" s="29"/>
      <c r="E5" s="30"/>
      <c r="F5" s="30"/>
      <c r="G5" s="30"/>
    </row>
    <row r="6" spans="1:17" s="31" customFormat="1" ht="13.8">
      <c r="A6" s="32" t="s">
        <v>1074</v>
      </c>
      <c r="B6" s="33">
        <v>63</v>
      </c>
      <c r="C6" s="31" t="s">
        <v>1</v>
      </c>
      <c r="D6" s="242" t="s">
        <v>1075</v>
      </c>
      <c r="E6" s="242"/>
      <c r="F6" s="242"/>
      <c r="G6" s="242"/>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1076</v>
      </c>
      <c r="B9" s="33">
        <v>41</v>
      </c>
      <c r="C9" s="31" t="s">
        <v>1</v>
      </c>
      <c r="D9" s="241" t="s">
        <v>1077</v>
      </c>
      <c r="E9" s="241"/>
      <c r="F9" s="241"/>
      <c r="G9" s="241"/>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1071</v>
      </c>
      <c r="B12" s="33">
        <v>18</v>
      </c>
      <c r="C12" s="31" t="s">
        <v>1</v>
      </c>
      <c r="D12" s="241" t="s">
        <v>1120</v>
      </c>
      <c r="E12" s="241"/>
      <c r="F12" s="241"/>
      <c r="G12" s="241"/>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1071</v>
      </c>
      <c r="B15" s="33"/>
      <c r="C15" s="31" t="s">
        <v>1</v>
      </c>
      <c r="D15" s="241" t="s">
        <v>1078</v>
      </c>
      <c r="E15" s="241"/>
      <c r="F15" s="241"/>
      <c r="G15" s="241"/>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1079</v>
      </c>
      <c r="B18" s="55">
        <v>0.65079365079365081</v>
      </c>
      <c r="D18" s="241" t="s">
        <v>1080</v>
      </c>
      <c r="E18" s="241"/>
      <c r="F18" s="241"/>
      <c r="G18" s="241"/>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1081</v>
      </c>
      <c r="B21" s="55">
        <v>0.2857142857142857</v>
      </c>
      <c r="D21" s="241" t="s">
        <v>1082</v>
      </c>
      <c r="E21" s="241"/>
      <c r="F21" s="241"/>
      <c r="G21" s="241"/>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1083</v>
      </c>
      <c r="B24" s="65">
        <f>ACTUAL_RATE-PLANNED_RATE</f>
        <v>-0.36507936507936511</v>
      </c>
      <c r="D24" s="242" t="s">
        <v>1084</v>
      </c>
      <c r="E24" s="242"/>
      <c r="F24" s="242"/>
      <c r="G24" s="242"/>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211" customWidth="1"/>
    <col min="2" max="3" width="10.59765625" style="211" bestFit="1" customWidth="1"/>
    <col min="4" max="4" width="9.09765625" style="211"/>
    <col min="5" max="5" width="10.59765625" style="211" customWidth="1"/>
    <col min="6" max="16384" width="9.09765625" style="211"/>
  </cols>
  <sheetData>
    <row r="1" spans="2:6" ht="36.9" customHeight="1">
      <c r="B1" s="78" t="s">
        <v>1114</v>
      </c>
    </row>
    <row r="2" spans="2:6">
      <c r="B2" s="211" t="s">
        <v>1115</v>
      </c>
    </row>
    <row r="3" spans="2:6">
      <c r="B3" s="211" t="s">
        <v>1116</v>
      </c>
    </row>
    <row r="6" spans="2:6" ht="28.8">
      <c r="B6" s="79" t="s">
        <v>1085</v>
      </c>
      <c r="C6" s="182" t="s">
        <v>1086</v>
      </c>
      <c r="D6" s="182" t="s">
        <v>2</v>
      </c>
      <c r="E6" s="182" t="s">
        <v>1117</v>
      </c>
      <c r="F6" s="210" t="s">
        <v>1118</v>
      </c>
    </row>
    <row r="7" spans="2:6">
      <c r="B7" s="206">
        <v>43375</v>
      </c>
      <c r="C7" s="206">
        <v>43379</v>
      </c>
      <c r="D7" s="207">
        <v>1</v>
      </c>
      <c r="E7" s="207">
        <f>D7</f>
        <v>1</v>
      </c>
      <c r="F7" s="212">
        <f t="shared" ref="F7:F28" si="0">E7/$D$29</f>
        <v>3.8022813688212928E-3</v>
      </c>
    </row>
    <row r="8" spans="2:6">
      <c r="B8" s="208">
        <v>43380</v>
      </c>
      <c r="C8" s="208">
        <v>43386</v>
      </c>
      <c r="D8" s="209">
        <v>10</v>
      </c>
      <c r="E8" s="209">
        <f>E7+D8</f>
        <v>11</v>
      </c>
      <c r="F8" s="213">
        <f t="shared" si="0"/>
        <v>4.1825095057034217E-2</v>
      </c>
    </row>
    <row r="9" spans="2:6">
      <c r="B9" s="208">
        <v>43387</v>
      </c>
      <c r="C9" s="208">
        <v>43393</v>
      </c>
      <c r="D9" s="209">
        <v>15</v>
      </c>
      <c r="E9" s="209">
        <f t="shared" ref="E9:E28" si="1">E8+D9</f>
        <v>26</v>
      </c>
      <c r="F9" s="213">
        <f t="shared" si="0"/>
        <v>9.8859315589353611E-2</v>
      </c>
    </row>
    <row r="10" spans="2:6">
      <c r="B10" s="208">
        <v>43394</v>
      </c>
      <c r="C10" s="208">
        <v>43400</v>
      </c>
      <c r="D10" s="209">
        <v>10</v>
      </c>
      <c r="E10" s="209">
        <f t="shared" si="1"/>
        <v>36</v>
      </c>
      <c r="F10" s="213">
        <f t="shared" si="0"/>
        <v>0.13688212927756654</v>
      </c>
    </row>
    <row r="11" spans="2:6">
      <c r="B11" s="208">
        <v>43401</v>
      </c>
      <c r="C11" s="208">
        <v>43407</v>
      </c>
      <c r="D11" s="209">
        <v>9</v>
      </c>
      <c r="E11" s="209">
        <f t="shared" si="1"/>
        <v>45</v>
      </c>
      <c r="F11" s="213">
        <f t="shared" si="0"/>
        <v>0.17110266159695817</v>
      </c>
    </row>
    <row r="12" spans="2:6">
      <c r="B12" s="208">
        <v>43408</v>
      </c>
      <c r="C12" s="208">
        <v>43414</v>
      </c>
      <c r="D12" s="209">
        <v>12</v>
      </c>
      <c r="E12" s="209">
        <f t="shared" si="1"/>
        <v>57</v>
      </c>
      <c r="F12" s="213">
        <f t="shared" si="0"/>
        <v>0.21673003802281368</v>
      </c>
    </row>
    <row r="13" spans="2:6">
      <c r="B13" s="208">
        <v>43415</v>
      </c>
      <c r="C13" s="208">
        <v>43421</v>
      </c>
      <c r="D13" s="209">
        <v>14</v>
      </c>
      <c r="E13" s="209">
        <f t="shared" si="1"/>
        <v>71</v>
      </c>
      <c r="F13" s="213">
        <f t="shared" si="0"/>
        <v>0.26996197718631176</v>
      </c>
    </row>
    <row r="14" spans="2:6">
      <c r="B14" s="208">
        <v>43422</v>
      </c>
      <c r="C14" s="208">
        <v>43428</v>
      </c>
      <c r="D14" s="209">
        <v>7</v>
      </c>
      <c r="E14" s="209">
        <f t="shared" si="1"/>
        <v>78</v>
      </c>
      <c r="F14" s="213">
        <f t="shared" si="0"/>
        <v>0.29657794676806082</v>
      </c>
    </row>
    <row r="15" spans="2:6">
      <c r="B15" s="208">
        <v>43429</v>
      </c>
      <c r="C15" s="208">
        <v>43435</v>
      </c>
      <c r="D15" s="209">
        <v>8</v>
      </c>
      <c r="E15" s="209">
        <f t="shared" si="1"/>
        <v>86</v>
      </c>
      <c r="F15" s="213">
        <f t="shared" si="0"/>
        <v>0.3269961977186312</v>
      </c>
    </row>
    <row r="16" spans="2:6">
      <c r="B16" s="208">
        <v>43436</v>
      </c>
      <c r="C16" s="208">
        <v>43442</v>
      </c>
      <c r="D16" s="209">
        <v>18</v>
      </c>
      <c r="E16" s="209">
        <f t="shared" si="1"/>
        <v>104</v>
      </c>
      <c r="F16" s="213">
        <f t="shared" si="0"/>
        <v>0.39543726235741444</v>
      </c>
    </row>
    <row r="17" spans="2:6">
      <c r="B17" s="208">
        <v>43443</v>
      </c>
      <c r="C17" s="208">
        <v>43449</v>
      </c>
      <c r="D17" s="209">
        <v>18</v>
      </c>
      <c r="E17" s="209">
        <f t="shared" si="1"/>
        <v>122</v>
      </c>
      <c r="F17" s="213">
        <f t="shared" si="0"/>
        <v>0.46387832699619774</v>
      </c>
    </row>
    <row r="18" spans="2:6">
      <c r="B18" s="208">
        <v>43450</v>
      </c>
      <c r="C18" s="208">
        <v>43456</v>
      </c>
      <c r="D18" s="209">
        <v>17</v>
      </c>
      <c r="E18" s="209">
        <f t="shared" si="1"/>
        <v>139</v>
      </c>
      <c r="F18" s="213">
        <f t="shared" si="0"/>
        <v>0.52851711026615966</v>
      </c>
    </row>
    <row r="19" spans="2:6">
      <c r="B19" s="208">
        <v>43457</v>
      </c>
      <c r="C19" s="208">
        <v>43463</v>
      </c>
      <c r="D19" s="209">
        <v>12</v>
      </c>
      <c r="E19" s="209">
        <f t="shared" si="1"/>
        <v>151</v>
      </c>
      <c r="F19" s="213">
        <f t="shared" si="0"/>
        <v>0.57414448669201523</v>
      </c>
    </row>
    <row r="20" spans="2:6">
      <c r="B20" s="208">
        <v>43464</v>
      </c>
      <c r="C20" s="208">
        <v>43470</v>
      </c>
      <c r="D20" s="209">
        <v>14</v>
      </c>
      <c r="E20" s="209">
        <f t="shared" si="1"/>
        <v>165</v>
      </c>
      <c r="F20" s="213">
        <f t="shared" si="0"/>
        <v>0.62737642585551334</v>
      </c>
    </row>
    <row r="21" spans="2:6">
      <c r="B21" s="208">
        <v>43471</v>
      </c>
      <c r="C21" s="208">
        <v>43477</v>
      </c>
      <c r="D21" s="209">
        <v>21</v>
      </c>
      <c r="E21" s="209">
        <f t="shared" si="1"/>
        <v>186</v>
      </c>
      <c r="F21" s="213">
        <f t="shared" si="0"/>
        <v>0.70722433460076051</v>
      </c>
    </row>
    <row r="22" spans="2:6">
      <c r="B22" s="208">
        <v>43478</v>
      </c>
      <c r="C22" s="208">
        <v>43484</v>
      </c>
      <c r="D22" s="209">
        <v>25</v>
      </c>
      <c r="E22" s="209">
        <f t="shared" si="1"/>
        <v>211</v>
      </c>
      <c r="F22" s="213">
        <f t="shared" si="0"/>
        <v>0.80228136882129275</v>
      </c>
    </row>
    <row r="23" spans="2:6">
      <c r="B23" s="208">
        <v>43485</v>
      </c>
      <c r="C23" s="208">
        <v>43491</v>
      </c>
      <c r="D23" s="209">
        <v>25</v>
      </c>
      <c r="E23" s="209">
        <f t="shared" si="1"/>
        <v>236</v>
      </c>
      <c r="F23" s="213">
        <f t="shared" si="0"/>
        <v>0.89733840304182511</v>
      </c>
    </row>
    <row r="24" spans="2:6">
      <c r="B24" s="208">
        <v>43492</v>
      </c>
      <c r="C24" s="208">
        <v>43498</v>
      </c>
      <c r="D24" s="209">
        <v>8</v>
      </c>
      <c r="E24" s="209">
        <f t="shared" si="1"/>
        <v>244</v>
      </c>
      <c r="F24" s="213">
        <f t="shared" si="0"/>
        <v>0.92775665399239549</v>
      </c>
    </row>
    <row r="25" spans="2:6">
      <c r="B25" s="208">
        <v>43499</v>
      </c>
      <c r="C25" s="208">
        <v>43505</v>
      </c>
      <c r="D25" s="209">
        <v>6</v>
      </c>
      <c r="E25" s="209">
        <f t="shared" si="1"/>
        <v>250</v>
      </c>
      <c r="F25" s="213">
        <f t="shared" si="0"/>
        <v>0.95057034220532322</v>
      </c>
    </row>
    <row r="26" spans="2:6">
      <c r="B26" s="208">
        <v>43506</v>
      </c>
      <c r="C26" s="208">
        <v>43512</v>
      </c>
      <c r="D26" s="209">
        <v>4</v>
      </c>
      <c r="E26" s="209">
        <f t="shared" si="1"/>
        <v>254</v>
      </c>
      <c r="F26" s="213">
        <f t="shared" si="0"/>
        <v>0.96577946768060841</v>
      </c>
    </row>
    <row r="27" spans="2:6">
      <c r="B27" s="208">
        <v>43513</v>
      </c>
      <c r="C27" s="208">
        <v>43519</v>
      </c>
      <c r="D27" s="209">
        <v>5</v>
      </c>
      <c r="E27" s="209">
        <f t="shared" si="1"/>
        <v>259</v>
      </c>
      <c r="F27" s="213">
        <f t="shared" si="0"/>
        <v>0.98479087452471481</v>
      </c>
    </row>
    <row r="28" spans="2:6">
      <c r="B28" s="208">
        <v>43520</v>
      </c>
      <c r="C28" s="208">
        <v>43526</v>
      </c>
      <c r="D28" s="209">
        <v>4</v>
      </c>
      <c r="E28" s="209">
        <f t="shared" si="1"/>
        <v>263</v>
      </c>
      <c r="F28" s="213">
        <f t="shared" si="0"/>
        <v>1</v>
      </c>
    </row>
    <row r="29" spans="2:6">
      <c r="C29" s="211" t="s">
        <v>4</v>
      </c>
      <c r="D29" s="211">
        <f>SUM(D7:D28)</f>
        <v>263</v>
      </c>
    </row>
  </sheetData>
  <sortState xmlns:xlrd2="http://schemas.microsoft.com/office/spreadsheetml/2017/richdata2"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1088</v>
      </c>
      <c r="B1" s="17"/>
      <c r="C1" s="17"/>
      <c r="D1" s="17"/>
      <c r="E1" s="17"/>
      <c r="F1" s="17"/>
      <c r="G1" s="17"/>
      <c r="H1" s="17"/>
    </row>
    <row r="2" spans="1:9" s="81" customFormat="1" ht="78.75" customHeight="1">
      <c r="A2" s="246" t="s">
        <v>1089</v>
      </c>
      <c r="B2" s="246"/>
      <c r="C2" s="246"/>
      <c r="D2" s="246"/>
      <c r="E2" s="246"/>
      <c r="F2" s="246"/>
      <c r="G2" s="246"/>
      <c r="H2" s="246"/>
    </row>
    <row r="3" spans="1:9" s="81" customFormat="1" ht="24.75" customHeight="1">
      <c r="A3" s="247" t="s">
        <v>1090</v>
      </c>
      <c r="B3" s="247"/>
      <c r="D3" s="247" t="s">
        <v>1091</v>
      </c>
      <c r="E3" s="247"/>
      <c r="G3" s="247" t="s">
        <v>1092</v>
      </c>
      <c r="H3" s="247"/>
    </row>
    <row r="4" spans="1:9" s="83" customFormat="1" ht="19.5" customHeight="1">
      <c r="A4" s="82" t="s">
        <v>1093</v>
      </c>
      <c r="B4" s="82" t="s">
        <v>1095</v>
      </c>
      <c r="D4" s="82" t="s">
        <v>1094</v>
      </c>
      <c r="E4" s="82" t="s">
        <v>1096</v>
      </c>
      <c r="G4" s="82" t="s">
        <v>1094</v>
      </c>
      <c r="H4" s="82" t="s">
        <v>1095</v>
      </c>
    </row>
    <row r="5" spans="1:9" ht="17.399999999999999">
      <c r="A5" s="118" t="s">
        <v>1045</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1046</v>
      </c>
      <c r="B6" s="119">
        <v>43146</v>
      </c>
      <c r="C6" s="86" t="str">
        <f t="shared" si="0"/>
        <v>(목)</v>
      </c>
      <c r="D6" s="84"/>
      <c r="E6" s="85"/>
      <c r="F6" s="86" t="str">
        <f t="shared" si="1"/>
        <v/>
      </c>
      <c r="G6" s="84"/>
      <c r="H6" s="85"/>
      <c r="I6" s="86" t="str">
        <f t="shared" si="2"/>
        <v/>
      </c>
    </row>
    <row r="7" spans="1:9" ht="17.399999999999999">
      <c r="A7" s="118" t="s">
        <v>1047</v>
      </c>
      <c r="B7" s="119">
        <v>43147</v>
      </c>
      <c r="C7" s="86" t="str">
        <f t="shared" si="0"/>
        <v>(금)</v>
      </c>
      <c r="D7" s="84"/>
      <c r="E7" s="85"/>
      <c r="F7" s="86" t="str">
        <f t="shared" si="1"/>
        <v/>
      </c>
      <c r="G7" s="84"/>
      <c r="H7" s="85"/>
      <c r="I7" s="86" t="str">
        <f t="shared" si="2"/>
        <v/>
      </c>
    </row>
    <row r="8" spans="1:9" ht="17.399999999999999">
      <c r="A8" s="118" t="s">
        <v>1048</v>
      </c>
      <c r="B8" s="119">
        <v>43160</v>
      </c>
      <c r="C8" s="86" t="str">
        <f t="shared" si="0"/>
        <v>(목)</v>
      </c>
      <c r="D8" s="84"/>
      <c r="E8" s="85"/>
      <c r="F8" s="86" t="str">
        <f t="shared" si="1"/>
        <v/>
      </c>
      <c r="G8" s="84"/>
      <c r="H8" s="85"/>
      <c r="I8" s="86" t="str">
        <f t="shared" si="2"/>
        <v/>
      </c>
    </row>
    <row r="9" spans="1:9" ht="17.399999999999999">
      <c r="A9" s="118" t="s">
        <v>912</v>
      </c>
      <c r="B9" s="119">
        <v>43227</v>
      </c>
      <c r="C9" s="86" t="str">
        <f t="shared" si="0"/>
        <v>(월)</v>
      </c>
      <c r="D9" s="84"/>
      <c r="E9" s="85"/>
      <c r="F9" s="86" t="str">
        <f t="shared" si="1"/>
        <v/>
      </c>
      <c r="G9" s="84"/>
      <c r="H9" s="85"/>
      <c r="I9" s="86" t="str">
        <f t="shared" si="2"/>
        <v/>
      </c>
    </row>
    <row r="10" spans="1:9" ht="17.399999999999999">
      <c r="A10" s="118" t="s">
        <v>913</v>
      </c>
      <c r="B10" s="119">
        <v>43242</v>
      </c>
      <c r="C10" s="86" t="str">
        <f t="shared" si="0"/>
        <v>(화)</v>
      </c>
      <c r="D10" s="84"/>
      <c r="E10" s="85"/>
      <c r="F10" s="86" t="str">
        <f t="shared" si="1"/>
        <v/>
      </c>
      <c r="G10" s="84"/>
      <c r="H10" s="85"/>
      <c r="I10" s="86" t="str">
        <f t="shared" si="2"/>
        <v/>
      </c>
    </row>
    <row r="11" spans="1:9" ht="17.399999999999999">
      <c r="A11" s="118" t="s">
        <v>914</v>
      </c>
      <c r="B11" s="119">
        <v>43257</v>
      </c>
      <c r="C11" s="86" t="str">
        <f t="shared" si="0"/>
        <v>(수)</v>
      </c>
      <c r="D11" s="84"/>
      <c r="E11" s="85"/>
      <c r="F11" s="86" t="str">
        <f t="shared" si="1"/>
        <v/>
      </c>
      <c r="G11" s="84"/>
      <c r="H11" s="85"/>
      <c r="I11" s="86" t="str">
        <f t="shared" si="2"/>
        <v/>
      </c>
    </row>
    <row r="12" spans="1:9" ht="17.399999999999999">
      <c r="A12" s="118" t="s">
        <v>915</v>
      </c>
      <c r="B12" s="119">
        <v>43327</v>
      </c>
      <c r="C12" s="86" t="str">
        <f t="shared" si="0"/>
        <v>(수)</v>
      </c>
      <c r="D12" s="84"/>
      <c r="E12" s="85"/>
      <c r="F12" s="86" t="str">
        <f t="shared" si="1"/>
        <v/>
      </c>
      <c r="G12" s="84"/>
      <c r="H12" s="85"/>
      <c r="I12" s="86" t="str">
        <f t="shared" si="2"/>
        <v/>
      </c>
    </row>
    <row r="13" spans="1:9" ht="17.399999999999999">
      <c r="A13" s="118" t="s">
        <v>916</v>
      </c>
      <c r="B13" s="119">
        <v>43367</v>
      </c>
      <c r="C13" s="86" t="str">
        <f t="shared" si="0"/>
        <v>(월)</v>
      </c>
      <c r="D13" s="84"/>
      <c r="E13" s="85"/>
      <c r="F13" s="86" t="str">
        <f t="shared" si="1"/>
        <v/>
      </c>
      <c r="G13" s="84"/>
      <c r="H13" s="85"/>
      <c r="I13" s="86" t="str">
        <f t="shared" si="2"/>
        <v/>
      </c>
    </row>
    <row r="14" spans="1:9" ht="17.399999999999999">
      <c r="A14" s="118" t="s">
        <v>917</v>
      </c>
      <c r="B14" s="119">
        <v>43368</v>
      </c>
      <c r="C14" s="86" t="str">
        <f t="shared" si="0"/>
        <v>(화)</v>
      </c>
      <c r="D14" s="84"/>
      <c r="E14" s="85"/>
      <c r="F14" s="86" t="str">
        <f t="shared" si="1"/>
        <v/>
      </c>
      <c r="G14" s="84"/>
      <c r="H14" s="85"/>
      <c r="I14" s="86" t="str">
        <f t="shared" si="2"/>
        <v/>
      </c>
    </row>
    <row r="15" spans="1:9" ht="17.399999999999999">
      <c r="A15" s="118" t="s">
        <v>918</v>
      </c>
      <c r="B15" s="119">
        <v>43369</v>
      </c>
      <c r="C15" s="86" t="str">
        <f t="shared" si="0"/>
        <v>(수)</v>
      </c>
      <c r="D15" s="84"/>
      <c r="E15" s="85"/>
      <c r="F15" s="86" t="str">
        <f t="shared" si="1"/>
        <v/>
      </c>
      <c r="G15" s="84"/>
      <c r="H15" s="85"/>
      <c r="I15" s="86" t="str">
        <f t="shared" si="2"/>
        <v/>
      </c>
    </row>
    <row r="16" spans="1:9" ht="17.399999999999999">
      <c r="A16" s="118" t="s">
        <v>919</v>
      </c>
      <c r="B16" s="119">
        <v>43376</v>
      </c>
      <c r="C16" s="86" t="str">
        <f t="shared" si="0"/>
        <v>(수)</v>
      </c>
      <c r="D16" s="84"/>
      <c r="E16" s="85"/>
      <c r="F16" s="86" t="str">
        <f t="shared" si="1"/>
        <v/>
      </c>
      <c r="G16" s="84"/>
      <c r="H16" s="85"/>
      <c r="I16" s="86" t="str">
        <f t="shared" si="2"/>
        <v/>
      </c>
    </row>
    <row r="17" spans="1:10" ht="17.399999999999999">
      <c r="A17" s="118" t="s">
        <v>920</v>
      </c>
      <c r="B17" s="119">
        <v>43382</v>
      </c>
      <c r="C17" s="86" t="str">
        <f t="shared" si="0"/>
        <v>(화)</v>
      </c>
      <c r="D17" s="84"/>
      <c r="E17" s="85"/>
      <c r="F17" s="86" t="str">
        <f t="shared" si="1"/>
        <v/>
      </c>
      <c r="G17" s="84"/>
      <c r="H17" s="85"/>
      <c r="I17" s="86" t="str">
        <f t="shared" si="2"/>
        <v/>
      </c>
    </row>
    <row r="18" spans="1:10" ht="17.399999999999999">
      <c r="A18" s="118" t="s">
        <v>921</v>
      </c>
      <c r="B18" s="119">
        <v>43459</v>
      </c>
      <c r="C18" s="86" t="str">
        <f t="shared" si="0"/>
        <v>(화)</v>
      </c>
      <c r="D18" s="84"/>
      <c r="E18" s="85"/>
      <c r="F18" s="86" t="str">
        <f t="shared" si="1"/>
        <v/>
      </c>
      <c r="G18" s="84"/>
      <c r="H18" s="85"/>
      <c r="I18" s="86" t="str">
        <f t="shared" si="2"/>
        <v/>
      </c>
    </row>
    <row r="19" spans="1:10" ht="17.399999999999999">
      <c r="A19" s="118" t="s">
        <v>1049</v>
      </c>
      <c r="B19" s="119">
        <v>43466</v>
      </c>
      <c r="C19" s="86" t="str">
        <f t="shared" si="0"/>
        <v>(화)</v>
      </c>
      <c r="D19" s="84"/>
      <c r="E19" s="85"/>
      <c r="F19" s="86" t="str">
        <f t="shared" si="1"/>
        <v/>
      </c>
      <c r="G19" s="84"/>
      <c r="H19" s="85"/>
      <c r="I19" s="86" t="str">
        <f t="shared" si="2"/>
        <v/>
      </c>
      <c r="J19" s="87"/>
    </row>
    <row r="20" spans="1:10" ht="17.399999999999999">
      <c r="A20" s="118" t="s">
        <v>1050</v>
      </c>
      <c r="B20" s="119">
        <v>43500</v>
      </c>
      <c r="C20" s="86" t="str">
        <f t="shared" si="0"/>
        <v>(월)</v>
      </c>
      <c r="D20" s="84"/>
      <c r="E20" s="85"/>
      <c r="F20" s="86" t="str">
        <f t="shared" si="1"/>
        <v/>
      </c>
      <c r="G20" s="84"/>
      <c r="H20" s="85"/>
      <c r="I20" s="86" t="str">
        <f t="shared" si="2"/>
        <v/>
      </c>
      <c r="J20" s="87"/>
    </row>
    <row r="21" spans="1:10" ht="17.399999999999999">
      <c r="A21" s="118" t="s">
        <v>1051</v>
      </c>
      <c r="B21" s="119">
        <v>43501</v>
      </c>
      <c r="C21" s="86" t="str">
        <f t="shared" si="0"/>
        <v>(화)</v>
      </c>
      <c r="D21" s="84"/>
      <c r="E21" s="85"/>
      <c r="F21" s="86" t="str">
        <f t="shared" si="1"/>
        <v/>
      </c>
      <c r="G21" s="84"/>
      <c r="H21" s="85"/>
      <c r="I21" s="86" t="str">
        <f t="shared" si="2"/>
        <v/>
      </c>
    </row>
    <row r="22" spans="1:10" ht="17.399999999999999">
      <c r="A22" s="118" t="s">
        <v>1050</v>
      </c>
      <c r="B22" s="119">
        <v>43502</v>
      </c>
      <c r="C22" s="86" t="str">
        <f t="shared" si="0"/>
        <v>(수)</v>
      </c>
      <c r="D22" s="84"/>
      <c r="E22" s="85"/>
      <c r="F22" s="86" t="str">
        <f t="shared" si="1"/>
        <v/>
      </c>
      <c r="G22" s="84"/>
      <c r="H22" s="85"/>
      <c r="I22" s="86" t="str">
        <f t="shared" si="2"/>
        <v/>
      </c>
    </row>
    <row r="23" spans="1:10" ht="17.399999999999999">
      <c r="A23" s="118" t="s">
        <v>1052</v>
      </c>
      <c r="B23" s="119">
        <v>43525</v>
      </c>
      <c r="C23" s="86" t="str">
        <f t="shared" si="0"/>
        <v>(금)</v>
      </c>
      <c r="D23" s="84"/>
      <c r="E23" s="85"/>
      <c r="F23" s="86" t="str">
        <f t="shared" si="1"/>
        <v/>
      </c>
      <c r="G23" s="84"/>
      <c r="H23" s="85"/>
      <c r="I23" s="86" t="str">
        <f t="shared" si="2"/>
        <v/>
      </c>
    </row>
    <row r="24" spans="1:10" ht="17.399999999999999">
      <c r="A24" s="118" t="s">
        <v>1053</v>
      </c>
      <c r="B24" s="119">
        <v>43591</v>
      </c>
      <c r="C24" s="86" t="str">
        <f t="shared" si="0"/>
        <v>(월)</v>
      </c>
      <c r="D24" s="84"/>
      <c r="E24" s="85"/>
      <c r="F24" s="86" t="str">
        <f t="shared" si="1"/>
        <v/>
      </c>
      <c r="G24" s="84"/>
      <c r="H24" s="85"/>
      <c r="I24" s="86" t="str">
        <f t="shared" si="2"/>
        <v/>
      </c>
    </row>
    <row r="25" spans="1:10" ht="17.399999999999999">
      <c r="A25" s="118" t="s">
        <v>1054</v>
      </c>
      <c r="B25" s="119">
        <v>43622</v>
      </c>
      <c r="C25" s="86" t="str">
        <f t="shared" si="0"/>
        <v>(목)</v>
      </c>
      <c r="D25" s="84"/>
      <c r="E25" s="85"/>
      <c r="F25" s="86" t="str">
        <f t="shared" si="1"/>
        <v/>
      </c>
      <c r="G25" s="84"/>
      <c r="H25" s="85"/>
      <c r="I25" s="86" t="str">
        <f t="shared" si="2"/>
        <v/>
      </c>
    </row>
    <row r="26" spans="1:10" ht="17.399999999999999">
      <c r="A26" s="118" t="s">
        <v>1055</v>
      </c>
      <c r="B26" s="119">
        <v>43692</v>
      </c>
      <c r="C26" s="86" t="str">
        <f t="shared" si="0"/>
        <v>(목)</v>
      </c>
      <c r="D26" s="84"/>
      <c r="E26" s="85"/>
      <c r="F26" s="86" t="str">
        <f t="shared" si="1"/>
        <v/>
      </c>
      <c r="G26" s="84"/>
      <c r="H26" s="85"/>
      <c r="I26" s="86" t="str">
        <f t="shared" si="2"/>
        <v/>
      </c>
    </row>
    <row r="27" spans="1:10" ht="17.399999999999999">
      <c r="A27" s="118" t="s">
        <v>1056</v>
      </c>
      <c r="B27" s="119">
        <v>43720</v>
      </c>
      <c r="C27" s="86" t="str">
        <f t="shared" si="0"/>
        <v>(목)</v>
      </c>
      <c r="D27" s="84"/>
      <c r="E27" s="85"/>
      <c r="F27" s="86" t="str">
        <f t="shared" si="1"/>
        <v/>
      </c>
      <c r="G27" s="84"/>
      <c r="H27" s="85"/>
      <c r="I27" s="86" t="str">
        <f t="shared" si="2"/>
        <v/>
      </c>
    </row>
    <row r="28" spans="1:10" ht="17.399999999999999">
      <c r="A28" s="118" t="s">
        <v>1057</v>
      </c>
      <c r="B28" s="119">
        <v>43721</v>
      </c>
      <c r="C28" s="86" t="str">
        <f t="shared" si="0"/>
        <v>(금)</v>
      </c>
      <c r="D28" s="84"/>
      <c r="E28" s="85"/>
      <c r="F28" s="86" t="str">
        <f t="shared" si="1"/>
        <v/>
      </c>
      <c r="G28" s="84"/>
      <c r="H28" s="85"/>
      <c r="I28" s="86" t="str">
        <f t="shared" si="2"/>
        <v/>
      </c>
    </row>
    <row r="29" spans="1:10" ht="17.399999999999999">
      <c r="A29" s="118" t="s">
        <v>1058</v>
      </c>
      <c r="B29" s="119">
        <v>43741</v>
      </c>
      <c r="C29" s="86" t="str">
        <f t="shared" si="0"/>
        <v>(목)</v>
      </c>
      <c r="D29" s="84"/>
      <c r="E29" s="85"/>
      <c r="F29" s="86" t="str">
        <f t="shared" si="1"/>
        <v/>
      </c>
      <c r="G29" s="84"/>
      <c r="H29" s="85"/>
      <c r="I29" s="86" t="str">
        <f t="shared" si="2"/>
        <v/>
      </c>
    </row>
    <row r="30" spans="1:10" ht="17.399999999999999">
      <c r="A30" s="118" t="s">
        <v>1059</v>
      </c>
      <c r="B30" s="119">
        <v>43747</v>
      </c>
      <c r="C30" s="86" t="str">
        <f t="shared" si="0"/>
        <v>(수)</v>
      </c>
      <c r="D30" s="84"/>
      <c r="E30" s="85"/>
      <c r="F30" s="86" t="str">
        <f t="shared" si="1"/>
        <v/>
      </c>
      <c r="G30" s="84"/>
      <c r="H30" s="85"/>
      <c r="I30" s="86" t="str">
        <f t="shared" si="2"/>
        <v/>
      </c>
    </row>
    <row r="31" spans="1:10" ht="17.399999999999999">
      <c r="A31" s="118" t="s">
        <v>1060</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1097</v>
      </c>
      <c r="D305" s="86" t="s">
        <v>1097</v>
      </c>
      <c r="G305" s="86" t="s">
        <v>1097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Max</cp:lastModifiedBy>
  <dcterms:created xsi:type="dcterms:W3CDTF">2018-02-18T09:45:14Z</dcterms:created>
  <dcterms:modified xsi:type="dcterms:W3CDTF">2019-10-24T00:40:09Z</dcterms:modified>
</cp:coreProperties>
</file>