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D:\12.Document\01.Project\00. 일정\"/>
    </mc:Choice>
  </mc:AlternateContent>
  <xr:revisionPtr revIDLastSave="0" documentId="13_ncr:1_{9F062039-C517-4598-899F-E6802B35DBE5}" xr6:coauthVersionLast="47" xr6:coauthVersionMax="47" xr10:uidLastSave="{00000000-0000-0000-0000-000000000000}"/>
  <bookViews>
    <workbookView xWindow="2868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Schedule!$M$3:$AB$249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5" i="2" l="1"/>
  <c r="AC6" i="2"/>
  <c r="AC7" i="2"/>
  <c r="AD8" i="2"/>
  <c r="AC10" i="2"/>
  <c r="AC11" i="2"/>
  <c r="AD12" i="2"/>
  <c r="AD13" i="2"/>
  <c r="AD15" i="2"/>
  <c r="AD16" i="2"/>
  <c r="AD17" i="2"/>
  <c r="AD18" i="2"/>
  <c r="AD20" i="2"/>
  <c r="AH20" i="2"/>
  <c r="AD21" i="2"/>
  <c r="AD22" i="2"/>
  <c r="AH23" i="2"/>
  <c r="AD25" i="2"/>
  <c r="AH25" i="2"/>
  <c r="AD26" i="2"/>
  <c r="AE27" i="2"/>
  <c r="AH28" i="2"/>
  <c r="AE30" i="2"/>
  <c r="AH30" i="2"/>
  <c r="AE31" i="2"/>
  <c r="AE32" i="2"/>
  <c r="AH33" i="2"/>
  <c r="AE35" i="2"/>
  <c r="AH35" i="2"/>
  <c r="AE36" i="2"/>
  <c r="AE37" i="2"/>
  <c r="AH38" i="2"/>
  <c r="AE40" i="2"/>
  <c r="AH40" i="2"/>
  <c r="AE41" i="2"/>
  <c r="AE42" i="2"/>
  <c r="AH43" i="2"/>
  <c r="AE45" i="2"/>
  <c r="AH45" i="2"/>
  <c r="AE46" i="2"/>
  <c r="AF47" i="2"/>
  <c r="AH48" i="2"/>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D13" i="4"/>
  <c r="E13" i="4" s="1"/>
  <c r="E12" i="4"/>
  <c r="E11" i="4"/>
  <c r="E10" i="4"/>
  <c r="E9" i="4"/>
  <c r="E8" i="4"/>
  <c r="E7" i="4"/>
  <c r="H33" i="8"/>
  <c r="D1" i="2"/>
  <c r="B24" i="3" l="1"/>
  <c r="AB1" i="2"/>
  <c r="AB2" i="2"/>
</calcChain>
</file>

<file path=xl/sharedStrings.xml><?xml version="1.0" encoding="utf-8"?>
<sst xmlns="http://schemas.openxmlformats.org/spreadsheetml/2006/main" count="1295" uniqueCount="1105">
  <si>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</si>
  <si>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</si>
  <si>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</si>
  <si>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</si>
  <si>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</si>
  <si>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</si>
  <si>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</si>
  <si>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</si>
  <si>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</si>
  <si>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</si>
  <si>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</si>
  <si>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</si>
  <si>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</si>
  <si>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</si>
  <si>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</si>
  <si>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</si>
  <si>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</si>
  <si>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</si>
  <si>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</si>
  <si>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</si>
  <si>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</si>
  <si>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</si>
  <si>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</si>
  <si>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</si>
  <si>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</si>
  <si>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</si>
  <si>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</si>
  <si>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</si>
  <si>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</si>
  <si>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</si>
  <si>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</si>
  <si>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</si>
  <si>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</si>
  <si>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</si>
  <si>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</si>
  <si>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</si>
  <si>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</si>
  <si>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</si>
  <si>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</si>
  <si>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</si>
  <si>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</si>
  <si>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</si>
  <si>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</si>
  <si>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</si>
  <si>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</si>
  <si>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</si>
  <si>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</si>
  <si>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</si>
  <si>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</si>
  <si>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</si>
  <si>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</si>
  <si>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</si>
  <si>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</si>
  <si>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</si>
  <si>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</si>
  <si>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</si>
  <si>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</si>
  <si>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</si>
  <si>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</si>
  <si>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</si>
  <si>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</si>
  <si>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</si>
  <si>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</si>
  <si>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</si>
  <si>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</si>
  <si>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</si>
  <si>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</si>
  <si>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</si>
  <si>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</si>
  <si>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</si>
  <si>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</si>
  <si>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</si>
  <si>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</si>
  <si>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</si>
  <si>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</si>
  <si>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</si>
  <si>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</si>
  <si>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</si>
  <si>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</si>
  <si>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</si>
  <si>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</si>
  <si>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</si>
  <si>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</si>
  <si>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</si>
  <si>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</si>
  <si>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</si>
  <si>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</si>
  <si>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</si>
  <si>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</si>
  <si>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</si>
  <si>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</si>
  <si>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</si>
  <si>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</si>
  <si>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</si>
  <si>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</si>
  <si>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</si>
  <si>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</si>
  <si>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</si>
  <si>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</si>
  <si>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</si>
  <si>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</si>
  <si>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</si>
  <si>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</si>
  <si>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</si>
  <si>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</si>
  <si>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</si>
  <si>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</si>
  <si>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</si>
  <si>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</si>
  <si>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</si>
  <si>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</si>
  <si>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</si>
  <si>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</si>
  <si>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</si>
  <si>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</si>
  <si>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</si>
  <si>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</si>
  <si>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</si>
  <si>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</si>
  <si>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</si>
  <si>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</si>
  <si>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</si>
  <si>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</si>
  <si>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</si>
  <si>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</si>
  <si>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</si>
  <si>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</si>
  <si>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</si>
  <si>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</si>
  <si>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</si>
  <si>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</si>
  <si>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</si>
  <si>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</si>
  <si>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</si>
  <si>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</si>
  <si>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</si>
  <si>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</si>
  <si>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</si>
  <si>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</si>
  <si>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</si>
  <si>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</si>
  <si>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</si>
  <si>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</si>
  <si>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</si>
  <si>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</si>
  <si>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</si>
  <si>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</si>
  <si>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</si>
  <si>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</si>
  <si>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</si>
  <si>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</si>
  <si>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</si>
  <si>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</si>
  <si>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</si>
  <si>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</si>
  <si>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</si>
  <si>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</si>
  <si>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</si>
  <si>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</si>
  <si>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</si>
  <si>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</si>
  <si>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</si>
  <si>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</si>
  <si>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</si>
  <si>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</si>
  <si>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</si>
  <si>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</si>
  <si>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</si>
  <si>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</si>
  <si>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</si>
  <si>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</si>
  <si>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</si>
  <si>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</si>
  <si>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</si>
  <si>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</si>
  <si>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</si>
  <si>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</si>
  <si>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</si>
  <si>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</si>
  <si>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</si>
  <si>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</si>
  <si>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</si>
  <si>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</si>
  <si>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</si>
  <si>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</si>
  <si>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</si>
  <si>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</si>
  <si>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</si>
  <si>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</si>
  <si>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</si>
  <si>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</si>
  <si>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</si>
  <si>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</si>
  <si>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</si>
  <si>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</si>
  <si>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</si>
  <si>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</si>
  <si>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</si>
  <si>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</si>
  <si>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</si>
  <si>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</si>
  <si>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</si>
  <si>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</si>
  <si>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</si>
  <si>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</si>
  <si>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</si>
  <si>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</si>
  <si>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</si>
  <si>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</si>
  <si>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</si>
  <si>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</si>
  <si>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</si>
  <si>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</si>
  <si>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</si>
  <si>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</si>
  <si>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</si>
  <si>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</si>
  <si>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</si>
  <si>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</si>
  <si>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</si>
  <si>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</si>
  <si>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</si>
  <si>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</si>
  <si>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</si>
  <si>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</si>
  <si>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</si>
  <si>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</si>
  <si>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</si>
  <si>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</si>
  <si>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</si>
  <si>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</si>
  <si>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</si>
  <si>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</si>
  <si>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</si>
  <si>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</si>
  <si>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</si>
  <si>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</si>
  <si>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</si>
  <si>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</si>
  <si>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</si>
  <si>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</si>
  <si>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</si>
  <si>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</si>
  <si>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</si>
  <si>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</si>
  <si>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</si>
  <si>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</si>
  <si>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</si>
  <si>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</si>
  <si>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</si>
  <si>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</si>
  <si>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</si>
  <si>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</si>
  <si>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</si>
  <si>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</si>
  <si>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</si>
  <si>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</si>
  <si>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</si>
  <si>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</si>
  <si>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</si>
  <si>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</si>
  <si>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</si>
  <si>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</si>
  <si>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</si>
  <si>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</si>
  <si>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</si>
  <si>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</si>
  <si>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</si>
  <si>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</si>
  <si>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</si>
  <si>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</si>
  <si>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</si>
  <si>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</si>
  <si>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</si>
  <si>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</si>
  <si>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</si>
  <si>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</si>
  <si>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</si>
  <si>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</si>
  <si>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</si>
  <si>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</si>
  <si>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</si>
  <si>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</si>
  <si>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</si>
  <si>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</si>
  <si>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</si>
  <si>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</si>
  <si>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</si>
  <si>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</si>
  <si>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</si>
  <si>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</si>
  <si>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</si>
  <si>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</si>
  <si>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</si>
  <si>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</si>
  <si>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</si>
  <si>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</si>
  <si>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</si>
  <si>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</si>
  <si>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</si>
  <si>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</si>
  <si>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</si>
  <si>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</si>
  <si>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</si>
  <si>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</si>
  <si>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</si>
  <si>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</si>
  <si>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</si>
  <si>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</si>
  <si>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</si>
  <si>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</si>
  <si>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</si>
  <si>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</si>
  <si>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</si>
  <si>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</si>
  <si>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</si>
  <si>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</si>
  <si>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</si>
  <si>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</si>
  <si>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</si>
  <si>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</si>
  <si>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</si>
  <si>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</si>
  <si>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</si>
  <si>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</si>
  <si>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</si>
  <si>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</si>
  <si>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</si>
  <si>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</si>
  <si>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</si>
  <si>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</si>
  <si>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</si>
  <si>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</si>
  <si>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</si>
  <si>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</si>
  <si>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</si>
  <si>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</si>
  <si>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</si>
  <si>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</si>
  <si>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</si>
  <si>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</si>
  <si>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</si>
  <si>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</si>
  <si>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</si>
  <si>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</si>
  <si>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</si>
  <si>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</si>
  <si>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</si>
  <si>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</si>
  <si>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</si>
  <si>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</si>
  <si>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</si>
  <si>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</si>
  <si>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</si>
  <si>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</si>
  <si>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</si>
  <si>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</si>
  <si>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</si>
  <si>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</si>
  <si>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</si>
  <si>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</si>
  <si>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</si>
  <si>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</si>
  <si>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</si>
  <si>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</si>
  <si>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</si>
  <si>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</si>
  <si>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</si>
  <si>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</si>
  <si>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</si>
  <si>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</si>
  <si>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</si>
  <si>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</si>
  <si>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</si>
  <si>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</si>
  <si>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</si>
  <si>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</si>
  <si>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</si>
  <si>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</si>
  <si>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</si>
  <si>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</si>
  <si>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</si>
  <si>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</si>
  <si>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</si>
  <si>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</si>
  <si>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</si>
  <si>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</si>
  <si>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</si>
  <si>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</si>
  <si>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</si>
  <si>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</si>
  <si>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</si>
  <si>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</si>
  <si>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</si>
  <si>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</si>
  <si>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</si>
  <si>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</si>
  <si>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</si>
  <si>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</si>
  <si>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</si>
  <si>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</si>
  <si>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</si>
  <si>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</si>
  <si>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</si>
  <si>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</si>
  <si>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</si>
  <si>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</si>
  <si>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</si>
  <si>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</si>
  <si>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</si>
  <si>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</si>
  <si>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</si>
  <si>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</si>
  <si>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</si>
  <si>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</si>
  <si>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</si>
  <si>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</si>
  <si>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</si>
  <si>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</si>
  <si>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</si>
  <si>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</si>
  <si>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</si>
  <si>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</si>
  <si>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</si>
  <si>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</si>
  <si>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</si>
  <si>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</si>
  <si>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</si>
  <si>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</si>
  <si>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</si>
  <si>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</si>
  <si>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</si>
  <si>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</si>
  <si>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</si>
  <si>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</si>
  <si>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</si>
  <si>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</si>
  <si>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</si>
  <si>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</si>
  <si>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</si>
  <si>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</si>
  <si>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</si>
  <si>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</si>
  <si>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</si>
  <si>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</si>
  <si>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</si>
  <si>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</si>
  <si>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</si>
  <si>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</si>
  <si>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</si>
  <si>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</si>
  <si>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</si>
  <si>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</si>
  <si>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</si>
  <si>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</si>
  <si>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</si>
  <si>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</si>
  <si>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</si>
  <si>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</si>
  <si>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</si>
  <si>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</si>
  <si>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</si>
  <si>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</si>
  <si>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</si>
  <si>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</si>
  <si>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</si>
  <si>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</si>
  <si>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</si>
  <si>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</si>
  <si>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</si>
  <si>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</si>
  <si>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</si>
  <si>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</si>
  <si>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</si>
  <si>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</si>
  <si>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</si>
  <si>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</si>
  <si>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</si>
  <si>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</si>
  <si>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</si>
  <si>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</si>
  <si>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</si>
  <si>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</si>
  <si>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</si>
  <si>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</si>
  <si>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</si>
  <si>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</si>
  <si>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</si>
  <si>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</si>
  <si>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</si>
  <si>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</si>
  <si>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</si>
  <si>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</si>
  <si>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</si>
  <si>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</si>
  <si>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</si>
  <si>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</si>
  <si>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</si>
  <si>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</si>
  <si>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</si>
  <si>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</si>
  <si>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</si>
  <si>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</si>
  <si>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</si>
  <si>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</si>
  <si>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</si>
  <si>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</si>
  <si>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</si>
  <si>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</si>
  <si>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</si>
  <si>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</si>
  <si>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</si>
  <si>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</si>
  <si>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</si>
  <si>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</si>
  <si>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</si>
  <si>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</si>
  <si>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</si>
  <si>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</si>
  <si>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</si>
  <si>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</si>
  <si>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</si>
  <si>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</si>
  <si>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</si>
  <si>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</si>
  <si>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</si>
  <si>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</si>
  <si>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</si>
  <si>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</si>
  <si>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</si>
  <si>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</si>
  <si>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</si>
  <si>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</si>
  <si>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</si>
  <si>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</si>
  <si>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</si>
  <si>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</si>
  <si>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</si>
  <si>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</si>
  <si>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</si>
  <si>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</si>
  <si>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</si>
  <si>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</si>
  <si>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</si>
  <si>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</si>
  <si>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</si>
  <si>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</si>
  <si>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</si>
  <si>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</si>
  <si>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</si>
  <si>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</si>
  <si>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</si>
  <si>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</si>
  <si>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</si>
  <si>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</si>
  <si>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</si>
  <si>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</si>
  <si>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</si>
  <si>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</si>
  <si>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</si>
  <si>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</si>
  <si>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</si>
  <si>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</si>
  <si>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</si>
  <si>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</si>
  <si>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</si>
  <si>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</si>
  <si>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</si>
  <si>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</si>
  <si>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</si>
  <si>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</si>
  <si>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</si>
  <si>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</si>
  <si>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</si>
  <si>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</si>
  <si>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</si>
  <si>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</si>
  <si>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</si>
  <si>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</si>
  <si>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</si>
  <si>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</si>
  <si>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</si>
  <si>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</si>
  <si>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</si>
  <si>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</si>
  <si>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</si>
  <si>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</si>
  <si>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</si>
  <si>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</si>
  <si>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</si>
  <si>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</si>
  <si>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</si>
  <si>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</si>
  <si>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</si>
  <si>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</si>
  <si>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</si>
  <si>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</si>
  <si>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</si>
  <si>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</si>
  <si>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</si>
  <si>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</si>
  <si>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</si>
  <si>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</si>
  <si>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</si>
  <si>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</si>
  <si>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</si>
  <si>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</si>
  <si>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</si>
  <si>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</si>
  <si>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</si>
  <si>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</si>
  <si>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</si>
  <si>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</si>
  <si>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</si>
  <si>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</si>
  <si>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</si>
  <si>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</si>
  <si>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</si>
  <si>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</si>
  <si>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</si>
  <si>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</si>
  <si>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</si>
  <si>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</si>
  <si>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</si>
  <si>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</si>
  <si>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</si>
  <si>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</si>
  <si>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</si>
  <si>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</si>
  <si>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</si>
  <si>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</si>
  <si>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</si>
  <si>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</si>
  <si>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</si>
  <si>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</si>
  <si>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</si>
  <si>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</si>
  <si>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</si>
  <si>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</si>
  <si>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</si>
  <si>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</si>
  <si>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</si>
  <si>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</si>
  <si>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</si>
  <si>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</si>
  <si>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</si>
  <si>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</si>
  <si>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</si>
  <si>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</si>
  <si>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</si>
  <si>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</si>
  <si>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</si>
  <si>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</si>
  <si>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</si>
  <si>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</si>
  <si>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</si>
  <si>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</si>
  <si>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</si>
  <si>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</si>
  <si>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</si>
  <si>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</si>
  <si>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</si>
  <si>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</si>
  <si>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</si>
  <si>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</si>
  <si>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</si>
  <si>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</si>
  <si>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</si>
  <si>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</si>
  <si>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</si>
  <si>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</si>
  <si>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</si>
  <si>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</si>
  <si>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</si>
  <si>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</si>
  <si>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</si>
  <si>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</si>
  <si>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</si>
  <si>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</si>
  <si>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</si>
  <si>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</si>
  <si>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</si>
  <si>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</si>
  <si>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</si>
  <si>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</si>
  <si>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</si>
  <si>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</si>
  <si>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</si>
  <si>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</si>
  <si>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</si>
  <si>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</si>
  <si>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</si>
  <si>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</si>
  <si>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</si>
  <si>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</si>
  <si>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</si>
  <si>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</si>
  <si>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</si>
  <si>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</si>
  <si>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</si>
  <si>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</si>
  <si>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</si>
  <si>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</si>
  <si>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</si>
  <si>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</si>
  <si>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</si>
  <si>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</si>
  <si>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</si>
  <si>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</si>
  <si>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</si>
  <si>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</si>
  <si>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</si>
  <si>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</si>
  <si>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</si>
  <si>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</si>
  <si>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</si>
  <si>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</si>
  <si>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</si>
  <si>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</si>
  <si>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</si>
  <si>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</si>
  <si>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</si>
  <si>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</si>
  <si>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</si>
  <si>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</si>
  <si>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</si>
  <si>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</si>
  <si>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</si>
  <si>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</si>
  <si>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</si>
  <si>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</si>
  <si>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</si>
  <si>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</si>
  <si>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</si>
  <si>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</si>
  <si>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</si>
  <si>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</si>
  <si>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</si>
  <si>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</si>
  <si>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</si>
  <si>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</si>
  <si>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</si>
  <si>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</si>
  <si>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</si>
  <si>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</si>
  <si>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</si>
  <si>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</si>
  <si>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</si>
  <si>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</si>
  <si>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</si>
  <si>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</si>
  <si>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</si>
  <si>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</si>
  <si>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</si>
  <si>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</si>
  <si>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</si>
  <si>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</si>
  <si>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</si>
  <si>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</si>
  <si>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</si>
  <si>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</si>
  <si>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</si>
  <si>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</si>
  <si>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</si>
  <si>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</si>
  <si>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</si>
  <si>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</si>
  <si>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</si>
  <si>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</si>
  <si>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</si>
  <si>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</si>
  <si>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</si>
  <si>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</si>
  <si>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</si>
  <si>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</si>
  <si>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</si>
  <si>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</si>
  <si>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</si>
  <si>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</si>
  <si>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</si>
  <si>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</si>
  <si>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</si>
  <si>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</si>
  <si>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</si>
  <si>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</si>
  <si>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</si>
  <si>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</si>
  <si>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</si>
  <si>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</si>
  <si>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</si>
  <si>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</si>
  <si>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</si>
  <si>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</si>
  <si>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</si>
  <si>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</si>
  <si>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</si>
  <si>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</si>
  <si>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</si>
  <si>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</si>
  <si>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</si>
  <si>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</si>
  <si>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</si>
  <si>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</si>
  <si>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</si>
  <si>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</si>
  <si>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</si>
  <si>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</si>
  <si>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</si>
  <si>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</si>
  <si>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</si>
  <si>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</si>
  <si>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</si>
  <si>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</si>
  <si>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</si>
  <si>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</si>
  <si>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</si>
  <si>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</si>
  <si>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</si>
  <si>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</si>
  <si>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</si>
  <si>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</si>
  <si>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</si>
  <si>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</si>
  <si>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</si>
  <si>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</si>
  <si>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</si>
  <si>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</si>
  <si>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</si>
  <si>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</si>
  <si>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</si>
  <si>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</si>
  <si>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</si>
  <si>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</si>
  <si>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</si>
  <si>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</si>
  <si>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</si>
  <si>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</si>
  <si>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</si>
  <si>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</si>
  <si>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</si>
  <si>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</si>
  <si>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</si>
  <si>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</si>
  <si>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</si>
  <si>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</si>
  <si>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</si>
  <si>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</si>
  <si>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</si>
  <si>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</si>
  <si>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</si>
  <si>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</si>
  <si>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</si>
  <si>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</si>
  <si>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</si>
  <si>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</si>
  <si>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</si>
  <si>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</si>
  <si>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</si>
  <si>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</si>
  <si>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</si>
  <si>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</si>
  <si>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</si>
  <si>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</si>
  <si>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</si>
  <si>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</si>
  <si>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</si>
  <si>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</si>
  <si>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</si>
  <si>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</si>
  <si>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</si>
  <si>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</si>
  <si>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</si>
  <si>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</si>
  <si>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</si>
  <si>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</si>
  <si>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</si>
  <si>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</si>
  <si>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</si>
  <si>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</si>
  <si>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</si>
  <si>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</si>
  <si>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</si>
  <si>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</si>
  <si>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</si>
  <si>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</si>
  <si>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</si>
  <si>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</si>
  <si>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</si>
  <si>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</si>
  <si>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</si>
  <si>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</si>
  <si>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</si>
  <si>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</si>
  <si>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</si>
  <si>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</si>
  <si>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</si>
  <si>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</si>
  <si>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</si>
  <si>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</si>
  <si>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</si>
  <si>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</si>
  <si>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</si>
  <si>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</si>
  <si>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</si>
  <si>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</si>
  <si>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</si>
  <si>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</si>
  <si>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</si>
  <si>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</si>
  <si>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</si>
  <si>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</si>
  <si>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</si>
  <si>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</si>
  <si>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</si>
  <si>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</si>
  <si>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</si>
  <si>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</si>
  <si>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</si>
  <si>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</si>
  <si>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</si>
  <si>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</si>
  <si>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</si>
  <si>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</si>
  <si>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</si>
  <si>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</si>
  <si>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</si>
  <si>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</si>
  <si>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</si>
  <si>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</si>
  <si>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</si>
  <si>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</si>
  <si>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</si>
  <si>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</si>
  <si>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</si>
  <si>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</si>
  <si>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</si>
  <si>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</si>
  <si>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</si>
  <si>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</si>
  <si>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</si>
  <si>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</si>
  <si>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</si>
  <si>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</si>
  <si>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</si>
  <si>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</si>
  <si>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</si>
  <si>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</si>
  <si>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</si>
  <si>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</si>
  <si>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</si>
  <si>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</si>
  <si>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</si>
  <si>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</si>
  <si>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</si>
  <si>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</si>
  <si>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</si>
  <si>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</si>
  <si>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</si>
  <si>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</si>
  <si>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</si>
  <si>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</si>
  <si>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</si>
  <si>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</si>
  <si>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</si>
  <si>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</si>
  <si>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</si>
  <si>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</si>
  <si>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</si>
  <si>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</si>
  <si>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</si>
  <si>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</si>
  <si>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</si>
  <si>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</si>
  <si>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</si>
  <si>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</si>
  <si>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</si>
  <si>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</si>
  <si>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</si>
  <si>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</si>
  <si>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</si>
  <si>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</si>
  <si>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</si>
  <si>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</si>
  <si>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</si>
  <si>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</si>
  <si>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</si>
  <si>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</si>
  <si>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</si>
  <si>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</si>
  <si>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</si>
  <si>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</si>
  <si>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</si>
  <si>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</si>
  <si>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자동지정</t>
    <phoneticPr fontId="8" type="noConversion"/>
  </si>
  <si>
    <t>doc*</t>
    <phoneticPr fontId="8" type="noConversion"/>
  </si>
  <si>
    <t>Auto CAD</t>
    <phoneticPr fontId="8" type="noConversion"/>
  </si>
  <si>
    <t>아크로에디터</t>
    <phoneticPr fontId="8" type="noConversion"/>
  </si>
  <si>
    <t>C:\WINDOWS\system32\notepad.exe</t>
    <phoneticPr fontId="8" type="noConversion"/>
  </si>
  <si>
    <t>WBS</t>
    <phoneticPr fontId="8" type="noConversion"/>
  </si>
  <si>
    <t>워드</t>
    <phoneticPr fontId="8" type="noConversion"/>
  </si>
  <si>
    <t>xls*</t>
    <phoneticPr fontId="8" type="noConversion"/>
  </si>
  <si>
    <t>cad</t>
    <phoneticPr fontId="8" type="noConversion"/>
  </si>
  <si>
    <t>{"TASK_FIRST_COL":"5","START_ROW":"5","WBS_AREA_LAST_COL":"28"}</t>
    <phoneticPr fontId="8" type="noConversion"/>
  </si>
  <si>
    <t>SCHEDULE_SHEET_POSITION:3545121314151617181920212223242526272829</t>
    <phoneticPr fontId="2"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</si>
  <si>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</si>
  <si>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</si>
  <si>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</si>
  <si>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</si>
  <si>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</si>
  <si>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</si>
  <si>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</si>
  <si>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</si>
  <si>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</si>
  <si>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</si>
  <si>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</si>
  <si>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3.2</t>
  </si>
  <si>
    <t>3.3</t>
  </si>
  <si>
    <t>4</t>
  </si>
  <si>
    <t>5</t>
  </si>
  <si>
    <t>5.1</t>
  </si>
  <si>
    <t>5.2</t>
  </si>
  <si>
    <t>5.3</t>
  </si>
  <si>
    <t>reserved</t>
    <phoneticPr fontId="8" type="noConversion"/>
  </si>
  <si>
    <t>task_group</t>
    <phoneticPr fontId="8" type="noConversion"/>
  </si>
  <si>
    <t>Calendar</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</si>
  <si>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</si>
  <si>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</si>
  <si>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</si>
  <si>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2.3</t>
  </si>
  <si>
    <t>4.1</t>
  </si>
  <si>
    <t>4.2</t>
  </si>
  <si>
    <t>4.3</t>
  </si>
  <si>
    <t>Test</t>
  </si>
  <si>
    <t>Publish</t>
  </si>
  <si>
    <t>1.1</t>
  </si>
  <si>
    <t>1.2</t>
  </si>
  <si>
    <t>1.3</t>
  </si>
  <si>
    <t>6</t>
  </si>
  <si>
    <t>6.1</t>
  </si>
  <si>
    <t>6.2</t>
  </si>
  <si>
    <t>6.3</t>
  </si>
  <si>
    <t>7</t>
  </si>
  <si>
    <t>7.1</t>
  </si>
  <si>
    <t>7.2</t>
  </si>
  <si>
    <t>7.3</t>
  </si>
  <si>
    <t>8</t>
  </si>
  <si>
    <t>8.1</t>
  </si>
  <si>
    <t>8.2</t>
  </si>
  <si>
    <t>8.3</t>
  </si>
  <si>
    <t>9</t>
  </si>
  <si>
    <t>9.1</t>
  </si>
  <si>
    <t>9.2</t>
  </si>
  <si>
    <t>9.3</t>
  </si>
  <si>
    <t>[2106-16] Chuseok Luckydraw(Kona)</t>
    <phoneticPr fontId="8" type="noConversion"/>
  </si>
  <si>
    <t>Development</t>
  </si>
  <si>
    <t>[2106-13] ATM Withdraw with Cocoon</t>
    <phoneticPr fontId="8" type="noConversion"/>
  </si>
  <si>
    <t>[2107-05] Add Quick Guide in Store Deposit</t>
    <phoneticPr fontId="8" type="noConversion"/>
  </si>
  <si>
    <t>[2106-12] Add Snapcall in Mobile App</t>
  </si>
  <si>
    <t>[2105-Q02] Change type input search by Date Type</t>
  </si>
  <si>
    <t>[2105-Q02] First login after click cancel should move to first login page(IOS)</t>
  </si>
  <si>
    <t>[2103-19] OCR function in Mobile App</t>
  </si>
  <si>
    <t>Project Progress - When not managing schedule changes</t>
    <phoneticPr fontId="8" type="noConversion"/>
  </si>
  <si>
    <t>Actually performed workload</t>
    <phoneticPr fontId="8" type="noConversion"/>
  </si>
  <si>
    <t>Actually performed workload when not managing schedule changes(Total Duration x %Work Complete)</t>
    <phoneticPr fontId="8" type="noConversion"/>
  </si>
  <si>
    <t>* This sheet shows you workload and %Work complete.</t>
    <phoneticPr fontId="8" type="noConversion"/>
  </si>
  <si>
    <t>* Automactically calulated if you click the "Update Schedule" button</t>
    <phoneticPr fontId="8" type="noConversion"/>
  </si>
  <si>
    <t>Total workload of the project</t>
    <phoneticPr fontId="8" type="noConversion"/>
  </si>
  <si>
    <t>Display the total workload of the project</t>
    <phoneticPr fontId="8" type="noConversion"/>
  </si>
  <si>
    <t>Planned workload</t>
    <phoneticPr fontId="8" type="noConversion"/>
  </si>
  <si>
    <t>Planned workload from the start date to the current date</t>
    <phoneticPr fontId="8" type="noConversion"/>
  </si>
  <si>
    <t>Actually Performed workload when managing schedule changes</t>
    <phoneticPr fontId="8" type="noConversion"/>
  </si>
  <si>
    <t>Planned %Work Complete(A)</t>
    <phoneticPr fontId="8" type="noConversion"/>
  </si>
  <si>
    <t>Planned %Work Complete from the start date to the current date</t>
    <phoneticPr fontId="8" type="noConversion"/>
  </si>
  <si>
    <t>%Work Complete(B)</t>
    <phoneticPr fontId="8" type="noConversion"/>
  </si>
  <si>
    <t>Actual %Work Complete from the start date to the current date</t>
    <phoneticPr fontId="8" type="noConversion"/>
  </si>
  <si>
    <t>Schedule Variance(B-A)</t>
    <phoneticPr fontId="8" type="noConversion"/>
  </si>
  <si>
    <t>Positive - ahead of schedule, Negative - behind schedule</t>
    <phoneticPr fontId="8" type="noConversion"/>
  </si>
  <si>
    <t xml:space="preserve">  Weekly view, Zoom 100%</t>
    <phoneticPr fontId="8" type="noConversion"/>
  </si>
  <si>
    <t>Task*</t>
    <phoneticPr fontId="8" type="noConversion"/>
  </si>
  <si>
    <t>Note</t>
    <phoneticPr fontId="8" type="noConversion"/>
  </si>
  <si>
    <t>Start*</t>
    <phoneticPr fontId="8" type="noConversion"/>
  </si>
  <si>
    <t>Finish*</t>
    <phoneticPr fontId="8" type="noConversion"/>
  </si>
  <si>
    <t>Total_x000D_
Work</t>
    <phoneticPr fontId="8" type="noConversion"/>
  </si>
  <si>
    <t>Planned_x000D_
Work</t>
    <phoneticPr fontId="8" type="noConversion"/>
  </si>
  <si>
    <t>Total_x000D_
Duration</t>
    <phoneticPr fontId="8" type="noConversion"/>
  </si>
  <si>
    <t>Planned_x000D_
Duration</t>
    <phoneticPr fontId="8" type="noConversion"/>
  </si>
  <si>
    <t>Actual_x000D_
Start</t>
    <phoneticPr fontId="8" type="noConversion"/>
  </si>
  <si>
    <t>Actual_x000D_
Finish</t>
    <phoneticPr fontId="8" type="noConversion"/>
  </si>
  <si>
    <t>Actual_x000D_
Total Work</t>
    <phoneticPr fontId="8" type="noConversion"/>
  </si>
  <si>
    <t>Actual_x000D_
Total Duration</t>
    <phoneticPr fontId="8" type="noConversion"/>
  </si>
  <si>
    <t>Weight</t>
    <phoneticPr fontId="8" type="noConversion"/>
  </si>
  <si>
    <t>Resources</t>
    <phoneticPr fontId="8" type="noConversion"/>
  </si>
  <si>
    <t>Deliverables</t>
    <phoneticPr fontId="8" type="noConversion"/>
  </si>
  <si>
    <t>Planned_x000D_
%Work Complete</t>
    <phoneticPr fontId="8" type="noConversion"/>
  </si>
  <si>
    <t>%Work_x000D_
Complete*</t>
    <phoneticPr fontId="8" type="noConversion"/>
  </si>
  <si>
    <t xml:space="preserve"> Setting nonworking days in the project calendar</t>
    <phoneticPr fontId="8" type="noConversion"/>
  </si>
  <si>
    <t>Please enter nonworking days only. All days other than nonworking days will be set as working days. _x000D_
When you enter nonworking days, XLGantt excludes them from calculations of working time._x000D_
(However, depending on the calendar setting in the Options window, the calculation method of the nonworking day can be different)_x000D_
Standard calendar is the default calendar. If you want to specify a different calendar for a specific task, please use "User Defined Calendar 1" or "User Defined Calendar 2"</t>
    <phoneticPr fontId="8" type="noConversion"/>
  </si>
  <si>
    <t>Standard Calendar</t>
    <phoneticPr fontId="8" type="noConversion"/>
  </si>
  <si>
    <t>User Defined Calendar 1</t>
    <phoneticPr fontId="8" type="noConversion"/>
  </si>
  <si>
    <t>User Defined Calendar 2</t>
    <phoneticPr fontId="8" type="noConversion"/>
  </si>
  <si>
    <t>Name of Nonworking Days</t>
    <phoneticPr fontId="8" type="noConversion"/>
  </si>
  <si>
    <t>Nonworking Days</t>
    <phoneticPr fontId="8" type="noConversion"/>
  </si>
  <si>
    <t>You can not enter any more.</t>
    <phoneticPr fontId="8" type="noConversion"/>
  </si>
  <si>
    <t>[2107-04] Change GME Wallet Statement Information</t>
    <phoneticPr fontId="8" type="noConversion"/>
  </si>
  <si>
    <t>[2106-02] Change Bank Statement able to see in duration</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</si>
</sst>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
      <sz val="11"/>
      <name val="Arial Narrow"/>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4">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0" borderId="0" xfId="4" applyFont="1" applyBorder="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7" fillId="11" borderId="0" xfId="2" applyFont="1" applyFill="1" applyBorder="1" applyAlignment="1">
      <alignment horizontal="left" vertical="center"/>
    </xf>
    <xf numFmtId="178" fontId="11" fillId="5" borderId="5"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78" fontId="11" fillId="5" borderId="6" xfId="1" applyNumberFormat="1" applyFont="1" applyFill="1" applyBorder="1" applyAlignment="1">
      <alignment horizontal="left" vertical="center"/>
    </xf>
    <xf numFmtId="178" fontId="11" fillId="5" borderId="4" xfId="1" applyNumberFormat="1" applyFont="1" applyFill="1" applyBorder="1" applyAlignment="1">
      <alignment horizontal="left"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16" fillId="0" borderId="12" xfId="4" applyFont="1" applyBorder="1"/>
    <xf numFmtId="0" fontId="16" fillId="0" borderId="0" xfId="4" applyFont="1" applyBorder="1"/>
    <xf numFmtId="0" fontId="16" fillId="7" borderId="3" xfId="4" applyFont="1" applyFill="1" applyBorder="1" applyAlignment="1">
      <alignment horizontal="left" wrapText="1"/>
    </xf>
    <xf numFmtId="2" fontId="16" fillId="0" borderId="0" xfId="4" applyNumberFormat="1" applyFont="1" applyBorder="1"/>
    <xf numFmtId="2" fontId="16" fillId="0" borderId="15" xfId="4" applyNumberFormat="1" applyFont="1" applyBorder="1"/>
    <xf numFmtId="0" fontId="47" fillId="0" borderId="15" xfId="4" applyFont="1" applyBorder="1"/>
    <xf numFmtId="2" fontId="16" fillId="0" borderId="26" xfId="4" applyNumberFormat="1" applyFont="1" applyBorder="1"/>
    <xf numFmtId="0" fontId="47" fillId="0" borderId="26" xfId="4" applyFont="1" applyBorder="1"/>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28</xdr:col>
      <xdr:colOff>20683</xdr:colOff>
      <xdr:row>3</xdr:row>
      <xdr:rowOff>59690</xdr:rowOff>
    </xdr:from>
    <xdr:to>
      <xdr:col>28</xdr:col>
      <xdr:colOff>20683</xdr:colOff>
      <xdr:row>48</xdr:row>
      <xdr:rowOff>0</xdr:rowOff>
    </xdr:to>
    <xdr:cxnSp macro="">
      <xdr:nvCxnSpPr>
        <xdr:cNvPr id="6731" name="직선 화살표 연결선 6730">
          <a:extLst>
            <a:ext uri="{FF2B5EF4-FFF2-40B4-BE49-F238E27FC236}">
              <a16:creationId xmlns:a16="http://schemas.microsoft.com/office/drawing/2014/main" id="{A4D6D724-2DBE-4009-87CF-04D3C2F13008}"/>
            </a:ext>
          </a:extLst>
        </xdr:cNvPr>
        <xdr:cNvCxnSpPr/>
      </xdr:nvCxnSpPr>
      <xdr:spPr>
        <a:xfrm>
          <a:off x="8570323" y="753110"/>
          <a:ext cx="0" cy="67068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47</xdr:row>
      <xdr:rowOff>19050</xdr:rowOff>
    </xdr:from>
    <xdr:to>
      <xdr:col>33</xdr:col>
      <xdr:colOff>62048</xdr:colOff>
      <xdr:row>47</xdr:row>
      <xdr:rowOff>133350</xdr:rowOff>
    </xdr:to>
    <xdr:sp macro="" textlink="">
      <xdr:nvSpPr>
        <xdr:cNvPr id="6948" name="직사각형 6947">
          <a:extLst>
            <a:ext uri="{FF2B5EF4-FFF2-40B4-BE49-F238E27FC236}">
              <a16:creationId xmlns:a16="http://schemas.microsoft.com/office/drawing/2014/main" id="{1983BA4E-814A-4641-A522-E36ECABB9711}"/>
            </a:ext>
          </a:extLst>
        </xdr:cNvPr>
        <xdr:cNvSpPr/>
      </xdr:nvSpPr>
      <xdr:spPr>
        <a:xfrm>
          <a:off x="9314906" y="7326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47</xdr:row>
      <xdr:rowOff>76200</xdr:rowOff>
    </xdr:from>
    <xdr:to>
      <xdr:col>33</xdr:col>
      <xdr:colOff>41366</xdr:colOff>
      <xdr:row>47</xdr:row>
      <xdr:rowOff>76200</xdr:rowOff>
    </xdr:to>
    <xdr:cxnSp macro="">
      <xdr:nvCxnSpPr>
        <xdr:cNvPr id="6949" name="직선 화살표 연결선 6948">
          <a:extLst>
            <a:ext uri="{FF2B5EF4-FFF2-40B4-BE49-F238E27FC236}">
              <a16:creationId xmlns:a16="http://schemas.microsoft.com/office/drawing/2014/main" id="{97042B3F-45C0-4045-ADC7-167410F03DDF}"/>
            </a:ext>
          </a:extLst>
        </xdr:cNvPr>
        <xdr:cNvCxnSpPr/>
      </xdr:nvCxnSpPr>
      <xdr:spPr>
        <a:xfrm>
          <a:off x="931490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46</xdr:row>
      <xdr:rowOff>19050</xdr:rowOff>
    </xdr:from>
    <xdr:to>
      <xdr:col>32</xdr:col>
      <xdr:colOff>62049</xdr:colOff>
      <xdr:row>46</xdr:row>
      <xdr:rowOff>133350</xdr:rowOff>
    </xdr:to>
    <xdr:sp macro="" textlink="">
      <xdr:nvSpPr>
        <xdr:cNvPr id="6950" name="직사각형 6949">
          <a:extLst>
            <a:ext uri="{FF2B5EF4-FFF2-40B4-BE49-F238E27FC236}">
              <a16:creationId xmlns:a16="http://schemas.microsoft.com/office/drawing/2014/main" id="{8A5DBBA5-C7D9-4AD3-B491-6A009161738A}"/>
            </a:ext>
          </a:extLst>
        </xdr:cNvPr>
        <xdr:cNvSpPr/>
      </xdr:nvSpPr>
      <xdr:spPr>
        <a:xfrm>
          <a:off x="9066712" y="7174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46</xdr:row>
      <xdr:rowOff>76200</xdr:rowOff>
    </xdr:from>
    <xdr:to>
      <xdr:col>31</xdr:col>
      <xdr:colOff>82732</xdr:colOff>
      <xdr:row>46</xdr:row>
      <xdr:rowOff>76200</xdr:rowOff>
    </xdr:to>
    <xdr:cxnSp macro="">
      <xdr:nvCxnSpPr>
        <xdr:cNvPr id="6951" name="직선 화살표 연결선 6950">
          <a:extLst>
            <a:ext uri="{FF2B5EF4-FFF2-40B4-BE49-F238E27FC236}">
              <a16:creationId xmlns:a16="http://schemas.microsoft.com/office/drawing/2014/main" id="{78FAEBDF-B7A5-42C5-9A6E-12665D0507C8}"/>
            </a:ext>
          </a:extLst>
        </xdr:cNvPr>
        <xdr:cNvCxnSpPr/>
      </xdr:nvCxnSpPr>
      <xdr:spPr>
        <a:xfrm>
          <a:off x="9066712"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45</xdr:row>
      <xdr:rowOff>19050</xdr:rowOff>
    </xdr:from>
    <xdr:to>
      <xdr:col>31</xdr:col>
      <xdr:colOff>82732</xdr:colOff>
      <xdr:row>45</xdr:row>
      <xdr:rowOff>133350</xdr:rowOff>
    </xdr:to>
    <xdr:sp macro="" textlink="">
      <xdr:nvSpPr>
        <xdr:cNvPr id="6952" name="직사각형 6951">
          <a:extLst>
            <a:ext uri="{FF2B5EF4-FFF2-40B4-BE49-F238E27FC236}">
              <a16:creationId xmlns:a16="http://schemas.microsoft.com/office/drawing/2014/main" id="{DBE5A1C6-B416-4ADE-8C9A-C42DD73929D4}"/>
            </a:ext>
          </a:extLst>
        </xdr:cNvPr>
        <xdr:cNvSpPr/>
      </xdr:nvSpPr>
      <xdr:spPr>
        <a:xfrm>
          <a:off x="8901249" y="70218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45</xdr:row>
      <xdr:rowOff>76200</xdr:rowOff>
    </xdr:from>
    <xdr:to>
      <xdr:col>30</xdr:col>
      <xdr:colOff>62049</xdr:colOff>
      <xdr:row>45</xdr:row>
      <xdr:rowOff>76200</xdr:rowOff>
    </xdr:to>
    <xdr:cxnSp macro="">
      <xdr:nvCxnSpPr>
        <xdr:cNvPr id="6953" name="직선 화살표 연결선 6952">
          <a:extLst>
            <a:ext uri="{FF2B5EF4-FFF2-40B4-BE49-F238E27FC236}">
              <a16:creationId xmlns:a16="http://schemas.microsoft.com/office/drawing/2014/main" id="{50B73E41-F43E-4AF3-BDF7-3D0BAC9F63E6}"/>
            </a:ext>
          </a:extLst>
        </xdr:cNvPr>
        <xdr:cNvCxnSpPr/>
      </xdr:nvCxnSpPr>
      <xdr:spPr>
        <a:xfrm>
          <a:off x="8901249"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44</xdr:row>
      <xdr:rowOff>19050</xdr:rowOff>
    </xdr:from>
    <xdr:to>
      <xdr:col>33</xdr:col>
      <xdr:colOff>62048</xdr:colOff>
      <xdr:row>44</xdr:row>
      <xdr:rowOff>133350</xdr:rowOff>
    </xdr:to>
    <xdr:sp macro="" textlink="">
      <xdr:nvSpPr>
        <xdr:cNvPr id="6954" name="직사각형 6953">
          <a:extLst>
            <a:ext uri="{FF2B5EF4-FFF2-40B4-BE49-F238E27FC236}">
              <a16:creationId xmlns:a16="http://schemas.microsoft.com/office/drawing/2014/main" id="{860994D4-02F8-41E9-911F-C0A23EB0C38B}"/>
            </a:ext>
          </a:extLst>
        </xdr:cNvPr>
        <xdr:cNvSpPr/>
      </xdr:nvSpPr>
      <xdr:spPr>
        <a:xfrm>
          <a:off x="8901249" y="6869430"/>
          <a:ext cx="434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44</xdr:row>
      <xdr:rowOff>76200</xdr:rowOff>
    </xdr:from>
    <xdr:to>
      <xdr:col>30</xdr:col>
      <xdr:colOff>62049</xdr:colOff>
      <xdr:row>44</xdr:row>
      <xdr:rowOff>76200</xdr:rowOff>
    </xdr:to>
    <xdr:cxnSp macro="">
      <xdr:nvCxnSpPr>
        <xdr:cNvPr id="6955" name="직선 화살표 연결선 6954">
          <a:extLst>
            <a:ext uri="{FF2B5EF4-FFF2-40B4-BE49-F238E27FC236}">
              <a16:creationId xmlns:a16="http://schemas.microsoft.com/office/drawing/2014/main" id="{F8757284-2509-4D02-8770-5AC707EF69B7}"/>
            </a:ext>
          </a:extLst>
        </xdr:cNvPr>
        <xdr:cNvCxnSpPr/>
      </xdr:nvCxnSpPr>
      <xdr:spPr>
        <a:xfrm>
          <a:off x="890124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42</xdr:row>
      <xdr:rowOff>19050</xdr:rowOff>
    </xdr:from>
    <xdr:to>
      <xdr:col>33</xdr:col>
      <xdr:colOff>62048</xdr:colOff>
      <xdr:row>42</xdr:row>
      <xdr:rowOff>133350</xdr:rowOff>
    </xdr:to>
    <xdr:sp macro="" textlink="">
      <xdr:nvSpPr>
        <xdr:cNvPr id="6956" name="직사각형 6955">
          <a:extLst>
            <a:ext uri="{FF2B5EF4-FFF2-40B4-BE49-F238E27FC236}">
              <a16:creationId xmlns:a16="http://schemas.microsoft.com/office/drawing/2014/main" id="{68E9C467-7D5E-408F-B3E0-A0F6F0467D74}"/>
            </a:ext>
          </a:extLst>
        </xdr:cNvPr>
        <xdr:cNvSpPr/>
      </xdr:nvSpPr>
      <xdr:spPr>
        <a:xfrm>
          <a:off x="9314906" y="6564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42</xdr:row>
      <xdr:rowOff>76200</xdr:rowOff>
    </xdr:from>
    <xdr:to>
      <xdr:col>33</xdr:col>
      <xdr:colOff>41366</xdr:colOff>
      <xdr:row>42</xdr:row>
      <xdr:rowOff>76200</xdr:rowOff>
    </xdr:to>
    <xdr:cxnSp macro="">
      <xdr:nvCxnSpPr>
        <xdr:cNvPr id="6957" name="직선 화살표 연결선 6956">
          <a:extLst>
            <a:ext uri="{FF2B5EF4-FFF2-40B4-BE49-F238E27FC236}">
              <a16:creationId xmlns:a16="http://schemas.microsoft.com/office/drawing/2014/main" id="{D6F307CA-0104-4F62-A040-459F7A3FBAC0}"/>
            </a:ext>
          </a:extLst>
        </xdr:cNvPr>
        <xdr:cNvCxnSpPr/>
      </xdr:nvCxnSpPr>
      <xdr:spPr>
        <a:xfrm>
          <a:off x="9314906"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41</xdr:row>
      <xdr:rowOff>19050</xdr:rowOff>
    </xdr:from>
    <xdr:to>
      <xdr:col>30</xdr:col>
      <xdr:colOff>82731</xdr:colOff>
      <xdr:row>41</xdr:row>
      <xdr:rowOff>133350</xdr:rowOff>
    </xdr:to>
    <xdr:sp macro="" textlink="">
      <xdr:nvSpPr>
        <xdr:cNvPr id="6958" name="직사각형 6957">
          <a:extLst>
            <a:ext uri="{FF2B5EF4-FFF2-40B4-BE49-F238E27FC236}">
              <a16:creationId xmlns:a16="http://schemas.microsoft.com/office/drawing/2014/main" id="{79692ACB-13E8-4DB5-B649-DF453D92EE69}"/>
            </a:ext>
          </a:extLst>
        </xdr:cNvPr>
        <xdr:cNvSpPr/>
      </xdr:nvSpPr>
      <xdr:spPr>
        <a:xfrm>
          <a:off x="8901249" y="6412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41</xdr:row>
      <xdr:rowOff>76200</xdr:rowOff>
    </xdr:from>
    <xdr:to>
      <xdr:col>30</xdr:col>
      <xdr:colOff>62049</xdr:colOff>
      <xdr:row>41</xdr:row>
      <xdr:rowOff>76200</xdr:rowOff>
    </xdr:to>
    <xdr:cxnSp macro="">
      <xdr:nvCxnSpPr>
        <xdr:cNvPr id="6959" name="직선 화살표 연결선 6958">
          <a:extLst>
            <a:ext uri="{FF2B5EF4-FFF2-40B4-BE49-F238E27FC236}">
              <a16:creationId xmlns:a16="http://schemas.microsoft.com/office/drawing/2014/main" id="{8B6DDA3C-E6FE-40D1-82E6-89A405517038}"/>
            </a:ext>
          </a:extLst>
        </xdr:cNvPr>
        <xdr:cNvCxnSpPr/>
      </xdr:nvCxnSpPr>
      <xdr:spPr>
        <a:xfrm>
          <a:off x="8901249"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40</xdr:row>
      <xdr:rowOff>19050</xdr:rowOff>
    </xdr:from>
    <xdr:to>
      <xdr:col>30</xdr:col>
      <xdr:colOff>62049</xdr:colOff>
      <xdr:row>40</xdr:row>
      <xdr:rowOff>133350</xdr:rowOff>
    </xdr:to>
    <xdr:sp macro="" textlink="">
      <xdr:nvSpPr>
        <xdr:cNvPr id="6960" name="직사각형 6959">
          <a:extLst>
            <a:ext uri="{FF2B5EF4-FFF2-40B4-BE49-F238E27FC236}">
              <a16:creationId xmlns:a16="http://schemas.microsoft.com/office/drawing/2014/main" id="{4DCC6D76-B2FE-4BD0-998E-A2EA622EAAF8}"/>
            </a:ext>
          </a:extLst>
        </xdr:cNvPr>
        <xdr:cNvSpPr/>
      </xdr:nvSpPr>
      <xdr:spPr>
        <a:xfrm>
          <a:off x="8880566" y="625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40</xdr:row>
      <xdr:rowOff>76200</xdr:rowOff>
    </xdr:from>
    <xdr:to>
      <xdr:col>30</xdr:col>
      <xdr:colOff>41366</xdr:colOff>
      <xdr:row>40</xdr:row>
      <xdr:rowOff>76200</xdr:rowOff>
    </xdr:to>
    <xdr:cxnSp macro="">
      <xdr:nvCxnSpPr>
        <xdr:cNvPr id="6961" name="직선 화살표 연결선 6960">
          <a:extLst>
            <a:ext uri="{FF2B5EF4-FFF2-40B4-BE49-F238E27FC236}">
              <a16:creationId xmlns:a16="http://schemas.microsoft.com/office/drawing/2014/main" id="{4162E478-97EA-49CC-8CC3-9A1E503C521E}"/>
            </a:ext>
          </a:extLst>
        </xdr:cNvPr>
        <xdr:cNvCxnSpPr/>
      </xdr:nvCxnSpPr>
      <xdr:spPr>
        <a:xfrm>
          <a:off x="8880566"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39</xdr:row>
      <xdr:rowOff>19050</xdr:rowOff>
    </xdr:from>
    <xdr:to>
      <xdr:col>33</xdr:col>
      <xdr:colOff>62048</xdr:colOff>
      <xdr:row>39</xdr:row>
      <xdr:rowOff>133350</xdr:rowOff>
    </xdr:to>
    <xdr:sp macro="" textlink="">
      <xdr:nvSpPr>
        <xdr:cNvPr id="6962" name="직사각형 6961">
          <a:extLst>
            <a:ext uri="{FF2B5EF4-FFF2-40B4-BE49-F238E27FC236}">
              <a16:creationId xmlns:a16="http://schemas.microsoft.com/office/drawing/2014/main" id="{F74B65EA-7B88-46DF-953E-CFEDEE362FFC}"/>
            </a:ext>
          </a:extLst>
        </xdr:cNvPr>
        <xdr:cNvSpPr/>
      </xdr:nvSpPr>
      <xdr:spPr>
        <a:xfrm>
          <a:off x="8880566" y="6107430"/>
          <a:ext cx="4550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39</xdr:row>
      <xdr:rowOff>76200</xdr:rowOff>
    </xdr:from>
    <xdr:to>
      <xdr:col>30</xdr:col>
      <xdr:colOff>41366</xdr:colOff>
      <xdr:row>39</xdr:row>
      <xdr:rowOff>76200</xdr:rowOff>
    </xdr:to>
    <xdr:cxnSp macro="">
      <xdr:nvCxnSpPr>
        <xdr:cNvPr id="6963" name="직선 화살표 연결선 6962">
          <a:extLst>
            <a:ext uri="{FF2B5EF4-FFF2-40B4-BE49-F238E27FC236}">
              <a16:creationId xmlns:a16="http://schemas.microsoft.com/office/drawing/2014/main" id="{7A6A0501-14BD-41B8-B4C7-FA360D2A39D2}"/>
            </a:ext>
          </a:extLst>
        </xdr:cNvPr>
        <xdr:cNvCxnSpPr/>
      </xdr:nvCxnSpPr>
      <xdr:spPr>
        <a:xfrm>
          <a:off x="8880566"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37</xdr:row>
      <xdr:rowOff>19050</xdr:rowOff>
    </xdr:from>
    <xdr:to>
      <xdr:col>33</xdr:col>
      <xdr:colOff>62048</xdr:colOff>
      <xdr:row>37</xdr:row>
      <xdr:rowOff>133350</xdr:rowOff>
    </xdr:to>
    <xdr:sp macro="" textlink="">
      <xdr:nvSpPr>
        <xdr:cNvPr id="6964" name="직사각형 6963">
          <a:extLst>
            <a:ext uri="{FF2B5EF4-FFF2-40B4-BE49-F238E27FC236}">
              <a16:creationId xmlns:a16="http://schemas.microsoft.com/office/drawing/2014/main" id="{FB244DDC-A791-499B-9F70-D7C99BB32C5F}"/>
            </a:ext>
          </a:extLst>
        </xdr:cNvPr>
        <xdr:cNvSpPr/>
      </xdr:nvSpPr>
      <xdr:spPr>
        <a:xfrm>
          <a:off x="9314906" y="5802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37</xdr:row>
      <xdr:rowOff>76200</xdr:rowOff>
    </xdr:from>
    <xdr:to>
      <xdr:col>33</xdr:col>
      <xdr:colOff>41366</xdr:colOff>
      <xdr:row>37</xdr:row>
      <xdr:rowOff>76200</xdr:rowOff>
    </xdr:to>
    <xdr:cxnSp macro="">
      <xdr:nvCxnSpPr>
        <xdr:cNvPr id="6965" name="직선 화살표 연결선 6964">
          <a:extLst>
            <a:ext uri="{FF2B5EF4-FFF2-40B4-BE49-F238E27FC236}">
              <a16:creationId xmlns:a16="http://schemas.microsoft.com/office/drawing/2014/main" id="{12324836-0ACB-4403-AD2C-D2D625375ED9}"/>
            </a:ext>
          </a:extLst>
        </xdr:cNvPr>
        <xdr:cNvCxnSpPr/>
      </xdr:nvCxnSpPr>
      <xdr:spPr>
        <a:xfrm>
          <a:off x="9314906"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36</xdr:row>
      <xdr:rowOff>19050</xdr:rowOff>
    </xdr:from>
    <xdr:to>
      <xdr:col>30</xdr:col>
      <xdr:colOff>82731</xdr:colOff>
      <xdr:row>36</xdr:row>
      <xdr:rowOff>133350</xdr:rowOff>
    </xdr:to>
    <xdr:sp macro="" textlink="">
      <xdr:nvSpPr>
        <xdr:cNvPr id="6966" name="직사각형 6965">
          <a:extLst>
            <a:ext uri="{FF2B5EF4-FFF2-40B4-BE49-F238E27FC236}">
              <a16:creationId xmlns:a16="http://schemas.microsoft.com/office/drawing/2014/main" id="{CED21B9B-6001-4B41-A7DC-2DA02C8C7E18}"/>
            </a:ext>
          </a:extLst>
        </xdr:cNvPr>
        <xdr:cNvSpPr/>
      </xdr:nvSpPr>
      <xdr:spPr>
        <a:xfrm>
          <a:off x="8901249" y="5650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36</xdr:row>
      <xdr:rowOff>76200</xdr:rowOff>
    </xdr:from>
    <xdr:to>
      <xdr:col>30</xdr:col>
      <xdr:colOff>62049</xdr:colOff>
      <xdr:row>36</xdr:row>
      <xdr:rowOff>76200</xdr:rowOff>
    </xdr:to>
    <xdr:cxnSp macro="">
      <xdr:nvCxnSpPr>
        <xdr:cNvPr id="6967" name="직선 화살표 연결선 6966">
          <a:extLst>
            <a:ext uri="{FF2B5EF4-FFF2-40B4-BE49-F238E27FC236}">
              <a16:creationId xmlns:a16="http://schemas.microsoft.com/office/drawing/2014/main" id="{0F5AC760-B122-4A45-8763-E57084C5C6B1}"/>
            </a:ext>
          </a:extLst>
        </xdr:cNvPr>
        <xdr:cNvCxnSpPr/>
      </xdr:nvCxnSpPr>
      <xdr:spPr>
        <a:xfrm>
          <a:off x="8901249"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35</xdr:row>
      <xdr:rowOff>19050</xdr:rowOff>
    </xdr:from>
    <xdr:to>
      <xdr:col>30</xdr:col>
      <xdr:colOff>62049</xdr:colOff>
      <xdr:row>35</xdr:row>
      <xdr:rowOff>133350</xdr:rowOff>
    </xdr:to>
    <xdr:sp macro="" textlink="">
      <xdr:nvSpPr>
        <xdr:cNvPr id="6968" name="직사각형 6967">
          <a:extLst>
            <a:ext uri="{FF2B5EF4-FFF2-40B4-BE49-F238E27FC236}">
              <a16:creationId xmlns:a16="http://schemas.microsoft.com/office/drawing/2014/main" id="{B193321E-979C-422C-8C73-D47A655E0ABE}"/>
            </a:ext>
          </a:extLst>
        </xdr:cNvPr>
        <xdr:cNvSpPr/>
      </xdr:nvSpPr>
      <xdr:spPr>
        <a:xfrm>
          <a:off x="8880566" y="549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35</xdr:row>
      <xdr:rowOff>76200</xdr:rowOff>
    </xdr:from>
    <xdr:to>
      <xdr:col>30</xdr:col>
      <xdr:colOff>41366</xdr:colOff>
      <xdr:row>35</xdr:row>
      <xdr:rowOff>76200</xdr:rowOff>
    </xdr:to>
    <xdr:cxnSp macro="">
      <xdr:nvCxnSpPr>
        <xdr:cNvPr id="6969" name="직선 화살표 연결선 6968">
          <a:extLst>
            <a:ext uri="{FF2B5EF4-FFF2-40B4-BE49-F238E27FC236}">
              <a16:creationId xmlns:a16="http://schemas.microsoft.com/office/drawing/2014/main" id="{688B6B71-0A7D-4FD8-893A-90E8B24140E2}"/>
            </a:ext>
          </a:extLst>
        </xdr:cNvPr>
        <xdr:cNvCxnSpPr/>
      </xdr:nvCxnSpPr>
      <xdr:spPr>
        <a:xfrm>
          <a:off x="8880566"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34</xdr:row>
      <xdr:rowOff>19050</xdr:rowOff>
    </xdr:from>
    <xdr:to>
      <xdr:col>33</xdr:col>
      <xdr:colOff>62048</xdr:colOff>
      <xdr:row>34</xdr:row>
      <xdr:rowOff>133350</xdr:rowOff>
    </xdr:to>
    <xdr:sp macro="" textlink="">
      <xdr:nvSpPr>
        <xdr:cNvPr id="6970" name="직사각형 6969">
          <a:extLst>
            <a:ext uri="{FF2B5EF4-FFF2-40B4-BE49-F238E27FC236}">
              <a16:creationId xmlns:a16="http://schemas.microsoft.com/office/drawing/2014/main" id="{6D20F7B0-A0EF-4018-A26D-183A54AA5EDA}"/>
            </a:ext>
          </a:extLst>
        </xdr:cNvPr>
        <xdr:cNvSpPr/>
      </xdr:nvSpPr>
      <xdr:spPr>
        <a:xfrm>
          <a:off x="8880566" y="5345430"/>
          <a:ext cx="4550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34</xdr:row>
      <xdr:rowOff>76200</xdr:rowOff>
    </xdr:from>
    <xdr:to>
      <xdr:col>30</xdr:col>
      <xdr:colOff>41366</xdr:colOff>
      <xdr:row>34</xdr:row>
      <xdr:rowOff>76200</xdr:rowOff>
    </xdr:to>
    <xdr:cxnSp macro="">
      <xdr:nvCxnSpPr>
        <xdr:cNvPr id="6971" name="직선 화살표 연결선 6970">
          <a:extLst>
            <a:ext uri="{FF2B5EF4-FFF2-40B4-BE49-F238E27FC236}">
              <a16:creationId xmlns:a16="http://schemas.microsoft.com/office/drawing/2014/main" id="{E7E7E1A7-8CB6-424A-9417-82E7338EB656}"/>
            </a:ext>
          </a:extLst>
        </xdr:cNvPr>
        <xdr:cNvCxnSpPr/>
      </xdr:nvCxnSpPr>
      <xdr:spPr>
        <a:xfrm>
          <a:off x="8880566"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32</xdr:row>
      <xdr:rowOff>19050</xdr:rowOff>
    </xdr:from>
    <xdr:to>
      <xdr:col>33</xdr:col>
      <xdr:colOff>62048</xdr:colOff>
      <xdr:row>32</xdr:row>
      <xdr:rowOff>133350</xdr:rowOff>
    </xdr:to>
    <xdr:sp macro="" textlink="">
      <xdr:nvSpPr>
        <xdr:cNvPr id="6972" name="직사각형 6971">
          <a:extLst>
            <a:ext uri="{FF2B5EF4-FFF2-40B4-BE49-F238E27FC236}">
              <a16:creationId xmlns:a16="http://schemas.microsoft.com/office/drawing/2014/main" id="{AFC77479-B474-4D03-ABC4-9F49429FD872}"/>
            </a:ext>
          </a:extLst>
        </xdr:cNvPr>
        <xdr:cNvSpPr/>
      </xdr:nvSpPr>
      <xdr:spPr>
        <a:xfrm>
          <a:off x="9314906" y="5040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32</xdr:row>
      <xdr:rowOff>76200</xdr:rowOff>
    </xdr:from>
    <xdr:to>
      <xdr:col>33</xdr:col>
      <xdr:colOff>41366</xdr:colOff>
      <xdr:row>32</xdr:row>
      <xdr:rowOff>76200</xdr:rowOff>
    </xdr:to>
    <xdr:cxnSp macro="">
      <xdr:nvCxnSpPr>
        <xdr:cNvPr id="6973" name="직선 화살표 연결선 6972">
          <a:extLst>
            <a:ext uri="{FF2B5EF4-FFF2-40B4-BE49-F238E27FC236}">
              <a16:creationId xmlns:a16="http://schemas.microsoft.com/office/drawing/2014/main" id="{43966EB8-4B75-4E4B-8385-EF15667BC359}"/>
            </a:ext>
          </a:extLst>
        </xdr:cNvPr>
        <xdr:cNvCxnSpPr/>
      </xdr:nvCxnSpPr>
      <xdr:spPr>
        <a:xfrm>
          <a:off x="9314906"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31</xdr:row>
      <xdr:rowOff>19050</xdr:rowOff>
    </xdr:from>
    <xdr:to>
      <xdr:col>30</xdr:col>
      <xdr:colOff>62049</xdr:colOff>
      <xdr:row>31</xdr:row>
      <xdr:rowOff>133350</xdr:rowOff>
    </xdr:to>
    <xdr:sp macro="" textlink="">
      <xdr:nvSpPr>
        <xdr:cNvPr id="6974" name="직사각형 6973">
          <a:extLst>
            <a:ext uri="{FF2B5EF4-FFF2-40B4-BE49-F238E27FC236}">
              <a16:creationId xmlns:a16="http://schemas.microsoft.com/office/drawing/2014/main" id="{1A2B78C9-12CB-4022-8D4E-9207BC511DC5}"/>
            </a:ext>
          </a:extLst>
        </xdr:cNvPr>
        <xdr:cNvSpPr/>
      </xdr:nvSpPr>
      <xdr:spPr>
        <a:xfrm>
          <a:off x="8880566" y="488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31</xdr:row>
      <xdr:rowOff>76200</xdr:rowOff>
    </xdr:from>
    <xdr:to>
      <xdr:col>30</xdr:col>
      <xdr:colOff>41366</xdr:colOff>
      <xdr:row>31</xdr:row>
      <xdr:rowOff>76200</xdr:rowOff>
    </xdr:to>
    <xdr:cxnSp macro="">
      <xdr:nvCxnSpPr>
        <xdr:cNvPr id="6975" name="직선 화살표 연결선 6974">
          <a:extLst>
            <a:ext uri="{FF2B5EF4-FFF2-40B4-BE49-F238E27FC236}">
              <a16:creationId xmlns:a16="http://schemas.microsoft.com/office/drawing/2014/main" id="{E1FF6843-26A6-4999-BB6F-4F51A85D6736}"/>
            </a:ext>
          </a:extLst>
        </xdr:cNvPr>
        <xdr:cNvCxnSpPr/>
      </xdr:nvCxnSpPr>
      <xdr:spPr>
        <a:xfrm>
          <a:off x="8880566"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30</xdr:row>
      <xdr:rowOff>19050</xdr:rowOff>
    </xdr:from>
    <xdr:to>
      <xdr:col>30</xdr:col>
      <xdr:colOff>41366</xdr:colOff>
      <xdr:row>30</xdr:row>
      <xdr:rowOff>133350</xdr:rowOff>
    </xdr:to>
    <xdr:sp macro="" textlink="">
      <xdr:nvSpPr>
        <xdr:cNvPr id="6976" name="직사각형 6975">
          <a:extLst>
            <a:ext uri="{FF2B5EF4-FFF2-40B4-BE49-F238E27FC236}">
              <a16:creationId xmlns:a16="http://schemas.microsoft.com/office/drawing/2014/main" id="{47098D0E-097D-40FE-9F26-131A4D08C99C}"/>
            </a:ext>
          </a:extLst>
        </xdr:cNvPr>
        <xdr:cNvSpPr/>
      </xdr:nvSpPr>
      <xdr:spPr>
        <a:xfrm>
          <a:off x="8839200" y="473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30</xdr:row>
      <xdr:rowOff>76200</xdr:rowOff>
    </xdr:from>
    <xdr:to>
      <xdr:col>30</xdr:col>
      <xdr:colOff>0</xdr:colOff>
      <xdr:row>30</xdr:row>
      <xdr:rowOff>76200</xdr:rowOff>
    </xdr:to>
    <xdr:cxnSp macro="">
      <xdr:nvCxnSpPr>
        <xdr:cNvPr id="6977" name="직선 화살표 연결선 6976">
          <a:extLst>
            <a:ext uri="{FF2B5EF4-FFF2-40B4-BE49-F238E27FC236}">
              <a16:creationId xmlns:a16="http://schemas.microsoft.com/office/drawing/2014/main" id="{A6A5C650-4560-4DC8-8FE8-4C45793E4517}"/>
            </a:ext>
          </a:extLst>
        </xdr:cNvPr>
        <xdr:cNvCxnSpPr/>
      </xdr:nvCxnSpPr>
      <xdr:spPr>
        <a:xfrm>
          <a:off x="8839200"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29</xdr:row>
      <xdr:rowOff>19050</xdr:rowOff>
    </xdr:from>
    <xdr:to>
      <xdr:col>33</xdr:col>
      <xdr:colOff>62048</xdr:colOff>
      <xdr:row>29</xdr:row>
      <xdr:rowOff>133350</xdr:rowOff>
    </xdr:to>
    <xdr:sp macro="" textlink="">
      <xdr:nvSpPr>
        <xdr:cNvPr id="6978" name="직사각형 6977">
          <a:extLst>
            <a:ext uri="{FF2B5EF4-FFF2-40B4-BE49-F238E27FC236}">
              <a16:creationId xmlns:a16="http://schemas.microsoft.com/office/drawing/2014/main" id="{7E683C76-7EEF-4A45-A4BD-A8E7D58912A5}"/>
            </a:ext>
          </a:extLst>
        </xdr:cNvPr>
        <xdr:cNvSpPr/>
      </xdr:nvSpPr>
      <xdr:spPr>
        <a:xfrm>
          <a:off x="8839200" y="45834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29</xdr:row>
      <xdr:rowOff>76200</xdr:rowOff>
    </xdr:from>
    <xdr:to>
      <xdr:col>30</xdr:col>
      <xdr:colOff>0</xdr:colOff>
      <xdr:row>29</xdr:row>
      <xdr:rowOff>76200</xdr:rowOff>
    </xdr:to>
    <xdr:cxnSp macro="">
      <xdr:nvCxnSpPr>
        <xdr:cNvPr id="6979" name="직선 화살표 연결선 6978">
          <a:extLst>
            <a:ext uri="{FF2B5EF4-FFF2-40B4-BE49-F238E27FC236}">
              <a16:creationId xmlns:a16="http://schemas.microsoft.com/office/drawing/2014/main" id="{0B829EBB-2E00-445D-B61A-B191F0E0D5DC}"/>
            </a:ext>
          </a:extLst>
        </xdr:cNvPr>
        <xdr:cNvCxnSpPr/>
      </xdr:nvCxnSpPr>
      <xdr:spPr>
        <a:xfrm>
          <a:off x="8839200"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27</xdr:row>
      <xdr:rowOff>19050</xdr:rowOff>
    </xdr:from>
    <xdr:to>
      <xdr:col>33</xdr:col>
      <xdr:colOff>62048</xdr:colOff>
      <xdr:row>27</xdr:row>
      <xdr:rowOff>133350</xdr:rowOff>
    </xdr:to>
    <xdr:sp macro="" textlink="">
      <xdr:nvSpPr>
        <xdr:cNvPr id="6980" name="직사각형 6979">
          <a:extLst>
            <a:ext uri="{FF2B5EF4-FFF2-40B4-BE49-F238E27FC236}">
              <a16:creationId xmlns:a16="http://schemas.microsoft.com/office/drawing/2014/main" id="{0735F3C2-B430-41E9-821D-78BD0AFC9052}"/>
            </a:ext>
          </a:extLst>
        </xdr:cNvPr>
        <xdr:cNvSpPr/>
      </xdr:nvSpPr>
      <xdr:spPr>
        <a:xfrm>
          <a:off x="9314906" y="427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27</xdr:row>
      <xdr:rowOff>76200</xdr:rowOff>
    </xdr:from>
    <xdr:to>
      <xdr:col>33</xdr:col>
      <xdr:colOff>41366</xdr:colOff>
      <xdr:row>27</xdr:row>
      <xdr:rowOff>76200</xdr:rowOff>
    </xdr:to>
    <xdr:cxnSp macro="">
      <xdr:nvCxnSpPr>
        <xdr:cNvPr id="6981" name="직선 화살표 연결선 6980">
          <a:extLst>
            <a:ext uri="{FF2B5EF4-FFF2-40B4-BE49-F238E27FC236}">
              <a16:creationId xmlns:a16="http://schemas.microsoft.com/office/drawing/2014/main" id="{F0A6A273-EB9E-4171-8648-FAD483E201DF}"/>
            </a:ext>
          </a:extLst>
        </xdr:cNvPr>
        <xdr:cNvCxnSpPr/>
      </xdr:nvCxnSpPr>
      <xdr:spPr>
        <a:xfrm>
          <a:off x="9314906"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26</xdr:row>
      <xdr:rowOff>19050</xdr:rowOff>
    </xdr:from>
    <xdr:to>
      <xdr:col>30</xdr:col>
      <xdr:colOff>41366</xdr:colOff>
      <xdr:row>26</xdr:row>
      <xdr:rowOff>133350</xdr:rowOff>
    </xdr:to>
    <xdr:sp macro="" textlink="">
      <xdr:nvSpPr>
        <xdr:cNvPr id="6982" name="직사각형 6981">
          <a:extLst>
            <a:ext uri="{FF2B5EF4-FFF2-40B4-BE49-F238E27FC236}">
              <a16:creationId xmlns:a16="http://schemas.microsoft.com/office/drawing/2014/main" id="{DA5B3097-350E-4EEB-89C0-6F9AD25077DD}"/>
            </a:ext>
          </a:extLst>
        </xdr:cNvPr>
        <xdr:cNvSpPr/>
      </xdr:nvSpPr>
      <xdr:spPr>
        <a:xfrm>
          <a:off x="8839200" y="4126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26</xdr:row>
      <xdr:rowOff>76200</xdr:rowOff>
    </xdr:from>
    <xdr:to>
      <xdr:col>30</xdr:col>
      <xdr:colOff>0</xdr:colOff>
      <xdr:row>26</xdr:row>
      <xdr:rowOff>76200</xdr:rowOff>
    </xdr:to>
    <xdr:cxnSp macro="">
      <xdr:nvCxnSpPr>
        <xdr:cNvPr id="6983" name="직선 화살표 연결선 6982">
          <a:extLst>
            <a:ext uri="{FF2B5EF4-FFF2-40B4-BE49-F238E27FC236}">
              <a16:creationId xmlns:a16="http://schemas.microsoft.com/office/drawing/2014/main" id="{4601E69D-523A-4967-95C0-5E4834747E72}"/>
            </a:ext>
          </a:extLst>
        </xdr:cNvPr>
        <xdr:cNvCxnSpPr/>
      </xdr:nvCxnSpPr>
      <xdr:spPr>
        <a:xfrm>
          <a:off x="8839200"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25</xdr:row>
      <xdr:rowOff>19050</xdr:rowOff>
    </xdr:from>
    <xdr:to>
      <xdr:col>29</xdr:col>
      <xdr:colOff>103414</xdr:colOff>
      <xdr:row>25</xdr:row>
      <xdr:rowOff>133350</xdr:rowOff>
    </xdr:to>
    <xdr:sp macro="" textlink="">
      <xdr:nvSpPr>
        <xdr:cNvPr id="6984" name="직사각형 6983">
          <a:extLst>
            <a:ext uri="{FF2B5EF4-FFF2-40B4-BE49-F238E27FC236}">
              <a16:creationId xmlns:a16="http://schemas.microsoft.com/office/drawing/2014/main" id="{29820A8E-6424-4B22-869E-7059325EF83F}"/>
            </a:ext>
          </a:extLst>
        </xdr:cNvPr>
        <xdr:cNvSpPr/>
      </xdr:nvSpPr>
      <xdr:spPr>
        <a:xfrm>
          <a:off x="8756469" y="3973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25</xdr:row>
      <xdr:rowOff>76200</xdr:rowOff>
    </xdr:from>
    <xdr:to>
      <xdr:col>29</xdr:col>
      <xdr:colOff>62049</xdr:colOff>
      <xdr:row>25</xdr:row>
      <xdr:rowOff>76200</xdr:rowOff>
    </xdr:to>
    <xdr:cxnSp macro="">
      <xdr:nvCxnSpPr>
        <xdr:cNvPr id="6985" name="직선 화살표 연결선 6984">
          <a:extLst>
            <a:ext uri="{FF2B5EF4-FFF2-40B4-BE49-F238E27FC236}">
              <a16:creationId xmlns:a16="http://schemas.microsoft.com/office/drawing/2014/main" id="{C0E01355-5466-4182-BBC7-744FA2A1E2F8}"/>
            </a:ext>
          </a:extLst>
        </xdr:cNvPr>
        <xdr:cNvCxnSpPr/>
      </xdr:nvCxnSpPr>
      <xdr:spPr>
        <a:xfrm>
          <a:off x="8756469"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24</xdr:row>
      <xdr:rowOff>19050</xdr:rowOff>
    </xdr:from>
    <xdr:to>
      <xdr:col>33</xdr:col>
      <xdr:colOff>62048</xdr:colOff>
      <xdr:row>24</xdr:row>
      <xdr:rowOff>133350</xdr:rowOff>
    </xdr:to>
    <xdr:sp macro="" textlink="">
      <xdr:nvSpPr>
        <xdr:cNvPr id="6986" name="직사각형 6985">
          <a:extLst>
            <a:ext uri="{FF2B5EF4-FFF2-40B4-BE49-F238E27FC236}">
              <a16:creationId xmlns:a16="http://schemas.microsoft.com/office/drawing/2014/main" id="{FD2036A2-C4C9-4702-9C8D-984EBF2B4FBB}"/>
            </a:ext>
          </a:extLst>
        </xdr:cNvPr>
        <xdr:cNvSpPr/>
      </xdr:nvSpPr>
      <xdr:spPr>
        <a:xfrm>
          <a:off x="8756469" y="3821430"/>
          <a:ext cx="5791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24</xdr:row>
      <xdr:rowOff>76200</xdr:rowOff>
    </xdr:from>
    <xdr:to>
      <xdr:col>29</xdr:col>
      <xdr:colOff>62049</xdr:colOff>
      <xdr:row>24</xdr:row>
      <xdr:rowOff>76200</xdr:rowOff>
    </xdr:to>
    <xdr:cxnSp macro="">
      <xdr:nvCxnSpPr>
        <xdr:cNvPr id="6987" name="직선 화살표 연결선 6986">
          <a:extLst>
            <a:ext uri="{FF2B5EF4-FFF2-40B4-BE49-F238E27FC236}">
              <a16:creationId xmlns:a16="http://schemas.microsoft.com/office/drawing/2014/main" id="{0D9EF7BA-4890-460A-8025-4183F7A54283}"/>
            </a:ext>
          </a:extLst>
        </xdr:cNvPr>
        <xdr:cNvCxnSpPr/>
      </xdr:nvCxnSpPr>
      <xdr:spPr>
        <a:xfrm>
          <a:off x="8756469"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22</xdr:row>
      <xdr:rowOff>19050</xdr:rowOff>
    </xdr:from>
    <xdr:to>
      <xdr:col>33</xdr:col>
      <xdr:colOff>62048</xdr:colOff>
      <xdr:row>22</xdr:row>
      <xdr:rowOff>133350</xdr:rowOff>
    </xdr:to>
    <xdr:sp macro="" textlink="">
      <xdr:nvSpPr>
        <xdr:cNvPr id="6988" name="직사각형 6987">
          <a:extLst>
            <a:ext uri="{FF2B5EF4-FFF2-40B4-BE49-F238E27FC236}">
              <a16:creationId xmlns:a16="http://schemas.microsoft.com/office/drawing/2014/main" id="{082FA018-7386-4991-943B-33BB2C810BAB}"/>
            </a:ext>
          </a:extLst>
        </xdr:cNvPr>
        <xdr:cNvSpPr/>
      </xdr:nvSpPr>
      <xdr:spPr>
        <a:xfrm>
          <a:off x="9314906" y="3516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22</xdr:row>
      <xdr:rowOff>76200</xdr:rowOff>
    </xdr:from>
    <xdr:to>
      <xdr:col>33</xdr:col>
      <xdr:colOff>41366</xdr:colOff>
      <xdr:row>22</xdr:row>
      <xdr:rowOff>76200</xdr:rowOff>
    </xdr:to>
    <xdr:cxnSp macro="">
      <xdr:nvCxnSpPr>
        <xdr:cNvPr id="6989" name="직선 화살표 연결선 6988">
          <a:extLst>
            <a:ext uri="{FF2B5EF4-FFF2-40B4-BE49-F238E27FC236}">
              <a16:creationId xmlns:a16="http://schemas.microsoft.com/office/drawing/2014/main" id="{1315862D-BA7A-470A-A36A-38BB44A6232A}"/>
            </a:ext>
          </a:extLst>
        </xdr:cNvPr>
        <xdr:cNvCxnSpPr/>
      </xdr:nvCxnSpPr>
      <xdr:spPr>
        <a:xfrm>
          <a:off x="9314906"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21</xdr:row>
      <xdr:rowOff>19050</xdr:rowOff>
    </xdr:from>
    <xdr:to>
      <xdr:col>29</xdr:col>
      <xdr:colOff>103414</xdr:colOff>
      <xdr:row>21</xdr:row>
      <xdr:rowOff>133350</xdr:rowOff>
    </xdr:to>
    <xdr:sp macro="" textlink="">
      <xdr:nvSpPr>
        <xdr:cNvPr id="6990" name="직사각형 6989">
          <a:extLst>
            <a:ext uri="{FF2B5EF4-FFF2-40B4-BE49-F238E27FC236}">
              <a16:creationId xmlns:a16="http://schemas.microsoft.com/office/drawing/2014/main" id="{E0A6595F-8A51-49D4-8283-B7646CD0547E}"/>
            </a:ext>
          </a:extLst>
        </xdr:cNvPr>
        <xdr:cNvSpPr/>
      </xdr:nvSpPr>
      <xdr:spPr>
        <a:xfrm>
          <a:off x="8756469" y="3364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21</xdr:row>
      <xdr:rowOff>76200</xdr:rowOff>
    </xdr:from>
    <xdr:to>
      <xdr:col>29</xdr:col>
      <xdr:colOff>62049</xdr:colOff>
      <xdr:row>21</xdr:row>
      <xdr:rowOff>76200</xdr:rowOff>
    </xdr:to>
    <xdr:cxnSp macro="">
      <xdr:nvCxnSpPr>
        <xdr:cNvPr id="6991" name="직선 화살표 연결선 6990">
          <a:extLst>
            <a:ext uri="{FF2B5EF4-FFF2-40B4-BE49-F238E27FC236}">
              <a16:creationId xmlns:a16="http://schemas.microsoft.com/office/drawing/2014/main" id="{D21829EA-2A3B-4B88-9720-4BE12D81A015}"/>
            </a:ext>
          </a:extLst>
        </xdr:cNvPr>
        <xdr:cNvCxnSpPr/>
      </xdr:nvCxnSpPr>
      <xdr:spPr>
        <a:xfrm>
          <a:off x="8756469"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20</xdr:row>
      <xdr:rowOff>19050</xdr:rowOff>
    </xdr:from>
    <xdr:to>
      <xdr:col>29</xdr:col>
      <xdr:colOff>62049</xdr:colOff>
      <xdr:row>20</xdr:row>
      <xdr:rowOff>133350</xdr:rowOff>
    </xdr:to>
    <xdr:sp macro="" textlink="">
      <xdr:nvSpPr>
        <xdr:cNvPr id="6992" name="직사각형 6991">
          <a:extLst>
            <a:ext uri="{FF2B5EF4-FFF2-40B4-BE49-F238E27FC236}">
              <a16:creationId xmlns:a16="http://schemas.microsoft.com/office/drawing/2014/main" id="{D54FC3C2-AC91-4FD8-A96B-1DC277003228}"/>
            </a:ext>
          </a:extLst>
        </xdr:cNvPr>
        <xdr:cNvSpPr/>
      </xdr:nvSpPr>
      <xdr:spPr>
        <a:xfrm>
          <a:off x="8715103" y="3211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20</xdr:row>
      <xdr:rowOff>76200</xdr:rowOff>
    </xdr:from>
    <xdr:to>
      <xdr:col>29</xdr:col>
      <xdr:colOff>20683</xdr:colOff>
      <xdr:row>20</xdr:row>
      <xdr:rowOff>76200</xdr:rowOff>
    </xdr:to>
    <xdr:cxnSp macro="">
      <xdr:nvCxnSpPr>
        <xdr:cNvPr id="6993" name="직선 화살표 연결선 6992">
          <a:extLst>
            <a:ext uri="{FF2B5EF4-FFF2-40B4-BE49-F238E27FC236}">
              <a16:creationId xmlns:a16="http://schemas.microsoft.com/office/drawing/2014/main" id="{EA3C0158-FDD4-48D2-963E-F9055028CB79}"/>
            </a:ext>
          </a:extLst>
        </xdr:cNvPr>
        <xdr:cNvCxnSpPr/>
      </xdr:nvCxnSpPr>
      <xdr:spPr>
        <a:xfrm>
          <a:off x="8715103"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19</xdr:row>
      <xdr:rowOff>19050</xdr:rowOff>
    </xdr:from>
    <xdr:to>
      <xdr:col>33</xdr:col>
      <xdr:colOff>62048</xdr:colOff>
      <xdr:row>19</xdr:row>
      <xdr:rowOff>133350</xdr:rowOff>
    </xdr:to>
    <xdr:sp macro="" textlink="">
      <xdr:nvSpPr>
        <xdr:cNvPr id="6994" name="직사각형 6993">
          <a:extLst>
            <a:ext uri="{FF2B5EF4-FFF2-40B4-BE49-F238E27FC236}">
              <a16:creationId xmlns:a16="http://schemas.microsoft.com/office/drawing/2014/main" id="{6427E1DE-9D4B-4A7E-A800-ADCE8780D062}"/>
            </a:ext>
          </a:extLst>
        </xdr:cNvPr>
        <xdr:cNvSpPr/>
      </xdr:nvSpPr>
      <xdr:spPr>
        <a:xfrm>
          <a:off x="8715103" y="3059430"/>
          <a:ext cx="620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19</xdr:row>
      <xdr:rowOff>76200</xdr:rowOff>
    </xdr:from>
    <xdr:to>
      <xdr:col>29</xdr:col>
      <xdr:colOff>20683</xdr:colOff>
      <xdr:row>19</xdr:row>
      <xdr:rowOff>76200</xdr:rowOff>
    </xdr:to>
    <xdr:cxnSp macro="">
      <xdr:nvCxnSpPr>
        <xdr:cNvPr id="6995" name="직선 화살표 연결선 6994">
          <a:extLst>
            <a:ext uri="{FF2B5EF4-FFF2-40B4-BE49-F238E27FC236}">
              <a16:creationId xmlns:a16="http://schemas.microsoft.com/office/drawing/2014/main" id="{112CFB4C-3D76-4B3F-81A7-9D5E110A26DA}"/>
            </a:ext>
          </a:extLst>
        </xdr:cNvPr>
        <xdr:cNvCxnSpPr/>
      </xdr:nvCxnSpPr>
      <xdr:spPr>
        <a:xfrm>
          <a:off x="871510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17</xdr:row>
      <xdr:rowOff>19050</xdr:rowOff>
    </xdr:from>
    <xdr:to>
      <xdr:col>29</xdr:col>
      <xdr:colOff>62049</xdr:colOff>
      <xdr:row>17</xdr:row>
      <xdr:rowOff>133350</xdr:rowOff>
    </xdr:to>
    <xdr:sp macro="" textlink="">
      <xdr:nvSpPr>
        <xdr:cNvPr id="6996" name="직사각형 6995">
          <a:extLst>
            <a:ext uri="{FF2B5EF4-FFF2-40B4-BE49-F238E27FC236}">
              <a16:creationId xmlns:a16="http://schemas.microsoft.com/office/drawing/2014/main" id="{1BFC61A9-81E8-47FB-A4A6-F252B848866D}"/>
            </a:ext>
          </a:extLst>
        </xdr:cNvPr>
        <xdr:cNvSpPr/>
      </xdr:nvSpPr>
      <xdr:spPr>
        <a:xfrm>
          <a:off x="8735785" y="2754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17</xdr:row>
      <xdr:rowOff>76200</xdr:rowOff>
    </xdr:from>
    <xdr:to>
      <xdr:col>29</xdr:col>
      <xdr:colOff>41365</xdr:colOff>
      <xdr:row>17</xdr:row>
      <xdr:rowOff>76200</xdr:rowOff>
    </xdr:to>
    <xdr:cxnSp macro="">
      <xdr:nvCxnSpPr>
        <xdr:cNvPr id="6997" name="직선 화살표 연결선 6996">
          <a:extLst>
            <a:ext uri="{FF2B5EF4-FFF2-40B4-BE49-F238E27FC236}">
              <a16:creationId xmlns:a16="http://schemas.microsoft.com/office/drawing/2014/main" id="{6FB7A1CF-16C9-440C-AB73-7F6441721DA9}"/>
            </a:ext>
          </a:extLst>
        </xdr:cNvPr>
        <xdr:cNvCxnSpPr/>
      </xdr:nvCxnSpPr>
      <xdr:spPr>
        <a:xfrm>
          <a:off x="8735785"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16</xdr:row>
      <xdr:rowOff>19050</xdr:rowOff>
    </xdr:from>
    <xdr:to>
      <xdr:col>29</xdr:col>
      <xdr:colOff>41365</xdr:colOff>
      <xdr:row>16</xdr:row>
      <xdr:rowOff>133350</xdr:rowOff>
    </xdr:to>
    <xdr:sp macro="" textlink="">
      <xdr:nvSpPr>
        <xdr:cNvPr id="6998" name="직사각형 6997">
          <a:extLst>
            <a:ext uri="{FF2B5EF4-FFF2-40B4-BE49-F238E27FC236}">
              <a16:creationId xmlns:a16="http://schemas.microsoft.com/office/drawing/2014/main" id="{EF43B907-655B-499E-A452-E783505055D5}"/>
            </a:ext>
          </a:extLst>
        </xdr:cNvPr>
        <xdr:cNvSpPr/>
      </xdr:nvSpPr>
      <xdr:spPr>
        <a:xfrm>
          <a:off x="8715103" y="2602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16</xdr:row>
      <xdr:rowOff>76200</xdr:rowOff>
    </xdr:from>
    <xdr:to>
      <xdr:col>29</xdr:col>
      <xdr:colOff>20683</xdr:colOff>
      <xdr:row>16</xdr:row>
      <xdr:rowOff>76200</xdr:rowOff>
    </xdr:to>
    <xdr:cxnSp macro="">
      <xdr:nvCxnSpPr>
        <xdr:cNvPr id="6999" name="직선 화살표 연결선 6998">
          <a:extLst>
            <a:ext uri="{FF2B5EF4-FFF2-40B4-BE49-F238E27FC236}">
              <a16:creationId xmlns:a16="http://schemas.microsoft.com/office/drawing/2014/main" id="{BAC6DE7D-6C5B-4B0C-85B3-D9B90256C11E}"/>
            </a:ext>
          </a:extLst>
        </xdr:cNvPr>
        <xdr:cNvCxnSpPr/>
      </xdr:nvCxnSpPr>
      <xdr:spPr>
        <a:xfrm>
          <a:off x="871510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15</xdr:row>
      <xdr:rowOff>19050</xdr:rowOff>
    </xdr:from>
    <xdr:to>
      <xdr:col>29</xdr:col>
      <xdr:colOff>20683</xdr:colOff>
      <xdr:row>15</xdr:row>
      <xdr:rowOff>133350</xdr:rowOff>
    </xdr:to>
    <xdr:sp macro="" textlink="">
      <xdr:nvSpPr>
        <xdr:cNvPr id="7000" name="직사각형 6999">
          <a:extLst>
            <a:ext uri="{FF2B5EF4-FFF2-40B4-BE49-F238E27FC236}">
              <a16:creationId xmlns:a16="http://schemas.microsoft.com/office/drawing/2014/main" id="{94C4A301-9145-4BB7-A11F-B1FC300C284A}"/>
            </a:ext>
          </a:extLst>
        </xdr:cNvPr>
        <xdr:cNvSpPr/>
      </xdr:nvSpPr>
      <xdr:spPr>
        <a:xfrm>
          <a:off x="8694420" y="244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15</xdr:row>
      <xdr:rowOff>76200</xdr:rowOff>
    </xdr:from>
    <xdr:to>
      <xdr:col>29</xdr:col>
      <xdr:colOff>0</xdr:colOff>
      <xdr:row>15</xdr:row>
      <xdr:rowOff>76200</xdr:rowOff>
    </xdr:to>
    <xdr:cxnSp macro="">
      <xdr:nvCxnSpPr>
        <xdr:cNvPr id="7001" name="직선 화살표 연결선 7000">
          <a:extLst>
            <a:ext uri="{FF2B5EF4-FFF2-40B4-BE49-F238E27FC236}">
              <a16:creationId xmlns:a16="http://schemas.microsoft.com/office/drawing/2014/main" id="{A5C34636-9BAA-49F2-BB3D-F75AC5A9C5B9}"/>
            </a:ext>
          </a:extLst>
        </xdr:cNvPr>
        <xdr:cNvCxnSpPr/>
      </xdr:nvCxnSpPr>
      <xdr:spPr>
        <a:xfrm>
          <a:off x="869442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14</xdr:row>
      <xdr:rowOff>19050</xdr:rowOff>
    </xdr:from>
    <xdr:to>
      <xdr:col>29</xdr:col>
      <xdr:colOff>62049</xdr:colOff>
      <xdr:row>14</xdr:row>
      <xdr:rowOff>133350</xdr:rowOff>
    </xdr:to>
    <xdr:sp macro="" textlink="">
      <xdr:nvSpPr>
        <xdr:cNvPr id="7002" name="직사각형 7001">
          <a:extLst>
            <a:ext uri="{FF2B5EF4-FFF2-40B4-BE49-F238E27FC236}">
              <a16:creationId xmlns:a16="http://schemas.microsoft.com/office/drawing/2014/main" id="{4E6321E1-C30B-4364-890D-2953ABC095F9}"/>
            </a:ext>
          </a:extLst>
        </xdr:cNvPr>
        <xdr:cNvSpPr/>
      </xdr:nvSpPr>
      <xdr:spPr>
        <a:xfrm>
          <a:off x="8694420" y="2297430"/>
          <a:ext cx="62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14</xdr:row>
      <xdr:rowOff>76200</xdr:rowOff>
    </xdr:from>
    <xdr:to>
      <xdr:col>29</xdr:col>
      <xdr:colOff>0</xdr:colOff>
      <xdr:row>14</xdr:row>
      <xdr:rowOff>76200</xdr:rowOff>
    </xdr:to>
    <xdr:cxnSp macro="">
      <xdr:nvCxnSpPr>
        <xdr:cNvPr id="7003" name="직선 화살표 연결선 7002">
          <a:extLst>
            <a:ext uri="{FF2B5EF4-FFF2-40B4-BE49-F238E27FC236}">
              <a16:creationId xmlns:a16="http://schemas.microsoft.com/office/drawing/2014/main" id="{4F549E6B-2480-49A8-B5E2-7E638D84DB64}"/>
            </a:ext>
          </a:extLst>
        </xdr:cNvPr>
        <xdr:cNvCxnSpPr/>
      </xdr:nvCxnSpPr>
      <xdr:spPr>
        <a:xfrm>
          <a:off x="8694420"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12</xdr:row>
      <xdr:rowOff>19050</xdr:rowOff>
    </xdr:from>
    <xdr:to>
      <xdr:col>29</xdr:col>
      <xdr:colOff>62049</xdr:colOff>
      <xdr:row>12</xdr:row>
      <xdr:rowOff>133350</xdr:rowOff>
    </xdr:to>
    <xdr:sp macro="" textlink="">
      <xdr:nvSpPr>
        <xdr:cNvPr id="7004" name="직사각형 7003">
          <a:extLst>
            <a:ext uri="{FF2B5EF4-FFF2-40B4-BE49-F238E27FC236}">
              <a16:creationId xmlns:a16="http://schemas.microsoft.com/office/drawing/2014/main" id="{DA360C4D-C52C-4605-9F48-A7A75F10FD43}"/>
            </a:ext>
          </a:extLst>
        </xdr:cNvPr>
        <xdr:cNvSpPr/>
      </xdr:nvSpPr>
      <xdr:spPr>
        <a:xfrm>
          <a:off x="8735785" y="1992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12</xdr:row>
      <xdr:rowOff>76200</xdr:rowOff>
    </xdr:from>
    <xdr:to>
      <xdr:col>29</xdr:col>
      <xdr:colOff>41365</xdr:colOff>
      <xdr:row>12</xdr:row>
      <xdr:rowOff>76200</xdr:rowOff>
    </xdr:to>
    <xdr:cxnSp macro="">
      <xdr:nvCxnSpPr>
        <xdr:cNvPr id="7005" name="직선 화살표 연결선 7004">
          <a:extLst>
            <a:ext uri="{FF2B5EF4-FFF2-40B4-BE49-F238E27FC236}">
              <a16:creationId xmlns:a16="http://schemas.microsoft.com/office/drawing/2014/main" id="{748930AF-92D5-45A5-BCF0-E1629D37000B}"/>
            </a:ext>
          </a:extLst>
        </xdr:cNvPr>
        <xdr:cNvCxnSpPr/>
      </xdr:nvCxnSpPr>
      <xdr:spPr>
        <a:xfrm>
          <a:off x="8735785"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11</xdr:row>
      <xdr:rowOff>19050</xdr:rowOff>
    </xdr:from>
    <xdr:to>
      <xdr:col>29</xdr:col>
      <xdr:colOff>20683</xdr:colOff>
      <xdr:row>11</xdr:row>
      <xdr:rowOff>133350</xdr:rowOff>
    </xdr:to>
    <xdr:sp macro="" textlink="">
      <xdr:nvSpPr>
        <xdr:cNvPr id="7006" name="직사각형 7005">
          <a:extLst>
            <a:ext uri="{FF2B5EF4-FFF2-40B4-BE49-F238E27FC236}">
              <a16:creationId xmlns:a16="http://schemas.microsoft.com/office/drawing/2014/main" id="{712A6125-BD97-4498-B75D-5AB4AFB21C90}"/>
            </a:ext>
          </a:extLst>
        </xdr:cNvPr>
        <xdr:cNvSpPr/>
      </xdr:nvSpPr>
      <xdr:spPr>
        <a:xfrm>
          <a:off x="8694420" y="1840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11</xdr:row>
      <xdr:rowOff>76200</xdr:rowOff>
    </xdr:from>
    <xdr:to>
      <xdr:col>29</xdr:col>
      <xdr:colOff>0</xdr:colOff>
      <xdr:row>11</xdr:row>
      <xdr:rowOff>76200</xdr:rowOff>
    </xdr:to>
    <xdr:cxnSp macro="">
      <xdr:nvCxnSpPr>
        <xdr:cNvPr id="7007" name="직선 화살표 연결선 7006">
          <a:extLst>
            <a:ext uri="{FF2B5EF4-FFF2-40B4-BE49-F238E27FC236}">
              <a16:creationId xmlns:a16="http://schemas.microsoft.com/office/drawing/2014/main" id="{CF62B2B5-42D9-4AA9-B4BC-4538622BB072}"/>
            </a:ext>
          </a:extLst>
        </xdr:cNvPr>
        <xdr:cNvCxnSpPr/>
      </xdr:nvCxnSpPr>
      <xdr:spPr>
        <a:xfrm>
          <a:off x="8694420"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10</xdr:row>
      <xdr:rowOff>19050</xdr:rowOff>
    </xdr:from>
    <xdr:to>
      <xdr:col>28</xdr:col>
      <xdr:colOff>103414</xdr:colOff>
      <xdr:row>10</xdr:row>
      <xdr:rowOff>133350</xdr:rowOff>
    </xdr:to>
    <xdr:sp macro="" textlink="">
      <xdr:nvSpPr>
        <xdr:cNvPr id="7008" name="직사각형 7007">
          <a:extLst>
            <a:ext uri="{FF2B5EF4-FFF2-40B4-BE49-F238E27FC236}">
              <a16:creationId xmlns:a16="http://schemas.microsoft.com/office/drawing/2014/main" id="{ED9175EB-BBDE-448F-ADDD-6EE8B5B18814}"/>
            </a:ext>
          </a:extLst>
        </xdr:cNvPr>
        <xdr:cNvSpPr/>
      </xdr:nvSpPr>
      <xdr:spPr>
        <a:xfrm>
          <a:off x="8611688" y="168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10</xdr:row>
      <xdr:rowOff>76200</xdr:rowOff>
    </xdr:from>
    <xdr:to>
      <xdr:col>28</xdr:col>
      <xdr:colOff>62048</xdr:colOff>
      <xdr:row>10</xdr:row>
      <xdr:rowOff>76200</xdr:rowOff>
    </xdr:to>
    <xdr:cxnSp macro="">
      <xdr:nvCxnSpPr>
        <xdr:cNvPr id="7009" name="직선 화살표 연결선 7008">
          <a:extLst>
            <a:ext uri="{FF2B5EF4-FFF2-40B4-BE49-F238E27FC236}">
              <a16:creationId xmlns:a16="http://schemas.microsoft.com/office/drawing/2014/main" id="{8B6DF64B-E645-47E2-B859-DA5B0E2606A5}"/>
            </a:ext>
          </a:extLst>
        </xdr:cNvPr>
        <xdr:cNvCxnSpPr/>
      </xdr:nvCxnSpPr>
      <xdr:spPr>
        <a:xfrm>
          <a:off x="8611688"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9</xdr:row>
      <xdr:rowOff>19050</xdr:rowOff>
    </xdr:from>
    <xdr:to>
      <xdr:col>29</xdr:col>
      <xdr:colOff>62049</xdr:colOff>
      <xdr:row>9</xdr:row>
      <xdr:rowOff>133350</xdr:rowOff>
    </xdr:to>
    <xdr:sp macro="" textlink="">
      <xdr:nvSpPr>
        <xdr:cNvPr id="7010" name="직사각형 7009">
          <a:extLst>
            <a:ext uri="{FF2B5EF4-FFF2-40B4-BE49-F238E27FC236}">
              <a16:creationId xmlns:a16="http://schemas.microsoft.com/office/drawing/2014/main" id="{71DE36EC-EB44-4289-8935-12E9E91DF53F}"/>
            </a:ext>
          </a:extLst>
        </xdr:cNvPr>
        <xdr:cNvSpPr/>
      </xdr:nvSpPr>
      <xdr:spPr>
        <a:xfrm>
          <a:off x="8611688" y="15354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9</xdr:row>
      <xdr:rowOff>76200</xdr:rowOff>
    </xdr:from>
    <xdr:to>
      <xdr:col>28</xdr:col>
      <xdr:colOff>62048</xdr:colOff>
      <xdr:row>9</xdr:row>
      <xdr:rowOff>76200</xdr:rowOff>
    </xdr:to>
    <xdr:cxnSp macro="">
      <xdr:nvCxnSpPr>
        <xdr:cNvPr id="7011" name="직선 화살표 연결선 7010">
          <a:extLst>
            <a:ext uri="{FF2B5EF4-FFF2-40B4-BE49-F238E27FC236}">
              <a16:creationId xmlns:a16="http://schemas.microsoft.com/office/drawing/2014/main" id="{F22927AE-2D8B-49F9-97F7-578811105383}"/>
            </a:ext>
          </a:extLst>
        </xdr:cNvPr>
        <xdr:cNvCxnSpPr/>
      </xdr:nvCxnSpPr>
      <xdr:spPr>
        <a:xfrm>
          <a:off x="8611688"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7</xdr:row>
      <xdr:rowOff>19050</xdr:rowOff>
    </xdr:from>
    <xdr:to>
      <xdr:col>29</xdr:col>
      <xdr:colOff>62049</xdr:colOff>
      <xdr:row>7</xdr:row>
      <xdr:rowOff>133350</xdr:rowOff>
    </xdr:to>
    <xdr:sp macro="" textlink="">
      <xdr:nvSpPr>
        <xdr:cNvPr id="7012" name="직사각형 7011">
          <a:extLst>
            <a:ext uri="{FF2B5EF4-FFF2-40B4-BE49-F238E27FC236}">
              <a16:creationId xmlns:a16="http://schemas.microsoft.com/office/drawing/2014/main" id="{DF7ACE30-B355-4255-9036-F03F934A0327}"/>
            </a:ext>
          </a:extLst>
        </xdr:cNvPr>
        <xdr:cNvSpPr/>
      </xdr:nvSpPr>
      <xdr:spPr>
        <a:xfrm>
          <a:off x="8735785" y="1230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7</xdr:row>
      <xdr:rowOff>76200</xdr:rowOff>
    </xdr:from>
    <xdr:to>
      <xdr:col>29</xdr:col>
      <xdr:colOff>41365</xdr:colOff>
      <xdr:row>7</xdr:row>
      <xdr:rowOff>76200</xdr:rowOff>
    </xdr:to>
    <xdr:cxnSp macro="">
      <xdr:nvCxnSpPr>
        <xdr:cNvPr id="7013" name="직선 화살표 연결선 7012">
          <a:extLst>
            <a:ext uri="{FF2B5EF4-FFF2-40B4-BE49-F238E27FC236}">
              <a16:creationId xmlns:a16="http://schemas.microsoft.com/office/drawing/2014/main" id="{9C9C6067-2E6D-412F-9BB2-3AF96BEFFB17}"/>
            </a:ext>
          </a:extLst>
        </xdr:cNvPr>
        <xdr:cNvCxnSpPr/>
      </xdr:nvCxnSpPr>
      <xdr:spPr>
        <a:xfrm>
          <a:off x="8735785"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6</xdr:row>
      <xdr:rowOff>19050</xdr:rowOff>
    </xdr:from>
    <xdr:to>
      <xdr:col>28</xdr:col>
      <xdr:colOff>82732</xdr:colOff>
      <xdr:row>6</xdr:row>
      <xdr:rowOff>133350</xdr:rowOff>
    </xdr:to>
    <xdr:sp macro="" textlink="">
      <xdr:nvSpPr>
        <xdr:cNvPr id="7014" name="직사각형 7013">
          <a:extLst>
            <a:ext uri="{FF2B5EF4-FFF2-40B4-BE49-F238E27FC236}">
              <a16:creationId xmlns:a16="http://schemas.microsoft.com/office/drawing/2014/main" id="{FC81CC84-8601-4214-B893-A9B61961DDD0}"/>
            </a:ext>
          </a:extLst>
        </xdr:cNvPr>
        <xdr:cNvSpPr/>
      </xdr:nvSpPr>
      <xdr:spPr>
        <a:xfrm>
          <a:off x="8611688" y="1078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6</xdr:row>
      <xdr:rowOff>76200</xdr:rowOff>
    </xdr:from>
    <xdr:to>
      <xdr:col>28</xdr:col>
      <xdr:colOff>62048</xdr:colOff>
      <xdr:row>6</xdr:row>
      <xdr:rowOff>76200</xdr:rowOff>
    </xdr:to>
    <xdr:cxnSp macro="">
      <xdr:nvCxnSpPr>
        <xdr:cNvPr id="7015" name="직선 화살표 연결선 7014">
          <a:extLst>
            <a:ext uri="{FF2B5EF4-FFF2-40B4-BE49-F238E27FC236}">
              <a16:creationId xmlns:a16="http://schemas.microsoft.com/office/drawing/2014/main" id="{CA288F61-C429-43AC-AFEA-E04AD542D3BF}"/>
            </a:ext>
          </a:extLst>
        </xdr:cNvPr>
        <xdr:cNvCxnSpPr/>
      </xdr:nvCxnSpPr>
      <xdr:spPr>
        <a:xfrm>
          <a:off x="8611688"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28</xdr:col>
      <xdr:colOff>62048</xdr:colOff>
      <xdr:row>5</xdr:row>
      <xdr:rowOff>133350</xdr:rowOff>
    </xdr:to>
    <xdr:sp macro="" textlink="">
      <xdr:nvSpPr>
        <xdr:cNvPr id="7016" name="직사각형 7015">
          <a:extLst>
            <a:ext uri="{FF2B5EF4-FFF2-40B4-BE49-F238E27FC236}">
              <a16:creationId xmlns:a16="http://schemas.microsoft.com/office/drawing/2014/main" id="{C7766C0B-1291-44F3-8DF0-7F3F79121C7C}"/>
            </a:ext>
          </a:extLst>
        </xdr:cNvPr>
        <xdr:cNvSpPr/>
      </xdr:nvSpPr>
      <xdr:spPr>
        <a:xfrm>
          <a:off x="8570323" y="925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28</xdr:col>
      <xdr:colOff>20683</xdr:colOff>
      <xdr:row>5</xdr:row>
      <xdr:rowOff>76200</xdr:rowOff>
    </xdr:to>
    <xdr:cxnSp macro="">
      <xdr:nvCxnSpPr>
        <xdr:cNvPr id="7017" name="직선 화살표 연결선 7016">
          <a:extLst>
            <a:ext uri="{FF2B5EF4-FFF2-40B4-BE49-F238E27FC236}">
              <a16:creationId xmlns:a16="http://schemas.microsoft.com/office/drawing/2014/main" id="{7A76AD71-55F3-497F-93B3-3F2721E34692}"/>
            </a:ext>
          </a:extLst>
        </xdr:cNvPr>
        <xdr:cNvCxnSpPr/>
      </xdr:nvCxnSpPr>
      <xdr:spPr>
        <a:xfrm>
          <a:off x="85703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29</xdr:col>
      <xdr:colOff>62049</xdr:colOff>
      <xdr:row>4</xdr:row>
      <xdr:rowOff>133350</xdr:rowOff>
    </xdr:to>
    <xdr:sp macro="" textlink="">
      <xdr:nvSpPr>
        <xdr:cNvPr id="7018" name="직사각형 7017">
          <a:extLst>
            <a:ext uri="{FF2B5EF4-FFF2-40B4-BE49-F238E27FC236}">
              <a16:creationId xmlns:a16="http://schemas.microsoft.com/office/drawing/2014/main" id="{9DBB3C5C-04BA-4B55-B481-2EEFEE1F2AA0}"/>
            </a:ext>
          </a:extLst>
        </xdr:cNvPr>
        <xdr:cNvSpPr/>
      </xdr:nvSpPr>
      <xdr:spPr>
        <a:xfrm>
          <a:off x="8570323" y="773430"/>
          <a:ext cx="1861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28</xdr:col>
      <xdr:colOff>20683</xdr:colOff>
      <xdr:row>4</xdr:row>
      <xdr:rowOff>76200</xdr:rowOff>
    </xdr:to>
    <xdr:cxnSp macro="">
      <xdr:nvCxnSpPr>
        <xdr:cNvPr id="7019" name="직선 화살표 연결선 7018">
          <a:extLst>
            <a:ext uri="{FF2B5EF4-FFF2-40B4-BE49-F238E27FC236}">
              <a16:creationId xmlns:a16="http://schemas.microsoft.com/office/drawing/2014/main" id="{2A46F937-ACD7-4AED-85DF-67754EEBC32E}"/>
            </a:ext>
          </a:extLst>
        </xdr:cNvPr>
        <xdr:cNvCxnSpPr/>
      </xdr:nvCxnSpPr>
      <xdr:spPr>
        <a:xfrm>
          <a:off x="85703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1002</v>
      </c>
      <c r="D8" s="101">
        <v>1</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1025</v>
      </c>
      <c r="D11" s="99" t="s">
        <v>25</v>
      </c>
      <c r="E11" s="108">
        <v>1</v>
      </c>
      <c r="F11" s="109" t="s">
        <v>26</v>
      </c>
      <c r="G11" s="110">
        <v>44396</v>
      </c>
      <c r="H11" s="109" t="s">
        <v>27</v>
      </c>
      <c r="I11" s="110">
        <v>44433</v>
      </c>
      <c r="J11" s="102" t="s">
        <v>417</v>
      </c>
      <c r="K11" s="102" t="s">
        <v>1003</v>
      </c>
      <c r="L11" s="102" t="s">
        <v>414</v>
      </c>
      <c r="M11" s="102">
        <v>0</v>
      </c>
      <c r="N11" s="107" t="s">
        <v>28</v>
      </c>
      <c r="O11" s="99">
        <v>0</v>
      </c>
      <c r="P11" s="99" t="s">
        <v>29</v>
      </c>
      <c r="Q11" s="107" t="s">
        <v>1007</v>
      </c>
      <c r="R11" s="102" t="s">
        <v>419</v>
      </c>
      <c r="S11" s="102">
        <v>2</v>
      </c>
      <c r="T11" s="102" t="s">
        <v>424</v>
      </c>
      <c r="U11" s="102">
        <v>0</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1</v>
      </c>
      <c r="D13" s="107" t="s">
        <v>31</v>
      </c>
      <c r="E13" s="99" t="s">
        <v>1008</v>
      </c>
      <c r="F13" s="99" t="s">
        <v>32</v>
      </c>
      <c r="G13" s="109" t="s">
        <v>1026</v>
      </c>
      <c r="H13" s="109" t="s">
        <v>33</v>
      </c>
      <c r="I13" s="102" t="s">
        <v>966</v>
      </c>
    </row>
    <row r="14" spans="1:64">
      <c r="A14" s="101" t="s">
        <v>402</v>
      </c>
      <c r="B14" s="108" t="s">
        <v>34</v>
      </c>
      <c r="C14" s="108" t="s">
        <v>1009</v>
      </c>
      <c r="D14" s="108" t="s">
        <v>35</v>
      </c>
      <c r="E14" s="108" t="s">
        <v>1010</v>
      </c>
      <c r="F14" s="108" t="s">
        <v>36</v>
      </c>
      <c r="G14" s="108" t="s">
        <v>993</v>
      </c>
      <c r="H14" s="108" t="s">
        <v>37</v>
      </c>
      <c r="I14" s="108" t="b">
        <v>0</v>
      </c>
      <c r="J14" s="108" t="s">
        <v>38</v>
      </c>
      <c r="K14" s="108" t="s">
        <v>999</v>
      </c>
      <c r="L14" s="108" t="s">
        <v>39</v>
      </c>
      <c r="M14" s="108" t="s">
        <v>994</v>
      </c>
      <c r="N14" s="108" t="s">
        <v>40</v>
      </c>
      <c r="O14" s="108" t="s">
        <v>993</v>
      </c>
      <c r="P14" s="108" t="s">
        <v>41</v>
      </c>
      <c r="Q14" s="108" t="b">
        <v>0</v>
      </c>
      <c r="R14" s="108" t="s">
        <v>42</v>
      </c>
      <c r="S14" s="108" t="s">
        <v>1011</v>
      </c>
      <c r="T14" s="108" t="s">
        <v>43</v>
      </c>
      <c r="U14" s="108" t="s">
        <v>1000</v>
      </c>
      <c r="V14" s="108" t="s">
        <v>44</v>
      </c>
      <c r="W14" s="108" t="s">
        <v>993</v>
      </c>
      <c r="X14" s="108" t="s">
        <v>45</v>
      </c>
      <c r="Y14" s="108" t="b">
        <v>1</v>
      </c>
      <c r="Z14" s="108" t="s">
        <v>46</v>
      </c>
      <c r="AA14" s="108" t="s">
        <v>995</v>
      </c>
      <c r="AB14" s="108" t="s">
        <v>47</v>
      </c>
      <c r="AC14" s="108" t="s">
        <v>1001</v>
      </c>
      <c r="AD14" s="108" t="s">
        <v>48</v>
      </c>
      <c r="AE14" s="108" t="s">
        <v>1012</v>
      </c>
      <c r="AF14" s="108" t="s">
        <v>49</v>
      </c>
      <c r="AG14" s="108" t="b">
        <v>1</v>
      </c>
      <c r="AH14" s="108" t="s">
        <v>50</v>
      </c>
      <c r="AI14" s="108" t="s">
        <v>996</v>
      </c>
      <c r="AJ14" s="108" t="s">
        <v>51</v>
      </c>
      <c r="AK14" s="108" t="s">
        <v>990</v>
      </c>
      <c r="AL14" s="108" t="s">
        <v>52</v>
      </c>
      <c r="AM14" s="108" t="s">
        <v>1013</v>
      </c>
      <c r="AN14" s="108" t="s">
        <v>53</v>
      </c>
      <c r="AO14" s="108" t="b">
        <v>0</v>
      </c>
      <c r="AP14" s="108" t="s">
        <v>54</v>
      </c>
      <c r="AQ14" s="108" t="s">
        <v>988</v>
      </c>
      <c r="AR14" s="108" t="s">
        <v>55</v>
      </c>
      <c r="AS14" s="108" t="s">
        <v>991</v>
      </c>
      <c r="AT14" s="108" t="s">
        <v>56</v>
      </c>
      <c r="AU14" s="108" t="s">
        <v>997</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1</v>
      </c>
      <c r="D15" s="102" t="s">
        <v>412</v>
      </c>
      <c r="E15" s="102">
        <v>1</v>
      </c>
      <c r="F15" s="102" t="s">
        <v>415</v>
      </c>
      <c r="G15" s="102" t="s">
        <v>992</v>
      </c>
      <c r="H15" s="102" t="s">
        <v>416</v>
      </c>
      <c r="I15" s="102">
        <v>1</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908</v>
      </c>
      <c r="B1" s="124" t="s">
        <v>909</v>
      </c>
      <c r="C1" s="125" t="s">
        <v>910</v>
      </c>
      <c r="D1" s="125" t="s">
        <v>66</v>
      </c>
      <c r="E1" s="125" t="s">
        <v>67</v>
      </c>
    </row>
    <row r="2" spans="1:5" ht="79.2">
      <c r="A2" s="126" t="s">
        <v>1014</v>
      </c>
      <c r="B2" s="139">
        <v>1</v>
      </c>
      <c r="D2" s="127" t="s">
        <v>911</v>
      </c>
      <c r="E2" s="140" t="s">
        <v>587</v>
      </c>
    </row>
    <row r="3" spans="1:5" ht="112.5" customHeight="1">
      <c r="A3" s="128">
        <v>450</v>
      </c>
      <c r="B3" s="139">
        <v>2</v>
      </c>
      <c r="D3" s="127" t="s">
        <v>514</v>
      </c>
      <c r="E3" s="140" t="s">
        <v>912</v>
      </c>
    </row>
    <row r="4" spans="1:5" ht="52.8">
      <c r="B4" s="139">
        <v>3</v>
      </c>
      <c r="D4" s="127" t="s">
        <v>913</v>
      </c>
      <c r="E4" s="140" t="s">
        <v>588</v>
      </c>
    </row>
    <row r="5" spans="1:5" ht="52.8">
      <c r="B5" s="139">
        <v>4</v>
      </c>
      <c r="D5" s="127" t="s">
        <v>914</v>
      </c>
      <c r="E5" s="140" t="s">
        <v>589</v>
      </c>
    </row>
    <row r="6" spans="1:5" ht="52.8">
      <c r="B6" s="139">
        <v>5</v>
      </c>
      <c r="D6" s="127" t="s">
        <v>915</v>
      </c>
      <c r="E6" s="140" t="s">
        <v>590</v>
      </c>
    </row>
    <row r="7" spans="1:5" ht="39.6">
      <c r="B7" s="139">
        <v>6</v>
      </c>
      <c r="D7" s="127" t="s">
        <v>916</v>
      </c>
      <c r="E7" s="140" t="s">
        <v>591</v>
      </c>
    </row>
    <row r="8" spans="1:5">
      <c r="B8" s="139">
        <v>7</v>
      </c>
      <c r="D8" s="127" t="s">
        <v>902</v>
      </c>
      <c r="E8" s="140" t="s">
        <v>917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918</v>
      </c>
      <c r="D20" s="128" t="s">
        <v>919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920</v>
      </c>
      <c r="D46" s="127" t="s">
        <v>921</v>
      </c>
      <c r="E46" s="166" t="s">
        <v>922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923</v>
      </c>
      <c r="E61" s="128" t="s">
        <v>924</v>
      </c>
      <c r="F61" s="130"/>
    </row>
    <row r="62" spans="1:6" ht="14.4">
      <c r="B62" s="139">
        <v>154</v>
      </c>
      <c r="D62" s="127" t="s">
        <v>103</v>
      </c>
      <c r="E62" s="168" t="s">
        <v>906</v>
      </c>
    </row>
    <row r="63" spans="1:6" ht="14.4">
      <c r="B63" s="139">
        <v>155</v>
      </c>
      <c r="D63" s="127" t="s">
        <v>104</v>
      </c>
      <c r="E63" s="168" t="s">
        <v>925</v>
      </c>
    </row>
    <row r="64" spans="1:6">
      <c r="A64" s="131"/>
      <c r="B64" s="139">
        <v>156</v>
      </c>
      <c r="C64" s="138" t="s">
        <v>926</v>
      </c>
      <c r="D64" s="128" t="s">
        <v>927</v>
      </c>
      <c r="E64" s="128" t="s">
        <v>928</v>
      </c>
      <c r="F64" s="130"/>
    </row>
    <row r="65" spans="1:6">
      <c r="A65" s="131"/>
      <c r="B65" s="139">
        <v>157</v>
      </c>
      <c r="C65" s="138" t="s">
        <v>509</v>
      </c>
      <c r="D65" s="128" t="s">
        <v>929</v>
      </c>
      <c r="E65" s="128" t="s">
        <v>930</v>
      </c>
      <c r="F65" s="130"/>
    </row>
    <row r="66" spans="1:6">
      <c r="A66" s="131"/>
      <c r="B66" s="139">
        <v>158</v>
      </c>
      <c r="C66" s="138" t="s">
        <v>509</v>
      </c>
      <c r="D66" s="128" t="s">
        <v>931</v>
      </c>
      <c r="E66" s="128" t="s">
        <v>932</v>
      </c>
      <c r="F66" s="130"/>
    </row>
    <row r="67" spans="1:6">
      <c r="A67" s="131"/>
      <c r="B67" s="139">
        <v>159</v>
      </c>
      <c r="C67" s="138" t="s">
        <v>926</v>
      </c>
      <c r="D67" s="128" t="s">
        <v>903</v>
      </c>
      <c r="E67" s="128" t="s">
        <v>933</v>
      </c>
      <c r="F67" s="130"/>
    </row>
    <row r="68" spans="1:6">
      <c r="B68" s="139">
        <v>160</v>
      </c>
      <c r="D68" s="127" t="s">
        <v>105</v>
      </c>
      <c r="E68" s="140" t="s">
        <v>934</v>
      </c>
    </row>
    <row r="69" spans="1:6">
      <c r="B69" s="139">
        <v>161</v>
      </c>
      <c r="D69" s="127" t="s">
        <v>106</v>
      </c>
      <c r="E69" s="140" t="s">
        <v>935</v>
      </c>
    </row>
    <row r="70" spans="1:6">
      <c r="B70" s="139">
        <v>162</v>
      </c>
      <c r="D70" s="127" t="s">
        <v>936</v>
      </c>
      <c r="E70" s="140" t="s">
        <v>904</v>
      </c>
    </row>
    <row r="71" spans="1:6">
      <c r="B71" s="139">
        <v>163</v>
      </c>
      <c r="D71" s="127" t="s">
        <v>107</v>
      </c>
      <c r="E71" s="140" t="s">
        <v>937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938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989</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939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940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941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942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943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944</v>
      </c>
    </row>
    <row r="210" spans="2:5">
      <c r="B210" s="139">
        <v>302</v>
      </c>
      <c r="D210" s="127" t="s">
        <v>481</v>
      </c>
      <c r="E210" s="140" t="s">
        <v>945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920</v>
      </c>
      <c r="D221" s="127" t="s">
        <v>946</v>
      </c>
      <c r="E221" s="166" t="s">
        <v>947</v>
      </c>
    </row>
    <row r="222" spans="2:5">
      <c r="B222" s="139">
        <v>314</v>
      </c>
      <c r="D222" s="127" t="s">
        <v>210</v>
      </c>
      <c r="E222" s="140" t="s">
        <v>948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949</v>
      </c>
      <c r="E232" s="128" t="s">
        <v>516</v>
      </c>
      <c r="F232" s="130"/>
    </row>
    <row r="233" spans="1:6">
      <c r="A233" s="129"/>
      <c r="B233" s="139">
        <v>325</v>
      </c>
      <c r="C233" s="138" t="s">
        <v>509</v>
      </c>
      <c r="D233" s="128" t="s">
        <v>950</v>
      </c>
      <c r="E233" s="128" t="s">
        <v>899</v>
      </c>
      <c r="F233" s="130"/>
    </row>
    <row r="234" spans="1:6">
      <c r="A234" s="129"/>
      <c r="B234" s="139">
        <v>326</v>
      </c>
      <c r="C234" s="138" t="s">
        <v>918</v>
      </c>
      <c r="D234" s="128" t="s">
        <v>951</v>
      </c>
      <c r="E234" s="128" t="s">
        <v>952</v>
      </c>
      <c r="F234" s="130"/>
    </row>
    <row r="235" spans="1:6">
      <c r="B235" s="139">
        <v>327</v>
      </c>
      <c r="D235" s="127" t="s">
        <v>219</v>
      </c>
      <c r="E235" s="140" t="s">
        <v>560</v>
      </c>
    </row>
    <row r="236" spans="1:6" ht="14.4">
      <c r="B236" s="139">
        <v>328</v>
      </c>
      <c r="D236" s="127" t="s">
        <v>220</v>
      </c>
      <c r="E236" s="168" t="s">
        <v>905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953</v>
      </c>
      <c r="E260" s="167" t="s">
        <v>954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955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920</v>
      </c>
      <c r="D336" s="134" t="s">
        <v>956</v>
      </c>
      <c r="E336" s="134" t="s">
        <v>957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900</v>
      </c>
      <c r="E374" s="128" t="s">
        <v>958</v>
      </c>
      <c r="F374" s="130"/>
    </row>
    <row r="375" spans="1:6">
      <c r="A375" s="129"/>
      <c r="B375" s="139">
        <v>467</v>
      </c>
      <c r="C375" s="138" t="s">
        <v>509</v>
      </c>
      <c r="D375" s="128" t="s">
        <v>959</v>
      </c>
      <c r="E375" s="128" t="s">
        <v>901</v>
      </c>
      <c r="F375" s="130"/>
    </row>
    <row r="376" spans="1:6" ht="14.4">
      <c r="B376" s="139">
        <v>468</v>
      </c>
      <c r="D376" s="127" t="s">
        <v>340</v>
      </c>
      <c r="E376" s="168" t="s">
        <v>907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960</v>
      </c>
      <c r="E408" s="134" t="s">
        <v>961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963</v>
      </c>
      <c r="E435" s="140"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33"/>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1054</v>
      </c>
      <c r="C2" s="95" t="s">
        <v>85</v>
      </c>
      <c r="D2" s="95">
        <v>44396</v>
      </c>
      <c r="E2" s="96">
        <v>44397</v>
      </c>
      <c r="F2" s="95">
        <v>44396</v>
      </c>
      <c r="G2" s="95">
        <v>44402</v>
      </c>
      <c r="H2" s="92">
        <v>2</v>
      </c>
    </row>
    <row r="3" spans="1:8">
      <c r="A3" s="93">
        <v>1.2</v>
      </c>
      <c r="B3" s="94" t="s">
        <v>1032</v>
      </c>
      <c r="C3" s="95" t="s">
        <v>85</v>
      </c>
      <c r="D3" s="95">
        <v>44398</v>
      </c>
      <c r="E3" s="96">
        <v>44398</v>
      </c>
      <c r="F3" s="95">
        <v>44396</v>
      </c>
      <c r="G3" s="95">
        <v>44402</v>
      </c>
      <c r="H3" s="92">
        <v>1</v>
      </c>
    </row>
    <row r="4" spans="1:8">
      <c r="A4" s="93">
        <v>1.3</v>
      </c>
      <c r="B4" s="94" t="s">
        <v>1033</v>
      </c>
      <c r="C4" s="95" t="s">
        <v>85</v>
      </c>
      <c r="D4" s="95">
        <v>44405</v>
      </c>
      <c r="E4" s="96">
        <v>44405</v>
      </c>
      <c r="F4" s="95">
        <v>44403</v>
      </c>
      <c r="G4" s="95">
        <v>44409</v>
      </c>
      <c r="H4" s="92">
        <v>1</v>
      </c>
    </row>
    <row r="5" spans="1:8">
      <c r="A5" s="93">
        <v>2.1</v>
      </c>
      <c r="B5" s="94" t="s">
        <v>1054</v>
      </c>
      <c r="C5" s="95" t="s">
        <v>85</v>
      </c>
      <c r="D5" s="95">
        <v>44398</v>
      </c>
      <c r="E5" s="96">
        <v>44399</v>
      </c>
      <c r="F5" s="95">
        <v>44396</v>
      </c>
      <c r="G5" s="95">
        <v>44402</v>
      </c>
      <c r="H5" s="92">
        <v>2</v>
      </c>
    </row>
    <row r="6" spans="1:8">
      <c r="A6" s="93">
        <v>2.2000000000000002</v>
      </c>
      <c r="B6" s="94" t="s">
        <v>1032</v>
      </c>
      <c r="C6" s="95" t="s">
        <v>85</v>
      </c>
      <c r="D6" s="95">
        <v>44400</v>
      </c>
      <c r="E6" s="96">
        <v>44400</v>
      </c>
      <c r="F6" s="95">
        <v>44396</v>
      </c>
      <c r="G6" s="95">
        <v>44402</v>
      </c>
      <c r="H6" s="92">
        <v>1</v>
      </c>
    </row>
    <row r="7" spans="1:8">
      <c r="A7" s="93">
        <v>2.2999999999999998</v>
      </c>
      <c r="B7" s="94" t="s">
        <v>1033</v>
      </c>
      <c r="C7" s="95" t="s">
        <v>85</v>
      </c>
      <c r="D7" s="95">
        <v>44405</v>
      </c>
      <c r="E7" s="96">
        <v>44405</v>
      </c>
      <c r="F7" s="95">
        <v>44403</v>
      </c>
      <c r="G7" s="95">
        <v>44409</v>
      </c>
      <c r="H7" s="92">
        <v>1</v>
      </c>
    </row>
    <row r="8" spans="1:8">
      <c r="A8" s="93">
        <v>3.1</v>
      </c>
      <c r="B8" s="94" t="s">
        <v>1054</v>
      </c>
      <c r="C8" s="95" t="s">
        <v>85</v>
      </c>
      <c r="D8" s="95">
        <v>44400</v>
      </c>
      <c r="E8" s="96">
        <v>44400</v>
      </c>
      <c r="F8" s="95">
        <v>44396</v>
      </c>
      <c r="G8" s="95">
        <v>44402</v>
      </c>
      <c r="H8" s="92">
        <v>1</v>
      </c>
    </row>
    <row r="9" spans="1:8">
      <c r="A9" s="93">
        <v>3.2</v>
      </c>
      <c r="B9" s="94" t="s">
        <v>1032</v>
      </c>
      <c r="C9" s="95" t="s">
        <v>85</v>
      </c>
      <c r="D9" s="95">
        <v>44403</v>
      </c>
      <c r="E9" s="96">
        <v>44403</v>
      </c>
      <c r="F9" s="95">
        <v>44403</v>
      </c>
      <c r="G9" s="95">
        <v>44409</v>
      </c>
      <c r="H9" s="92">
        <v>1</v>
      </c>
    </row>
    <row r="10" spans="1:8">
      <c r="A10" s="93">
        <v>3.3</v>
      </c>
      <c r="B10" s="94" t="s">
        <v>1033</v>
      </c>
      <c r="C10" s="95" t="s">
        <v>85</v>
      </c>
      <c r="D10" s="95">
        <v>44405</v>
      </c>
      <c r="E10" s="96">
        <v>44405</v>
      </c>
      <c r="F10" s="95">
        <v>44403</v>
      </c>
      <c r="G10" s="95">
        <v>44409</v>
      </c>
      <c r="H10" s="92">
        <v>1</v>
      </c>
    </row>
    <row r="11" spans="1:8">
      <c r="A11" s="93">
        <v>4.0999999999999996</v>
      </c>
      <c r="B11" s="94" t="s">
        <v>1054</v>
      </c>
      <c r="C11" s="95" t="s">
        <v>85</v>
      </c>
      <c r="D11" s="95">
        <v>44403</v>
      </c>
      <c r="E11" s="96">
        <v>44404</v>
      </c>
      <c r="F11" s="95">
        <v>44403</v>
      </c>
      <c r="G11" s="95">
        <v>44409</v>
      </c>
      <c r="H11" s="92">
        <v>2</v>
      </c>
    </row>
    <row r="12" spans="1:8">
      <c r="A12" s="93">
        <v>4.2</v>
      </c>
      <c r="B12" s="94" t="s">
        <v>1032</v>
      </c>
      <c r="C12" s="95" t="s">
        <v>85</v>
      </c>
      <c r="D12" s="95">
        <v>44405</v>
      </c>
      <c r="E12" s="96">
        <v>44406</v>
      </c>
      <c r="F12" s="95">
        <v>44403</v>
      </c>
      <c r="G12" s="95">
        <v>44409</v>
      </c>
      <c r="H12" s="92">
        <v>2</v>
      </c>
    </row>
    <row r="13" spans="1:8">
      <c r="A13" s="93">
        <v>4.3</v>
      </c>
      <c r="B13" s="94" t="s">
        <v>1033</v>
      </c>
      <c r="C13" s="95" t="s">
        <v>85</v>
      </c>
      <c r="D13" s="95">
        <v>44433</v>
      </c>
      <c r="E13" s="96">
        <v>44433</v>
      </c>
      <c r="F13" s="95">
        <v>44431</v>
      </c>
      <c r="G13" s="95">
        <v>44437</v>
      </c>
      <c r="H13" s="92">
        <v>1</v>
      </c>
    </row>
    <row r="14" spans="1:8">
      <c r="A14" s="93">
        <v>5.0999999999999996</v>
      </c>
      <c r="B14" s="94" t="s">
        <v>1054</v>
      </c>
      <c r="C14" s="95" t="s">
        <v>85</v>
      </c>
      <c r="D14" s="95">
        <v>44405</v>
      </c>
      <c r="E14" s="96">
        <v>44406</v>
      </c>
      <c r="F14" s="95">
        <v>44403</v>
      </c>
      <c r="G14" s="95">
        <v>44409</v>
      </c>
      <c r="H14" s="92">
        <v>2</v>
      </c>
    </row>
    <row r="15" spans="1:8">
      <c r="A15" s="93">
        <v>5.2</v>
      </c>
      <c r="B15" s="94" t="s">
        <v>1032</v>
      </c>
      <c r="C15" s="95" t="s">
        <v>85</v>
      </c>
      <c r="D15" s="95">
        <v>44407</v>
      </c>
      <c r="E15" s="96">
        <v>44410</v>
      </c>
      <c r="F15" s="95">
        <v>44403</v>
      </c>
      <c r="G15" s="95">
        <v>44409</v>
      </c>
      <c r="H15" s="92">
        <v>1</v>
      </c>
    </row>
    <row r="16" spans="1:8">
      <c r="A16" s="93">
        <v>5.2</v>
      </c>
      <c r="B16" s="94" t="s">
        <v>1032</v>
      </c>
      <c r="C16" s="95" t="s">
        <v>85</v>
      </c>
      <c r="D16" s="95">
        <v>44407</v>
      </c>
      <c r="E16" s="96">
        <v>44410</v>
      </c>
      <c r="F16" s="95">
        <v>44410</v>
      </c>
      <c r="G16" s="95">
        <v>44416</v>
      </c>
      <c r="H16" s="92">
        <v>1</v>
      </c>
    </row>
    <row r="17" spans="1:8">
      <c r="A17" s="93">
        <v>5.3</v>
      </c>
      <c r="B17" s="94" t="s">
        <v>1033</v>
      </c>
      <c r="C17" s="95" t="s">
        <v>85</v>
      </c>
      <c r="D17" s="95">
        <v>44433</v>
      </c>
      <c r="E17" s="96">
        <v>44433</v>
      </c>
      <c r="F17" s="95">
        <v>44431</v>
      </c>
      <c r="G17" s="95">
        <v>44437</v>
      </c>
      <c r="H17" s="92">
        <v>1</v>
      </c>
    </row>
    <row r="18" spans="1:8">
      <c r="A18" s="93">
        <v>6.1</v>
      </c>
      <c r="B18" s="94" t="s">
        <v>1054</v>
      </c>
      <c r="C18" s="95" t="s">
        <v>85</v>
      </c>
      <c r="D18" s="95">
        <v>44407</v>
      </c>
      <c r="E18" s="96">
        <v>44410</v>
      </c>
      <c r="F18" s="95">
        <v>44403</v>
      </c>
      <c r="G18" s="95">
        <v>44409</v>
      </c>
      <c r="H18" s="92">
        <v>1</v>
      </c>
    </row>
    <row r="19" spans="1:8">
      <c r="A19" s="93">
        <v>6.1</v>
      </c>
      <c r="B19" s="94" t="s">
        <v>1054</v>
      </c>
      <c r="C19" s="95" t="s">
        <v>85</v>
      </c>
      <c r="D19" s="95">
        <v>44407</v>
      </c>
      <c r="E19" s="96">
        <v>44410</v>
      </c>
      <c r="F19" s="95">
        <v>44410</v>
      </c>
      <c r="G19" s="95">
        <v>44416</v>
      </c>
      <c r="H19" s="92">
        <v>1</v>
      </c>
    </row>
    <row r="20" spans="1:8">
      <c r="A20" s="93">
        <v>6.2</v>
      </c>
      <c r="B20" s="94" t="s">
        <v>1032</v>
      </c>
      <c r="C20" s="95" t="s">
        <v>85</v>
      </c>
      <c r="D20" s="95">
        <v>44411</v>
      </c>
      <c r="E20" s="96">
        <v>44411</v>
      </c>
      <c r="F20" s="95">
        <v>44410</v>
      </c>
      <c r="G20" s="95">
        <v>44416</v>
      </c>
      <c r="H20" s="92">
        <v>1</v>
      </c>
    </row>
    <row r="21" spans="1:8">
      <c r="A21" s="93">
        <v>6.3</v>
      </c>
      <c r="B21" s="94" t="s">
        <v>1033</v>
      </c>
      <c r="C21" s="95" t="s">
        <v>85</v>
      </c>
      <c r="D21" s="95">
        <v>44433</v>
      </c>
      <c r="E21" s="96">
        <v>44433</v>
      </c>
      <c r="F21" s="95">
        <v>44431</v>
      </c>
      <c r="G21" s="95">
        <v>44437</v>
      </c>
      <c r="H21" s="92">
        <v>1</v>
      </c>
    </row>
    <row r="22" spans="1:8">
      <c r="A22" s="93">
        <v>7.1</v>
      </c>
      <c r="B22" s="94" t="s">
        <v>1054</v>
      </c>
      <c r="C22" s="95" t="s">
        <v>85</v>
      </c>
      <c r="D22" s="95">
        <v>44411</v>
      </c>
      <c r="E22" s="96">
        <v>44411</v>
      </c>
      <c r="F22" s="95">
        <v>44410</v>
      </c>
      <c r="G22" s="95">
        <v>44416</v>
      </c>
      <c r="H22" s="92">
        <v>1</v>
      </c>
    </row>
    <row r="23" spans="1:8">
      <c r="A23" s="93">
        <v>7.2</v>
      </c>
      <c r="B23" s="94" t="s">
        <v>1032</v>
      </c>
      <c r="C23" s="95" t="s">
        <v>85</v>
      </c>
      <c r="D23" s="95">
        <v>44412</v>
      </c>
      <c r="E23" s="96">
        <v>44412</v>
      </c>
      <c r="F23" s="95">
        <v>44410</v>
      </c>
      <c r="G23" s="95">
        <v>44416</v>
      </c>
      <c r="H23" s="92">
        <v>1</v>
      </c>
    </row>
    <row r="24" spans="1:8">
      <c r="A24" s="93">
        <v>7.3</v>
      </c>
      <c r="B24" s="94" t="s">
        <v>1033</v>
      </c>
      <c r="C24" s="95" t="s">
        <v>85</v>
      </c>
      <c r="D24" s="95">
        <v>44433</v>
      </c>
      <c r="E24" s="96">
        <v>44433</v>
      </c>
      <c r="F24" s="95">
        <v>44431</v>
      </c>
      <c r="G24" s="95">
        <v>44437</v>
      </c>
      <c r="H24" s="92">
        <v>1</v>
      </c>
    </row>
    <row r="25" spans="1:8">
      <c r="A25" s="93">
        <v>8.1</v>
      </c>
      <c r="B25" s="94" t="s">
        <v>1054</v>
      </c>
      <c r="C25" s="95" t="s">
        <v>85</v>
      </c>
      <c r="D25" s="95">
        <v>44412</v>
      </c>
      <c r="E25" s="96">
        <v>44412</v>
      </c>
      <c r="F25" s="95">
        <v>44410</v>
      </c>
      <c r="G25" s="95">
        <v>44416</v>
      </c>
      <c r="H25" s="92">
        <v>1</v>
      </c>
    </row>
    <row r="26" spans="1:8">
      <c r="A26" s="93">
        <v>8.1999999999999993</v>
      </c>
      <c r="B26" s="94" t="s">
        <v>1032</v>
      </c>
      <c r="C26" s="95" t="s">
        <v>85</v>
      </c>
      <c r="D26" s="95">
        <v>44413</v>
      </c>
      <c r="E26" s="96">
        <v>44413</v>
      </c>
      <c r="F26" s="95">
        <v>44410</v>
      </c>
      <c r="G26" s="95">
        <v>44416</v>
      </c>
      <c r="H26" s="92">
        <v>1</v>
      </c>
    </row>
    <row r="27" spans="1:8">
      <c r="A27" s="93">
        <v>8.3000000000000007</v>
      </c>
      <c r="B27" s="94" t="s">
        <v>1033</v>
      </c>
      <c r="C27" s="95" t="s">
        <v>85</v>
      </c>
      <c r="D27" s="95">
        <v>44433</v>
      </c>
      <c r="E27" s="96">
        <v>44433</v>
      </c>
      <c r="F27" s="95">
        <v>44431</v>
      </c>
      <c r="G27" s="95">
        <v>44437</v>
      </c>
      <c r="H27" s="92">
        <v>1</v>
      </c>
    </row>
    <row r="28" spans="1:8">
      <c r="A28" s="93">
        <v>9.1</v>
      </c>
      <c r="B28" s="94" t="s">
        <v>1054</v>
      </c>
      <c r="C28" s="95" t="s">
        <v>85</v>
      </c>
      <c r="D28" s="95">
        <v>44413</v>
      </c>
      <c r="E28" s="96">
        <v>44420</v>
      </c>
      <c r="F28" s="95">
        <v>44410</v>
      </c>
      <c r="G28" s="95">
        <v>44416</v>
      </c>
      <c r="H28" s="92">
        <v>2</v>
      </c>
    </row>
    <row r="29" spans="1:8">
      <c r="A29" s="93">
        <v>9.1</v>
      </c>
      <c r="B29" s="94" t="s">
        <v>1054</v>
      </c>
      <c r="C29" s="95" t="s">
        <v>85</v>
      </c>
      <c r="D29" s="95">
        <v>44413</v>
      </c>
      <c r="E29" s="96">
        <v>44420</v>
      </c>
      <c r="F29" s="95">
        <v>44417</v>
      </c>
      <c r="G29" s="95">
        <v>44423</v>
      </c>
      <c r="H29" s="92">
        <v>4</v>
      </c>
    </row>
    <row r="30" spans="1:8">
      <c r="A30" s="93">
        <v>9.1999999999999993</v>
      </c>
      <c r="B30" s="94" t="s">
        <v>1032</v>
      </c>
      <c r="C30" s="95" t="s">
        <v>85</v>
      </c>
      <c r="D30" s="95">
        <v>44421</v>
      </c>
      <c r="E30" s="96">
        <v>44426</v>
      </c>
      <c r="F30" s="95">
        <v>44417</v>
      </c>
      <c r="G30" s="95">
        <v>44423</v>
      </c>
      <c r="H30" s="92">
        <v>1</v>
      </c>
    </row>
    <row r="31" spans="1:8">
      <c r="A31" s="93">
        <v>9.1999999999999993</v>
      </c>
      <c r="B31" s="94" t="s">
        <v>1032</v>
      </c>
      <c r="C31" s="95" t="s">
        <v>85</v>
      </c>
      <c r="D31" s="95">
        <v>44421</v>
      </c>
      <c r="E31" s="96">
        <v>44426</v>
      </c>
      <c r="F31" s="95">
        <v>44424</v>
      </c>
      <c r="G31" s="95">
        <v>44430</v>
      </c>
      <c r="H31" s="92">
        <v>3</v>
      </c>
    </row>
    <row r="32" spans="1:8">
      <c r="A32" s="93">
        <v>9.3000000000000007</v>
      </c>
      <c r="B32" s="94" t="s">
        <v>1033</v>
      </c>
      <c r="C32" s="95" t="s">
        <v>85</v>
      </c>
      <c r="D32" s="95">
        <v>44433</v>
      </c>
      <c r="E32" s="96">
        <v>44433</v>
      </c>
      <c r="F32" s="95">
        <v>44431</v>
      </c>
      <c r="G32" s="95">
        <v>44437</v>
      </c>
      <c r="H32" s="92">
        <v>1</v>
      </c>
    </row>
    <row r="33" spans="7:8">
      <c r="G33" s="92" t="s">
        <v>3</v>
      </c>
      <c r="H33" s="92">
        <f>SUM(H2:H32)</f>
        <v>42</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A294"/>
  <sheetViews>
    <sheetView tabSelected="1" zoomScale="130" zoomScaleNormal="130" zoomScalePageLayoutView="55" workbookViewId="0">
      <pane ySplit="4" topLeftCell="A5" activePane="bottomLeft" state="frozen"/>
      <selection activeCell="E5" sqref="E5"/>
      <selection pane="bottomLeft" activeCell="N13" sqref="N13"/>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70" width="1.8984375" style="114" customWidth="1"/>
    <col min="71" max="16384" width="10" style="114"/>
  </cols>
  <sheetData>
    <row r="1" spans="1:79"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07-19-2021~08-25-2021 [Plan:0.00% Actual:0.00%]</v>
      </c>
      <c r="AC1" s="216" t="s">
        <v>1027</v>
      </c>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row>
    <row r="2" spans="1:79" s="158" customFormat="1" ht="15" customHeight="1">
      <c r="A2" s="159"/>
      <c r="B2" s="159"/>
      <c r="C2" s="160"/>
      <c r="D2" s="227"/>
      <c r="E2" s="227"/>
      <c r="F2" s="227"/>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Star(*) marks-required fields, orange columns-automatically calculated</v>
      </c>
      <c r="AC2" s="165" t="s">
        <v>1077</v>
      </c>
    </row>
    <row r="3" spans="1:79" s="1" customFormat="1" ht="19.95" customHeight="1">
      <c r="A3" s="218" t="s">
        <v>1022</v>
      </c>
      <c r="B3" s="220" t="s">
        <v>1023</v>
      </c>
      <c r="C3" s="222" t="s">
        <v>1004</v>
      </c>
      <c r="D3" s="223" t="s">
        <v>998</v>
      </c>
      <c r="E3" s="224" t="s">
        <v>1078</v>
      </c>
      <c r="F3" s="225"/>
      <c r="G3" s="225"/>
      <c r="H3" s="225"/>
      <c r="I3" s="225"/>
      <c r="J3" s="225"/>
      <c r="K3" s="226"/>
      <c r="L3" s="228" t="s">
        <v>1079</v>
      </c>
      <c r="M3" s="228" t="s">
        <v>1080</v>
      </c>
      <c r="N3" s="228" t="s">
        <v>1081</v>
      </c>
      <c r="O3" s="229" t="s">
        <v>1024</v>
      </c>
      <c r="P3" s="230" t="s">
        <v>1082</v>
      </c>
      <c r="Q3" s="230" t="s">
        <v>1083</v>
      </c>
      <c r="R3" s="230" t="s">
        <v>1084</v>
      </c>
      <c r="S3" s="230" t="s">
        <v>1085</v>
      </c>
      <c r="T3" s="234" t="s">
        <v>1086</v>
      </c>
      <c r="U3" s="234" t="s">
        <v>1087</v>
      </c>
      <c r="V3" s="235" t="s">
        <v>1088</v>
      </c>
      <c r="W3" s="236" t="s">
        <v>1089</v>
      </c>
      <c r="X3" s="237" t="s">
        <v>1090</v>
      </c>
      <c r="Y3" s="228" t="s">
        <v>1091</v>
      </c>
      <c r="Z3" s="220" t="s">
        <v>1092</v>
      </c>
      <c r="AA3" s="238" t="s">
        <v>1093</v>
      </c>
      <c r="AB3" s="233" t="s">
        <v>1094</v>
      </c>
      <c r="AC3" s="232">
        <v>44396</v>
      </c>
      <c r="AD3" s="217"/>
      <c r="AE3" s="217"/>
      <c r="AF3" s="217"/>
      <c r="AG3" s="217">
        <v>44424</v>
      </c>
      <c r="AH3" s="217"/>
      <c r="AI3" s="217"/>
      <c r="AJ3" s="231"/>
    </row>
    <row r="4" spans="1:79" s="2" customFormat="1" ht="4.95" customHeight="1">
      <c r="A4" s="219"/>
      <c r="B4" s="221"/>
      <c r="C4" s="218"/>
      <c r="D4" s="223"/>
      <c r="E4" s="224"/>
      <c r="F4" s="225"/>
      <c r="G4" s="225"/>
      <c r="H4" s="225"/>
      <c r="I4" s="225"/>
      <c r="J4" s="225"/>
      <c r="K4" s="226"/>
      <c r="L4" s="228"/>
      <c r="M4" s="228"/>
      <c r="N4" s="228"/>
      <c r="O4" s="229"/>
      <c r="P4" s="230"/>
      <c r="Q4" s="230"/>
      <c r="R4" s="230"/>
      <c r="S4" s="230"/>
      <c r="T4" s="228"/>
      <c r="U4" s="228"/>
      <c r="V4" s="235"/>
      <c r="W4" s="236"/>
      <c r="X4" s="237"/>
      <c r="Y4" s="228"/>
      <c r="Z4" s="220"/>
      <c r="AA4" s="238"/>
      <c r="AB4" s="233"/>
      <c r="AC4" s="112">
        <v>44396</v>
      </c>
      <c r="AD4" s="113">
        <v>44403</v>
      </c>
      <c r="AE4" s="113">
        <v>44410</v>
      </c>
      <c r="AF4" s="113">
        <v>44417</v>
      </c>
      <c r="AG4" s="113">
        <v>44424</v>
      </c>
      <c r="AH4" s="113">
        <v>44431</v>
      </c>
      <c r="AI4" s="113"/>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row>
    <row r="5" spans="1:79">
      <c r="A5" s="116"/>
      <c r="B5" s="116" t="s">
        <v>983</v>
      </c>
      <c r="C5" s="116">
        <v>1</v>
      </c>
      <c r="D5" s="3" t="s">
        <v>984</v>
      </c>
      <c r="E5" s="215" t="s">
        <v>1053</v>
      </c>
      <c r="F5" s="184"/>
      <c r="G5" s="184"/>
      <c r="H5" s="184"/>
      <c r="I5" s="184"/>
      <c r="J5" s="184"/>
      <c r="K5" s="184"/>
      <c r="L5" s="184"/>
      <c r="M5" s="185">
        <v>44397</v>
      </c>
      <c r="N5" s="185">
        <v>44405</v>
      </c>
      <c r="O5" s="186"/>
      <c r="P5" s="187">
        <v>4</v>
      </c>
      <c r="Q5" s="187">
        <v>0</v>
      </c>
      <c r="R5" s="188">
        <v>7</v>
      </c>
      <c r="S5" s="188">
        <v>0</v>
      </c>
      <c r="T5" s="185"/>
      <c r="U5" s="185"/>
      <c r="V5" s="189">
        <v>0</v>
      </c>
      <c r="W5" s="190">
        <v>0</v>
      </c>
      <c r="X5" s="191"/>
      <c r="Y5" s="186"/>
      <c r="Z5" s="192"/>
      <c r="AA5" s="97">
        <v>0</v>
      </c>
      <c r="AB5" s="193">
        <v>0</v>
      </c>
      <c r="AC5" s="123" t="str">
        <f>" " &amp; TEXT(AB5,"#0.00%") &amp; " " &amp; "[2106-16] Chuseok Luckydraw(Kona)" &amp; " " &amp; IF(M5="","",TEXT(M5,"M/D-")) &amp; IF(N5="","",TEXT(N5,"M/D")) &amp; " "</f>
        <v xml:space="preserve"> 0.00% [2106-16] Chuseok Luckydraw(Kona) 7/20-7/28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row>
    <row r="6" spans="1:79" outlineLevel="1">
      <c r="A6" s="116"/>
      <c r="B6" s="116"/>
      <c r="C6" s="116">
        <v>2</v>
      </c>
      <c r="D6" s="3" t="s">
        <v>1034</v>
      </c>
      <c r="E6" s="184"/>
      <c r="F6" s="184" t="s">
        <v>1054</v>
      </c>
      <c r="G6" s="184"/>
      <c r="H6" s="184"/>
      <c r="I6" s="184"/>
      <c r="J6" s="184"/>
      <c r="K6" s="184"/>
      <c r="L6" s="184"/>
      <c r="M6" s="185">
        <v>44397</v>
      </c>
      <c r="N6" s="185">
        <v>44398</v>
      </c>
      <c r="O6" s="186"/>
      <c r="P6" s="187">
        <v>2</v>
      </c>
      <c r="Q6" s="187">
        <v>0</v>
      </c>
      <c r="R6" s="188">
        <v>2</v>
      </c>
      <c r="S6" s="188">
        <v>0</v>
      </c>
      <c r="T6" s="185"/>
      <c r="U6" s="185"/>
      <c r="V6" s="189"/>
      <c r="W6" s="190">
        <v>0</v>
      </c>
      <c r="X6" s="191">
        <v>1</v>
      </c>
      <c r="Y6" s="186"/>
      <c r="Z6" s="192"/>
      <c r="AA6" s="97">
        <v>0</v>
      </c>
      <c r="AB6" s="193">
        <v>0</v>
      </c>
      <c r="AC6" s="123" t="str">
        <f>" " &amp; TEXT(AB6,"#0.00%") &amp; " " &amp; "Development" &amp; " " &amp; IF(M6="","",TEXT(M6,"M/D-")) &amp; IF(N6="","",TEXT(N6,"M/D")) &amp; " "</f>
        <v xml:space="preserve"> 0.00% Development 7/20-7/21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row>
    <row r="7" spans="1:79" outlineLevel="1">
      <c r="A7" s="116"/>
      <c r="B7" s="116"/>
      <c r="C7" s="116">
        <v>2</v>
      </c>
      <c r="D7" s="3" t="s">
        <v>1035</v>
      </c>
      <c r="E7" s="184"/>
      <c r="F7" s="184" t="s">
        <v>1032</v>
      </c>
      <c r="G7" s="184"/>
      <c r="H7" s="184"/>
      <c r="I7" s="184"/>
      <c r="J7" s="184"/>
      <c r="K7" s="184"/>
      <c r="L7" s="184"/>
      <c r="M7" s="185">
        <v>44399</v>
      </c>
      <c r="N7" s="185">
        <v>44399</v>
      </c>
      <c r="O7" s="186"/>
      <c r="P7" s="187">
        <v>1</v>
      </c>
      <c r="Q7" s="187">
        <v>0</v>
      </c>
      <c r="R7" s="188">
        <v>1</v>
      </c>
      <c r="S7" s="188">
        <v>0</v>
      </c>
      <c r="T7" s="185"/>
      <c r="U7" s="185"/>
      <c r="V7" s="189"/>
      <c r="W7" s="190">
        <v>0</v>
      </c>
      <c r="X7" s="191">
        <v>1</v>
      </c>
      <c r="Y7" s="186"/>
      <c r="Z7" s="192"/>
      <c r="AA7" s="97">
        <v>0</v>
      </c>
      <c r="AB7" s="193">
        <v>0</v>
      </c>
      <c r="AC7" s="123" t="str">
        <f>"   " &amp; TEXT(AB7,"#0.00%") &amp; " " &amp; "Test" &amp; " " &amp; IF(M7="","",TEXT(M7,"M/D-")) &amp; IF(N7="","",TEXT(N7,"M/D")) &amp; " "</f>
        <v xml:space="preserve">   0.00% Test 7/22-7/22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row>
    <row r="8" spans="1:79" outlineLevel="1">
      <c r="A8" s="116"/>
      <c r="B8" s="116"/>
      <c r="C8" s="116">
        <v>2</v>
      </c>
      <c r="D8" s="3" t="s">
        <v>1036</v>
      </c>
      <c r="E8" s="184"/>
      <c r="F8" s="184" t="s">
        <v>1033</v>
      </c>
      <c r="G8" s="184"/>
      <c r="H8" s="184"/>
      <c r="I8" s="184"/>
      <c r="J8" s="184"/>
      <c r="K8" s="184"/>
      <c r="L8" s="184"/>
      <c r="M8" s="185">
        <v>44405</v>
      </c>
      <c r="N8" s="185">
        <v>44405</v>
      </c>
      <c r="O8" s="186"/>
      <c r="P8" s="187">
        <v>1</v>
      </c>
      <c r="Q8" s="187">
        <v>0</v>
      </c>
      <c r="R8" s="188">
        <v>1</v>
      </c>
      <c r="S8" s="188">
        <v>0</v>
      </c>
      <c r="T8" s="185"/>
      <c r="U8" s="185"/>
      <c r="V8" s="189"/>
      <c r="W8" s="190">
        <v>0</v>
      </c>
      <c r="X8" s="191">
        <v>1</v>
      </c>
      <c r="Y8" s="186"/>
      <c r="Z8" s="192"/>
      <c r="AA8" s="97">
        <v>0</v>
      </c>
      <c r="AB8" s="193">
        <v>0</v>
      </c>
      <c r="AC8" s="123"/>
      <c r="AD8" s="4" t="str">
        <f>"  " &amp; TEXT(AB8,"#0.00%") &amp; " " &amp; "Publish" &amp; " " &amp; IF(M8="","",TEXT(M8,"M/D-")) &amp; IF(N8="","",TEXT(N8,"M/D")) &amp; " "</f>
        <v xml:space="preserve">  0.00% Publish 7/28-7/28 </v>
      </c>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row>
    <row r="9" spans="1:79" outlineLevel="1">
      <c r="A9" s="116"/>
      <c r="B9" s="116"/>
      <c r="C9" s="116">
        <v>0</v>
      </c>
      <c r="D9" s="3"/>
      <c r="E9" s="184"/>
      <c r="F9" s="184"/>
      <c r="G9" s="184"/>
      <c r="H9" s="184"/>
      <c r="I9" s="184"/>
      <c r="J9" s="184"/>
      <c r="K9" s="184"/>
      <c r="L9" s="184"/>
      <c r="M9" s="185"/>
      <c r="N9" s="185"/>
      <c r="O9" s="186"/>
      <c r="P9" s="187"/>
      <c r="Q9" s="187"/>
      <c r="R9" s="188">
        <v>0</v>
      </c>
      <c r="S9" s="188">
        <v>0</v>
      </c>
      <c r="T9" s="185"/>
      <c r="U9" s="185"/>
      <c r="V9" s="189"/>
      <c r="W9" s="190">
        <v>0</v>
      </c>
      <c r="X9" s="191"/>
      <c r="Y9" s="186"/>
      <c r="Z9" s="192"/>
      <c r="AA9" s="97"/>
      <c r="AB9" s="193"/>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row>
    <row r="10" spans="1:79">
      <c r="A10" s="116"/>
      <c r="B10" s="116" t="s">
        <v>983</v>
      </c>
      <c r="C10" s="116">
        <v>1</v>
      </c>
      <c r="D10" s="3" t="s">
        <v>985</v>
      </c>
      <c r="E10" s="215" t="s">
        <v>1055</v>
      </c>
      <c r="F10" s="184"/>
      <c r="G10" s="184"/>
      <c r="H10" s="184"/>
      <c r="I10" s="184"/>
      <c r="J10" s="184"/>
      <c r="K10" s="184"/>
      <c r="L10" s="184"/>
      <c r="M10" s="185">
        <v>44399</v>
      </c>
      <c r="N10" s="185">
        <v>44405</v>
      </c>
      <c r="O10" s="186"/>
      <c r="P10" s="187">
        <v>4</v>
      </c>
      <c r="Q10" s="187">
        <v>0</v>
      </c>
      <c r="R10" s="188">
        <v>5</v>
      </c>
      <c r="S10" s="188">
        <v>0</v>
      </c>
      <c r="T10" s="185"/>
      <c r="U10" s="185"/>
      <c r="V10" s="189">
        <v>0</v>
      </c>
      <c r="W10" s="190">
        <v>0</v>
      </c>
      <c r="X10" s="191"/>
      <c r="Y10" s="186"/>
      <c r="Z10" s="192"/>
      <c r="AA10" s="97">
        <v>0</v>
      </c>
      <c r="AB10" s="193">
        <v>0</v>
      </c>
      <c r="AC10" s="123" t="str">
        <f>"   " &amp; TEXT(AB10,"#0.00%") &amp; " " &amp; "[2106-13] ATM Withdraw with Cocoon" &amp; " " &amp; IF(M10="","",TEXT(M10,"M/D-")) &amp; IF(N10="","",TEXT(N10,"M/D")) &amp; " "</f>
        <v xml:space="preserve">   0.00% [2106-13] ATM Withdraw with Cocoon 7/22-7/28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row>
    <row r="11" spans="1:79" outlineLevel="1">
      <c r="A11" s="116"/>
      <c r="B11" s="116"/>
      <c r="C11" s="116">
        <v>2</v>
      </c>
      <c r="D11" s="3" t="s">
        <v>986</v>
      </c>
      <c r="E11" s="184"/>
      <c r="F11" s="184" t="s">
        <v>1054</v>
      </c>
      <c r="G11" s="184"/>
      <c r="H11" s="184"/>
      <c r="I11" s="184"/>
      <c r="J11" s="184"/>
      <c r="K11" s="184"/>
      <c r="L11" s="184"/>
      <c r="M11" s="185">
        <v>44399</v>
      </c>
      <c r="N11" s="185">
        <v>44400</v>
      </c>
      <c r="O11" s="186"/>
      <c r="P11" s="187">
        <v>2</v>
      </c>
      <c r="Q11" s="187">
        <v>0</v>
      </c>
      <c r="R11" s="188">
        <v>2</v>
      </c>
      <c r="S11" s="188">
        <v>0</v>
      </c>
      <c r="T11" s="185"/>
      <c r="U11" s="185"/>
      <c r="V11" s="189"/>
      <c r="W11" s="190">
        <v>0</v>
      </c>
      <c r="X11" s="191">
        <v>1</v>
      </c>
      <c r="Y11" s="186"/>
      <c r="Z11" s="192"/>
      <c r="AA11" s="97">
        <v>0</v>
      </c>
      <c r="AB11" s="193">
        <v>0</v>
      </c>
      <c r="AC11" s="123" t="str">
        <f>"   " &amp; TEXT(AB11,"#0.00%") &amp; " " &amp; "Development" &amp; " " &amp; IF(M11="","",TEXT(M11,"M/D-")) &amp; IF(N11="","",TEXT(N11,"M/D")) &amp; " "</f>
        <v xml:space="preserve">   0.00% Development 7/22-7/23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row>
    <row r="12" spans="1:79" outlineLevel="1">
      <c r="A12" s="116"/>
      <c r="B12" s="116"/>
      <c r="C12" s="116">
        <v>2</v>
      </c>
      <c r="D12" s="3" t="s">
        <v>987</v>
      </c>
      <c r="E12" s="184"/>
      <c r="F12" s="184" t="s">
        <v>1032</v>
      </c>
      <c r="G12" s="184"/>
      <c r="H12" s="184"/>
      <c r="I12" s="184"/>
      <c r="J12" s="184"/>
      <c r="K12" s="184"/>
      <c r="L12" s="184"/>
      <c r="M12" s="185">
        <v>44403</v>
      </c>
      <c r="N12" s="185">
        <v>44403</v>
      </c>
      <c r="O12" s="186"/>
      <c r="P12" s="187">
        <v>1</v>
      </c>
      <c r="Q12" s="187">
        <v>0</v>
      </c>
      <c r="R12" s="188">
        <v>1</v>
      </c>
      <c r="S12" s="188">
        <v>0</v>
      </c>
      <c r="T12" s="185"/>
      <c r="U12" s="185"/>
      <c r="V12" s="189"/>
      <c r="W12" s="190">
        <v>0</v>
      </c>
      <c r="X12" s="191">
        <v>1</v>
      </c>
      <c r="Y12" s="186"/>
      <c r="Z12" s="192"/>
      <c r="AA12" s="97">
        <v>0</v>
      </c>
      <c r="AB12" s="193">
        <v>0</v>
      </c>
      <c r="AC12" s="123"/>
      <c r="AD12" s="4" t="str">
        <f>"" &amp; TEXT(AB12,"#0.00%") &amp; " " &amp; "Test" &amp; " " &amp; IF(M12="","",TEXT(M12,"M/D-")) &amp; IF(N12="","",TEXT(N12,"M/D")) &amp; " "</f>
        <v xml:space="preserve">0.00% Test 7/26-7/26 </v>
      </c>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row>
    <row r="13" spans="1:79" outlineLevel="1">
      <c r="A13" s="116"/>
      <c r="B13" s="116"/>
      <c r="C13" s="116">
        <v>2</v>
      </c>
      <c r="D13" s="3" t="s">
        <v>1028</v>
      </c>
      <c r="E13" s="184"/>
      <c r="F13" s="184" t="s">
        <v>1033</v>
      </c>
      <c r="G13" s="184"/>
      <c r="H13" s="184"/>
      <c r="I13" s="184"/>
      <c r="J13" s="184"/>
      <c r="K13" s="184"/>
      <c r="L13" s="184"/>
      <c r="M13" s="185">
        <v>44405</v>
      </c>
      <c r="N13" s="185">
        <v>44405</v>
      </c>
      <c r="O13" s="186"/>
      <c r="P13" s="187">
        <v>1</v>
      </c>
      <c r="Q13" s="187">
        <v>0</v>
      </c>
      <c r="R13" s="188">
        <v>1</v>
      </c>
      <c r="S13" s="188">
        <v>0</v>
      </c>
      <c r="T13" s="185"/>
      <c r="U13" s="185"/>
      <c r="V13" s="189"/>
      <c r="W13" s="190">
        <v>0</v>
      </c>
      <c r="X13" s="191">
        <v>1</v>
      </c>
      <c r="Y13" s="186"/>
      <c r="Z13" s="192"/>
      <c r="AA13" s="97">
        <v>0</v>
      </c>
      <c r="AB13" s="193">
        <v>0</v>
      </c>
      <c r="AC13" s="123"/>
      <c r="AD13" s="4" t="str">
        <f>"  " &amp; TEXT(AB13,"#0.00%") &amp; " " &amp; "Publish" &amp; " " &amp; IF(M13="","",TEXT(M13,"M/D-")) &amp; IF(N13="","",TEXT(N13,"M/D")) &amp; " "</f>
        <v xml:space="preserve">  0.00% Publish 7/28-7/28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row>
    <row r="14" spans="1:79" outlineLevel="1">
      <c r="A14" s="116"/>
      <c r="B14" s="116"/>
      <c r="C14" s="116">
        <v>0</v>
      </c>
      <c r="D14" s="3"/>
      <c r="E14" s="184"/>
      <c r="F14" s="184"/>
      <c r="G14" s="184"/>
      <c r="H14" s="184"/>
      <c r="I14" s="184"/>
      <c r="J14" s="184"/>
      <c r="K14" s="184"/>
      <c r="L14" s="184"/>
      <c r="M14" s="185"/>
      <c r="N14" s="185"/>
      <c r="O14" s="186"/>
      <c r="P14" s="187"/>
      <c r="Q14" s="187"/>
      <c r="R14" s="188">
        <v>0</v>
      </c>
      <c r="S14" s="188">
        <v>0</v>
      </c>
      <c r="T14" s="185"/>
      <c r="U14" s="185"/>
      <c r="V14" s="189"/>
      <c r="W14" s="190">
        <v>0</v>
      </c>
      <c r="X14" s="191"/>
      <c r="Y14" s="186"/>
      <c r="Z14" s="192"/>
      <c r="AA14" s="97"/>
      <c r="AB14" s="193"/>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row>
    <row r="15" spans="1:79">
      <c r="A15" s="116"/>
      <c r="B15" s="116" t="s">
        <v>983</v>
      </c>
      <c r="C15" s="116">
        <v>1</v>
      </c>
      <c r="D15" s="3" t="s">
        <v>1005</v>
      </c>
      <c r="E15" s="215" t="s">
        <v>1056</v>
      </c>
      <c r="F15" s="184"/>
      <c r="G15" s="184"/>
      <c r="H15" s="184"/>
      <c r="I15" s="184"/>
      <c r="J15" s="184"/>
      <c r="K15" s="184"/>
      <c r="L15" s="184"/>
      <c r="M15" s="185">
        <v>44403</v>
      </c>
      <c r="N15" s="185">
        <v>44405</v>
      </c>
      <c r="O15" s="186"/>
      <c r="P15" s="187">
        <v>3</v>
      </c>
      <c r="Q15" s="187">
        <v>0</v>
      </c>
      <c r="R15" s="188">
        <v>3</v>
      </c>
      <c r="S15" s="188">
        <v>0</v>
      </c>
      <c r="T15" s="185"/>
      <c r="U15" s="185"/>
      <c r="V15" s="189">
        <v>0</v>
      </c>
      <c r="W15" s="190">
        <v>0</v>
      </c>
      <c r="X15" s="191"/>
      <c r="Y15" s="186"/>
      <c r="Z15" s="192"/>
      <c r="AA15" s="97">
        <v>0</v>
      </c>
      <c r="AB15" s="193">
        <v>0</v>
      </c>
      <c r="AC15" s="123"/>
      <c r="AD15" s="4" t="str">
        <f>"" &amp; TEXT(AB15,"#0.00%") &amp; " " &amp; "[2107-05] Add Quick Guide in Store Deposit" &amp; " " &amp; IF(M15="","",TEXT(M15,"M/D-")) &amp; IF(N15="","",TEXT(N15,"M/D")) &amp; " "</f>
        <v xml:space="preserve">0.00% [2107-05] Add Quick Guide in Store Deposit 7/26-7/28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row>
    <row r="16" spans="1:79" outlineLevel="1">
      <c r="A16" s="116"/>
      <c r="B16" s="116"/>
      <c r="C16" s="116">
        <v>2</v>
      </c>
      <c r="D16" s="3" t="s">
        <v>1006</v>
      </c>
      <c r="E16" s="184"/>
      <c r="F16" s="184" t="s">
        <v>1054</v>
      </c>
      <c r="G16" s="184"/>
      <c r="H16" s="184"/>
      <c r="I16" s="184"/>
      <c r="J16" s="184"/>
      <c r="K16" s="184"/>
      <c r="L16" s="184"/>
      <c r="M16" s="185">
        <v>44403</v>
      </c>
      <c r="N16" s="185">
        <v>44403</v>
      </c>
      <c r="O16" s="186"/>
      <c r="P16" s="187">
        <v>1</v>
      </c>
      <c r="Q16" s="187">
        <v>0</v>
      </c>
      <c r="R16" s="188">
        <v>1</v>
      </c>
      <c r="S16" s="188">
        <v>0</v>
      </c>
      <c r="T16" s="185"/>
      <c r="U16" s="185"/>
      <c r="V16" s="189"/>
      <c r="W16" s="190">
        <v>0</v>
      </c>
      <c r="X16" s="191">
        <v>1</v>
      </c>
      <c r="Y16" s="186"/>
      <c r="Z16" s="192"/>
      <c r="AA16" s="97">
        <v>0</v>
      </c>
      <c r="AB16" s="193">
        <v>0</v>
      </c>
      <c r="AC16" s="123"/>
      <c r="AD16" s="4" t="str">
        <f>"" &amp; TEXT(AB16,"#0.00%") &amp; " " &amp; "Development" &amp; " " &amp; IF(M16="","",TEXT(M16,"M/D-")) &amp; IF(N16="","",TEXT(N16,"M/D")) &amp; " "</f>
        <v xml:space="preserve">0.00% Development 7/26-7/26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row>
    <row r="17" spans="1:70" outlineLevel="1">
      <c r="A17" s="116"/>
      <c r="B17" s="116"/>
      <c r="C17" s="116">
        <v>2</v>
      </c>
      <c r="D17" s="3" t="s">
        <v>1015</v>
      </c>
      <c r="E17" s="184"/>
      <c r="F17" s="184" t="s">
        <v>1032</v>
      </c>
      <c r="G17" s="184"/>
      <c r="H17" s="184"/>
      <c r="I17" s="184"/>
      <c r="J17" s="184"/>
      <c r="K17" s="184"/>
      <c r="L17" s="184"/>
      <c r="M17" s="185">
        <v>44404</v>
      </c>
      <c r="N17" s="185">
        <v>44404</v>
      </c>
      <c r="O17" s="186"/>
      <c r="P17" s="187">
        <v>1</v>
      </c>
      <c r="Q17" s="187">
        <v>0</v>
      </c>
      <c r="R17" s="188">
        <v>1</v>
      </c>
      <c r="S17" s="188">
        <v>0</v>
      </c>
      <c r="T17" s="185"/>
      <c r="U17" s="185"/>
      <c r="V17" s="189"/>
      <c r="W17" s="190">
        <v>0</v>
      </c>
      <c r="X17" s="191">
        <v>1</v>
      </c>
      <c r="Y17" s="186"/>
      <c r="Z17" s="192"/>
      <c r="AA17" s="97">
        <v>0</v>
      </c>
      <c r="AB17" s="193">
        <v>0</v>
      </c>
      <c r="AC17" s="123"/>
      <c r="AD17" s="4" t="str">
        <f>" " &amp; TEXT(AB17,"#0.00%") &amp; " " &amp; "Test" &amp; " " &amp; IF(M17="","",TEXT(M17,"M/D-")) &amp; IF(N17="","",TEXT(N17,"M/D")) &amp; " "</f>
        <v xml:space="preserve"> 0.00% Test 7/27-7/27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row>
    <row r="18" spans="1:70" outlineLevel="1">
      <c r="A18" s="116"/>
      <c r="B18" s="116"/>
      <c r="C18" s="116">
        <v>2</v>
      </c>
      <c r="D18" s="3" t="s">
        <v>1016</v>
      </c>
      <c r="E18" s="184"/>
      <c r="F18" s="184" t="s">
        <v>1033</v>
      </c>
      <c r="G18" s="184"/>
      <c r="H18" s="184"/>
      <c r="I18" s="184"/>
      <c r="J18" s="184"/>
      <c r="K18" s="184"/>
      <c r="L18" s="184"/>
      <c r="M18" s="185">
        <v>44405</v>
      </c>
      <c r="N18" s="185">
        <v>44405</v>
      </c>
      <c r="O18" s="186"/>
      <c r="P18" s="187">
        <v>1</v>
      </c>
      <c r="Q18" s="187">
        <v>0</v>
      </c>
      <c r="R18" s="188">
        <v>1</v>
      </c>
      <c r="S18" s="188">
        <v>0</v>
      </c>
      <c r="T18" s="185"/>
      <c r="U18" s="185"/>
      <c r="V18" s="189"/>
      <c r="W18" s="190">
        <v>0</v>
      </c>
      <c r="X18" s="191">
        <v>1</v>
      </c>
      <c r="Y18" s="186"/>
      <c r="Z18" s="192"/>
      <c r="AA18" s="97">
        <v>0</v>
      </c>
      <c r="AB18" s="193">
        <v>0</v>
      </c>
      <c r="AC18" s="123"/>
      <c r="AD18" s="4" t="str">
        <f>"  " &amp; TEXT(AB18,"#0.00%") &amp; " " &amp; "Publish" &amp; " " &amp; IF(M18="","",TEXT(M18,"M/D-")) &amp; IF(N18="","",TEXT(N18,"M/D")) &amp; " "</f>
        <v xml:space="preserve">  0.00% Publish 7/28-7/28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row>
    <row r="19" spans="1:70" outlineLevel="1">
      <c r="A19" s="116"/>
      <c r="B19" s="116"/>
      <c r="C19" s="116">
        <v>0</v>
      </c>
      <c r="D19" s="3"/>
      <c r="E19" s="184"/>
      <c r="F19" s="184"/>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row>
    <row r="20" spans="1:70">
      <c r="A20" s="116"/>
      <c r="B20" s="116" t="s">
        <v>983</v>
      </c>
      <c r="C20" s="116">
        <v>1</v>
      </c>
      <c r="D20" s="3" t="s">
        <v>1017</v>
      </c>
      <c r="E20" s="215" t="s">
        <v>1103</v>
      </c>
      <c r="F20" s="184"/>
      <c r="G20" s="184"/>
      <c r="H20" s="184"/>
      <c r="I20" s="184"/>
      <c r="J20" s="184"/>
      <c r="K20" s="184"/>
      <c r="L20" s="184"/>
      <c r="M20" s="185">
        <v>44404</v>
      </c>
      <c r="N20" s="185">
        <v>44433</v>
      </c>
      <c r="O20" s="186"/>
      <c r="P20" s="187">
        <v>5</v>
      </c>
      <c r="Q20" s="187">
        <v>0</v>
      </c>
      <c r="R20" s="188">
        <v>22</v>
      </c>
      <c r="S20" s="188">
        <v>0</v>
      </c>
      <c r="T20" s="185"/>
      <c r="U20" s="185"/>
      <c r="V20" s="189">
        <v>0</v>
      </c>
      <c r="W20" s="190">
        <v>0</v>
      </c>
      <c r="X20" s="191"/>
      <c r="Y20" s="186"/>
      <c r="Z20" s="192"/>
      <c r="AA20" s="97">
        <v>0</v>
      </c>
      <c r="AB20" s="193">
        <v>0</v>
      </c>
      <c r="AC20" s="123"/>
      <c r="AD20" s="4" t="str">
        <f>" " &amp; TEXT(AB20,"#0.00%") &amp; " "</f>
        <v xml:space="preserve"> 0.00% </v>
      </c>
      <c r="AE20" s="4"/>
      <c r="AF20" s="4"/>
      <c r="AG20" s="4"/>
      <c r="AH20" s="4" t="str">
        <f>"   " &amp; "[2107-04] Change GME Wallet Statement Information" &amp; " " &amp; IF(M20="","",TEXT(M20,"M/D-")) &amp; IF(N20="","",TEXT(N20,"M/D")) &amp; " "</f>
        <v xml:space="preserve">   [2107-04] Change GME Wallet Statement Information 7/27-8/25 </v>
      </c>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row>
    <row r="21" spans="1:70" outlineLevel="1">
      <c r="A21" s="116"/>
      <c r="B21" s="116"/>
      <c r="C21" s="116">
        <v>2</v>
      </c>
      <c r="D21" s="3" t="s">
        <v>1029</v>
      </c>
      <c r="E21" s="184"/>
      <c r="F21" s="184" t="s">
        <v>1054</v>
      </c>
      <c r="G21" s="184"/>
      <c r="H21" s="184"/>
      <c r="I21" s="184"/>
      <c r="J21" s="184"/>
      <c r="K21" s="184"/>
      <c r="L21" s="184"/>
      <c r="M21" s="185">
        <v>44404</v>
      </c>
      <c r="N21" s="185">
        <v>44405</v>
      </c>
      <c r="O21" s="186"/>
      <c r="P21" s="187">
        <v>2</v>
      </c>
      <c r="Q21" s="187">
        <v>0</v>
      </c>
      <c r="R21" s="188">
        <v>2</v>
      </c>
      <c r="S21" s="188">
        <v>0</v>
      </c>
      <c r="T21" s="185"/>
      <c r="U21" s="185"/>
      <c r="V21" s="189"/>
      <c r="W21" s="190">
        <v>0</v>
      </c>
      <c r="X21" s="191">
        <v>1</v>
      </c>
      <c r="Y21" s="186"/>
      <c r="Z21" s="192"/>
      <c r="AA21" s="97">
        <v>0</v>
      </c>
      <c r="AB21" s="193">
        <v>0</v>
      </c>
      <c r="AC21" s="123"/>
      <c r="AD21" s="4" t="str">
        <f>" " &amp; TEXT(AB21,"#0.00%") &amp; " " &amp; "Development" &amp; " " &amp; IF(M21="","",TEXT(M21,"M/D-")) &amp; IF(N21="","",TEXT(N21,"M/D")) &amp; " "</f>
        <v xml:space="preserve"> 0.00% Development 7/27-7/28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row>
    <row r="22" spans="1:70" outlineLevel="1">
      <c r="A22" s="116"/>
      <c r="B22" s="116"/>
      <c r="C22" s="116">
        <v>2</v>
      </c>
      <c r="D22" s="3" t="s">
        <v>1030</v>
      </c>
      <c r="E22" s="184"/>
      <c r="F22" s="184" t="s">
        <v>1032</v>
      </c>
      <c r="G22" s="184"/>
      <c r="H22" s="184"/>
      <c r="I22" s="184"/>
      <c r="J22" s="184"/>
      <c r="K22" s="184"/>
      <c r="L22" s="184"/>
      <c r="M22" s="185">
        <v>44406</v>
      </c>
      <c r="N22" s="185">
        <v>44407</v>
      </c>
      <c r="O22" s="186"/>
      <c r="P22" s="187">
        <v>2</v>
      </c>
      <c r="Q22" s="187">
        <v>0</v>
      </c>
      <c r="R22" s="188">
        <v>2</v>
      </c>
      <c r="S22" s="188">
        <v>0</v>
      </c>
      <c r="T22" s="185"/>
      <c r="U22" s="185"/>
      <c r="V22" s="189"/>
      <c r="W22" s="190">
        <v>0</v>
      </c>
      <c r="X22" s="191">
        <v>1</v>
      </c>
      <c r="Y22" s="186"/>
      <c r="Z22" s="192"/>
      <c r="AA22" s="97">
        <v>0</v>
      </c>
      <c r="AB22" s="193">
        <v>0</v>
      </c>
      <c r="AC22" s="123"/>
      <c r="AD22" s="4" t="str">
        <f>"   " &amp; TEXT(AB22,"#0.00%") &amp; " " &amp; "Test" &amp; " " &amp; IF(M22="","",TEXT(M22,"M/D-")) &amp; IF(N22="","",TEXT(N22,"M/D")) &amp; " "</f>
        <v xml:space="preserve">   0.00% Test 7/29-7/30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row>
    <row r="23" spans="1:70" outlineLevel="1">
      <c r="A23" s="116"/>
      <c r="B23" s="116"/>
      <c r="C23" s="116">
        <v>2</v>
      </c>
      <c r="D23" s="3" t="s">
        <v>1031</v>
      </c>
      <c r="E23" s="184"/>
      <c r="F23" s="184" t="s">
        <v>1033</v>
      </c>
      <c r="G23" s="184"/>
      <c r="H23" s="184"/>
      <c r="I23" s="184"/>
      <c r="J23" s="184"/>
      <c r="K23" s="184"/>
      <c r="L23" s="184"/>
      <c r="M23" s="185">
        <v>44433</v>
      </c>
      <c r="N23" s="185">
        <v>44433</v>
      </c>
      <c r="O23" s="186"/>
      <c r="P23" s="187">
        <v>1</v>
      </c>
      <c r="Q23" s="187">
        <v>0</v>
      </c>
      <c r="R23" s="188">
        <v>1</v>
      </c>
      <c r="S23" s="188">
        <v>0</v>
      </c>
      <c r="T23" s="185"/>
      <c r="U23" s="185"/>
      <c r="V23" s="189"/>
      <c r="W23" s="190">
        <v>0</v>
      </c>
      <c r="X23" s="191">
        <v>1</v>
      </c>
      <c r="Y23" s="186"/>
      <c r="Z23" s="192"/>
      <c r="AA23" s="97">
        <v>0</v>
      </c>
      <c r="AB23" s="193">
        <v>0</v>
      </c>
      <c r="AC23" s="123"/>
      <c r="AD23" s="4"/>
      <c r="AE23" s="4"/>
      <c r="AF23" s="4"/>
      <c r="AG23" s="4"/>
      <c r="AH23" s="4" t="str">
        <f>"  " &amp; TEXT(AB23,"#0.00%") &amp; " " &amp; "Publish" &amp; " " &amp; IF(M23="","",TEXT(M23,"M/D-")) &amp; IF(N23="","",TEXT(N23,"M/D")) &amp; " "</f>
        <v xml:space="preserve">  0.00% Publish 8/25-8/25 </v>
      </c>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row>
    <row r="24" spans="1:70" outlineLevel="1">
      <c r="A24" s="116"/>
      <c r="B24" s="116"/>
      <c r="C24" s="116">
        <v>0</v>
      </c>
      <c r="D24" s="3"/>
      <c r="E24" s="184"/>
      <c r="F24" s="184"/>
      <c r="G24" s="184"/>
      <c r="H24" s="184"/>
      <c r="I24" s="184"/>
      <c r="J24" s="184"/>
      <c r="K24" s="184"/>
      <c r="L24" s="184"/>
      <c r="M24" s="185"/>
      <c r="N24" s="185"/>
      <c r="O24" s="186"/>
      <c r="P24" s="187"/>
      <c r="Q24" s="187"/>
      <c r="R24" s="188">
        <v>0</v>
      </c>
      <c r="S24" s="188">
        <v>0</v>
      </c>
      <c r="T24" s="185"/>
      <c r="U24" s="185"/>
      <c r="V24" s="189"/>
      <c r="W24" s="190">
        <v>0</v>
      </c>
      <c r="X24" s="191"/>
      <c r="Y24" s="186"/>
      <c r="Z24" s="192"/>
      <c r="AA24" s="97"/>
      <c r="AB24" s="193"/>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row>
    <row r="25" spans="1:70">
      <c r="A25" s="116"/>
      <c r="B25" s="116" t="s">
        <v>983</v>
      </c>
      <c r="C25" s="116">
        <v>1</v>
      </c>
      <c r="D25" s="3" t="s">
        <v>1018</v>
      </c>
      <c r="E25" s="184" t="s">
        <v>1104</v>
      </c>
      <c r="F25" s="184"/>
      <c r="G25" s="184"/>
      <c r="H25" s="184"/>
      <c r="I25" s="184"/>
      <c r="J25" s="184"/>
      <c r="K25" s="184"/>
      <c r="L25" s="184"/>
      <c r="M25" s="185">
        <v>44406</v>
      </c>
      <c r="N25" s="185">
        <v>44433</v>
      </c>
      <c r="O25" s="186"/>
      <c r="P25" s="187">
        <v>5</v>
      </c>
      <c r="Q25" s="187">
        <v>0</v>
      </c>
      <c r="R25" s="188">
        <v>20</v>
      </c>
      <c r="S25" s="188">
        <v>0</v>
      </c>
      <c r="T25" s="185"/>
      <c r="U25" s="185"/>
      <c r="V25" s="189">
        <v>0</v>
      </c>
      <c r="W25" s="190">
        <v>0</v>
      </c>
      <c r="X25" s="191"/>
      <c r="Y25" s="186"/>
      <c r="Z25" s="192"/>
      <c r="AA25" s="97">
        <v>0</v>
      </c>
      <c r="AB25" s="193">
        <v>0</v>
      </c>
      <c r="AC25" s="123"/>
      <c r="AD25" s="4" t="str">
        <f>"   " &amp; TEXT(AB25,"#0.00%") &amp; " "</f>
        <v xml:space="preserve">   0.00% </v>
      </c>
      <c r="AE25" s="4"/>
      <c r="AF25" s="4"/>
      <c r="AG25" s="4"/>
      <c r="AH25" s="4" t="str">
        <f>"   " &amp; "[2106-02] Change Bank Statement able to see in duration" &amp; " " &amp; IF(M25="","",TEXT(M25,"M/D-")) &amp; IF(N25="","",TEXT(N25,"M/D")) &amp; " "</f>
        <v xml:space="preserve">   [2106-02] Change Bank Statement able to see in duration 7/29-8/25 </v>
      </c>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row>
    <row r="26" spans="1:70" outlineLevel="1">
      <c r="A26" s="116"/>
      <c r="B26" s="116"/>
      <c r="C26" s="116">
        <v>2</v>
      </c>
      <c r="D26" s="3" t="s">
        <v>1019</v>
      </c>
      <c r="E26" s="184"/>
      <c r="F26" s="184" t="s">
        <v>1054</v>
      </c>
      <c r="G26" s="184"/>
      <c r="H26" s="184"/>
      <c r="I26" s="184"/>
      <c r="J26" s="184"/>
      <c r="K26" s="184"/>
      <c r="L26" s="184"/>
      <c r="M26" s="185">
        <v>44406</v>
      </c>
      <c r="N26" s="185">
        <v>44407</v>
      </c>
      <c r="O26" s="186"/>
      <c r="P26" s="187">
        <v>2</v>
      </c>
      <c r="Q26" s="187">
        <v>0</v>
      </c>
      <c r="R26" s="188">
        <v>2</v>
      </c>
      <c r="S26" s="188">
        <v>0</v>
      </c>
      <c r="T26" s="185"/>
      <c r="U26" s="185"/>
      <c r="V26" s="189"/>
      <c r="W26" s="190">
        <v>0</v>
      </c>
      <c r="X26" s="191">
        <v>1</v>
      </c>
      <c r="Y26" s="186"/>
      <c r="Z26" s="192"/>
      <c r="AA26" s="97">
        <v>0</v>
      </c>
      <c r="AB26" s="193">
        <v>0</v>
      </c>
      <c r="AC26" s="123"/>
      <c r="AD26" s="4" t="str">
        <f>"   " &amp; TEXT(AB26,"#0.00%") &amp; " " &amp; "Development" &amp; " " &amp; IF(M26="","",TEXT(M26,"M/D-")) &amp; IF(N26="","",TEXT(N26,"M/D")) &amp; " "</f>
        <v xml:space="preserve">   0.00% Development 7/29-7/30 </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row>
    <row r="27" spans="1:70" outlineLevel="1">
      <c r="A27" s="116"/>
      <c r="B27" s="116"/>
      <c r="C27" s="116">
        <v>2</v>
      </c>
      <c r="D27" s="3" t="s">
        <v>1020</v>
      </c>
      <c r="E27" s="184"/>
      <c r="F27" s="184" t="s">
        <v>1032</v>
      </c>
      <c r="G27" s="184"/>
      <c r="H27" s="184"/>
      <c r="I27" s="184"/>
      <c r="J27" s="184"/>
      <c r="K27" s="184"/>
      <c r="L27" s="184"/>
      <c r="M27" s="185">
        <v>44410</v>
      </c>
      <c r="N27" s="185">
        <v>44411</v>
      </c>
      <c r="O27" s="186"/>
      <c r="P27" s="187">
        <v>2</v>
      </c>
      <c r="Q27" s="187">
        <v>0</v>
      </c>
      <c r="R27" s="188">
        <v>2</v>
      </c>
      <c r="S27" s="188">
        <v>0</v>
      </c>
      <c r="T27" s="185"/>
      <c r="U27" s="185"/>
      <c r="V27" s="189"/>
      <c r="W27" s="190">
        <v>0</v>
      </c>
      <c r="X27" s="191">
        <v>1</v>
      </c>
      <c r="Y27" s="186"/>
      <c r="Z27" s="192"/>
      <c r="AA27" s="97">
        <v>0</v>
      </c>
      <c r="AB27" s="193">
        <v>0</v>
      </c>
      <c r="AC27" s="123"/>
      <c r="AD27" s="4"/>
      <c r="AE27" s="4" t="str">
        <f>"" &amp; TEXT(AB27,"#0.00%") &amp; " " &amp; "Test" &amp; " " &amp; IF(M27="","",TEXT(M27,"M/D-")) &amp; IF(N27="","",TEXT(N27,"M/D")) &amp; " "</f>
        <v xml:space="preserve">0.00% Test 8/2-8/3 </v>
      </c>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row>
    <row r="28" spans="1:70" outlineLevel="1">
      <c r="A28" s="116"/>
      <c r="B28" s="116"/>
      <c r="C28" s="116">
        <v>2</v>
      </c>
      <c r="D28" s="3" t="s">
        <v>1021</v>
      </c>
      <c r="E28" s="184"/>
      <c r="F28" s="184" t="s">
        <v>1033</v>
      </c>
      <c r="G28" s="184"/>
      <c r="H28" s="184"/>
      <c r="I28" s="184"/>
      <c r="J28" s="184"/>
      <c r="K28" s="184"/>
      <c r="L28" s="184"/>
      <c r="M28" s="185">
        <v>44433</v>
      </c>
      <c r="N28" s="185">
        <v>44433</v>
      </c>
      <c r="O28" s="186"/>
      <c r="P28" s="187">
        <v>1</v>
      </c>
      <c r="Q28" s="187">
        <v>0</v>
      </c>
      <c r="R28" s="188">
        <v>1</v>
      </c>
      <c r="S28" s="188">
        <v>0</v>
      </c>
      <c r="T28" s="185"/>
      <c r="U28" s="185"/>
      <c r="V28" s="189"/>
      <c r="W28" s="190">
        <v>0</v>
      </c>
      <c r="X28" s="191">
        <v>1</v>
      </c>
      <c r="Y28" s="186"/>
      <c r="Z28" s="192"/>
      <c r="AA28" s="97">
        <v>0</v>
      </c>
      <c r="AB28" s="193">
        <v>0</v>
      </c>
      <c r="AC28" s="123"/>
      <c r="AD28" s="4"/>
      <c r="AE28" s="4"/>
      <c r="AF28" s="4"/>
      <c r="AG28" s="4"/>
      <c r="AH28" s="4" t="str">
        <f>"  " &amp; TEXT(AB28,"#0.00%") &amp; " " &amp; "Publish" &amp; " " &amp; IF(M28="","",TEXT(M28,"M/D-")) &amp; IF(N28="","",TEXT(N28,"M/D")) &amp; " "</f>
        <v xml:space="preserve">  0.00% Publish 8/25-8/25 </v>
      </c>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row>
    <row r="29" spans="1:70" outlineLevel="1">
      <c r="A29" s="116"/>
      <c r="B29" s="116"/>
      <c r="C29" s="116">
        <v>0</v>
      </c>
      <c r="D29" s="3"/>
      <c r="E29" s="184"/>
      <c r="F29" s="184"/>
      <c r="G29" s="184"/>
      <c r="H29" s="184"/>
      <c r="I29" s="184"/>
      <c r="J29" s="184"/>
      <c r="K29" s="184"/>
      <c r="L29" s="184"/>
      <c r="M29" s="185"/>
      <c r="N29" s="185"/>
      <c r="O29" s="186"/>
      <c r="P29" s="187"/>
      <c r="Q29" s="187"/>
      <c r="R29" s="188">
        <v>0</v>
      </c>
      <c r="S29" s="188">
        <v>0</v>
      </c>
      <c r="T29" s="185"/>
      <c r="U29" s="185"/>
      <c r="V29" s="189"/>
      <c r="W29" s="190">
        <v>0</v>
      </c>
      <c r="X29" s="191"/>
      <c r="Y29" s="186"/>
      <c r="Z29" s="192"/>
      <c r="AA29" s="97"/>
      <c r="AB29" s="193"/>
      <c r="AC29" s="123"/>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row>
    <row r="30" spans="1:70">
      <c r="A30" s="116"/>
      <c r="B30" s="116" t="s">
        <v>983</v>
      </c>
      <c r="C30" s="116">
        <v>1</v>
      </c>
      <c r="D30" s="3" t="s">
        <v>1037</v>
      </c>
      <c r="E30" s="184" t="s">
        <v>1057</v>
      </c>
      <c r="F30" s="184"/>
      <c r="G30" s="184"/>
      <c r="H30" s="184"/>
      <c r="I30" s="184"/>
      <c r="J30" s="184"/>
      <c r="K30" s="184"/>
      <c r="L30" s="184"/>
      <c r="M30" s="185">
        <v>44410</v>
      </c>
      <c r="N30" s="185">
        <v>44433</v>
      </c>
      <c r="O30" s="186"/>
      <c r="P30" s="187">
        <v>4</v>
      </c>
      <c r="Q30" s="187">
        <v>0</v>
      </c>
      <c r="R30" s="188">
        <v>18</v>
      </c>
      <c r="S30" s="188">
        <v>0</v>
      </c>
      <c r="T30" s="185"/>
      <c r="U30" s="185"/>
      <c r="V30" s="189">
        <v>0</v>
      </c>
      <c r="W30" s="190">
        <v>0</v>
      </c>
      <c r="X30" s="191"/>
      <c r="Y30" s="186"/>
      <c r="Z30" s="192"/>
      <c r="AA30" s="97">
        <v>0</v>
      </c>
      <c r="AB30" s="193">
        <v>0</v>
      </c>
      <c r="AC30" s="123"/>
      <c r="AD30" s="4"/>
      <c r="AE30" s="4" t="str">
        <f>"" &amp; TEXT(AB30,"#0.00%") &amp; " "</f>
        <v xml:space="preserve">0.00% </v>
      </c>
      <c r="AF30" s="4"/>
      <c r="AG30" s="4"/>
      <c r="AH30" s="4" t="str">
        <f>"   " &amp; "[2106-12] Add Snapcall in Mobile App" &amp; " " &amp; IF(M30="","",TEXT(M30,"M/D-")) &amp; IF(N30="","",TEXT(N30,"M/D")) &amp; " "</f>
        <v xml:space="preserve">   [2106-12] Add Snapcall in Mobile App 8/2-8/25 </v>
      </c>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row>
    <row r="31" spans="1:70" outlineLevel="1">
      <c r="A31" s="116"/>
      <c r="B31" s="116"/>
      <c r="C31" s="116">
        <v>2</v>
      </c>
      <c r="D31" s="3" t="s">
        <v>1038</v>
      </c>
      <c r="E31" s="184"/>
      <c r="F31" s="184" t="s">
        <v>1054</v>
      </c>
      <c r="G31" s="184"/>
      <c r="H31" s="184"/>
      <c r="I31" s="184"/>
      <c r="J31" s="184"/>
      <c r="K31" s="184"/>
      <c r="L31" s="184"/>
      <c r="M31" s="185">
        <v>44410</v>
      </c>
      <c r="N31" s="185">
        <v>44411</v>
      </c>
      <c r="O31" s="186"/>
      <c r="P31" s="187">
        <v>2</v>
      </c>
      <c r="Q31" s="187">
        <v>0</v>
      </c>
      <c r="R31" s="188">
        <v>2</v>
      </c>
      <c r="S31" s="188">
        <v>0</v>
      </c>
      <c r="T31" s="185"/>
      <c r="U31" s="185"/>
      <c r="V31" s="189"/>
      <c r="W31" s="190">
        <v>0</v>
      </c>
      <c r="X31" s="191">
        <v>1</v>
      </c>
      <c r="Y31" s="186"/>
      <c r="Z31" s="192"/>
      <c r="AA31" s="97">
        <v>0</v>
      </c>
      <c r="AB31" s="193">
        <v>0</v>
      </c>
      <c r="AC31" s="123"/>
      <c r="AD31" s="4"/>
      <c r="AE31" s="4" t="str">
        <f>"" &amp; TEXT(AB31,"#0.00%") &amp; " " &amp; "Development" &amp; " " &amp; IF(M31="","",TEXT(M31,"M/D-")) &amp; IF(N31="","",TEXT(N31,"M/D")) &amp; " "</f>
        <v xml:space="preserve">0.00% Development 8/2-8/3 </v>
      </c>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row>
    <row r="32" spans="1:70" outlineLevel="1">
      <c r="A32" s="116"/>
      <c r="B32" s="116"/>
      <c r="C32" s="116">
        <v>2</v>
      </c>
      <c r="D32" s="3" t="s">
        <v>1039</v>
      </c>
      <c r="E32" s="184"/>
      <c r="F32" s="184" t="s">
        <v>1032</v>
      </c>
      <c r="G32" s="184"/>
      <c r="H32" s="184"/>
      <c r="I32" s="184"/>
      <c r="J32" s="184"/>
      <c r="K32" s="184"/>
      <c r="L32" s="184"/>
      <c r="M32" s="185">
        <v>44412</v>
      </c>
      <c r="N32" s="185">
        <v>44412</v>
      </c>
      <c r="O32" s="186"/>
      <c r="P32" s="187">
        <v>1</v>
      </c>
      <c r="Q32" s="187">
        <v>0</v>
      </c>
      <c r="R32" s="188">
        <v>1</v>
      </c>
      <c r="S32" s="188">
        <v>0</v>
      </c>
      <c r="T32" s="185"/>
      <c r="U32" s="185"/>
      <c r="V32" s="189"/>
      <c r="W32" s="190">
        <v>0</v>
      </c>
      <c r="X32" s="191">
        <v>1</v>
      </c>
      <c r="Y32" s="186"/>
      <c r="Z32" s="192"/>
      <c r="AA32" s="97">
        <v>0</v>
      </c>
      <c r="AB32" s="193">
        <v>0</v>
      </c>
      <c r="AC32" s="123"/>
      <c r="AD32" s="4"/>
      <c r="AE32" s="4" t="str">
        <f>"  " &amp; TEXT(AB32,"#0.00%") &amp; " " &amp; "Test" &amp; " " &amp; IF(M32="","",TEXT(M32,"M/D-")) &amp; IF(N32="","",TEXT(N32,"M/D")) &amp; " "</f>
        <v xml:space="preserve">  0.00% Test 8/4-8/4 </v>
      </c>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row>
    <row r="33" spans="1:70" outlineLevel="1">
      <c r="A33" s="116"/>
      <c r="B33" s="116"/>
      <c r="C33" s="116">
        <v>2</v>
      </c>
      <c r="D33" s="3" t="s">
        <v>1040</v>
      </c>
      <c r="E33" s="184"/>
      <c r="F33" s="184" t="s">
        <v>1033</v>
      </c>
      <c r="G33" s="184"/>
      <c r="H33" s="184"/>
      <c r="I33" s="184"/>
      <c r="J33" s="184"/>
      <c r="K33" s="184"/>
      <c r="L33" s="184"/>
      <c r="M33" s="185">
        <v>44433</v>
      </c>
      <c r="N33" s="185">
        <v>44433</v>
      </c>
      <c r="O33" s="186"/>
      <c r="P33" s="187">
        <v>1</v>
      </c>
      <c r="Q33" s="187">
        <v>0</v>
      </c>
      <c r="R33" s="188">
        <v>1</v>
      </c>
      <c r="S33" s="188">
        <v>0</v>
      </c>
      <c r="T33" s="185"/>
      <c r="U33" s="185"/>
      <c r="V33" s="189"/>
      <c r="W33" s="190">
        <v>0</v>
      </c>
      <c r="X33" s="191">
        <v>1</v>
      </c>
      <c r="Y33" s="186"/>
      <c r="Z33" s="192"/>
      <c r="AA33" s="97">
        <v>0</v>
      </c>
      <c r="AB33" s="193">
        <v>0</v>
      </c>
      <c r="AC33" s="123"/>
      <c r="AD33" s="4"/>
      <c r="AE33" s="4"/>
      <c r="AF33" s="4"/>
      <c r="AG33" s="4"/>
      <c r="AH33" s="4" t="str">
        <f>"  " &amp; TEXT(AB33,"#0.00%") &amp; " " &amp; "Publish" &amp; " " &amp; IF(M33="","",TEXT(M33,"M/D-")) &amp; IF(N33="","",TEXT(N33,"M/D")) &amp; " "</f>
        <v xml:space="preserve">  0.00% Publish 8/25-8/25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row>
    <row r="34" spans="1:70" outlineLevel="1">
      <c r="A34" s="116"/>
      <c r="B34" s="116"/>
      <c r="C34" s="116">
        <v>0</v>
      </c>
      <c r="D34" s="3"/>
      <c r="E34" s="184"/>
      <c r="F34" s="184"/>
      <c r="G34" s="184"/>
      <c r="H34" s="184"/>
      <c r="I34" s="184"/>
      <c r="J34" s="184"/>
      <c r="K34" s="184"/>
      <c r="L34" s="184"/>
      <c r="M34" s="185"/>
      <c r="N34" s="185"/>
      <c r="O34" s="186"/>
      <c r="P34" s="187"/>
      <c r="Q34" s="187"/>
      <c r="R34" s="188">
        <v>0</v>
      </c>
      <c r="S34" s="188">
        <v>0</v>
      </c>
      <c r="T34" s="185"/>
      <c r="U34" s="185"/>
      <c r="V34" s="189"/>
      <c r="W34" s="190">
        <v>0</v>
      </c>
      <c r="X34" s="191"/>
      <c r="Y34" s="186"/>
      <c r="Z34" s="192"/>
      <c r="AA34" s="97"/>
      <c r="AB34" s="193"/>
      <c r="AC34" s="123"/>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row>
    <row r="35" spans="1:70">
      <c r="A35" s="116"/>
      <c r="B35" s="116" t="s">
        <v>983</v>
      </c>
      <c r="C35" s="116">
        <v>1</v>
      </c>
      <c r="D35" s="3" t="s">
        <v>1041</v>
      </c>
      <c r="E35" s="184" t="s">
        <v>1058</v>
      </c>
      <c r="F35" s="184"/>
      <c r="G35" s="184"/>
      <c r="H35" s="184"/>
      <c r="I35" s="184"/>
      <c r="J35" s="184"/>
      <c r="K35" s="184"/>
      <c r="L35" s="184"/>
      <c r="M35" s="185">
        <v>44412</v>
      </c>
      <c r="N35" s="185">
        <v>44433</v>
      </c>
      <c r="O35" s="186"/>
      <c r="P35" s="187">
        <v>3</v>
      </c>
      <c r="Q35" s="187">
        <v>0</v>
      </c>
      <c r="R35" s="188">
        <v>16</v>
      </c>
      <c r="S35" s="188">
        <v>0</v>
      </c>
      <c r="T35" s="185"/>
      <c r="U35" s="185"/>
      <c r="V35" s="189">
        <v>0</v>
      </c>
      <c r="W35" s="190">
        <v>0</v>
      </c>
      <c r="X35" s="191"/>
      <c r="Y35" s="186"/>
      <c r="Z35" s="192"/>
      <c r="AA35" s="97">
        <v>0</v>
      </c>
      <c r="AB35" s="193">
        <v>0</v>
      </c>
      <c r="AC35" s="123"/>
      <c r="AD35" s="4"/>
      <c r="AE35" s="4" t="str">
        <f>"  " &amp; TEXT(AB35,"#0.00%") &amp; " "</f>
        <v xml:space="preserve">  0.00% </v>
      </c>
      <c r="AF35" s="4"/>
      <c r="AG35" s="4"/>
      <c r="AH35" s="4" t="str">
        <f>"   " &amp; "[2105-Q02] Change type input search by Date Type" &amp; " " &amp; IF(M35="","",TEXT(M35,"M/D-")) &amp; IF(N35="","",TEXT(N35,"M/D")) &amp; " "</f>
        <v xml:space="preserve">   [2105-Q02] Change type input search by Date Type 8/4-8/25 </v>
      </c>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row>
    <row r="36" spans="1:70" outlineLevel="1">
      <c r="A36" s="116"/>
      <c r="B36" s="116"/>
      <c r="C36" s="116">
        <v>2</v>
      </c>
      <c r="D36" s="3" t="s">
        <v>1042</v>
      </c>
      <c r="E36" s="184"/>
      <c r="F36" s="184" t="s">
        <v>1054</v>
      </c>
      <c r="G36" s="184"/>
      <c r="H36" s="184"/>
      <c r="I36" s="184"/>
      <c r="J36" s="184"/>
      <c r="K36" s="184"/>
      <c r="L36" s="184"/>
      <c r="M36" s="185">
        <v>44412</v>
      </c>
      <c r="N36" s="185">
        <v>44412</v>
      </c>
      <c r="O36" s="186"/>
      <c r="P36" s="187">
        <v>1</v>
      </c>
      <c r="Q36" s="187">
        <v>0</v>
      </c>
      <c r="R36" s="188">
        <v>1</v>
      </c>
      <c r="S36" s="188">
        <v>0</v>
      </c>
      <c r="T36" s="185"/>
      <c r="U36" s="185"/>
      <c r="V36" s="189"/>
      <c r="W36" s="190">
        <v>0</v>
      </c>
      <c r="X36" s="191">
        <v>1</v>
      </c>
      <c r="Y36" s="186"/>
      <c r="Z36" s="192"/>
      <c r="AA36" s="97">
        <v>0</v>
      </c>
      <c r="AB36" s="193">
        <v>0</v>
      </c>
      <c r="AC36" s="123"/>
      <c r="AD36" s="4"/>
      <c r="AE36" s="4" t="str">
        <f>"  " &amp; TEXT(AB36,"#0.00%") &amp; " " &amp; "Development" &amp; " " &amp; IF(M36="","",TEXT(M36,"M/D-")) &amp; IF(N36="","",TEXT(N36,"M/D")) &amp; " "</f>
        <v xml:space="preserve">  0.00% Development 8/4-8/4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row>
    <row r="37" spans="1:70" outlineLevel="1">
      <c r="A37" s="116"/>
      <c r="B37" s="116"/>
      <c r="C37" s="116">
        <v>2</v>
      </c>
      <c r="D37" s="3" t="s">
        <v>1043</v>
      </c>
      <c r="E37" s="184"/>
      <c r="F37" s="184" t="s">
        <v>1032</v>
      </c>
      <c r="G37" s="184"/>
      <c r="H37" s="184"/>
      <c r="I37" s="184"/>
      <c r="J37" s="184"/>
      <c r="K37" s="184"/>
      <c r="L37" s="184"/>
      <c r="M37" s="185">
        <v>44413</v>
      </c>
      <c r="N37" s="185">
        <v>44413</v>
      </c>
      <c r="O37" s="186"/>
      <c r="P37" s="187">
        <v>1</v>
      </c>
      <c r="Q37" s="187">
        <v>0</v>
      </c>
      <c r="R37" s="188">
        <v>1</v>
      </c>
      <c r="S37" s="188">
        <v>0</v>
      </c>
      <c r="T37" s="185"/>
      <c r="U37" s="185"/>
      <c r="V37" s="189"/>
      <c r="W37" s="190">
        <v>0</v>
      </c>
      <c r="X37" s="191">
        <v>1</v>
      </c>
      <c r="Y37" s="186"/>
      <c r="Z37" s="192"/>
      <c r="AA37" s="97">
        <v>0</v>
      </c>
      <c r="AB37" s="193">
        <v>0</v>
      </c>
      <c r="AC37" s="123"/>
      <c r="AD37" s="4"/>
      <c r="AE37" s="4" t="str">
        <f>"   " &amp; TEXT(AB37,"#0.00%") &amp; " " &amp; "Test" &amp; " " &amp; IF(M37="","",TEXT(M37,"M/D-")) &amp; IF(N37="","",TEXT(N37,"M/D")) &amp; " "</f>
        <v xml:space="preserve">   0.00% Test 8/5-8/5 </v>
      </c>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row>
    <row r="38" spans="1:70" outlineLevel="1">
      <c r="A38" s="116"/>
      <c r="B38" s="116"/>
      <c r="C38" s="116">
        <v>2</v>
      </c>
      <c r="D38" s="3" t="s">
        <v>1044</v>
      </c>
      <c r="E38" s="184"/>
      <c r="F38" s="184" t="s">
        <v>1033</v>
      </c>
      <c r="G38" s="184"/>
      <c r="H38" s="184"/>
      <c r="I38" s="184"/>
      <c r="J38" s="184"/>
      <c r="K38" s="184"/>
      <c r="L38" s="184"/>
      <c r="M38" s="185">
        <v>44433</v>
      </c>
      <c r="N38" s="185">
        <v>44433</v>
      </c>
      <c r="O38" s="186"/>
      <c r="P38" s="187">
        <v>1</v>
      </c>
      <c r="Q38" s="187">
        <v>0</v>
      </c>
      <c r="R38" s="188">
        <v>1</v>
      </c>
      <c r="S38" s="188">
        <v>0</v>
      </c>
      <c r="T38" s="185"/>
      <c r="U38" s="185"/>
      <c r="V38" s="189"/>
      <c r="W38" s="190">
        <v>0</v>
      </c>
      <c r="X38" s="191">
        <v>1</v>
      </c>
      <c r="Y38" s="186"/>
      <c r="Z38" s="192"/>
      <c r="AA38" s="97">
        <v>0</v>
      </c>
      <c r="AB38" s="193">
        <v>0</v>
      </c>
      <c r="AC38" s="123"/>
      <c r="AD38" s="4"/>
      <c r="AE38" s="4"/>
      <c r="AF38" s="4"/>
      <c r="AG38" s="4"/>
      <c r="AH38" s="4" t="str">
        <f>"  " &amp; TEXT(AB38,"#0.00%") &amp; " " &amp; "Publish" &amp; " " &amp; IF(M38="","",TEXT(M38,"M/D-")) &amp; IF(N38="","",TEXT(N38,"M/D")) &amp; " "</f>
        <v xml:space="preserve">  0.00% Publish 8/25-8/25 </v>
      </c>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row>
    <row r="39" spans="1:70" outlineLevel="1">
      <c r="A39" s="116"/>
      <c r="B39" s="116"/>
      <c r="C39" s="116">
        <v>0</v>
      </c>
      <c r="D39" s="3"/>
      <c r="E39" s="184"/>
      <c r="F39" s="184"/>
      <c r="G39" s="184"/>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row>
    <row r="40" spans="1:70">
      <c r="A40" s="116"/>
      <c r="B40" s="116" t="s">
        <v>983</v>
      </c>
      <c r="C40" s="116">
        <v>1</v>
      </c>
      <c r="D40" s="3" t="s">
        <v>1045</v>
      </c>
      <c r="E40" s="184" t="s">
        <v>1059</v>
      </c>
      <c r="F40" s="184"/>
      <c r="G40" s="184"/>
      <c r="H40" s="184"/>
      <c r="I40" s="184"/>
      <c r="J40" s="184"/>
      <c r="K40" s="184"/>
      <c r="L40" s="184"/>
      <c r="M40" s="185">
        <v>44412</v>
      </c>
      <c r="N40" s="185">
        <v>44433</v>
      </c>
      <c r="O40" s="186"/>
      <c r="P40" s="187">
        <v>3</v>
      </c>
      <c r="Q40" s="187">
        <v>0</v>
      </c>
      <c r="R40" s="188">
        <v>16</v>
      </c>
      <c r="S40" s="188">
        <v>0</v>
      </c>
      <c r="T40" s="185"/>
      <c r="U40" s="185"/>
      <c r="V40" s="189">
        <v>0</v>
      </c>
      <c r="W40" s="190">
        <v>0</v>
      </c>
      <c r="X40" s="191"/>
      <c r="Y40" s="186"/>
      <c r="Z40" s="192"/>
      <c r="AA40" s="97">
        <v>0</v>
      </c>
      <c r="AB40" s="193">
        <v>0</v>
      </c>
      <c r="AC40" s="123"/>
      <c r="AD40" s="4"/>
      <c r="AE40" s="4" t="str">
        <f>"  " &amp; TEXT(AB40,"#0.00%") &amp; " "</f>
        <v xml:space="preserve">  0.00% </v>
      </c>
      <c r="AF40" s="4"/>
      <c r="AG40" s="4"/>
      <c r="AH40" s="4" t="str">
        <f>"   " &amp; "[2105-Q02] First login after click cancel should move to first login page(IOS)" &amp; " " &amp; IF(M40="","",TEXT(M40,"M/D-")) &amp; IF(N40="","",TEXT(N40,"M/D")) &amp; " "</f>
        <v xml:space="preserve">   [2105-Q02] First login after click cancel should move to first login page(IOS) 8/4-8/25 </v>
      </c>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row>
    <row r="41" spans="1:70" outlineLevel="1">
      <c r="A41" s="116"/>
      <c r="B41" s="116"/>
      <c r="C41" s="116">
        <v>2</v>
      </c>
      <c r="D41" s="3" t="s">
        <v>1046</v>
      </c>
      <c r="E41" s="184"/>
      <c r="F41" s="184" t="s">
        <v>1054</v>
      </c>
      <c r="G41" s="184"/>
      <c r="H41" s="184"/>
      <c r="I41" s="184"/>
      <c r="J41" s="184"/>
      <c r="K41" s="184"/>
      <c r="L41" s="184"/>
      <c r="M41" s="185">
        <v>44412</v>
      </c>
      <c r="N41" s="185">
        <v>44412</v>
      </c>
      <c r="O41" s="186"/>
      <c r="P41" s="187">
        <v>1</v>
      </c>
      <c r="Q41" s="187">
        <v>0</v>
      </c>
      <c r="R41" s="188">
        <v>1</v>
      </c>
      <c r="S41" s="188">
        <v>0</v>
      </c>
      <c r="T41" s="185"/>
      <c r="U41" s="185"/>
      <c r="V41" s="189"/>
      <c r="W41" s="190">
        <v>0</v>
      </c>
      <c r="X41" s="191">
        <v>1</v>
      </c>
      <c r="Y41" s="186"/>
      <c r="Z41" s="192"/>
      <c r="AA41" s="97">
        <v>0</v>
      </c>
      <c r="AB41" s="193">
        <v>0</v>
      </c>
      <c r="AC41" s="123"/>
      <c r="AD41" s="4"/>
      <c r="AE41" s="4" t="str">
        <f>"  " &amp; TEXT(AB41,"#0.00%") &amp; " " &amp; "Development" &amp; " " &amp; IF(M41="","",TEXT(M41,"M/D-")) &amp; IF(N41="","",TEXT(N41,"M/D")) &amp; " "</f>
        <v xml:space="preserve">  0.00% Development 8/4-8/4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row>
    <row r="42" spans="1:70" outlineLevel="1">
      <c r="A42" s="116"/>
      <c r="B42" s="116"/>
      <c r="C42" s="116">
        <v>2</v>
      </c>
      <c r="D42" s="3" t="s">
        <v>1047</v>
      </c>
      <c r="E42" s="184"/>
      <c r="F42" s="184" t="s">
        <v>1032</v>
      </c>
      <c r="G42" s="184"/>
      <c r="H42" s="184"/>
      <c r="I42" s="184"/>
      <c r="J42" s="184"/>
      <c r="K42" s="184"/>
      <c r="L42" s="184"/>
      <c r="M42" s="185">
        <v>44413</v>
      </c>
      <c r="N42" s="185">
        <v>44413</v>
      </c>
      <c r="O42" s="186"/>
      <c r="P42" s="187">
        <v>1</v>
      </c>
      <c r="Q42" s="187">
        <v>0</v>
      </c>
      <c r="R42" s="188">
        <v>1</v>
      </c>
      <c r="S42" s="188">
        <v>0</v>
      </c>
      <c r="T42" s="185"/>
      <c r="U42" s="185"/>
      <c r="V42" s="189"/>
      <c r="W42" s="190">
        <v>0</v>
      </c>
      <c r="X42" s="191">
        <v>1</v>
      </c>
      <c r="Y42" s="186"/>
      <c r="Z42" s="192"/>
      <c r="AA42" s="97">
        <v>0</v>
      </c>
      <c r="AB42" s="193">
        <v>0</v>
      </c>
      <c r="AC42" s="123"/>
      <c r="AD42" s="4"/>
      <c r="AE42" s="4" t="str">
        <f>"   " &amp; TEXT(AB42,"#0.00%") &amp; " " &amp; "Test" &amp; " " &amp; IF(M42="","",TEXT(M42,"M/D-")) &amp; IF(N42="","",TEXT(N42,"M/D")) &amp; " "</f>
        <v xml:space="preserve">   0.00% Test 8/5-8/5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row>
    <row r="43" spans="1:70" outlineLevel="1">
      <c r="A43" s="116"/>
      <c r="B43" s="116"/>
      <c r="C43" s="116">
        <v>2</v>
      </c>
      <c r="D43" s="3" t="s">
        <v>1048</v>
      </c>
      <c r="E43" s="184"/>
      <c r="F43" s="184" t="s">
        <v>1033</v>
      </c>
      <c r="G43" s="184"/>
      <c r="H43" s="184"/>
      <c r="I43" s="184"/>
      <c r="J43" s="184"/>
      <c r="K43" s="184"/>
      <c r="L43" s="184"/>
      <c r="M43" s="185">
        <v>44433</v>
      </c>
      <c r="N43" s="185">
        <v>44433</v>
      </c>
      <c r="O43" s="186"/>
      <c r="P43" s="187">
        <v>1</v>
      </c>
      <c r="Q43" s="187">
        <v>0</v>
      </c>
      <c r="R43" s="188">
        <v>1</v>
      </c>
      <c r="S43" s="188">
        <v>0</v>
      </c>
      <c r="T43" s="185"/>
      <c r="U43" s="185"/>
      <c r="V43" s="189"/>
      <c r="W43" s="190">
        <v>0</v>
      </c>
      <c r="X43" s="191">
        <v>1</v>
      </c>
      <c r="Y43" s="186"/>
      <c r="Z43" s="192"/>
      <c r="AA43" s="97">
        <v>0</v>
      </c>
      <c r="AB43" s="193">
        <v>0</v>
      </c>
      <c r="AC43" s="123"/>
      <c r="AD43" s="4"/>
      <c r="AE43" s="4"/>
      <c r="AF43" s="4"/>
      <c r="AG43" s="4"/>
      <c r="AH43" s="4" t="str">
        <f>"  " &amp; TEXT(AB43,"#0.00%") &amp; " " &amp; "Publish" &amp; " " &amp; IF(M43="","",TEXT(M43,"M/D-")) &amp; IF(N43="","",TEXT(N43,"M/D")) &amp; " "</f>
        <v xml:space="preserve">  0.00% Publish 8/25-8/25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row>
    <row r="44" spans="1:70" outlineLevel="1">
      <c r="A44" s="116"/>
      <c r="B44" s="116"/>
      <c r="C44" s="116">
        <v>0</v>
      </c>
      <c r="D44" s="3"/>
      <c r="E44" s="184"/>
      <c r="F44" s="184"/>
      <c r="G44" s="184"/>
      <c r="H44" s="184"/>
      <c r="I44" s="184"/>
      <c r="J44" s="184"/>
      <c r="K44" s="184"/>
      <c r="L44" s="184"/>
      <c r="M44" s="185"/>
      <c r="N44" s="185"/>
      <c r="O44" s="186"/>
      <c r="P44" s="187"/>
      <c r="Q44" s="187"/>
      <c r="R44" s="188">
        <v>0</v>
      </c>
      <c r="S44" s="188">
        <v>0</v>
      </c>
      <c r="T44" s="185"/>
      <c r="U44" s="185"/>
      <c r="V44" s="189"/>
      <c r="W44" s="190">
        <v>0</v>
      </c>
      <c r="X44" s="191"/>
      <c r="Y44" s="186"/>
      <c r="Z44" s="192"/>
      <c r="AA44" s="97"/>
      <c r="AB44" s="193"/>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row>
    <row r="45" spans="1:70">
      <c r="A45" s="116"/>
      <c r="B45" s="116" t="s">
        <v>983</v>
      </c>
      <c r="C45" s="116">
        <v>1</v>
      </c>
      <c r="D45" s="3" t="s">
        <v>1049</v>
      </c>
      <c r="E45" s="184" t="s">
        <v>1060</v>
      </c>
      <c r="F45" s="184"/>
      <c r="G45" s="184"/>
      <c r="H45" s="184"/>
      <c r="I45" s="184"/>
      <c r="J45" s="184"/>
      <c r="K45" s="184"/>
      <c r="L45" s="184"/>
      <c r="M45" s="185">
        <v>44413</v>
      </c>
      <c r="N45" s="185">
        <v>44433</v>
      </c>
      <c r="O45" s="186"/>
      <c r="P45" s="187">
        <v>11</v>
      </c>
      <c r="Q45" s="187">
        <v>0</v>
      </c>
      <c r="R45" s="188">
        <v>15</v>
      </c>
      <c r="S45" s="188">
        <v>0</v>
      </c>
      <c r="T45" s="185"/>
      <c r="U45" s="185"/>
      <c r="V45" s="189">
        <v>0</v>
      </c>
      <c r="W45" s="190">
        <v>0</v>
      </c>
      <c r="X45" s="191"/>
      <c r="Y45" s="186"/>
      <c r="Z45" s="192"/>
      <c r="AA45" s="97">
        <v>0</v>
      </c>
      <c r="AB45" s="193">
        <v>0</v>
      </c>
      <c r="AC45" s="123"/>
      <c r="AD45" s="4"/>
      <c r="AE45" s="4" t="str">
        <f>"   " &amp; TEXT(AB45,"#0.00%") &amp; " "</f>
        <v xml:space="preserve">   0.00% </v>
      </c>
      <c r="AF45" s="4"/>
      <c r="AG45" s="4"/>
      <c r="AH45" s="4" t="str">
        <f>"   " &amp; "[2103-19] OCR function in Mobile App" &amp; " " &amp; IF(M45="","",TEXT(M45,"M/D-")) &amp; IF(N45="","",TEXT(N45,"M/D")) &amp; " "</f>
        <v xml:space="preserve">   [2103-19] OCR function in Mobile App 8/5-8/25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row>
    <row r="46" spans="1:70" outlineLevel="1">
      <c r="A46" s="116"/>
      <c r="B46" s="116"/>
      <c r="C46" s="116">
        <v>2</v>
      </c>
      <c r="D46" s="3" t="s">
        <v>1050</v>
      </c>
      <c r="E46" s="184"/>
      <c r="F46" s="184" t="s">
        <v>1054</v>
      </c>
      <c r="G46" s="184"/>
      <c r="H46" s="184"/>
      <c r="I46" s="184"/>
      <c r="J46" s="184"/>
      <c r="K46" s="184"/>
      <c r="L46" s="184"/>
      <c r="M46" s="185">
        <v>44413</v>
      </c>
      <c r="N46" s="185">
        <v>44420</v>
      </c>
      <c r="O46" s="186"/>
      <c r="P46" s="187">
        <v>6</v>
      </c>
      <c r="Q46" s="187">
        <v>0</v>
      </c>
      <c r="R46" s="188">
        <v>6</v>
      </c>
      <c r="S46" s="188">
        <v>0</v>
      </c>
      <c r="T46" s="185"/>
      <c r="U46" s="185"/>
      <c r="V46" s="189"/>
      <c r="W46" s="190">
        <v>0</v>
      </c>
      <c r="X46" s="191">
        <v>1</v>
      </c>
      <c r="Y46" s="186"/>
      <c r="Z46" s="192"/>
      <c r="AA46" s="97">
        <v>0</v>
      </c>
      <c r="AB46" s="193">
        <v>0</v>
      </c>
      <c r="AC46" s="123"/>
      <c r="AD46" s="4"/>
      <c r="AE46" s="4" t="str">
        <f>"   " &amp; TEXT(AB46,"#0.00%") &amp; " " &amp; "Development" &amp; " " &amp; IF(M46="","",TEXT(M46,"M/D-")) &amp; IF(N46="","",TEXT(N46,"M/D")) &amp; " "</f>
        <v xml:space="preserve">   0.00% Development 8/5-8/12 </v>
      </c>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row>
    <row r="47" spans="1:70" outlineLevel="1">
      <c r="A47" s="116"/>
      <c r="B47" s="116"/>
      <c r="C47" s="116">
        <v>2</v>
      </c>
      <c r="D47" s="3" t="s">
        <v>1051</v>
      </c>
      <c r="E47" s="184"/>
      <c r="F47" s="184" t="s">
        <v>1032</v>
      </c>
      <c r="G47" s="184"/>
      <c r="H47" s="184"/>
      <c r="I47" s="184"/>
      <c r="J47" s="184"/>
      <c r="K47" s="184"/>
      <c r="L47" s="184"/>
      <c r="M47" s="185">
        <v>44421</v>
      </c>
      <c r="N47" s="185">
        <v>44426</v>
      </c>
      <c r="O47" s="186"/>
      <c r="P47" s="187">
        <v>4</v>
      </c>
      <c r="Q47" s="187">
        <v>0</v>
      </c>
      <c r="R47" s="188">
        <v>4</v>
      </c>
      <c r="S47" s="188">
        <v>0</v>
      </c>
      <c r="T47" s="185"/>
      <c r="U47" s="185"/>
      <c r="V47" s="189"/>
      <c r="W47" s="190">
        <v>0</v>
      </c>
      <c r="X47" s="191">
        <v>1</v>
      </c>
      <c r="Y47" s="186"/>
      <c r="Z47" s="192"/>
      <c r="AA47" s="97">
        <v>0</v>
      </c>
      <c r="AB47" s="193">
        <v>0</v>
      </c>
      <c r="AC47" s="123"/>
      <c r="AD47" s="4"/>
      <c r="AE47" s="4"/>
      <c r="AF47" s="4" t="str">
        <f>"    " &amp; TEXT(AB47,"#0.00%") &amp; " " &amp; "Test" &amp; " " &amp; IF(M47="","",TEXT(M47,"M/D-")) &amp; IF(N47="","",TEXT(N47,"M/D")) &amp; " "</f>
        <v xml:space="preserve">    0.00% Test 8/13-8/18 </v>
      </c>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row>
    <row r="48" spans="1:70" outlineLevel="1">
      <c r="A48" s="116"/>
      <c r="B48" s="116"/>
      <c r="C48" s="116">
        <v>2</v>
      </c>
      <c r="D48" s="3" t="s">
        <v>1052</v>
      </c>
      <c r="E48" s="184"/>
      <c r="F48" s="184" t="s">
        <v>1033</v>
      </c>
      <c r="G48" s="184"/>
      <c r="H48" s="184"/>
      <c r="I48" s="184"/>
      <c r="J48" s="184"/>
      <c r="K48" s="184"/>
      <c r="L48" s="184"/>
      <c r="M48" s="185">
        <v>44433</v>
      </c>
      <c r="N48" s="185">
        <v>44433</v>
      </c>
      <c r="O48" s="186"/>
      <c r="P48" s="187">
        <v>1</v>
      </c>
      <c r="Q48" s="187">
        <v>0</v>
      </c>
      <c r="R48" s="188">
        <v>1</v>
      </c>
      <c r="S48" s="188">
        <v>0</v>
      </c>
      <c r="T48" s="185"/>
      <c r="U48" s="185"/>
      <c r="V48" s="189"/>
      <c r="W48" s="190">
        <v>0</v>
      </c>
      <c r="X48" s="191">
        <v>1</v>
      </c>
      <c r="Y48" s="186"/>
      <c r="Z48" s="192"/>
      <c r="AA48" s="97">
        <v>0</v>
      </c>
      <c r="AB48" s="193">
        <v>0</v>
      </c>
      <c r="AC48" s="123"/>
      <c r="AD48" s="4"/>
      <c r="AE48" s="4"/>
      <c r="AF48" s="4"/>
      <c r="AG48" s="4"/>
      <c r="AH48" s="4" t="str">
        <f>"  " &amp; TEXT(AB48,"#0.00%") &amp; " " &amp; "Publish" &amp; " " &amp; IF(M48="","",TEXT(M48,"M/D-")) &amp; IF(N48="","",TEXT(N48,"M/D")) &amp; " "</f>
        <v xml:space="preserve">  0.00% Publish 8/25-8/25 </v>
      </c>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row>
    <row r="49" spans="1:70">
      <c r="A49" s="194"/>
      <c r="B49" s="194"/>
      <c r="C49" s="194">
        <v>0</v>
      </c>
      <c r="D49" s="195"/>
      <c r="E49" s="196"/>
      <c r="F49" s="196"/>
      <c r="G49" s="196"/>
      <c r="H49" s="196"/>
      <c r="I49" s="196"/>
      <c r="J49" s="196"/>
      <c r="K49" s="196"/>
      <c r="L49" s="196"/>
      <c r="M49" s="197"/>
      <c r="N49" s="197"/>
      <c r="O49" s="198"/>
      <c r="P49" s="199"/>
      <c r="Q49" s="199"/>
      <c r="R49" s="200"/>
      <c r="S49" s="200"/>
      <c r="T49" s="197"/>
      <c r="U49" s="197"/>
      <c r="V49" s="201"/>
      <c r="W49" s="202"/>
      <c r="X49" s="203"/>
      <c r="Y49" s="198"/>
      <c r="Z49" s="204"/>
      <c r="AA49" s="205"/>
      <c r="AB49" s="206"/>
      <c r="AC49" s="182"/>
      <c r="AD49" s="182"/>
      <c r="AE49" s="182"/>
      <c r="AF49" s="182"/>
      <c r="AG49" s="182"/>
      <c r="AH49" s="182"/>
      <c r="AI49" s="182"/>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182"/>
      <c r="BL49" s="182"/>
      <c r="BM49" s="182"/>
      <c r="BN49" s="182"/>
      <c r="BO49" s="182"/>
      <c r="BP49" s="182"/>
      <c r="BQ49" s="182"/>
      <c r="BR49" s="182"/>
    </row>
    <row r="50" spans="1:70">
      <c r="A50" s="116"/>
      <c r="B50" s="116"/>
      <c r="C50" s="116">
        <v>0</v>
      </c>
      <c r="D50" s="3"/>
      <c r="E50" s="184"/>
      <c r="F50" s="184"/>
      <c r="G50" s="184"/>
      <c r="H50" s="184"/>
      <c r="I50" s="184"/>
      <c r="J50" s="184"/>
      <c r="K50" s="184"/>
      <c r="L50" s="184"/>
      <c r="M50" s="185"/>
      <c r="N50" s="185"/>
      <c r="O50" s="186"/>
      <c r="P50" s="187"/>
      <c r="Q50" s="187"/>
      <c r="R50" s="188"/>
      <c r="S50" s="188"/>
      <c r="T50" s="185"/>
      <c r="U50" s="185"/>
      <c r="V50" s="189"/>
      <c r="W50" s="190"/>
      <c r="X50" s="191"/>
      <c r="Y50" s="186"/>
      <c r="Z50" s="192"/>
      <c r="AA50" s="97"/>
      <c r="AB50" s="193"/>
    </row>
    <row r="51" spans="1:70">
      <c r="A51" s="116"/>
      <c r="B51" s="116"/>
      <c r="C51" s="116">
        <v>0</v>
      </c>
      <c r="D51" s="3"/>
      <c r="E51" s="184"/>
      <c r="F51" s="184"/>
      <c r="G51" s="184"/>
      <c r="H51" s="184"/>
      <c r="I51" s="184"/>
      <c r="J51" s="184"/>
      <c r="K51" s="184"/>
      <c r="L51" s="184"/>
      <c r="M51" s="185"/>
      <c r="N51" s="185"/>
      <c r="O51" s="186"/>
      <c r="P51" s="187"/>
      <c r="Q51" s="187"/>
      <c r="R51" s="188"/>
      <c r="S51" s="188"/>
      <c r="T51" s="185"/>
      <c r="U51" s="185"/>
      <c r="V51" s="189"/>
      <c r="W51" s="190"/>
      <c r="X51" s="191"/>
      <c r="Y51" s="186"/>
      <c r="Z51" s="192"/>
      <c r="AA51" s="97"/>
      <c r="AB51" s="193"/>
    </row>
    <row r="52" spans="1:70">
      <c r="A52" s="116"/>
      <c r="B52" s="116"/>
      <c r="C52" s="116">
        <v>0</v>
      </c>
      <c r="D52" s="3"/>
      <c r="E52" s="184"/>
      <c r="F52" s="184"/>
      <c r="G52" s="184"/>
      <c r="H52" s="184"/>
      <c r="I52" s="184"/>
      <c r="J52" s="184"/>
      <c r="K52" s="184"/>
      <c r="L52" s="184"/>
      <c r="M52" s="185"/>
      <c r="N52" s="185"/>
      <c r="O52" s="186"/>
      <c r="P52" s="187"/>
      <c r="Q52" s="187"/>
      <c r="R52" s="188"/>
      <c r="S52" s="188"/>
      <c r="T52" s="185"/>
      <c r="U52" s="185"/>
      <c r="V52" s="189"/>
      <c r="W52" s="190"/>
      <c r="X52" s="191"/>
      <c r="Y52" s="186"/>
      <c r="Z52" s="192"/>
      <c r="AA52" s="97"/>
      <c r="AB52" s="193"/>
    </row>
    <row r="53" spans="1:70">
      <c r="A53" s="116"/>
      <c r="B53" s="116" t="s">
        <v>983</v>
      </c>
      <c r="C53" s="116">
        <v>1</v>
      </c>
      <c r="D53" s="3"/>
      <c r="E53" s="212"/>
      <c r="F53" s="184"/>
      <c r="G53" s="184"/>
      <c r="H53" s="184"/>
      <c r="I53" s="184"/>
      <c r="J53" s="184"/>
      <c r="K53" s="184"/>
      <c r="L53" s="184"/>
      <c r="M53" s="185"/>
      <c r="N53" s="185"/>
      <c r="O53" s="186"/>
      <c r="P53" s="187"/>
      <c r="Q53" s="187"/>
      <c r="R53" s="188"/>
      <c r="S53" s="188"/>
      <c r="T53" s="185"/>
      <c r="U53" s="185"/>
      <c r="V53" s="189"/>
      <c r="W53" s="190"/>
      <c r="X53" s="191"/>
      <c r="Y53" s="186"/>
      <c r="Z53" s="192"/>
      <c r="AA53" s="97"/>
      <c r="AB53" s="193"/>
    </row>
    <row r="54" spans="1:70">
      <c r="A54" s="116"/>
      <c r="B54" s="116"/>
      <c r="C54" s="116">
        <v>2</v>
      </c>
      <c r="D54" s="3"/>
      <c r="E54" s="212"/>
      <c r="F54" s="214"/>
      <c r="G54" s="184"/>
      <c r="H54" s="184"/>
      <c r="I54" s="184"/>
      <c r="J54" s="184"/>
      <c r="K54" s="184"/>
      <c r="L54" s="184"/>
      <c r="M54" s="185"/>
      <c r="N54" s="185"/>
      <c r="O54" s="186"/>
      <c r="P54" s="187"/>
      <c r="Q54" s="187"/>
      <c r="R54" s="188"/>
      <c r="S54" s="188"/>
      <c r="T54" s="185"/>
      <c r="U54" s="185"/>
      <c r="V54" s="189"/>
      <c r="W54" s="190"/>
      <c r="X54" s="191"/>
      <c r="Y54" s="186"/>
      <c r="Z54" s="192"/>
      <c r="AA54" s="97"/>
      <c r="AB54" s="193"/>
    </row>
    <row r="55" spans="1:70">
      <c r="A55" s="116"/>
      <c r="B55" s="116"/>
      <c r="C55" s="116">
        <v>2</v>
      </c>
      <c r="D55" s="3"/>
      <c r="E55" s="212"/>
      <c r="F55" s="214"/>
      <c r="G55" s="184"/>
      <c r="H55" s="184"/>
      <c r="I55" s="184"/>
      <c r="J55" s="184"/>
      <c r="K55" s="184"/>
      <c r="L55" s="184"/>
      <c r="M55" s="185"/>
      <c r="N55" s="185"/>
      <c r="O55" s="186"/>
      <c r="P55" s="187"/>
      <c r="Q55" s="187"/>
      <c r="R55" s="188"/>
      <c r="S55" s="188"/>
      <c r="T55" s="185"/>
      <c r="U55" s="185"/>
      <c r="V55" s="189"/>
      <c r="W55" s="190"/>
      <c r="X55" s="191"/>
      <c r="Y55" s="186"/>
      <c r="Z55" s="192"/>
      <c r="AA55" s="97"/>
      <c r="AB55" s="193"/>
    </row>
    <row r="56" spans="1:70">
      <c r="A56" s="116"/>
      <c r="B56" s="116"/>
      <c r="C56" s="116">
        <v>2</v>
      </c>
      <c r="D56" s="3"/>
      <c r="E56" s="184"/>
      <c r="F56" s="21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70">
      <c r="A57" s="116"/>
      <c r="B57" s="116"/>
      <c r="C57" s="116">
        <v>2</v>
      </c>
      <c r="D57" s="3"/>
      <c r="E57" s="184"/>
      <c r="F57" s="21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70">
      <c r="A58" s="116"/>
      <c r="B58" s="116"/>
      <c r="C58" s="116">
        <v>2</v>
      </c>
      <c r="D58" s="3"/>
      <c r="E58" s="184"/>
      <c r="F58" s="21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70">
      <c r="A59" s="116"/>
      <c r="B59" s="116"/>
      <c r="C59" s="116">
        <v>2</v>
      </c>
      <c r="D59" s="3"/>
      <c r="E59" s="184"/>
      <c r="F59" s="21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70">
      <c r="A60" s="116"/>
      <c r="B60" s="116"/>
      <c r="C60" s="116">
        <v>2</v>
      </c>
      <c r="D60" s="3"/>
      <c r="E60" s="184"/>
      <c r="F60" s="21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70">
      <c r="A61" s="116"/>
      <c r="B61" s="116"/>
      <c r="C61" s="116">
        <v>2</v>
      </c>
      <c r="D61" s="3"/>
      <c r="E61" s="184"/>
      <c r="F61" s="21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70">
      <c r="A62" s="116"/>
      <c r="B62" s="116"/>
      <c r="C62" s="116">
        <v>2</v>
      </c>
      <c r="D62" s="3"/>
      <c r="E62" s="184"/>
      <c r="F62" s="21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70">
      <c r="A63" s="116"/>
      <c r="B63" s="116"/>
      <c r="C63" s="116">
        <v>2</v>
      </c>
      <c r="D63" s="3"/>
      <c r="E63" s="184"/>
      <c r="F63" s="21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70">
      <c r="A64" s="116"/>
      <c r="B64" s="116"/>
      <c r="C64" s="116">
        <v>2</v>
      </c>
      <c r="D64" s="3"/>
      <c r="E64" s="184"/>
      <c r="F64" s="21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v>2</v>
      </c>
      <c r="D65" s="3"/>
      <c r="E65" s="184"/>
      <c r="F65" s="21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v>2</v>
      </c>
      <c r="D66" s="3"/>
      <c r="E66" s="184"/>
      <c r="F66" s="21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v>2</v>
      </c>
      <c r="D67" s="3"/>
      <c r="E67" s="184"/>
      <c r="F67" s="21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v>2</v>
      </c>
      <c r="D68" s="3"/>
      <c r="E68" s="184"/>
      <c r="F68" s="21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v>2</v>
      </c>
      <c r="D69" s="3"/>
      <c r="E69" s="184"/>
      <c r="F69" s="21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v>0</v>
      </c>
      <c r="D70" s="3"/>
      <c r="E70" s="184"/>
      <c r="F70" s="21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v>0</v>
      </c>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t="s">
        <v>983</v>
      </c>
      <c r="C72" s="116">
        <v>1</v>
      </c>
      <c r="D72" s="3"/>
      <c r="E72" s="212"/>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t="s">
        <v>983</v>
      </c>
      <c r="C73" s="116">
        <v>2</v>
      </c>
      <c r="D73" s="3"/>
      <c r="E73" s="212"/>
      <c r="F73" s="214"/>
      <c r="G73" s="21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v>3</v>
      </c>
      <c r="D74" s="3"/>
      <c r="E74" s="212"/>
      <c r="F74" s="214"/>
      <c r="G74" s="21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v>3</v>
      </c>
      <c r="D75" s="3"/>
      <c r="E75" s="212"/>
      <c r="F75" s="214"/>
      <c r="G75" s="21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v>3</v>
      </c>
      <c r="D76" s="3"/>
      <c r="E76" s="212"/>
      <c r="F76" s="214"/>
      <c r="G76" s="21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v>3</v>
      </c>
      <c r="D77" s="3"/>
      <c r="E77" s="212"/>
      <c r="F77" s="214"/>
      <c r="G77" s="21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v>0</v>
      </c>
      <c r="D78" s="3"/>
      <c r="E78" s="212"/>
      <c r="F78" s="214"/>
      <c r="G78" s="21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t="s">
        <v>983</v>
      </c>
      <c r="C79" s="116">
        <v>2</v>
      </c>
      <c r="D79" s="3"/>
      <c r="E79" s="212"/>
      <c r="F79" s="214"/>
      <c r="G79" s="21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v>3</v>
      </c>
      <c r="D80" s="3"/>
      <c r="E80" s="212"/>
      <c r="F80" s="214"/>
      <c r="G80" s="21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v>3</v>
      </c>
      <c r="D81" s="3"/>
      <c r="E81" s="212"/>
      <c r="F81" s="214"/>
      <c r="G81" s="21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v>3</v>
      </c>
      <c r="D82" s="3"/>
      <c r="E82" s="212"/>
      <c r="F82" s="214"/>
      <c r="G82" s="21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v>3</v>
      </c>
      <c r="D83" s="3"/>
      <c r="E83" s="212"/>
      <c r="F83" s="214"/>
      <c r="G83" s="21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v>0</v>
      </c>
      <c r="D84" s="3"/>
      <c r="E84" s="212"/>
      <c r="F84" s="214"/>
      <c r="G84" s="21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t="s">
        <v>983</v>
      </c>
      <c r="C85" s="116">
        <v>2</v>
      </c>
      <c r="D85" s="3"/>
      <c r="E85" s="212"/>
      <c r="F85" s="214"/>
      <c r="G85" s="21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v>3</v>
      </c>
      <c r="D86" s="3"/>
      <c r="E86" s="212"/>
      <c r="F86" s="214"/>
      <c r="G86" s="21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v>3</v>
      </c>
      <c r="D87" s="3"/>
      <c r="E87" s="212"/>
      <c r="F87" s="214"/>
      <c r="G87" s="21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v>3</v>
      </c>
      <c r="D88" s="3"/>
      <c r="E88" s="212"/>
      <c r="F88" s="214"/>
      <c r="G88" s="21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v>3</v>
      </c>
      <c r="D89" s="3"/>
      <c r="E89" s="212"/>
      <c r="F89" s="214"/>
      <c r="G89" s="21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v>0</v>
      </c>
      <c r="D90" s="3"/>
      <c r="E90" s="212"/>
      <c r="F90" s="214"/>
      <c r="G90" s="21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t="s">
        <v>983</v>
      </c>
      <c r="C91" s="116">
        <v>2</v>
      </c>
      <c r="D91" s="3"/>
      <c r="E91" s="212"/>
      <c r="F91" s="214"/>
      <c r="G91" s="21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v>3</v>
      </c>
      <c r="D92" s="3"/>
      <c r="E92" s="212"/>
      <c r="F92" s="214"/>
      <c r="G92" s="21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v>3</v>
      </c>
      <c r="D93" s="3"/>
      <c r="E93" s="212"/>
      <c r="F93" s="214"/>
      <c r="G93" s="21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v>3</v>
      </c>
      <c r="D94" s="3"/>
      <c r="E94" s="212"/>
      <c r="F94" s="214"/>
      <c r="G94" s="21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v>3</v>
      </c>
      <c r="D95" s="3"/>
      <c r="E95" s="212"/>
      <c r="F95" s="214"/>
      <c r="G95" s="21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v>0</v>
      </c>
      <c r="D96" s="3"/>
      <c r="E96" s="212"/>
      <c r="F96" s="214"/>
      <c r="G96" s="21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t="s">
        <v>983</v>
      </c>
      <c r="C97" s="116">
        <v>2</v>
      </c>
      <c r="D97" s="3"/>
      <c r="E97" s="212"/>
      <c r="F97" s="214"/>
      <c r="G97" s="21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v>3</v>
      </c>
      <c r="D98" s="3"/>
      <c r="E98" s="212"/>
      <c r="F98" s="214"/>
      <c r="G98" s="21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v>3</v>
      </c>
      <c r="D99" s="3"/>
      <c r="E99" s="212"/>
      <c r="F99" s="214"/>
      <c r="G99" s="21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v>3</v>
      </c>
      <c r="D100" s="3"/>
      <c r="E100" s="212"/>
      <c r="F100" s="214"/>
      <c r="G100" s="21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v>3</v>
      </c>
      <c r="D101" s="3"/>
      <c r="E101" s="212"/>
      <c r="F101" s="214"/>
      <c r="G101" s="21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v>0</v>
      </c>
      <c r="D102" s="3"/>
      <c r="E102" s="212"/>
      <c r="F102" s="214"/>
      <c r="G102" s="21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t="s">
        <v>983</v>
      </c>
      <c r="C103" s="116">
        <v>2</v>
      </c>
      <c r="D103" s="3"/>
      <c r="E103" s="212"/>
      <c r="F103" s="214"/>
      <c r="G103" s="21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v>3</v>
      </c>
      <c r="D104" s="3"/>
      <c r="E104" s="212"/>
      <c r="F104" s="214"/>
      <c r="G104" s="21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v>3</v>
      </c>
      <c r="D105" s="3"/>
      <c r="E105" s="212"/>
      <c r="F105" s="214"/>
      <c r="G105" s="21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v>3</v>
      </c>
      <c r="D106" s="3"/>
      <c r="E106" s="212"/>
      <c r="F106" s="214"/>
      <c r="G106" s="21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v>3</v>
      </c>
      <c r="D107" s="3"/>
      <c r="E107" s="212"/>
      <c r="F107" s="214"/>
      <c r="G107" s="21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v>0</v>
      </c>
      <c r="D108" s="3"/>
      <c r="E108" s="212"/>
      <c r="F108" s="214"/>
      <c r="G108" s="21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t="s">
        <v>983</v>
      </c>
      <c r="C109" s="116">
        <v>2</v>
      </c>
      <c r="D109" s="3"/>
      <c r="E109" s="212"/>
      <c r="F109" s="214"/>
      <c r="G109" s="21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v>3</v>
      </c>
      <c r="D110" s="3"/>
      <c r="E110" s="212"/>
      <c r="F110" s="214"/>
      <c r="G110" s="21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v>3</v>
      </c>
      <c r="D111" s="3"/>
      <c r="E111" s="212"/>
      <c r="F111" s="214"/>
      <c r="G111" s="21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v>3</v>
      </c>
      <c r="D112" s="3"/>
      <c r="E112" s="212"/>
      <c r="F112" s="214"/>
      <c r="G112" s="21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v>3</v>
      </c>
      <c r="D113" s="3"/>
      <c r="E113" s="212"/>
      <c r="F113" s="214"/>
      <c r="G113" s="21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v>0</v>
      </c>
      <c r="D114" s="3"/>
      <c r="E114" s="212"/>
      <c r="F114" s="214"/>
      <c r="G114" s="21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t="s">
        <v>983</v>
      </c>
      <c r="C115" s="116">
        <v>2</v>
      </c>
      <c r="D115" s="3"/>
      <c r="E115" s="212"/>
      <c r="F115" s="214"/>
      <c r="G115" s="21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v>3</v>
      </c>
      <c r="D116" s="3"/>
      <c r="E116" s="212"/>
      <c r="F116" s="214"/>
      <c r="G116" s="21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v>3</v>
      </c>
      <c r="D117" s="3"/>
      <c r="E117" s="212"/>
      <c r="F117" s="214"/>
      <c r="G117" s="21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v>3</v>
      </c>
      <c r="D118" s="3"/>
      <c r="E118" s="212"/>
      <c r="F118" s="214"/>
      <c r="G118" s="21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v>3</v>
      </c>
      <c r="D119" s="3"/>
      <c r="E119" s="212"/>
      <c r="F119" s="214"/>
      <c r="G119" s="21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v>0</v>
      </c>
      <c r="D120" s="3"/>
      <c r="E120" s="212"/>
      <c r="F120" s="214"/>
      <c r="G120" s="21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t="s">
        <v>983</v>
      </c>
      <c r="C121" s="116">
        <v>2</v>
      </c>
      <c r="D121" s="3"/>
      <c r="E121" s="212"/>
      <c r="F121" s="214"/>
      <c r="G121" s="21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v>3</v>
      </c>
      <c r="D122" s="3"/>
      <c r="E122" s="212"/>
      <c r="F122" s="214"/>
      <c r="G122" s="21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v>3</v>
      </c>
      <c r="D123" s="3"/>
      <c r="E123" s="212"/>
      <c r="F123" s="214"/>
      <c r="G123" s="21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v>3</v>
      </c>
      <c r="D124" s="3"/>
      <c r="E124" s="212"/>
      <c r="F124" s="214"/>
      <c r="G124" s="21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v>3</v>
      </c>
      <c r="D125" s="3"/>
      <c r="E125" s="212"/>
      <c r="F125" s="214"/>
      <c r="G125" s="21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v>0</v>
      </c>
      <c r="D126" s="3"/>
      <c r="E126" s="212"/>
      <c r="F126" s="214"/>
      <c r="G126" s="21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t="s">
        <v>983</v>
      </c>
      <c r="C127" s="116">
        <v>2</v>
      </c>
      <c r="D127" s="3"/>
      <c r="E127" s="212"/>
      <c r="F127" s="214"/>
      <c r="G127" s="21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v>3</v>
      </c>
      <c r="D128" s="3"/>
      <c r="E128" s="212"/>
      <c r="F128" s="214"/>
      <c r="G128" s="21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v>3</v>
      </c>
      <c r="D129" s="3"/>
      <c r="E129" s="212"/>
      <c r="F129" s="214"/>
      <c r="G129" s="21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v>3</v>
      </c>
      <c r="D130" s="3"/>
      <c r="E130" s="212"/>
      <c r="F130" s="214"/>
      <c r="G130" s="21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v>3</v>
      </c>
      <c r="D131" s="3"/>
      <c r="E131" s="212"/>
      <c r="F131" s="214"/>
      <c r="G131" s="21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v>0</v>
      </c>
      <c r="D132" s="3"/>
      <c r="E132" s="212"/>
      <c r="F132" s="214"/>
      <c r="G132" s="21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t="s">
        <v>983</v>
      </c>
      <c r="C133" s="116">
        <v>2</v>
      </c>
      <c r="D133" s="3"/>
      <c r="E133" s="212"/>
      <c r="F133" s="214"/>
      <c r="G133" s="21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v>3</v>
      </c>
      <c r="D134" s="3"/>
      <c r="E134" s="212"/>
      <c r="F134" s="214"/>
      <c r="G134" s="21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v>3</v>
      </c>
      <c r="D135" s="3"/>
      <c r="E135" s="212"/>
      <c r="F135" s="214"/>
      <c r="G135" s="21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v>3</v>
      </c>
      <c r="D136" s="3"/>
      <c r="E136" s="212"/>
      <c r="F136" s="214"/>
      <c r="G136" s="21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v>3</v>
      </c>
      <c r="D137" s="3"/>
      <c r="E137" s="212"/>
      <c r="F137" s="214"/>
      <c r="G137" s="21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v>0</v>
      </c>
      <c r="D138" s="3"/>
      <c r="E138" s="212"/>
      <c r="F138" s="214"/>
      <c r="G138" s="21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t="s">
        <v>983</v>
      </c>
      <c r="C139" s="116">
        <v>2</v>
      </c>
      <c r="D139" s="3"/>
      <c r="E139" s="212"/>
      <c r="F139" s="214"/>
      <c r="G139" s="21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v>3</v>
      </c>
      <c r="D140" s="3"/>
      <c r="E140" s="212"/>
      <c r="F140" s="214"/>
      <c r="G140" s="21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v>3</v>
      </c>
      <c r="D141" s="3"/>
      <c r="E141" s="212"/>
      <c r="F141" s="214"/>
      <c r="G141" s="21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v>3</v>
      </c>
      <c r="D142" s="3"/>
      <c r="E142" s="212"/>
      <c r="F142" s="214"/>
      <c r="G142" s="21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v>3</v>
      </c>
      <c r="D143" s="3"/>
      <c r="E143" s="212"/>
      <c r="F143" s="214"/>
      <c r="G143" s="21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v>0</v>
      </c>
      <c r="D144" s="3"/>
      <c r="E144" s="212"/>
      <c r="F144" s="214"/>
      <c r="G144" s="21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t="s">
        <v>983</v>
      </c>
      <c r="C145" s="116">
        <v>2</v>
      </c>
      <c r="D145" s="3"/>
      <c r="E145" s="212"/>
      <c r="F145" s="214"/>
      <c r="G145" s="21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16"/>
      <c r="B146" s="116"/>
      <c r="C146" s="116">
        <v>3</v>
      </c>
      <c r="D146" s="3"/>
      <c r="E146" s="212"/>
      <c r="F146" s="214"/>
      <c r="G146" s="214"/>
      <c r="H146" s="184"/>
      <c r="I146" s="184"/>
      <c r="J146" s="184"/>
      <c r="K146" s="184"/>
      <c r="L146" s="184"/>
      <c r="M146" s="185"/>
      <c r="N146" s="185"/>
      <c r="O146" s="186"/>
      <c r="P146" s="187"/>
      <c r="Q146" s="187"/>
      <c r="R146" s="188"/>
      <c r="S146" s="188"/>
      <c r="T146" s="185"/>
      <c r="U146" s="185"/>
      <c r="V146" s="189"/>
      <c r="W146" s="190"/>
      <c r="X146" s="191"/>
      <c r="Y146" s="186"/>
      <c r="Z146" s="192"/>
      <c r="AA146" s="97"/>
      <c r="AB146" s="193"/>
    </row>
    <row r="147" spans="1:28">
      <c r="A147" s="116"/>
      <c r="B147" s="116"/>
      <c r="C147" s="116">
        <v>3</v>
      </c>
      <c r="D147" s="3"/>
      <c r="E147" s="212"/>
      <c r="F147" s="214"/>
      <c r="G147" s="214"/>
      <c r="H147" s="184"/>
      <c r="I147" s="184"/>
      <c r="J147" s="184"/>
      <c r="K147" s="184"/>
      <c r="L147" s="184"/>
      <c r="M147" s="185"/>
      <c r="N147" s="185"/>
      <c r="O147" s="186"/>
      <c r="P147" s="187"/>
      <c r="Q147" s="187"/>
      <c r="R147" s="188"/>
      <c r="S147" s="188"/>
      <c r="T147" s="185"/>
      <c r="U147" s="185"/>
      <c r="V147" s="189"/>
      <c r="W147" s="190"/>
      <c r="X147" s="191"/>
      <c r="Y147" s="186"/>
      <c r="Z147" s="192"/>
      <c r="AA147" s="97"/>
      <c r="AB147" s="193"/>
    </row>
    <row r="148" spans="1:28">
      <c r="A148" s="116"/>
      <c r="B148" s="116"/>
      <c r="C148" s="116">
        <v>3</v>
      </c>
      <c r="D148" s="3"/>
      <c r="E148" s="212"/>
      <c r="F148" s="214"/>
      <c r="G148" s="214"/>
      <c r="H148" s="184"/>
      <c r="I148" s="184"/>
      <c r="J148" s="184"/>
      <c r="K148" s="184"/>
      <c r="L148" s="184"/>
      <c r="M148" s="185"/>
      <c r="N148" s="185"/>
      <c r="O148" s="186"/>
      <c r="P148" s="187"/>
      <c r="Q148" s="187"/>
      <c r="R148" s="188"/>
      <c r="S148" s="188"/>
      <c r="T148" s="185"/>
      <c r="U148" s="185"/>
      <c r="V148" s="189"/>
      <c r="W148" s="190"/>
      <c r="X148" s="191"/>
      <c r="Y148" s="186"/>
      <c r="Z148" s="192"/>
      <c r="AA148" s="97"/>
      <c r="AB148" s="193"/>
    </row>
    <row r="149" spans="1:28">
      <c r="A149" s="116"/>
      <c r="B149" s="116"/>
      <c r="C149" s="116">
        <v>3</v>
      </c>
      <c r="D149" s="3"/>
      <c r="E149" s="212"/>
      <c r="F149" s="214"/>
      <c r="G149" s="21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28">
      <c r="A150" s="116"/>
      <c r="B150" s="116"/>
      <c r="C150" s="116">
        <v>0</v>
      </c>
      <c r="D150" s="3"/>
      <c r="E150" s="212"/>
      <c r="F150" s="184"/>
      <c r="G150" s="18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28">
      <c r="A151" s="116"/>
      <c r="B151" s="116" t="s">
        <v>983</v>
      </c>
      <c r="C151" s="116">
        <v>2</v>
      </c>
      <c r="D151" s="3"/>
      <c r="E151" s="212"/>
      <c r="F151" s="214"/>
      <c r="G151" s="21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28">
      <c r="A152" s="116"/>
      <c r="B152" s="116"/>
      <c r="C152" s="116">
        <v>3</v>
      </c>
      <c r="D152" s="3"/>
      <c r="E152" s="212"/>
      <c r="F152" s="214"/>
      <c r="G152" s="21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28">
      <c r="A153" s="116"/>
      <c r="B153" s="116"/>
      <c r="C153" s="116">
        <v>3</v>
      </c>
      <c r="D153" s="3"/>
      <c r="E153" s="212"/>
      <c r="F153" s="214"/>
      <c r="G153" s="21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28">
      <c r="A154" s="116"/>
      <c r="B154" s="116"/>
      <c r="C154" s="116">
        <v>3</v>
      </c>
      <c r="D154" s="3"/>
      <c r="E154" s="212"/>
      <c r="F154" s="214"/>
      <c r="G154" s="21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28">
      <c r="A155" s="116"/>
      <c r="B155" s="116"/>
      <c r="C155" s="116">
        <v>3</v>
      </c>
      <c r="D155" s="3"/>
      <c r="E155" s="212"/>
      <c r="F155" s="214"/>
      <c r="G155" s="21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28">
      <c r="A156" s="116"/>
      <c r="B156" s="116"/>
      <c r="C156" s="116">
        <v>0</v>
      </c>
      <c r="D156" s="3"/>
      <c r="E156" s="212"/>
      <c r="F156" s="184"/>
      <c r="G156" s="18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28">
      <c r="A157" s="116"/>
      <c r="B157" s="116" t="s">
        <v>983</v>
      </c>
      <c r="C157" s="116">
        <v>2</v>
      </c>
      <c r="D157" s="3"/>
      <c r="E157" s="212"/>
      <c r="F157" s="214"/>
      <c r="G157" s="21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28">
      <c r="A158" s="116"/>
      <c r="B158" s="116"/>
      <c r="C158" s="116">
        <v>3</v>
      </c>
      <c r="D158" s="3"/>
      <c r="E158" s="212"/>
      <c r="F158" s="214"/>
      <c r="G158" s="21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28">
      <c r="A159" s="116"/>
      <c r="B159" s="116"/>
      <c r="C159" s="116">
        <v>3</v>
      </c>
      <c r="D159" s="3"/>
      <c r="E159" s="212"/>
      <c r="F159" s="214"/>
      <c r="G159" s="21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28">
      <c r="A160" s="116"/>
      <c r="B160" s="116"/>
      <c r="C160" s="116">
        <v>3</v>
      </c>
      <c r="D160" s="3"/>
      <c r="E160" s="212"/>
      <c r="F160" s="214"/>
      <c r="G160" s="21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v>3</v>
      </c>
      <c r="D161" s="3"/>
      <c r="E161" s="212"/>
      <c r="F161" s="214"/>
      <c r="G161" s="21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c r="C162" s="116">
        <v>0</v>
      </c>
      <c r="D162" s="3"/>
      <c r="E162" s="212"/>
      <c r="F162" s="184"/>
      <c r="G162" s="18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t="s">
        <v>983</v>
      </c>
      <c r="C163" s="116">
        <v>2</v>
      </c>
      <c r="D163" s="3"/>
      <c r="E163" s="212"/>
      <c r="F163" s="214"/>
      <c r="G163" s="21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v>3</v>
      </c>
      <c r="D164" s="3"/>
      <c r="E164" s="212"/>
      <c r="F164" s="214"/>
      <c r="G164" s="21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v>3</v>
      </c>
      <c r="D165" s="3"/>
      <c r="E165" s="212"/>
      <c r="F165" s="214"/>
      <c r="G165" s="21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v>3</v>
      </c>
      <c r="D166" s="3"/>
      <c r="E166" s="212"/>
      <c r="F166" s="214"/>
      <c r="G166" s="21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v>3</v>
      </c>
      <c r="D167" s="3"/>
      <c r="E167" s="212"/>
      <c r="F167" s="214"/>
      <c r="G167" s="21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c r="C168" s="116">
        <v>0</v>
      </c>
      <c r="D168" s="3"/>
      <c r="E168" s="184"/>
      <c r="F168" s="184"/>
      <c r="G168" s="18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t="s">
        <v>983</v>
      </c>
      <c r="C169" s="116">
        <v>2</v>
      </c>
      <c r="D169" s="3"/>
      <c r="E169" s="212"/>
      <c r="F169" s="214"/>
      <c r="G169" s="21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v>3</v>
      </c>
      <c r="D170" s="3"/>
      <c r="E170" s="212"/>
      <c r="F170" s="214"/>
      <c r="G170" s="21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v>3</v>
      </c>
      <c r="D171" s="3"/>
      <c r="E171" s="212"/>
      <c r="F171" s="214"/>
      <c r="G171" s="21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v>3</v>
      </c>
      <c r="D172" s="3"/>
      <c r="E172" s="212"/>
      <c r="F172" s="214"/>
      <c r="G172" s="21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v>3</v>
      </c>
      <c r="D173" s="3"/>
      <c r="E173" s="212"/>
      <c r="F173" s="214"/>
      <c r="G173" s="21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c r="C174" s="116">
        <v>0</v>
      </c>
      <c r="D174" s="3"/>
      <c r="E174" s="184"/>
      <c r="F174" s="184"/>
      <c r="G174" s="18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t="s">
        <v>983</v>
      </c>
      <c r="C175" s="116">
        <v>1</v>
      </c>
      <c r="D175" s="3"/>
      <c r="E175" s="212"/>
      <c r="F175" s="184"/>
      <c r="G175" s="18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t="s">
        <v>983</v>
      </c>
      <c r="C176" s="116">
        <v>2</v>
      </c>
      <c r="D176" s="3"/>
      <c r="E176" s="213"/>
      <c r="F176" s="214"/>
      <c r="G176" s="21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v>3</v>
      </c>
      <c r="D177" s="3"/>
      <c r="E177" s="213"/>
      <c r="F177" s="214"/>
      <c r="G177" s="21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v>3</v>
      </c>
      <c r="D178" s="3"/>
      <c r="E178" s="213"/>
      <c r="F178" s="214"/>
      <c r="G178" s="21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v>0</v>
      </c>
      <c r="D179" s="3"/>
      <c r="E179" s="213"/>
      <c r="F179" s="214"/>
      <c r="G179" s="21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t="s">
        <v>983</v>
      </c>
      <c r="C180" s="116">
        <v>2</v>
      </c>
      <c r="D180" s="3"/>
      <c r="E180" s="184"/>
      <c r="F180" s="214"/>
      <c r="G180" s="21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c r="C181" s="116">
        <v>3</v>
      </c>
      <c r="D181" s="3"/>
      <c r="E181" s="213"/>
      <c r="F181" s="214"/>
      <c r="G181" s="21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v>3</v>
      </c>
      <c r="D182" s="3"/>
      <c r="E182" s="213"/>
      <c r="F182" s="214"/>
      <c r="G182" s="21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v>0</v>
      </c>
      <c r="D183" s="3"/>
      <c r="E183" s="212"/>
      <c r="F183" s="214"/>
      <c r="G183" s="21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t="s">
        <v>983</v>
      </c>
      <c r="C184" s="116">
        <v>2</v>
      </c>
      <c r="D184" s="3"/>
      <c r="E184" s="184"/>
      <c r="F184" s="214"/>
      <c r="G184" s="21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c r="C185" s="116">
        <v>3</v>
      </c>
      <c r="D185" s="3"/>
      <c r="E185" s="213"/>
      <c r="F185" s="214"/>
      <c r="G185" s="21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v>3</v>
      </c>
      <c r="D186" s="3"/>
      <c r="E186" s="213"/>
      <c r="F186" s="214"/>
      <c r="G186" s="21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v>0</v>
      </c>
      <c r="D187" s="3"/>
      <c r="E187" s="184"/>
      <c r="F187" s="214"/>
      <c r="G187" s="21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t="s">
        <v>983</v>
      </c>
      <c r="C188" s="116">
        <v>2</v>
      </c>
      <c r="D188" s="3"/>
      <c r="E188" s="184"/>
      <c r="F188" s="214"/>
      <c r="G188" s="21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c r="C189" s="116">
        <v>3</v>
      </c>
      <c r="D189" s="3"/>
      <c r="E189" s="213"/>
      <c r="F189" s="214"/>
      <c r="G189" s="21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v>3</v>
      </c>
      <c r="D190" s="3"/>
      <c r="E190" s="213"/>
      <c r="F190" s="214"/>
      <c r="G190" s="21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v>0</v>
      </c>
      <c r="D191" s="3"/>
      <c r="E191" s="184"/>
      <c r="F191" s="214"/>
      <c r="G191" s="21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t="s">
        <v>983</v>
      </c>
      <c r="C192" s="116">
        <v>2</v>
      </c>
      <c r="D192" s="3"/>
      <c r="E192" s="184"/>
      <c r="F192" s="214"/>
      <c r="G192" s="21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c r="C193" s="116">
        <v>3</v>
      </c>
      <c r="D193" s="3"/>
      <c r="E193" s="213"/>
      <c r="F193" s="214"/>
      <c r="G193" s="21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v>3</v>
      </c>
      <c r="D194" s="3"/>
      <c r="E194" s="213"/>
      <c r="F194" s="214"/>
      <c r="G194" s="21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v>0</v>
      </c>
      <c r="D195" s="3"/>
      <c r="E195" s="184"/>
      <c r="F195" s="214"/>
      <c r="G195" s="21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t="s">
        <v>983</v>
      </c>
      <c r="C196" s="116">
        <v>2</v>
      </c>
      <c r="D196" s="3"/>
      <c r="E196" s="184"/>
      <c r="F196" s="214"/>
      <c r="G196" s="21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c r="C197" s="116">
        <v>3</v>
      </c>
      <c r="D197" s="3"/>
      <c r="E197" s="213"/>
      <c r="F197" s="214"/>
      <c r="G197" s="21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v>3</v>
      </c>
      <c r="D198" s="3"/>
      <c r="E198" s="213"/>
      <c r="F198" s="214"/>
      <c r="G198" s="21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v>0</v>
      </c>
      <c r="D199" s="3"/>
      <c r="E199" s="184"/>
      <c r="F199" s="214"/>
      <c r="G199" s="21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t="s">
        <v>983</v>
      </c>
      <c r="C200" s="116">
        <v>2</v>
      </c>
      <c r="D200" s="3"/>
      <c r="E200" s="184"/>
      <c r="F200" s="214"/>
      <c r="G200" s="21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c r="C201" s="116">
        <v>3</v>
      </c>
      <c r="D201" s="3"/>
      <c r="E201" s="213"/>
      <c r="F201" s="214"/>
      <c r="G201" s="21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v>3</v>
      </c>
      <c r="D202" s="3"/>
      <c r="E202" s="213"/>
      <c r="F202" s="214"/>
      <c r="G202" s="21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16"/>
      <c r="B203" s="116"/>
      <c r="C203" s="116">
        <v>0</v>
      </c>
      <c r="D203" s="3"/>
      <c r="E203" s="184"/>
      <c r="F203" s="214"/>
      <c r="G203" s="214"/>
      <c r="H203" s="184"/>
      <c r="I203" s="184"/>
      <c r="J203" s="184"/>
      <c r="K203" s="184"/>
      <c r="L203" s="184"/>
      <c r="M203" s="185"/>
      <c r="N203" s="185"/>
      <c r="O203" s="186"/>
      <c r="P203" s="187"/>
      <c r="Q203" s="187"/>
      <c r="R203" s="188"/>
      <c r="S203" s="188"/>
      <c r="T203" s="185"/>
      <c r="U203" s="185"/>
      <c r="V203" s="189"/>
      <c r="W203" s="190"/>
      <c r="X203" s="191"/>
      <c r="Y203" s="186"/>
      <c r="Z203" s="192"/>
      <c r="AA203" s="97"/>
      <c r="AB203" s="193"/>
    </row>
    <row r="204" spans="1:28">
      <c r="A204" s="116"/>
      <c r="B204" s="116" t="s">
        <v>983</v>
      </c>
      <c r="C204" s="116">
        <v>2</v>
      </c>
      <c r="D204" s="3"/>
      <c r="E204" s="184"/>
      <c r="F204" s="214"/>
      <c r="G204" s="214"/>
      <c r="H204" s="184"/>
      <c r="I204" s="184"/>
      <c r="J204" s="184"/>
      <c r="K204" s="184"/>
      <c r="L204" s="184"/>
      <c r="M204" s="185"/>
      <c r="N204" s="185"/>
      <c r="O204" s="186"/>
      <c r="P204" s="187"/>
      <c r="Q204" s="187"/>
      <c r="R204" s="188"/>
      <c r="S204" s="188"/>
      <c r="T204" s="185"/>
      <c r="U204" s="185"/>
      <c r="V204" s="189"/>
      <c r="W204" s="190"/>
      <c r="X204" s="191"/>
      <c r="Y204" s="186"/>
      <c r="Z204" s="192"/>
      <c r="AA204" s="97"/>
      <c r="AB204" s="193"/>
    </row>
    <row r="205" spans="1:28">
      <c r="A205" s="116"/>
      <c r="B205" s="116"/>
      <c r="C205" s="116">
        <v>3</v>
      </c>
      <c r="D205" s="3"/>
      <c r="E205" s="213"/>
      <c r="F205" s="214"/>
      <c r="G205" s="214"/>
      <c r="H205" s="184"/>
      <c r="I205" s="184"/>
      <c r="J205" s="184"/>
      <c r="K205" s="184"/>
      <c r="L205" s="184"/>
      <c r="M205" s="185"/>
      <c r="N205" s="185"/>
      <c r="O205" s="186"/>
      <c r="P205" s="187"/>
      <c r="Q205" s="187"/>
      <c r="R205" s="188"/>
      <c r="S205" s="188"/>
      <c r="T205" s="185"/>
      <c r="U205" s="185"/>
      <c r="V205" s="189"/>
      <c r="W205" s="190"/>
      <c r="X205" s="191"/>
      <c r="Y205" s="186"/>
      <c r="Z205" s="192"/>
      <c r="AA205" s="97"/>
      <c r="AB205" s="193"/>
    </row>
    <row r="206" spans="1:28">
      <c r="A206" s="116"/>
      <c r="B206" s="116"/>
      <c r="C206" s="116">
        <v>3</v>
      </c>
      <c r="D206" s="3"/>
      <c r="E206" s="213"/>
      <c r="F206" s="214"/>
      <c r="G206" s="214"/>
      <c r="H206" s="184"/>
      <c r="I206" s="184"/>
      <c r="J206" s="184"/>
      <c r="K206" s="184"/>
      <c r="L206" s="184"/>
      <c r="M206" s="185"/>
      <c r="N206" s="185"/>
      <c r="O206" s="186"/>
      <c r="P206" s="187"/>
      <c r="Q206" s="187"/>
      <c r="R206" s="188"/>
      <c r="S206" s="188"/>
      <c r="T206" s="185"/>
      <c r="U206" s="185"/>
      <c r="V206" s="189"/>
      <c r="W206" s="190"/>
      <c r="X206" s="191"/>
      <c r="Y206" s="186"/>
      <c r="Z206" s="192"/>
      <c r="AA206" s="97"/>
      <c r="AB206" s="193"/>
    </row>
    <row r="207" spans="1:28">
      <c r="A207" s="116"/>
      <c r="B207" s="116"/>
      <c r="C207" s="116">
        <v>0</v>
      </c>
      <c r="D207" s="3"/>
      <c r="E207" s="184"/>
      <c r="F207" s="214"/>
      <c r="G207" s="214"/>
      <c r="H207" s="184"/>
      <c r="I207" s="184"/>
      <c r="J207" s="184"/>
      <c r="K207" s="184"/>
      <c r="L207" s="184"/>
      <c r="M207" s="185"/>
      <c r="N207" s="185"/>
      <c r="O207" s="186"/>
      <c r="P207" s="187"/>
      <c r="Q207" s="187"/>
      <c r="R207" s="188"/>
      <c r="S207" s="188"/>
      <c r="T207" s="185"/>
      <c r="U207" s="185"/>
      <c r="V207" s="189"/>
      <c r="W207" s="190"/>
      <c r="X207" s="191"/>
      <c r="Y207" s="186"/>
      <c r="Z207" s="192"/>
      <c r="AA207" s="97"/>
      <c r="AB207" s="193"/>
    </row>
    <row r="208" spans="1:28">
      <c r="A208" s="116"/>
      <c r="B208" s="116" t="s">
        <v>983</v>
      </c>
      <c r="C208" s="116">
        <v>2</v>
      </c>
      <c r="D208" s="3"/>
      <c r="E208" s="184"/>
      <c r="F208" s="214"/>
      <c r="G208" s="214"/>
      <c r="H208" s="184"/>
      <c r="I208" s="184"/>
      <c r="J208" s="184"/>
      <c r="K208" s="184"/>
      <c r="L208" s="184"/>
      <c r="M208" s="185"/>
      <c r="N208" s="185"/>
      <c r="O208" s="186"/>
      <c r="P208" s="187"/>
      <c r="Q208" s="187"/>
      <c r="R208" s="188"/>
      <c r="S208" s="188"/>
      <c r="T208" s="185"/>
      <c r="U208" s="185"/>
      <c r="V208" s="189"/>
      <c r="W208" s="190"/>
      <c r="X208" s="191"/>
      <c r="Y208" s="186"/>
      <c r="Z208" s="192"/>
      <c r="AA208" s="97"/>
      <c r="AB208" s="193"/>
    </row>
    <row r="209" spans="1:28">
      <c r="A209" s="116"/>
      <c r="B209" s="116"/>
      <c r="C209" s="116">
        <v>3</v>
      </c>
      <c r="D209" s="3"/>
      <c r="E209" s="213"/>
      <c r="F209" s="214"/>
      <c r="G209" s="214"/>
      <c r="H209" s="184"/>
      <c r="I209" s="184"/>
      <c r="J209" s="184"/>
      <c r="K209" s="184"/>
      <c r="L209" s="184"/>
      <c r="M209" s="185"/>
      <c r="N209" s="185"/>
      <c r="O209" s="186"/>
      <c r="P209" s="187"/>
      <c r="Q209" s="187"/>
      <c r="R209" s="188"/>
      <c r="S209" s="188"/>
      <c r="T209" s="185"/>
      <c r="U209" s="185"/>
      <c r="V209" s="189"/>
      <c r="W209" s="190"/>
      <c r="X209" s="191"/>
      <c r="Y209" s="186"/>
      <c r="Z209" s="192"/>
      <c r="AA209" s="97"/>
      <c r="AB209" s="193"/>
    </row>
    <row r="210" spans="1:28">
      <c r="A210" s="116"/>
      <c r="B210" s="116"/>
      <c r="C210" s="116">
        <v>3</v>
      </c>
      <c r="D210" s="3"/>
      <c r="E210" s="213"/>
      <c r="F210" s="214"/>
      <c r="G210" s="214"/>
      <c r="H210" s="184"/>
      <c r="I210" s="184"/>
      <c r="J210" s="184"/>
      <c r="K210" s="184"/>
      <c r="L210" s="184"/>
      <c r="M210" s="185"/>
      <c r="N210" s="185"/>
      <c r="O210" s="186"/>
      <c r="P210" s="187"/>
      <c r="Q210" s="187"/>
      <c r="R210" s="188"/>
      <c r="S210" s="188"/>
      <c r="T210" s="185"/>
      <c r="U210" s="185"/>
      <c r="V210" s="189"/>
      <c r="W210" s="190"/>
      <c r="X210" s="191"/>
      <c r="Y210" s="186"/>
      <c r="Z210" s="192"/>
      <c r="AA210" s="97"/>
      <c r="AB210" s="193"/>
    </row>
    <row r="211" spans="1:28">
      <c r="A211" s="116"/>
      <c r="B211" s="116"/>
      <c r="C211" s="116">
        <v>0</v>
      </c>
      <c r="D211" s="3"/>
      <c r="E211" s="184"/>
      <c r="F211" s="214"/>
      <c r="G211" s="214"/>
      <c r="H211" s="184"/>
      <c r="I211" s="184"/>
      <c r="J211" s="184"/>
      <c r="K211" s="184"/>
      <c r="L211" s="184"/>
      <c r="M211" s="185"/>
      <c r="N211" s="185"/>
      <c r="O211" s="186"/>
      <c r="P211" s="187"/>
      <c r="Q211" s="187"/>
      <c r="R211" s="188"/>
      <c r="S211" s="188"/>
      <c r="T211" s="185"/>
      <c r="U211" s="185"/>
      <c r="V211" s="189"/>
      <c r="W211" s="190"/>
      <c r="X211" s="191"/>
      <c r="Y211" s="186"/>
      <c r="Z211" s="192"/>
      <c r="AA211" s="97"/>
      <c r="AB211" s="193"/>
    </row>
    <row r="212" spans="1:28">
      <c r="A212" s="116"/>
      <c r="B212" s="116" t="s">
        <v>983</v>
      </c>
      <c r="C212" s="116">
        <v>2</v>
      </c>
      <c r="D212" s="3"/>
      <c r="E212" s="184"/>
      <c r="F212" s="214"/>
      <c r="G212" s="214"/>
      <c r="H212" s="184"/>
      <c r="I212" s="184"/>
      <c r="J212" s="184"/>
      <c r="K212" s="184"/>
      <c r="L212" s="184"/>
      <c r="M212" s="185"/>
      <c r="N212" s="185"/>
      <c r="O212" s="186"/>
      <c r="P212" s="187"/>
      <c r="Q212" s="187"/>
      <c r="R212" s="188"/>
      <c r="S212" s="188"/>
      <c r="T212" s="185"/>
      <c r="U212" s="185"/>
      <c r="V212" s="189"/>
      <c r="W212" s="190"/>
      <c r="X212" s="191"/>
      <c r="Y212" s="186"/>
      <c r="Z212" s="192"/>
      <c r="AA212" s="97"/>
      <c r="AB212" s="193"/>
    </row>
    <row r="213" spans="1:28">
      <c r="A213" s="116"/>
      <c r="B213" s="116"/>
      <c r="C213" s="116">
        <v>3</v>
      </c>
      <c r="D213" s="3"/>
      <c r="E213" s="213"/>
      <c r="F213" s="214"/>
      <c r="G213" s="214"/>
      <c r="H213" s="184"/>
      <c r="I213" s="184"/>
      <c r="J213" s="184"/>
      <c r="K213" s="184"/>
      <c r="L213" s="184"/>
      <c r="M213" s="185"/>
      <c r="N213" s="185"/>
      <c r="O213" s="186"/>
      <c r="P213" s="187"/>
      <c r="Q213" s="187"/>
      <c r="R213" s="188"/>
      <c r="S213" s="188"/>
      <c r="T213" s="185"/>
      <c r="U213" s="185"/>
      <c r="V213" s="189"/>
      <c r="W213" s="190"/>
      <c r="X213" s="191"/>
      <c r="Y213" s="186"/>
      <c r="Z213" s="192"/>
      <c r="AA213" s="97"/>
      <c r="AB213" s="193"/>
    </row>
    <row r="214" spans="1:28">
      <c r="A214" s="116"/>
      <c r="B214" s="116"/>
      <c r="C214" s="116">
        <v>3</v>
      </c>
      <c r="D214" s="3"/>
      <c r="E214" s="213"/>
      <c r="F214" s="214"/>
      <c r="G214" s="214"/>
      <c r="H214" s="184"/>
      <c r="I214" s="184"/>
      <c r="J214" s="184"/>
      <c r="K214" s="184"/>
      <c r="L214" s="184"/>
      <c r="M214" s="185"/>
      <c r="N214" s="185"/>
      <c r="O214" s="186"/>
      <c r="P214" s="187"/>
      <c r="Q214" s="187"/>
      <c r="R214" s="188"/>
      <c r="S214" s="188"/>
      <c r="T214" s="185"/>
      <c r="U214" s="185"/>
      <c r="V214" s="189"/>
      <c r="W214" s="190"/>
      <c r="X214" s="191"/>
      <c r="Y214" s="186"/>
      <c r="Z214" s="192"/>
      <c r="AA214" s="97"/>
      <c r="AB214" s="193"/>
    </row>
    <row r="215" spans="1:28">
      <c r="A215" s="116"/>
      <c r="B215" s="116"/>
      <c r="C215" s="116">
        <v>0</v>
      </c>
      <c r="D215" s="3"/>
      <c r="E215" s="184"/>
      <c r="F215" s="214"/>
      <c r="G215" s="214"/>
      <c r="H215" s="184"/>
      <c r="I215" s="184"/>
      <c r="J215" s="184"/>
      <c r="K215" s="184"/>
      <c r="L215" s="184"/>
      <c r="M215" s="185"/>
      <c r="N215" s="185"/>
      <c r="O215" s="186"/>
      <c r="P215" s="187"/>
      <c r="Q215" s="187"/>
      <c r="R215" s="188"/>
      <c r="S215" s="188"/>
      <c r="T215" s="185"/>
      <c r="U215" s="185"/>
      <c r="V215" s="189"/>
      <c r="W215" s="190"/>
      <c r="X215" s="191"/>
      <c r="Y215" s="186"/>
      <c r="Z215" s="192"/>
      <c r="AA215" s="97"/>
      <c r="AB215" s="193"/>
    </row>
    <row r="216" spans="1:28">
      <c r="A216" s="116"/>
      <c r="B216" s="116" t="s">
        <v>983</v>
      </c>
      <c r="C216" s="116">
        <v>2</v>
      </c>
      <c r="D216" s="3"/>
      <c r="E216" s="184"/>
      <c r="F216" s="214"/>
      <c r="G216" s="214"/>
      <c r="H216" s="184"/>
      <c r="I216" s="184"/>
      <c r="J216" s="184"/>
      <c r="K216" s="184"/>
      <c r="L216" s="184"/>
      <c r="M216" s="185"/>
      <c r="N216" s="185"/>
      <c r="O216" s="186"/>
      <c r="P216" s="187"/>
      <c r="Q216" s="187"/>
      <c r="R216" s="188"/>
      <c r="S216" s="188"/>
      <c r="T216" s="185"/>
      <c r="U216" s="185"/>
      <c r="V216" s="189"/>
      <c r="W216" s="190"/>
      <c r="X216" s="191"/>
      <c r="Y216" s="186"/>
      <c r="Z216" s="192"/>
      <c r="AA216" s="97"/>
      <c r="AB216" s="193"/>
    </row>
    <row r="217" spans="1:28">
      <c r="A217" s="116"/>
      <c r="B217" s="116"/>
      <c r="C217" s="116">
        <v>3</v>
      </c>
      <c r="D217" s="3"/>
      <c r="E217" s="213"/>
      <c r="F217" s="214"/>
      <c r="G217" s="214"/>
      <c r="H217" s="184"/>
      <c r="I217" s="184"/>
      <c r="J217" s="184"/>
      <c r="K217" s="184"/>
      <c r="L217" s="184"/>
      <c r="M217" s="185"/>
      <c r="N217" s="185"/>
      <c r="O217" s="186"/>
      <c r="P217" s="187"/>
      <c r="Q217" s="187"/>
      <c r="R217" s="188"/>
      <c r="S217" s="188"/>
      <c r="T217" s="185"/>
      <c r="U217" s="185"/>
      <c r="V217" s="189"/>
      <c r="W217" s="190"/>
      <c r="X217" s="191"/>
      <c r="Y217" s="186"/>
      <c r="Z217" s="192"/>
      <c r="AA217" s="97"/>
      <c r="AB217" s="193"/>
    </row>
    <row r="218" spans="1:28">
      <c r="A218" s="116"/>
      <c r="B218" s="116"/>
      <c r="C218" s="116">
        <v>3</v>
      </c>
      <c r="D218" s="3"/>
      <c r="E218" s="213"/>
      <c r="F218" s="214"/>
      <c r="G218" s="214"/>
      <c r="H218" s="184"/>
      <c r="I218" s="184"/>
      <c r="J218" s="184"/>
      <c r="K218" s="184"/>
      <c r="L218" s="184"/>
      <c r="M218" s="185"/>
      <c r="N218" s="185"/>
      <c r="O218" s="186"/>
      <c r="P218" s="187"/>
      <c r="Q218" s="187"/>
      <c r="R218" s="188"/>
      <c r="S218" s="188"/>
      <c r="T218" s="185"/>
      <c r="U218" s="185"/>
      <c r="V218" s="189"/>
      <c r="W218" s="190"/>
      <c r="X218" s="191"/>
      <c r="Y218" s="186"/>
      <c r="Z218" s="192"/>
      <c r="AA218" s="97"/>
      <c r="AB218" s="193"/>
    </row>
    <row r="219" spans="1:28">
      <c r="A219" s="116"/>
      <c r="B219" s="116"/>
      <c r="C219" s="116">
        <v>0</v>
      </c>
      <c r="D219" s="3"/>
      <c r="E219" s="184"/>
      <c r="F219" s="214"/>
      <c r="G219" s="214"/>
      <c r="H219" s="184"/>
      <c r="I219" s="184"/>
      <c r="J219" s="184"/>
      <c r="K219" s="184"/>
      <c r="L219" s="184"/>
      <c r="M219" s="185"/>
      <c r="N219" s="185"/>
      <c r="O219" s="186"/>
      <c r="P219" s="187"/>
      <c r="Q219" s="187"/>
      <c r="R219" s="188"/>
      <c r="S219" s="188"/>
      <c r="T219" s="185"/>
      <c r="U219" s="185"/>
      <c r="V219" s="189"/>
      <c r="W219" s="190"/>
      <c r="X219" s="191"/>
      <c r="Y219" s="186"/>
      <c r="Z219" s="192"/>
      <c r="AA219" s="97"/>
      <c r="AB219" s="193"/>
    </row>
    <row r="220" spans="1:28">
      <c r="A220" s="116"/>
      <c r="B220" s="116" t="s">
        <v>983</v>
      </c>
      <c r="C220" s="116">
        <v>2</v>
      </c>
      <c r="D220" s="3"/>
      <c r="E220" s="184"/>
      <c r="F220" s="214"/>
      <c r="G220" s="214"/>
      <c r="H220" s="184"/>
      <c r="I220" s="184"/>
      <c r="J220" s="184"/>
      <c r="K220" s="184"/>
      <c r="L220" s="184"/>
      <c r="M220" s="185"/>
      <c r="N220" s="185"/>
      <c r="O220" s="186"/>
      <c r="P220" s="187"/>
      <c r="Q220" s="187"/>
      <c r="R220" s="188"/>
      <c r="S220" s="188"/>
      <c r="T220" s="185"/>
      <c r="U220" s="185"/>
      <c r="V220" s="189"/>
      <c r="W220" s="190"/>
      <c r="X220" s="191"/>
      <c r="Y220" s="186"/>
      <c r="Z220" s="192"/>
      <c r="AA220" s="97"/>
      <c r="AB220" s="193"/>
    </row>
    <row r="221" spans="1:28">
      <c r="A221" s="116"/>
      <c r="B221" s="116"/>
      <c r="C221" s="116">
        <v>3</v>
      </c>
      <c r="D221" s="3"/>
      <c r="E221" s="213"/>
      <c r="F221" s="214"/>
      <c r="G221" s="214"/>
      <c r="H221" s="184"/>
      <c r="I221" s="184"/>
      <c r="J221" s="184"/>
      <c r="K221" s="184"/>
      <c r="L221" s="184"/>
      <c r="M221" s="185"/>
      <c r="N221" s="185"/>
      <c r="O221" s="186"/>
      <c r="P221" s="187"/>
      <c r="Q221" s="187"/>
      <c r="R221" s="188"/>
      <c r="S221" s="188"/>
      <c r="T221" s="185"/>
      <c r="U221" s="185"/>
      <c r="V221" s="189"/>
      <c r="W221" s="190"/>
      <c r="X221" s="191"/>
      <c r="Y221" s="186"/>
      <c r="Z221" s="192"/>
      <c r="AA221" s="97"/>
      <c r="AB221" s="193"/>
    </row>
    <row r="222" spans="1:28">
      <c r="A222" s="116"/>
      <c r="B222" s="116"/>
      <c r="C222" s="116">
        <v>3</v>
      </c>
      <c r="D222" s="3"/>
      <c r="E222" s="213"/>
      <c r="F222" s="214"/>
      <c r="G222" s="214"/>
      <c r="H222" s="184"/>
      <c r="I222" s="184"/>
      <c r="J222" s="184"/>
      <c r="K222" s="184"/>
      <c r="L222" s="184"/>
      <c r="M222" s="185"/>
      <c r="N222" s="185"/>
      <c r="O222" s="186"/>
      <c r="P222" s="187"/>
      <c r="Q222" s="187"/>
      <c r="R222" s="188"/>
      <c r="S222" s="188"/>
      <c r="T222" s="185"/>
      <c r="U222" s="185"/>
      <c r="V222" s="189"/>
      <c r="W222" s="190"/>
      <c r="X222" s="191"/>
      <c r="Y222" s="186"/>
      <c r="Z222" s="192"/>
      <c r="AA222" s="97"/>
      <c r="AB222" s="193"/>
    </row>
    <row r="223" spans="1:28">
      <c r="A223" s="116"/>
      <c r="B223" s="116"/>
      <c r="C223" s="116">
        <v>0</v>
      </c>
      <c r="D223" s="3"/>
      <c r="E223" s="184"/>
      <c r="F223" s="214"/>
      <c r="G223" s="214"/>
      <c r="H223" s="184"/>
      <c r="I223" s="184"/>
      <c r="J223" s="184"/>
      <c r="K223" s="184"/>
      <c r="L223" s="184"/>
      <c r="M223" s="185"/>
      <c r="N223" s="185"/>
      <c r="O223" s="186"/>
      <c r="P223" s="187"/>
      <c r="Q223" s="187"/>
      <c r="R223" s="188"/>
      <c r="S223" s="188"/>
      <c r="T223" s="185"/>
      <c r="U223" s="185"/>
      <c r="V223" s="189"/>
      <c r="W223" s="190"/>
      <c r="X223" s="191"/>
      <c r="Y223" s="186"/>
      <c r="Z223" s="192"/>
      <c r="AA223" s="97"/>
      <c r="AB223" s="193"/>
    </row>
    <row r="224" spans="1:28">
      <c r="A224" s="116"/>
      <c r="B224" s="116" t="s">
        <v>983</v>
      </c>
      <c r="C224" s="116">
        <v>2</v>
      </c>
      <c r="D224" s="3"/>
      <c r="E224" s="184"/>
      <c r="F224" s="214"/>
      <c r="G224" s="214"/>
      <c r="H224" s="184"/>
      <c r="I224" s="184"/>
      <c r="J224" s="184"/>
      <c r="K224" s="184"/>
      <c r="L224" s="184"/>
      <c r="M224" s="185"/>
      <c r="N224" s="185"/>
      <c r="O224" s="186"/>
      <c r="P224" s="187"/>
      <c r="Q224" s="187"/>
      <c r="R224" s="188"/>
      <c r="S224" s="188"/>
      <c r="T224" s="185"/>
      <c r="U224" s="185"/>
      <c r="V224" s="189"/>
      <c r="W224" s="190"/>
      <c r="X224" s="191"/>
      <c r="Y224" s="186"/>
      <c r="Z224" s="192"/>
      <c r="AA224" s="97"/>
      <c r="AB224" s="193"/>
    </row>
    <row r="225" spans="1:28">
      <c r="A225" s="116"/>
      <c r="B225" s="116"/>
      <c r="C225" s="116">
        <v>3</v>
      </c>
      <c r="D225" s="3"/>
      <c r="E225" s="213"/>
      <c r="F225" s="214"/>
      <c r="G225" s="214"/>
      <c r="H225" s="184"/>
      <c r="I225" s="184"/>
      <c r="J225" s="184"/>
      <c r="K225" s="184"/>
      <c r="L225" s="184"/>
      <c r="M225" s="185"/>
      <c r="N225" s="185"/>
      <c r="O225" s="186"/>
      <c r="P225" s="187"/>
      <c r="Q225" s="187"/>
      <c r="R225" s="188"/>
      <c r="S225" s="188"/>
      <c r="T225" s="185"/>
      <c r="U225" s="185"/>
      <c r="V225" s="189"/>
      <c r="W225" s="190"/>
      <c r="X225" s="191"/>
      <c r="Y225" s="186"/>
      <c r="Z225" s="192"/>
      <c r="AA225" s="97"/>
      <c r="AB225" s="193"/>
    </row>
    <row r="226" spans="1:28">
      <c r="A226" s="116"/>
      <c r="B226" s="116"/>
      <c r="C226" s="116">
        <v>3</v>
      </c>
      <c r="D226" s="3"/>
      <c r="E226" s="213"/>
      <c r="F226" s="214"/>
      <c r="G226" s="214"/>
      <c r="H226" s="184"/>
      <c r="I226" s="184"/>
      <c r="J226" s="184"/>
      <c r="K226" s="184"/>
      <c r="L226" s="184"/>
      <c r="M226" s="185"/>
      <c r="N226" s="185"/>
      <c r="O226" s="186"/>
      <c r="P226" s="187"/>
      <c r="Q226" s="187"/>
      <c r="R226" s="188"/>
      <c r="S226" s="188"/>
      <c r="T226" s="185"/>
      <c r="U226" s="185"/>
      <c r="V226" s="189"/>
      <c r="W226" s="190"/>
      <c r="X226" s="191"/>
      <c r="Y226" s="186"/>
      <c r="Z226" s="192"/>
      <c r="AA226" s="97"/>
      <c r="AB226" s="193"/>
    </row>
    <row r="227" spans="1:28">
      <c r="A227" s="116"/>
      <c r="B227" s="116"/>
      <c r="C227" s="116">
        <v>0</v>
      </c>
      <c r="D227" s="3"/>
      <c r="E227" s="184"/>
      <c r="F227" s="214"/>
      <c r="G227" s="214"/>
      <c r="H227" s="184"/>
      <c r="I227" s="184"/>
      <c r="J227" s="184"/>
      <c r="K227" s="184"/>
      <c r="L227" s="184"/>
      <c r="M227" s="185"/>
      <c r="N227" s="185"/>
      <c r="O227" s="186"/>
      <c r="P227" s="187"/>
      <c r="Q227" s="187"/>
      <c r="R227" s="188"/>
      <c r="S227" s="188"/>
      <c r="T227" s="185"/>
      <c r="U227" s="185"/>
      <c r="V227" s="189"/>
      <c r="W227" s="190"/>
      <c r="X227" s="191"/>
      <c r="Y227" s="186"/>
      <c r="Z227" s="192"/>
      <c r="AA227" s="97"/>
      <c r="AB227" s="193"/>
    </row>
    <row r="228" spans="1:28">
      <c r="A228" s="116"/>
      <c r="B228" s="116" t="s">
        <v>983</v>
      </c>
      <c r="C228" s="116">
        <v>2</v>
      </c>
      <c r="D228" s="3"/>
      <c r="E228" s="184"/>
      <c r="F228" s="214"/>
      <c r="G228" s="214"/>
      <c r="H228" s="184"/>
      <c r="I228" s="184"/>
      <c r="J228" s="184"/>
      <c r="K228" s="184"/>
      <c r="L228" s="184"/>
      <c r="M228" s="185"/>
      <c r="N228" s="185"/>
      <c r="O228" s="186"/>
      <c r="P228" s="187"/>
      <c r="Q228" s="187"/>
      <c r="R228" s="188"/>
      <c r="S228" s="188"/>
      <c r="T228" s="185"/>
      <c r="U228" s="185"/>
      <c r="V228" s="189"/>
      <c r="W228" s="190"/>
      <c r="X228" s="191"/>
      <c r="Y228" s="186"/>
      <c r="Z228" s="192"/>
      <c r="AA228" s="97"/>
      <c r="AB228" s="193"/>
    </row>
    <row r="229" spans="1:28">
      <c r="A229" s="116"/>
      <c r="B229" s="116"/>
      <c r="C229" s="116">
        <v>3</v>
      </c>
      <c r="D229" s="3"/>
      <c r="E229" s="213"/>
      <c r="F229" s="214"/>
      <c r="G229" s="214"/>
      <c r="H229" s="184"/>
      <c r="I229" s="184"/>
      <c r="J229" s="184"/>
      <c r="K229" s="184"/>
      <c r="L229" s="184"/>
      <c r="M229" s="185"/>
      <c r="N229" s="185"/>
      <c r="O229" s="186"/>
      <c r="P229" s="187"/>
      <c r="Q229" s="187"/>
      <c r="R229" s="188"/>
      <c r="S229" s="188"/>
      <c r="T229" s="185"/>
      <c r="U229" s="185"/>
      <c r="V229" s="189"/>
      <c r="W229" s="190"/>
      <c r="X229" s="191"/>
      <c r="Y229" s="186"/>
      <c r="Z229" s="192"/>
      <c r="AA229" s="97"/>
      <c r="AB229" s="193"/>
    </row>
    <row r="230" spans="1:28">
      <c r="A230" s="116"/>
      <c r="B230" s="116"/>
      <c r="C230" s="116">
        <v>3</v>
      </c>
      <c r="D230" s="3"/>
      <c r="E230" s="213"/>
      <c r="F230" s="214"/>
      <c r="G230" s="214"/>
      <c r="H230" s="184"/>
      <c r="I230" s="184"/>
      <c r="J230" s="184"/>
      <c r="K230" s="184"/>
      <c r="L230" s="184"/>
      <c r="M230" s="185"/>
      <c r="N230" s="185"/>
      <c r="O230" s="186"/>
      <c r="P230" s="187"/>
      <c r="Q230" s="187"/>
      <c r="R230" s="188"/>
      <c r="S230" s="188"/>
      <c r="T230" s="185"/>
      <c r="U230" s="185"/>
      <c r="V230" s="189"/>
      <c r="W230" s="190"/>
      <c r="X230" s="191"/>
      <c r="Y230" s="186"/>
      <c r="Z230" s="192"/>
      <c r="AA230" s="97"/>
      <c r="AB230" s="193"/>
    </row>
    <row r="231" spans="1:28">
      <c r="A231" s="116"/>
      <c r="B231" s="116"/>
      <c r="C231" s="116">
        <v>0</v>
      </c>
      <c r="D231" s="3"/>
      <c r="E231" s="213"/>
      <c r="F231" s="214"/>
      <c r="G231" s="214"/>
      <c r="H231" s="184"/>
      <c r="I231" s="184"/>
      <c r="J231" s="184"/>
      <c r="K231" s="184"/>
      <c r="L231" s="184"/>
      <c r="M231" s="185"/>
      <c r="N231" s="185"/>
      <c r="O231" s="186"/>
      <c r="P231" s="187"/>
      <c r="Q231" s="187"/>
      <c r="R231" s="188"/>
      <c r="S231" s="188"/>
      <c r="T231" s="185"/>
      <c r="U231" s="185"/>
      <c r="V231" s="189"/>
      <c r="W231" s="190"/>
      <c r="X231" s="191"/>
      <c r="Y231" s="186"/>
      <c r="Z231" s="192"/>
      <c r="AA231" s="97"/>
      <c r="AB231" s="193"/>
    </row>
    <row r="232" spans="1:28">
      <c r="A232" s="116"/>
      <c r="B232" s="116" t="s">
        <v>983</v>
      </c>
      <c r="C232" s="116">
        <v>2</v>
      </c>
      <c r="D232" s="3"/>
      <c r="E232" s="184"/>
      <c r="F232" s="214"/>
      <c r="G232" s="214"/>
      <c r="H232" s="184"/>
      <c r="I232" s="184"/>
      <c r="J232" s="184"/>
      <c r="K232" s="184"/>
      <c r="L232" s="184"/>
      <c r="M232" s="185"/>
      <c r="N232" s="185"/>
      <c r="O232" s="186"/>
      <c r="P232" s="187"/>
      <c r="Q232" s="187"/>
      <c r="R232" s="188"/>
      <c r="S232" s="188"/>
      <c r="T232" s="185"/>
      <c r="U232" s="185"/>
      <c r="V232" s="189"/>
      <c r="W232" s="190"/>
      <c r="X232" s="191"/>
      <c r="Y232" s="186"/>
      <c r="Z232" s="192"/>
      <c r="AA232" s="97"/>
      <c r="AB232" s="193"/>
    </row>
    <row r="233" spans="1:28">
      <c r="A233" s="116"/>
      <c r="B233" s="116"/>
      <c r="C233" s="116">
        <v>3</v>
      </c>
      <c r="D233" s="3"/>
      <c r="E233" s="213"/>
      <c r="F233" s="214"/>
      <c r="G233" s="214"/>
      <c r="H233" s="184"/>
      <c r="I233" s="184"/>
      <c r="J233" s="184"/>
      <c r="K233" s="184"/>
      <c r="L233" s="184"/>
      <c r="M233" s="185"/>
      <c r="N233" s="185"/>
      <c r="O233" s="186"/>
      <c r="P233" s="187"/>
      <c r="Q233" s="187"/>
      <c r="R233" s="188"/>
      <c r="S233" s="188"/>
      <c r="T233" s="185"/>
      <c r="U233" s="185"/>
      <c r="V233" s="189"/>
      <c r="W233" s="190"/>
      <c r="X233" s="191"/>
      <c r="Y233" s="186"/>
      <c r="Z233" s="192"/>
      <c r="AA233" s="97"/>
      <c r="AB233" s="193"/>
    </row>
    <row r="234" spans="1:28">
      <c r="A234" s="116"/>
      <c r="B234" s="116"/>
      <c r="C234" s="116">
        <v>3</v>
      </c>
      <c r="D234" s="3"/>
      <c r="E234" s="213"/>
      <c r="F234" s="214"/>
      <c r="G234" s="214"/>
      <c r="H234" s="184"/>
      <c r="I234" s="184"/>
      <c r="J234" s="184"/>
      <c r="K234" s="184"/>
      <c r="L234" s="184"/>
      <c r="M234" s="185"/>
      <c r="N234" s="185"/>
      <c r="O234" s="186"/>
      <c r="P234" s="187"/>
      <c r="Q234" s="187"/>
      <c r="R234" s="188"/>
      <c r="S234" s="188"/>
      <c r="T234" s="185"/>
      <c r="U234" s="185"/>
      <c r="V234" s="189"/>
      <c r="W234" s="190"/>
      <c r="X234" s="191"/>
      <c r="Y234" s="186"/>
      <c r="Z234" s="192"/>
      <c r="AA234" s="97"/>
      <c r="AB234" s="193"/>
    </row>
    <row r="235" spans="1:28">
      <c r="A235" s="116"/>
      <c r="B235" s="116"/>
      <c r="C235" s="116">
        <v>0</v>
      </c>
      <c r="D235" s="3"/>
      <c r="E235" s="213"/>
      <c r="F235" s="214"/>
      <c r="G235" s="214"/>
      <c r="H235" s="184"/>
      <c r="I235" s="184"/>
      <c r="J235" s="184"/>
      <c r="K235" s="184"/>
      <c r="L235" s="184"/>
      <c r="M235" s="185"/>
      <c r="N235" s="185"/>
      <c r="O235" s="186"/>
      <c r="P235" s="187"/>
      <c r="Q235" s="187"/>
      <c r="R235" s="188"/>
      <c r="S235" s="188"/>
      <c r="T235" s="185"/>
      <c r="U235" s="185"/>
      <c r="V235" s="189"/>
      <c r="W235" s="190"/>
      <c r="X235" s="191"/>
      <c r="Y235" s="186"/>
      <c r="Z235" s="192"/>
      <c r="AA235" s="97"/>
      <c r="AB235" s="193"/>
    </row>
    <row r="236" spans="1:28">
      <c r="A236" s="116"/>
      <c r="B236" s="116" t="s">
        <v>983</v>
      </c>
      <c r="C236" s="116">
        <v>2</v>
      </c>
      <c r="D236" s="3"/>
      <c r="E236" s="184"/>
      <c r="F236" s="214"/>
      <c r="G236" s="214"/>
      <c r="H236" s="184"/>
      <c r="I236" s="184"/>
      <c r="J236" s="184"/>
      <c r="K236" s="184"/>
      <c r="L236" s="184"/>
      <c r="M236" s="185"/>
      <c r="N236" s="185"/>
      <c r="O236" s="186"/>
      <c r="P236" s="187"/>
      <c r="Q236" s="187"/>
      <c r="R236" s="188"/>
      <c r="S236" s="188"/>
      <c r="T236" s="185"/>
      <c r="U236" s="185"/>
      <c r="V236" s="189"/>
      <c r="W236" s="190"/>
      <c r="X236" s="191"/>
      <c r="Y236" s="186"/>
      <c r="Z236" s="192"/>
      <c r="AA236" s="97"/>
      <c r="AB236" s="193"/>
    </row>
    <row r="237" spans="1:28">
      <c r="A237" s="116"/>
      <c r="B237" s="116"/>
      <c r="C237" s="116">
        <v>3</v>
      </c>
      <c r="D237" s="3"/>
      <c r="E237" s="213"/>
      <c r="F237" s="214"/>
      <c r="G237" s="214"/>
      <c r="H237" s="184"/>
      <c r="I237" s="184"/>
      <c r="J237" s="184"/>
      <c r="K237" s="184"/>
      <c r="L237" s="184"/>
      <c r="M237" s="185"/>
      <c r="N237" s="185"/>
      <c r="O237" s="186"/>
      <c r="P237" s="187"/>
      <c r="Q237" s="187"/>
      <c r="R237" s="188"/>
      <c r="S237" s="188"/>
      <c r="T237" s="185"/>
      <c r="U237" s="185"/>
      <c r="V237" s="189"/>
      <c r="W237" s="190"/>
      <c r="X237" s="191"/>
      <c r="Y237" s="186"/>
      <c r="Z237" s="192"/>
      <c r="AA237" s="97"/>
      <c r="AB237" s="193"/>
    </row>
    <row r="238" spans="1:28">
      <c r="A238" s="116"/>
      <c r="B238" s="116"/>
      <c r="C238" s="116">
        <v>3</v>
      </c>
      <c r="D238" s="3"/>
      <c r="E238" s="213"/>
      <c r="F238" s="214"/>
      <c r="G238" s="214"/>
      <c r="H238" s="184"/>
      <c r="I238" s="184"/>
      <c r="J238" s="184"/>
      <c r="K238" s="184"/>
      <c r="L238" s="184"/>
      <c r="M238" s="185"/>
      <c r="N238" s="185"/>
      <c r="O238" s="186"/>
      <c r="P238" s="187"/>
      <c r="Q238" s="187"/>
      <c r="R238" s="188"/>
      <c r="S238" s="188"/>
      <c r="T238" s="185"/>
      <c r="U238" s="185"/>
      <c r="V238" s="189"/>
      <c r="W238" s="190"/>
      <c r="X238" s="191"/>
      <c r="Y238" s="186"/>
      <c r="Z238" s="192"/>
      <c r="AA238" s="97"/>
      <c r="AB238" s="193"/>
    </row>
    <row r="239" spans="1:28">
      <c r="A239" s="116"/>
      <c r="B239" s="116"/>
      <c r="C239" s="116">
        <v>0</v>
      </c>
      <c r="D239" s="3"/>
      <c r="E239" s="213"/>
      <c r="F239" s="214"/>
      <c r="G239" s="214"/>
      <c r="H239" s="184"/>
      <c r="I239" s="184"/>
      <c r="J239" s="184"/>
      <c r="K239" s="184"/>
      <c r="L239" s="184"/>
      <c r="M239" s="185"/>
      <c r="N239" s="185"/>
      <c r="O239" s="186"/>
      <c r="P239" s="187"/>
      <c r="Q239" s="187"/>
      <c r="R239" s="188"/>
      <c r="S239" s="188"/>
      <c r="T239" s="185"/>
      <c r="U239" s="185"/>
      <c r="V239" s="189"/>
      <c r="W239" s="190"/>
      <c r="X239" s="191"/>
      <c r="Y239" s="186"/>
      <c r="Z239" s="192"/>
      <c r="AA239" s="97"/>
      <c r="AB239" s="193"/>
    </row>
    <row r="240" spans="1:28">
      <c r="A240" s="116"/>
      <c r="B240" s="116" t="s">
        <v>983</v>
      </c>
      <c r="C240" s="116">
        <v>2</v>
      </c>
      <c r="D240" s="3"/>
      <c r="E240" s="184"/>
      <c r="F240" s="214"/>
      <c r="G240" s="214"/>
      <c r="H240" s="184"/>
      <c r="I240" s="184"/>
      <c r="J240" s="184"/>
      <c r="K240" s="184"/>
      <c r="L240" s="184"/>
      <c r="M240" s="185"/>
      <c r="N240" s="185"/>
      <c r="O240" s="186"/>
      <c r="P240" s="187"/>
      <c r="Q240" s="187"/>
      <c r="R240" s="188"/>
      <c r="S240" s="188"/>
      <c r="T240" s="185"/>
      <c r="U240" s="185"/>
      <c r="V240" s="189"/>
      <c r="W240" s="190"/>
      <c r="X240" s="191"/>
      <c r="Y240" s="186"/>
      <c r="Z240" s="192"/>
      <c r="AA240" s="97"/>
      <c r="AB240" s="193"/>
    </row>
    <row r="241" spans="1:28">
      <c r="A241" s="116"/>
      <c r="B241" s="116"/>
      <c r="C241" s="116">
        <v>3</v>
      </c>
      <c r="D241" s="3"/>
      <c r="E241" s="213"/>
      <c r="F241" s="214"/>
      <c r="G241" s="214"/>
      <c r="H241" s="184"/>
      <c r="I241" s="184"/>
      <c r="J241" s="184"/>
      <c r="K241" s="184"/>
      <c r="L241" s="184"/>
      <c r="M241" s="185"/>
      <c r="N241" s="185"/>
      <c r="O241" s="186"/>
      <c r="P241" s="187"/>
      <c r="Q241" s="187"/>
      <c r="R241" s="188"/>
      <c r="S241" s="188"/>
      <c r="T241" s="185"/>
      <c r="U241" s="185"/>
      <c r="V241" s="189"/>
      <c r="W241" s="190"/>
      <c r="X241" s="191"/>
      <c r="Y241" s="186"/>
      <c r="Z241" s="192"/>
      <c r="AA241" s="97"/>
      <c r="AB241" s="193"/>
    </row>
    <row r="242" spans="1:28">
      <c r="A242" s="116"/>
      <c r="B242" s="116"/>
      <c r="C242" s="116">
        <v>3</v>
      </c>
      <c r="D242" s="3"/>
      <c r="E242" s="213"/>
      <c r="F242" s="214"/>
      <c r="G242" s="214"/>
      <c r="H242" s="184"/>
      <c r="I242" s="184"/>
      <c r="J242" s="184"/>
      <c r="K242" s="184"/>
      <c r="L242" s="184"/>
      <c r="M242" s="185"/>
      <c r="N242" s="185"/>
      <c r="O242" s="186"/>
      <c r="P242" s="187"/>
      <c r="Q242" s="187"/>
      <c r="R242" s="188"/>
      <c r="S242" s="188"/>
      <c r="T242" s="185"/>
      <c r="U242" s="185"/>
      <c r="V242" s="189"/>
      <c r="W242" s="190"/>
      <c r="X242" s="191"/>
      <c r="Y242" s="186"/>
      <c r="Z242" s="192"/>
      <c r="AA242" s="97"/>
      <c r="AB242" s="193"/>
    </row>
    <row r="243" spans="1:28">
      <c r="A243" s="116"/>
      <c r="B243" s="116"/>
      <c r="C243" s="116">
        <v>0</v>
      </c>
      <c r="D243" s="3"/>
      <c r="E243" s="213"/>
      <c r="F243" s="214"/>
      <c r="G243" s="214"/>
      <c r="H243" s="184"/>
      <c r="I243" s="184"/>
      <c r="J243" s="184"/>
      <c r="K243" s="184"/>
      <c r="L243" s="184"/>
      <c r="M243" s="185"/>
      <c r="N243" s="185"/>
      <c r="O243" s="186"/>
      <c r="P243" s="187"/>
      <c r="Q243" s="187"/>
      <c r="R243" s="188"/>
      <c r="S243" s="188"/>
      <c r="T243" s="185"/>
      <c r="U243" s="185"/>
      <c r="V243" s="189"/>
      <c r="W243" s="190"/>
      <c r="X243" s="191"/>
      <c r="Y243" s="186"/>
      <c r="Z243" s="192"/>
      <c r="AA243" s="97"/>
      <c r="AB243" s="193"/>
    </row>
    <row r="244" spans="1:28">
      <c r="A244" s="116"/>
      <c r="B244" s="116"/>
      <c r="C244" s="116">
        <v>0</v>
      </c>
      <c r="D244" s="3"/>
      <c r="E244" s="184"/>
      <c r="F244" s="184"/>
      <c r="G244" s="184"/>
      <c r="H244" s="184"/>
      <c r="I244" s="184"/>
      <c r="J244" s="184"/>
      <c r="K244" s="184"/>
      <c r="L244" s="184"/>
      <c r="M244" s="185"/>
      <c r="N244" s="185"/>
      <c r="O244" s="186"/>
      <c r="P244" s="187"/>
      <c r="Q244" s="187"/>
      <c r="R244" s="188"/>
      <c r="S244" s="188"/>
      <c r="T244" s="185"/>
      <c r="U244" s="185"/>
      <c r="V244" s="189"/>
      <c r="W244" s="190"/>
      <c r="X244" s="191"/>
      <c r="Y244" s="186"/>
      <c r="Z244" s="192"/>
      <c r="AA244" s="97"/>
      <c r="AB244" s="193"/>
    </row>
    <row r="245" spans="1:28">
      <c r="A245" s="116"/>
      <c r="B245" s="116" t="s">
        <v>983</v>
      </c>
      <c r="C245" s="116">
        <v>1</v>
      </c>
      <c r="D245" s="3"/>
      <c r="E245" s="212"/>
      <c r="F245" s="184"/>
      <c r="G245" s="184"/>
      <c r="H245" s="184"/>
      <c r="I245" s="184"/>
      <c r="J245" s="184"/>
      <c r="K245" s="184"/>
      <c r="L245" s="184"/>
      <c r="M245" s="185"/>
      <c r="N245" s="185"/>
      <c r="O245" s="186"/>
      <c r="P245" s="187"/>
      <c r="Q245" s="187"/>
      <c r="R245" s="188"/>
      <c r="S245" s="188"/>
      <c r="T245" s="185"/>
      <c r="U245" s="185"/>
      <c r="V245" s="189"/>
      <c r="W245" s="190"/>
      <c r="X245" s="191"/>
      <c r="Y245" s="186"/>
      <c r="Z245" s="192"/>
      <c r="AA245" s="97"/>
      <c r="AB245" s="193"/>
    </row>
    <row r="246" spans="1:28">
      <c r="A246" s="116"/>
      <c r="B246" s="116"/>
      <c r="C246" s="116">
        <v>2</v>
      </c>
      <c r="D246" s="3"/>
      <c r="E246" s="213"/>
      <c r="F246" s="214"/>
      <c r="G246" s="184"/>
      <c r="H246" s="184"/>
      <c r="I246" s="184"/>
      <c r="J246" s="184"/>
      <c r="K246" s="184"/>
      <c r="L246" s="184"/>
      <c r="M246" s="185"/>
      <c r="N246" s="185"/>
      <c r="O246" s="186"/>
      <c r="P246" s="187"/>
      <c r="Q246" s="187"/>
      <c r="R246" s="188"/>
      <c r="S246" s="188"/>
      <c r="T246" s="185"/>
      <c r="U246" s="185"/>
      <c r="V246" s="189"/>
      <c r="W246" s="190"/>
      <c r="X246" s="191"/>
      <c r="Y246" s="186"/>
      <c r="Z246" s="192"/>
      <c r="AA246" s="97"/>
      <c r="AB246" s="193"/>
    </row>
    <row r="247" spans="1:28">
      <c r="A247" s="116"/>
      <c r="B247" s="116"/>
      <c r="C247" s="116">
        <v>2</v>
      </c>
      <c r="D247" s="3"/>
      <c r="E247" s="184"/>
      <c r="F247" s="214"/>
      <c r="G247" s="184"/>
      <c r="H247" s="184"/>
      <c r="I247" s="184"/>
      <c r="J247" s="184"/>
      <c r="K247" s="184"/>
      <c r="L247" s="184"/>
      <c r="M247" s="185"/>
      <c r="N247" s="185"/>
      <c r="O247" s="186"/>
      <c r="P247" s="187"/>
      <c r="Q247" s="187"/>
      <c r="R247" s="188"/>
      <c r="S247" s="188"/>
      <c r="T247" s="185"/>
      <c r="U247" s="185"/>
      <c r="V247" s="189"/>
      <c r="W247" s="190"/>
      <c r="X247" s="191"/>
      <c r="Y247" s="186"/>
      <c r="Z247" s="192"/>
      <c r="AA247" s="97"/>
      <c r="AB247" s="193"/>
    </row>
    <row r="248" spans="1:28">
      <c r="A248" s="116"/>
      <c r="B248" s="116"/>
      <c r="C248" s="116">
        <v>2</v>
      </c>
      <c r="D248" s="3"/>
      <c r="E248" s="184"/>
      <c r="F248" s="214"/>
      <c r="G248" s="184"/>
      <c r="H248" s="184"/>
      <c r="I248" s="184"/>
      <c r="J248" s="184"/>
      <c r="K248" s="184"/>
      <c r="L248" s="184"/>
      <c r="M248" s="185"/>
      <c r="N248" s="185"/>
      <c r="O248" s="186"/>
      <c r="P248" s="187"/>
      <c r="Q248" s="187"/>
      <c r="R248" s="188"/>
      <c r="S248" s="188"/>
      <c r="T248" s="185"/>
      <c r="U248" s="185"/>
      <c r="V248" s="189"/>
      <c r="W248" s="190"/>
      <c r="X248" s="191"/>
      <c r="Y248" s="186"/>
      <c r="Z248" s="192"/>
      <c r="AA248" s="97"/>
      <c r="AB248" s="193"/>
    </row>
    <row r="249" spans="1:28">
      <c r="A249" s="116"/>
      <c r="B249" s="116"/>
      <c r="C249" s="116">
        <v>2</v>
      </c>
      <c r="D249" s="3"/>
      <c r="E249" s="184"/>
      <c r="F249" s="214"/>
      <c r="G249" s="184"/>
      <c r="H249" s="184"/>
      <c r="I249" s="184"/>
      <c r="J249" s="184"/>
      <c r="K249" s="184"/>
      <c r="L249" s="184"/>
      <c r="M249" s="185"/>
      <c r="N249" s="185"/>
      <c r="O249" s="186"/>
      <c r="P249" s="187"/>
      <c r="Q249" s="187"/>
      <c r="R249" s="188"/>
      <c r="S249" s="188"/>
      <c r="T249" s="185"/>
      <c r="U249" s="185"/>
      <c r="V249" s="189"/>
      <c r="W249" s="190"/>
      <c r="X249" s="191"/>
      <c r="Y249" s="186"/>
      <c r="Z249" s="192"/>
      <c r="AA249" s="97"/>
      <c r="AB249" s="193"/>
    </row>
    <row r="250" spans="1:28">
      <c r="A250" s="116"/>
      <c r="B250" s="116"/>
      <c r="C250" s="116">
        <v>2</v>
      </c>
      <c r="D250" s="3"/>
      <c r="E250" s="184"/>
      <c r="F250" s="214"/>
      <c r="G250" s="184"/>
      <c r="H250" s="184"/>
      <c r="I250" s="184"/>
      <c r="J250" s="184"/>
      <c r="K250" s="184"/>
      <c r="L250" s="184"/>
      <c r="M250" s="185"/>
      <c r="N250" s="185"/>
      <c r="O250" s="186"/>
      <c r="P250" s="187"/>
      <c r="Q250" s="187"/>
      <c r="R250" s="188"/>
      <c r="S250" s="188"/>
      <c r="T250" s="185"/>
      <c r="U250" s="185"/>
      <c r="V250" s="189"/>
      <c r="W250" s="190"/>
      <c r="X250" s="191"/>
      <c r="Y250" s="186"/>
      <c r="Z250" s="192"/>
      <c r="AA250" s="97"/>
      <c r="AB250" s="193"/>
    </row>
    <row r="251" spans="1:28">
      <c r="A251" s="116"/>
      <c r="B251" s="116"/>
      <c r="C251" s="116">
        <v>2</v>
      </c>
      <c r="D251" s="3"/>
      <c r="E251" s="184"/>
      <c r="F251" s="214"/>
      <c r="G251" s="184"/>
      <c r="H251" s="184"/>
      <c r="I251" s="184"/>
      <c r="J251" s="184"/>
      <c r="K251" s="184"/>
      <c r="L251" s="184"/>
      <c r="M251" s="185"/>
      <c r="N251" s="185"/>
      <c r="O251" s="186"/>
      <c r="P251" s="187"/>
      <c r="Q251" s="187"/>
      <c r="R251" s="188"/>
      <c r="S251" s="188"/>
      <c r="T251" s="185"/>
      <c r="U251" s="185"/>
      <c r="V251" s="189"/>
      <c r="W251" s="190"/>
      <c r="X251" s="191"/>
      <c r="Y251" s="186"/>
      <c r="Z251" s="192"/>
      <c r="AA251" s="97"/>
      <c r="AB251" s="193"/>
    </row>
    <row r="252" spans="1:28">
      <c r="A252" s="116"/>
      <c r="B252" s="116"/>
      <c r="C252" s="116">
        <v>2</v>
      </c>
      <c r="D252" s="3"/>
      <c r="E252" s="184"/>
      <c r="F252" s="214"/>
      <c r="G252" s="184"/>
      <c r="H252" s="184"/>
      <c r="I252" s="184"/>
      <c r="J252" s="184"/>
      <c r="K252" s="184"/>
      <c r="L252" s="184"/>
      <c r="M252" s="185"/>
      <c r="N252" s="185"/>
      <c r="O252" s="186"/>
      <c r="P252" s="187"/>
      <c r="Q252" s="187"/>
      <c r="R252" s="188"/>
      <c r="S252" s="188"/>
      <c r="T252" s="185"/>
      <c r="U252" s="185"/>
      <c r="V252" s="189"/>
      <c r="W252" s="190"/>
      <c r="X252" s="191"/>
      <c r="Y252" s="186"/>
      <c r="Z252" s="192"/>
      <c r="AA252" s="97"/>
      <c r="AB252" s="193"/>
    </row>
    <row r="253" spans="1:28">
      <c r="A253" s="116"/>
      <c r="B253" s="116"/>
      <c r="C253" s="116">
        <v>2</v>
      </c>
      <c r="D253" s="3"/>
      <c r="E253" s="184"/>
      <c r="F253" s="214"/>
      <c r="G253" s="184"/>
      <c r="H253" s="184"/>
      <c r="I253" s="184"/>
      <c r="J253" s="184"/>
      <c r="K253" s="184"/>
      <c r="L253" s="184"/>
      <c r="M253" s="185"/>
      <c r="N253" s="185"/>
      <c r="O253" s="186"/>
      <c r="P253" s="187"/>
      <c r="Q253" s="187"/>
      <c r="R253" s="188"/>
      <c r="S253" s="188"/>
      <c r="T253" s="185"/>
      <c r="U253" s="185"/>
      <c r="V253" s="189"/>
      <c r="W253" s="190"/>
      <c r="X253" s="191"/>
      <c r="Y253" s="186"/>
      <c r="Z253" s="192"/>
      <c r="AA253" s="97"/>
      <c r="AB253" s="193"/>
    </row>
    <row r="254" spans="1:28">
      <c r="A254" s="116"/>
      <c r="B254" s="116"/>
      <c r="C254" s="116">
        <v>2</v>
      </c>
      <c r="D254" s="3"/>
      <c r="E254" s="184"/>
      <c r="F254" s="214"/>
      <c r="G254" s="184"/>
      <c r="H254" s="184"/>
      <c r="I254" s="184"/>
      <c r="J254" s="184"/>
      <c r="K254" s="184"/>
      <c r="L254" s="184"/>
      <c r="M254" s="185"/>
      <c r="N254" s="185"/>
      <c r="O254" s="186"/>
      <c r="P254" s="187"/>
      <c r="Q254" s="187"/>
      <c r="R254" s="188"/>
      <c r="S254" s="188"/>
      <c r="T254" s="185"/>
      <c r="U254" s="185"/>
      <c r="V254" s="189"/>
      <c r="W254" s="190"/>
      <c r="X254" s="191"/>
      <c r="Y254" s="186"/>
      <c r="Z254" s="192"/>
      <c r="AA254" s="97"/>
      <c r="AB254" s="193"/>
    </row>
    <row r="255" spans="1:28">
      <c r="A255" s="116"/>
      <c r="B255" s="116"/>
      <c r="C255" s="116">
        <v>2</v>
      </c>
      <c r="D255" s="3"/>
      <c r="E255" s="184"/>
      <c r="F255" s="214"/>
      <c r="G255" s="184"/>
      <c r="H255" s="184"/>
      <c r="I255" s="184"/>
      <c r="J255" s="184"/>
      <c r="K255" s="184"/>
      <c r="L255" s="184"/>
      <c r="M255" s="185"/>
      <c r="N255" s="185"/>
      <c r="O255" s="186"/>
      <c r="P255" s="187"/>
      <c r="Q255" s="187"/>
      <c r="R255" s="188"/>
      <c r="S255" s="188"/>
      <c r="T255" s="185"/>
      <c r="U255" s="185"/>
      <c r="V255" s="189"/>
      <c r="W255" s="190"/>
      <c r="X255" s="191"/>
      <c r="Y255" s="186"/>
      <c r="Z255" s="192"/>
      <c r="AA255" s="97"/>
      <c r="AB255" s="193"/>
    </row>
    <row r="256" spans="1:28">
      <c r="A256" s="116"/>
      <c r="B256" s="116"/>
      <c r="C256" s="116">
        <v>2</v>
      </c>
      <c r="D256" s="3"/>
      <c r="E256" s="184"/>
      <c r="F256" s="214"/>
      <c r="G256" s="184"/>
      <c r="H256" s="184"/>
      <c r="I256" s="184"/>
      <c r="J256" s="184"/>
      <c r="K256" s="184"/>
      <c r="L256" s="184"/>
      <c r="M256" s="185"/>
      <c r="N256" s="185"/>
      <c r="O256" s="186"/>
      <c r="P256" s="187"/>
      <c r="Q256" s="187"/>
      <c r="R256" s="188"/>
      <c r="S256" s="188"/>
      <c r="T256" s="185"/>
      <c r="U256" s="185"/>
      <c r="V256" s="189"/>
      <c r="W256" s="190"/>
      <c r="X256" s="191"/>
      <c r="Y256" s="186"/>
      <c r="Z256" s="192"/>
      <c r="AA256" s="97"/>
      <c r="AB256" s="193"/>
    </row>
    <row r="257" spans="1:28">
      <c r="A257" s="116"/>
      <c r="B257" s="116"/>
      <c r="C257" s="116">
        <v>2</v>
      </c>
      <c r="D257" s="3"/>
      <c r="E257" s="184"/>
      <c r="F257" s="214"/>
      <c r="G257" s="184"/>
      <c r="H257" s="184"/>
      <c r="I257" s="184"/>
      <c r="J257" s="184"/>
      <c r="K257" s="184"/>
      <c r="L257" s="184"/>
      <c r="M257" s="185"/>
      <c r="N257" s="185"/>
      <c r="O257" s="186"/>
      <c r="P257" s="187"/>
      <c r="Q257" s="187"/>
      <c r="R257" s="188"/>
      <c r="S257" s="188"/>
      <c r="T257" s="185"/>
      <c r="U257" s="185"/>
      <c r="V257" s="189"/>
      <c r="W257" s="190"/>
      <c r="X257" s="191"/>
      <c r="Y257" s="186"/>
      <c r="Z257" s="192"/>
      <c r="AA257" s="97"/>
      <c r="AB257" s="193"/>
    </row>
    <row r="258" spans="1:28">
      <c r="A258" s="116"/>
      <c r="B258" s="116"/>
      <c r="C258" s="116">
        <v>2</v>
      </c>
      <c r="D258" s="3"/>
      <c r="E258" s="184"/>
      <c r="F258" s="214"/>
      <c r="G258" s="184"/>
      <c r="H258" s="184"/>
      <c r="I258" s="184"/>
      <c r="J258" s="184"/>
      <c r="K258" s="184"/>
      <c r="L258" s="184"/>
      <c r="M258" s="185"/>
      <c r="N258" s="185"/>
      <c r="O258" s="186"/>
      <c r="P258" s="187"/>
      <c r="Q258" s="187"/>
      <c r="R258" s="188"/>
      <c r="S258" s="188"/>
      <c r="T258" s="185"/>
      <c r="U258" s="185"/>
      <c r="V258" s="189"/>
      <c r="W258" s="190"/>
      <c r="X258" s="191"/>
      <c r="Y258" s="186"/>
      <c r="Z258" s="192"/>
      <c r="AA258" s="97"/>
      <c r="AB258" s="193"/>
    </row>
    <row r="259" spans="1:28">
      <c r="A259" s="116"/>
      <c r="B259" s="116"/>
      <c r="C259" s="116">
        <v>2</v>
      </c>
      <c r="D259" s="3"/>
      <c r="E259" s="184"/>
      <c r="F259" s="184"/>
      <c r="G259" s="184"/>
      <c r="H259" s="184"/>
      <c r="I259" s="184"/>
      <c r="J259" s="184"/>
      <c r="K259" s="184"/>
      <c r="L259" s="184"/>
      <c r="M259" s="185"/>
      <c r="N259" s="185"/>
      <c r="O259" s="186"/>
      <c r="P259" s="187"/>
      <c r="Q259" s="187"/>
      <c r="R259" s="188"/>
      <c r="S259" s="188"/>
      <c r="T259" s="185"/>
      <c r="U259" s="185"/>
      <c r="V259" s="189"/>
      <c r="W259" s="190"/>
      <c r="X259" s="191"/>
      <c r="Y259" s="186"/>
      <c r="Z259" s="192"/>
      <c r="AA259" s="97"/>
      <c r="AB259" s="193"/>
    </row>
    <row r="260" spans="1:28">
      <c r="A260" s="116"/>
      <c r="B260" s="116"/>
      <c r="C260" s="116">
        <v>2</v>
      </c>
      <c r="D260" s="3"/>
      <c r="E260" s="184"/>
      <c r="F260" s="184"/>
      <c r="G260" s="184"/>
      <c r="H260" s="184"/>
      <c r="I260" s="184"/>
      <c r="J260" s="184"/>
      <c r="K260" s="184"/>
      <c r="L260" s="184"/>
      <c r="M260" s="185"/>
      <c r="N260" s="185"/>
      <c r="O260" s="186"/>
      <c r="P260" s="187"/>
      <c r="Q260" s="187"/>
      <c r="R260" s="188"/>
      <c r="S260" s="188"/>
      <c r="T260" s="185"/>
      <c r="U260" s="185"/>
      <c r="V260" s="189"/>
      <c r="W260" s="190"/>
      <c r="X260" s="191"/>
      <c r="Y260" s="186"/>
      <c r="Z260" s="192"/>
      <c r="AA260" s="97"/>
      <c r="AB260" s="193"/>
    </row>
    <row r="261" spans="1:28">
      <c r="A261" s="116"/>
      <c r="B261" s="116"/>
      <c r="C261" s="116">
        <v>2</v>
      </c>
      <c r="D261" s="3"/>
      <c r="E261" s="184"/>
      <c r="F261" s="184"/>
      <c r="G261" s="184"/>
      <c r="H261" s="184"/>
      <c r="I261" s="184"/>
      <c r="J261" s="184"/>
      <c r="K261" s="184"/>
      <c r="L261" s="184"/>
      <c r="M261" s="185"/>
      <c r="N261" s="185"/>
      <c r="O261" s="186"/>
      <c r="P261" s="187"/>
      <c r="Q261" s="187"/>
      <c r="R261" s="188"/>
      <c r="S261" s="188"/>
      <c r="T261" s="185"/>
      <c r="U261" s="185"/>
      <c r="V261" s="189"/>
      <c r="W261" s="190"/>
      <c r="X261" s="191"/>
      <c r="Y261" s="186"/>
      <c r="Z261" s="192"/>
      <c r="AA261" s="97"/>
      <c r="AB261" s="193"/>
    </row>
    <row r="262" spans="1:28">
      <c r="A262" s="116"/>
      <c r="B262" s="116"/>
      <c r="C262" s="116">
        <v>2</v>
      </c>
      <c r="D262" s="3"/>
      <c r="E262" s="184"/>
      <c r="F262" s="184"/>
      <c r="G262" s="184"/>
      <c r="H262" s="184"/>
      <c r="I262" s="184"/>
      <c r="J262" s="184"/>
      <c r="K262" s="184"/>
      <c r="L262" s="184"/>
      <c r="M262" s="185"/>
      <c r="N262" s="185"/>
      <c r="O262" s="186"/>
      <c r="P262" s="187"/>
      <c r="Q262" s="187"/>
      <c r="R262" s="188"/>
      <c r="S262" s="188"/>
      <c r="T262" s="185"/>
      <c r="U262" s="185"/>
      <c r="V262" s="189"/>
      <c r="W262" s="190"/>
      <c r="X262" s="191"/>
      <c r="Y262" s="186"/>
      <c r="Z262" s="192"/>
      <c r="AA262" s="97"/>
      <c r="AB262" s="193"/>
    </row>
    <row r="263" spans="1:28">
      <c r="A263" s="194"/>
      <c r="B263" s="194"/>
      <c r="C263" s="194">
        <v>0</v>
      </c>
      <c r="D263" s="195"/>
      <c r="E263" s="196"/>
      <c r="F263" s="196"/>
      <c r="G263" s="196"/>
      <c r="H263" s="196"/>
      <c r="I263" s="196"/>
      <c r="J263" s="196"/>
      <c r="K263" s="196"/>
      <c r="L263" s="196"/>
      <c r="M263" s="197"/>
      <c r="N263" s="197"/>
      <c r="O263" s="198"/>
      <c r="P263" s="199"/>
      <c r="Q263" s="199"/>
      <c r="R263" s="200"/>
      <c r="S263" s="200"/>
      <c r="T263" s="197"/>
      <c r="U263" s="197"/>
      <c r="V263" s="201"/>
      <c r="W263" s="202"/>
      <c r="X263" s="203"/>
      <c r="Y263" s="198"/>
      <c r="Z263" s="204"/>
      <c r="AA263" s="205"/>
      <c r="AB263" s="206"/>
    </row>
    <row r="264" spans="1:28">
      <c r="A264" s="194"/>
      <c r="B264" s="194"/>
      <c r="C264" s="194"/>
      <c r="D264" s="195"/>
      <c r="E264" s="196"/>
      <c r="F264" s="196"/>
      <c r="G264" s="196"/>
      <c r="H264" s="196"/>
      <c r="I264" s="196"/>
      <c r="J264" s="196"/>
      <c r="K264" s="196"/>
      <c r="L264" s="196"/>
      <c r="M264" s="197"/>
      <c r="N264" s="197"/>
      <c r="O264" s="198"/>
      <c r="P264" s="199"/>
      <c r="Q264" s="199"/>
      <c r="R264" s="200"/>
      <c r="S264" s="200"/>
      <c r="T264" s="197"/>
      <c r="U264" s="197"/>
      <c r="V264" s="201"/>
      <c r="W264" s="202"/>
      <c r="X264" s="203"/>
      <c r="Y264" s="198"/>
      <c r="Z264" s="204"/>
      <c r="AA264" s="205"/>
      <c r="AB264" s="206"/>
    </row>
    <row r="265" spans="1:28">
      <c r="A265" s="116"/>
      <c r="B265" s="116"/>
      <c r="C265" s="116"/>
      <c r="D265" s="3"/>
      <c r="E265" s="184"/>
      <c r="F265" s="184"/>
      <c r="G265" s="184"/>
      <c r="H265" s="184"/>
      <c r="I265" s="184"/>
      <c r="J265" s="184"/>
      <c r="K265" s="184"/>
      <c r="L265" s="184"/>
      <c r="M265" s="185"/>
      <c r="N265" s="185"/>
      <c r="O265" s="186"/>
      <c r="P265" s="187"/>
      <c r="Q265" s="187"/>
      <c r="R265" s="188"/>
      <c r="S265" s="188"/>
      <c r="T265" s="185"/>
      <c r="U265" s="185"/>
      <c r="V265" s="189"/>
      <c r="W265" s="190"/>
      <c r="X265" s="191"/>
      <c r="Y265" s="186"/>
      <c r="Z265" s="192"/>
      <c r="AA265" s="97"/>
      <c r="AB265" s="193"/>
    </row>
    <row r="266" spans="1:28">
      <c r="A266" s="116"/>
      <c r="B266" s="116"/>
      <c r="C266" s="116"/>
      <c r="D266" s="3"/>
      <c r="E266" s="184"/>
      <c r="F266" s="184"/>
      <c r="G266" s="184"/>
      <c r="H266" s="184"/>
      <c r="I266" s="184"/>
      <c r="J266" s="184"/>
      <c r="K266" s="184"/>
      <c r="L266" s="184"/>
      <c r="M266" s="185"/>
      <c r="N266" s="185"/>
      <c r="O266" s="186"/>
      <c r="P266" s="187"/>
      <c r="Q266" s="187"/>
      <c r="R266" s="188"/>
      <c r="S266" s="188"/>
      <c r="T266" s="185"/>
      <c r="U266" s="185"/>
      <c r="V266" s="189"/>
      <c r="W266" s="190"/>
      <c r="X266" s="191"/>
      <c r="Y266" s="186"/>
      <c r="Z266" s="192"/>
      <c r="AA266" s="97"/>
      <c r="AB266" s="193"/>
    </row>
    <row r="267" spans="1:28">
      <c r="A267" s="116"/>
      <c r="B267" s="116"/>
      <c r="C267" s="116"/>
      <c r="D267" s="3"/>
      <c r="E267" s="184"/>
      <c r="F267" s="184"/>
      <c r="G267" s="184"/>
      <c r="H267" s="184"/>
      <c r="I267" s="184"/>
      <c r="J267" s="184"/>
      <c r="K267" s="184"/>
      <c r="L267" s="184"/>
      <c r="M267" s="185"/>
      <c r="N267" s="185"/>
      <c r="O267" s="186"/>
      <c r="P267" s="187"/>
      <c r="Q267" s="187"/>
      <c r="R267" s="188"/>
      <c r="S267" s="188"/>
      <c r="T267" s="185"/>
      <c r="U267" s="185"/>
      <c r="V267" s="189"/>
      <c r="W267" s="190"/>
      <c r="X267" s="191"/>
      <c r="Y267" s="186"/>
      <c r="Z267" s="192"/>
      <c r="AA267" s="97"/>
      <c r="AB267" s="193"/>
    </row>
    <row r="268" spans="1:28">
      <c r="A268" s="116"/>
      <c r="B268" s="116"/>
      <c r="C268" s="116"/>
      <c r="D268" s="3"/>
      <c r="E268" s="184"/>
      <c r="F268" s="184"/>
      <c r="G268" s="184"/>
      <c r="H268" s="184"/>
      <c r="I268" s="184"/>
      <c r="J268" s="184"/>
      <c r="K268" s="184"/>
      <c r="L268" s="184"/>
      <c r="M268" s="185"/>
      <c r="N268" s="185"/>
      <c r="O268" s="186"/>
      <c r="P268" s="187"/>
      <c r="Q268" s="187"/>
      <c r="R268" s="188"/>
      <c r="S268" s="188"/>
      <c r="T268" s="185"/>
      <c r="U268" s="185"/>
      <c r="V268" s="189"/>
      <c r="W268" s="190"/>
      <c r="X268" s="191"/>
      <c r="Y268" s="186"/>
      <c r="Z268" s="192"/>
      <c r="AA268" s="97"/>
      <c r="AB268" s="193"/>
    </row>
    <row r="269" spans="1:28">
      <c r="A269" s="116"/>
      <c r="B269" s="116"/>
      <c r="C269" s="116"/>
      <c r="D269" s="3"/>
      <c r="E269" s="184"/>
      <c r="F269" s="184"/>
      <c r="G269" s="184"/>
      <c r="H269" s="184"/>
      <c r="I269" s="184"/>
      <c r="J269" s="184"/>
      <c r="K269" s="184"/>
      <c r="L269" s="184"/>
      <c r="M269" s="185"/>
      <c r="N269" s="185"/>
      <c r="O269" s="186"/>
      <c r="P269" s="187"/>
      <c r="Q269" s="187"/>
      <c r="R269" s="188"/>
      <c r="S269" s="188"/>
      <c r="T269" s="185"/>
      <c r="U269" s="185"/>
      <c r="V269" s="189"/>
      <c r="W269" s="190"/>
      <c r="X269" s="191"/>
      <c r="Y269" s="186"/>
      <c r="Z269" s="192"/>
      <c r="AA269" s="97"/>
      <c r="AB269" s="193"/>
    </row>
    <row r="270" spans="1:28">
      <c r="A270" s="116"/>
      <c r="B270" s="116"/>
      <c r="C270" s="116"/>
      <c r="D270" s="3"/>
      <c r="E270" s="184"/>
      <c r="F270" s="184"/>
      <c r="G270" s="184"/>
      <c r="H270" s="184"/>
      <c r="I270" s="184"/>
      <c r="J270" s="184"/>
      <c r="K270" s="184"/>
      <c r="L270" s="184"/>
      <c r="M270" s="185"/>
      <c r="N270" s="185"/>
      <c r="O270" s="186"/>
      <c r="P270" s="187"/>
      <c r="Q270" s="187"/>
      <c r="R270" s="188"/>
      <c r="S270" s="188"/>
      <c r="T270" s="185"/>
      <c r="U270" s="185"/>
      <c r="V270" s="189"/>
      <c r="W270" s="190"/>
      <c r="X270" s="191"/>
      <c r="Y270" s="186"/>
      <c r="Z270" s="192"/>
      <c r="AA270" s="97"/>
      <c r="AB270" s="193"/>
    </row>
    <row r="271" spans="1:28">
      <c r="A271" s="116"/>
      <c r="B271" s="116"/>
      <c r="C271" s="116"/>
      <c r="D271" s="3"/>
      <c r="E271" s="184"/>
      <c r="F271" s="184"/>
      <c r="G271" s="184"/>
      <c r="H271" s="184"/>
      <c r="I271" s="184"/>
      <c r="J271" s="184"/>
      <c r="K271" s="184"/>
      <c r="L271" s="184"/>
      <c r="M271" s="185"/>
      <c r="N271" s="185"/>
      <c r="O271" s="186"/>
      <c r="P271" s="187"/>
      <c r="Q271" s="187"/>
      <c r="R271" s="188"/>
      <c r="S271" s="188"/>
      <c r="T271" s="185"/>
      <c r="U271" s="185"/>
      <c r="V271" s="189"/>
      <c r="W271" s="190"/>
      <c r="X271" s="191"/>
      <c r="Y271" s="186"/>
      <c r="Z271" s="192"/>
      <c r="AA271" s="97"/>
      <c r="AB271" s="193"/>
    </row>
    <row r="272" spans="1:28">
      <c r="A272" s="116"/>
      <c r="B272" s="116"/>
      <c r="C272" s="116"/>
      <c r="D272" s="3"/>
      <c r="E272" s="184"/>
      <c r="F272" s="184"/>
      <c r="G272" s="184"/>
      <c r="H272" s="184"/>
      <c r="I272" s="184"/>
      <c r="J272" s="184"/>
      <c r="K272" s="184"/>
      <c r="L272" s="184"/>
      <c r="M272" s="185"/>
      <c r="N272" s="185"/>
      <c r="O272" s="186"/>
      <c r="P272" s="187"/>
      <c r="Q272" s="187"/>
      <c r="R272" s="188"/>
      <c r="S272" s="188"/>
      <c r="T272" s="185"/>
      <c r="U272" s="185"/>
      <c r="V272" s="189"/>
      <c r="W272" s="190"/>
      <c r="X272" s="191"/>
      <c r="Y272" s="186"/>
      <c r="Z272" s="192"/>
      <c r="AA272" s="97"/>
      <c r="AB272" s="193"/>
    </row>
    <row r="273" spans="1:28">
      <c r="A273" s="116"/>
      <c r="B273" s="116"/>
      <c r="C273" s="116"/>
      <c r="D273" s="3"/>
      <c r="E273" s="184"/>
      <c r="F273" s="184"/>
      <c r="G273" s="184"/>
      <c r="H273" s="184"/>
      <c r="I273" s="184"/>
      <c r="J273" s="184"/>
      <c r="K273" s="184"/>
      <c r="L273" s="184"/>
      <c r="M273" s="185"/>
      <c r="N273" s="185"/>
      <c r="O273" s="186"/>
      <c r="P273" s="187"/>
      <c r="Q273" s="187"/>
      <c r="R273" s="188"/>
      <c r="S273" s="188"/>
      <c r="T273" s="185"/>
      <c r="U273" s="185"/>
      <c r="V273" s="189"/>
      <c r="W273" s="190"/>
      <c r="X273" s="191"/>
      <c r="Y273" s="186"/>
      <c r="Z273" s="192"/>
      <c r="AA273" s="97"/>
      <c r="AB273" s="193"/>
    </row>
    <row r="274" spans="1:28">
      <c r="A274" s="116"/>
      <c r="B274" s="116"/>
      <c r="C274" s="116"/>
      <c r="D274" s="3"/>
      <c r="E274" s="184"/>
      <c r="F274" s="184"/>
      <c r="G274" s="184"/>
      <c r="H274" s="184"/>
      <c r="I274" s="184"/>
      <c r="J274" s="184"/>
      <c r="K274" s="184"/>
      <c r="L274" s="184"/>
      <c r="M274" s="185"/>
      <c r="N274" s="185"/>
      <c r="O274" s="186"/>
      <c r="P274" s="187"/>
      <c r="Q274" s="187"/>
      <c r="R274" s="188"/>
      <c r="S274" s="188"/>
      <c r="T274" s="185"/>
      <c r="U274" s="185"/>
      <c r="V274" s="189"/>
      <c r="W274" s="190"/>
      <c r="X274" s="191"/>
      <c r="Y274" s="186"/>
      <c r="Z274" s="192"/>
      <c r="AA274" s="97"/>
      <c r="AB274" s="193"/>
    </row>
    <row r="275" spans="1:28">
      <c r="A275" s="116"/>
      <c r="B275" s="116"/>
      <c r="C275" s="116"/>
      <c r="D275" s="3"/>
      <c r="E275" s="184"/>
      <c r="F275" s="184"/>
      <c r="G275" s="184"/>
      <c r="H275" s="184"/>
      <c r="I275" s="184"/>
      <c r="J275" s="184"/>
      <c r="K275" s="184"/>
      <c r="L275" s="184"/>
      <c r="M275" s="185"/>
      <c r="N275" s="185"/>
      <c r="O275" s="186"/>
      <c r="P275" s="187"/>
      <c r="Q275" s="187"/>
      <c r="R275" s="188"/>
      <c r="S275" s="188"/>
      <c r="T275" s="185"/>
      <c r="U275" s="185"/>
      <c r="V275" s="189"/>
      <c r="W275" s="190"/>
      <c r="X275" s="191"/>
      <c r="Y275" s="186"/>
      <c r="Z275" s="192"/>
      <c r="AA275" s="97"/>
      <c r="AB275" s="193"/>
    </row>
    <row r="276" spans="1:28">
      <c r="A276" s="116"/>
      <c r="B276" s="116"/>
      <c r="C276" s="116"/>
      <c r="D276" s="3"/>
      <c r="E276" s="184"/>
      <c r="F276" s="184"/>
      <c r="G276" s="184"/>
      <c r="H276" s="184"/>
      <c r="I276" s="184"/>
      <c r="J276" s="184"/>
      <c r="K276" s="184"/>
      <c r="L276" s="184"/>
      <c r="M276" s="185"/>
      <c r="N276" s="185"/>
      <c r="O276" s="186"/>
      <c r="P276" s="187"/>
      <c r="Q276" s="187"/>
      <c r="R276" s="188"/>
      <c r="S276" s="188"/>
      <c r="T276" s="185"/>
      <c r="U276" s="185"/>
      <c r="V276" s="189"/>
      <c r="W276" s="190"/>
      <c r="X276" s="191"/>
      <c r="Y276" s="186"/>
      <c r="Z276" s="192"/>
      <c r="AA276" s="97"/>
      <c r="AB276" s="193"/>
    </row>
    <row r="277" spans="1:28">
      <c r="A277" s="116"/>
      <c r="B277" s="116"/>
      <c r="C277" s="116"/>
      <c r="D277" s="3"/>
      <c r="E277" s="184"/>
      <c r="F277" s="184"/>
      <c r="G277" s="184"/>
      <c r="H277" s="184"/>
      <c r="I277" s="184"/>
      <c r="J277" s="184"/>
      <c r="K277" s="184"/>
      <c r="L277" s="184"/>
      <c r="M277" s="185"/>
      <c r="N277" s="185"/>
      <c r="O277" s="186"/>
      <c r="P277" s="187"/>
      <c r="Q277" s="187"/>
      <c r="R277" s="188"/>
      <c r="S277" s="188"/>
      <c r="T277" s="185"/>
      <c r="U277" s="185"/>
      <c r="V277" s="189"/>
      <c r="W277" s="190"/>
      <c r="X277" s="191"/>
      <c r="Y277" s="186"/>
      <c r="Z277" s="192"/>
      <c r="AA277" s="97"/>
      <c r="AB277" s="193"/>
    </row>
    <row r="278" spans="1:28">
      <c r="A278" s="116"/>
      <c r="B278" s="116"/>
      <c r="C278" s="116"/>
      <c r="D278" s="3"/>
      <c r="E278" s="184"/>
      <c r="F278" s="184"/>
      <c r="G278" s="184"/>
      <c r="H278" s="184"/>
      <c r="I278" s="184"/>
      <c r="J278" s="184"/>
      <c r="K278" s="184"/>
      <c r="L278" s="184"/>
      <c r="M278" s="185"/>
      <c r="N278" s="185"/>
      <c r="O278" s="186"/>
      <c r="P278" s="187"/>
      <c r="Q278" s="187"/>
      <c r="R278" s="188"/>
      <c r="S278" s="188"/>
      <c r="T278" s="185"/>
      <c r="U278" s="185"/>
      <c r="V278" s="189"/>
      <c r="W278" s="190"/>
      <c r="X278" s="191"/>
      <c r="Y278" s="186"/>
      <c r="Z278" s="192"/>
      <c r="AA278" s="97"/>
      <c r="AB278" s="193"/>
    </row>
    <row r="279" spans="1:28">
      <c r="A279" s="116"/>
      <c r="B279" s="116"/>
      <c r="C279" s="116"/>
      <c r="D279" s="3"/>
      <c r="E279" s="184"/>
      <c r="F279" s="184"/>
      <c r="G279" s="184"/>
      <c r="H279" s="184"/>
      <c r="I279" s="184"/>
      <c r="J279" s="184"/>
      <c r="K279" s="184"/>
      <c r="L279" s="184"/>
      <c r="M279" s="185"/>
      <c r="N279" s="185"/>
      <c r="O279" s="186"/>
      <c r="P279" s="187"/>
      <c r="Q279" s="187"/>
      <c r="R279" s="188"/>
      <c r="S279" s="188"/>
      <c r="T279" s="185"/>
      <c r="U279" s="185"/>
      <c r="V279" s="189"/>
      <c r="W279" s="190"/>
      <c r="X279" s="191"/>
      <c r="Y279" s="186"/>
      <c r="Z279" s="192"/>
      <c r="AA279" s="97"/>
      <c r="AB279" s="193"/>
    </row>
    <row r="280" spans="1:28">
      <c r="A280" s="116"/>
      <c r="B280" s="116"/>
      <c r="C280" s="116"/>
      <c r="D280" s="3"/>
      <c r="E280" s="184"/>
      <c r="F280" s="184"/>
      <c r="G280" s="184"/>
      <c r="H280" s="184"/>
      <c r="I280" s="184"/>
      <c r="J280" s="184"/>
      <c r="K280" s="184"/>
      <c r="L280" s="184"/>
      <c r="M280" s="185"/>
      <c r="N280" s="185"/>
      <c r="O280" s="186"/>
      <c r="P280" s="187"/>
      <c r="Q280" s="187"/>
      <c r="R280" s="188"/>
      <c r="S280" s="188"/>
      <c r="T280" s="185"/>
      <c r="U280" s="185"/>
      <c r="V280" s="189"/>
      <c r="W280" s="190"/>
      <c r="X280" s="191"/>
      <c r="Y280" s="186"/>
      <c r="Z280" s="192"/>
      <c r="AA280" s="97"/>
      <c r="AB280" s="193"/>
    </row>
    <row r="281" spans="1:28">
      <c r="A281" s="116"/>
      <c r="B281" s="116"/>
      <c r="C281" s="116"/>
      <c r="D281" s="3"/>
      <c r="E281" s="184"/>
      <c r="F281" s="184"/>
      <c r="G281" s="184"/>
      <c r="H281" s="184"/>
      <c r="I281" s="184"/>
      <c r="J281" s="184"/>
      <c r="K281" s="184"/>
      <c r="L281" s="184"/>
      <c r="M281" s="185"/>
      <c r="N281" s="185"/>
      <c r="O281" s="186"/>
      <c r="P281" s="187"/>
      <c r="Q281" s="187"/>
      <c r="R281" s="188"/>
      <c r="S281" s="188"/>
      <c r="T281" s="185"/>
      <c r="U281" s="185"/>
      <c r="V281" s="189"/>
      <c r="W281" s="190"/>
      <c r="X281" s="191"/>
      <c r="Y281" s="186"/>
      <c r="Z281" s="192"/>
      <c r="AA281" s="97"/>
      <c r="AB281" s="193"/>
    </row>
    <row r="282" spans="1:28">
      <c r="A282" s="116"/>
      <c r="B282" s="116"/>
      <c r="C282" s="116"/>
      <c r="D282" s="3"/>
      <c r="E282" s="184"/>
      <c r="F282" s="184"/>
      <c r="G282" s="184"/>
      <c r="H282" s="184"/>
      <c r="I282" s="184"/>
      <c r="J282" s="184"/>
      <c r="K282" s="184"/>
      <c r="L282" s="184"/>
      <c r="M282" s="185"/>
      <c r="N282" s="185"/>
      <c r="O282" s="186"/>
      <c r="P282" s="187"/>
      <c r="Q282" s="187"/>
      <c r="R282" s="188"/>
      <c r="S282" s="188"/>
      <c r="T282" s="185"/>
      <c r="U282" s="185"/>
      <c r="V282" s="189"/>
      <c r="W282" s="190"/>
      <c r="X282" s="191"/>
      <c r="Y282" s="186"/>
      <c r="Z282" s="192"/>
      <c r="AA282" s="97"/>
      <c r="AB282" s="193"/>
    </row>
    <row r="283" spans="1:28">
      <c r="A283" s="116"/>
      <c r="B283" s="116"/>
      <c r="C283" s="116"/>
      <c r="D283" s="3"/>
      <c r="E283" s="184"/>
      <c r="F283" s="184"/>
      <c r="G283" s="184"/>
      <c r="H283" s="184"/>
      <c r="I283" s="184"/>
      <c r="J283" s="184"/>
      <c r="K283" s="184"/>
      <c r="L283" s="184"/>
      <c r="M283" s="185"/>
      <c r="N283" s="185"/>
      <c r="O283" s="186"/>
      <c r="P283" s="187"/>
      <c r="Q283" s="187"/>
      <c r="R283" s="188"/>
      <c r="S283" s="188"/>
      <c r="T283" s="185"/>
      <c r="U283" s="185"/>
      <c r="V283" s="189"/>
      <c r="W283" s="190"/>
      <c r="X283" s="191"/>
      <c r="Y283" s="186"/>
      <c r="Z283" s="192"/>
      <c r="AA283" s="97"/>
      <c r="AB283" s="193"/>
    </row>
    <row r="284" spans="1:28">
      <c r="A284" s="116"/>
      <c r="B284" s="116"/>
      <c r="C284" s="116"/>
      <c r="D284" s="3"/>
      <c r="E284" s="184"/>
      <c r="F284" s="184"/>
      <c r="G284" s="184"/>
      <c r="H284" s="184"/>
      <c r="I284" s="184"/>
      <c r="J284" s="184"/>
      <c r="K284" s="184"/>
      <c r="L284" s="184"/>
      <c r="M284" s="185"/>
      <c r="N284" s="185"/>
      <c r="O284" s="186"/>
      <c r="P284" s="187"/>
      <c r="Q284" s="187"/>
      <c r="R284" s="188"/>
      <c r="S284" s="188"/>
      <c r="T284" s="185"/>
      <c r="U284" s="185"/>
      <c r="V284" s="189"/>
      <c r="W284" s="190"/>
      <c r="X284" s="191"/>
      <c r="Y284" s="186"/>
      <c r="Z284" s="192"/>
      <c r="AA284" s="97"/>
      <c r="AB284" s="193"/>
    </row>
    <row r="285" spans="1:28">
      <c r="A285" s="116"/>
      <c r="B285" s="116"/>
      <c r="C285" s="116"/>
      <c r="D285" s="3"/>
      <c r="E285" s="184"/>
      <c r="F285" s="184"/>
      <c r="G285" s="184"/>
      <c r="H285" s="184"/>
      <c r="I285" s="184"/>
      <c r="J285" s="184"/>
      <c r="K285" s="184"/>
      <c r="L285" s="184"/>
      <c r="M285" s="185"/>
      <c r="N285" s="185"/>
      <c r="O285" s="186"/>
      <c r="P285" s="187"/>
      <c r="Q285" s="187"/>
      <c r="R285" s="188"/>
      <c r="S285" s="188"/>
      <c r="T285" s="185"/>
      <c r="U285" s="185"/>
      <c r="V285" s="189"/>
      <c r="W285" s="190"/>
      <c r="X285" s="191"/>
      <c r="Y285" s="186"/>
      <c r="Z285" s="192"/>
      <c r="AA285" s="97"/>
      <c r="AB285" s="193"/>
    </row>
    <row r="286" spans="1:28">
      <c r="A286" s="116"/>
      <c r="B286" s="116"/>
      <c r="C286" s="116"/>
      <c r="D286" s="3"/>
      <c r="E286" s="184"/>
      <c r="F286" s="184"/>
      <c r="G286" s="184"/>
      <c r="H286" s="184"/>
      <c r="I286" s="184"/>
      <c r="J286" s="184"/>
      <c r="K286" s="184"/>
      <c r="L286" s="184"/>
      <c r="M286" s="185"/>
      <c r="N286" s="185"/>
      <c r="O286" s="186"/>
      <c r="P286" s="187"/>
      <c r="Q286" s="187"/>
      <c r="R286" s="188"/>
      <c r="S286" s="188"/>
      <c r="T286" s="185"/>
      <c r="U286" s="185"/>
      <c r="V286" s="189"/>
      <c r="W286" s="190"/>
      <c r="X286" s="191"/>
      <c r="Y286" s="186"/>
      <c r="Z286" s="192"/>
      <c r="AA286" s="97"/>
      <c r="AB286" s="193"/>
    </row>
    <row r="287" spans="1:28">
      <c r="A287" s="116"/>
      <c r="B287" s="116"/>
      <c r="C287" s="116"/>
      <c r="D287" s="3"/>
      <c r="E287" s="184"/>
      <c r="F287" s="184"/>
      <c r="G287" s="184"/>
      <c r="H287" s="184"/>
      <c r="I287" s="184"/>
      <c r="J287" s="184"/>
      <c r="K287" s="184"/>
      <c r="L287" s="184"/>
      <c r="M287" s="185"/>
      <c r="N287" s="185"/>
      <c r="O287" s="186"/>
      <c r="P287" s="187"/>
      <c r="Q287" s="187"/>
      <c r="R287" s="188"/>
      <c r="S287" s="188"/>
      <c r="T287" s="185"/>
      <c r="U287" s="185"/>
      <c r="V287" s="189"/>
      <c r="W287" s="190"/>
      <c r="X287" s="191"/>
      <c r="Y287" s="186"/>
      <c r="Z287" s="192"/>
      <c r="AA287" s="97"/>
      <c r="AB287" s="193"/>
    </row>
    <row r="288" spans="1:28">
      <c r="A288" s="116"/>
      <c r="B288" s="116"/>
      <c r="C288" s="116"/>
      <c r="D288" s="3"/>
      <c r="E288" s="184"/>
      <c r="F288" s="184"/>
      <c r="G288" s="184"/>
      <c r="H288" s="184"/>
      <c r="I288" s="184"/>
      <c r="J288" s="184"/>
      <c r="K288" s="184"/>
      <c r="L288" s="184"/>
      <c r="M288" s="185"/>
      <c r="N288" s="185"/>
      <c r="O288" s="186"/>
      <c r="P288" s="187"/>
      <c r="Q288" s="187"/>
      <c r="R288" s="188"/>
      <c r="S288" s="188"/>
      <c r="T288" s="185"/>
      <c r="U288" s="185"/>
      <c r="V288" s="189"/>
      <c r="W288" s="190"/>
      <c r="X288" s="191"/>
      <c r="Y288" s="186"/>
      <c r="Z288" s="192"/>
      <c r="AA288" s="97"/>
      <c r="AB288" s="193"/>
    </row>
    <row r="289" spans="1:28">
      <c r="A289" s="116"/>
      <c r="B289" s="116"/>
      <c r="C289" s="116"/>
      <c r="D289" s="3"/>
      <c r="E289" s="184"/>
      <c r="F289" s="184"/>
      <c r="G289" s="184"/>
      <c r="H289" s="184"/>
      <c r="I289" s="184"/>
      <c r="J289" s="184"/>
      <c r="K289" s="184"/>
      <c r="L289" s="184"/>
      <c r="M289" s="185"/>
      <c r="N289" s="185"/>
      <c r="O289" s="186"/>
      <c r="P289" s="187"/>
      <c r="Q289" s="187"/>
      <c r="R289" s="188"/>
      <c r="S289" s="188"/>
      <c r="T289" s="185"/>
      <c r="U289" s="185"/>
      <c r="V289" s="189"/>
      <c r="W289" s="190"/>
      <c r="X289" s="191"/>
      <c r="Y289" s="186"/>
      <c r="Z289" s="192"/>
      <c r="AA289" s="97"/>
      <c r="AB289" s="193"/>
    </row>
    <row r="290" spans="1:28">
      <c r="A290" s="116"/>
      <c r="B290" s="116"/>
      <c r="C290" s="116"/>
      <c r="D290" s="3"/>
      <c r="E290" s="184"/>
      <c r="F290" s="184"/>
      <c r="G290" s="184"/>
      <c r="H290" s="184"/>
      <c r="I290" s="184"/>
      <c r="J290" s="184"/>
      <c r="K290" s="184"/>
      <c r="L290" s="184"/>
      <c r="M290" s="185"/>
      <c r="N290" s="185"/>
      <c r="O290" s="186"/>
      <c r="P290" s="187"/>
      <c r="Q290" s="187"/>
      <c r="R290" s="188"/>
      <c r="S290" s="188"/>
      <c r="T290" s="185"/>
      <c r="U290" s="185"/>
      <c r="V290" s="189"/>
      <c r="W290" s="190"/>
      <c r="X290" s="191"/>
      <c r="Y290" s="186"/>
      <c r="Z290" s="192"/>
      <c r="AA290" s="97"/>
      <c r="AB290" s="193"/>
    </row>
    <row r="291" spans="1:28">
      <c r="A291" s="116"/>
      <c r="B291" s="116"/>
      <c r="C291" s="116"/>
      <c r="D291" s="3"/>
      <c r="E291" s="184"/>
      <c r="F291" s="184"/>
      <c r="G291" s="184"/>
      <c r="H291" s="184"/>
      <c r="I291" s="184"/>
      <c r="J291" s="184"/>
      <c r="K291" s="184"/>
      <c r="L291" s="184"/>
      <c r="M291" s="185"/>
      <c r="N291" s="185"/>
      <c r="O291" s="186"/>
      <c r="P291" s="187"/>
      <c r="Q291" s="187"/>
      <c r="R291" s="188"/>
      <c r="S291" s="188"/>
      <c r="T291" s="185"/>
      <c r="U291" s="185"/>
      <c r="V291" s="189"/>
      <c r="W291" s="190"/>
      <c r="X291" s="191"/>
      <c r="Y291" s="186"/>
      <c r="Z291" s="192"/>
      <c r="AA291" s="97"/>
      <c r="AB291" s="193"/>
    </row>
    <row r="292" spans="1:28">
      <c r="A292" s="116"/>
      <c r="B292" s="116"/>
      <c r="C292" s="116"/>
      <c r="D292" s="3"/>
      <c r="E292" s="184"/>
      <c r="F292" s="184"/>
      <c r="G292" s="184"/>
      <c r="H292" s="184"/>
      <c r="I292" s="184"/>
      <c r="J292" s="184"/>
      <c r="K292" s="184"/>
      <c r="L292" s="184"/>
      <c r="M292" s="185"/>
      <c r="N292" s="185"/>
      <c r="O292" s="186"/>
      <c r="P292" s="187"/>
      <c r="Q292" s="187"/>
      <c r="R292" s="188"/>
      <c r="S292" s="188"/>
      <c r="T292" s="185"/>
      <c r="U292" s="185"/>
      <c r="V292" s="189"/>
      <c r="W292" s="190"/>
      <c r="X292" s="191"/>
      <c r="Y292" s="186"/>
      <c r="Z292" s="192"/>
      <c r="AA292" s="97"/>
      <c r="AB292" s="193"/>
    </row>
    <row r="293" spans="1:28">
      <c r="A293" s="116"/>
      <c r="B293" s="116"/>
      <c r="C293" s="116"/>
      <c r="D293" s="3"/>
      <c r="E293" s="184"/>
      <c r="F293" s="184"/>
      <c r="G293" s="184"/>
      <c r="H293" s="184"/>
      <c r="I293" s="184"/>
      <c r="J293" s="184"/>
      <c r="K293" s="184"/>
      <c r="L293" s="184"/>
      <c r="M293" s="185"/>
      <c r="N293" s="185"/>
      <c r="O293" s="186"/>
      <c r="P293" s="187"/>
      <c r="Q293" s="187"/>
      <c r="R293" s="188"/>
      <c r="S293" s="188"/>
      <c r="T293" s="185"/>
      <c r="U293" s="185"/>
      <c r="V293" s="189"/>
      <c r="W293" s="190"/>
      <c r="X293" s="191"/>
      <c r="Y293" s="186"/>
      <c r="Z293" s="192"/>
      <c r="AA293" s="97"/>
      <c r="AB293" s="193"/>
    </row>
    <row r="294" spans="1:28">
      <c r="A294" s="169"/>
      <c r="B294" s="169"/>
      <c r="C294" s="169"/>
      <c r="D294" s="170"/>
      <c r="E294" s="171"/>
      <c r="F294" s="171"/>
      <c r="G294" s="171"/>
      <c r="H294" s="171"/>
      <c r="I294" s="171"/>
      <c r="J294" s="171"/>
      <c r="K294" s="171"/>
      <c r="L294" s="171"/>
      <c r="M294" s="172"/>
      <c r="N294" s="172"/>
      <c r="O294" s="173"/>
      <c r="P294" s="174"/>
      <c r="Q294" s="174"/>
      <c r="R294" s="175"/>
      <c r="S294" s="175"/>
      <c r="T294" s="172"/>
      <c r="U294" s="172"/>
      <c r="V294" s="176"/>
      <c r="W294" s="177"/>
      <c r="X294" s="178"/>
      <c r="Y294" s="173"/>
      <c r="Z294" s="179"/>
      <c r="AA294" s="180"/>
      <c r="AB294" s="181"/>
    </row>
  </sheetData>
  <sheetProtection formatCells="0" formatColumns="0" formatRows="0" insertColumns="0" insertRows="0" insertHyperlinks="0" deleteColumns="0" deleteRows="0" sort="0" autoFilter="0" pivotTables="0"/>
  <dataConsolidate/>
  <mergeCells count="26">
    <mergeCell ref="AC3:AF3"/>
    <mergeCell ref="Q3:Q4"/>
    <mergeCell ref="R3:R4"/>
    <mergeCell ref="S3:S4"/>
    <mergeCell ref="Y3:Y4"/>
    <mergeCell ref="AB3:AB4"/>
    <mergeCell ref="T3:T4"/>
    <mergeCell ref="U3:U4"/>
    <mergeCell ref="V3:V4"/>
    <mergeCell ref="W3:W4"/>
    <mergeCell ref="X3:X4"/>
    <mergeCell ref="AA3:AA4"/>
    <mergeCell ref="AC1:CA1"/>
    <mergeCell ref="AG3:AJ3"/>
    <mergeCell ref="A3:A4"/>
    <mergeCell ref="B3:B4"/>
    <mergeCell ref="C3:C4"/>
    <mergeCell ref="D3:D4"/>
    <mergeCell ref="E3:K4"/>
    <mergeCell ref="D2:F2"/>
    <mergeCell ref="L3:L4"/>
    <mergeCell ref="M3:M4"/>
    <mergeCell ref="N3:N4"/>
    <mergeCell ref="Z3:Z4"/>
    <mergeCell ref="O3:O4"/>
    <mergeCell ref="P3:P4"/>
  </mergeCells>
  <phoneticPr fontId="8" type="noConversion"/>
  <conditionalFormatting sqref="D5:AB48">
    <cfRule type="expression" dxfId="1" priority="2">
      <formula>($B5="G")</formula>
    </cfRule>
    <cfRule type="expression" dxfId="0" priority="1">
      <formula>($AB5=1)</formula>
    </cfRule>
  </conditionalFormatting>
  <hyperlinks>
    <hyperlink ref="AC1:CA1" r:id="rId1" display="http://xlworks.net/" xr:uid="{6D4D5689-CE04-486D-B76A-0FD2901D9A90}"/>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7.049999999999997" customHeight="1">
      <c r="A1" s="17" t="s">
        <v>1061</v>
      </c>
      <c r="B1" s="18"/>
      <c r="C1" s="18"/>
      <c r="D1" s="18"/>
      <c r="E1" s="18"/>
      <c r="F1" s="18"/>
      <c r="G1" s="18"/>
      <c r="H1" s="18"/>
      <c r="I1" s="18"/>
      <c r="J1" s="18"/>
      <c r="K1" s="18"/>
      <c r="L1" s="241"/>
      <c r="M1" s="242"/>
      <c r="N1" s="242"/>
      <c r="O1" s="19"/>
      <c r="P1" s="19"/>
      <c r="Q1" s="19"/>
    </row>
    <row r="2" spans="1:17" s="23" customFormat="1" ht="13.8">
      <c r="A2" s="21" t="s">
        <v>1064</v>
      </c>
      <c r="B2" s="22"/>
    </row>
    <row r="3" spans="1:17" s="23" customFormat="1" ht="13.8">
      <c r="A3" s="21" t="s">
        <v>1065</v>
      </c>
      <c r="B3" s="22"/>
    </row>
    <row r="4" spans="1:17" s="23" customFormat="1" ht="13.8">
      <c r="A4" s="243"/>
      <c r="B4" s="243"/>
      <c r="C4" s="24"/>
      <c r="D4" s="25"/>
      <c r="E4" s="25"/>
      <c r="F4" s="25"/>
    </row>
    <row r="5" spans="1:17" s="31" customFormat="1" ht="13.8">
      <c r="A5" s="26"/>
      <c r="B5" s="27"/>
      <c r="C5" s="28"/>
      <c r="D5" s="29"/>
      <c r="E5" s="30"/>
      <c r="F5" s="30"/>
      <c r="G5" s="30"/>
    </row>
    <row r="6" spans="1:17" s="31" customFormat="1" ht="13.8">
      <c r="A6" s="32" t="s">
        <v>1066</v>
      </c>
      <c r="B6" s="33">
        <v>42</v>
      </c>
      <c r="C6" s="31" t="s">
        <v>0</v>
      </c>
      <c r="D6" s="240" t="s">
        <v>1067</v>
      </c>
      <c r="E6" s="240"/>
      <c r="F6" s="240"/>
      <c r="G6" s="240"/>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1068</v>
      </c>
      <c r="B9" s="33">
        <v>0</v>
      </c>
      <c r="C9" s="31" t="s">
        <v>0</v>
      </c>
      <c r="D9" s="239" t="s">
        <v>1069</v>
      </c>
      <c r="E9" s="239"/>
      <c r="F9" s="239"/>
      <c r="G9" s="239"/>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1062</v>
      </c>
      <c r="B12" s="33">
        <v>0</v>
      </c>
      <c r="C12" s="31" t="s">
        <v>0</v>
      </c>
      <c r="D12" s="239" t="s">
        <v>1063</v>
      </c>
      <c r="E12" s="239"/>
      <c r="F12" s="239"/>
      <c r="G12" s="239"/>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1062</v>
      </c>
      <c r="B15" s="33"/>
      <c r="C15" s="31" t="s">
        <v>0</v>
      </c>
      <c r="D15" s="239" t="s">
        <v>1070</v>
      </c>
      <c r="E15" s="239"/>
      <c r="F15" s="239"/>
      <c r="G15" s="239"/>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1071</v>
      </c>
      <c r="B18" s="55">
        <v>0</v>
      </c>
      <c r="D18" s="239" t="s">
        <v>1072</v>
      </c>
      <c r="E18" s="239"/>
      <c r="F18" s="239"/>
      <c r="G18" s="239"/>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1073</v>
      </c>
      <c r="B21" s="55">
        <v>0</v>
      </c>
      <c r="D21" s="239" t="s">
        <v>1074</v>
      </c>
      <c r="E21" s="239"/>
      <c r="F21" s="239"/>
      <c r="G21" s="239"/>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1075</v>
      </c>
      <c r="B24" s="65">
        <f>ACTUAL_RATE-PLANNED_RATE</f>
        <v>0</v>
      </c>
      <c r="D24" s="240" t="s">
        <v>1076</v>
      </c>
      <c r="E24" s="240"/>
      <c r="F24" s="240"/>
      <c r="G24" s="240"/>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8"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O13"/>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11" customWidth="1"/>
    <col min="2" max="3" width="9.796875" style="211" bestFit="1" customWidth="1"/>
    <col min="4" max="16384" width="9.09765625" style="211"/>
  </cols>
  <sheetData>
    <row r="1" spans="2:15" ht="37.049999999999997" customHeight="1">
      <c r="B1" s="78" t="s">
        <v>429</v>
      </c>
    </row>
    <row r="2" spans="2:15">
      <c r="B2" s="211" t="s">
        <v>430</v>
      </c>
    </row>
    <row r="3" spans="2:15">
      <c r="B3" s="211" t="s">
        <v>431</v>
      </c>
    </row>
    <row r="4" spans="2:15">
      <c r="B4" s="246">
        <v>21</v>
      </c>
      <c r="C4" s="211" t="s">
        <v>140</v>
      </c>
    </row>
    <row r="6" spans="2:15" ht="28.8">
      <c r="B6" s="79" t="s">
        <v>258</v>
      </c>
      <c r="C6" s="183" t="s">
        <v>159</v>
      </c>
      <c r="D6" s="183" t="s">
        <v>1</v>
      </c>
      <c r="E6" s="183" t="s">
        <v>2</v>
      </c>
      <c r="F6" s="248" t="s">
        <v>131</v>
      </c>
      <c r="G6" s="247"/>
      <c r="H6" s="247"/>
      <c r="I6" s="247"/>
      <c r="J6" s="247"/>
      <c r="K6" s="247"/>
      <c r="L6" s="247"/>
      <c r="M6" s="247"/>
      <c r="N6" s="247"/>
      <c r="O6" s="247"/>
    </row>
    <row r="7" spans="2:15">
      <c r="B7" s="207">
        <v>44396</v>
      </c>
      <c r="C7" s="207">
        <v>44402</v>
      </c>
      <c r="D7" s="208">
        <v>7</v>
      </c>
      <c r="E7" s="250">
        <f>D7/$B$4</f>
        <v>0.33333333333333331</v>
      </c>
      <c r="F7" s="251" t="str">
        <f t="shared" ref="F7:F12" si="0">REPT("|",IF(D7&gt;0,IF(D7/1&lt;1,1,D7/1)))</f>
        <v>|||||||</v>
      </c>
      <c r="G7" s="208"/>
      <c r="H7" s="208"/>
      <c r="I7" s="208"/>
      <c r="J7" s="208"/>
      <c r="K7" s="208"/>
      <c r="L7" s="208"/>
      <c r="M7" s="208"/>
      <c r="N7" s="208"/>
      <c r="O7" s="208"/>
    </row>
    <row r="8" spans="2:15">
      <c r="B8" s="209">
        <v>44403</v>
      </c>
      <c r="C8" s="209">
        <v>44409</v>
      </c>
      <c r="D8" s="210">
        <v>12</v>
      </c>
      <c r="E8" s="252">
        <f t="shared" ref="E8:E12" si="1">D8/$B$4</f>
        <v>0.5714285714285714</v>
      </c>
      <c r="F8" s="253" t="str">
        <f t="shared" si="0"/>
        <v>||||||||||||</v>
      </c>
      <c r="G8" s="210"/>
      <c r="H8" s="210"/>
      <c r="I8" s="210"/>
      <c r="J8" s="210"/>
      <c r="K8" s="210"/>
      <c r="L8" s="210"/>
      <c r="M8" s="210"/>
      <c r="N8" s="210"/>
      <c r="O8" s="210"/>
    </row>
    <row r="9" spans="2:15">
      <c r="B9" s="209">
        <v>44410</v>
      </c>
      <c r="C9" s="209">
        <v>44416</v>
      </c>
      <c r="D9" s="210">
        <v>9</v>
      </c>
      <c r="E9" s="252">
        <f t="shared" si="1"/>
        <v>0.42857142857142855</v>
      </c>
      <c r="F9" s="253" t="str">
        <f t="shared" si="0"/>
        <v>|||||||||</v>
      </c>
      <c r="G9" s="210"/>
      <c r="H9" s="210"/>
      <c r="I9" s="210"/>
      <c r="J9" s="210"/>
      <c r="K9" s="210"/>
      <c r="L9" s="210"/>
      <c r="M9" s="210"/>
      <c r="N9" s="210"/>
      <c r="O9" s="210"/>
    </row>
    <row r="10" spans="2:15">
      <c r="B10" s="209">
        <v>44417</v>
      </c>
      <c r="C10" s="209">
        <v>44423</v>
      </c>
      <c r="D10" s="210">
        <v>5</v>
      </c>
      <c r="E10" s="252">
        <f t="shared" si="1"/>
        <v>0.23809523809523808</v>
      </c>
      <c r="F10" s="253" t="str">
        <f t="shared" si="0"/>
        <v>|||||</v>
      </c>
      <c r="G10" s="210"/>
      <c r="H10" s="210"/>
      <c r="I10" s="210"/>
      <c r="J10" s="210"/>
      <c r="K10" s="210"/>
      <c r="L10" s="210"/>
      <c r="M10" s="210"/>
      <c r="N10" s="210"/>
      <c r="O10" s="210"/>
    </row>
    <row r="11" spans="2:15">
      <c r="B11" s="209">
        <v>44424</v>
      </c>
      <c r="C11" s="209">
        <v>44430</v>
      </c>
      <c r="D11" s="210">
        <v>3</v>
      </c>
      <c r="E11" s="252">
        <f t="shared" si="1"/>
        <v>0.14285714285714285</v>
      </c>
      <c r="F11" s="253" t="str">
        <f t="shared" si="0"/>
        <v>|||</v>
      </c>
      <c r="G11" s="210"/>
      <c r="H11" s="210"/>
      <c r="I11" s="210"/>
      <c r="J11" s="210"/>
      <c r="K11" s="210"/>
      <c r="L11" s="210"/>
      <c r="M11" s="210"/>
      <c r="N11" s="210"/>
      <c r="O11" s="210"/>
    </row>
    <row r="12" spans="2:15">
      <c r="B12" s="209">
        <v>44431</v>
      </c>
      <c r="C12" s="209">
        <v>44437</v>
      </c>
      <c r="D12" s="210">
        <v>6</v>
      </c>
      <c r="E12" s="252">
        <f t="shared" si="1"/>
        <v>0.2857142857142857</v>
      </c>
      <c r="F12" s="253" t="str">
        <f t="shared" si="0"/>
        <v>||||||</v>
      </c>
      <c r="G12" s="210"/>
      <c r="H12" s="210"/>
      <c r="I12" s="210"/>
      <c r="J12" s="210"/>
      <c r="K12" s="210"/>
      <c r="L12" s="210"/>
      <c r="M12" s="210"/>
      <c r="N12" s="210"/>
      <c r="O12" s="210"/>
    </row>
    <row r="13" spans="2:15">
      <c r="C13" s="211" t="s">
        <v>3</v>
      </c>
      <c r="D13" s="211">
        <f>SUM(D7:D12)</f>
        <v>42</v>
      </c>
      <c r="E13" s="249">
        <f>D13/$B$4</f>
        <v>2</v>
      </c>
    </row>
  </sheetData>
  <dataConsolidate/>
  <mergeCells count="1">
    <mergeCell ref="F6:O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7.049999999999997" customHeight="1">
      <c r="A1" s="17" t="s">
        <v>1095</v>
      </c>
      <c r="B1" s="17"/>
      <c r="C1" s="17"/>
      <c r="D1" s="17"/>
      <c r="E1" s="17"/>
      <c r="F1" s="17"/>
      <c r="G1" s="17"/>
      <c r="H1" s="17"/>
    </row>
    <row r="2" spans="1:9" s="81" customFormat="1" ht="78.75" customHeight="1">
      <c r="A2" s="244" t="s">
        <v>1096</v>
      </c>
      <c r="B2" s="244"/>
      <c r="C2" s="244"/>
      <c r="D2" s="244"/>
      <c r="E2" s="244"/>
      <c r="F2" s="244"/>
      <c r="G2" s="244"/>
      <c r="H2" s="244"/>
    </row>
    <row r="3" spans="1:9" s="81" customFormat="1" ht="24.75" customHeight="1">
      <c r="A3" s="245" t="s">
        <v>1097</v>
      </c>
      <c r="B3" s="245"/>
      <c r="D3" s="245" t="s">
        <v>1098</v>
      </c>
      <c r="E3" s="245"/>
      <c r="G3" s="245" t="s">
        <v>1099</v>
      </c>
      <c r="H3" s="245"/>
    </row>
    <row r="4" spans="1:9" s="83" customFormat="1" ht="19.5" customHeight="1">
      <c r="A4" s="82" t="s">
        <v>1100</v>
      </c>
      <c r="B4" s="82" t="s">
        <v>1101</v>
      </c>
      <c r="D4" s="82" t="s">
        <v>1100</v>
      </c>
      <c r="E4" s="82" t="s">
        <v>1101</v>
      </c>
      <c r="G4" s="82" t="s">
        <v>1100</v>
      </c>
      <c r="H4" s="82" t="s">
        <v>1101</v>
      </c>
    </row>
    <row r="5" spans="1:9" ht="17.399999999999999">
      <c r="A5" s="118" t="s">
        <v>967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968</v>
      </c>
      <c r="B6" s="119">
        <v>43146</v>
      </c>
      <c r="C6" s="86" t="str">
        <f t="shared" si="0"/>
        <v>(목)</v>
      </c>
      <c r="D6" s="84"/>
      <c r="E6" s="85"/>
      <c r="F6" s="86" t="str">
        <f t="shared" si="1"/>
        <v/>
      </c>
      <c r="G6" s="84"/>
      <c r="H6" s="85"/>
      <c r="I6" s="86" t="str">
        <f t="shared" si="2"/>
        <v/>
      </c>
    </row>
    <row r="7" spans="1:9" ht="17.399999999999999">
      <c r="A7" s="118" t="s">
        <v>969</v>
      </c>
      <c r="B7" s="119">
        <v>43147</v>
      </c>
      <c r="C7" s="86" t="str">
        <f t="shared" si="0"/>
        <v>(금)</v>
      </c>
      <c r="D7" s="84"/>
      <c r="E7" s="85"/>
      <c r="F7" s="86" t="str">
        <f t="shared" si="1"/>
        <v/>
      </c>
      <c r="G7" s="84"/>
      <c r="H7" s="85"/>
      <c r="I7" s="86" t="str">
        <f t="shared" si="2"/>
        <v/>
      </c>
    </row>
    <row r="8" spans="1:9" ht="17.399999999999999">
      <c r="A8" s="118" t="s">
        <v>970</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971</v>
      </c>
      <c r="B19" s="119">
        <v>43466</v>
      </c>
      <c r="C19" s="86" t="str">
        <f t="shared" si="0"/>
        <v>(화)</v>
      </c>
      <c r="D19" s="84"/>
      <c r="E19" s="85"/>
      <c r="F19" s="86" t="str">
        <f t="shared" si="1"/>
        <v/>
      </c>
      <c r="G19" s="84"/>
      <c r="H19" s="85"/>
      <c r="I19" s="86" t="str">
        <f t="shared" si="2"/>
        <v/>
      </c>
      <c r="J19" s="87"/>
    </row>
    <row r="20" spans="1:10" ht="17.399999999999999">
      <c r="A20" s="118" t="s">
        <v>972</v>
      </c>
      <c r="B20" s="119">
        <v>43500</v>
      </c>
      <c r="C20" s="86" t="str">
        <f t="shared" si="0"/>
        <v>(월)</v>
      </c>
      <c r="D20" s="84"/>
      <c r="E20" s="85"/>
      <c r="F20" s="86" t="str">
        <f t="shared" si="1"/>
        <v/>
      </c>
      <c r="G20" s="84"/>
      <c r="H20" s="85"/>
      <c r="I20" s="86" t="str">
        <f t="shared" si="2"/>
        <v/>
      </c>
      <c r="J20" s="87"/>
    </row>
    <row r="21" spans="1:10" ht="17.399999999999999">
      <c r="A21" s="118" t="s">
        <v>973</v>
      </c>
      <c r="B21" s="119">
        <v>43501</v>
      </c>
      <c r="C21" s="86" t="str">
        <f t="shared" si="0"/>
        <v>(화)</v>
      </c>
      <c r="D21" s="84"/>
      <c r="E21" s="85"/>
      <c r="F21" s="86" t="str">
        <f t="shared" si="1"/>
        <v/>
      </c>
      <c r="G21" s="84"/>
      <c r="H21" s="85"/>
      <c r="I21" s="86" t="str">
        <f t="shared" si="2"/>
        <v/>
      </c>
    </row>
    <row r="22" spans="1:10" ht="17.399999999999999">
      <c r="A22" s="118" t="s">
        <v>972</v>
      </c>
      <c r="B22" s="119">
        <v>43502</v>
      </c>
      <c r="C22" s="86" t="str">
        <f t="shared" si="0"/>
        <v>(수)</v>
      </c>
      <c r="D22" s="84"/>
      <c r="E22" s="85"/>
      <c r="F22" s="86" t="str">
        <f t="shared" si="1"/>
        <v/>
      </c>
      <c r="G22" s="84"/>
      <c r="H22" s="85"/>
      <c r="I22" s="86" t="str">
        <f t="shared" si="2"/>
        <v/>
      </c>
    </row>
    <row r="23" spans="1:10" ht="17.399999999999999">
      <c r="A23" s="118" t="s">
        <v>974</v>
      </c>
      <c r="B23" s="119">
        <v>43525</v>
      </c>
      <c r="C23" s="86" t="str">
        <f t="shared" si="0"/>
        <v>(금)</v>
      </c>
      <c r="D23" s="84"/>
      <c r="E23" s="85"/>
      <c r="F23" s="86" t="str">
        <f t="shared" si="1"/>
        <v/>
      </c>
      <c r="G23" s="84"/>
      <c r="H23" s="85"/>
      <c r="I23" s="86" t="str">
        <f t="shared" si="2"/>
        <v/>
      </c>
    </row>
    <row r="24" spans="1:10" ht="17.399999999999999">
      <c r="A24" s="118" t="s">
        <v>975</v>
      </c>
      <c r="B24" s="119">
        <v>43591</v>
      </c>
      <c r="C24" s="86" t="str">
        <f t="shared" si="0"/>
        <v>(월)</v>
      </c>
      <c r="D24" s="84"/>
      <c r="E24" s="85"/>
      <c r="F24" s="86" t="str">
        <f t="shared" si="1"/>
        <v/>
      </c>
      <c r="G24" s="84"/>
      <c r="H24" s="85"/>
      <c r="I24" s="86" t="str">
        <f t="shared" si="2"/>
        <v/>
      </c>
    </row>
    <row r="25" spans="1:10" ht="17.399999999999999">
      <c r="A25" s="118" t="s">
        <v>976</v>
      </c>
      <c r="B25" s="119">
        <v>43622</v>
      </c>
      <c r="C25" s="86" t="str">
        <f t="shared" si="0"/>
        <v>(목)</v>
      </c>
      <c r="D25" s="84"/>
      <c r="E25" s="85"/>
      <c r="F25" s="86" t="str">
        <f t="shared" si="1"/>
        <v/>
      </c>
      <c r="G25" s="84"/>
      <c r="H25" s="85"/>
      <c r="I25" s="86" t="str">
        <f t="shared" si="2"/>
        <v/>
      </c>
    </row>
    <row r="26" spans="1:10" ht="17.399999999999999">
      <c r="A26" s="118" t="s">
        <v>977</v>
      </c>
      <c r="B26" s="119">
        <v>43692</v>
      </c>
      <c r="C26" s="86" t="str">
        <f t="shared" si="0"/>
        <v>(목)</v>
      </c>
      <c r="D26" s="84"/>
      <c r="E26" s="85"/>
      <c r="F26" s="86" t="str">
        <f t="shared" si="1"/>
        <v/>
      </c>
      <c r="G26" s="84"/>
      <c r="H26" s="85"/>
      <c r="I26" s="86" t="str">
        <f t="shared" si="2"/>
        <v/>
      </c>
    </row>
    <row r="27" spans="1:10" ht="17.399999999999999">
      <c r="A27" s="118" t="s">
        <v>978</v>
      </c>
      <c r="B27" s="119">
        <v>43720</v>
      </c>
      <c r="C27" s="86" t="str">
        <f t="shared" si="0"/>
        <v>(목)</v>
      </c>
      <c r="D27" s="84"/>
      <c r="E27" s="85"/>
      <c r="F27" s="86" t="str">
        <f t="shared" si="1"/>
        <v/>
      </c>
      <c r="G27" s="84"/>
      <c r="H27" s="85"/>
      <c r="I27" s="86" t="str">
        <f t="shared" si="2"/>
        <v/>
      </c>
    </row>
    <row r="28" spans="1:10" ht="17.399999999999999">
      <c r="A28" s="118" t="s">
        <v>979</v>
      </c>
      <c r="B28" s="119">
        <v>43721</v>
      </c>
      <c r="C28" s="86" t="str">
        <f t="shared" si="0"/>
        <v>(금)</v>
      </c>
      <c r="D28" s="84"/>
      <c r="E28" s="85"/>
      <c r="F28" s="86" t="str">
        <f t="shared" si="1"/>
        <v/>
      </c>
      <c r="G28" s="84"/>
      <c r="H28" s="85"/>
      <c r="I28" s="86" t="str">
        <f t="shared" si="2"/>
        <v/>
      </c>
    </row>
    <row r="29" spans="1:10" ht="17.399999999999999">
      <c r="A29" s="118" t="s">
        <v>980</v>
      </c>
      <c r="B29" s="119">
        <v>43741</v>
      </c>
      <c r="C29" s="86" t="str">
        <f t="shared" si="0"/>
        <v>(목)</v>
      </c>
      <c r="D29" s="84"/>
      <c r="E29" s="85"/>
      <c r="F29" s="86" t="str">
        <f t="shared" si="1"/>
        <v/>
      </c>
      <c r="G29" s="84"/>
      <c r="H29" s="85"/>
      <c r="I29" s="86" t="str">
        <f t="shared" si="2"/>
        <v/>
      </c>
    </row>
    <row r="30" spans="1:10" ht="17.399999999999999">
      <c r="A30" s="118" t="s">
        <v>981</v>
      </c>
      <c r="B30" s="119">
        <v>43747</v>
      </c>
      <c r="C30" s="86" t="str">
        <f t="shared" si="0"/>
        <v>(수)</v>
      </c>
      <c r="D30" s="84"/>
      <c r="E30" s="85"/>
      <c r="F30" s="86" t="str">
        <f t="shared" si="1"/>
        <v/>
      </c>
      <c r="G30" s="84"/>
      <c r="H30" s="85"/>
      <c r="I30" s="86" t="str">
        <f t="shared" si="2"/>
        <v/>
      </c>
    </row>
    <row r="31" spans="1:10" ht="17.399999999999999">
      <c r="A31" s="118" t="s">
        <v>982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24" si="12">IF(B261&gt;0,TEXT(B261,"(aaa)"),"")</f>
        <v/>
      </c>
      <c r="D261" s="84"/>
      <c r="E261" s="85"/>
      <c r="F261" s="86" t="str">
        <f t="shared" ref="F261:F324" si="13">IF(E261&gt;0,TEXT(E261,"(aaa)"),"")</f>
        <v/>
      </c>
      <c r="G261" s="84"/>
      <c r="H261" s="85"/>
      <c r="I261" s="86" t="str">
        <f t="shared" ref="I261:I32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1102</v>
      </c>
      <c r="D305" s="86" t="s">
        <v>1102</v>
      </c>
      <c r="G305" s="86" t="s">
        <v>1102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2021-07-19T06:59:47Z</dcterms:modified>
</cp:coreProperties>
</file>