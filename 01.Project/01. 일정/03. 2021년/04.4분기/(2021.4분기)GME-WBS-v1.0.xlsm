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527" codeName="{B6124F1A-AFFB-F854-7757-9A1D4C6FC43C}"/>
  <workbookPr codeName="ThisWorkbook"/>
  <mc:AlternateContent xmlns:mc="http://schemas.openxmlformats.org/markup-compatibility/2006">
    <mc:Choice Requires="x15">
      <x15ac:absPath xmlns:x15ac="http://schemas.microsoft.com/office/spreadsheetml/2010/11/ac" url="D:\12.Document\01.Project\00. 일정\03. 2021년\04.4분기\"/>
    </mc:Choice>
  </mc:AlternateContent>
  <xr:revisionPtr revIDLastSave="0" documentId="13_ncr:1_{BD21AA18-521E-45DD-B815-70D799288FBF}" xr6:coauthVersionLast="47" xr6:coauthVersionMax="47" xr10:uidLastSave="{00000000-0000-0000-0000-000000000000}"/>
  <bookViews>
    <workbookView xWindow="28680" yWindow="-120" windowWidth="29040" windowHeight="15840"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Schedule!$M$3:$AB$320</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5" i="2" l="1"/>
  <c r="BB5" i="2"/>
  <c r="AI6" i="2"/>
  <c r="AI7" i="2"/>
  <c r="BA7" i="2"/>
  <c r="AI8" i="2"/>
  <c r="BA8" i="2"/>
  <c r="AI9" i="2"/>
  <c r="BA9" i="2"/>
  <c r="BB10" i="2"/>
  <c r="AR12" i="2"/>
  <c r="BB12" i="2"/>
  <c r="AR13" i="2"/>
  <c r="AS14" i="2"/>
  <c r="AW14" i="2"/>
  <c r="AS15" i="2"/>
  <c r="AW15" i="2"/>
  <c r="AS16" i="2"/>
  <c r="AW16" i="2"/>
  <c r="BA17" i="2"/>
  <c r="AX19" i="2"/>
  <c r="BC19" i="2"/>
  <c r="AT20" i="2"/>
  <c r="AY21" i="2"/>
  <c r="BA22" i="2"/>
  <c r="BA23" i="2"/>
  <c r="BC24" i="2"/>
  <c r="AX26" i="2"/>
  <c r="BB26" i="2"/>
  <c r="AW27" i="2"/>
  <c r="BA28" i="2"/>
  <c r="BA29" i="2"/>
  <c r="BB30" i="2"/>
  <c r="AW32" i="2"/>
  <c r="AW33" i="2"/>
  <c r="AW34" i="2"/>
  <c r="AW35" i="2"/>
  <c r="AX36" i="2"/>
  <c r="AY38" i="2"/>
  <c r="AY39" i="2"/>
  <c r="AY40" i="2"/>
  <c r="AZ41" i="2"/>
  <c r="AZ43" i="2"/>
  <c r="AZ44" i="2"/>
  <c r="BA45" i="2"/>
  <c r="BA46" i="2"/>
  <c r="BA47" i="2"/>
  <c r="BB48" i="2"/>
  <c r="BA50" i="2"/>
  <c r="BA51" i="2"/>
  <c r="BA52" i="2"/>
  <c r="BA53" i="2"/>
  <c r="BB54" i="2"/>
  <c r="AP56" i="2"/>
  <c r="AP57" i="2"/>
  <c r="AP58" i="2"/>
  <c r="AP59" i="2"/>
  <c r="BB62" i="2"/>
  <c r="BB63" i="2"/>
  <c r="BB65" i="2"/>
  <c r="BB66" i="2"/>
  <c r="F7" i="4"/>
  <c r="F8" i="4"/>
  <c r="F9" i="4"/>
  <c r="F10" i="4"/>
  <c r="F11" i="4"/>
  <c r="F12" i="4"/>
  <c r="F13" i="4"/>
  <c r="F14" i="4"/>
  <c r="F15" i="4"/>
  <c r="F16" i="4"/>
  <c r="F17" i="4"/>
  <c r="F18" i="4"/>
  <c r="F19" i="4"/>
  <c r="F20" i="4"/>
  <c r="F21" i="4"/>
  <c r="F22" i="4"/>
  <c r="F23" i="4"/>
  <c r="F24" i="4"/>
  <c r="F25" i="4"/>
  <c r="F26" i="4"/>
  <c r="F27" i="4"/>
  <c r="D28" i="4"/>
  <c r="E28" i="4" s="1"/>
  <c r="E27" i="4"/>
  <c r="E26" i="4"/>
  <c r="E25" i="4"/>
  <c r="E24" i="4"/>
  <c r="E23" i="4"/>
  <c r="E22" i="4"/>
  <c r="E21" i="4"/>
  <c r="E20" i="4"/>
  <c r="E19" i="4"/>
  <c r="E18" i="4"/>
  <c r="E17" i="4"/>
  <c r="E16" i="4"/>
  <c r="E15" i="4"/>
  <c r="E14" i="4"/>
  <c r="E13" i="4"/>
  <c r="E12" i="4"/>
  <c r="E11" i="4"/>
  <c r="E10" i="4"/>
  <c r="E9" i="4"/>
  <c r="E8" i="4"/>
  <c r="E7" i="4"/>
  <c r="H126" i="8"/>
  <c r="D1" i="2"/>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B24" i="3" l="1"/>
  <c r="AB1" i="2"/>
  <c r="AB2" i="2"/>
</calcChain>
</file>

<file path=xl/sharedStrings.xml><?xml version="1.0" encoding="utf-8"?>
<sst xmlns="http://schemas.openxmlformats.org/spreadsheetml/2006/main" count="1556" uniqueCount="1151">
  <si>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</si>
  <si>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</si>
  <si>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</si>
  <si>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</si>
  <si>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</si>
  <si>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</si>
  <si>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</si>
  <si>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</si>
  <si>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</si>
  <si>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</si>
  <si>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</si>
  <si>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</si>
  <si>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</si>
  <si>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</si>
  <si>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</si>
  <si>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</si>
  <si>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</si>
  <si>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</si>
  <si>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</si>
  <si>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</si>
  <si>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</si>
  <si>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</si>
  <si>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</si>
  <si>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</si>
  <si>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</si>
  <si>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</si>
  <si>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</si>
  <si>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</si>
  <si>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</si>
  <si>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</si>
  <si>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</si>
  <si>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</si>
  <si>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</si>
  <si>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</si>
  <si>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</si>
  <si>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</si>
  <si>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</si>
  <si>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</si>
  <si>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</si>
  <si>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</si>
  <si>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</si>
  <si>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</si>
  <si>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</si>
  <si>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</si>
  <si>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</si>
  <si>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</si>
  <si>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</si>
  <si>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</si>
  <si>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</si>
  <si>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</si>
  <si>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</si>
  <si>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</si>
  <si>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</si>
  <si>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</si>
  <si>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</si>
  <si>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</si>
  <si>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</si>
  <si>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</si>
  <si>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</si>
  <si>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</si>
  <si>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</si>
  <si>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</si>
  <si>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</si>
  <si>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</si>
  <si>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</si>
  <si>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</si>
  <si>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</si>
  <si>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</si>
  <si>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</si>
  <si>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</si>
  <si>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</si>
  <si>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</si>
  <si>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</si>
  <si>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</si>
  <si>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</si>
  <si>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</si>
  <si>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</si>
  <si>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</si>
  <si>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</si>
  <si>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</si>
  <si>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</si>
  <si>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</si>
  <si>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</si>
  <si>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</si>
  <si>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</si>
  <si>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</si>
  <si>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</si>
  <si>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</si>
  <si>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</si>
  <si>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</si>
  <si>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</si>
  <si>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</si>
  <si>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</si>
  <si>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</si>
  <si>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</si>
  <si>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</si>
  <si>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</si>
  <si>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</si>
  <si>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</si>
  <si>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</si>
  <si>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</si>
  <si>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</si>
  <si>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</si>
  <si>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</si>
  <si>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</si>
  <si>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</si>
  <si>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</si>
  <si>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</si>
  <si>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</si>
  <si>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</si>
  <si>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</si>
  <si>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</si>
  <si>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</si>
  <si>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</si>
  <si>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</si>
  <si>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</si>
  <si>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</si>
  <si>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</si>
  <si>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</si>
  <si>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</si>
  <si>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</si>
  <si>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</si>
  <si>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</si>
  <si>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</si>
  <si>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</si>
  <si>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</si>
  <si>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</si>
  <si>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</si>
  <si>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</si>
  <si>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</si>
  <si>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</si>
  <si>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</si>
  <si>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</si>
  <si>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</si>
  <si>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</si>
  <si>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</si>
  <si>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</si>
  <si>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</si>
  <si>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</si>
  <si>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</si>
  <si>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</si>
  <si>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</si>
  <si>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</si>
  <si>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</si>
  <si>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</si>
  <si>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</si>
  <si>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</si>
  <si>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</si>
  <si>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</si>
  <si>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</si>
  <si>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</si>
  <si>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</si>
  <si>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</si>
  <si>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</si>
  <si>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</si>
  <si>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</si>
  <si>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</si>
  <si>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</si>
  <si>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</si>
  <si>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</si>
  <si>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</si>
  <si>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</si>
  <si>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</si>
  <si>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</si>
  <si>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</si>
  <si>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</si>
  <si>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</si>
  <si>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</si>
  <si>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</si>
  <si>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</si>
  <si>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</si>
  <si>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</si>
  <si>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</si>
  <si>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</si>
  <si>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</si>
  <si>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</si>
  <si>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</si>
  <si>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</si>
  <si>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</si>
  <si>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</si>
  <si>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</si>
  <si>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</si>
  <si>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</si>
  <si>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</si>
  <si>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</si>
  <si>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</si>
  <si>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</si>
  <si>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</si>
  <si>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</si>
  <si>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</si>
  <si>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</si>
  <si>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</si>
  <si>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</si>
  <si>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</si>
  <si>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</si>
  <si>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</si>
  <si>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</si>
  <si>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</si>
  <si>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</si>
  <si>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</si>
  <si>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</si>
  <si>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</si>
  <si>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</si>
  <si>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</si>
  <si>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</si>
  <si>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</si>
  <si>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</si>
  <si>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</si>
  <si>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</si>
  <si>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</si>
  <si>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</si>
  <si>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</si>
  <si>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</si>
  <si>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</si>
  <si>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</si>
  <si>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</si>
  <si>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</si>
  <si>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</si>
  <si>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</si>
  <si>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</si>
  <si>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</si>
  <si>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</si>
  <si>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</si>
  <si>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</si>
  <si>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</si>
  <si>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</si>
  <si>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</si>
  <si>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</si>
  <si>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</si>
  <si>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</si>
  <si>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</si>
  <si>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</si>
  <si>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</si>
  <si>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</si>
  <si>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</si>
  <si>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</si>
  <si>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</si>
  <si>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</si>
  <si>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</si>
  <si>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</si>
  <si>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</si>
  <si>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</si>
  <si>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</si>
  <si>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</si>
  <si>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</si>
  <si>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</si>
  <si>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</si>
  <si>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</si>
  <si>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</si>
  <si>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</si>
  <si>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</si>
  <si>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</si>
  <si>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</si>
  <si>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</si>
  <si>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</si>
  <si>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</si>
  <si>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</si>
  <si>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</si>
  <si>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</si>
  <si>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</si>
  <si>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</si>
  <si>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</si>
  <si>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</si>
  <si>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</si>
  <si>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</si>
  <si>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</si>
  <si>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</si>
  <si>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</si>
  <si>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</si>
  <si>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</si>
  <si>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</si>
  <si>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</si>
  <si>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</si>
  <si>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</si>
  <si>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</si>
  <si>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</si>
  <si>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</si>
  <si>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</si>
  <si>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</si>
  <si>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</si>
  <si>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</si>
  <si>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</si>
  <si>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</si>
  <si>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</si>
  <si>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</si>
  <si>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</si>
  <si>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</si>
  <si>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</si>
  <si>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</si>
  <si>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</si>
  <si>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</si>
  <si>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</si>
  <si>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</si>
  <si>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</si>
  <si>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</si>
  <si>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</si>
  <si>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</si>
  <si>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</si>
  <si>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</si>
  <si>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</si>
  <si>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</si>
  <si>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</si>
  <si>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</si>
  <si>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</si>
  <si>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</si>
  <si>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</si>
  <si>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</si>
  <si>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</si>
  <si>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</si>
  <si>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</si>
  <si>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</si>
  <si>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</si>
  <si>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</si>
  <si>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</si>
  <si>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</si>
  <si>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</si>
  <si>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</si>
  <si>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</si>
  <si>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</si>
  <si>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</si>
  <si>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</si>
  <si>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</si>
  <si>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</si>
  <si>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</si>
  <si>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</si>
  <si>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</si>
  <si>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</si>
  <si>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</si>
  <si>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</si>
  <si>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</si>
  <si>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</si>
  <si>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</si>
  <si>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</si>
  <si>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</si>
  <si>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</si>
  <si>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</si>
  <si>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</si>
  <si>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</si>
  <si>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</si>
  <si>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</si>
  <si>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</si>
  <si>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</si>
  <si>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</si>
  <si>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</si>
  <si>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</si>
  <si>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</si>
  <si>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</si>
  <si>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</si>
  <si>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</si>
  <si>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</si>
  <si>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</si>
  <si>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</si>
  <si>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</si>
  <si>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</si>
  <si>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</si>
  <si>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</si>
  <si>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</si>
  <si>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</si>
  <si>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</si>
  <si>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</si>
  <si>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</si>
  <si>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</si>
  <si>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</si>
  <si>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</si>
  <si>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</si>
  <si>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</si>
  <si>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</si>
  <si>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</si>
  <si>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</si>
  <si>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</si>
  <si>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</si>
  <si>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</si>
  <si>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</si>
  <si>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</si>
  <si>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</si>
  <si>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</si>
  <si>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</si>
  <si>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</si>
  <si>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</si>
  <si>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</si>
  <si>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</si>
  <si>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</si>
  <si>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</si>
  <si>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</si>
  <si>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</si>
  <si>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</si>
  <si>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</si>
  <si>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</si>
  <si>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</si>
  <si>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</si>
  <si>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</si>
  <si>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</si>
  <si>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</si>
  <si>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</si>
  <si>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</si>
  <si>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</si>
  <si>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</si>
  <si>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</si>
  <si>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</si>
  <si>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</si>
  <si>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</si>
  <si>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</si>
  <si>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</si>
  <si>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</si>
  <si>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</si>
  <si>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</si>
  <si>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</si>
  <si>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</si>
  <si>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</si>
  <si>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</si>
  <si>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</si>
  <si>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</si>
  <si>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</si>
  <si>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</si>
  <si>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</si>
  <si>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</si>
  <si>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</si>
  <si>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</si>
  <si>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</si>
  <si>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</si>
  <si>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</si>
  <si>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</si>
  <si>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</si>
  <si>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</si>
  <si>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</si>
  <si>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</si>
  <si>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</si>
  <si>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</si>
  <si>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</si>
  <si>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</si>
  <si>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</si>
  <si>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</si>
  <si>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</si>
  <si>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</si>
  <si>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</si>
  <si>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</si>
  <si>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</si>
  <si>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</si>
  <si>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</si>
  <si>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</si>
  <si>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</si>
  <si>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</si>
  <si>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</si>
  <si>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</si>
  <si>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</si>
  <si>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</si>
  <si>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</si>
  <si>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</si>
  <si>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</si>
  <si>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</si>
  <si>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</si>
  <si>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</si>
  <si>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</si>
  <si>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</si>
  <si>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</si>
  <si>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</si>
  <si>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</si>
  <si>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</si>
  <si>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</si>
  <si>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</si>
  <si>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</si>
  <si>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</si>
  <si>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</si>
  <si>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</si>
  <si>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</si>
  <si>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</si>
  <si>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</si>
  <si>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</si>
  <si>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</si>
  <si>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</si>
  <si>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</si>
  <si>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</si>
  <si>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</si>
  <si>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</si>
  <si>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</si>
  <si>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</si>
  <si>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</si>
  <si>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</si>
  <si>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</si>
  <si>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</si>
  <si>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</si>
  <si>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</si>
  <si>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</si>
  <si>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</si>
  <si>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</si>
  <si>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</si>
  <si>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</si>
  <si>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</si>
  <si>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</si>
  <si>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</si>
  <si>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</si>
  <si>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</si>
  <si>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</si>
  <si>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</si>
  <si>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</si>
  <si>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</si>
  <si>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</si>
  <si>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</si>
  <si>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</si>
  <si>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</si>
  <si>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</si>
  <si>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</si>
  <si>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</si>
  <si>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</si>
  <si>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</si>
  <si>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</si>
  <si>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</si>
  <si>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</si>
  <si>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</si>
  <si>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</si>
  <si>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</si>
  <si>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</si>
  <si>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</si>
  <si>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</si>
  <si>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</si>
  <si>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</si>
  <si>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</si>
  <si>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</si>
  <si>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</si>
  <si>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</si>
  <si>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</si>
  <si>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</si>
  <si>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</si>
  <si>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</si>
  <si>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</si>
  <si>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</si>
  <si>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</si>
  <si>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</si>
  <si>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</si>
  <si>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</si>
  <si>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</si>
  <si>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</si>
  <si>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</si>
  <si>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</si>
  <si>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</si>
  <si>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</si>
  <si>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</si>
  <si>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</si>
  <si>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</si>
  <si>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</si>
  <si>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</si>
  <si>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</si>
  <si>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</si>
  <si>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</si>
  <si>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</si>
  <si>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</si>
  <si>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</si>
  <si>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</si>
  <si>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</si>
  <si>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</si>
  <si>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</si>
  <si>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</si>
  <si>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</si>
  <si>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</si>
  <si>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</si>
  <si>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</si>
  <si>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</si>
  <si>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</si>
  <si>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</si>
  <si>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</si>
  <si>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</si>
  <si>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</si>
  <si>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</si>
  <si>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</si>
  <si>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</si>
  <si>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</si>
  <si>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</si>
  <si>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</si>
  <si>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</si>
  <si>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</si>
  <si>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</si>
  <si>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</si>
  <si>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</si>
  <si>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</si>
  <si>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</si>
  <si>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</si>
  <si>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</si>
  <si>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</si>
  <si>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</si>
  <si>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</si>
  <si>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</si>
  <si>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</si>
  <si>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</si>
  <si>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</si>
  <si>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</si>
  <si>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</si>
  <si>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</si>
  <si>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</si>
  <si>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</si>
  <si>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</si>
  <si>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</si>
  <si>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</si>
  <si>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</si>
  <si>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</si>
  <si>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</si>
  <si>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</si>
  <si>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</si>
  <si>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</si>
  <si>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</si>
  <si>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</si>
  <si>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</si>
  <si>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</si>
  <si>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</si>
  <si>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</si>
  <si>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</si>
  <si>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</si>
  <si>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</si>
  <si>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</si>
  <si>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</si>
  <si>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</si>
  <si>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</si>
  <si>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</si>
  <si>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</si>
  <si>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</si>
  <si>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</si>
  <si>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</si>
  <si>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</si>
  <si>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</si>
  <si>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</si>
  <si>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</si>
  <si>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</si>
  <si>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</si>
  <si>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</si>
  <si>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</si>
  <si>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</si>
  <si>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</si>
  <si>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</si>
  <si>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</si>
  <si>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</si>
  <si>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</si>
  <si>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</si>
  <si>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</si>
  <si>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</si>
  <si>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</si>
  <si>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</si>
  <si>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</si>
  <si>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</si>
  <si>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</si>
  <si>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</si>
  <si>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</si>
  <si>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</si>
  <si>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</si>
  <si>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</si>
  <si>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</si>
  <si>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</si>
  <si>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</si>
  <si>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</si>
  <si>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</si>
  <si>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</si>
  <si>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</si>
  <si>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</si>
  <si>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</si>
  <si>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</si>
  <si>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</si>
  <si>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</si>
  <si>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</si>
  <si>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</si>
  <si>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</si>
  <si>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</si>
  <si>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</si>
  <si>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</si>
  <si>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</si>
  <si>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</si>
  <si>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</si>
  <si>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</si>
  <si>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</si>
  <si>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</si>
  <si>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</si>
  <si>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</si>
  <si>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</si>
  <si>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</si>
  <si>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</si>
  <si>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</si>
  <si>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</si>
  <si>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</si>
  <si>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</si>
  <si>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</si>
  <si>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</si>
  <si>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</si>
  <si>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</si>
  <si>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</si>
  <si>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</si>
  <si>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</si>
  <si>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</si>
  <si>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</si>
  <si>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</si>
  <si>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</si>
  <si>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</si>
  <si>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</si>
  <si>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</si>
  <si>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</si>
  <si>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</si>
  <si>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</si>
  <si>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</si>
  <si>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</si>
  <si>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</si>
  <si>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</si>
  <si>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</si>
  <si>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</si>
  <si>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</si>
  <si>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</si>
  <si>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</si>
  <si>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</si>
  <si>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</si>
  <si>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</si>
  <si>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</si>
  <si>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</si>
  <si>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</si>
  <si>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</si>
  <si>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</si>
  <si>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</si>
  <si>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</si>
  <si>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</si>
  <si>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</si>
  <si>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</si>
  <si>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</si>
  <si>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</si>
  <si>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</si>
  <si>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</si>
  <si>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</si>
  <si>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</si>
  <si>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</si>
  <si>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</si>
  <si>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</si>
  <si>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</si>
  <si>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</si>
  <si>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</si>
  <si>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</si>
  <si>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</si>
  <si>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</si>
  <si>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</si>
  <si>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</si>
  <si>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</si>
  <si>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</si>
  <si>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</si>
  <si>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</si>
  <si>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</si>
  <si>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</si>
  <si>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</si>
  <si>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</si>
  <si>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</si>
  <si>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</si>
  <si>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</si>
  <si>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</si>
  <si>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</si>
  <si>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</si>
  <si>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</si>
  <si>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</si>
  <si>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</si>
  <si>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</si>
  <si>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</si>
  <si>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</si>
  <si>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</si>
  <si>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</si>
  <si>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</si>
  <si>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</si>
  <si>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</si>
  <si>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</si>
  <si>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</si>
  <si>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</si>
  <si>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</si>
  <si>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</si>
  <si>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</si>
  <si>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</si>
  <si>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</si>
  <si>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</si>
  <si>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</si>
  <si>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</si>
  <si>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</si>
  <si>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</si>
  <si>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</si>
  <si>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</si>
  <si>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</si>
  <si>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</si>
  <si>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</si>
  <si>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</si>
  <si>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</si>
  <si>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</si>
  <si>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</si>
  <si>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</si>
  <si>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</si>
  <si>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</si>
  <si>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</si>
  <si>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</si>
  <si>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</si>
  <si>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</si>
  <si>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</si>
  <si>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</si>
  <si>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</si>
  <si>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</si>
  <si>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</si>
  <si>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</si>
  <si>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</si>
  <si>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</si>
  <si>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</si>
  <si>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</si>
  <si>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</si>
  <si>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</si>
  <si>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</si>
  <si>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</si>
  <si>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</si>
  <si>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</si>
  <si>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</si>
  <si>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</si>
  <si>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</si>
  <si>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</si>
  <si>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</si>
  <si>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</si>
  <si>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</si>
  <si>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</si>
  <si>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</si>
  <si>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</si>
  <si>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</si>
  <si>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</si>
  <si>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</si>
  <si>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</si>
  <si>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</si>
  <si>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</si>
  <si>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</si>
  <si>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</si>
  <si>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</si>
  <si>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</si>
  <si>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</si>
  <si>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</si>
  <si>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</si>
  <si>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</si>
  <si>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</si>
  <si>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</si>
  <si>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</si>
  <si>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</si>
  <si>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</si>
  <si>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</si>
  <si>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</si>
  <si>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</si>
  <si>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</si>
  <si>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</si>
  <si>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</si>
  <si>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</si>
  <si>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</si>
  <si>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</si>
  <si>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</si>
  <si>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</si>
  <si>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</si>
  <si>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</si>
  <si>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</si>
  <si>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</si>
  <si>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</si>
  <si>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</si>
  <si>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</si>
  <si>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</si>
  <si>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</si>
  <si>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</si>
  <si>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</si>
  <si>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</si>
  <si>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</si>
  <si>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</si>
  <si>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</si>
  <si>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</si>
  <si>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</si>
  <si>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</si>
  <si>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</si>
  <si>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</si>
  <si>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</si>
  <si>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</si>
  <si>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</si>
  <si>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</si>
  <si>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</si>
  <si>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</si>
  <si>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</si>
  <si>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</si>
  <si>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</si>
  <si>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</si>
  <si>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</si>
  <si>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</si>
  <si>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</si>
  <si>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</si>
  <si>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</si>
  <si>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</si>
  <si>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</si>
  <si>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</si>
  <si>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</si>
  <si>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</si>
  <si>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</si>
  <si>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</si>
  <si>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</si>
  <si>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</si>
  <si>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</si>
  <si>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</si>
  <si>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</si>
  <si>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</si>
  <si>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</si>
  <si>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</si>
  <si>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</si>
  <si>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</si>
  <si>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</si>
  <si>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</si>
  <si>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</si>
  <si>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</si>
  <si>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</si>
  <si>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</si>
  <si>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</si>
  <si>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</si>
  <si>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</si>
  <si>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</si>
  <si>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</si>
  <si>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</si>
  <si>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</si>
  <si>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</si>
  <si>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</si>
  <si>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</si>
  <si>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</si>
  <si>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</si>
  <si>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</si>
  <si>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</si>
  <si>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</si>
  <si>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</si>
  <si>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</si>
  <si>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</si>
  <si>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</si>
  <si>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</si>
  <si>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</si>
  <si>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</si>
  <si>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</si>
  <si>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</si>
  <si>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</si>
  <si>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</si>
  <si>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</si>
  <si>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</si>
  <si>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</si>
  <si>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</si>
  <si>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</si>
  <si>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</si>
  <si>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</si>
  <si>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</si>
  <si>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</si>
  <si>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</si>
  <si>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</si>
  <si>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</si>
  <si>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</si>
  <si>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</si>
  <si>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</si>
  <si>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</si>
  <si>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</si>
  <si>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</si>
  <si>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</si>
  <si>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</si>
  <si>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</si>
  <si>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</si>
  <si>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</si>
  <si>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</si>
  <si>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</si>
  <si>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</si>
  <si>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</si>
  <si>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</si>
  <si>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</si>
  <si>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</si>
  <si>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</si>
  <si>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</si>
  <si>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</si>
  <si>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</si>
  <si>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</si>
  <si>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</si>
  <si>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</si>
  <si>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</si>
  <si>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2.1.0</t>
    <phoneticPr fontId="2" type="noConversion"/>
  </si>
  <si>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</si>
  <si>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</si>
  <si>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</si>
  <si>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</si>
  <si>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</si>
  <si>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</si>
  <si>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</si>
  <si>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</si>
  <si>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</si>
  <si>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</si>
  <si>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</si>
  <si>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</si>
  <si>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</si>
  <si>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</si>
  <si>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</si>
  <si>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</si>
  <si>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</si>
  <si>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</si>
  <si>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</si>
  <si>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</si>
  <si>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2</t>
  </si>
  <si>
    <t>2.1</t>
  </si>
  <si>
    <t>2.2</t>
  </si>
  <si>
    <t>메모장</t>
    <phoneticPr fontId="8" type="noConversion"/>
  </si>
  <si>
    <t>Display font color to the gray for the completed tasks</t>
    <phoneticPr fontId="2" type="noConversion"/>
  </si>
  <si>
    <t>ace</t>
    <phoneticPr fontId="8" type="noConversion"/>
  </si>
  <si>
    <t>txt</t>
    <phoneticPr fontId="8" type="noConversion"/>
  </si>
  <si>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</si>
  <si>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</si>
  <si>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</si>
  <si>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</si>
  <si>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</si>
  <si>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</si>
  <si>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</si>
  <si>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</si>
  <si>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</si>
  <si>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</si>
  <si>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</si>
  <si>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</si>
  <si>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</si>
  <si>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</si>
  <si>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</si>
  <si>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시작일</t>
  </si>
  <si>
    <t>완료일</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</si>
  <si>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</si>
  <si>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</si>
  <si>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</si>
  <si>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</si>
  <si>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</si>
  <si>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</si>
  <si>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</si>
  <si>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</si>
  <si>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</si>
  <si>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</si>
  <si>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가중치</t>
    <phoneticPr fontId="8" type="noConversion"/>
  </si>
  <si>
    <t>자동지정</t>
    <phoneticPr fontId="8" type="noConversion"/>
  </si>
  <si>
    <t>doc*</t>
    <phoneticPr fontId="8" type="noConversion"/>
  </si>
  <si>
    <t>Auto CAD</t>
    <phoneticPr fontId="8" type="noConversion"/>
  </si>
  <si>
    <t>실적*</t>
    <phoneticPr fontId="8" type="noConversion"/>
  </si>
  <si>
    <t>아크로에디터</t>
    <phoneticPr fontId="8" type="noConversion"/>
  </si>
  <si>
    <t>C:\WINDOWS\system32\notepad.exe</t>
    <phoneticPr fontId="8" type="noConversion"/>
  </si>
  <si>
    <t>비고</t>
    <phoneticPr fontId="8" type="noConversion"/>
  </si>
  <si>
    <t>실제_x000D_
완료일</t>
    <phoneticPr fontId="8" type="noConversion"/>
  </si>
  <si>
    <t>WBS</t>
    <phoneticPr fontId="8" type="noConversion"/>
  </si>
  <si>
    <t>작업*</t>
    <phoneticPr fontId="8" type="noConversion"/>
  </si>
  <si>
    <t>완료일*</t>
    <phoneticPr fontId="8" type="noConversion"/>
  </si>
  <si>
    <t>실제_x000D_
총기간</t>
    <phoneticPr fontId="8" type="noConversion"/>
  </si>
  <si>
    <t>워드</t>
    <phoneticPr fontId="8" type="noConversion"/>
  </si>
  <si>
    <t>xls*</t>
    <phoneticPr fontId="8" type="noConversion"/>
  </si>
  <si>
    <t>cad</t>
    <phoneticPr fontId="8" type="noConversion"/>
  </si>
  <si>
    <t>산출물</t>
    <phoneticPr fontId="8" type="noConversion"/>
  </si>
  <si>
    <t>일정변경관리 하지 않을 때 현재까지 실제로 진행된 작업기간을 표시함(총기간 x 총실적진행율)</t>
    <phoneticPr fontId="8" type="noConversion"/>
  </si>
  <si>
    <t>시작일*</t>
    <phoneticPr fontId="8" type="noConversion"/>
  </si>
  <si>
    <t>총_x000D_
기간</t>
    <phoneticPr fontId="8" type="noConversion"/>
  </si>
  <si>
    <t>계획</t>
    <phoneticPr fontId="8" type="noConversion"/>
  </si>
  <si>
    <t>{"TASK_FIRST_COL":"5","START_ROW":"5","WBS_AREA_LAST_COL":"28"}</t>
    <phoneticPr fontId="8" type="noConversion"/>
  </si>
  <si>
    <t>SCHEDULE_SHEET_POSITION:3545121314151617181920212223242526272829</t>
    <phoneticPr fontId="2" type="noConversion"/>
  </si>
  <si>
    <t>담당</t>
    <phoneticPr fontId="8" type="noConversion"/>
  </si>
  <si>
    <t>wbs_level</t>
    <phoneticPr fontId="8" type="noConversion"/>
  </si>
  <si>
    <t>3</t>
  </si>
  <si>
    <t>3.1</t>
  </si>
  <si>
    <t>TODAY</t>
    <phoneticPr fontId="2" type="noConversion"/>
  </si>
  <si>
    <t>DEFINED</t>
    <phoneticPr fontId="8" type="noConversion"/>
  </si>
  <si>
    <t>파워포인트</t>
    <phoneticPr fontId="8" type="noConversion"/>
  </si>
  <si>
    <t>ppt*</t>
    <phoneticPr fontId="8" type="noConversion"/>
  </si>
  <si>
    <t>엑셀</t>
    <phoneticPr fontId="8" type="noConversion"/>
  </si>
  <si>
    <t>c:\cad\cad\cad.exe</t>
    <phoneticPr fontId="8" type="noConversion"/>
  </si>
  <si>
    <t>c:\ace\aaa.exe</t>
    <phoneticPr fontId="8" type="noConversion"/>
  </si>
  <si>
    <t>E</t>
    <phoneticPr fontId="2" type="noConversion"/>
  </si>
  <si>
    <t>프로젝트 진행율 - 일정변경 관리하지 않을때</t>
    <phoneticPr fontId="8" type="noConversion"/>
  </si>
  <si>
    <t>3.2</t>
  </si>
  <si>
    <t>3.3</t>
  </si>
  <si>
    <t>4</t>
  </si>
  <si>
    <t>5</t>
  </si>
  <si>
    <t>5.1</t>
  </si>
  <si>
    <t>5.2</t>
  </si>
  <si>
    <t>5.3</t>
  </si>
  <si>
    <t>reserved</t>
    <phoneticPr fontId="8" type="noConversion"/>
  </si>
  <si>
    <t>task_group</t>
    <phoneticPr fontId="8" type="noConversion"/>
  </si>
  <si>
    <t>Calendar</t>
    <phoneticPr fontId="8" type="noConversion"/>
  </si>
  <si>
    <t>총_x000D_
작업량</t>
    <phoneticPr fontId="8" type="noConversion"/>
  </si>
  <si>
    <t>계획_x000D_
작업량</t>
    <phoneticPr fontId="8" type="noConversion"/>
  </si>
  <si>
    <t>계획_x000D_
기간</t>
    <phoneticPr fontId="8" type="noConversion"/>
  </si>
  <si>
    <t>실제_x000D_
시작일</t>
    <phoneticPr fontId="8" type="noConversion"/>
  </si>
  <si>
    <t>실제_x000D_
총작업량</t>
    <phoneticPr fontId="8" type="noConversion"/>
  </si>
  <si>
    <t>GME-Project</t>
    <phoneticPr fontId="2" type="noConversion"/>
  </si>
  <si>
    <t>D:\12.Document\01.Project\00. 스케쥴</t>
    <phoneticPr fontId="8" type="noConversion"/>
  </si>
  <si>
    <r>
      <t xml:space="preserve">  XLGantt 2.1.0 </t>
    </r>
    <r>
      <rPr>
        <b/>
        <sz val="14"/>
        <color rgb="FFFF8800"/>
        <rFont val="돋움"/>
        <family val="3"/>
        <charset val="129"/>
      </rPr>
      <t>ⓒ</t>
    </r>
    <r>
      <rPr>
        <b/>
        <sz val="14"/>
        <color rgb="FFFF8800"/>
        <rFont val="Calibri"/>
        <family val="2"/>
      </rPr>
      <t>XLWorks</t>
    </r>
    <phoneticPr fontId="8" type="noConversion"/>
  </si>
  <si>
    <t xml:space="preserve">  주별보기, Zoom 100%</t>
    <phoneticPr fontId="8" type="noConversion"/>
  </si>
  <si>
    <t>2.3</t>
  </si>
  <si>
    <t>2.4</t>
  </si>
  <si>
    <t>2.5</t>
  </si>
  <si>
    <t>3.4</t>
  </si>
  <si>
    <t>3.5</t>
  </si>
  <si>
    <t>4.1</t>
  </si>
  <si>
    <t>4.2</t>
  </si>
  <si>
    <t>4.3</t>
  </si>
  <si>
    <t>4.4</t>
  </si>
  <si>
    <t>5.4</t>
  </si>
  <si>
    <t>1.1</t>
  </si>
  <si>
    <t>1.2</t>
  </si>
  <si>
    <t>1.3</t>
  </si>
  <si>
    <t>1.4</t>
  </si>
  <si>
    <t>1.5</t>
  </si>
  <si>
    <t>6</t>
  </si>
  <si>
    <t>6.1</t>
  </si>
  <si>
    <t>6.2</t>
  </si>
  <si>
    <t>6.3</t>
  </si>
  <si>
    <t>Design</t>
  </si>
  <si>
    <t>7</t>
  </si>
  <si>
    <t>7.1</t>
  </si>
  <si>
    <t>7.2</t>
  </si>
  <si>
    <t>7.3</t>
  </si>
  <si>
    <t>7.4</t>
  </si>
  <si>
    <t>7.5</t>
  </si>
  <si>
    <t>8</t>
  </si>
  <si>
    <t>8.1</t>
  </si>
  <si>
    <t>8.2</t>
  </si>
  <si>
    <t>8.3</t>
  </si>
  <si>
    <t>8.4</t>
  </si>
  <si>
    <t>9</t>
  </si>
  <si>
    <t>9.1</t>
  </si>
  <si>
    <t>9.2</t>
  </si>
  <si>
    <t>9.3</t>
  </si>
  <si>
    <t>9.4</t>
  </si>
  <si>
    <t>Server</t>
  </si>
  <si>
    <t>iOS</t>
  </si>
  <si>
    <t>Android</t>
  </si>
  <si>
    <t>QA</t>
  </si>
  <si>
    <t>Meghan</t>
  </si>
  <si>
    <t>Anil</t>
  </si>
  <si>
    <t>Nabin</t>
  </si>
  <si>
    <t>Preyea</t>
  </si>
  <si>
    <t>Eddie, Chetan, Sumitra</t>
  </si>
  <si>
    <t>Ram</t>
  </si>
  <si>
    <t>Dibya</t>
  </si>
  <si>
    <t>Andrew</t>
  </si>
  <si>
    <t>Eddie</t>
  </si>
  <si>
    <t>[2109-09] New Point Policy</t>
  </si>
  <si>
    <t>JY</t>
  </si>
  <si>
    <t>[2110-13] Change ATM Withdrawal UI Logic</t>
  </si>
  <si>
    <t>Sumitra</t>
  </si>
  <si>
    <t>Chetan</t>
  </si>
  <si>
    <t>Summer</t>
  </si>
  <si>
    <t>Chetan, Sumitra</t>
  </si>
  <si>
    <t>Subash</t>
  </si>
  <si>
    <t>Workload현황(주별)</t>
  </si>
  <si>
    <t>* 주별 또는 월별 Workload를 보여줍니다.</t>
  </si>
  <si>
    <t>* "Workload(주별)" 또는 "Workload(월별)" 메뉴를 클릭해야 내용이 갱신됩니다.</t>
  </si>
  <si>
    <t>일 (월평균 근무일수)</t>
  </si>
  <si>
    <t>차트</t>
  </si>
  <si>
    <t>[2111-06] Bulk Email Service</t>
  </si>
  <si>
    <t>Saroj, Manoj</t>
  </si>
  <si>
    <t>[2103-19] OCR Function in Mobile App</t>
  </si>
  <si>
    <t>[2108-09] ATM Deposit using Galaxia</t>
  </si>
  <si>
    <t>[2110-14] Add Email field from Recipient Registration in African Countries</t>
  </si>
  <si>
    <t>[2110-22] Set Default Country is as Native Country in New Recipient</t>
  </si>
  <si>
    <t>[2111-02] Change for Access Token Date</t>
  </si>
  <si>
    <t>[2111-05] New API for International Topup Country</t>
  </si>
  <si>
    <t>[2108-16] Provide for Country default amount on the exchange rate page</t>
  </si>
  <si>
    <t>10</t>
  </si>
  <si>
    <t>10.1</t>
  </si>
  <si>
    <t>[2111-07] Alipay Reprocess</t>
  </si>
  <si>
    <t>Manoj</t>
  </si>
  <si>
    <t>11</t>
  </si>
  <si>
    <t>11.1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</si>
</sst>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48">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돋움"/>
      <family val="3"/>
      <charset val="129"/>
    </font>
    <font>
      <sz val="9"/>
      <name val="나눔바른고딕"/>
      <family val="3"/>
      <charset val="129"/>
    </font>
    <font>
      <sz val="9"/>
      <name val="Calibri"/>
      <family val="3"/>
    </font>
    <font>
      <sz val="11"/>
      <name val="Arial Narrow"/>
      <family val="2"/>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54">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4" xfId="4" applyFont="1" applyFill="1" applyBorder="1" applyAlignment="1" applyProtection="1">
      <alignment vertical="top"/>
      <protection locked="0"/>
    </xf>
    <xf numFmtId="0" fontId="12" fillId="0" borderId="24" xfId="4" quotePrefix="1" applyFont="1" applyFill="1" applyBorder="1" applyAlignment="1" applyProtection="1">
      <alignment horizontal="right" vertical="top"/>
      <protection locked="0"/>
    </xf>
    <xf numFmtId="0" fontId="12" fillId="0" borderId="24" xfId="4" applyFont="1" applyFill="1" applyBorder="1" applyAlignment="1" applyProtection="1">
      <alignment horizontal="left" vertical="top"/>
      <protection locked="0"/>
    </xf>
    <xf numFmtId="14" fontId="12" fillId="0" borderId="24" xfId="4" applyNumberFormat="1" applyFont="1" applyFill="1" applyBorder="1" applyAlignment="1" applyProtection="1">
      <alignment horizontal="center" vertical="top"/>
      <protection locked="0"/>
    </xf>
    <xf numFmtId="0" fontId="12" fillId="0" borderId="24" xfId="4" applyNumberFormat="1" applyFont="1" applyFill="1" applyBorder="1" applyAlignment="1" applyProtection="1">
      <alignment horizontal="left" vertical="top"/>
      <protection locked="0"/>
    </xf>
    <xf numFmtId="176" fontId="12" fillId="0" borderId="24" xfId="4" applyNumberFormat="1" applyFont="1" applyFill="1" applyBorder="1" applyAlignment="1" applyProtection="1">
      <alignment horizontal="center" vertical="top"/>
      <protection locked="0"/>
    </xf>
    <xf numFmtId="0" fontId="12" fillId="0" borderId="24" xfId="4" applyNumberFormat="1" applyFont="1" applyFill="1" applyBorder="1" applyAlignment="1" applyProtection="1">
      <alignment horizontal="center" vertical="top"/>
      <protection locked="0"/>
    </xf>
    <xf numFmtId="177" fontId="12" fillId="0" borderId="24" xfId="4" applyNumberFormat="1" applyFont="1" applyFill="1" applyBorder="1" applyAlignment="1" applyProtection="1">
      <alignment horizontal="center" vertical="top"/>
      <protection locked="0"/>
    </xf>
    <xf numFmtId="1" fontId="12" fillId="0" borderId="24" xfId="4" applyNumberFormat="1" applyFont="1" applyFill="1" applyBorder="1" applyAlignment="1" applyProtection="1">
      <alignment horizontal="center" vertical="top"/>
      <protection locked="0"/>
    </xf>
    <xf numFmtId="179" fontId="12" fillId="0" borderId="24" xfId="4" applyNumberFormat="1" applyFont="1" applyFill="1" applyBorder="1" applyAlignment="1" applyProtection="1">
      <alignment horizontal="center" vertical="top"/>
      <protection locked="0"/>
    </xf>
    <xf numFmtId="14" fontId="12" fillId="0" borderId="24" xfId="4" applyNumberFormat="1" applyFont="1" applyFill="1" applyBorder="1" applyAlignment="1" applyProtection="1">
      <alignment horizontal="left" vertical="top"/>
      <protection locked="0"/>
    </xf>
    <xf numFmtId="10" fontId="12" fillId="0" borderId="24" xfId="6" applyNumberFormat="1" applyFont="1" applyFill="1" applyBorder="1" applyAlignment="1" applyProtection="1">
      <alignment horizontal="right" vertical="top" wrapText="1"/>
      <protection locked="0"/>
    </xf>
    <xf numFmtId="10" fontId="12" fillId="0" borderId="24" xfId="6" applyNumberFormat="1" applyFont="1" applyFill="1" applyBorder="1" applyAlignment="1" applyProtection="1">
      <alignment horizontal="right" vertical="top"/>
      <protection locked="0"/>
    </xf>
    <xf numFmtId="0" fontId="16" fillId="0" borderId="0" xfId="4" applyFont="1" applyBorder="1"/>
    <xf numFmtId="0" fontId="44" fillId="0" borderId="7" xfId="4" applyFont="1" applyFill="1" applyBorder="1" applyAlignment="1" applyProtection="1">
      <alignment horizontal="left" vertical="top"/>
      <protection locked="0"/>
    </xf>
    <xf numFmtId="0" fontId="12" fillId="0" borderId="7" xfId="4" applyFont="1" applyFill="1" applyBorder="1" applyAlignment="1" applyProtection="1">
      <alignment horizontal="left" vertical="center"/>
      <protection locked="0"/>
    </xf>
    <xf numFmtId="0" fontId="45" fillId="0" borderId="7" xfId="4" applyFont="1" applyFill="1" applyBorder="1" applyAlignment="1" applyProtection="1">
      <alignment horizontal="left" vertical="top"/>
      <protection locked="0"/>
    </xf>
    <xf numFmtId="0" fontId="46" fillId="0" borderId="7" xfId="4" applyFont="1" applyFill="1" applyBorder="1" applyAlignment="1" applyProtection="1">
      <alignment horizontal="left" vertical="top"/>
      <protection locked="0"/>
    </xf>
    <xf numFmtId="0" fontId="12" fillId="0" borderId="25" xfId="4" applyFont="1" applyFill="1" applyBorder="1" applyAlignment="1" applyProtection="1">
      <alignment horizontal="left" vertical="center"/>
      <protection locked="0"/>
    </xf>
    <xf numFmtId="0" fontId="16" fillId="0" borderId="12" xfId="4" applyFont="1" applyBorder="1"/>
    <xf numFmtId="2" fontId="16" fillId="0" borderId="0" xfId="4" applyNumberFormat="1" applyFont="1" applyBorder="1"/>
    <xf numFmtId="14" fontId="16" fillId="0" borderId="15" xfId="4" applyNumberFormat="1" applyFont="1" applyBorder="1"/>
    <xf numFmtId="0" fontId="16" fillId="0" borderId="15" xfId="4" applyFont="1" applyBorder="1"/>
    <xf numFmtId="2" fontId="16" fillId="0" borderId="15" xfId="4" applyNumberFormat="1" applyFont="1" applyBorder="1"/>
    <xf numFmtId="0" fontId="47" fillId="0" borderId="15" xfId="4" applyFont="1" applyBorder="1"/>
    <xf numFmtId="14" fontId="16" fillId="0" borderId="26" xfId="4" applyNumberFormat="1" applyFont="1" applyBorder="1"/>
    <xf numFmtId="0" fontId="16" fillId="0" borderId="26" xfId="4" applyFont="1" applyBorder="1"/>
    <xf numFmtId="2" fontId="16" fillId="0" borderId="26" xfId="4" applyNumberFormat="1" applyFont="1" applyBorder="1"/>
    <xf numFmtId="0" fontId="47" fillId="0" borderId="26" xfId="4" applyFont="1" applyBorder="1"/>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14" fontId="31" fillId="11" borderId="0" xfId="3" applyNumberFormat="1" applyFont="1" applyFill="1" applyBorder="1" applyAlignment="1">
      <alignment horizontal="center" vertical="center" wrapText="1"/>
    </xf>
    <xf numFmtId="0" fontId="11" fillId="10" borderId="2" xfId="4" applyFont="1" applyFill="1" applyBorder="1" applyAlignment="1" applyProtection="1">
      <alignment horizontal="center" vertical="center"/>
    </xf>
    <xf numFmtId="0" fontId="11" fillId="10" borderId="2" xfId="4" applyNumberFormat="1" applyFont="1" applyFill="1" applyBorder="1" applyAlignment="1" applyProtection="1">
      <alignment horizontal="center" vertical="center"/>
    </xf>
    <xf numFmtId="176" fontId="11" fillId="5" borderId="2" xfId="4" applyNumberFormat="1" applyFont="1" applyFill="1" applyBorder="1" applyAlignment="1" applyProtection="1">
      <alignment horizontal="center" vertical="center" wrapText="1"/>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3"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78" fontId="11" fillId="5" borderId="5" xfId="1" applyNumberFormat="1" applyFont="1" applyFill="1" applyBorder="1" applyAlignment="1">
      <alignment horizontal="left" vertical="center"/>
    </xf>
    <xf numFmtId="178" fontId="11" fillId="5" borderId="6" xfId="1" applyNumberFormat="1" applyFont="1" applyFill="1" applyBorder="1" applyAlignment="1">
      <alignment horizontal="left" vertical="center"/>
    </xf>
    <xf numFmtId="0" fontId="7" fillId="11" borderId="0" xfId="2" applyFont="1" applyFill="1" applyBorder="1" applyAlignment="1">
      <alignment horizontal="left" vertical="center"/>
    </xf>
    <xf numFmtId="178" fontId="11" fillId="5" borderId="4" xfId="1" applyNumberFormat="1" applyFont="1" applyFill="1" applyBorder="1" applyAlignment="1">
      <alignment horizontal="left" vertical="center"/>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0" fontId="16" fillId="7" borderId="3" xfId="4" applyFont="1" applyFill="1" applyBorder="1" applyAlignment="1">
      <alignment horizontal="left" wrapText="1"/>
    </xf>
    <xf numFmtId="0" fontId="16" fillId="0" borderId="0" xfId="4" applyFont="1" applyBorder="1"/>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7">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53</xdr:col>
      <xdr:colOff>43815</xdr:colOff>
      <xdr:row>65</xdr:row>
      <xdr:rowOff>30480</xdr:rowOff>
    </xdr:from>
    <xdr:to>
      <xdr:col>53</xdr:col>
      <xdr:colOff>105863</xdr:colOff>
      <xdr:row>65</xdr:row>
      <xdr:rowOff>144780</xdr:rowOff>
    </xdr:to>
    <xdr:sp macro="" textlink="">
      <xdr:nvSpPr>
        <xdr:cNvPr id="7554" name="직사각형 7553">
          <a:extLst>
            <a:ext uri="{FF2B5EF4-FFF2-40B4-BE49-F238E27FC236}">
              <a16:creationId xmlns:a16="http://schemas.microsoft.com/office/drawing/2014/main" id="{7FC06674-13F5-47B9-9267-40625BE46531}"/>
            </a:ext>
          </a:extLst>
        </xdr:cNvPr>
        <xdr:cNvSpPr/>
      </xdr:nvSpPr>
      <xdr:spPr>
        <a:xfrm>
          <a:off x="12169140" y="100698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43815</xdr:colOff>
      <xdr:row>65</xdr:row>
      <xdr:rowOff>87630</xdr:rowOff>
    </xdr:from>
    <xdr:to>
      <xdr:col>53</xdr:col>
      <xdr:colOff>99658</xdr:colOff>
      <xdr:row>65</xdr:row>
      <xdr:rowOff>87630</xdr:rowOff>
    </xdr:to>
    <xdr:cxnSp macro="">
      <xdr:nvCxnSpPr>
        <xdr:cNvPr id="7555" name="직선 화살표 연결선 7554">
          <a:extLst>
            <a:ext uri="{FF2B5EF4-FFF2-40B4-BE49-F238E27FC236}">
              <a16:creationId xmlns:a16="http://schemas.microsoft.com/office/drawing/2014/main" id="{20AD5F8F-8C7D-471A-87B6-F7076137B651}"/>
            </a:ext>
          </a:extLst>
        </xdr:cNvPr>
        <xdr:cNvCxnSpPr/>
      </xdr:nvCxnSpPr>
      <xdr:spPr>
        <a:xfrm>
          <a:off x="12169140" y="10126980"/>
          <a:ext cx="558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43815</xdr:colOff>
      <xdr:row>64</xdr:row>
      <xdr:rowOff>30480</xdr:rowOff>
    </xdr:from>
    <xdr:to>
      <xdr:col>53</xdr:col>
      <xdr:colOff>105863</xdr:colOff>
      <xdr:row>64</xdr:row>
      <xdr:rowOff>144780</xdr:rowOff>
    </xdr:to>
    <xdr:sp macro="" textlink="">
      <xdr:nvSpPr>
        <xdr:cNvPr id="7556" name="직사각형 7555">
          <a:extLst>
            <a:ext uri="{FF2B5EF4-FFF2-40B4-BE49-F238E27FC236}">
              <a16:creationId xmlns:a16="http://schemas.microsoft.com/office/drawing/2014/main" id="{EBDFAF8C-CC0B-4700-B2C8-ADF2D26E98EC}"/>
            </a:ext>
          </a:extLst>
        </xdr:cNvPr>
        <xdr:cNvSpPr/>
      </xdr:nvSpPr>
      <xdr:spPr>
        <a:xfrm>
          <a:off x="12169140" y="9917430"/>
          <a:ext cx="620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43815</xdr:colOff>
      <xdr:row>64</xdr:row>
      <xdr:rowOff>87630</xdr:rowOff>
    </xdr:from>
    <xdr:to>
      <xdr:col>53</xdr:col>
      <xdr:colOff>99658</xdr:colOff>
      <xdr:row>64</xdr:row>
      <xdr:rowOff>87630</xdr:rowOff>
    </xdr:to>
    <xdr:cxnSp macro="">
      <xdr:nvCxnSpPr>
        <xdr:cNvPr id="7557" name="직선 화살표 연결선 7556">
          <a:extLst>
            <a:ext uri="{FF2B5EF4-FFF2-40B4-BE49-F238E27FC236}">
              <a16:creationId xmlns:a16="http://schemas.microsoft.com/office/drawing/2014/main" id="{55FBD20D-E24C-495D-B205-9214B3F9BD1B}"/>
            </a:ext>
          </a:extLst>
        </xdr:cNvPr>
        <xdr:cNvCxnSpPr/>
      </xdr:nvCxnSpPr>
      <xdr:spPr>
        <a:xfrm>
          <a:off x="12169140" y="9974580"/>
          <a:ext cx="558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43815</xdr:colOff>
      <xdr:row>62</xdr:row>
      <xdr:rowOff>30480</xdr:rowOff>
    </xdr:from>
    <xdr:to>
      <xdr:col>53</xdr:col>
      <xdr:colOff>64498</xdr:colOff>
      <xdr:row>62</xdr:row>
      <xdr:rowOff>144780</xdr:rowOff>
    </xdr:to>
    <xdr:sp macro="" textlink="">
      <xdr:nvSpPr>
        <xdr:cNvPr id="7558" name="직사각형 7557">
          <a:extLst>
            <a:ext uri="{FF2B5EF4-FFF2-40B4-BE49-F238E27FC236}">
              <a16:creationId xmlns:a16="http://schemas.microsoft.com/office/drawing/2014/main" id="{DE84D430-5330-4B2A-82FC-4732B6CC5906}"/>
            </a:ext>
          </a:extLst>
        </xdr:cNvPr>
        <xdr:cNvSpPr/>
      </xdr:nvSpPr>
      <xdr:spPr>
        <a:xfrm>
          <a:off x="12169140" y="9612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43815</xdr:colOff>
      <xdr:row>62</xdr:row>
      <xdr:rowOff>87630</xdr:rowOff>
    </xdr:from>
    <xdr:to>
      <xdr:col>53</xdr:col>
      <xdr:colOff>64498</xdr:colOff>
      <xdr:row>62</xdr:row>
      <xdr:rowOff>87630</xdr:rowOff>
    </xdr:to>
    <xdr:cxnSp macro="">
      <xdr:nvCxnSpPr>
        <xdr:cNvPr id="7559" name="직선 화살표 연결선 7558">
          <a:extLst>
            <a:ext uri="{FF2B5EF4-FFF2-40B4-BE49-F238E27FC236}">
              <a16:creationId xmlns:a16="http://schemas.microsoft.com/office/drawing/2014/main" id="{5AA119AB-26FD-4ECB-923D-4DFB85ECC302}"/>
            </a:ext>
          </a:extLst>
        </xdr:cNvPr>
        <xdr:cNvCxnSpPr/>
      </xdr:nvCxnSpPr>
      <xdr:spPr>
        <a:xfrm>
          <a:off x="12169140" y="96697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43815</xdr:colOff>
      <xdr:row>61</xdr:row>
      <xdr:rowOff>30480</xdr:rowOff>
    </xdr:from>
    <xdr:to>
      <xdr:col>53</xdr:col>
      <xdr:colOff>64498</xdr:colOff>
      <xdr:row>61</xdr:row>
      <xdr:rowOff>144780</xdr:rowOff>
    </xdr:to>
    <xdr:sp macro="" textlink="">
      <xdr:nvSpPr>
        <xdr:cNvPr id="7560" name="직사각형 7559">
          <a:extLst>
            <a:ext uri="{FF2B5EF4-FFF2-40B4-BE49-F238E27FC236}">
              <a16:creationId xmlns:a16="http://schemas.microsoft.com/office/drawing/2014/main" id="{6A1C4532-FAAF-4070-B3DA-AE9B90CACD75}"/>
            </a:ext>
          </a:extLst>
        </xdr:cNvPr>
        <xdr:cNvSpPr/>
      </xdr:nvSpPr>
      <xdr:spPr>
        <a:xfrm>
          <a:off x="12169140" y="9460230"/>
          <a:ext cx="206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43815</xdr:colOff>
      <xdr:row>61</xdr:row>
      <xdr:rowOff>87630</xdr:rowOff>
    </xdr:from>
    <xdr:to>
      <xdr:col>53</xdr:col>
      <xdr:colOff>64498</xdr:colOff>
      <xdr:row>61</xdr:row>
      <xdr:rowOff>87630</xdr:rowOff>
    </xdr:to>
    <xdr:cxnSp macro="">
      <xdr:nvCxnSpPr>
        <xdr:cNvPr id="7561" name="직선 화살표 연결선 7560">
          <a:extLst>
            <a:ext uri="{FF2B5EF4-FFF2-40B4-BE49-F238E27FC236}">
              <a16:creationId xmlns:a16="http://schemas.microsoft.com/office/drawing/2014/main" id="{9F0435AC-8D71-4FCA-93F5-B8A9D3DDCCCA}"/>
            </a:ext>
          </a:extLst>
        </xdr:cNvPr>
        <xdr:cNvCxnSpPr/>
      </xdr:nvCxnSpPr>
      <xdr:spPr>
        <a:xfrm>
          <a:off x="12169140" y="9517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41638</xdr:colOff>
      <xdr:row>58</xdr:row>
      <xdr:rowOff>30480</xdr:rowOff>
    </xdr:from>
    <xdr:to>
      <xdr:col>42</xdr:col>
      <xdr:colOff>126274</xdr:colOff>
      <xdr:row>58</xdr:row>
      <xdr:rowOff>144780</xdr:rowOff>
    </xdr:to>
    <xdr:sp macro="" textlink="">
      <xdr:nvSpPr>
        <xdr:cNvPr id="7562" name="직사각형 7561">
          <a:extLst>
            <a:ext uri="{FF2B5EF4-FFF2-40B4-BE49-F238E27FC236}">
              <a16:creationId xmlns:a16="http://schemas.microsoft.com/office/drawing/2014/main" id="{4FA2E1C8-1B16-495A-919A-84FDE2950C94}"/>
            </a:ext>
          </a:extLst>
        </xdr:cNvPr>
        <xdr:cNvSpPr/>
      </xdr:nvSpPr>
      <xdr:spPr>
        <a:xfrm>
          <a:off x="10452463" y="9003030"/>
          <a:ext cx="2275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41638</xdr:colOff>
      <xdr:row>58</xdr:row>
      <xdr:rowOff>87630</xdr:rowOff>
    </xdr:from>
    <xdr:to>
      <xdr:col>41</xdr:col>
      <xdr:colOff>41638</xdr:colOff>
      <xdr:row>58</xdr:row>
      <xdr:rowOff>87630</xdr:rowOff>
    </xdr:to>
    <xdr:cxnSp macro="">
      <xdr:nvCxnSpPr>
        <xdr:cNvPr id="7563" name="직선 화살표 연결선 7562">
          <a:extLst>
            <a:ext uri="{FF2B5EF4-FFF2-40B4-BE49-F238E27FC236}">
              <a16:creationId xmlns:a16="http://schemas.microsoft.com/office/drawing/2014/main" id="{A7EC98EC-5599-4A58-BCA3-1568A2685F4E}"/>
            </a:ext>
          </a:extLst>
        </xdr:cNvPr>
        <xdr:cNvCxnSpPr/>
      </xdr:nvCxnSpPr>
      <xdr:spPr>
        <a:xfrm>
          <a:off x="10452463" y="906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41638</xdr:colOff>
      <xdr:row>57</xdr:row>
      <xdr:rowOff>30480</xdr:rowOff>
    </xdr:from>
    <xdr:to>
      <xdr:col>42</xdr:col>
      <xdr:colOff>126274</xdr:colOff>
      <xdr:row>57</xdr:row>
      <xdr:rowOff>144780</xdr:rowOff>
    </xdr:to>
    <xdr:sp macro="" textlink="">
      <xdr:nvSpPr>
        <xdr:cNvPr id="7564" name="직사각형 7563">
          <a:extLst>
            <a:ext uri="{FF2B5EF4-FFF2-40B4-BE49-F238E27FC236}">
              <a16:creationId xmlns:a16="http://schemas.microsoft.com/office/drawing/2014/main" id="{A962E654-910B-4693-9063-A4B3490D7168}"/>
            </a:ext>
          </a:extLst>
        </xdr:cNvPr>
        <xdr:cNvSpPr/>
      </xdr:nvSpPr>
      <xdr:spPr>
        <a:xfrm>
          <a:off x="10452463" y="8850630"/>
          <a:ext cx="2275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41638</xdr:colOff>
      <xdr:row>57</xdr:row>
      <xdr:rowOff>87630</xdr:rowOff>
    </xdr:from>
    <xdr:to>
      <xdr:col>41</xdr:col>
      <xdr:colOff>41638</xdr:colOff>
      <xdr:row>57</xdr:row>
      <xdr:rowOff>87630</xdr:rowOff>
    </xdr:to>
    <xdr:cxnSp macro="">
      <xdr:nvCxnSpPr>
        <xdr:cNvPr id="7565" name="직선 화살표 연결선 7564">
          <a:extLst>
            <a:ext uri="{FF2B5EF4-FFF2-40B4-BE49-F238E27FC236}">
              <a16:creationId xmlns:a16="http://schemas.microsoft.com/office/drawing/2014/main" id="{413CE8BA-F6CD-4AEF-95AC-09407998ED40}"/>
            </a:ext>
          </a:extLst>
        </xdr:cNvPr>
        <xdr:cNvCxnSpPr/>
      </xdr:nvCxnSpPr>
      <xdr:spPr>
        <a:xfrm>
          <a:off x="10452463" y="890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41638</xdr:colOff>
      <xdr:row>56</xdr:row>
      <xdr:rowOff>30480</xdr:rowOff>
    </xdr:from>
    <xdr:to>
      <xdr:col>42</xdr:col>
      <xdr:colOff>126274</xdr:colOff>
      <xdr:row>56</xdr:row>
      <xdr:rowOff>144780</xdr:rowOff>
    </xdr:to>
    <xdr:sp macro="" textlink="">
      <xdr:nvSpPr>
        <xdr:cNvPr id="7566" name="직사각형 7565">
          <a:extLst>
            <a:ext uri="{FF2B5EF4-FFF2-40B4-BE49-F238E27FC236}">
              <a16:creationId xmlns:a16="http://schemas.microsoft.com/office/drawing/2014/main" id="{21493E9E-5713-414E-B132-879691A228B6}"/>
            </a:ext>
          </a:extLst>
        </xdr:cNvPr>
        <xdr:cNvSpPr/>
      </xdr:nvSpPr>
      <xdr:spPr>
        <a:xfrm>
          <a:off x="10452463" y="8698230"/>
          <a:ext cx="2275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41638</xdr:colOff>
      <xdr:row>56</xdr:row>
      <xdr:rowOff>87630</xdr:rowOff>
    </xdr:from>
    <xdr:to>
      <xdr:col>41</xdr:col>
      <xdr:colOff>41638</xdr:colOff>
      <xdr:row>56</xdr:row>
      <xdr:rowOff>87630</xdr:rowOff>
    </xdr:to>
    <xdr:cxnSp macro="">
      <xdr:nvCxnSpPr>
        <xdr:cNvPr id="7567" name="직선 화살표 연결선 7566">
          <a:extLst>
            <a:ext uri="{FF2B5EF4-FFF2-40B4-BE49-F238E27FC236}">
              <a16:creationId xmlns:a16="http://schemas.microsoft.com/office/drawing/2014/main" id="{61D56AC1-5D16-4FB0-9BA4-E97B1FA824D6}"/>
            </a:ext>
          </a:extLst>
        </xdr:cNvPr>
        <xdr:cNvCxnSpPr/>
      </xdr:nvCxnSpPr>
      <xdr:spPr>
        <a:xfrm>
          <a:off x="10452463" y="875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41638</xdr:colOff>
      <xdr:row>55</xdr:row>
      <xdr:rowOff>30480</xdr:rowOff>
    </xdr:from>
    <xdr:to>
      <xdr:col>42</xdr:col>
      <xdr:colOff>126274</xdr:colOff>
      <xdr:row>55</xdr:row>
      <xdr:rowOff>144780</xdr:rowOff>
    </xdr:to>
    <xdr:sp macro="" textlink="">
      <xdr:nvSpPr>
        <xdr:cNvPr id="7568" name="직사각형 7567">
          <a:extLst>
            <a:ext uri="{FF2B5EF4-FFF2-40B4-BE49-F238E27FC236}">
              <a16:creationId xmlns:a16="http://schemas.microsoft.com/office/drawing/2014/main" id="{A11A75E2-65C3-44EA-84B9-134CF84317BC}"/>
            </a:ext>
          </a:extLst>
        </xdr:cNvPr>
        <xdr:cNvSpPr/>
      </xdr:nvSpPr>
      <xdr:spPr>
        <a:xfrm>
          <a:off x="10452463" y="8545830"/>
          <a:ext cx="2275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41638</xdr:colOff>
      <xdr:row>55</xdr:row>
      <xdr:rowOff>87630</xdr:rowOff>
    </xdr:from>
    <xdr:to>
      <xdr:col>41</xdr:col>
      <xdr:colOff>41638</xdr:colOff>
      <xdr:row>55</xdr:row>
      <xdr:rowOff>87630</xdr:rowOff>
    </xdr:to>
    <xdr:cxnSp macro="">
      <xdr:nvCxnSpPr>
        <xdr:cNvPr id="7569" name="직선 화살표 연결선 7568">
          <a:extLst>
            <a:ext uri="{FF2B5EF4-FFF2-40B4-BE49-F238E27FC236}">
              <a16:creationId xmlns:a16="http://schemas.microsoft.com/office/drawing/2014/main" id="{04997F11-FB91-4E1B-AFCB-8FE028714918}"/>
            </a:ext>
          </a:extLst>
        </xdr:cNvPr>
        <xdr:cNvCxnSpPr/>
      </xdr:nvCxnSpPr>
      <xdr:spPr>
        <a:xfrm>
          <a:off x="10452463" y="860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43815</xdr:colOff>
      <xdr:row>53</xdr:row>
      <xdr:rowOff>30480</xdr:rowOff>
    </xdr:from>
    <xdr:to>
      <xdr:col>53</xdr:col>
      <xdr:colOff>64498</xdr:colOff>
      <xdr:row>53</xdr:row>
      <xdr:rowOff>144780</xdr:rowOff>
    </xdr:to>
    <xdr:sp macro="" textlink="">
      <xdr:nvSpPr>
        <xdr:cNvPr id="7570" name="직사각형 7569">
          <a:extLst>
            <a:ext uri="{FF2B5EF4-FFF2-40B4-BE49-F238E27FC236}">
              <a16:creationId xmlns:a16="http://schemas.microsoft.com/office/drawing/2014/main" id="{5685E1A2-42EE-4626-9930-1ED10D5D2C48}"/>
            </a:ext>
          </a:extLst>
        </xdr:cNvPr>
        <xdr:cNvSpPr/>
      </xdr:nvSpPr>
      <xdr:spPr>
        <a:xfrm>
          <a:off x="12169140" y="8241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43815</xdr:colOff>
      <xdr:row>53</xdr:row>
      <xdr:rowOff>87630</xdr:rowOff>
    </xdr:from>
    <xdr:to>
      <xdr:col>53</xdr:col>
      <xdr:colOff>43815</xdr:colOff>
      <xdr:row>53</xdr:row>
      <xdr:rowOff>87630</xdr:rowOff>
    </xdr:to>
    <xdr:cxnSp macro="">
      <xdr:nvCxnSpPr>
        <xdr:cNvPr id="7571" name="직선 화살표 연결선 7570">
          <a:extLst>
            <a:ext uri="{FF2B5EF4-FFF2-40B4-BE49-F238E27FC236}">
              <a16:creationId xmlns:a16="http://schemas.microsoft.com/office/drawing/2014/main" id="{331281E5-BE4D-42EB-8B43-356C1FB6E1E1}"/>
            </a:ext>
          </a:extLst>
        </xdr:cNvPr>
        <xdr:cNvCxnSpPr/>
      </xdr:nvCxnSpPr>
      <xdr:spPr>
        <a:xfrm>
          <a:off x="12169140" y="829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83276</xdr:colOff>
      <xdr:row>52</xdr:row>
      <xdr:rowOff>30480</xdr:rowOff>
    </xdr:from>
    <xdr:to>
      <xdr:col>53</xdr:col>
      <xdr:colOff>2449</xdr:colOff>
      <xdr:row>52</xdr:row>
      <xdr:rowOff>144780</xdr:rowOff>
    </xdr:to>
    <xdr:sp macro="" textlink="">
      <xdr:nvSpPr>
        <xdr:cNvPr id="7572" name="직사각형 7571">
          <a:extLst>
            <a:ext uri="{FF2B5EF4-FFF2-40B4-BE49-F238E27FC236}">
              <a16:creationId xmlns:a16="http://schemas.microsoft.com/office/drawing/2014/main" id="{DD8C307D-EF2A-446B-8F0E-67DB61594A6F}"/>
            </a:ext>
          </a:extLst>
        </xdr:cNvPr>
        <xdr:cNvSpPr/>
      </xdr:nvSpPr>
      <xdr:spPr>
        <a:xfrm>
          <a:off x="12065726" y="8088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83276</xdr:colOff>
      <xdr:row>52</xdr:row>
      <xdr:rowOff>87630</xdr:rowOff>
    </xdr:from>
    <xdr:to>
      <xdr:col>52</xdr:col>
      <xdr:colOff>83276</xdr:colOff>
      <xdr:row>52</xdr:row>
      <xdr:rowOff>87630</xdr:rowOff>
    </xdr:to>
    <xdr:cxnSp macro="">
      <xdr:nvCxnSpPr>
        <xdr:cNvPr id="7573" name="직선 화살표 연결선 7572">
          <a:extLst>
            <a:ext uri="{FF2B5EF4-FFF2-40B4-BE49-F238E27FC236}">
              <a16:creationId xmlns:a16="http://schemas.microsoft.com/office/drawing/2014/main" id="{2A515B9A-F404-49C3-A1ED-983A71F4BB27}"/>
            </a:ext>
          </a:extLst>
        </xdr:cNvPr>
        <xdr:cNvCxnSpPr/>
      </xdr:nvCxnSpPr>
      <xdr:spPr>
        <a:xfrm>
          <a:off x="12065726" y="814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83276</xdr:colOff>
      <xdr:row>51</xdr:row>
      <xdr:rowOff>30480</xdr:rowOff>
    </xdr:from>
    <xdr:to>
      <xdr:col>53</xdr:col>
      <xdr:colOff>2449</xdr:colOff>
      <xdr:row>51</xdr:row>
      <xdr:rowOff>144780</xdr:rowOff>
    </xdr:to>
    <xdr:sp macro="" textlink="">
      <xdr:nvSpPr>
        <xdr:cNvPr id="7574" name="직사각형 7573">
          <a:extLst>
            <a:ext uri="{FF2B5EF4-FFF2-40B4-BE49-F238E27FC236}">
              <a16:creationId xmlns:a16="http://schemas.microsoft.com/office/drawing/2014/main" id="{8E27CAFB-D005-4AB6-9618-EAD534AF915C}"/>
            </a:ext>
          </a:extLst>
        </xdr:cNvPr>
        <xdr:cNvSpPr/>
      </xdr:nvSpPr>
      <xdr:spPr>
        <a:xfrm>
          <a:off x="12065726" y="79362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83276</xdr:colOff>
      <xdr:row>51</xdr:row>
      <xdr:rowOff>87630</xdr:rowOff>
    </xdr:from>
    <xdr:to>
      <xdr:col>52</xdr:col>
      <xdr:colOff>83276</xdr:colOff>
      <xdr:row>51</xdr:row>
      <xdr:rowOff>87630</xdr:rowOff>
    </xdr:to>
    <xdr:cxnSp macro="">
      <xdr:nvCxnSpPr>
        <xdr:cNvPr id="7575" name="직선 화살표 연결선 7574">
          <a:extLst>
            <a:ext uri="{FF2B5EF4-FFF2-40B4-BE49-F238E27FC236}">
              <a16:creationId xmlns:a16="http://schemas.microsoft.com/office/drawing/2014/main" id="{2BCE50F7-F242-4824-870B-7AAB1CD6CF3C}"/>
            </a:ext>
          </a:extLst>
        </xdr:cNvPr>
        <xdr:cNvCxnSpPr/>
      </xdr:nvCxnSpPr>
      <xdr:spPr>
        <a:xfrm>
          <a:off x="12065726" y="799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83276</xdr:colOff>
      <xdr:row>50</xdr:row>
      <xdr:rowOff>30480</xdr:rowOff>
    </xdr:from>
    <xdr:to>
      <xdr:col>53</xdr:col>
      <xdr:colOff>2449</xdr:colOff>
      <xdr:row>50</xdr:row>
      <xdr:rowOff>144780</xdr:rowOff>
    </xdr:to>
    <xdr:sp macro="" textlink="">
      <xdr:nvSpPr>
        <xdr:cNvPr id="7576" name="직사각형 7575">
          <a:extLst>
            <a:ext uri="{FF2B5EF4-FFF2-40B4-BE49-F238E27FC236}">
              <a16:creationId xmlns:a16="http://schemas.microsoft.com/office/drawing/2014/main" id="{3E72585F-25C2-456D-BCC8-B9B40BE5E703}"/>
            </a:ext>
          </a:extLst>
        </xdr:cNvPr>
        <xdr:cNvSpPr/>
      </xdr:nvSpPr>
      <xdr:spPr>
        <a:xfrm>
          <a:off x="12065726" y="77838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83276</xdr:colOff>
      <xdr:row>50</xdr:row>
      <xdr:rowOff>87630</xdr:rowOff>
    </xdr:from>
    <xdr:to>
      <xdr:col>52</xdr:col>
      <xdr:colOff>83276</xdr:colOff>
      <xdr:row>50</xdr:row>
      <xdr:rowOff>87630</xdr:rowOff>
    </xdr:to>
    <xdr:cxnSp macro="">
      <xdr:nvCxnSpPr>
        <xdr:cNvPr id="7577" name="직선 화살표 연결선 7576">
          <a:extLst>
            <a:ext uri="{FF2B5EF4-FFF2-40B4-BE49-F238E27FC236}">
              <a16:creationId xmlns:a16="http://schemas.microsoft.com/office/drawing/2014/main" id="{F4CE7324-68A7-475F-953F-3625429DAD31}"/>
            </a:ext>
          </a:extLst>
        </xdr:cNvPr>
        <xdr:cNvCxnSpPr/>
      </xdr:nvCxnSpPr>
      <xdr:spPr>
        <a:xfrm>
          <a:off x="12065726" y="784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83276</xdr:colOff>
      <xdr:row>49</xdr:row>
      <xdr:rowOff>30480</xdr:rowOff>
    </xdr:from>
    <xdr:to>
      <xdr:col>53</xdr:col>
      <xdr:colOff>64498</xdr:colOff>
      <xdr:row>49</xdr:row>
      <xdr:rowOff>144780</xdr:rowOff>
    </xdr:to>
    <xdr:sp macro="" textlink="">
      <xdr:nvSpPr>
        <xdr:cNvPr id="7578" name="직사각형 7577">
          <a:extLst>
            <a:ext uri="{FF2B5EF4-FFF2-40B4-BE49-F238E27FC236}">
              <a16:creationId xmlns:a16="http://schemas.microsoft.com/office/drawing/2014/main" id="{7EF2FBE8-264B-423E-B8BC-42B054447121}"/>
            </a:ext>
          </a:extLst>
        </xdr:cNvPr>
        <xdr:cNvSpPr/>
      </xdr:nvSpPr>
      <xdr:spPr>
        <a:xfrm>
          <a:off x="12065726" y="7631430"/>
          <a:ext cx="1240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83276</xdr:colOff>
      <xdr:row>49</xdr:row>
      <xdr:rowOff>87630</xdr:rowOff>
    </xdr:from>
    <xdr:to>
      <xdr:col>52</xdr:col>
      <xdr:colOff>83276</xdr:colOff>
      <xdr:row>49</xdr:row>
      <xdr:rowOff>87630</xdr:rowOff>
    </xdr:to>
    <xdr:cxnSp macro="">
      <xdr:nvCxnSpPr>
        <xdr:cNvPr id="7579" name="직선 화살표 연결선 7578">
          <a:extLst>
            <a:ext uri="{FF2B5EF4-FFF2-40B4-BE49-F238E27FC236}">
              <a16:creationId xmlns:a16="http://schemas.microsoft.com/office/drawing/2014/main" id="{A63D7CD7-C7DE-478E-B3F9-06F5EAA030ED}"/>
            </a:ext>
          </a:extLst>
        </xdr:cNvPr>
        <xdr:cNvCxnSpPr/>
      </xdr:nvCxnSpPr>
      <xdr:spPr>
        <a:xfrm>
          <a:off x="12065726" y="768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43815</xdr:colOff>
      <xdr:row>47</xdr:row>
      <xdr:rowOff>30480</xdr:rowOff>
    </xdr:from>
    <xdr:to>
      <xdr:col>53</xdr:col>
      <xdr:colOff>64498</xdr:colOff>
      <xdr:row>47</xdr:row>
      <xdr:rowOff>144780</xdr:rowOff>
    </xdr:to>
    <xdr:sp macro="" textlink="">
      <xdr:nvSpPr>
        <xdr:cNvPr id="7580" name="직사각형 7579">
          <a:extLst>
            <a:ext uri="{FF2B5EF4-FFF2-40B4-BE49-F238E27FC236}">
              <a16:creationId xmlns:a16="http://schemas.microsoft.com/office/drawing/2014/main" id="{8895DD77-D430-4B08-949E-C7DAEA91A17D}"/>
            </a:ext>
          </a:extLst>
        </xdr:cNvPr>
        <xdr:cNvSpPr/>
      </xdr:nvSpPr>
      <xdr:spPr>
        <a:xfrm>
          <a:off x="12169140" y="7326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43815</xdr:colOff>
      <xdr:row>47</xdr:row>
      <xdr:rowOff>87630</xdr:rowOff>
    </xdr:from>
    <xdr:to>
      <xdr:col>53</xdr:col>
      <xdr:colOff>43815</xdr:colOff>
      <xdr:row>47</xdr:row>
      <xdr:rowOff>87630</xdr:rowOff>
    </xdr:to>
    <xdr:cxnSp macro="">
      <xdr:nvCxnSpPr>
        <xdr:cNvPr id="7581" name="직선 화살표 연결선 7580">
          <a:extLst>
            <a:ext uri="{FF2B5EF4-FFF2-40B4-BE49-F238E27FC236}">
              <a16:creationId xmlns:a16="http://schemas.microsoft.com/office/drawing/2014/main" id="{29E06BD0-9C31-4126-AE67-FB82FE9E2EAA}"/>
            </a:ext>
          </a:extLst>
        </xdr:cNvPr>
        <xdr:cNvCxnSpPr/>
      </xdr:nvCxnSpPr>
      <xdr:spPr>
        <a:xfrm>
          <a:off x="12169140" y="738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41910</xdr:colOff>
      <xdr:row>46</xdr:row>
      <xdr:rowOff>30480</xdr:rowOff>
    </xdr:from>
    <xdr:to>
      <xdr:col>53</xdr:col>
      <xdr:colOff>2449</xdr:colOff>
      <xdr:row>46</xdr:row>
      <xdr:rowOff>144780</xdr:rowOff>
    </xdr:to>
    <xdr:sp macro="" textlink="">
      <xdr:nvSpPr>
        <xdr:cNvPr id="7582" name="직사각형 7581">
          <a:extLst>
            <a:ext uri="{FF2B5EF4-FFF2-40B4-BE49-F238E27FC236}">
              <a16:creationId xmlns:a16="http://schemas.microsoft.com/office/drawing/2014/main" id="{CD43EDC4-241B-4079-853A-CBAE806E2AD5}"/>
            </a:ext>
          </a:extLst>
        </xdr:cNvPr>
        <xdr:cNvSpPr/>
      </xdr:nvSpPr>
      <xdr:spPr>
        <a:xfrm>
          <a:off x="12024360" y="71742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41910</xdr:colOff>
      <xdr:row>46</xdr:row>
      <xdr:rowOff>87630</xdr:rowOff>
    </xdr:from>
    <xdr:to>
      <xdr:col>52</xdr:col>
      <xdr:colOff>41910</xdr:colOff>
      <xdr:row>46</xdr:row>
      <xdr:rowOff>87630</xdr:rowOff>
    </xdr:to>
    <xdr:cxnSp macro="">
      <xdr:nvCxnSpPr>
        <xdr:cNvPr id="7583" name="직선 화살표 연결선 7582">
          <a:extLst>
            <a:ext uri="{FF2B5EF4-FFF2-40B4-BE49-F238E27FC236}">
              <a16:creationId xmlns:a16="http://schemas.microsoft.com/office/drawing/2014/main" id="{994E5BF4-6D72-4947-B681-8CB8058C0B41}"/>
            </a:ext>
          </a:extLst>
        </xdr:cNvPr>
        <xdr:cNvCxnSpPr/>
      </xdr:nvCxnSpPr>
      <xdr:spPr>
        <a:xfrm>
          <a:off x="12024360" y="723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41910</xdr:colOff>
      <xdr:row>45</xdr:row>
      <xdr:rowOff>30480</xdr:rowOff>
    </xdr:from>
    <xdr:to>
      <xdr:col>53</xdr:col>
      <xdr:colOff>2449</xdr:colOff>
      <xdr:row>45</xdr:row>
      <xdr:rowOff>144780</xdr:rowOff>
    </xdr:to>
    <xdr:sp macro="" textlink="">
      <xdr:nvSpPr>
        <xdr:cNvPr id="7584" name="직사각형 7583">
          <a:extLst>
            <a:ext uri="{FF2B5EF4-FFF2-40B4-BE49-F238E27FC236}">
              <a16:creationId xmlns:a16="http://schemas.microsoft.com/office/drawing/2014/main" id="{C5591F06-2FDD-48CC-BE2A-9F6E591E1CB4}"/>
            </a:ext>
          </a:extLst>
        </xdr:cNvPr>
        <xdr:cNvSpPr/>
      </xdr:nvSpPr>
      <xdr:spPr>
        <a:xfrm>
          <a:off x="12024360" y="70218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41910</xdr:colOff>
      <xdr:row>45</xdr:row>
      <xdr:rowOff>87630</xdr:rowOff>
    </xdr:from>
    <xdr:to>
      <xdr:col>52</xdr:col>
      <xdr:colOff>41910</xdr:colOff>
      <xdr:row>45</xdr:row>
      <xdr:rowOff>87630</xdr:rowOff>
    </xdr:to>
    <xdr:cxnSp macro="">
      <xdr:nvCxnSpPr>
        <xdr:cNvPr id="7585" name="직선 화살표 연결선 7584">
          <a:extLst>
            <a:ext uri="{FF2B5EF4-FFF2-40B4-BE49-F238E27FC236}">
              <a16:creationId xmlns:a16="http://schemas.microsoft.com/office/drawing/2014/main" id="{E48A189B-029F-41F4-8B59-8777A4E4D5D4}"/>
            </a:ext>
          </a:extLst>
        </xdr:cNvPr>
        <xdr:cNvCxnSpPr/>
      </xdr:nvCxnSpPr>
      <xdr:spPr>
        <a:xfrm>
          <a:off x="12024360" y="707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41910</xdr:colOff>
      <xdr:row>44</xdr:row>
      <xdr:rowOff>30480</xdr:rowOff>
    </xdr:from>
    <xdr:to>
      <xdr:col>53</xdr:col>
      <xdr:colOff>2449</xdr:colOff>
      <xdr:row>44</xdr:row>
      <xdr:rowOff>144780</xdr:rowOff>
    </xdr:to>
    <xdr:sp macro="" textlink="">
      <xdr:nvSpPr>
        <xdr:cNvPr id="7586" name="직사각형 7585">
          <a:extLst>
            <a:ext uri="{FF2B5EF4-FFF2-40B4-BE49-F238E27FC236}">
              <a16:creationId xmlns:a16="http://schemas.microsoft.com/office/drawing/2014/main" id="{9077732E-E869-49CC-9A80-DEC39F6357F7}"/>
            </a:ext>
          </a:extLst>
        </xdr:cNvPr>
        <xdr:cNvSpPr/>
      </xdr:nvSpPr>
      <xdr:spPr>
        <a:xfrm>
          <a:off x="12024360" y="68694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41910</xdr:colOff>
      <xdr:row>44</xdr:row>
      <xdr:rowOff>87630</xdr:rowOff>
    </xdr:from>
    <xdr:to>
      <xdr:col>52</xdr:col>
      <xdr:colOff>41910</xdr:colOff>
      <xdr:row>44</xdr:row>
      <xdr:rowOff>87630</xdr:rowOff>
    </xdr:to>
    <xdr:cxnSp macro="">
      <xdr:nvCxnSpPr>
        <xdr:cNvPr id="7587" name="직선 화살표 연결선 7586">
          <a:extLst>
            <a:ext uri="{FF2B5EF4-FFF2-40B4-BE49-F238E27FC236}">
              <a16:creationId xmlns:a16="http://schemas.microsoft.com/office/drawing/2014/main" id="{A2A83171-CAFC-4EF9-8E25-44143D317978}"/>
            </a:ext>
          </a:extLst>
        </xdr:cNvPr>
        <xdr:cNvCxnSpPr/>
      </xdr:nvCxnSpPr>
      <xdr:spPr>
        <a:xfrm>
          <a:off x="12024360" y="692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122737</xdr:colOff>
      <xdr:row>43</xdr:row>
      <xdr:rowOff>30480</xdr:rowOff>
    </xdr:from>
    <xdr:to>
      <xdr:col>52</xdr:col>
      <xdr:colOff>544</xdr:colOff>
      <xdr:row>43</xdr:row>
      <xdr:rowOff>144780</xdr:rowOff>
    </xdr:to>
    <xdr:sp macro="" textlink="">
      <xdr:nvSpPr>
        <xdr:cNvPr id="7588" name="직사각형 7587">
          <a:extLst>
            <a:ext uri="{FF2B5EF4-FFF2-40B4-BE49-F238E27FC236}">
              <a16:creationId xmlns:a16="http://schemas.microsoft.com/office/drawing/2014/main" id="{DF051C85-A697-47AF-AB90-32D6D662F667}"/>
            </a:ext>
          </a:extLst>
        </xdr:cNvPr>
        <xdr:cNvSpPr/>
      </xdr:nvSpPr>
      <xdr:spPr>
        <a:xfrm>
          <a:off x="11962312" y="67170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122737</xdr:colOff>
      <xdr:row>43</xdr:row>
      <xdr:rowOff>87630</xdr:rowOff>
    </xdr:from>
    <xdr:to>
      <xdr:col>52</xdr:col>
      <xdr:colOff>544</xdr:colOff>
      <xdr:row>43</xdr:row>
      <xdr:rowOff>87630</xdr:rowOff>
    </xdr:to>
    <xdr:cxnSp macro="">
      <xdr:nvCxnSpPr>
        <xdr:cNvPr id="7589" name="직선 화살표 연결선 7588">
          <a:extLst>
            <a:ext uri="{FF2B5EF4-FFF2-40B4-BE49-F238E27FC236}">
              <a16:creationId xmlns:a16="http://schemas.microsoft.com/office/drawing/2014/main" id="{6D7A6C22-AA38-4A4B-BE63-F9651C7B1DD7}"/>
            </a:ext>
          </a:extLst>
        </xdr:cNvPr>
        <xdr:cNvCxnSpPr/>
      </xdr:nvCxnSpPr>
      <xdr:spPr>
        <a:xfrm>
          <a:off x="11962312" y="67741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122737</xdr:colOff>
      <xdr:row>42</xdr:row>
      <xdr:rowOff>30480</xdr:rowOff>
    </xdr:from>
    <xdr:to>
      <xdr:col>53</xdr:col>
      <xdr:colOff>64498</xdr:colOff>
      <xdr:row>42</xdr:row>
      <xdr:rowOff>144780</xdr:rowOff>
    </xdr:to>
    <xdr:sp macro="" textlink="">
      <xdr:nvSpPr>
        <xdr:cNvPr id="7590" name="직사각형 7589">
          <a:extLst>
            <a:ext uri="{FF2B5EF4-FFF2-40B4-BE49-F238E27FC236}">
              <a16:creationId xmlns:a16="http://schemas.microsoft.com/office/drawing/2014/main" id="{BA82A581-861E-4052-A757-C15C9D69D7C3}"/>
            </a:ext>
          </a:extLst>
        </xdr:cNvPr>
        <xdr:cNvSpPr/>
      </xdr:nvSpPr>
      <xdr:spPr>
        <a:xfrm>
          <a:off x="11962312" y="6564630"/>
          <a:ext cx="2275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122737</xdr:colOff>
      <xdr:row>42</xdr:row>
      <xdr:rowOff>87630</xdr:rowOff>
    </xdr:from>
    <xdr:to>
      <xdr:col>51</xdr:col>
      <xdr:colOff>136120</xdr:colOff>
      <xdr:row>42</xdr:row>
      <xdr:rowOff>87630</xdr:rowOff>
    </xdr:to>
    <xdr:cxnSp macro="">
      <xdr:nvCxnSpPr>
        <xdr:cNvPr id="7591" name="직선 화살표 연결선 7590">
          <a:extLst>
            <a:ext uri="{FF2B5EF4-FFF2-40B4-BE49-F238E27FC236}">
              <a16:creationId xmlns:a16="http://schemas.microsoft.com/office/drawing/2014/main" id="{0D4993A9-798B-4E81-90EC-66C856C25848}"/>
            </a:ext>
          </a:extLst>
        </xdr:cNvPr>
        <xdr:cNvCxnSpPr/>
      </xdr:nvCxnSpPr>
      <xdr:spPr>
        <a:xfrm>
          <a:off x="11962312" y="6621780"/>
          <a:ext cx="133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40005</xdr:colOff>
      <xdr:row>40</xdr:row>
      <xdr:rowOff>30480</xdr:rowOff>
    </xdr:from>
    <xdr:to>
      <xdr:col>51</xdr:col>
      <xdr:colOff>60688</xdr:colOff>
      <xdr:row>40</xdr:row>
      <xdr:rowOff>144780</xdr:rowOff>
    </xdr:to>
    <xdr:sp macro="" textlink="">
      <xdr:nvSpPr>
        <xdr:cNvPr id="7592" name="직사각형 7591">
          <a:extLst>
            <a:ext uri="{FF2B5EF4-FFF2-40B4-BE49-F238E27FC236}">
              <a16:creationId xmlns:a16="http://schemas.microsoft.com/office/drawing/2014/main" id="{00C776B8-19ED-4410-853F-E6623798C6D2}"/>
            </a:ext>
          </a:extLst>
        </xdr:cNvPr>
        <xdr:cNvSpPr/>
      </xdr:nvSpPr>
      <xdr:spPr>
        <a:xfrm>
          <a:off x="11879580" y="62598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40005</xdr:colOff>
      <xdr:row>40</xdr:row>
      <xdr:rowOff>87630</xdr:rowOff>
    </xdr:from>
    <xdr:to>
      <xdr:col>51</xdr:col>
      <xdr:colOff>40005</xdr:colOff>
      <xdr:row>40</xdr:row>
      <xdr:rowOff>87630</xdr:rowOff>
    </xdr:to>
    <xdr:cxnSp macro="">
      <xdr:nvCxnSpPr>
        <xdr:cNvPr id="7593" name="직선 화살표 연결선 7592">
          <a:extLst>
            <a:ext uri="{FF2B5EF4-FFF2-40B4-BE49-F238E27FC236}">
              <a16:creationId xmlns:a16="http://schemas.microsoft.com/office/drawing/2014/main" id="{607FFCBB-D2FB-4574-B05C-DBE5EABA091D}"/>
            </a:ext>
          </a:extLst>
        </xdr:cNvPr>
        <xdr:cNvCxnSpPr/>
      </xdr:nvCxnSpPr>
      <xdr:spPr>
        <a:xfrm>
          <a:off x="11879580" y="631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120831</xdr:colOff>
      <xdr:row>39</xdr:row>
      <xdr:rowOff>30480</xdr:rowOff>
    </xdr:from>
    <xdr:to>
      <xdr:col>50</xdr:col>
      <xdr:colOff>141515</xdr:colOff>
      <xdr:row>39</xdr:row>
      <xdr:rowOff>144780</xdr:rowOff>
    </xdr:to>
    <xdr:sp macro="" textlink="">
      <xdr:nvSpPr>
        <xdr:cNvPr id="7594" name="직사각형 7593">
          <a:extLst>
            <a:ext uri="{FF2B5EF4-FFF2-40B4-BE49-F238E27FC236}">
              <a16:creationId xmlns:a16="http://schemas.microsoft.com/office/drawing/2014/main" id="{D4427C60-9228-41DB-A48D-ED19624E3AD2}"/>
            </a:ext>
          </a:extLst>
        </xdr:cNvPr>
        <xdr:cNvSpPr/>
      </xdr:nvSpPr>
      <xdr:spPr>
        <a:xfrm>
          <a:off x="11817531" y="61074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120831</xdr:colOff>
      <xdr:row>39</xdr:row>
      <xdr:rowOff>87630</xdr:rowOff>
    </xdr:from>
    <xdr:to>
      <xdr:col>50</xdr:col>
      <xdr:colOff>120831</xdr:colOff>
      <xdr:row>39</xdr:row>
      <xdr:rowOff>87630</xdr:rowOff>
    </xdr:to>
    <xdr:cxnSp macro="">
      <xdr:nvCxnSpPr>
        <xdr:cNvPr id="7595" name="직선 화살표 연결선 7594">
          <a:extLst>
            <a:ext uri="{FF2B5EF4-FFF2-40B4-BE49-F238E27FC236}">
              <a16:creationId xmlns:a16="http://schemas.microsoft.com/office/drawing/2014/main" id="{ED86192A-1AF5-49A2-AFFF-B75CD2FCC885}"/>
            </a:ext>
          </a:extLst>
        </xdr:cNvPr>
        <xdr:cNvCxnSpPr/>
      </xdr:nvCxnSpPr>
      <xdr:spPr>
        <a:xfrm>
          <a:off x="11817531" y="616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120831</xdr:colOff>
      <xdr:row>38</xdr:row>
      <xdr:rowOff>30480</xdr:rowOff>
    </xdr:from>
    <xdr:to>
      <xdr:col>50</xdr:col>
      <xdr:colOff>141515</xdr:colOff>
      <xdr:row>38</xdr:row>
      <xdr:rowOff>144780</xdr:rowOff>
    </xdr:to>
    <xdr:sp macro="" textlink="">
      <xdr:nvSpPr>
        <xdr:cNvPr id="7596" name="직사각형 7595">
          <a:extLst>
            <a:ext uri="{FF2B5EF4-FFF2-40B4-BE49-F238E27FC236}">
              <a16:creationId xmlns:a16="http://schemas.microsoft.com/office/drawing/2014/main" id="{D8400934-E165-414D-B354-4745B6031C38}"/>
            </a:ext>
          </a:extLst>
        </xdr:cNvPr>
        <xdr:cNvSpPr/>
      </xdr:nvSpPr>
      <xdr:spPr>
        <a:xfrm>
          <a:off x="11817531" y="59550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120831</xdr:colOff>
      <xdr:row>38</xdr:row>
      <xdr:rowOff>87630</xdr:rowOff>
    </xdr:from>
    <xdr:to>
      <xdr:col>50</xdr:col>
      <xdr:colOff>120831</xdr:colOff>
      <xdr:row>38</xdr:row>
      <xdr:rowOff>87630</xdr:rowOff>
    </xdr:to>
    <xdr:cxnSp macro="">
      <xdr:nvCxnSpPr>
        <xdr:cNvPr id="7597" name="직선 화살표 연결선 7596">
          <a:extLst>
            <a:ext uri="{FF2B5EF4-FFF2-40B4-BE49-F238E27FC236}">
              <a16:creationId xmlns:a16="http://schemas.microsoft.com/office/drawing/2014/main" id="{D6D002E4-43E7-4734-98E8-5DE889F81A16}"/>
            </a:ext>
          </a:extLst>
        </xdr:cNvPr>
        <xdr:cNvCxnSpPr/>
      </xdr:nvCxnSpPr>
      <xdr:spPr>
        <a:xfrm>
          <a:off x="11817531" y="601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120831</xdr:colOff>
      <xdr:row>37</xdr:row>
      <xdr:rowOff>30480</xdr:rowOff>
    </xdr:from>
    <xdr:to>
      <xdr:col>51</xdr:col>
      <xdr:colOff>60688</xdr:colOff>
      <xdr:row>37</xdr:row>
      <xdr:rowOff>144780</xdr:rowOff>
    </xdr:to>
    <xdr:sp macro="" textlink="">
      <xdr:nvSpPr>
        <xdr:cNvPr id="7598" name="직사각형 7597">
          <a:extLst>
            <a:ext uri="{FF2B5EF4-FFF2-40B4-BE49-F238E27FC236}">
              <a16:creationId xmlns:a16="http://schemas.microsoft.com/office/drawing/2014/main" id="{063ECAC7-46EC-496A-ABE9-BB179B1D4399}"/>
            </a:ext>
          </a:extLst>
        </xdr:cNvPr>
        <xdr:cNvSpPr/>
      </xdr:nvSpPr>
      <xdr:spPr>
        <a:xfrm>
          <a:off x="11817531" y="5802630"/>
          <a:ext cx="8273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120831</xdr:colOff>
      <xdr:row>37</xdr:row>
      <xdr:rowOff>87630</xdr:rowOff>
    </xdr:from>
    <xdr:to>
      <xdr:col>50</xdr:col>
      <xdr:colOff>120831</xdr:colOff>
      <xdr:row>37</xdr:row>
      <xdr:rowOff>87630</xdr:rowOff>
    </xdr:to>
    <xdr:cxnSp macro="">
      <xdr:nvCxnSpPr>
        <xdr:cNvPr id="7599" name="직선 화살표 연결선 7598">
          <a:extLst>
            <a:ext uri="{FF2B5EF4-FFF2-40B4-BE49-F238E27FC236}">
              <a16:creationId xmlns:a16="http://schemas.microsoft.com/office/drawing/2014/main" id="{F83862E5-441B-48E6-9A55-E1D63447440C}"/>
            </a:ext>
          </a:extLst>
        </xdr:cNvPr>
        <xdr:cNvCxnSpPr/>
      </xdr:nvCxnSpPr>
      <xdr:spPr>
        <a:xfrm>
          <a:off x="11817531" y="585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98244</xdr:colOff>
      <xdr:row>35</xdr:row>
      <xdr:rowOff>30480</xdr:rowOff>
    </xdr:from>
    <xdr:to>
      <xdr:col>49</xdr:col>
      <xdr:colOff>118926</xdr:colOff>
      <xdr:row>35</xdr:row>
      <xdr:rowOff>144780</xdr:rowOff>
    </xdr:to>
    <xdr:sp macro="" textlink="">
      <xdr:nvSpPr>
        <xdr:cNvPr id="7600" name="직사각형 7599">
          <a:extLst>
            <a:ext uri="{FF2B5EF4-FFF2-40B4-BE49-F238E27FC236}">
              <a16:creationId xmlns:a16="http://schemas.microsoft.com/office/drawing/2014/main" id="{2E4F0FB7-31A0-4DC1-BA4E-C204675B4E74}"/>
            </a:ext>
          </a:extLst>
        </xdr:cNvPr>
        <xdr:cNvSpPr/>
      </xdr:nvSpPr>
      <xdr:spPr>
        <a:xfrm>
          <a:off x="11652069" y="54978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98244</xdr:colOff>
      <xdr:row>35</xdr:row>
      <xdr:rowOff>87630</xdr:rowOff>
    </xdr:from>
    <xdr:to>
      <xdr:col>49</xdr:col>
      <xdr:colOff>98244</xdr:colOff>
      <xdr:row>35</xdr:row>
      <xdr:rowOff>87630</xdr:rowOff>
    </xdr:to>
    <xdr:cxnSp macro="">
      <xdr:nvCxnSpPr>
        <xdr:cNvPr id="7601" name="직선 화살표 연결선 7600">
          <a:extLst>
            <a:ext uri="{FF2B5EF4-FFF2-40B4-BE49-F238E27FC236}">
              <a16:creationId xmlns:a16="http://schemas.microsoft.com/office/drawing/2014/main" id="{C274C074-25B6-49EA-A433-77658D4317F7}"/>
            </a:ext>
          </a:extLst>
        </xdr:cNvPr>
        <xdr:cNvCxnSpPr/>
      </xdr:nvCxnSpPr>
      <xdr:spPr>
        <a:xfrm>
          <a:off x="11652069" y="555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34290</xdr:colOff>
      <xdr:row>34</xdr:row>
      <xdr:rowOff>30480</xdr:rowOff>
    </xdr:from>
    <xdr:to>
      <xdr:col>48</xdr:col>
      <xdr:colOff>96338</xdr:colOff>
      <xdr:row>34</xdr:row>
      <xdr:rowOff>144780</xdr:rowOff>
    </xdr:to>
    <xdr:sp macro="" textlink="">
      <xdr:nvSpPr>
        <xdr:cNvPr id="7602" name="직사각형 7601">
          <a:extLst>
            <a:ext uri="{FF2B5EF4-FFF2-40B4-BE49-F238E27FC236}">
              <a16:creationId xmlns:a16="http://schemas.microsoft.com/office/drawing/2014/main" id="{57A25C50-B208-444F-ADDC-D10E794EEFAE}"/>
            </a:ext>
          </a:extLst>
        </xdr:cNvPr>
        <xdr:cNvSpPr/>
      </xdr:nvSpPr>
      <xdr:spPr>
        <a:xfrm>
          <a:off x="11445240" y="5345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34290</xdr:colOff>
      <xdr:row>34</xdr:row>
      <xdr:rowOff>87630</xdr:rowOff>
    </xdr:from>
    <xdr:to>
      <xdr:col>48</xdr:col>
      <xdr:colOff>34290</xdr:colOff>
      <xdr:row>34</xdr:row>
      <xdr:rowOff>87630</xdr:rowOff>
    </xdr:to>
    <xdr:cxnSp macro="">
      <xdr:nvCxnSpPr>
        <xdr:cNvPr id="7603" name="직선 화살표 연결선 7602">
          <a:extLst>
            <a:ext uri="{FF2B5EF4-FFF2-40B4-BE49-F238E27FC236}">
              <a16:creationId xmlns:a16="http://schemas.microsoft.com/office/drawing/2014/main" id="{4A387680-CC7A-4793-9DC0-7124F3F9980B}"/>
            </a:ext>
          </a:extLst>
        </xdr:cNvPr>
        <xdr:cNvCxnSpPr/>
      </xdr:nvCxnSpPr>
      <xdr:spPr>
        <a:xfrm>
          <a:off x="11445240"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34290</xdr:colOff>
      <xdr:row>33</xdr:row>
      <xdr:rowOff>30480</xdr:rowOff>
    </xdr:from>
    <xdr:to>
      <xdr:col>48</xdr:col>
      <xdr:colOff>96338</xdr:colOff>
      <xdr:row>33</xdr:row>
      <xdr:rowOff>144780</xdr:rowOff>
    </xdr:to>
    <xdr:sp macro="" textlink="">
      <xdr:nvSpPr>
        <xdr:cNvPr id="7604" name="직사각형 7603">
          <a:extLst>
            <a:ext uri="{FF2B5EF4-FFF2-40B4-BE49-F238E27FC236}">
              <a16:creationId xmlns:a16="http://schemas.microsoft.com/office/drawing/2014/main" id="{7931F631-C757-44A3-94E2-660636120443}"/>
            </a:ext>
          </a:extLst>
        </xdr:cNvPr>
        <xdr:cNvSpPr/>
      </xdr:nvSpPr>
      <xdr:spPr>
        <a:xfrm>
          <a:off x="11445240" y="5193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34290</xdr:colOff>
      <xdr:row>33</xdr:row>
      <xdr:rowOff>87630</xdr:rowOff>
    </xdr:from>
    <xdr:to>
      <xdr:col>48</xdr:col>
      <xdr:colOff>34290</xdr:colOff>
      <xdr:row>33</xdr:row>
      <xdr:rowOff>87630</xdr:rowOff>
    </xdr:to>
    <xdr:cxnSp macro="">
      <xdr:nvCxnSpPr>
        <xdr:cNvPr id="7605" name="직선 화살표 연결선 7604">
          <a:extLst>
            <a:ext uri="{FF2B5EF4-FFF2-40B4-BE49-F238E27FC236}">
              <a16:creationId xmlns:a16="http://schemas.microsoft.com/office/drawing/2014/main" id="{B5BA52D5-B711-42B7-ABF0-6C6A8D22DC9F}"/>
            </a:ext>
          </a:extLst>
        </xdr:cNvPr>
        <xdr:cNvCxnSpPr/>
      </xdr:nvCxnSpPr>
      <xdr:spPr>
        <a:xfrm>
          <a:off x="11445240" y="525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34290</xdr:colOff>
      <xdr:row>32</xdr:row>
      <xdr:rowOff>30480</xdr:rowOff>
    </xdr:from>
    <xdr:to>
      <xdr:col>48</xdr:col>
      <xdr:colOff>96338</xdr:colOff>
      <xdr:row>32</xdr:row>
      <xdr:rowOff>144780</xdr:rowOff>
    </xdr:to>
    <xdr:sp macro="" textlink="">
      <xdr:nvSpPr>
        <xdr:cNvPr id="7606" name="직사각형 7605">
          <a:extLst>
            <a:ext uri="{FF2B5EF4-FFF2-40B4-BE49-F238E27FC236}">
              <a16:creationId xmlns:a16="http://schemas.microsoft.com/office/drawing/2014/main" id="{C7F55228-6CC0-4A78-B13A-DB32EFB87A78}"/>
            </a:ext>
          </a:extLst>
        </xdr:cNvPr>
        <xdr:cNvSpPr/>
      </xdr:nvSpPr>
      <xdr:spPr>
        <a:xfrm>
          <a:off x="11445240" y="5040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34290</xdr:colOff>
      <xdr:row>32</xdr:row>
      <xdr:rowOff>87630</xdr:rowOff>
    </xdr:from>
    <xdr:to>
      <xdr:col>48</xdr:col>
      <xdr:colOff>34290</xdr:colOff>
      <xdr:row>32</xdr:row>
      <xdr:rowOff>87630</xdr:rowOff>
    </xdr:to>
    <xdr:cxnSp macro="">
      <xdr:nvCxnSpPr>
        <xdr:cNvPr id="7607" name="직선 화살표 연결선 7606">
          <a:extLst>
            <a:ext uri="{FF2B5EF4-FFF2-40B4-BE49-F238E27FC236}">
              <a16:creationId xmlns:a16="http://schemas.microsoft.com/office/drawing/2014/main" id="{8928660E-3534-4D6A-A40E-A2E9A52DA86A}"/>
            </a:ext>
          </a:extLst>
        </xdr:cNvPr>
        <xdr:cNvCxnSpPr/>
      </xdr:nvCxnSpPr>
      <xdr:spPr>
        <a:xfrm>
          <a:off x="11445240" y="509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34290</xdr:colOff>
      <xdr:row>31</xdr:row>
      <xdr:rowOff>30480</xdr:rowOff>
    </xdr:from>
    <xdr:to>
      <xdr:col>49</xdr:col>
      <xdr:colOff>118926</xdr:colOff>
      <xdr:row>31</xdr:row>
      <xdr:rowOff>144780</xdr:rowOff>
    </xdr:to>
    <xdr:sp macro="" textlink="">
      <xdr:nvSpPr>
        <xdr:cNvPr id="7608" name="직사각형 7607">
          <a:extLst>
            <a:ext uri="{FF2B5EF4-FFF2-40B4-BE49-F238E27FC236}">
              <a16:creationId xmlns:a16="http://schemas.microsoft.com/office/drawing/2014/main" id="{E64E7367-C45A-436C-8EA1-FCE755F94CCC}"/>
            </a:ext>
          </a:extLst>
        </xdr:cNvPr>
        <xdr:cNvSpPr/>
      </xdr:nvSpPr>
      <xdr:spPr>
        <a:xfrm>
          <a:off x="11445240" y="4888230"/>
          <a:ext cx="2275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34290</xdr:colOff>
      <xdr:row>31</xdr:row>
      <xdr:rowOff>87630</xdr:rowOff>
    </xdr:from>
    <xdr:to>
      <xdr:col>48</xdr:col>
      <xdr:colOff>34290</xdr:colOff>
      <xdr:row>31</xdr:row>
      <xdr:rowOff>87630</xdr:rowOff>
    </xdr:to>
    <xdr:cxnSp macro="">
      <xdr:nvCxnSpPr>
        <xdr:cNvPr id="7609" name="직선 화살표 연결선 7608">
          <a:extLst>
            <a:ext uri="{FF2B5EF4-FFF2-40B4-BE49-F238E27FC236}">
              <a16:creationId xmlns:a16="http://schemas.microsoft.com/office/drawing/2014/main" id="{FFDA5C01-7543-4ABA-95BD-F84D581B80B9}"/>
            </a:ext>
          </a:extLst>
        </xdr:cNvPr>
        <xdr:cNvCxnSpPr/>
      </xdr:nvCxnSpPr>
      <xdr:spPr>
        <a:xfrm>
          <a:off x="11445240" y="494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43815</xdr:colOff>
      <xdr:row>29</xdr:row>
      <xdr:rowOff>30480</xdr:rowOff>
    </xdr:from>
    <xdr:to>
      <xdr:col>53</xdr:col>
      <xdr:colOff>85181</xdr:colOff>
      <xdr:row>29</xdr:row>
      <xdr:rowOff>144780</xdr:rowOff>
    </xdr:to>
    <xdr:sp macro="" textlink="">
      <xdr:nvSpPr>
        <xdr:cNvPr id="7610" name="직사각형 7609">
          <a:extLst>
            <a:ext uri="{FF2B5EF4-FFF2-40B4-BE49-F238E27FC236}">
              <a16:creationId xmlns:a16="http://schemas.microsoft.com/office/drawing/2014/main" id="{0A100CF0-4FD3-4AD6-B640-71E91B66DBED}"/>
            </a:ext>
          </a:extLst>
        </xdr:cNvPr>
        <xdr:cNvSpPr/>
      </xdr:nvSpPr>
      <xdr:spPr>
        <a:xfrm>
          <a:off x="12169140" y="45834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43815</xdr:colOff>
      <xdr:row>29</xdr:row>
      <xdr:rowOff>87630</xdr:rowOff>
    </xdr:from>
    <xdr:to>
      <xdr:col>53</xdr:col>
      <xdr:colOff>43815</xdr:colOff>
      <xdr:row>29</xdr:row>
      <xdr:rowOff>87630</xdr:rowOff>
    </xdr:to>
    <xdr:cxnSp macro="">
      <xdr:nvCxnSpPr>
        <xdr:cNvPr id="7611" name="직선 화살표 연결선 7610">
          <a:extLst>
            <a:ext uri="{FF2B5EF4-FFF2-40B4-BE49-F238E27FC236}">
              <a16:creationId xmlns:a16="http://schemas.microsoft.com/office/drawing/2014/main" id="{A52C1876-8386-41E2-9567-C4F06DF55E1A}"/>
            </a:ext>
          </a:extLst>
        </xdr:cNvPr>
        <xdr:cNvCxnSpPr/>
      </xdr:nvCxnSpPr>
      <xdr:spPr>
        <a:xfrm>
          <a:off x="12169140"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83276</xdr:colOff>
      <xdr:row>28</xdr:row>
      <xdr:rowOff>30480</xdr:rowOff>
    </xdr:from>
    <xdr:to>
      <xdr:col>53</xdr:col>
      <xdr:colOff>2449</xdr:colOff>
      <xdr:row>28</xdr:row>
      <xdr:rowOff>144780</xdr:rowOff>
    </xdr:to>
    <xdr:sp macro="" textlink="">
      <xdr:nvSpPr>
        <xdr:cNvPr id="7612" name="직사각형 7611">
          <a:extLst>
            <a:ext uri="{FF2B5EF4-FFF2-40B4-BE49-F238E27FC236}">
              <a16:creationId xmlns:a16="http://schemas.microsoft.com/office/drawing/2014/main" id="{C774C9F9-229A-4DED-A5CC-11417F651177}"/>
            </a:ext>
          </a:extLst>
        </xdr:cNvPr>
        <xdr:cNvSpPr/>
      </xdr:nvSpPr>
      <xdr:spPr>
        <a:xfrm>
          <a:off x="12065726" y="4431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83276</xdr:colOff>
      <xdr:row>28</xdr:row>
      <xdr:rowOff>87630</xdr:rowOff>
    </xdr:from>
    <xdr:to>
      <xdr:col>52</xdr:col>
      <xdr:colOff>83276</xdr:colOff>
      <xdr:row>28</xdr:row>
      <xdr:rowOff>87630</xdr:rowOff>
    </xdr:to>
    <xdr:cxnSp macro="">
      <xdr:nvCxnSpPr>
        <xdr:cNvPr id="7613" name="직선 화살표 연결선 7612">
          <a:extLst>
            <a:ext uri="{FF2B5EF4-FFF2-40B4-BE49-F238E27FC236}">
              <a16:creationId xmlns:a16="http://schemas.microsoft.com/office/drawing/2014/main" id="{54F9992F-70EF-4CCB-9FF0-143C9B4CAE6B}"/>
            </a:ext>
          </a:extLst>
        </xdr:cNvPr>
        <xdr:cNvCxnSpPr/>
      </xdr:nvCxnSpPr>
      <xdr:spPr>
        <a:xfrm>
          <a:off x="12065726" y="448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83276</xdr:colOff>
      <xdr:row>27</xdr:row>
      <xdr:rowOff>30480</xdr:rowOff>
    </xdr:from>
    <xdr:to>
      <xdr:col>53</xdr:col>
      <xdr:colOff>2449</xdr:colOff>
      <xdr:row>27</xdr:row>
      <xdr:rowOff>144780</xdr:rowOff>
    </xdr:to>
    <xdr:sp macro="" textlink="">
      <xdr:nvSpPr>
        <xdr:cNvPr id="7614" name="직사각형 7613">
          <a:extLst>
            <a:ext uri="{FF2B5EF4-FFF2-40B4-BE49-F238E27FC236}">
              <a16:creationId xmlns:a16="http://schemas.microsoft.com/office/drawing/2014/main" id="{727A67E7-0DE2-411D-BB1C-527026A246B3}"/>
            </a:ext>
          </a:extLst>
        </xdr:cNvPr>
        <xdr:cNvSpPr/>
      </xdr:nvSpPr>
      <xdr:spPr>
        <a:xfrm>
          <a:off x="12065726" y="4278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83276</xdr:colOff>
      <xdr:row>27</xdr:row>
      <xdr:rowOff>87630</xdr:rowOff>
    </xdr:from>
    <xdr:to>
      <xdr:col>52</xdr:col>
      <xdr:colOff>83276</xdr:colOff>
      <xdr:row>27</xdr:row>
      <xdr:rowOff>87630</xdr:rowOff>
    </xdr:to>
    <xdr:cxnSp macro="">
      <xdr:nvCxnSpPr>
        <xdr:cNvPr id="7615" name="직선 화살표 연결선 7614">
          <a:extLst>
            <a:ext uri="{FF2B5EF4-FFF2-40B4-BE49-F238E27FC236}">
              <a16:creationId xmlns:a16="http://schemas.microsoft.com/office/drawing/2014/main" id="{66782B95-1335-4544-A7EE-14EED39D8654}"/>
            </a:ext>
          </a:extLst>
        </xdr:cNvPr>
        <xdr:cNvCxnSpPr/>
      </xdr:nvCxnSpPr>
      <xdr:spPr>
        <a:xfrm>
          <a:off x="12065726" y="433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34290</xdr:colOff>
      <xdr:row>26</xdr:row>
      <xdr:rowOff>30480</xdr:rowOff>
    </xdr:from>
    <xdr:to>
      <xdr:col>48</xdr:col>
      <xdr:colOff>96338</xdr:colOff>
      <xdr:row>26</xdr:row>
      <xdr:rowOff>144780</xdr:rowOff>
    </xdr:to>
    <xdr:sp macro="" textlink="">
      <xdr:nvSpPr>
        <xdr:cNvPr id="7616" name="직사각형 7615">
          <a:extLst>
            <a:ext uri="{FF2B5EF4-FFF2-40B4-BE49-F238E27FC236}">
              <a16:creationId xmlns:a16="http://schemas.microsoft.com/office/drawing/2014/main" id="{736A4C24-A503-4550-8BD3-F99507ADBFF4}"/>
            </a:ext>
          </a:extLst>
        </xdr:cNvPr>
        <xdr:cNvSpPr/>
      </xdr:nvSpPr>
      <xdr:spPr>
        <a:xfrm>
          <a:off x="11445240" y="41262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34290</xdr:colOff>
      <xdr:row>26</xdr:row>
      <xdr:rowOff>87630</xdr:rowOff>
    </xdr:from>
    <xdr:to>
      <xdr:col>48</xdr:col>
      <xdr:colOff>96338</xdr:colOff>
      <xdr:row>26</xdr:row>
      <xdr:rowOff>87630</xdr:rowOff>
    </xdr:to>
    <xdr:cxnSp macro="">
      <xdr:nvCxnSpPr>
        <xdr:cNvPr id="7617" name="직선 화살표 연결선 7616">
          <a:extLst>
            <a:ext uri="{FF2B5EF4-FFF2-40B4-BE49-F238E27FC236}">
              <a16:creationId xmlns:a16="http://schemas.microsoft.com/office/drawing/2014/main" id="{7C6DBFB7-E6C6-4842-A0E1-BA4277B69402}"/>
            </a:ext>
          </a:extLst>
        </xdr:cNvPr>
        <xdr:cNvCxnSpPr/>
      </xdr:nvCxnSpPr>
      <xdr:spPr>
        <a:xfrm>
          <a:off x="11445240" y="41833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34290</xdr:colOff>
      <xdr:row>25</xdr:row>
      <xdr:rowOff>30480</xdr:rowOff>
    </xdr:from>
    <xdr:to>
      <xdr:col>53</xdr:col>
      <xdr:colOff>85181</xdr:colOff>
      <xdr:row>25</xdr:row>
      <xdr:rowOff>144780</xdr:rowOff>
    </xdr:to>
    <xdr:sp macro="" textlink="">
      <xdr:nvSpPr>
        <xdr:cNvPr id="7618" name="직사각형 7617">
          <a:extLst>
            <a:ext uri="{FF2B5EF4-FFF2-40B4-BE49-F238E27FC236}">
              <a16:creationId xmlns:a16="http://schemas.microsoft.com/office/drawing/2014/main" id="{70C451A6-B304-4CB3-BADA-6A39E347B0EA}"/>
            </a:ext>
          </a:extLst>
        </xdr:cNvPr>
        <xdr:cNvSpPr/>
      </xdr:nvSpPr>
      <xdr:spPr>
        <a:xfrm>
          <a:off x="11445240" y="3973830"/>
          <a:ext cx="7652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34290</xdr:colOff>
      <xdr:row>25</xdr:row>
      <xdr:rowOff>87630</xdr:rowOff>
    </xdr:from>
    <xdr:to>
      <xdr:col>49</xdr:col>
      <xdr:colOff>100124</xdr:colOff>
      <xdr:row>25</xdr:row>
      <xdr:rowOff>87630</xdr:rowOff>
    </xdr:to>
    <xdr:cxnSp macro="">
      <xdr:nvCxnSpPr>
        <xdr:cNvPr id="7619" name="직선 화살표 연결선 7618">
          <a:extLst>
            <a:ext uri="{FF2B5EF4-FFF2-40B4-BE49-F238E27FC236}">
              <a16:creationId xmlns:a16="http://schemas.microsoft.com/office/drawing/2014/main" id="{A3553F9D-A5C3-46F2-9C4D-D654CF6F15B3}"/>
            </a:ext>
          </a:extLst>
        </xdr:cNvPr>
        <xdr:cNvCxnSpPr/>
      </xdr:nvCxnSpPr>
      <xdr:spPr>
        <a:xfrm>
          <a:off x="11445240" y="4030980"/>
          <a:ext cx="2087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45720</xdr:colOff>
      <xdr:row>23</xdr:row>
      <xdr:rowOff>30480</xdr:rowOff>
    </xdr:from>
    <xdr:to>
      <xdr:col>55</xdr:col>
      <xdr:colOff>6259</xdr:colOff>
      <xdr:row>23</xdr:row>
      <xdr:rowOff>144780</xdr:rowOff>
    </xdr:to>
    <xdr:sp macro="" textlink="">
      <xdr:nvSpPr>
        <xdr:cNvPr id="7620" name="직사각형 7619">
          <a:extLst>
            <a:ext uri="{FF2B5EF4-FFF2-40B4-BE49-F238E27FC236}">
              <a16:creationId xmlns:a16="http://schemas.microsoft.com/office/drawing/2014/main" id="{01358831-2A83-49CA-8CCB-E2C869D0EB89}"/>
            </a:ext>
          </a:extLst>
        </xdr:cNvPr>
        <xdr:cNvSpPr/>
      </xdr:nvSpPr>
      <xdr:spPr>
        <a:xfrm>
          <a:off x="12313920" y="36690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45720</xdr:colOff>
      <xdr:row>23</xdr:row>
      <xdr:rowOff>87630</xdr:rowOff>
    </xdr:from>
    <xdr:to>
      <xdr:col>54</xdr:col>
      <xdr:colOff>45720</xdr:colOff>
      <xdr:row>23</xdr:row>
      <xdr:rowOff>87630</xdr:rowOff>
    </xdr:to>
    <xdr:cxnSp macro="">
      <xdr:nvCxnSpPr>
        <xdr:cNvPr id="7621" name="직선 화살표 연결선 7620">
          <a:extLst>
            <a:ext uri="{FF2B5EF4-FFF2-40B4-BE49-F238E27FC236}">
              <a16:creationId xmlns:a16="http://schemas.microsoft.com/office/drawing/2014/main" id="{F1D7723A-4435-460C-8658-808F429542B3}"/>
            </a:ext>
          </a:extLst>
        </xdr:cNvPr>
        <xdr:cNvCxnSpPr/>
      </xdr:nvCxnSpPr>
      <xdr:spPr>
        <a:xfrm>
          <a:off x="12313920" y="372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41910</xdr:colOff>
      <xdr:row>22</xdr:row>
      <xdr:rowOff>30480</xdr:rowOff>
    </xdr:from>
    <xdr:to>
      <xdr:col>54</xdr:col>
      <xdr:colOff>4354</xdr:colOff>
      <xdr:row>22</xdr:row>
      <xdr:rowOff>144780</xdr:rowOff>
    </xdr:to>
    <xdr:sp macro="" textlink="">
      <xdr:nvSpPr>
        <xdr:cNvPr id="7622" name="직사각형 7621">
          <a:extLst>
            <a:ext uri="{FF2B5EF4-FFF2-40B4-BE49-F238E27FC236}">
              <a16:creationId xmlns:a16="http://schemas.microsoft.com/office/drawing/2014/main" id="{F95D52FF-0700-451B-954B-EAC7693EC910}"/>
            </a:ext>
          </a:extLst>
        </xdr:cNvPr>
        <xdr:cNvSpPr/>
      </xdr:nvSpPr>
      <xdr:spPr>
        <a:xfrm>
          <a:off x="12024360" y="351663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41910</xdr:colOff>
      <xdr:row>22</xdr:row>
      <xdr:rowOff>87630</xdr:rowOff>
    </xdr:from>
    <xdr:to>
      <xdr:col>52</xdr:col>
      <xdr:colOff>41910</xdr:colOff>
      <xdr:row>22</xdr:row>
      <xdr:rowOff>87630</xdr:rowOff>
    </xdr:to>
    <xdr:cxnSp macro="">
      <xdr:nvCxnSpPr>
        <xdr:cNvPr id="7623" name="직선 화살표 연결선 7622">
          <a:extLst>
            <a:ext uri="{FF2B5EF4-FFF2-40B4-BE49-F238E27FC236}">
              <a16:creationId xmlns:a16="http://schemas.microsoft.com/office/drawing/2014/main" id="{86E9B52F-DF91-4E67-A076-29D22E06C8B6}"/>
            </a:ext>
          </a:extLst>
        </xdr:cNvPr>
        <xdr:cNvCxnSpPr/>
      </xdr:nvCxnSpPr>
      <xdr:spPr>
        <a:xfrm>
          <a:off x="12024360" y="357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41910</xdr:colOff>
      <xdr:row>21</xdr:row>
      <xdr:rowOff>30480</xdr:rowOff>
    </xdr:from>
    <xdr:to>
      <xdr:col>54</xdr:col>
      <xdr:colOff>4354</xdr:colOff>
      <xdr:row>21</xdr:row>
      <xdr:rowOff>144780</xdr:rowOff>
    </xdr:to>
    <xdr:sp macro="" textlink="">
      <xdr:nvSpPr>
        <xdr:cNvPr id="7624" name="직사각형 7623">
          <a:extLst>
            <a:ext uri="{FF2B5EF4-FFF2-40B4-BE49-F238E27FC236}">
              <a16:creationId xmlns:a16="http://schemas.microsoft.com/office/drawing/2014/main" id="{14E2D9CE-70DD-4680-8DD8-EE2E38E92188}"/>
            </a:ext>
          </a:extLst>
        </xdr:cNvPr>
        <xdr:cNvSpPr/>
      </xdr:nvSpPr>
      <xdr:spPr>
        <a:xfrm>
          <a:off x="12024360" y="336423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41910</xdr:colOff>
      <xdr:row>21</xdr:row>
      <xdr:rowOff>87630</xdr:rowOff>
    </xdr:from>
    <xdr:to>
      <xdr:col>52</xdr:col>
      <xdr:colOff>41910</xdr:colOff>
      <xdr:row>21</xdr:row>
      <xdr:rowOff>87630</xdr:rowOff>
    </xdr:to>
    <xdr:cxnSp macro="">
      <xdr:nvCxnSpPr>
        <xdr:cNvPr id="7625" name="직선 화살표 연결선 7624">
          <a:extLst>
            <a:ext uri="{FF2B5EF4-FFF2-40B4-BE49-F238E27FC236}">
              <a16:creationId xmlns:a16="http://schemas.microsoft.com/office/drawing/2014/main" id="{F5B8B6D5-ABE5-4766-B034-286A29F6335E}"/>
            </a:ext>
          </a:extLst>
        </xdr:cNvPr>
        <xdr:cNvCxnSpPr/>
      </xdr:nvCxnSpPr>
      <xdr:spPr>
        <a:xfrm>
          <a:off x="12024360" y="342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88719</xdr:colOff>
      <xdr:row>20</xdr:row>
      <xdr:rowOff>30480</xdr:rowOff>
    </xdr:from>
    <xdr:to>
      <xdr:col>54</xdr:col>
      <xdr:colOff>4354</xdr:colOff>
      <xdr:row>20</xdr:row>
      <xdr:rowOff>144780</xdr:rowOff>
    </xdr:to>
    <xdr:sp macro="" textlink="">
      <xdr:nvSpPr>
        <xdr:cNvPr id="7626" name="직사각형 7625">
          <a:extLst>
            <a:ext uri="{FF2B5EF4-FFF2-40B4-BE49-F238E27FC236}">
              <a16:creationId xmlns:a16="http://schemas.microsoft.com/office/drawing/2014/main" id="{45385F53-08D9-4289-87AF-2FBDBF053BAC}"/>
            </a:ext>
          </a:extLst>
        </xdr:cNvPr>
        <xdr:cNvSpPr/>
      </xdr:nvSpPr>
      <xdr:spPr>
        <a:xfrm>
          <a:off x="10928169" y="3211830"/>
          <a:ext cx="13443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88719</xdr:colOff>
      <xdr:row>20</xdr:row>
      <xdr:rowOff>87630</xdr:rowOff>
    </xdr:from>
    <xdr:to>
      <xdr:col>51</xdr:col>
      <xdr:colOff>29663</xdr:colOff>
      <xdr:row>20</xdr:row>
      <xdr:rowOff>87630</xdr:rowOff>
    </xdr:to>
    <xdr:cxnSp macro="">
      <xdr:nvCxnSpPr>
        <xdr:cNvPr id="7627" name="직선 화살표 연결선 7626">
          <a:extLst>
            <a:ext uri="{FF2B5EF4-FFF2-40B4-BE49-F238E27FC236}">
              <a16:creationId xmlns:a16="http://schemas.microsoft.com/office/drawing/2014/main" id="{13D509F4-3BC8-4928-A9D8-2F064EC9C466}"/>
            </a:ext>
          </a:extLst>
        </xdr:cNvPr>
        <xdr:cNvCxnSpPr/>
      </xdr:nvCxnSpPr>
      <xdr:spPr>
        <a:xfrm>
          <a:off x="10928169" y="3268980"/>
          <a:ext cx="94106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88719</xdr:colOff>
      <xdr:row>19</xdr:row>
      <xdr:rowOff>30480</xdr:rowOff>
    </xdr:from>
    <xdr:to>
      <xdr:col>45</xdr:col>
      <xdr:colOff>49258</xdr:colOff>
      <xdr:row>19</xdr:row>
      <xdr:rowOff>144780</xdr:rowOff>
    </xdr:to>
    <xdr:sp macro="" textlink="">
      <xdr:nvSpPr>
        <xdr:cNvPr id="7628" name="직사각형 7627">
          <a:extLst>
            <a:ext uri="{FF2B5EF4-FFF2-40B4-BE49-F238E27FC236}">
              <a16:creationId xmlns:a16="http://schemas.microsoft.com/office/drawing/2014/main" id="{A2609F5E-6E48-47DA-9695-56E8FDAF3384}"/>
            </a:ext>
          </a:extLst>
        </xdr:cNvPr>
        <xdr:cNvSpPr/>
      </xdr:nvSpPr>
      <xdr:spPr>
        <a:xfrm>
          <a:off x="10928169" y="30594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88719</xdr:colOff>
      <xdr:row>19</xdr:row>
      <xdr:rowOff>87630</xdr:rowOff>
    </xdr:from>
    <xdr:to>
      <xdr:col>45</xdr:col>
      <xdr:colOff>49258</xdr:colOff>
      <xdr:row>19</xdr:row>
      <xdr:rowOff>87630</xdr:rowOff>
    </xdr:to>
    <xdr:cxnSp macro="">
      <xdr:nvCxnSpPr>
        <xdr:cNvPr id="7629" name="직선 화살표 연결선 7628">
          <a:extLst>
            <a:ext uri="{FF2B5EF4-FFF2-40B4-BE49-F238E27FC236}">
              <a16:creationId xmlns:a16="http://schemas.microsoft.com/office/drawing/2014/main" id="{D060EEC3-5FFD-4B23-A151-FF96897DA366}"/>
            </a:ext>
          </a:extLst>
        </xdr:cNvPr>
        <xdr:cNvCxnSpPr/>
      </xdr:nvCxnSpPr>
      <xdr:spPr>
        <a:xfrm>
          <a:off x="10928169" y="31165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88719</xdr:colOff>
      <xdr:row>18</xdr:row>
      <xdr:rowOff>30480</xdr:rowOff>
    </xdr:from>
    <xdr:to>
      <xdr:col>55</xdr:col>
      <xdr:colOff>6259</xdr:colOff>
      <xdr:row>18</xdr:row>
      <xdr:rowOff>144780</xdr:rowOff>
    </xdr:to>
    <xdr:sp macro="" textlink="">
      <xdr:nvSpPr>
        <xdr:cNvPr id="7630" name="직사각형 7629">
          <a:extLst>
            <a:ext uri="{FF2B5EF4-FFF2-40B4-BE49-F238E27FC236}">
              <a16:creationId xmlns:a16="http://schemas.microsoft.com/office/drawing/2014/main" id="{09CDF475-576C-416D-B138-646BE87B4F1A}"/>
            </a:ext>
          </a:extLst>
        </xdr:cNvPr>
        <xdr:cNvSpPr/>
      </xdr:nvSpPr>
      <xdr:spPr>
        <a:xfrm>
          <a:off x="10928169" y="2907030"/>
          <a:ext cx="14891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88719</xdr:colOff>
      <xdr:row>18</xdr:row>
      <xdr:rowOff>87630</xdr:rowOff>
    </xdr:from>
    <xdr:to>
      <xdr:col>49</xdr:col>
      <xdr:colOff>87157</xdr:colOff>
      <xdr:row>18</xdr:row>
      <xdr:rowOff>87630</xdr:rowOff>
    </xdr:to>
    <xdr:cxnSp macro="">
      <xdr:nvCxnSpPr>
        <xdr:cNvPr id="7631" name="직선 화살표 연결선 7630">
          <a:extLst>
            <a:ext uri="{FF2B5EF4-FFF2-40B4-BE49-F238E27FC236}">
              <a16:creationId xmlns:a16="http://schemas.microsoft.com/office/drawing/2014/main" id="{E19DF46C-AE42-4A7B-BAC0-6EC4CF8B4418}"/>
            </a:ext>
          </a:extLst>
        </xdr:cNvPr>
        <xdr:cNvCxnSpPr/>
      </xdr:nvCxnSpPr>
      <xdr:spPr>
        <a:xfrm>
          <a:off x="10928169" y="2964180"/>
          <a:ext cx="71281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103959</xdr:colOff>
      <xdr:row>16</xdr:row>
      <xdr:rowOff>30480</xdr:rowOff>
    </xdr:from>
    <xdr:to>
      <xdr:col>53</xdr:col>
      <xdr:colOff>105863</xdr:colOff>
      <xdr:row>16</xdr:row>
      <xdr:rowOff>144780</xdr:rowOff>
    </xdr:to>
    <xdr:sp macro="" textlink="">
      <xdr:nvSpPr>
        <xdr:cNvPr id="7632" name="직사각형 7631">
          <a:extLst>
            <a:ext uri="{FF2B5EF4-FFF2-40B4-BE49-F238E27FC236}">
              <a16:creationId xmlns:a16="http://schemas.microsoft.com/office/drawing/2014/main" id="{40CC61F8-FB25-4A9B-8DAF-46F01F20FD0D}"/>
            </a:ext>
          </a:extLst>
        </xdr:cNvPr>
        <xdr:cNvSpPr/>
      </xdr:nvSpPr>
      <xdr:spPr>
        <a:xfrm>
          <a:off x="12086409" y="2602230"/>
          <a:ext cx="14477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103959</xdr:colOff>
      <xdr:row>16</xdr:row>
      <xdr:rowOff>87630</xdr:rowOff>
    </xdr:from>
    <xdr:to>
      <xdr:col>52</xdr:col>
      <xdr:colOff>103959</xdr:colOff>
      <xdr:row>16</xdr:row>
      <xdr:rowOff>87630</xdr:rowOff>
    </xdr:to>
    <xdr:cxnSp macro="">
      <xdr:nvCxnSpPr>
        <xdr:cNvPr id="7633" name="직선 화살표 연결선 7632">
          <a:extLst>
            <a:ext uri="{FF2B5EF4-FFF2-40B4-BE49-F238E27FC236}">
              <a16:creationId xmlns:a16="http://schemas.microsoft.com/office/drawing/2014/main" id="{08272726-C384-4085-A26D-637F56DBB977}"/>
            </a:ext>
          </a:extLst>
        </xdr:cNvPr>
        <xdr:cNvCxnSpPr/>
      </xdr:nvCxnSpPr>
      <xdr:spPr>
        <a:xfrm>
          <a:off x="12086409"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88719</xdr:colOff>
      <xdr:row>15</xdr:row>
      <xdr:rowOff>30480</xdr:rowOff>
    </xdr:from>
    <xdr:to>
      <xdr:col>48</xdr:col>
      <xdr:colOff>96338</xdr:colOff>
      <xdr:row>15</xdr:row>
      <xdr:rowOff>144780</xdr:rowOff>
    </xdr:to>
    <xdr:sp macro="" textlink="">
      <xdr:nvSpPr>
        <xdr:cNvPr id="7634" name="직사각형 7633">
          <a:extLst>
            <a:ext uri="{FF2B5EF4-FFF2-40B4-BE49-F238E27FC236}">
              <a16:creationId xmlns:a16="http://schemas.microsoft.com/office/drawing/2014/main" id="{B961EC3D-720A-480B-A88E-A6FEF2116410}"/>
            </a:ext>
          </a:extLst>
        </xdr:cNvPr>
        <xdr:cNvSpPr/>
      </xdr:nvSpPr>
      <xdr:spPr>
        <a:xfrm>
          <a:off x="10928169" y="2449830"/>
          <a:ext cx="5791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88719</xdr:colOff>
      <xdr:row>15</xdr:row>
      <xdr:rowOff>87630</xdr:rowOff>
    </xdr:from>
    <xdr:to>
      <xdr:col>44</xdr:col>
      <xdr:colOff>88719</xdr:colOff>
      <xdr:row>15</xdr:row>
      <xdr:rowOff>87630</xdr:rowOff>
    </xdr:to>
    <xdr:cxnSp macro="">
      <xdr:nvCxnSpPr>
        <xdr:cNvPr id="7635" name="직선 화살표 연결선 7634">
          <a:extLst>
            <a:ext uri="{FF2B5EF4-FFF2-40B4-BE49-F238E27FC236}">
              <a16:creationId xmlns:a16="http://schemas.microsoft.com/office/drawing/2014/main" id="{F4A9F482-D7DF-4507-8D25-9CE1729ED57E}"/>
            </a:ext>
          </a:extLst>
        </xdr:cNvPr>
        <xdr:cNvCxnSpPr/>
      </xdr:nvCxnSpPr>
      <xdr:spPr>
        <a:xfrm>
          <a:off x="10928169"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88719</xdr:colOff>
      <xdr:row>14</xdr:row>
      <xdr:rowOff>30480</xdr:rowOff>
    </xdr:from>
    <xdr:to>
      <xdr:col>48</xdr:col>
      <xdr:colOff>96338</xdr:colOff>
      <xdr:row>14</xdr:row>
      <xdr:rowOff>144780</xdr:rowOff>
    </xdr:to>
    <xdr:sp macro="" textlink="">
      <xdr:nvSpPr>
        <xdr:cNvPr id="7636" name="직사각형 7635">
          <a:extLst>
            <a:ext uri="{FF2B5EF4-FFF2-40B4-BE49-F238E27FC236}">
              <a16:creationId xmlns:a16="http://schemas.microsoft.com/office/drawing/2014/main" id="{5B71EA6E-332B-4840-8E0C-8DA627F3D9C3}"/>
            </a:ext>
          </a:extLst>
        </xdr:cNvPr>
        <xdr:cNvSpPr/>
      </xdr:nvSpPr>
      <xdr:spPr>
        <a:xfrm>
          <a:off x="10928169" y="2297430"/>
          <a:ext cx="5791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88719</xdr:colOff>
      <xdr:row>14</xdr:row>
      <xdr:rowOff>87630</xdr:rowOff>
    </xdr:from>
    <xdr:to>
      <xdr:col>44</xdr:col>
      <xdr:colOff>88719</xdr:colOff>
      <xdr:row>14</xdr:row>
      <xdr:rowOff>87630</xdr:rowOff>
    </xdr:to>
    <xdr:cxnSp macro="">
      <xdr:nvCxnSpPr>
        <xdr:cNvPr id="7637" name="직선 화살표 연결선 7636">
          <a:extLst>
            <a:ext uri="{FF2B5EF4-FFF2-40B4-BE49-F238E27FC236}">
              <a16:creationId xmlns:a16="http://schemas.microsoft.com/office/drawing/2014/main" id="{333D77F5-E491-4916-9A84-AC59C24D7812}"/>
            </a:ext>
          </a:extLst>
        </xdr:cNvPr>
        <xdr:cNvCxnSpPr/>
      </xdr:nvCxnSpPr>
      <xdr:spPr>
        <a:xfrm>
          <a:off x="10928169"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88719</xdr:colOff>
      <xdr:row>13</xdr:row>
      <xdr:rowOff>30480</xdr:rowOff>
    </xdr:from>
    <xdr:to>
      <xdr:col>48</xdr:col>
      <xdr:colOff>96338</xdr:colOff>
      <xdr:row>13</xdr:row>
      <xdr:rowOff>144780</xdr:rowOff>
    </xdr:to>
    <xdr:sp macro="" textlink="">
      <xdr:nvSpPr>
        <xdr:cNvPr id="7638" name="직사각형 7637">
          <a:extLst>
            <a:ext uri="{FF2B5EF4-FFF2-40B4-BE49-F238E27FC236}">
              <a16:creationId xmlns:a16="http://schemas.microsoft.com/office/drawing/2014/main" id="{3594CB41-F8A6-43EC-A8A7-A108977CF42E}"/>
            </a:ext>
          </a:extLst>
        </xdr:cNvPr>
        <xdr:cNvSpPr/>
      </xdr:nvSpPr>
      <xdr:spPr>
        <a:xfrm>
          <a:off x="10928169" y="2145030"/>
          <a:ext cx="5791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88719</xdr:colOff>
      <xdr:row>13</xdr:row>
      <xdr:rowOff>87630</xdr:rowOff>
    </xdr:from>
    <xdr:to>
      <xdr:col>44</xdr:col>
      <xdr:colOff>88719</xdr:colOff>
      <xdr:row>13</xdr:row>
      <xdr:rowOff>87630</xdr:rowOff>
    </xdr:to>
    <xdr:cxnSp macro="">
      <xdr:nvCxnSpPr>
        <xdr:cNvPr id="7639" name="직선 화살표 연결선 7638">
          <a:extLst>
            <a:ext uri="{FF2B5EF4-FFF2-40B4-BE49-F238E27FC236}">
              <a16:creationId xmlns:a16="http://schemas.microsoft.com/office/drawing/2014/main" id="{F6979B0C-C675-49F7-8503-2FFBF86C2847}"/>
            </a:ext>
          </a:extLst>
        </xdr:cNvPr>
        <xdr:cNvCxnSpPr/>
      </xdr:nvCxnSpPr>
      <xdr:spPr>
        <a:xfrm>
          <a:off x="10928169"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84909</xdr:colOff>
      <xdr:row>12</xdr:row>
      <xdr:rowOff>30480</xdr:rowOff>
    </xdr:from>
    <xdr:to>
      <xdr:col>43</xdr:col>
      <xdr:colOff>66131</xdr:colOff>
      <xdr:row>12</xdr:row>
      <xdr:rowOff>144780</xdr:rowOff>
    </xdr:to>
    <xdr:sp macro="" textlink="">
      <xdr:nvSpPr>
        <xdr:cNvPr id="7640" name="직사각형 7639">
          <a:extLst>
            <a:ext uri="{FF2B5EF4-FFF2-40B4-BE49-F238E27FC236}">
              <a16:creationId xmlns:a16="http://schemas.microsoft.com/office/drawing/2014/main" id="{D3EE77ED-D0D7-4E21-9EE1-9C6DA4A3CE50}"/>
            </a:ext>
          </a:extLst>
        </xdr:cNvPr>
        <xdr:cNvSpPr/>
      </xdr:nvSpPr>
      <xdr:spPr>
        <a:xfrm>
          <a:off x="10638609" y="19926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84909</xdr:colOff>
      <xdr:row>12</xdr:row>
      <xdr:rowOff>87630</xdr:rowOff>
    </xdr:from>
    <xdr:to>
      <xdr:col>43</xdr:col>
      <xdr:colOff>66131</xdr:colOff>
      <xdr:row>12</xdr:row>
      <xdr:rowOff>87630</xdr:rowOff>
    </xdr:to>
    <xdr:cxnSp macro="">
      <xdr:nvCxnSpPr>
        <xdr:cNvPr id="7641" name="직선 화살표 연결선 7640">
          <a:extLst>
            <a:ext uri="{FF2B5EF4-FFF2-40B4-BE49-F238E27FC236}">
              <a16:creationId xmlns:a16="http://schemas.microsoft.com/office/drawing/2014/main" id="{8ACE4010-4E8F-44C0-A066-707BE2CA9AC5}"/>
            </a:ext>
          </a:extLst>
        </xdr:cNvPr>
        <xdr:cNvCxnSpPr/>
      </xdr:nvCxnSpPr>
      <xdr:spPr>
        <a:xfrm>
          <a:off x="10638609" y="20497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84909</xdr:colOff>
      <xdr:row>11</xdr:row>
      <xdr:rowOff>30480</xdr:rowOff>
    </xdr:from>
    <xdr:to>
      <xdr:col>53</xdr:col>
      <xdr:colOff>105863</xdr:colOff>
      <xdr:row>11</xdr:row>
      <xdr:rowOff>144780</xdr:rowOff>
    </xdr:to>
    <xdr:sp macro="" textlink="">
      <xdr:nvSpPr>
        <xdr:cNvPr id="7642" name="직사각형 7641">
          <a:extLst>
            <a:ext uri="{FF2B5EF4-FFF2-40B4-BE49-F238E27FC236}">
              <a16:creationId xmlns:a16="http://schemas.microsoft.com/office/drawing/2014/main" id="{EE5CE88F-90E5-465F-9F71-D9DD169E3514}"/>
            </a:ext>
          </a:extLst>
        </xdr:cNvPr>
        <xdr:cNvSpPr/>
      </xdr:nvSpPr>
      <xdr:spPr>
        <a:xfrm>
          <a:off x="10638609" y="1840230"/>
          <a:ext cx="159257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84909</xdr:colOff>
      <xdr:row>11</xdr:row>
      <xdr:rowOff>87630</xdr:rowOff>
    </xdr:from>
    <xdr:to>
      <xdr:col>43</xdr:col>
      <xdr:colOff>34358</xdr:colOff>
      <xdr:row>11</xdr:row>
      <xdr:rowOff>87630</xdr:rowOff>
    </xdr:to>
    <xdr:cxnSp macro="">
      <xdr:nvCxnSpPr>
        <xdr:cNvPr id="7643" name="직선 화살표 연결선 7642">
          <a:extLst>
            <a:ext uri="{FF2B5EF4-FFF2-40B4-BE49-F238E27FC236}">
              <a16:creationId xmlns:a16="http://schemas.microsoft.com/office/drawing/2014/main" id="{4355D8FF-462F-49B0-8173-8194A0D86713}"/>
            </a:ext>
          </a:extLst>
        </xdr:cNvPr>
        <xdr:cNvCxnSpPr/>
      </xdr:nvCxnSpPr>
      <xdr:spPr>
        <a:xfrm>
          <a:off x="10638609" y="1897380"/>
          <a:ext cx="923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43815</xdr:colOff>
      <xdr:row>9</xdr:row>
      <xdr:rowOff>30480</xdr:rowOff>
    </xdr:from>
    <xdr:to>
      <xdr:col>54</xdr:col>
      <xdr:colOff>4354</xdr:colOff>
      <xdr:row>9</xdr:row>
      <xdr:rowOff>144780</xdr:rowOff>
    </xdr:to>
    <xdr:sp macro="" textlink="">
      <xdr:nvSpPr>
        <xdr:cNvPr id="7644" name="직사각형 7643">
          <a:extLst>
            <a:ext uri="{FF2B5EF4-FFF2-40B4-BE49-F238E27FC236}">
              <a16:creationId xmlns:a16="http://schemas.microsoft.com/office/drawing/2014/main" id="{A240E4F2-A0A3-4E0E-9D17-51795F13F626}"/>
            </a:ext>
          </a:extLst>
        </xdr:cNvPr>
        <xdr:cNvSpPr/>
      </xdr:nvSpPr>
      <xdr:spPr>
        <a:xfrm>
          <a:off x="12169140" y="15354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43815</xdr:colOff>
      <xdr:row>9</xdr:row>
      <xdr:rowOff>87630</xdr:rowOff>
    </xdr:from>
    <xdr:to>
      <xdr:col>53</xdr:col>
      <xdr:colOff>43815</xdr:colOff>
      <xdr:row>9</xdr:row>
      <xdr:rowOff>87630</xdr:rowOff>
    </xdr:to>
    <xdr:cxnSp macro="">
      <xdr:nvCxnSpPr>
        <xdr:cNvPr id="7645" name="직선 화살표 연결선 7644">
          <a:extLst>
            <a:ext uri="{FF2B5EF4-FFF2-40B4-BE49-F238E27FC236}">
              <a16:creationId xmlns:a16="http://schemas.microsoft.com/office/drawing/2014/main" id="{0AEF0A3C-6CB3-4757-B4CF-08934FF77079}"/>
            </a:ext>
          </a:extLst>
        </xdr:cNvPr>
        <xdr:cNvCxnSpPr/>
      </xdr:nvCxnSpPr>
      <xdr:spPr>
        <a:xfrm>
          <a:off x="12169140"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28303</xdr:colOff>
      <xdr:row>8</xdr:row>
      <xdr:rowOff>30480</xdr:rowOff>
    </xdr:from>
    <xdr:to>
      <xdr:col>53</xdr:col>
      <xdr:colOff>2449</xdr:colOff>
      <xdr:row>8</xdr:row>
      <xdr:rowOff>144780</xdr:rowOff>
    </xdr:to>
    <xdr:sp macro="" textlink="">
      <xdr:nvSpPr>
        <xdr:cNvPr id="7646" name="직사각형 7645">
          <a:extLst>
            <a:ext uri="{FF2B5EF4-FFF2-40B4-BE49-F238E27FC236}">
              <a16:creationId xmlns:a16="http://schemas.microsoft.com/office/drawing/2014/main" id="{DE8AC60F-68EB-4BF5-BC52-8A7407695E69}"/>
            </a:ext>
          </a:extLst>
        </xdr:cNvPr>
        <xdr:cNvSpPr/>
      </xdr:nvSpPr>
      <xdr:spPr>
        <a:xfrm>
          <a:off x="9439003" y="1383030"/>
          <a:ext cx="268877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28303</xdr:colOff>
      <xdr:row>8</xdr:row>
      <xdr:rowOff>87630</xdr:rowOff>
    </xdr:from>
    <xdr:to>
      <xdr:col>34</xdr:col>
      <xdr:colOff>28303</xdr:colOff>
      <xdr:row>8</xdr:row>
      <xdr:rowOff>87630</xdr:rowOff>
    </xdr:to>
    <xdr:cxnSp macro="">
      <xdr:nvCxnSpPr>
        <xdr:cNvPr id="7647" name="직선 화살표 연결선 7646">
          <a:extLst>
            <a:ext uri="{FF2B5EF4-FFF2-40B4-BE49-F238E27FC236}">
              <a16:creationId xmlns:a16="http://schemas.microsoft.com/office/drawing/2014/main" id="{293652D5-E57B-4CDC-9606-5A3F198F6539}"/>
            </a:ext>
          </a:extLst>
        </xdr:cNvPr>
        <xdr:cNvCxnSpPr/>
      </xdr:nvCxnSpPr>
      <xdr:spPr>
        <a:xfrm>
          <a:off x="9439003"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28303</xdr:colOff>
      <xdr:row>7</xdr:row>
      <xdr:rowOff>30480</xdr:rowOff>
    </xdr:from>
    <xdr:to>
      <xdr:col>53</xdr:col>
      <xdr:colOff>2449</xdr:colOff>
      <xdr:row>7</xdr:row>
      <xdr:rowOff>144780</xdr:rowOff>
    </xdr:to>
    <xdr:sp macro="" textlink="">
      <xdr:nvSpPr>
        <xdr:cNvPr id="7648" name="직사각형 7647">
          <a:extLst>
            <a:ext uri="{FF2B5EF4-FFF2-40B4-BE49-F238E27FC236}">
              <a16:creationId xmlns:a16="http://schemas.microsoft.com/office/drawing/2014/main" id="{E202E273-3E79-45A1-A0C6-3BD1A2F7F90F}"/>
            </a:ext>
          </a:extLst>
        </xdr:cNvPr>
        <xdr:cNvSpPr/>
      </xdr:nvSpPr>
      <xdr:spPr>
        <a:xfrm>
          <a:off x="9439003" y="1230630"/>
          <a:ext cx="268877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28303</xdr:colOff>
      <xdr:row>7</xdr:row>
      <xdr:rowOff>87630</xdr:rowOff>
    </xdr:from>
    <xdr:to>
      <xdr:col>34</xdr:col>
      <xdr:colOff>28303</xdr:colOff>
      <xdr:row>7</xdr:row>
      <xdr:rowOff>87630</xdr:rowOff>
    </xdr:to>
    <xdr:cxnSp macro="">
      <xdr:nvCxnSpPr>
        <xdr:cNvPr id="7649" name="직선 화살표 연결선 7648">
          <a:extLst>
            <a:ext uri="{FF2B5EF4-FFF2-40B4-BE49-F238E27FC236}">
              <a16:creationId xmlns:a16="http://schemas.microsoft.com/office/drawing/2014/main" id="{3BCFEE9B-42AA-4035-B0B7-7F0A4899ADC8}"/>
            </a:ext>
          </a:extLst>
        </xdr:cNvPr>
        <xdr:cNvCxnSpPr/>
      </xdr:nvCxnSpPr>
      <xdr:spPr>
        <a:xfrm>
          <a:off x="9439003" y="128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28303</xdr:colOff>
      <xdr:row>6</xdr:row>
      <xdr:rowOff>30480</xdr:rowOff>
    </xdr:from>
    <xdr:to>
      <xdr:col>53</xdr:col>
      <xdr:colOff>2449</xdr:colOff>
      <xdr:row>6</xdr:row>
      <xdr:rowOff>144780</xdr:rowOff>
    </xdr:to>
    <xdr:sp macro="" textlink="">
      <xdr:nvSpPr>
        <xdr:cNvPr id="7650" name="직사각형 7649">
          <a:extLst>
            <a:ext uri="{FF2B5EF4-FFF2-40B4-BE49-F238E27FC236}">
              <a16:creationId xmlns:a16="http://schemas.microsoft.com/office/drawing/2014/main" id="{942F40C7-EDF9-4FC2-8143-8C7F7D0E59C3}"/>
            </a:ext>
          </a:extLst>
        </xdr:cNvPr>
        <xdr:cNvSpPr/>
      </xdr:nvSpPr>
      <xdr:spPr>
        <a:xfrm>
          <a:off x="9439003" y="1078230"/>
          <a:ext cx="268877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28303</xdr:colOff>
      <xdr:row>6</xdr:row>
      <xdr:rowOff>87630</xdr:rowOff>
    </xdr:from>
    <xdr:to>
      <xdr:col>34</xdr:col>
      <xdr:colOff>28303</xdr:colOff>
      <xdr:row>6</xdr:row>
      <xdr:rowOff>87630</xdr:rowOff>
    </xdr:to>
    <xdr:cxnSp macro="">
      <xdr:nvCxnSpPr>
        <xdr:cNvPr id="7651" name="직선 화살표 연결선 7650">
          <a:extLst>
            <a:ext uri="{FF2B5EF4-FFF2-40B4-BE49-F238E27FC236}">
              <a16:creationId xmlns:a16="http://schemas.microsoft.com/office/drawing/2014/main" id="{C643D560-A30D-4303-832A-CB4739E85DFC}"/>
            </a:ext>
          </a:extLst>
        </xdr:cNvPr>
        <xdr:cNvCxnSpPr/>
      </xdr:nvCxnSpPr>
      <xdr:spPr>
        <a:xfrm>
          <a:off x="9439003"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28303</xdr:colOff>
      <xdr:row>5</xdr:row>
      <xdr:rowOff>30480</xdr:rowOff>
    </xdr:from>
    <xdr:to>
      <xdr:col>34</xdr:col>
      <xdr:colOff>69669</xdr:colOff>
      <xdr:row>5</xdr:row>
      <xdr:rowOff>144780</xdr:rowOff>
    </xdr:to>
    <xdr:sp macro="" textlink="">
      <xdr:nvSpPr>
        <xdr:cNvPr id="7652" name="직사각형 7651">
          <a:extLst>
            <a:ext uri="{FF2B5EF4-FFF2-40B4-BE49-F238E27FC236}">
              <a16:creationId xmlns:a16="http://schemas.microsoft.com/office/drawing/2014/main" id="{6D14F843-6F8A-4122-B1C5-D00D13AE6C8A}"/>
            </a:ext>
          </a:extLst>
        </xdr:cNvPr>
        <xdr:cNvSpPr/>
      </xdr:nvSpPr>
      <xdr:spPr>
        <a:xfrm>
          <a:off x="9439003" y="925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28303</xdr:colOff>
      <xdr:row>5</xdr:row>
      <xdr:rowOff>87630</xdr:rowOff>
    </xdr:from>
    <xdr:to>
      <xdr:col>34</xdr:col>
      <xdr:colOff>69669</xdr:colOff>
      <xdr:row>5</xdr:row>
      <xdr:rowOff>87630</xdr:rowOff>
    </xdr:to>
    <xdr:cxnSp macro="">
      <xdr:nvCxnSpPr>
        <xdr:cNvPr id="7653" name="직선 화살표 연결선 7652">
          <a:extLst>
            <a:ext uri="{FF2B5EF4-FFF2-40B4-BE49-F238E27FC236}">
              <a16:creationId xmlns:a16="http://schemas.microsoft.com/office/drawing/2014/main" id="{FF27DFD4-A477-4331-B98B-E70FAF22CB83}"/>
            </a:ext>
          </a:extLst>
        </xdr:cNvPr>
        <xdr:cNvCxnSpPr/>
      </xdr:nvCxnSpPr>
      <xdr:spPr>
        <a:xfrm>
          <a:off x="9439003" y="9829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28303</xdr:colOff>
      <xdr:row>4</xdr:row>
      <xdr:rowOff>30480</xdr:rowOff>
    </xdr:from>
    <xdr:to>
      <xdr:col>54</xdr:col>
      <xdr:colOff>4354</xdr:colOff>
      <xdr:row>4</xdr:row>
      <xdr:rowOff>144780</xdr:rowOff>
    </xdr:to>
    <xdr:sp macro="" textlink="">
      <xdr:nvSpPr>
        <xdr:cNvPr id="7654" name="직사각형 7653">
          <a:extLst>
            <a:ext uri="{FF2B5EF4-FFF2-40B4-BE49-F238E27FC236}">
              <a16:creationId xmlns:a16="http://schemas.microsoft.com/office/drawing/2014/main" id="{FE27CAE4-E194-4A04-92F4-CE8A38BF03B3}"/>
            </a:ext>
          </a:extLst>
        </xdr:cNvPr>
        <xdr:cNvSpPr/>
      </xdr:nvSpPr>
      <xdr:spPr>
        <a:xfrm>
          <a:off x="9439003" y="773430"/>
          <a:ext cx="283355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28303</xdr:colOff>
      <xdr:row>4</xdr:row>
      <xdr:rowOff>87630</xdr:rowOff>
    </xdr:from>
    <xdr:to>
      <xdr:col>34</xdr:col>
      <xdr:colOff>47913</xdr:colOff>
      <xdr:row>4</xdr:row>
      <xdr:rowOff>87630</xdr:rowOff>
    </xdr:to>
    <xdr:cxnSp macro="">
      <xdr:nvCxnSpPr>
        <xdr:cNvPr id="7655" name="직선 화살표 연결선 7654">
          <a:extLst>
            <a:ext uri="{FF2B5EF4-FFF2-40B4-BE49-F238E27FC236}">
              <a16:creationId xmlns:a16="http://schemas.microsoft.com/office/drawing/2014/main" id="{27572767-6EB2-4D80-8DB3-F6794D843F41}"/>
            </a:ext>
          </a:extLst>
        </xdr:cNvPr>
        <xdr:cNvCxnSpPr/>
      </xdr:nvCxnSpPr>
      <xdr:spPr>
        <a:xfrm>
          <a:off x="9439003" y="830580"/>
          <a:ext cx="196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4</v>
      </c>
      <c r="B1" s="98" t="s">
        <v>5</v>
      </c>
      <c r="C1" s="98" t="s">
        <v>6</v>
      </c>
      <c r="D1" s="98" t="s">
        <v>7</v>
      </c>
      <c r="E1" s="98" t="s">
        <v>8</v>
      </c>
      <c r="F1" s="98" t="s">
        <v>9</v>
      </c>
    </row>
    <row r="2" spans="1:64">
      <c r="A2" s="100" t="s">
        <v>10</v>
      </c>
      <c r="B2" s="101" t="s">
        <v>11</v>
      </c>
      <c r="C2" s="101"/>
      <c r="D2" s="101"/>
      <c r="E2" s="101" t="s">
        <v>12</v>
      </c>
      <c r="F2" s="101"/>
    </row>
    <row r="3" spans="1:64">
      <c r="A3" s="100" t="s">
        <v>398</v>
      </c>
      <c r="B3" s="101" t="s">
        <v>11</v>
      </c>
      <c r="C3" s="101"/>
      <c r="D3" s="101"/>
      <c r="E3" s="101" t="s">
        <v>12</v>
      </c>
      <c r="F3" s="101"/>
    </row>
    <row r="4" spans="1:64">
      <c r="A4" s="100" t="s">
        <v>13</v>
      </c>
      <c r="B4" s="111" t="s">
        <v>399</v>
      </c>
      <c r="C4" s="101"/>
      <c r="D4" s="101"/>
      <c r="E4" s="101" t="s">
        <v>12</v>
      </c>
      <c r="F4" s="101"/>
    </row>
    <row r="5" spans="1:64">
      <c r="A5" s="100" t="s">
        <v>14</v>
      </c>
      <c r="B5" s="101" t="s">
        <v>15</v>
      </c>
      <c r="C5" s="101"/>
      <c r="D5" s="101"/>
      <c r="E5" s="101" t="s">
        <v>12</v>
      </c>
      <c r="F5" s="101"/>
    </row>
    <row r="6" spans="1:64">
      <c r="A6" s="100" t="s">
        <v>16</v>
      </c>
      <c r="B6" s="111" t="s">
        <v>17</v>
      </c>
      <c r="C6" s="101"/>
      <c r="D6" s="101"/>
      <c r="E6" s="101" t="s">
        <v>12</v>
      </c>
      <c r="F6" s="101"/>
    </row>
    <row r="7" spans="1:64">
      <c r="A7" s="100" t="s">
        <v>18</v>
      </c>
      <c r="B7" s="100" t="s">
        <v>11</v>
      </c>
      <c r="C7" s="101"/>
      <c r="D7" s="101"/>
      <c r="E7" s="101" t="s">
        <v>12</v>
      </c>
      <c r="F7" s="101"/>
    </row>
    <row r="8" spans="1:64">
      <c r="A8" s="100" t="s">
        <v>19</v>
      </c>
      <c r="B8" s="103" t="s">
        <v>964</v>
      </c>
      <c r="C8" s="101" t="s">
        <v>1040</v>
      </c>
      <c r="D8" s="101">
        <v>82</v>
      </c>
      <c r="E8" s="101" t="s">
        <v>20</v>
      </c>
      <c r="F8" s="101"/>
    </row>
    <row r="9" spans="1:64">
      <c r="A9" s="100" t="s">
        <v>21</v>
      </c>
      <c r="B9" s="104">
        <v>43387</v>
      </c>
      <c r="C9" s="101"/>
      <c r="D9" s="101"/>
      <c r="E9" s="101" t="s">
        <v>12</v>
      </c>
      <c r="F9" s="101"/>
    </row>
    <row r="10" spans="1:64">
      <c r="A10" s="105" t="s">
        <v>22</v>
      </c>
      <c r="B10" s="106" t="s">
        <v>23</v>
      </c>
      <c r="C10" s="106"/>
      <c r="D10" s="106"/>
      <c r="E10" s="106" t="s">
        <v>12</v>
      </c>
      <c r="F10" s="106"/>
    </row>
    <row r="11" spans="1:64">
      <c r="A11" s="102" t="s">
        <v>400</v>
      </c>
      <c r="B11" s="107" t="s">
        <v>24</v>
      </c>
      <c r="C11" s="99" t="s">
        <v>1070</v>
      </c>
      <c r="D11" s="99" t="s">
        <v>25</v>
      </c>
      <c r="E11" s="108">
        <v>1</v>
      </c>
      <c r="F11" s="109" t="s">
        <v>26</v>
      </c>
      <c r="G11" s="110">
        <v>44348</v>
      </c>
      <c r="H11" s="109" t="s">
        <v>27</v>
      </c>
      <c r="I11" s="110">
        <v>44561</v>
      </c>
      <c r="J11" s="102" t="s">
        <v>417</v>
      </c>
      <c r="K11" s="102" t="s">
        <v>1041</v>
      </c>
      <c r="L11" s="102" t="s">
        <v>414</v>
      </c>
      <c r="M11" s="102">
        <v>0</v>
      </c>
      <c r="N11" s="107" t="s">
        <v>28</v>
      </c>
      <c r="O11" s="99">
        <v>0</v>
      </c>
      <c r="P11" s="99" t="s">
        <v>29</v>
      </c>
      <c r="Q11" s="107" t="s">
        <v>1046</v>
      </c>
      <c r="R11" s="102" t="s">
        <v>419</v>
      </c>
      <c r="S11" s="102">
        <v>2</v>
      </c>
      <c r="T11" s="102" t="s">
        <v>424</v>
      </c>
      <c r="U11" s="102">
        <v>0</v>
      </c>
      <c r="V11" s="102" t="s">
        <v>425</v>
      </c>
      <c r="W11" s="102">
        <v>0</v>
      </c>
      <c r="X11" s="102" t="s">
        <v>428</v>
      </c>
      <c r="Y11" s="102">
        <v>1</v>
      </c>
    </row>
    <row r="12" spans="1:64">
      <c r="A12" s="102" t="s">
        <v>403</v>
      </c>
      <c r="B12" s="102" t="s">
        <v>404</v>
      </c>
      <c r="C12" s="102">
        <v>1</v>
      </c>
      <c r="D12" s="102" t="s">
        <v>405</v>
      </c>
      <c r="E12" s="102">
        <v>1</v>
      </c>
      <c r="F12" s="102" t="s">
        <v>406</v>
      </c>
      <c r="G12" s="102">
        <v>0</v>
      </c>
      <c r="H12" s="102" t="s">
        <v>407</v>
      </c>
      <c r="I12" s="102">
        <v>1</v>
      </c>
      <c r="J12" s="102" t="s">
        <v>408</v>
      </c>
      <c r="K12" s="102">
        <v>0.7</v>
      </c>
      <c r="L12" s="102" t="s">
        <v>409</v>
      </c>
      <c r="M12" s="102">
        <v>2</v>
      </c>
      <c r="N12" s="102" t="s">
        <v>410</v>
      </c>
      <c r="O12" s="102">
        <v>1</v>
      </c>
      <c r="P12" s="102" t="s">
        <v>413</v>
      </c>
      <c r="Q12" s="102">
        <v>1</v>
      </c>
      <c r="R12" s="102" t="s">
        <v>420</v>
      </c>
      <c r="S12" s="102">
        <v>7</v>
      </c>
      <c r="T12" s="102" t="s">
        <v>421</v>
      </c>
      <c r="U12" s="102">
        <v>0</v>
      </c>
      <c r="V12" s="102" t="s">
        <v>422</v>
      </c>
      <c r="W12" s="102">
        <v>100</v>
      </c>
      <c r="X12" s="102" t="s">
        <v>423</v>
      </c>
      <c r="Y12" s="102">
        <v>0</v>
      </c>
      <c r="Z12" s="102" t="s">
        <v>426</v>
      </c>
      <c r="AA12" s="102">
        <v>1</v>
      </c>
      <c r="AB12" s="102" t="s">
        <v>427</v>
      </c>
      <c r="AC12" s="102">
        <v>1</v>
      </c>
      <c r="AD12" s="102" t="s">
        <v>962</v>
      </c>
      <c r="AE12" s="102">
        <v>1</v>
      </c>
    </row>
    <row r="13" spans="1:64">
      <c r="A13" s="101" t="s">
        <v>401</v>
      </c>
      <c r="B13" s="107" t="s">
        <v>30</v>
      </c>
      <c r="C13" s="99">
        <v>0</v>
      </c>
      <c r="D13" s="107" t="s">
        <v>31</v>
      </c>
      <c r="E13" s="99" t="s">
        <v>1047</v>
      </c>
      <c r="F13" s="99" t="s">
        <v>32</v>
      </c>
      <c r="G13" s="109" t="s">
        <v>1071</v>
      </c>
      <c r="H13" s="109" t="s">
        <v>33</v>
      </c>
      <c r="I13" s="102" t="s">
        <v>966</v>
      </c>
    </row>
    <row r="14" spans="1:64">
      <c r="A14" s="101" t="s">
        <v>402</v>
      </c>
      <c r="B14" s="108" t="s">
        <v>34</v>
      </c>
      <c r="C14" s="108" t="s">
        <v>1048</v>
      </c>
      <c r="D14" s="108" t="s">
        <v>35</v>
      </c>
      <c r="E14" s="108" t="s">
        <v>1049</v>
      </c>
      <c r="F14" s="108" t="s">
        <v>36</v>
      </c>
      <c r="G14" s="108" t="s">
        <v>1020</v>
      </c>
      <c r="H14" s="108" t="s">
        <v>37</v>
      </c>
      <c r="I14" s="108" t="b">
        <v>0</v>
      </c>
      <c r="J14" s="108" t="s">
        <v>38</v>
      </c>
      <c r="K14" s="108" t="s">
        <v>1032</v>
      </c>
      <c r="L14" s="108" t="s">
        <v>39</v>
      </c>
      <c r="M14" s="108" t="s">
        <v>1021</v>
      </c>
      <c r="N14" s="108" t="s">
        <v>40</v>
      </c>
      <c r="O14" s="108" t="s">
        <v>1020</v>
      </c>
      <c r="P14" s="108" t="s">
        <v>41</v>
      </c>
      <c r="Q14" s="108" t="b">
        <v>0</v>
      </c>
      <c r="R14" s="108" t="s">
        <v>42</v>
      </c>
      <c r="S14" s="108" t="s">
        <v>1050</v>
      </c>
      <c r="T14" s="108" t="s">
        <v>43</v>
      </c>
      <c r="U14" s="108" t="s">
        <v>1033</v>
      </c>
      <c r="V14" s="108" t="s">
        <v>44</v>
      </c>
      <c r="W14" s="108" t="s">
        <v>1020</v>
      </c>
      <c r="X14" s="108" t="s">
        <v>45</v>
      </c>
      <c r="Y14" s="108" t="b">
        <v>1</v>
      </c>
      <c r="Z14" s="108" t="s">
        <v>46</v>
      </c>
      <c r="AA14" s="108" t="s">
        <v>1022</v>
      </c>
      <c r="AB14" s="108" t="s">
        <v>47</v>
      </c>
      <c r="AC14" s="108" t="s">
        <v>1034</v>
      </c>
      <c r="AD14" s="108" t="s">
        <v>48</v>
      </c>
      <c r="AE14" s="108" t="s">
        <v>1051</v>
      </c>
      <c r="AF14" s="108" t="s">
        <v>49</v>
      </c>
      <c r="AG14" s="108" t="b">
        <v>1</v>
      </c>
      <c r="AH14" s="108" t="s">
        <v>50</v>
      </c>
      <c r="AI14" s="108" t="s">
        <v>1024</v>
      </c>
      <c r="AJ14" s="108" t="s">
        <v>51</v>
      </c>
      <c r="AK14" s="108" t="s">
        <v>990</v>
      </c>
      <c r="AL14" s="108" t="s">
        <v>52</v>
      </c>
      <c r="AM14" s="108" t="s">
        <v>1052</v>
      </c>
      <c r="AN14" s="108" t="s">
        <v>53</v>
      </c>
      <c r="AO14" s="108" t="b">
        <v>0</v>
      </c>
      <c r="AP14" s="108" t="s">
        <v>54</v>
      </c>
      <c r="AQ14" s="108" t="s">
        <v>988</v>
      </c>
      <c r="AR14" s="108" t="s">
        <v>55</v>
      </c>
      <c r="AS14" s="108" t="s">
        <v>991</v>
      </c>
      <c r="AT14" s="108" t="s">
        <v>56</v>
      </c>
      <c r="AU14" s="108" t="s">
        <v>1025</v>
      </c>
      <c r="AV14" s="108" t="s">
        <v>57</v>
      </c>
      <c r="AW14" s="108" t="b">
        <v>1</v>
      </c>
      <c r="AX14" s="102" t="s">
        <v>58</v>
      </c>
      <c r="AZ14" s="102" t="s">
        <v>59</v>
      </c>
      <c r="BB14" s="102" t="s">
        <v>60</v>
      </c>
      <c r="BD14" s="102" t="s">
        <v>61</v>
      </c>
      <c r="BF14" s="102" t="s">
        <v>62</v>
      </c>
      <c r="BH14" s="102" t="s">
        <v>63</v>
      </c>
      <c r="BJ14" s="102" t="s">
        <v>64</v>
      </c>
      <c r="BL14" s="102" t="s">
        <v>65</v>
      </c>
    </row>
    <row r="15" spans="1:64">
      <c r="A15" s="101" t="s">
        <v>418</v>
      </c>
      <c r="B15" s="102" t="s">
        <v>411</v>
      </c>
      <c r="C15" s="102">
        <v>0</v>
      </c>
      <c r="D15" s="102" t="s">
        <v>412</v>
      </c>
      <c r="E15" s="102">
        <v>1</v>
      </c>
      <c r="F15" s="102" t="s">
        <v>415</v>
      </c>
      <c r="G15" s="102" t="s">
        <v>992</v>
      </c>
      <c r="H15" s="102" t="s">
        <v>416</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908</v>
      </c>
      <c r="B1" s="124" t="s">
        <v>909</v>
      </c>
      <c r="C1" s="125" t="s">
        <v>910</v>
      </c>
      <c r="D1" s="125" t="s">
        <v>66</v>
      </c>
      <c r="E1" s="125" t="s">
        <v>67</v>
      </c>
    </row>
    <row r="2" spans="1:5" ht="79.2">
      <c r="A2" s="126" t="s">
        <v>1053</v>
      </c>
      <c r="B2" s="139">
        <v>1</v>
      </c>
      <c r="D2" s="127" t="s">
        <v>911</v>
      </c>
      <c r="E2" s="140" t="s">
        <v>587</v>
      </c>
    </row>
    <row r="3" spans="1:5" ht="112.5" customHeight="1">
      <c r="A3" s="128">
        <v>450</v>
      </c>
      <c r="B3" s="139">
        <v>2</v>
      </c>
      <c r="D3" s="127" t="s">
        <v>514</v>
      </c>
      <c r="E3" s="140" t="s">
        <v>912</v>
      </c>
    </row>
    <row r="4" spans="1:5" ht="52.8">
      <c r="B4" s="139">
        <v>3</v>
      </c>
      <c r="D4" s="127" t="s">
        <v>913</v>
      </c>
      <c r="E4" s="140" t="s">
        <v>588</v>
      </c>
    </row>
    <row r="5" spans="1:5" ht="52.8">
      <c r="B5" s="139">
        <v>4</v>
      </c>
      <c r="D5" s="127" t="s">
        <v>914</v>
      </c>
      <c r="E5" s="140" t="s">
        <v>589</v>
      </c>
    </row>
    <row r="6" spans="1:5" ht="52.8">
      <c r="B6" s="139">
        <v>5</v>
      </c>
      <c r="D6" s="127" t="s">
        <v>915</v>
      </c>
      <c r="E6" s="140" t="s">
        <v>590</v>
      </c>
    </row>
    <row r="7" spans="1:5" ht="39.6">
      <c r="B7" s="139">
        <v>6</v>
      </c>
      <c r="D7" s="127" t="s">
        <v>916</v>
      </c>
      <c r="E7" s="140" t="s">
        <v>591</v>
      </c>
    </row>
    <row r="8" spans="1:5">
      <c r="B8" s="139">
        <v>7</v>
      </c>
      <c r="D8" s="127" t="s">
        <v>902</v>
      </c>
      <c r="E8" s="140" t="s">
        <v>917</v>
      </c>
    </row>
    <row r="9" spans="1:5">
      <c r="B9" s="139">
        <v>101</v>
      </c>
      <c r="D9" s="127" t="s">
        <v>68</v>
      </c>
      <c r="E9" s="140" t="s">
        <v>592</v>
      </c>
    </row>
    <row r="10" spans="1:5">
      <c r="B10" s="139">
        <v>102</v>
      </c>
      <c r="D10" s="127" t="s">
        <v>69</v>
      </c>
      <c r="E10" s="140" t="s">
        <v>593</v>
      </c>
    </row>
    <row r="11" spans="1:5">
      <c r="B11" s="139">
        <v>103</v>
      </c>
      <c r="D11" s="127" t="s">
        <v>70</v>
      </c>
      <c r="E11" s="140" t="s">
        <v>594</v>
      </c>
    </row>
    <row r="12" spans="1:5">
      <c r="B12" s="139">
        <v>104</v>
      </c>
      <c r="D12" s="127" t="s">
        <v>71</v>
      </c>
      <c r="E12" s="140" t="s">
        <v>595</v>
      </c>
    </row>
    <row r="13" spans="1:5">
      <c r="B13" s="139">
        <v>105</v>
      </c>
      <c r="D13" s="127" t="s">
        <v>72</v>
      </c>
      <c r="E13" s="140" t="s">
        <v>596</v>
      </c>
    </row>
    <row r="14" spans="1:5">
      <c r="B14" s="139">
        <v>106</v>
      </c>
      <c r="D14" s="127" t="s">
        <v>432</v>
      </c>
      <c r="E14" s="140" t="s">
        <v>597</v>
      </c>
    </row>
    <row r="15" spans="1:5" ht="26.4">
      <c r="B15" s="139">
        <v>107</v>
      </c>
      <c r="D15" s="127" t="s">
        <v>433</v>
      </c>
      <c r="E15" s="140" t="s">
        <v>598</v>
      </c>
    </row>
    <row r="16" spans="1:5" ht="39.6">
      <c r="B16" s="139">
        <v>108</v>
      </c>
      <c r="D16" s="127" t="s">
        <v>434</v>
      </c>
      <c r="E16" s="140" t="s">
        <v>599</v>
      </c>
    </row>
    <row r="17" spans="1:6">
      <c r="B17" s="139">
        <v>109</v>
      </c>
      <c r="D17" s="127" t="s">
        <v>73</v>
      </c>
      <c r="E17" s="140" t="s">
        <v>517</v>
      </c>
    </row>
    <row r="18" spans="1:6">
      <c r="B18" s="139">
        <v>110</v>
      </c>
      <c r="D18" s="127" t="s">
        <v>74</v>
      </c>
      <c r="E18" s="140" t="s">
        <v>600</v>
      </c>
    </row>
    <row r="19" spans="1:6">
      <c r="B19" s="139">
        <v>111</v>
      </c>
      <c r="D19" s="127" t="s">
        <v>75</v>
      </c>
      <c r="E19" s="140" t="s">
        <v>601</v>
      </c>
    </row>
    <row r="20" spans="1:6">
      <c r="A20" s="129"/>
      <c r="B20" s="139">
        <v>112</v>
      </c>
      <c r="C20" s="138" t="s">
        <v>918</v>
      </c>
      <c r="D20" s="128" t="s">
        <v>919</v>
      </c>
      <c r="E20" s="128" t="s">
        <v>515</v>
      </c>
      <c r="F20" s="130"/>
    </row>
    <row r="21" spans="1:6">
      <c r="B21" s="139">
        <v>113</v>
      </c>
      <c r="D21" s="127" t="s">
        <v>76</v>
      </c>
      <c r="E21" s="140" t="s">
        <v>518</v>
      </c>
    </row>
    <row r="22" spans="1:6">
      <c r="B22" s="139">
        <v>114</v>
      </c>
      <c r="D22" s="127" t="s">
        <v>77</v>
      </c>
      <c r="E22" s="140" t="s">
        <v>602</v>
      </c>
    </row>
    <row r="23" spans="1:6">
      <c r="B23" s="139">
        <v>115</v>
      </c>
      <c r="D23" s="127" t="s">
        <v>78</v>
      </c>
      <c r="E23" s="140" t="s">
        <v>603</v>
      </c>
    </row>
    <row r="24" spans="1:6" ht="26.4">
      <c r="B24" s="139">
        <v>116</v>
      </c>
      <c r="D24" s="127" t="s">
        <v>435</v>
      </c>
      <c r="E24" s="140" t="s">
        <v>604</v>
      </c>
    </row>
    <row r="25" spans="1:6">
      <c r="B25" s="139">
        <v>117</v>
      </c>
      <c r="D25" s="127" t="s">
        <v>436</v>
      </c>
      <c r="E25" s="140" t="s">
        <v>605</v>
      </c>
    </row>
    <row r="26" spans="1:6" ht="26.4">
      <c r="B26" s="139">
        <v>118</v>
      </c>
      <c r="D26" s="127" t="s">
        <v>79</v>
      </c>
      <c r="E26" s="140" t="s">
        <v>606</v>
      </c>
    </row>
    <row r="27" spans="1:6">
      <c r="B27" s="139">
        <v>119</v>
      </c>
      <c r="D27" s="127" t="s">
        <v>80</v>
      </c>
      <c r="E27" s="140" t="s">
        <v>607</v>
      </c>
    </row>
    <row r="28" spans="1:6">
      <c r="B28" s="139">
        <v>120</v>
      </c>
      <c r="D28" s="127" t="s">
        <v>430</v>
      </c>
      <c r="E28" s="140" t="s">
        <v>608</v>
      </c>
    </row>
    <row r="29" spans="1:6">
      <c r="B29" s="139">
        <v>121</v>
      </c>
      <c r="D29" s="127" t="s">
        <v>81</v>
      </c>
      <c r="E29" s="140" t="s">
        <v>609</v>
      </c>
    </row>
    <row r="30" spans="1:6">
      <c r="B30" s="139">
        <v>122</v>
      </c>
      <c r="D30" s="127" t="s">
        <v>82</v>
      </c>
      <c r="E30" s="140" t="s">
        <v>610</v>
      </c>
    </row>
    <row r="31" spans="1:6">
      <c r="B31" s="139">
        <v>123</v>
      </c>
      <c r="D31" s="127" t="s">
        <v>83</v>
      </c>
      <c r="E31" s="140" t="s">
        <v>611</v>
      </c>
    </row>
    <row r="32" spans="1:6">
      <c r="B32" s="139">
        <v>124</v>
      </c>
      <c r="D32" s="127" t="s">
        <v>84</v>
      </c>
      <c r="E32" s="140" t="s">
        <v>612</v>
      </c>
    </row>
    <row r="33" spans="2:5" ht="26.4">
      <c r="B33" s="139">
        <v>125</v>
      </c>
      <c r="D33" s="127" t="s">
        <v>431</v>
      </c>
      <c r="E33" s="140" t="s">
        <v>613</v>
      </c>
    </row>
    <row r="34" spans="2:5">
      <c r="B34" s="139">
        <v>126</v>
      </c>
      <c r="D34" s="127" t="s">
        <v>85</v>
      </c>
      <c r="E34" s="140" t="s">
        <v>614</v>
      </c>
    </row>
    <row r="35" spans="2:5">
      <c r="B35" s="139">
        <v>127</v>
      </c>
      <c r="D35" s="127" t="s">
        <v>86</v>
      </c>
      <c r="E35" s="140" t="s">
        <v>615</v>
      </c>
    </row>
    <row r="36" spans="2:5">
      <c r="B36" s="139">
        <v>128</v>
      </c>
      <c r="D36" s="127" t="s">
        <v>437</v>
      </c>
      <c r="E36" s="140" t="s">
        <v>616</v>
      </c>
    </row>
    <row r="37" spans="2:5">
      <c r="B37" s="139">
        <v>129</v>
      </c>
      <c r="D37" s="127" t="s">
        <v>87</v>
      </c>
      <c r="E37" s="140" t="s">
        <v>617</v>
      </c>
    </row>
    <row r="38" spans="2:5">
      <c r="B38" s="139">
        <v>130</v>
      </c>
      <c r="D38" s="127" t="s">
        <v>88</v>
      </c>
      <c r="E38" s="140" t="s">
        <v>519</v>
      </c>
    </row>
    <row r="39" spans="2:5">
      <c r="B39" s="139">
        <v>131</v>
      </c>
      <c r="D39" s="127" t="s">
        <v>89</v>
      </c>
      <c r="E39" s="140" t="s">
        <v>520</v>
      </c>
    </row>
    <row r="40" spans="2:5">
      <c r="B40" s="139">
        <v>132</v>
      </c>
      <c r="D40" s="132" t="s">
        <v>438</v>
      </c>
      <c r="E40" s="133">
        <v>43435</v>
      </c>
    </row>
    <row r="41" spans="2:5">
      <c r="B41" s="139">
        <v>133</v>
      </c>
      <c r="D41" s="132" t="s">
        <v>438</v>
      </c>
      <c r="E41" s="133">
        <v>43435</v>
      </c>
    </row>
    <row r="42" spans="2:5">
      <c r="B42" s="139">
        <v>134</v>
      </c>
      <c r="D42" s="132" t="s">
        <v>439</v>
      </c>
      <c r="E42" s="133">
        <v>43465</v>
      </c>
    </row>
    <row r="43" spans="2:5">
      <c r="B43" s="139">
        <v>135</v>
      </c>
      <c r="D43" s="132" t="s">
        <v>439</v>
      </c>
      <c r="E43" s="133">
        <v>43465</v>
      </c>
    </row>
    <row r="44" spans="2:5">
      <c r="B44" s="139">
        <v>136</v>
      </c>
      <c r="D44" s="127" t="s">
        <v>90</v>
      </c>
      <c r="E44" s="140" t="s">
        <v>90</v>
      </c>
    </row>
    <row r="45" spans="2:5">
      <c r="B45" s="139">
        <v>137</v>
      </c>
      <c r="D45" s="127" t="s">
        <v>91</v>
      </c>
      <c r="E45" s="140" t="s">
        <v>618</v>
      </c>
    </row>
    <row r="46" spans="2:5">
      <c r="B46" s="139">
        <v>138</v>
      </c>
      <c r="C46" s="136" t="s">
        <v>920</v>
      </c>
      <c r="D46" s="127" t="s">
        <v>921</v>
      </c>
      <c r="E46" s="166" t="s">
        <v>922</v>
      </c>
    </row>
    <row r="47" spans="2:5">
      <c r="B47" s="139">
        <v>139</v>
      </c>
      <c r="D47" s="127" t="s">
        <v>92</v>
      </c>
      <c r="E47" s="140" t="s">
        <v>619</v>
      </c>
    </row>
    <row r="48" spans="2:5">
      <c r="B48" s="139">
        <v>140</v>
      </c>
      <c r="D48" s="127" t="s">
        <v>93</v>
      </c>
      <c r="E48" s="140" t="s">
        <v>620</v>
      </c>
    </row>
    <row r="49" spans="1:6">
      <c r="B49" s="139">
        <v>141</v>
      </c>
      <c r="D49" s="127" t="s">
        <v>440</v>
      </c>
      <c r="E49" s="140" t="s">
        <v>521</v>
      </c>
    </row>
    <row r="50" spans="1:6">
      <c r="B50" s="139">
        <v>142</v>
      </c>
      <c r="D50" s="127" t="s">
        <v>94</v>
      </c>
      <c r="E50" s="140" t="s">
        <v>522</v>
      </c>
    </row>
    <row r="51" spans="1:6">
      <c r="B51" s="139">
        <v>143</v>
      </c>
      <c r="D51" s="127" t="s">
        <v>95</v>
      </c>
      <c r="E51" s="140" t="s">
        <v>621</v>
      </c>
    </row>
    <row r="52" spans="1:6">
      <c r="B52" s="139">
        <v>144</v>
      </c>
      <c r="D52" s="127" t="s">
        <v>96</v>
      </c>
      <c r="E52" s="140" t="s">
        <v>622</v>
      </c>
    </row>
    <row r="53" spans="1:6">
      <c r="B53" s="139">
        <v>145</v>
      </c>
      <c r="D53" s="127" t="s">
        <v>97</v>
      </c>
      <c r="E53" s="140" t="s">
        <v>623</v>
      </c>
    </row>
    <row r="54" spans="1:6">
      <c r="B54" s="139">
        <v>146</v>
      </c>
      <c r="D54" s="127" t="s">
        <v>98</v>
      </c>
      <c r="E54" s="140" t="s">
        <v>624</v>
      </c>
    </row>
    <row r="55" spans="1:6">
      <c r="B55" s="139">
        <v>147</v>
      </c>
      <c r="D55" s="127" t="s">
        <v>441</v>
      </c>
      <c r="E55" s="140" t="s">
        <v>523</v>
      </c>
    </row>
    <row r="56" spans="1:6">
      <c r="B56" s="139">
        <v>148</v>
      </c>
      <c r="D56" s="127" t="s">
        <v>99</v>
      </c>
      <c r="E56" s="140" t="s">
        <v>524</v>
      </c>
    </row>
    <row r="57" spans="1:6">
      <c r="B57" s="139">
        <v>149</v>
      </c>
      <c r="D57" s="127" t="s">
        <v>100</v>
      </c>
      <c r="E57" s="140" t="s">
        <v>625</v>
      </c>
    </row>
    <row r="58" spans="1:6">
      <c r="B58" s="139">
        <v>150</v>
      </c>
      <c r="D58" s="127" t="s">
        <v>101</v>
      </c>
      <c r="E58" s="140" t="s">
        <v>626</v>
      </c>
    </row>
    <row r="59" spans="1:6">
      <c r="B59" s="139">
        <v>151</v>
      </c>
      <c r="D59" s="127" t="s">
        <v>102</v>
      </c>
      <c r="E59" s="140" t="s">
        <v>627</v>
      </c>
    </row>
    <row r="60" spans="1:6">
      <c r="B60" s="139">
        <v>152</v>
      </c>
      <c r="D60" s="127" t="s">
        <v>442</v>
      </c>
      <c r="E60" s="140" t="s">
        <v>628</v>
      </c>
    </row>
    <row r="61" spans="1:6">
      <c r="A61" s="131"/>
      <c r="B61" s="139">
        <v>153</v>
      </c>
      <c r="C61" s="138" t="s">
        <v>509</v>
      </c>
      <c r="D61" s="128" t="s">
        <v>923</v>
      </c>
      <c r="E61" s="128" t="s">
        <v>924</v>
      </c>
      <c r="F61" s="130"/>
    </row>
    <row r="62" spans="1:6" ht="14.4">
      <c r="B62" s="139">
        <v>154</v>
      </c>
      <c r="D62" s="127" t="s">
        <v>103</v>
      </c>
      <c r="E62" s="168" t="s">
        <v>906</v>
      </c>
    </row>
    <row r="63" spans="1:6" ht="14.4">
      <c r="B63" s="139">
        <v>155</v>
      </c>
      <c r="D63" s="127" t="s">
        <v>104</v>
      </c>
      <c r="E63" s="168" t="s">
        <v>925</v>
      </c>
    </row>
    <row r="64" spans="1:6">
      <c r="A64" s="131"/>
      <c r="B64" s="139">
        <v>156</v>
      </c>
      <c r="C64" s="138" t="s">
        <v>926</v>
      </c>
      <c r="D64" s="128" t="s">
        <v>927</v>
      </c>
      <c r="E64" s="128" t="s">
        <v>928</v>
      </c>
      <c r="F64" s="130"/>
    </row>
    <row r="65" spans="1:6">
      <c r="A65" s="131"/>
      <c r="B65" s="139">
        <v>157</v>
      </c>
      <c r="C65" s="138" t="s">
        <v>509</v>
      </c>
      <c r="D65" s="128" t="s">
        <v>929</v>
      </c>
      <c r="E65" s="128" t="s">
        <v>930</v>
      </c>
      <c r="F65" s="130"/>
    </row>
    <row r="66" spans="1:6">
      <c r="A66" s="131"/>
      <c r="B66" s="139">
        <v>158</v>
      </c>
      <c r="C66" s="138" t="s">
        <v>509</v>
      </c>
      <c r="D66" s="128" t="s">
        <v>931</v>
      </c>
      <c r="E66" s="128" t="s">
        <v>932</v>
      </c>
      <c r="F66" s="130"/>
    </row>
    <row r="67" spans="1:6">
      <c r="A67" s="131"/>
      <c r="B67" s="139">
        <v>159</v>
      </c>
      <c r="C67" s="138" t="s">
        <v>926</v>
      </c>
      <c r="D67" s="128" t="s">
        <v>903</v>
      </c>
      <c r="E67" s="128" t="s">
        <v>933</v>
      </c>
      <c r="F67" s="130"/>
    </row>
    <row r="68" spans="1:6">
      <c r="B68" s="139">
        <v>160</v>
      </c>
      <c r="D68" s="127" t="s">
        <v>105</v>
      </c>
      <c r="E68" s="140" t="s">
        <v>934</v>
      </c>
    </row>
    <row r="69" spans="1:6">
      <c r="B69" s="139">
        <v>161</v>
      </c>
      <c r="D69" s="127" t="s">
        <v>106</v>
      </c>
      <c r="E69" s="140" t="s">
        <v>935</v>
      </c>
    </row>
    <row r="70" spans="1:6">
      <c r="B70" s="139">
        <v>162</v>
      </c>
      <c r="D70" s="127" t="s">
        <v>936</v>
      </c>
      <c r="E70" s="140" t="s">
        <v>904</v>
      </c>
    </row>
    <row r="71" spans="1:6">
      <c r="B71" s="139">
        <v>163</v>
      </c>
      <c r="D71" s="127" t="s">
        <v>107</v>
      </c>
      <c r="E71" s="140" t="s">
        <v>937</v>
      </c>
    </row>
    <row r="72" spans="1:6">
      <c r="B72" s="139">
        <v>164</v>
      </c>
      <c r="D72" s="127" t="s">
        <v>108</v>
      </c>
      <c r="E72" s="140" t="s">
        <v>629</v>
      </c>
    </row>
    <row r="73" spans="1:6">
      <c r="B73" s="139">
        <v>165</v>
      </c>
      <c r="D73" s="127" t="s">
        <v>109</v>
      </c>
      <c r="E73" s="140" t="s">
        <v>630</v>
      </c>
    </row>
    <row r="74" spans="1:6">
      <c r="B74" s="139">
        <v>166</v>
      </c>
      <c r="D74" s="127" t="s">
        <v>110</v>
      </c>
      <c r="E74" s="140" t="s">
        <v>631</v>
      </c>
    </row>
    <row r="75" spans="1:6" ht="26.4">
      <c r="B75" s="139">
        <v>167</v>
      </c>
      <c r="D75" s="127" t="s">
        <v>111</v>
      </c>
      <c r="E75" s="140" t="s">
        <v>632</v>
      </c>
    </row>
    <row r="76" spans="1:6">
      <c r="B76" s="139">
        <v>168</v>
      </c>
      <c r="D76" s="127" t="s">
        <v>112</v>
      </c>
      <c r="E76" s="140" t="s">
        <v>633</v>
      </c>
    </row>
    <row r="77" spans="1:6">
      <c r="B77" s="139">
        <v>169</v>
      </c>
      <c r="D77" s="127" t="s">
        <v>113</v>
      </c>
      <c r="E77" s="140" t="s">
        <v>634</v>
      </c>
    </row>
    <row r="78" spans="1:6">
      <c r="B78" s="139">
        <v>170</v>
      </c>
      <c r="D78" s="127" t="s">
        <v>114</v>
      </c>
      <c r="E78" s="140" t="s">
        <v>635</v>
      </c>
    </row>
    <row r="79" spans="1:6">
      <c r="B79" s="139">
        <v>171</v>
      </c>
      <c r="D79" s="127" t="s">
        <v>443</v>
      </c>
      <c r="E79" s="140" t="s">
        <v>636</v>
      </c>
    </row>
    <row r="80" spans="1:6">
      <c r="B80" s="139">
        <v>172</v>
      </c>
      <c r="D80" s="127" t="s">
        <v>115</v>
      </c>
      <c r="E80" s="140" t="s">
        <v>637</v>
      </c>
    </row>
    <row r="81" spans="2:5">
      <c r="B81" s="139">
        <v>173</v>
      </c>
      <c r="D81" s="127" t="s">
        <v>116</v>
      </c>
      <c r="E81" s="140" t="s">
        <v>638</v>
      </c>
    </row>
    <row r="82" spans="2:5">
      <c r="B82" s="139">
        <v>174</v>
      </c>
      <c r="D82" s="127" t="s">
        <v>117</v>
      </c>
      <c r="E82" s="140" t="s">
        <v>639</v>
      </c>
    </row>
    <row r="83" spans="2:5">
      <c r="B83" s="139">
        <v>175</v>
      </c>
      <c r="D83" s="127" t="s">
        <v>118</v>
      </c>
      <c r="E83" s="140" t="s">
        <v>640</v>
      </c>
    </row>
    <row r="84" spans="2:5">
      <c r="B84" s="139">
        <v>176</v>
      </c>
      <c r="D84" s="127" t="s">
        <v>119</v>
      </c>
      <c r="E84" s="140" t="s">
        <v>641</v>
      </c>
    </row>
    <row r="85" spans="2:5">
      <c r="B85" s="139">
        <v>177</v>
      </c>
      <c r="D85" s="127" t="s">
        <v>120</v>
      </c>
      <c r="E85" s="140" t="s">
        <v>525</v>
      </c>
    </row>
    <row r="86" spans="2:5">
      <c r="B86" s="139">
        <v>178</v>
      </c>
      <c r="D86" s="127" t="s">
        <v>121</v>
      </c>
      <c r="E86" s="140" t="s">
        <v>526</v>
      </c>
    </row>
    <row r="87" spans="2:5">
      <c r="B87" s="139">
        <v>179</v>
      </c>
      <c r="D87" s="127" t="s">
        <v>122</v>
      </c>
      <c r="E87" s="140" t="s">
        <v>642</v>
      </c>
    </row>
    <row r="88" spans="2:5">
      <c r="B88" s="139">
        <v>180</v>
      </c>
      <c r="D88" s="127" t="s">
        <v>444</v>
      </c>
      <c r="E88" s="140" t="s">
        <v>643</v>
      </c>
    </row>
    <row r="89" spans="2:5" ht="26.4">
      <c r="B89" s="139">
        <v>181</v>
      </c>
      <c r="D89" s="127" t="s">
        <v>445</v>
      </c>
      <c r="E89" s="140" t="s">
        <v>644</v>
      </c>
    </row>
    <row r="90" spans="2:5" ht="26.4">
      <c r="B90" s="139">
        <v>182</v>
      </c>
      <c r="D90" s="127" t="s">
        <v>123</v>
      </c>
      <c r="E90" s="140" t="s">
        <v>645</v>
      </c>
    </row>
    <row r="91" spans="2:5">
      <c r="B91" s="139">
        <v>183</v>
      </c>
      <c r="D91" s="127" t="s">
        <v>124</v>
      </c>
      <c r="E91" s="140" t="s">
        <v>125</v>
      </c>
    </row>
    <row r="92" spans="2:5">
      <c r="B92" s="139">
        <v>184</v>
      </c>
      <c r="D92" s="127" t="s">
        <v>446</v>
      </c>
      <c r="E92" s="140" t="s">
        <v>527</v>
      </c>
    </row>
    <row r="93" spans="2:5">
      <c r="B93" s="139">
        <v>185</v>
      </c>
      <c r="D93" s="127" t="s">
        <v>447</v>
      </c>
      <c r="E93" s="140" t="s">
        <v>528</v>
      </c>
    </row>
    <row r="94" spans="2:5">
      <c r="B94" s="139">
        <v>186</v>
      </c>
      <c r="D94" s="127" t="s">
        <v>448</v>
      </c>
      <c r="E94" s="140" t="s">
        <v>938</v>
      </c>
    </row>
    <row r="95" spans="2:5">
      <c r="B95" s="139">
        <v>187</v>
      </c>
      <c r="D95" s="127" t="s">
        <v>126</v>
      </c>
      <c r="E95" s="140" t="s">
        <v>646</v>
      </c>
    </row>
    <row r="96" spans="2:5" ht="26.4">
      <c r="B96" s="139">
        <v>188</v>
      </c>
      <c r="D96" s="127" t="s">
        <v>127</v>
      </c>
      <c r="E96" s="140" t="s">
        <v>647</v>
      </c>
    </row>
    <row r="97" spans="2:5" ht="26.4">
      <c r="B97" s="139">
        <v>189</v>
      </c>
      <c r="D97" s="127" t="s">
        <v>128</v>
      </c>
      <c r="E97" s="140" t="s">
        <v>648</v>
      </c>
    </row>
    <row r="98" spans="2:5">
      <c r="B98" s="139">
        <v>190</v>
      </c>
      <c r="D98" s="127" t="s">
        <v>129</v>
      </c>
      <c r="E98" s="140" t="s">
        <v>129</v>
      </c>
    </row>
    <row r="99" spans="2:5">
      <c r="B99" s="139">
        <v>191</v>
      </c>
      <c r="D99" s="127" t="s">
        <v>130</v>
      </c>
      <c r="E99" s="140" t="s">
        <v>529</v>
      </c>
    </row>
    <row r="100" spans="2:5">
      <c r="B100" s="139">
        <v>192</v>
      </c>
      <c r="D100" s="127" t="s">
        <v>131</v>
      </c>
      <c r="E100" s="140" t="s">
        <v>530</v>
      </c>
    </row>
    <row r="101" spans="2:5">
      <c r="B101" s="139">
        <v>193</v>
      </c>
      <c r="D101" s="127" t="s">
        <v>132</v>
      </c>
      <c r="E101" s="140" t="s">
        <v>531</v>
      </c>
    </row>
    <row r="102" spans="2:5">
      <c r="B102" s="139">
        <v>194</v>
      </c>
      <c r="D102" s="127" t="s">
        <v>449</v>
      </c>
      <c r="E102" s="140" t="s">
        <v>649</v>
      </c>
    </row>
    <row r="103" spans="2:5">
      <c r="B103" s="139">
        <v>195</v>
      </c>
      <c r="D103" s="127" t="s">
        <v>133</v>
      </c>
      <c r="E103" s="140" t="s">
        <v>650</v>
      </c>
    </row>
    <row r="104" spans="2:5">
      <c r="B104" s="139">
        <v>196</v>
      </c>
      <c r="D104" s="127" t="s">
        <v>450</v>
      </c>
      <c r="E104" s="140" t="s">
        <v>651</v>
      </c>
    </row>
    <row r="105" spans="2:5">
      <c r="B105" s="139">
        <v>197</v>
      </c>
      <c r="D105" s="127" t="s">
        <v>134</v>
      </c>
      <c r="E105" s="140" t="s">
        <v>652</v>
      </c>
    </row>
    <row r="106" spans="2:5">
      <c r="B106" s="139">
        <v>198</v>
      </c>
      <c r="D106" s="127" t="s">
        <v>135</v>
      </c>
      <c r="E106" s="140" t="s">
        <v>653</v>
      </c>
    </row>
    <row r="107" spans="2:5">
      <c r="B107" s="139">
        <v>199</v>
      </c>
      <c r="D107" s="127" t="s">
        <v>136</v>
      </c>
      <c r="E107" s="140" t="s">
        <v>654</v>
      </c>
    </row>
    <row r="108" spans="2:5">
      <c r="B108" s="139">
        <v>200</v>
      </c>
      <c r="D108" s="127" t="s">
        <v>451</v>
      </c>
      <c r="E108" s="140" t="s">
        <v>655</v>
      </c>
    </row>
    <row r="109" spans="2:5">
      <c r="B109" s="139">
        <v>201</v>
      </c>
      <c r="D109" s="127" t="s">
        <v>137</v>
      </c>
      <c r="E109" s="140" t="s">
        <v>656</v>
      </c>
    </row>
    <row r="110" spans="2:5">
      <c r="B110" s="139">
        <v>202</v>
      </c>
      <c r="D110" s="127" t="s">
        <v>138</v>
      </c>
      <c r="E110" s="140" t="s">
        <v>657</v>
      </c>
    </row>
    <row r="111" spans="2:5">
      <c r="B111" s="139">
        <v>203</v>
      </c>
      <c r="D111" s="127" t="s">
        <v>139</v>
      </c>
      <c r="E111" s="140" t="s">
        <v>532</v>
      </c>
    </row>
    <row r="112" spans="2:5">
      <c r="B112" s="139">
        <v>204</v>
      </c>
      <c r="D112" s="127" t="s">
        <v>452</v>
      </c>
      <c r="E112" s="140" t="s">
        <v>533</v>
      </c>
    </row>
    <row r="113" spans="2:5">
      <c r="B113" s="139">
        <v>205</v>
      </c>
      <c r="D113" s="127" t="s">
        <v>453</v>
      </c>
      <c r="E113" s="140" t="s">
        <v>534</v>
      </c>
    </row>
    <row r="114" spans="2:5">
      <c r="B114" s="139">
        <v>206</v>
      </c>
      <c r="D114" s="127" t="s">
        <v>454</v>
      </c>
      <c r="E114" s="140" t="s">
        <v>658</v>
      </c>
    </row>
    <row r="115" spans="2:5">
      <c r="B115" s="139">
        <v>207</v>
      </c>
      <c r="D115" s="127" t="s">
        <v>455</v>
      </c>
      <c r="E115" s="140" t="s">
        <v>535</v>
      </c>
    </row>
    <row r="116" spans="2:5">
      <c r="B116" s="139">
        <v>208</v>
      </c>
      <c r="D116" s="127" t="s">
        <v>456</v>
      </c>
      <c r="E116" s="140" t="s">
        <v>536</v>
      </c>
    </row>
    <row r="117" spans="2:5">
      <c r="B117" s="139">
        <v>209</v>
      </c>
      <c r="D117" s="127" t="s">
        <v>140</v>
      </c>
      <c r="E117" s="140" t="s">
        <v>659</v>
      </c>
    </row>
    <row r="118" spans="2:5">
      <c r="B118" s="139">
        <v>210</v>
      </c>
      <c r="D118" s="127" t="s">
        <v>457</v>
      </c>
      <c r="E118" s="140" t="s">
        <v>660</v>
      </c>
    </row>
    <row r="119" spans="2:5">
      <c r="B119" s="139">
        <v>211</v>
      </c>
      <c r="D119" s="127" t="s">
        <v>141</v>
      </c>
      <c r="E119" s="140" t="s">
        <v>537</v>
      </c>
    </row>
    <row r="120" spans="2:5">
      <c r="B120" s="139">
        <v>212</v>
      </c>
      <c r="D120" s="127" t="s">
        <v>142</v>
      </c>
      <c r="E120" s="140" t="s">
        <v>661</v>
      </c>
    </row>
    <row r="121" spans="2:5">
      <c r="B121" s="139">
        <v>213</v>
      </c>
      <c r="D121" s="127" t="s">
        <v>143</v>
      </c>
      <c r="E121" s="140" t="s">
        <v>662</v>
      </c>
    </row>
    <row r="122" spans="2:5">
      <c r="B122" s="139">
        <v>214</v>
      </c>
      <c r="D122" s="127" t="s">
        <v>458</v>
      </c>
      <c r="E122" s="140" t="s">
        <v>663</v>
      </c>
    </row>
    <row r="123" spans="2:5">
      <c r="B123" s="139">
        <v>215</v>
      </c>
      <c r="D123" s="127" t="s">
        <v>459</v>
      </c>
      <c r="E123" s="140" t="s">
        <v>664</v>
      </c>
    </row>
    <row r="124" spans="2:5">
      <c r="B124" s="139">
        <v>216</v>
      </c>
      <c r="D124" s="127" t="s">
        <v>989</v>
      </c>
      <c r="E124" s="140" t="s">
        <v>665</v>
      </c>
    </row>
    <row r="125" spans="2:5">
      <c r="B125" s="139">
        <v>217</v>
      </c>
      <c r="D125" s="127" t="s">
        <v>460</v>
      </c>
      <c r="E125" s="140" t="s">
        <v>666</v>
      </c>
    </row>
    <row r="126" spans="2:5">
      <c r="B126" s="139">
        <v>218</v>
      </c>
      <c r="D126" s="127" t="s">
        <v>461</v>
      </c>
      <c r="E126" s="140" t="s">
        <v>667</v>
      </c>
    </row>
    <row r="127" spans="2:5">
      <c r="B127" s="139">
        <v>219</v>
      </c>
      <c r="D127" s="127" t="s">
        <v>462</v>
      </c>
      <c r="E127" s="140" t="s">
        <v>668</v>
      </c>
    </row>
    <row r="128" spans="2:5">
      <c r="B128" s="139">
        <v>220</v>
      </c>
      <c r="D128" s="127" t="s">
        <v>463</v>
      </c>
      <c r="E128" s="140" t="s">
        <v>669</v>
      </c>
    </row>
    <row r="129" spans="2:5">
      <c r="B129" s="139">
        <v>221</v>
      </c>
      <c r="D129" s="127" t="s">
        <v>144</v>
      </c>
      <c r="E129" s="140" t="s">
        <v>670</v>
      </c>
    </row>
    <row r="130" spans="2:5">
      <c r="B130" s="139">
        <v>222</v>
      </c>
      <c r="D130" s="127" t="s">
        <v>145</v>
      </c>
      <c r="E130" s="140" t="s">
        <v>671</v>
      </c>
    </row>
    <row r="131" spans="2:5">
      <c r="B131" s="139">
        <v>223</v>
      </c>
      <c r="D131" s="127" t="s">
        <v>146</v>
      </c>
      <c r="E131" s="140" t="s">
        <v>672</v>
      </c>
    </row>
    <row r="132" spans="2:5">
      <c r="B132" s="139">
        <v>224</v>
      </c>
      <c r="D132" s="127" t="s">
        <v>147</v>
      </c>
      <c r="E132" s="140" t="s">
        <v>673</v>
      </c>
    </row>
    <row r="133" spans="2:5">
      <c r="B133" s="139">
        <v>225</v>
      </c>
      <c r="D133" s="127" t="s">
        <v>464</v>
      </c>
      <c r="E133" s="140" t="s">
        <v>674</v>
      </c>
    </row>
    <row r="134" spans="2:5">
      <c r="B134" s="139">
        <v>226</v>
      </c>
      <c r="D134" s="127" t="s">
        <v>465</v>
      </c>
      <c r="E134" s="140" t="s">
        <v>675</v>
      </c>
    </row>
    <row r="135" spans="2:5">
      <c r="B135" s="139">
        <v>227</v>
      </c>
      <c r="D135" s="127" t="s">
        <v>466</v>
      </c>
      <c r="E135" s="140" t="s">
        <v>676</v>
      </c>
    </row>
    <row r="136" spans="2:5">
      <c r="B136" s="139">
        <v>228</v>
      </c>
      <c r="D136" s="127" t="s">
        <v>148</v>
      </c>
      <c r="E136" s="140" t="s">
        <v>677</v>
      </c>
    </row>
    <row r="137" spans="2:5">
      <c r="B137" s="139">
        <v>229</v>
      </c>
      <c r="D137" s="127" t="s">
        <v>149</v>
      </c>
      <c r="E137" s="140" t="s">
        <v>678</v>
      </c>
    </row>
    <row r="138" spans="2:5">
      <c r="B138" s="139">
        <v>230</v>
      </c>
      <c r="D138" s="127" t="s">
        <v>467</v>
      </c>
      <c r="E138" s="140" t="s">
        <v>538</v>
      </c>
    </row>
    <row r="139" spans="2:5">
      <c r="B139" s="139">
        <v>231</v>
      </c>
      <c r="D139" s="127" t="s">
        <v>150</v>
      </c>
      <c r="E139" s="140" t="s">
        <v>679</v>
      </c>
    </row>
    <row r="140" spans="2:5" ht="39.6">
      <c r="B140" s="139">
        <v>232</v>
      </c>
      <c r="D140" s="127" t="s">
        <v>151</v>
      </c>
      <c r="E140" s="140" t="s">
        <v>680</v>
      </c>
    </row>
    <row r="141" spans="2:5">
      <c r="B141" s="139">
        <v>233</v>
      </c>
      <c r="D141" s="127" t="s">
        <v>152</v>
      </c>
      <c r="E141" s="140" t="s">
        <v>681</v>
      </c>
    </row>
    <row r="142" spans="2:5">
      <c r="B142" s="139">
        <v>234</v>
      </c>
      <c r="D142" s="127" t="s">
        <v>153</v>
      </c>
      <c r="E142" s="140" t="s">
        <v>939</v>
      </c>
    </row>
    <row r="143" spans="2:5">
      <c r="B143" s="139">
        <v>235</v>
      </c>
      <c r="D143" s="127" t="s">
        <v>154</v>
      </c>
      <c r="E143" s="140" t="s">
        <v>539</v>
      </c>
    </row>
    <row r="144" spans="2:5">
      <c r="B144" s="139">
        <v>236</v>
      </c>
      <c r="D144" s="127" t="s">
        <v>155</v>
      </c>
      <c r="E144" s="140" t="s">
        <v>682</v>
      </c>
    </row>
    <row r="145" spans="2:5">
      <c r="B145" s="139">
        <v>237</v>
      </c>
      <c r="D145" s="127" t="s">
        <v>156</v>
      </c>
      <c r="E145" s="140" t="s">
        <v>540</v>
      </c>
    </row>
    <row r="146" spans="2:5">
      <c r="B146" s="139">
        <v>238</v>
      </c>
      <c r="D146" s="127" t="s">
        <v>157</v>
      </c>
      <c r="E146" s="140" t="s">
        <v>683</v>
      </c>
    </row>
    <row r="147" spans="2:5">
      <c r="B147" s="139">
        <v>239</v>
      </c>
      <c r="D147" s="127" t="s">
        <v>158</v>
      </c>
      <c r="E147" s="140" t="s">
        <v>684</v>
      </c>
    </row>
    <row r="148" spans="2:5">
      <c r="B148" s="139">
        <v>240</v>
      </c>
      <c r="D148" s="127" t="s">
        <v>159</v>
      </c>
      <c r="E148" s="140" t="s">
        <v>541</v>
      </c>
    </row>
    <row r="149" spans="2:5">
      <c r="B149" s="139">
        <v>241</v>
      </c>
      <c r="D149" s="127" t="s">
        <v>160</v>
      </c>
      <c r="E149" s="140" t="s">
        <v>542</v>
      </c>
    </row>
    <row r="150" spans="2:5">
      <c r="B150" s="139">
        <v>242</v>
      </c>
      <c r="D150" s="127" t="s">
        <v>161</v>
      </c>
      <c r="E150" s="140" t="s">
        <v>685</v>
      </c>
    </row>
    <row r="151" spans="2:5">
      <c r="B151" s="139">
        <v>243</v>
      </c>
      <c r="D151" s="127" t="s">
        <v>162</v>
      </c>
      <c r="E151" s="140" t="s">
        <v>686</v>
      </c>
    </row>
    <row r="152" spans="2:5">
      <c r="B152" s="139">
        <v>244</v>
      </c>
      <c r="D152" s="127" t="s">
        <v>163</v>
      </c>
      <c r="E152" s="140" t="s">
        <v>687</v>
      </c>
    </row>
    <row r="153" spans="2:5">
      <c r="B153" s="139">
        <v>245</v>
      </c>
      <c r="D153" s="127" t="s">
        <v>468</v>
      </c>
      <c r="E153" s="140" t="s">
        <v>688</v>
      </c>
    </row>
    <row r="154" spans="2:5">
      <c r="B154" s="139">
        <v>246</v>
      </c>
      <c r="D154" s="127" t="s">
        <v>164</v>
      </c>
      <c r="E154" s="140" t="s">
        <v>689</v>
      </c>
    </row>
    <row r="155" spans="2:5">
      <c r="B155" s="139">
        <v>247</v>
      </c>
      <c r="D155" s="127" t="s">
        <v>165</v>
      </c>
      <c r="E155" s="140" t="s">
        <v>543</v>
      </c>
    </row>
    <row r="156" spans="2:5">
      <c r="B156" s="139">
        <v>248</v>
      </c>
      <c r="D156" s="127" t="s">
        <v>166</v>
      </c>
      <c r="E156" s="140" t="s">
        <v>690</v>
      </c>
    </row>
    <row r="157" spans="2:5">
      <c r="B157" s="139">
        <v>249</v>
      </c>
      <c r="D157" s="127" t="s">
        <v>469</v>
      </c>
      <c r="E157" s="140" t="s">
        <v>691</v>
      </c>
    </row>
    <row r="158" spans="2:5">
      <c r="B158" s="139">
        <v>250</v>
      </c>
      <c r="D158" s="127" t="s">
        <v>470</v>
      </c>
      <c r="E158" s="140" t="s">
        <v>692</v>
      </c>
    </row>
    <row r="159" spans="2:5">
      <c r="B159" s="139">
        <v>251</v>
      </c>
      <c r="D159" s="127" t="s">
        <v>471</v>
      </c>
      <c r="E159" s="140" t="s">
        <v>693</v>
      </c>
    </row>
    <row r="160" spans="2:5">
      <c r="B160" s="139">
        <v>252</v>
      </c>
      <c r="D160" s="127" t="s">
        <v>472</v>
      </c>
      <c r="E160" s="140" t="s">
        <v>694</v>
      </c>
    </row>
    <row r="161" spans="2:5">
      <c r="B161" s="139">
        <v>253</v>
      </c>
      <c r="D161" s="127" t="s">
        <v>167</v>
      </c>
      <c r="E161" s="140" t="s">
        <v>940</v>
      </c>
    </row>
    <row r="162" spans="2:5" ht="26.4">
      <c r="B162" s="139">
        <v>254</v>
      </c>
      <c r="D162" s="127" t="s">
        <v>168</v>
      </c>
      <c r="E162" s="140" t="s">
        <v>695</v>
      </c>
    </row>
    <row r="163" spans="2:5" ht="26.4">
      <c r="B163" s="139">
        <v>255</v>
      </c>
      <c r="D163" s="127" t="s">
        <v>169</v>
      </c>
      <c r="E163" s="140" t="s">
        <v>696</v>
      </c>
    </row>
    <row r="164" spans="2:5" ht="26.4">
      <c r="B164" s="139">
        <v>256</v>
      </c>
      <c r="D164" s="127" t="s">
        <v>170</v>
      </c>
      <c r="E164" s="140" t="s">
        <v>697</v>
      </c>
    </row>
    <row r="165" spans="2:5">
      <c r="B165" s="139">
        <v>257</v>
      </c>
      <c r="D165" s="127" t="s">
        <v>171</v>
      </c>
      <c r="E165" s="140" t="s">
        <v>544</v>
      </c>
    </row>
    <row r="166" spans="2:5">
      <c r="B166" s="139">
        <v>258</v>
      </c>
      <c r="D166" s="127" t="s">
        <v>172</v>
      </c>
      <c r="E166" s="140" t="s">
        <v>698</v>
      </c>
    </row>
    <row r="167" spans="2:5">
      <c r="B167" s="139">
        <v>259</v>
      </c>
      <c r="D167" s="127" t="s">
        <v>173</v>
      </c>
      <c r="E167" s="140" t="s">
        <v>699</v>
      </c>
    </row>
    <row r="168" spans="2:5">
      <c r="B168" s="139">
        <v>260</v>
      </c>
      <c r="D168" s="127" t="s">
        <v>174</v>
      </c>
      <c r="E168" s="140" t="s">
        <v>700</v>
      </c>
    </row>
    <row r="169" spans="2:5">
      <c r="B169" s="139">
        <v>261</v>
      </c>
      <c r="D169" s="127" t="s">
        <v>175</v>
      </c>
      <c r="E169" s="140" t="s">
        <v>701</v>
      </c>
    </row>
    <row r="170" spans="2:5" ht="26.4">
      <c r="B170" s="139">
        <v>262</v>
      </c>
      <c r="D170" s="127" t="s">
        <v>176</v>
      </c>
      <c r="E170" s="140" t="s">
        <v>702</v>
      </c>
    </row>
    <row r="171" spans="2:5">
      <c r="B171" s="139">
        <v>263</v>
      </c>
      <c r="D171" s="127" t="s">
        <v>177</v>
      </c>
      <c r="E171" s="140" t="s">
        <v>703</v>
      </c>
    </row>
    <row r="172" spans="2:5">
      <c r="B172" s="139">
        <v>264</v>
      </c>
      <c r="D172" s="127" t="s">
        <v>178</v>
      </c>
      <c r="E172" s="140" t="s">
        <v>704</v>
      </c>
    </row>
    <row r="173" spans="2:5">
      <c r="B173" s="139">
        <v>265</v>
      </c>
      <c r="D173" s="127" t="s">
        <v>179</v>
      </c>
      <c r="E173" s="140" t="s">
        <v>705</v>
      </c>
    </row>
    <row r="174" spans="2:5">
      <c r="B174" s="139">
        <v>266</v>
      </c>
      <c r="D174" s="127" t="s">
        <v>180</v>
      </c>
      <c r="E174" s="140" t="s">
        <v>706</v>
      </c>
    </row>
    <row r="175" spans="2:5">
      <c r="B175" s="139">
        <v>267</v>
      </c>
      <c r="D175" s="127" t="s">
        <v>181</v>
      </c>
      <c r="E175" s="140" t="s">
        <v>707</v>
      </c>
    </row>
    <row r="176" spans="2:5">
      <c r="B176" s="139">
        <v>268</v>
      </c>
      <c r="D176" s="127" t="s">
        <v>182</v>
      </c>
      <c r="E176" s="140" t="s">
        <v>708</v>
      </c>
    </row>
    <row r="177" spans="2:5">
      <c r="B177" s="139">
        <v>269</v>
      </c>
      <c r="D177" s="127" t="s">
        <v>473</v>
      </c>
      <c r="E177" s="140" t="s">
        <v>709</v>
      </c>
    </row>
    <row r="178" spans="2:5">
      <c r="B178" s="139">
        <v>270</v>
      </c>
      <c r="D178" s="127" t="s">
        <v>183</v>
      </c>
      <c r="E178" s="140" t="s">
        <v>710</v>
      </c>
    </row>
    <row r="179" spans="2:5">
      <c r="B179" s="139">
        <v>271</v>
      </c>
      <c r="D179" s="127" t="s">
        <v>474</v>
      </c>
      <c r="E179" s="140" t="s">
        <v>545</v>
      </c>
    </row>
    <row r="180" spans="2:5" ht="26.4">
      <c r="B180" s="139">
        <v>272</v>
      </c>
      <c r="D180" s="127" t="s">
        <v>184</v>
      </c>
    </row>
    <row r="181" spans="2:5">
      <c r="B181" s="139">
        <v>273</v>
      </c>
      <c r="D181" s="127" t="s">
        <v>185</v>
      </c>
      <c r="E181" s="140" t="s">
        <v>711</v>
      </c>
    </row>
    <row r="182" spans="2:5">
      <c r="B182" s="139">
        <v>274</v>
      </c>
      <c r="D182" s="127" t="s">
        <v>186</v>
      </c>
      <c r="E182" s="140" t="s">
        <v>546</v>
      </c>
    </row>
    <row r="183" spans="2:5">
      <c r="B183" s="139">
        <v>275</v>
      </c>
      <c r="D183" s="127" t="s">
        <v>187</v>
      </c>
      <c r="E183" s="140" t="s">
        <v>547</v>
      </c>
    </row>
    <row r="184" spans="2:5">
      <c r="B184" s="139">
        <v>276</v>
      </c>
      <c r="D184" s="127" t="s">
        <v>188</v>
      </c>
      <c r="E184" s="140" t="s">
        <v>941</v>
      </c>
    </row>
    <row r="185" spans="2:5">
      <c r="B185" s="139">
        <v>277</v>
      </c>
      <c r="D185" s="127" t="s">
        <v>475</v>
      </c>
      <c r="E185" s="140" t="s">
        <v>548</v>
      </c>
    </row>
    <row r="186" spans="2:5">
      <c r="B186" s="139">
        <v>278</v>
      </c>
      <c r="D186" s="127" t="s">
        <v>189</v>
      </c>
      <c r="E186" s="140" t="s">
        <v>549</v>
      </c>
    </row>
    <row r="187" spans="2:5">
      <c r="B187" s="139">
        <v>279</v>
      </c>
      <c r="D187" s="127" t="s">
        <v>190</v>
      </c>
      <c r="E187" s="140" t="s">
        <v>712</v>
      </c>
    </row>
    <row r="188" spans="2:5">
      <c r="B188" s="139">
        <v>280</v>
      </c>
      <c r="D188" s="127" t="s">
        <v>1</v>
      </c>
      <c r="E188" s="140" t="s">
        <v>1</v>
      </c>
    </row>
    <row r="189" spans="2:5">
      <c r="B189" s="139">
        <v>281</v>
      </c>
      <c r="D189" s="127" t="s">
        <v>2</v>
      </c>
      <c r="E189" s="140" t="s">
        <v>2</v>
      </c>
    </row>
    <row r="190" spans="2:5">
      <c r="B190" s="139">
        <v>282</v>
      </c>
      <c r="D190" s="127" t="s">
        <v>191</v>
      </c>
      <c r="E190" s="140" t="s">
        <v>192</v>
      </c>
    </row>
    <row r="191" spans="2:5">
      <c r="B191" s="139">
        <v>283</v>
      </c>
      <c r="D191" s="127" t="s">
        <v>193</v>
      </c>
      <c r="E191" s="140" t="s">
        <v>942</v>
      </c>
    </row>
    <row r="192" spans="2:5">
      <c r="B192" s="139">
        <v>284</v>
      </c>
      <c r="D192" s="127" t="s">
        <v>194</v>
      </c>
      <c r="E192" s="140" t="s">
        <v>713</v>
      </c>
    </row>
    <row r="193" spans="2:5">
      <c r="B193" s="139">
        <v>285</v>
      </c>
      <c r="D193" s="127" t="s">
        <v>195</v>
      </c>
      <c r="E193" s="140" t="s">
        <v>550</v>
      </c>
    </row>
    <row r="194" spans="2:5">
      <c r="B194" s="139">
        <v>286</v>
      </c>
      <c r="D194" s="127" t="s">
        <v>476</v>
      </c>
      <c r="E194" s="140" t="s">
        <v>551</v>
      </c>
    </row>
    <row r="195" spans="2:5">
      <c r="B195" s="139">
        <v>287</v>
      </c>
      <c r="D195" s="127" t="s">
        <v>477</v>
      </c>
      <c r="E195" s="140" t="s">
        <v>552</v>
      </c>
    </row>
    <row r="196" spans="2:5">
      <c r="B196" s="139">
        <v>288</v>
      </c>
      <c r="D196" s="127" t="s">
        <v>478</v>
      </c>
      <c r="E196" s="140" t="s">
        <v>551</v>
      </c>
    </row>
    <row r="197" spans="2:5">
      <c r="B197" s="139">
        <v>289</v>
      </c>
      <c r="D197" s="127" t="s">
        <v>196</v>
      </c>
      <c r="E197" s="140" t="s">
        <v>553</v>
      </c>
    </row>
    <row r="198" spans="2:5">
      <c r="B198" s="139">
        <v>290</v>
      </c>
      <c r="D198" s="127" t="s">
        <v>479</v>
      </c>
      <c r="E198" s="140" t="s">
        <v>714</v>
      </c>
    </row>
    <row r="199" spans="2:5">
      <c r="B199" s="139">
        <v>291</v>
      </c>
      <c r="D199" s="127" t="s">
        <v>197</v>
      </c>
      <c r="E199" s="140" t="s">
        <v>715</v>
      </c>
    </row>
    <row r="200" spans="2:5">
      <c r="B200" s="139">
        <v>292</v>
      </c>
      <c r="D200" s="127" t="s">
        <v>510</v>
      </c>
      <c r="E200" s="140" t="s">
        <v>716</v>
      </c>
    </row>
    <row r="201" spans="2:5">
      <c r="B201" s="139">
        <v>293</v>
      </c>
      <c r="D201" s="127" t="s">
        <v>511</v>
      </c>
      <c r="E201" s="140" t="s">
        <v>943</v>
      </c>
    </row>
    <row r="202" spans="2:5">
      <c r="B202" s="139">
        <v>294</v>
      </c>
      <c r="D202" s="127" t="s">
        <v>198</v>
      </c>
      <c r="E202" s="140" t="s">
        <v>554</v>
      </c>
    </row>
    <row r="203" spans="2:5">
      <c r="B203" s="139">
        <v>295</v>
      </c>
      <c r="D203" s="127" t="s">
        <v>480</v>
      </c>
      <c r="E203" s="140" t="s">
        <v>555</v>
      </c>
    </row>
    <row r="204" spans="2:5">
      <c r="B204" s="139">
        <v>296</v>
      </c>
      <c r="D204" s="127" t="s">
        <v>199</v>
      </c>
      <c r="E204" s="140" t="s">
        <v>717</v>
      </c>
    </row>
    <row r="205" spans="2:5">
      <c r="B205" s="139">
        <v>297</v>
      </c>
      <c r="D205" s="127" t="s">
        <v>200</v>
      </c>
      <c r="E205" s="140" t="s">
        <v>718</v>
      </c>
    </row>
    <row r="206" spans="2:5">
      <c r="B206" s="139">
        <v>298</v>
      </c>
      <c r="D206" s="127" t="s">
        <v>201</v>
      </c>
      <c r="E206" s="140" t="s">
        <v>556</v>
      </c>
    </row>
    <row r="207" spans="2:5" ht="26.4">
      <c r="B207" s="139">
        <v>299</v>
      </c>
      <c r="D207" s="127" t="s">
        <v>202</v>
      </c>
      <c r="E207" s="140" t="s">
        <v>719</v>
      </c>
    </row>
    <row r="208" spans="2:5" ht="26.4">
      <c r="B208" s="139">
        <v>300</v>
      </c>
      <c r="D208" s="127" t="s">
        <v>512</v>
      </c>
      <c r="E208" s="140" t="s">
        <v>720</v>
      </c>
    </row>
    <row r="209" spans="2:5">
      <c r="B209" s="139">
        <v>301</v>
      </c>
      <c r="D209" s="127" t="s">
        <v>513</v>
      </c>
      <c r="E209" s="140" t="s">
        <v>944</v>
      </c>
    </row>
    <row r="210" spans="2:5">
      <c r="B210" s="139">
        <v>302</v>
      </c>
      <c r="D210" s="127" t="s">
        <v>481</v>
      </c>
      <c r="E210" s="140" t="s">
        <v>945</v>
      </c>
    </row>
    <row r="211" spans="2:5">
      <c r="B211" s="139">
        <v>303</v>
      </c>
      <c r="D211" s="127" t="s">
        <v>203</v>
      </c>
      <c r="E211" s="140" t="s">
        <v>721</v>
      </c>
    </row>
    <row r="212" spans="2:5">
      <c r="B212" s="139">
        <v>304</v>
      </c>
      <c r="D212" s="127" t="s">
        <v>482</v>
      </c>
      <c r="E212" s="140" t="s">
        <v>722</v>
      </c>
    </row>
    <row r="213" spans="2:5">
      <c r="B213" s="139">
        <v>305</v>
      </c>
      <c r="D213" s="127" t="s">
        <v>483</v>
      </c>
      <c r="E213" s="140" t="s">
        <v>557</v>
      </c>
    </row>
    <row r="214" spans="2:5">
      <c r="B214" s="139">
        <v>306</v>
      </c>
      <c r="D214" s="127" t="s">
        <v>204</v>
      </c>
      <c r="E214" s="140" t="s">
        <v>723</v>
      </c>
    </row>
    <row r="215" spans="2:5">
      <c r="B215" s="139">
        <v>307</v>
      </c>
      <c r="D215" s="127" t="s">
        <v>205</v>
      </c>
      <c r="E215" s="140" t="s">
        <v>558</v>
      </c>
    </row>
    <row r="216" spans="2:5">
      <c r="B216" s="139">
        <v>308</v>
      </c>
      <c r="D216" s="127" t="s">
        <v>484</v>
      </c>
      <c r="E216" s="140" t="s">
        <v>724</v>
      </c>
    </row>
    <row r="217" spans="2:5">
      <c r="B217" s="139">
        <v>309</v>
      </c>
      <c r="D217" s="127" t="s">
        <v>206</v>
      </c>
      <c r="E217" s="140" t="s">
        <v>725</v>
      </c>
    </row>
    <row r="218" spans="2:5">
      <c r="B218" s="139">
        <v>310</v>
      </c>
      <c r="D218" s="127" t="s">
        <v>207</v>
      </c>
      <c r="E218" s="140" t="s">
        <v>726</v>
      </c>
    </row>
    <row r="219" spans="2:5" ht="26.4">
      <c r="B219" s="139">
        <v>311</v>
      </c>
      <c r="D219" s="127" t="s">
        <v>208</v>
      </c>
      <c r="E219" s="140" t="s">
        <v>727</v>
      </c>
    </row>
    <row r="220" spans="2:5">
      <c r="B220" s="139">
        <v>312</v>
      </c>
      <c r="D220" s="127" t="s">
        <v>209</v>
      </c>
      <c r="E220" s="140" t="s">
        <v>728</v>
      </c>
    </row>
    <row r="221" spans="2:5">
      <c r="B221" s="139">
        <v>313</v>
      </c>
      <c r="C221" s="136" t="s">
        <v>920</v>
      </c>
      <c r="D221" s="127" t="s">
        <v>946</v>
      </c>
      <c r="E221" s="166" t="s">
        <v>947</v>
      </c>
    </row>
    <row r="222" spans="2:5">
      <c r="B222" s="139">
        <v>314</v>
      </c>
      <c r="D222" s="127" t="s">
        <v>210</v>
      </c>
      <c r="E222" s="140" t="s">
        <v>948</v>
      </c>
    </row>
    <row r="223" spans="2:5">
      <c r="B223" s="139">
        <v>315</v>
      </c>
      <c r="D223" s="127" t="s">
        <v>211</v>
      </c>
      <c r="E223" s="140" t="s">
        <v>729</v>
      </c>
    </row>
    <row r="224" spans="2:5">
      <c r="B224" s="139">
        <v>316</v>
      </c>
      <c r="D224" s="127" t="s">
        <v>212</v>
      </c>
      <c r="E224" s="140" t="s">
        <v>730</v>
      </c>
    </row>
    <row r="225" spans="1:6">
      <c r="B225" s="139">
        <v>317</v>
      </c>
      <c r="D225" s="127" t="s">
        <v>213</v>
      </c>
      <c r="E225" s="140" t="s">
        <v>731</v>
      </c>
    </row>
    <row r="226" spans="1:6">
      <c r="B226" s="139">
        <v>318</v>
      </c>
      <c r="D226" s="127" t="s">
        <v>214</v>
      </c>
      <c r="E226" s="140" t="s">
        <v>559</v>
      </c>
    </row>
    <row r="227" spans="1:6">
      <c r="B227" s="139">
        <v>319</v>
      </c>
      <c r="D227" s="127" t="s">
        <v>485</v>
      </c>
      <c r="E227" s="140" t="s">
        <v>732</v>
      </c>
    </row>
    <row r="228" spans="1:6">
      <c r="B228" s="139">
        <v>320</v>
      </c>
      <c r="D228" s="127" t="s">
        <v>215</v>
      </c>
      <c r="E228" s="140" t="s">
        <v>733</v>
      </c>
    </row>
    <row r="229" spans="1:6" ht="39.6">
      <c r="B229" s="139">
        <v>321</v>
      </c>
      <c r="D229" s="127" t="s">
        <v>216</v>
      </c>
      <c r="E229" s="140" t="s">
        <v>734</v>
      </c>
    </row>
    <row r="230" spans="1:6">
      <c r="B230" s="139">
        <v>322</v>
      </c>
      <c r="D230" s="127" t="s">
        <v>217</v>
      </c>
      <c r="E230" s="140" t="s">
        <v>735</v>
      </c>
    </row>
    <row r="231" spans="1:6" ht="26.4">
      <c r="B231" s="139">
        <v>323</v>
      </c>
      <c r="D231" s="127" t="s">
        <v>218</v>
      </c>
      <c r="E231" s="140" t="s">
        <v>736</v>
      </c>
    </row>
    <row r="232" spans="1:6">
      <c r="A232" s="129"/>
      <c r="B232" s="139">
        <v>324</v>
      </c>
      <c r="C232" s="138" t="s">
        <v>509</v>
      </c>
      <c r="D232" s="128" t="s">
        <v>949</v>
      </c>
      <c r="E232" s="128" t="s">
        <v>516</v>
      </c>
      <c r="F232" s="130"/>
    </row>
    <row r="233" spans="1:6">
      <c r="A233" s="129"/>
      <c r="B233" s="139">
        <v>325</v>
      </c>
      <c r="C233" s="138" t="s">
        <v>509</v>
      </c>
      <c r="D233" s="128" t="s">
        <v>950</v>
      </c>
      <c r="E233" s="128" t="s">
        <v>899</v>
      </c>
      <c r="F233" s="130"/>
    </row>
    <row r="234" spans="1:6">
      <c r="A234" s="129"/>
      <c r="B234" s="139">
        <v>326</v>
      </c>
      <c r="C234" s="138" t="s">
        <v>918</v>
      </c>
      <c r="D234" s="128" t="s">
        <v>951</v>
      </c>
      <c r="E234" s="128" t="s">
        <v>952</v>
      </c>
      <c r="F234" s="130"/>
    </row>
    <row r="235" spans="1:6">
      <c r="B235" s="139">
        <v>327</v>
      </c>
      <c r="D235" s="127" t="s">
        <v>219</v>
      </c>
      <c r="E235" s="140" t="s">
        <v>560</v>
      </c>
    </row>
    <row r="236" spans="1:6" ht="14.4">
      <c r="B236" s="139">
        <v>328</v>
      </c>
      <c r="D236" s="127" t="s">
        <v>220</v>
      </c>
      <c r="E236" s="168" t="s">
        <v>905</v>
      </c>
    </row>
    <row r="237" spans="1:6">
      <c r="B237" s="139">
        <v>329</v>
      </c>
      <c r="D237" s="127" t="s">
        <v>221</v>
      </c>
      <c r="E237" s="140" t="s">
        <v>737</v>
      </c>
    </row>
    <row r="238" spans="1:6">
      <c r="B238" s="139">
        <v>330</v>
      </c>
      <c r="D238" s="127" t="s">
        <v>222</v>
      </c>
      <c r="E238" s="140" t="s">
        <v>738</v>
      </c>
    </row>
    <row r="239" spans="1:6">
      <c r="B239" s="139">
        <v>331</v>
      </c>
      <c r="D239" s="127" t="s">
        <v>223</v>
      </c>
      <c r="E239" s="140" t="s">
        <v>739</v>
      </c>
    </row>
    <row r="240" spans="1:6">
      <c r="B240" s="139">
        <v>332</v>
      </c>
      <c r="D240" s="127" t="s">
        <v>224</v>
      </c>
      <c r="E240" s="140" t="s">
        <v>740</v>
      </c>
    </row>
    <row r="241" spans="2:5">
      <c r="B241" s="139">
        <v>333</v>
      </c>
      <c r="D241" s="127" t="s">
        <v>225</v>
      </c>
      <c r="E241" s="140" t="s">
        <v>741</v>
      </c>
    </row>
    <row r="242" spans="2:5">
      <c r="B242" s="139">
        <v>334</v>
      </c>
      <c r="D242" s="127" t="s">
        <v>226</v>
      </c>
      <c r="E242" s="140" t="s">
        <v>742</v>
      </c>
    </row>
    <row r="243" spans="2:5">
      <c r="B243" s="139">
        <v>335</v>
      </c>
      <c r="D243" s="127" t="s">
        <v>227</v>
      </c>
      <c r="E243" s="140" t="s">
        <v>743</v>
      </c>
    </row>
    <row r="244" spans="2:5">
      <c r="B244" s="139">
        <v>336</v>
      </c>
      <c r="D244" s="127" t="s">
        <v>228</v>
      </c>
      <c r="E244" s="140" t="s">
        <v>561</v>
      </c>
    </row>
    <row r="245" spans="2:5">
      <c r="B245" s="139">
        <v>337</v>
      </c>
      <c r="D245" s="127" t="s">
        <v>229</v>
      </c>
      <c r="E245" s="140" t="s">
        <v>744</v>
      </c>
    </row>
    <row r="246" spans="2:5">
      <c r="B246" s="139">
        <v>338</v>
      </c>
      <c r="D246" s="127" t="s">
        <v>230</v>
      </c>
      <c r="E246" s="140" t="s">
        <v>562</v>
      </c>
    </row>
    <row r="247" spans="2:5">
      <c r="B247" s="139">
        <v>339</v>
      </c>
      <c r="D247" s="127" t="s">
        <v>231</v>
      </c>
      <c r="E247" s="140" t="s">
        <v>745</v>
      </c>
    </row>
    <row r="248" spans="2:5">
      <c r="B248" s="139">
        <v>340</v>
      </c>
      <c r="D248" s="127" t="s">
        <v>232</v>
      </c>
      <c r="E248" s="140" t="s">
        <v>563</v>
      </c>
    </row>
    <row r="249" spans="2:5">
      <c r="B249" s="139">
        <v>341</v>
      </c>
      <c r="D249" s="127" t="s">
        <v>233</v>
      </c>
      <c r="E249" s="140" t="s">
        <v>746</v>
      </c>
    </row>
    <row r="250" spans="2:5">
      <c r="B250" s="139">
        <v>342</v>
      </c>
      <c r="D250" s="127" t="s">
        <v>234</v>
      </c>
      <c r="E250" s="140" t="s">
        <v>564</v>
      </c>
    </row>
    <row r="251" spans="2:5">
      <c r="B251" s="139">
        <v>343</v>
      </c>
      <c r="D251" s="127" t="s">
        <v>235</v>
      </c>
      <c r="E251" s="140" t="s">
        <v>747</v>
      </c>
    </row>
    <row r="252" spans="2:5">
      <c r="B252" s="139">
        <v>344</v>
      </c>
      <c r="D252" s="127" t="s">
        <v>236</v>
      </c>
      <c r="E252" s="140" t="s">
        <v>565</v>
      </c>
    </row>
    <row r="253" spans="2:5">
      <c r="B253" s="139">
        <v>345</v>
      </c>
      <c r="D253" s="127" t="s">
        <v>237</v>
      </c>
      <c r="E253" s="140" t="s">
        <v>748</v>
      </c>
    </row>
    <row r="254" spans="2:5">
      <c r="B254" s="139">
        <v>346</v>
      </c>
      <c r="D254" s="127" t="s">
        <v>238</v>
      </c>
      <c r="E254" s="140" t="s">
        <v>749</v>
      </c>
    </row>
    <row r="255" spans="2:5">
      <c r="B255" s="139">
        <v>347</v>
      </c>
      <c r="D255" s="127" t="s">
        <v>486</v>
      </c>
      <c r="E255" s="140" t="s">
        <v>486</v>
      </c>
    </row>
    <row r="256" spans="2:5">
      <c r="B256" s="139">
        <v>348</v>
      </c>
      <c r="D256" s="127" t="s">
        <v>239</v>
      </c>
      <c r="E256" s="140" t="s">
        <v>566</v>
      </c>
    </row>
    <row r="257" spans="2:5" ht="26.4">
      <c r="B257" s="139">
        <v>349</v>
      </c>
      <c r="D257" s="127" t="s">
        <v>240</v>
      </c>
      <c r="E257" s="140" t="s">
        <v>750</v>
      </c>
    </row>
    <row r="258" spans="2:5">
      <c r="B258" s="139">
        <v>350</v>
      </c>
      <c r="D258" s="127" t="s">
        <v>241</v>
      </c>
      <c r="E258" s="140" t="s">
        <v>751</v>
      </c>
    </row>
    <row r="259" spans="2:5" ht="26.4">
      <c r="B259" s="139">
        <v>351</v>
      </c>
      <c r="D259" s="127" t="s">
        <v>242</v>
      </c>
      <c r="E259" s="140" t="s">
        <v>752</v>
      </c>
    </row>
    <row r="260" spans="2:5" ht="13.8">
      <c r="B260" s="139">
        <v>352</v>
      </c>
      <c r="D260" s="134" t="s">
        <v>953</v>
      </c>
      <c r="E260" s="167" t="s">
        <v>954</v>
      </c>
    </row>
    <row r="261" spans="2:5">
      <c r="B261" s="139">
        <v>353</v>
      </c>
      <c r="D261" s="127" t="s">
        <v>487</v>
      </c>
      <c r="E261" s="140" t="s">
        <v>567</v>
      </c>
    </row>
    <row r="262" spans="2:5">
      <c r="B262" s="139">
        <v>354</v>
      </c>
      <c r="D262" s="127" t="s">
        <v>243</v>
      </c>
      <c r="E262" s="140" t="s">
        <v>753</v>
      </c>
    </row>
    <row r="263" spans="2:5">
      <c r="B263" s="139">
        <v>355</v>
      </c>
      <c r="D263" s="127" t="s">
        <v>488</v>
      </c>
      <c r="E263" s="140" t="s">
        <v>754</v>
      </c>
    </row>
    <row r="264" spans="2:5">
      <c r="B264" s="139">
        <v>356</v>
      </c>
      <c r="D264" s="127" t="s">
        <v>244</v>
      </c>
      <c r="E264" s="140" t="s">
        <v>568</v>
      </c>
    </row>
    <row r="265" spans="2:5">
      <c r="B265" s="139">
        <v>357</v>
      </c>
      <c r="D265" s="127" t="s">
        <v>245</v>
      </c>
      <c r="E265" s="140" t="s">
        <v>569</v>
      </c>
    </row>
    <row r="266" spans="2:5">
      <c r="B266" s="139">
        <v>358</v>
      </c>
      <c r="D266" s="127" t="s">
        <v>246</v>
      </c>
      <c r="E266" s="140" t="s">
        <v>755</v>
      </c>
    </row>
    <row r="267" spans="2:5">
      <c r="B267" s="139">
        <v>359</v>
      </c>
      <c r="D267" s="127" t="s">
        <v>247</v>
      </c>
      <c r="E267" s="140" t="s">
        <v>756</v>
      </c>
    </row>
    <row r="268" spans="2:5">
      <c r="B268" s="139">
        <v>360</v>
      </c>
      <c r="D268" s="127" t="s">
        <v>248</v>
      </c>
      <c r="E268" s="140" t="s">
        <v>757</v>
      </c>
    </row>
    <row r="269" spans="2:5">
      <c r="B269" s="139">
        <v>361</v>
      </c>
      <c r="D269" s="127" t="s">
        <v>249</v>
      </c>
    </row>
    <row r="270" spans="2:5">
      <c r="B270" s="139">
        <v>362</v>
      </c>
      <c r="D270" s="127" t="s">
        <v>489</v>
      </c>
      <c r="E270" s="140" t="s">
        <v>758</v>
      </c>
    </row>
    <row r="271" spans="2:5" ht="26.4">
      <c r="B271" s="139">
        <v>363</v>
      </c>
      <c r="D271" s="127" t="s">
        <v>490</v>
      </c>
      <c r="E271" s="140" t="s">
        <v>759</v>
      </c>
    </row>
    <row r="272" spans="2:5" ht="26.4">
      <c r="B272" s="139">
        <v>364</v>
      </c>
      <c r="D272" s="127" t="s">
        <v>250</v>
      </c>
      <c r="E272" s="140" t="s">
        <v>760</v>
      </c>
    </row>
    <row r="273" spans="2:5">
      <c r="B273" s="139">
        <v>365</v>
      </c>
      <c r="D273" s="127" t="s">
        <v>251</v>
      </c>
      <c r="E273" s="140" t="s">
        <v>761</v>
      </c>
    </row>
    <row r="274" spans="2:5">
      <c r="B274" s="139">
        <v>366</v>
      </c>
      <c r="D274" s="127" t="s">
        <v>252</v>
      </c>
      <c r="E274" s="140" t="s">
        <v>762</v>
      </c>
    </row>
    <row r="275" spans="2:5">
      <c r="B275" s="139">
        <v>367</v>
      </c>
      <c r="D275" s="127" t="s">
        <v>253</v>
      </c>
      <c r="E275" s="140" t="s">
        <v>570</v>
      </c>
    </row>
    <row r="276" spans="2:5">
      <c r="B276" s="139">
        <v>368</v>
      </c>
      <c r="D276" s="127" t="s">
        <v>254</v>
      </c>
      <c r="E276" s="140" t="s">
        <v>571</v>
      </c>
    </row>
    <row r="277" spans="2:5">
      <c r="B277" s="139">
        <v>369</v>
      </c>
      <c r="D277" s="127" t="s">
        <v>255</v>
      </c>
      <c r="E277" s="140" t="s">
        <v>763</v>
      </c>
    </row>
    <row r="278" spans="2:5">
      <c r="B278" s="139">
        <v>370</v>
      </c>
      <c r="D278" s="127" t="s">
        <v>256</v>
      </c>
      <c r="E278" s="140" t="s">
        <v>572</v>
      </c>
    </row>
    <row r="279" spans="2:5">
      <c r="B279" s="139">
        <v>371</v>
      </c>
      <c r="D279" s="127" t="s">
        <v>257</v>
      </c>
      <c r="E279" s="140" t="s">
        <v>764</v>
      </c>
    </row>
    <row r="280" spans="2:5">
      <c r="B280" s="139">
        <v>372</v>
      </c>
      <c r="D280" s="127" t="s">
        <v>258</v>
      </c>
      <c r="E280" s="140" t="s">
        <v>573</v>
      </c>
    </row>
    <row r="281" spans="2:5">
      <c r="B281" s="139">
        <v>373</v>
      </c>
      <c r="D281" s="127" t="s">
        <v>259</v>
      </c>
      <c r="E281" s="140" t="s">
        <v>574</v>
      </c>
    </row>
    <row r="282" spans="2:5">
      <c r="B282" s="139">
        <v>374</v>
      </c>
      <c r="D282" s="127" t="s">
        <v>260</v>
      </c>
      <c r="E282" s="140" t="s">
        <v>765</v>
      </c>
    </row>
    <row r="283" spans="2:5">
      <c r="B283" s="139">
        <v>375</v>
      </c>
      <c r="D283" s="127" t="s">
        <v>261</v>
      </c>
      <c r="E283" s="140" t="s">
        <v>766</v>
      </c>
    </row>
    <row r="284" spans="2:5">
      <c r="B284" s="139">
        <v>376</v>
      </c>
      <c r="D284" s="127" t="s">
        <v>262</v>
      </c>
      <c r="E284" s="140" t="s">
        <v>767</v>
      </c>
    </row>
    <row r="285" spans="2:5">
      <c r="B285" s="139">
        <v>377</v>
      </c>
      <c r="D285" s="127" t="s">
        <v>263</v>
      </c>
      <c r="E285" s="140" t="s">
        <v>768</v>
      </c>
    </row>
    <row r="286" spans="2:5">
      <c r="B286" s="139">
        <v>378</v>
      </c>
      <c r="D286" s="127" t="s">
        <v>264</v>
      </c>
      <c r="E286" s="140" t="s">
        <v>575</v>
      </c>
    </row>
    <row r="287" spans="2:5">
      <c r="B287" s="139">
        <v>379</v>
      </c>
      <c r="D287" s="127" t="s">
        <v>265</v>
      </c>
      <c r="E287" s="140" t="s">
        <v>955</v>
      </c>
    </row>
    <row r="288" spans="2:5">
      <c r="B288" s="139">
        <v>380</v>
      </c>
      <c r="D288" s="127" t="s">
        <v>266</v>
      </c>
      <c r="E288" s="140" t="s">
        <v>769</v>
      </c>
    </row>
    <row r="289" spans="2:5">
      <c r="B289" s="139">
        <v>381</v>
      </c>
      <c r="D289" s="127" t="s">
        <v>267</v>
      </c>
      <c r="E289" s="140" t="s">
        <v>576</v>
      </c>
    </row>
    <row r="290" spans="2:5" ht="39.6">
      <c r="B290" s="139">
        <v>382</v>
      </c>
      <c r="D290" s="127" t="s">
        <v>268</v>
      </c>
      <c r="E290" s="140" t="s">
        <v>770</v>
      </c>
    </row>
    <row r="291" spans="2:5">
      <c r="B291" s="139">
        <v>383</v>
      </c>
      <c r="D291" s="127" t="s">
        <v>269</v>
      </c>
      <c r="E291" s="140" t="s">
        <v>771</v>
      </c>
    </row>
    <row r="292" spans="2:5" ht="26.4">
      <c r="B292" s="139">
        <v>384</v>
      </c>
      <c r="D292" s="127" t="s">
        <v>270</v>
      </c>
      <c r="E292" s="140" t="s">
        <v>772</v>
      </c>
    </row>
    <row r="293" spans="2:5">
      <c r="B293" s="139">
        <v>385</v>
      </c>
      <c r="D293" s="127" t="s">
        <v>271</v>
      </c>
      <c r="E293" s="140" t="s">
        <v>773</v>
      </c>
    </row>
    <row r="294" spans="2:5" ht="26.4">
      <c r="B294" s="139">
        <v>386</v>
      </c>
      <c r="D294" s="127" t="s">
        <v>272</v>
      </c>
      <c r="E294" s="140" t="s">
        <v>774</v>
      </c>
    </row>
    <row r="295" spans="2:5" ht="26.4">
      <c r="B295" s="139">
        <v>387</v>
      </c>
      <c r="D295" s="127" t="s">
        <v>273</v>
      </c>
      <c r="E295" s="140" t="s">
        <v>775</v>
      </c>
    </row>
    <row r="296" spans="2:5" ht="26.4">
      <c r="B296" s="139">
        <v>388</v>
      </c>
      <c r="D296" s="127" t="s">
        <v>274</v>
      </c>
      <c r="E296" s="140" t="s">
        <v>776</v>
      </c>
    </row>
    <row r="297" spans="2:5" ht="26.4">
      <c r="B297" s="139">
        <v>389</v>
      </c>
      <c r="D297" s="127" t="s">
        <v>275</v>
      </c>
      <c r="E297" s="140" t="s">
        <v>777</v>
      </c>
    </row>
    <row r="298" spans="2:5" ht="26.4">
      <c r="B298" s="139">
        <v>390</v>
      </c>
      <c r="D298" s="127" t="s">
        <v>276</v>
      </c>
      <c r="E298" s="140" t="s">
        <v>778</v>
      </c>
    </row>
    <row r="299" spans="2:5" ht="26.4">
      <c r="B299" s="139">
        <v>391</v>
      </c>
      <c r="D299" s="127" t="s">
        <v>277</v>
      </c>
      <c r="E299" s="140" t="s">
        <v>779</v>
      </c>
    </row>
    <row r="300" spans="2:5" ht="26.4">
      <c r="B300" s="139">
        <v>392</v>
      </c>
      <c r="D300" s="127" t="s">
        <v>278</v>
      </c>
      <c r="E300" s="140" t="s">
        <v>780</v>
      </c>
    </row>
    <row r="301" spans="2:5" ht="26.4">
      <c r="B301" s="139">
        <v>393</v>
      </c>
      <c r="D301" s="127" t="s">
        <v>279</v>
      </c>
      <c r="E301" s="140" t="s">
        <v>781</v>
      </c>
    </row>
    <row r="302" spans="2:5" ht="26.4">
      <c r="B302" s="139">
        <v>394</v>
      </c>
      <c r="D302" s="127" t="s">
        <v>280</v>
      </c>
      <c r="E302" s="140" t="s">
        <v>782</v>
      </c>
    </row>
    <row r="303" spans="2:5" ht="26.4">
      <c r="B303" s="139">
        <v>395</v>
      </c>
      <c r="D303" s="127" t="s">
        <v>281</v>
      </c>
      <c r="E303" s="140" t="s">
        <v>783</v>
      </c>
    </row>
    <row r="304" spans="2:5" ht="26.4">
      <c r="B304" s="139">
        <v>396</v>
      </c>
      <c r="D304" s="127" t="s">
        <v>282</v>
      </c>
      <c r="E304" s="140" t="s">
        <v>784</v>
      </c>
    </row>
    <row r="305" spans="2:5" ht="26.4">
      <c r="B305" s="139">
        <v>397</v>
      </c>
      <c r="D305" s="127" t="s">
        <v>283</v>
      </c>
      <c r="E305" s="140" t="s">
        <v>785</v>
      </c>
    </row>
    <row r="306" spans="2:5" ht="26.4">
      <c r="B306" s="139">
        <v>398</v>
      </c>
      <c r="D306" s="127" t="s">
        <v>284</v>
      </c>
      <c r="E306" s="140" t="s">
        <v>786</v>
      </c>
    </row>
    <row r="307" spans="2:5" ht="26.4">
      <c r="B307" s="139">
        <v>399</v>
      </c>
      <c r="D307" s="127" t="s">
        <v>285</v>
      </c>
      <c r="E307" s="140" t="s">
        <v>787</v>
      </c>
    </row>
    <row r="308" spans="2:5" ht="26.4">
      <c r="B308" s="139">
        <v>400</v>
      </c>
      <c r="D308" s="127" t="s">
        <v>286</v>
      </c>
      <c r="E308" s="140" t="s">
        <v>788</v>
      </c>
    </row>
    <row r="309" spans="2:5" ht="26.4">
      <c r="B309" s="139">
        <v>401</v>
      </c>
      <c r="D309" s="127" t="s">
        <v>287</v>
      </c>
      <c r="E309" s="140" t="s">
        <v>789</v>
      </c>
    </row>
    <row r="310" spans="2:5" ht="26.4">
      <c r="B310" s="139">
        <v>402</v>
      </c>
      <c r="D310" s="127" t="s">
        <v>288</v>
      </c>
      <c r="E310" s="140" t="s">
        <v>790</v>
      </c>
    </row>
    <row r="311" spans="2:5" ht="26.4">
      <c r="B311" s="139">
        <v>403</v>
      </c>
      <c r="D311" s="127" t="s">
        <v>289</v>
      </c>
      <c r="E311" s="140" t="s">
        <v>791</v>
      </c>
    </row>
    <row r="312" spans="2:5" ht="26.4">
      <c r="B312" s="139">
        <v>404</v>
      </c>
      <c r="D312" s="127" t="s">
        <v>290</v>
      </c>
      <c r="E312" s="140" t="s">
        <v>792</v>
      </c>
    </row>
    <row r="313" spans="2:5">
      <c r="B313" s="139">
        <v>405</v>
      </c>
      <c r="D313" s="127" t="s">
        <v>491</v>
      </c>
      <c r="E313" s="140" t="s">
        <v>793</v>
      </c>
    </row>
    <row r="314" spans="2:5">
      <c r="B314" s="139">
        <v>406</v>
      </c>
      <c r="D314" s="127" t="s">
        <v>492</v>
      </c>
      <c r="E314" s="140" t="s">
        <v>793</v>
      </c>
    </row>
    <row r="315" spans="2:5">
      <c r="B315" s="139">
        <v>407</v>
      </c>
      <c r="D315" s="127" t="s">
        <v>291</v>
      </c>
      <c r="E315" s="140" t="s">
        <v>794</v>
      </c>
    </row>
    <row r="316" spans="2:5" ht="26.4">
      <c r="B316" s="139">
        <v>408</v>
      </c>
      <c r="D316" s="127" t="s">
        <v>292</v>
      </c>
      <c r="E316" s="140" t="s">
        <v>795</v>
      </c>
    </row>
    <row r="317" spans="2:5">
      <c r="B317" s="139">
        <v>409</v>
      </c>
      <c r="D317" s="127" t="s">
        <v>293</v>
      </c>
      <c r="E317" s="140" t="s">
        <v>796</v>
      </c>
    </row>
    <row r="318" spans="2:5" ht="26.4">
      <c r="B318" s="139">
        <v>410</v>
      </c>
      <c r="D318" s="127" t="s">
        <v>294</v>
      </c>
      <c r="E318" s="140" t="s">
        <v>797</v>
      </c>
    </row>
    <row r="319" spans="2:5">
      <c r="B319" s="139">
        <v>411</v>
      </c>
      <c r="D319" s="127" t="s">
        <v>493</v>
      </c>
      <c r="E319" s="140" t="s">
        <v>798</v>
      </c>
    </row>
    <row r="320" spans="2:5" ht="26.4">
      <c r="B320" s="139">
        <v>412</v>
      </c>
      <c r="D320" s="127" t="s">
        <v>494</v>
      </c>
      <c r="E320" s="140" t="s">
        <v>799</v>
      </c>
    </row>
    <row r="321" spans="1:6">
      <c r="B321" s="139">
        <v>413</v>
      </c>
      <c r="D321" s="127" t="s">
        <v>295</v>
      </c>
      <c r="E321" s="140" t="s">
        <v>800</v>
      </c>
    </row>
    <row r="322" spans="1:6" ht="26.4">
      <c r="B322" s="139">
        <v>414</v>
      </c>
      <c r="D322" s="127" t="s">
        <v>296</v>
      </c>
      <c r="E322" s="140" t="s">
        <v>801</v>
      </c>
    </row>
    <row r="323" spans="1:6">
      <c r="B323" s="139">
        <v>415</v>
      </c>
      <c r="D323" s="127" t="s">
        <v>297</v>
      </c>
      <c r="E323" s="140" t="s">
        <v>802</v>
      </c>
    </row>
    <row r="324" spans="1:6" ht="39.6">
      <c r="B324" s="139">
        <v>416</v>
      </c>
      <c r="D324" s="127" t="s">
        <v>298</v>
      </c>
      <c r="E324" s="140" t="s">
        <v>803</v>
      </c>
    </row>
    <row r="325" spans="1:6">
      <c r="B325" s="139">
        <v>417</v>
      </c>
      <c r="D325" s="127" t="s">
        <v>299</v>
      </c>
      <c r="E325" s="140" t="s">
        <v>804</v>
      </c>
    </row>
    <row r="326" spans="1:6" ht="26.4">
      <c r="B326" s="139">
        <v>418</v>
      </c>
      <c r="D326" s="127" t="s">
        <v>300</v>
      </c>
      <c r="E326" s="140" t="s">
        <v>805</v>
      </c>
    </row>
    <row r="327" spans="1:6" ht="26.4">
      <c r="B327" s="139">
        <v>419</v>
      </c>
      <c r="D327" s="127" t="s">
        <v>301</v>
      </c>
      <c r="E327" s="140" t="s">
        <v>806</v>
      </c>
    </row>
    <row r="328" spans="1:6" ht="26.4">
      <c r="B328" s="139">
        <v>420</v>
      </c>
      <c r="D328" s="127" t="s">
        <v>302</v>
      </c>
      <c r="E328" s="140" t="s">
        <v>807</v>
      </c>
    </row>
    <row r="329" spans="1:6">
      <c r="B329" s="139">
        <v>421</v>
      </c>
      <c r="D329" s="127" t="s">
        <v>303</v>
      </c>
      <c r="E329" s="140" t="s">
        <v>808</v>
      </c>
    </row>
    <row r="330" spans="1:6">
      <c r="B330" s="139">
        <v>422</v>
      </c>
      <c r="D330" s="127" t="s">
        <v>304</v>
      </c>
      <c r="E330" s="140" t="s">
        <v>809</v>
      </c>
    </row>
    <row r="331" spans="1:6">
      <c r="B331" s="139">
        <v>423</v>
      </c>
      <c r="D331" s="127" t="s">
        <v>305</v>
      </c>
      <c r="E331" s="140" t="s">
        <v>810</v>
      </c>
    </row>
    <row r="332" spans="1:6">
      <c r="B332" s="139">
        <v>424</v>
      </c>
      <c r="D332" s="127" t="s">
        <v>306</v>
      </c>
      <c r="E332" s="140" t="s">
        <v>811</v>
      </c>
    </row>
    <row r="333" spans="1:6">
      <c r="B333" s="139">
        <v>425</v>
      </c>
      <c r="D333" s="127" t="s">
        <v>307</v>
      </c>
      <c r="E333" s="140" t="s">
        <v>812</v>
      </c>
    </row>
    <row r="334" spans="1:6">
      <c r="B334" s="139">
        <v>426</v>
      </c>
      <c r="D334" s="127" t="s">
        <v>308</v>
      </c>
      <c r="E334" s="140" t="s">
        <v>813</v>
      </c>
    </row>
    <row r="335" spans="1:6">
      <c r="B335" s="139">
        <v>427</v>
      </c>
      <c r="D335" s="127" t="s">
        <v>495</v>
      </c>
      <c r="E335" s="140" t="s">
        <v>814</v>
      </c>
    </row>
    <row r="336" spans="1:6" ht="43.2">
      <c r="A336" s="134"/>
      <c r="B336" s="139">
        <v>428</v>
      </c>
      <c r="C336" s="137" t="s">
        <v>920</v>
      </c>
      <c r="D336" s="134" t="s">
        <v>956</v>
      </c>
      <c r="E336" s="134" t="s">
        <v>957</v>
      </c>
      <c r="F336" s="135"/>
    </row>
    <row r="337" spans="2:5" ht="39.6">
      <c r="B337" s="139">
        <v>429</v>
      </c>
      <c r="D337" s="127" t="s">
        <v>309</v>
      </c>
      <c r="E337" s="140" t="s">
        <v>815</v>
      </c>
    </row>
    <row r="338" spans="2:5">
      <c r="B338" s="139">
        <v>430</v>
      </c>
      <c r="D338" s="127" t="s">
        <v>310</v>
      </c>
      <c r="E338" s="140" t="s">
        <v>816</v>
      </c>
    </row>
    <row r="339" spans="2:5">
      <c r="B339" s="139">
        <v>431</v>
      </c>
      <c r="D339" s="127" t="s">
        <v>311</v>
      </c>
      <c r="E339" s="140" t="s">
        <v>817</v>
      </c>
    </row>
    <row r="340" spans="2:5">
      <c r="B340" s="139">
        <v>432</v>
      </c>
      <c r="D340" s="127" t="s">
        <v>312</v>
      </c>
      <c r="E340" s="140" t="s">
        <v>818</v>
      </c>
    </row>
    <row r="341" spans="2:5" ht="26.4">
      <c r="B341" s="139">
        <v>433</v>
      </c>
      <c r="D341" s="127" t="s">
        <v>313</v>
      </c>
      <c r="E341" s="140" t="s">
        <v>819</v>
      </c>
    </row>
    <row r="342" spans="2:5">
      <c r="B342" s="139">
        <v>434</v>
      </c>
      <c r="D342" s="127" t="s">
        <v>314</v>
      </c>
      <c r="E342" s="140" t="s">
        <v>820</v>
      </c>
    </row>
    <row r="343" spans="2:5">
      <c r="B343" s="139">
        <v>435</v>
      </c>
      <c r="D343" s="127" t="s">
        <v>315</v>
      </c>
      <c r="E343" s="140" t="s">
        <v>821</v>
      </c>
    </row>
    <row r="344" spans="2:5">
      <c r="B344" s="139">
        <v>436</v>
      </c>
      <c r="D344" s="127" t="s">
        <v>316</v>
      </c>
      <c r="E344" s="140" t="s">
        <v>822</v>
      </c>
    </row>
    <row r="345" spans="2:5">
      <c r="B345" s="139">
        <v>437</v>
      </c>
      <c r="D345" s="127" t="s">
        <v>317</v>
      </c>
      <c r="E345" s="140" t="s">
        <v>823</v>
      </c>
    </row>
    <row r="346" spans="2:5">
      <c r="B346" s="139">
        <v>438</v>
      </c>
      <c r="D346" s="127" t="s">
        <v>496</v>
      </c>
      <c r="E346" s="140" t="s">
        <v>824</v>
      </c>
    </row>
    <row r="347" spans="2:5">
      <c r="B347" s="139">
        <v>439</v>
      </c>
      <c r="D347" s="127" t="s">
        <v>318</v>
      </c>
      <c r="E347" s="140" t="s">
        <v>825</v>
      </c>
    </row>
    <row r="348" spans="2:5">
      <c r="B348" s="139">
        <v>440</v>
      </c>
      <c r="D348" s="127" t="s">
        <v>497</v>
      </c>
      <c r="E348" s="140" t="s">
        <v>826</v>
      </c>
    </row>
    <row r="349" spans="2:5" ht="26.4">
      <c r="B349" s="139">
        <v>441</v>
      </c>
      <c r="D349" s="127" t="s">
        <v>319</v>
      </c>
      <c r="E349" s="140" t="s">
        <v>827</v>
      </c>
    </row>
    <row r="350" spans="2:5">
      <c r="B350" s="139">
        <v>442</v>
      </c>
      <c r="D350" s="127" t="s">
        <v>320</v>
      </c>
      <c r="E350" s="140" t="s">
        <v>828</v>
      </c>
    </row>
    <row r="351" spans="2:5">
      <c r="B351" s="139">
        <v>443</v>
      </c>
      <c r="D351" s="127" t="s">
        <v>321</v>
      </c>
      <c r="E351" s="140" t="s">
        <v>829</v>
      </c>
    </row>
    <row r="352" spans="2:5">
      <c r="B352" s="139">
        <v>444</v>
      </c>
      <c r="D352" s="127" t="s">
        <v>322</v>
      </c>
      <c r="E352" s="140" t="s">
        <v>830</v>
      </c>
    </row>
    <row r="353" spans="2:5" ht="39.6">
      <c r="B353" s="139">
        <v>445</v>
      </c>
      <c r="D353" s="127" t="s">
        <v>389</v>
      </c>
      <c r="E353" s="140" t="s">
        <v>831</v>
      </c>
    </row>
    <row r="354" spans="2:5">
      <c r="B354" s="139">
        <v>446</v>
      </c>
      <c r="D354" s="127" t="s">
        <v>323</v>
      </c>
      <c r="E354" s="140" t="s">
        <v>832</v>
      </c>
    </row>
    <row r="355" spans="2:5">
      <c r="B355" s="139">
        <v>447</v>
      </c>
      <c r="D355" s="127" t="s">
        <v>324</v>
      </c>
      <c r="E355" s="140" t="s">
        <v>833</v>
      </c>
    </row>
    <row r="356" spans="2:5">
      <c r="B356" s="139">
        <v>448</v>
      </c>
      <c r="D356" s="127" t="s">
        <v>325</v>
      </c>
      <c r="E356" s="140" t="s">
        <v>834</v>
      </c>
    </row>
    <row r="357" spans="2:5">
      <c r="B357" s="139">
        <v>449</v>
      </c>
      <c r="D357" s="127" t="s">
        <v>326</v>
      </c>
      <c r="E357" s="140" t="s">
        <v>835</v>
      </c>
    </row>
    <row r="358" spans="2:5">
      <c r="B358" s="139">
        <v>450</v>
      </c>
      <c r="D358" s="127" t="s">
        <v>327</v>
      </c>
      <c r="E358" s="140" t="s">
        <v>836</v>
      </c>
    </row>
    <row r="359" spans="2:5" ht="26.4">
      <c r="B359" s="139">
        <v>451</v>
      </c>
      <c r="D359" s="127" t="s">
        <v>328</v>
      </c>
      <c r="E359" s="140" t="s">
        <v>837</v>
      </c>
    </row>
    <row r="360" spans="2:5">
      <c r="B360" s="139">
        <v>452</v>
      </c>
      <c r="D360" s="127" t="s">
        <v>329</v>
      </c>
      <c r="E360" s="140" t="s">
        <v>838</v>
      </c>
    </row>
    <row r="361" spans="2:5">
      <c r="B361" s="139">
        <v>453</v>
      </c>
      <c r="D361" s="127" t="s">
        <v>330</v>
      </c>
      <c r="E361" s="140" t="s">
        <v>839</v>
      </c>
    </row>
    <row r="362" spans="2:5">
      <c r="B362" s="139">
        <v>454</v>
      </c>
      <c r="D362" s="127" t="s">
        <v>331</v>
      </c>
      <c r="E362" s="140" t="s">
        <v>840</v>
      </c>
    </row>
    <row r="363" spans="2:5" ht="26.4">
      <c r="B363" s="139">
        <v>455</v>
      </c>
      <c r="D363" s="127" t="s">
        <v>498</v>
      </c>
      <c r="E363" s="140" t="s">
        <v>841</v>
      </c>
    </row>
    <row r="364" spans="2:5">
      <c r="B364" s="139">
        <v>456</v>
      </c>
      <c r="D364" s="127" t="s">
        <v>332</v>
      </c>
      <c r="E364" s="140" t="s">
        <v>577</v>
      </c>
    </row>
    <row r="365" spans="2:5">
      <c r="B365" s="139">
        <v>457</v>
      </c>
      <c r="D365" s="127" t="s">
        <v>333</v>
      </c>
      <c r="E365" s="140" t="s">
        <v>842</v>
      </c>
    </row>
    <row r="366" spans="2:5">
      <c r="B366" s="139">
        <v>458</v>
      </c>
      <c r="D366" s="127" t="s">
        <v>334</v>
      </c>
      <c r="E366" s="140" t="s">
        <v>843</v>
      </c>
    </row>
    <row r="367" spans="2:5">
      <c r="B367" s="139">
        <v>459</v>
      </c>
      <c r="D367" s="127" t="s">
        <v>499</v>
      </c>
      <c r="E367" s="140" t="s">
        <v>844</v>
      </c>
    </row>
    <row r="368" spans="2:5" ht="26.4">
      <c r="B368" s="139">
        <v>460</v>
      </c>
      <c r="D368" s="127" t="s">
        <v>500</v>
      </c>
      <c r="E368" s="140" t="s">
        <v>845</v>
      </c>
    </row>
    <row r="369" spans="1:6">
      <c r="B369" s="139">
        <v>461</v>
      </c>
      <c r="D369" s="127" t="s">
        <v>335</v>
      </c>
      <c r="E369" s="140" t="s">
        <v>578</v>
      </c>
    </row>
    <row r="370" spans="1:6">
      <c r="B370" s="139">
        <v>462</v>
      </c>
      <c r="D370" s="127" t="s">
        <v>336</v>
      </c>
      <c r="E370" s="140" t="s">
        <v>846</v>
      </c>
    </row>
    <row r="371" spans="1:6">
      <c r="B371" s="139">
        <v>463</v>
      </c>
      <c r="D371" s="127" t="s">
        <v>337</v>
      </c>
      <c r="E371" s="140" t="s">
        <v>847</v>
      </c>
    </row>
    <row r="372" spans="1:6" ht="39.6">
      <c r="B372" s="139">
        <v>464</v>
      </c>
      <c r="D372" s="127" t="s">
        <v>338</v>
      </c>
      <c r="E372" s="140" t="s">
        <v>848</v>
      </c>
    </row>
    <row r="373" spans="1:6">
      <c r="B373" s="139">
        <v>465</v>
      </c>
      <c r="D373" s="127" t="s">
        <v>339</v>
      </c>
      <c r="E373" s="140" t="s">
        <v>849</v>
      </c>
    </row>
    <row r="374" spans="1:6">
      <c r="A374" s="129"/>
      <c r="B374" s="139">
        <v>466</v>
      </c>
      <c r="C374" s="138" t="s">
        <v>509</v>
      </c>
      <c r="D374" s="128" t="s">
        <v>900</v>
      </c>
      <c r="E374" s="128" t="s">
        <v>958</v>
      </c>
      <c r="F374" s="130"/>
    </row>
    <row r="375" spans="1:6">
      <c r="A375" s="129"/>
      <c r="B375" s="139">
        <v>467</v>
      </c>
      <c r="C375" s="138" t="s">
        <v>509</v>
      </c>
      <c r="D375" s="128" t="s">
        <v>959</v>
      </c>
      <c r="E375" s="128" t="s">
        <v>901</v>
      </c>
      <c r="F375" s="130"/>
    </row>
    <row r="376" spans="1:6" ht="14.4">
      <c r="B376" s="139">
        <v>468</v>
      </c>
      <c r="D376" s="127" t="s">
        <v>340</v>
      </c>
      <c r="E376" s="168" t="s">
        <v>907</v>
      </c>
    </row>
    <row r="377" spans="1:6">
      <c r="B377" s="139">
        <v>469</v>
      </c>
      <c r="D377" s="127" t="s">
        <v>341</v>
      </c>
      <c r="E377" s="140" t="s">
        <v>850</v>
      </c>
    </row>
    <row r="378" spans="1:6">
      <c r="B378" s="139">
        <v>470</v>
      </c>
      <c r="D378" s="127" t="s">
        <v>342</v>
      </c>
      <c r="E378" s="140" t="s">
        <v>579</v>
      </c>
    </row>
    <row r="379" spans="1:6" ht="26.4">
      <c r="B379" s="139">
        <v>471</v>
      </c>
      <c r="D379" s="127" t="s">
        <v>343</v>
      </c>
      <c r="E379" s="140" t="s">
        <v>851</v>
      </c>
    </row>
    <row r="380" spans="1:6">
      <c r="B380" s="139">
        <v>472</v>
      </c>
      <c r="D380" s="127" t="s">
        <v>344</v>
      </c>
      <c r="E380" s="140" t="s">
        <v>580</v>
      </c>
    </row>
    <row r="381" spans="1:6" ht="26.4">
      <c r="B381" s="139">
        <v>473</v>
      </c>
      <c r="D381" s="127" t="s">
        <v>345</v>
      </c>
      <c r="E381" s="140" t="s">
        <v>852</v>
      </c>
    </row>
    <row r="382" spans="1:6">
      <c r="B382" s="139">
        <v>474</v>
      </c>
      <c r="D382" s="127" t="s">
        <v>346</v>
      </c>
      <c r="E382" s="140" t="s">
        <v>581</v>
      </c>
    </row>
    <row r="383" spans="1:6">
      <c r="B383" s="139">
        <v>475</v>
      </c>
      <c r="D383" s="127" t="s">
        <v>347</v>
      </c>
      <c r="E383" s="140" t="s">
        <v>853</v>
      </c>
    </row>
    <row r="384" spans="1:6">
      <c r="B384" s="139">
        <v>476</v>
      </c>
      <c r="D384" s="127" t="s">
        <v>348</v>
      </c>
      <c r="E384" s="140" t="s">
        <v>854</v>
      </c>
    </row>
    <row r="385" spans="2:5">
      <c r="B385" s="139">
        <v>477</v>
      </c>
      <c r="D385" s="127" t="s">
        <v>349</v>
      </c>
      <c r="E385" s="140" t="s">
        <v>855</v>
      </c>
    </row>
    <row r="386" spans="2:5">
      <c r="B386" s="139">
        <v>478</v>
      </c>
      <c r="D386" s="127" t="s">
        <v>350</v>
      </c>
      <c r="E386" s="140" t="s">
        <v>856</v>
      </c>
    </row>
    <row r="387" spans="2:5">
      <c r="B387" s="139">
        <v>479</v>
      </c>
      <c r="D387" s="127" t="s">
        <v>351</v>
      </c>
      <c r="E387" s="140" t="s">
        <v>857</v>
      </c>
    </row>
    <row r="388" spans="2:5">
      <c r="B388" s="139">
        <v>480</v>
      </c>
      <c r="D388" s="127" t="s">
        <v>352</v>
      </c>
      <c r="E388" s="140" t="s">
        <v>352</v>
      </c>
    </row>
    <row r="389" spans="2:5">
      <c r="B389" s="139">
        <v>481</v>
      </c>
      <c r="D389" s="127" t="s">
        <v>501</v>
      </c>
      <c r="E389" s="140" t="s">
        <v>858</v>
      </c>
    </row>
    <row r="390" spans="2:5" ht="26.4">
      <c r="B390" s="139">
        <v>482</v>
      </c>
      <c r="D390" s="127" t="s">
        <v>353</v>
      </c>
      <c r="E390" s="140" t="s">
        <v>859</v>
      </c>
    </row>
    <row r="391" spans="2:5">
      <c r="B391" s="139">
        <v>483</v>
      </c>
      <c r="D391" s="127" t="s">
        <v>354</v>
      </c>
      <c r="E391" s="140" t="s">
        <v>354</v>
      </c>
    </row>
    <row r="392" spans="2:5">
      <c r="B392" s="139">
        <v>484</v>
      </c>
      <c r="D392" s="127" t="s">
        <v>502</v>
      </c>
    </row>
    <row r="393" spans="2:5">
      <c r="B393" s="139">
        <v>485</v>
      </c>
      <c r="D393" s="127" t="s">
        <v>355</v>
      </c>
      <c r="E393" s="140" t="s">
        <v>582</v>
      </c>
    </row>
    <row r="394" spans="2:5">
      <c r="B394" s="139">
        <v>486</v>
      </c>
      <c r="D394" s="127" t="s">
        <v>503</v>
      </c>
      <c r="E394" s="140" t="s">
        <v>583</v>
      </c>
    </row>
    <row r="395" spans="2:5">
      <c r="B395" s="139">
        <v>487</v>
      </c>
      <c r="D395" s="127" t="s">
        <v>504</v>
      </c>
      <c r="E395" s="140" t="s">
        <v>584</v>
      </c>
    </row>
    <row r="396" spans="2:5">
      <c r="B396" s="139">
        <v>488</v>
      </c>
      <c r="D396" s="127" t="s">
        <v>505</v>
      </c>
      <c r="E396" s="140" t="s">
        <v>583</v>
      </c>
    </row>
    <row r="397" spans="2:5">
      <c r="B397" s="139">
        <v>489</v>
      </c>
      <c r="D397" s="127" t="s">
        <v>356</v>
      </c>
      <c r="E397" s="140" t="s">
        <v>585</v>
      </c>
    </row>
    <row r="398" spans="2:5">
      <c r="B398" s="139">
        <v>490</v>
      </c>
      <c r="D398" s="127" t="s">
        <v>357</v>
      </c>
      <c r="E398" s="140" t="s">
        <v>860</v>
      </c>
    </row>
    <row r="399" spans="2:5">
      <c r="B399" s="139">
        <v>491</v>
      </c>
      <c r="D399" s="127" t="s">
        <v>358</v>
      </c>
      <c r="E399" s="140" t="s">
        <v>861</v>
      </c>
    </row>
    <row r="400" spans="2:5">
      <c r="B400" s="139">
        <v>492</v>
      </c>
      <c r="D400" s="127" t="s">
        <v>359</v>
      </c>
      <c r="E400" s="140" t="s">
        <v>586</v>
      </c>
    </row>
    <row r="401" spans="1:6">
      <c r="B401" s="139">
        <v>493</v>
      </c>
      <c r="D401" s="127" t="s">
        <v>360</v>
      </c>
    </row>
    <row r="402" spans="1:6">
      <c r="B402" s="139">
        <v>494</v>
      </c>
      <c r="D402" s="127" t="s">
        <v>361</v>
      </c>
    </row>
    <row r="403" spans="1:6">
      <c r="B403" s="139">
        <v>495</v>
      </c>
      <c r="D403" s="127" t="s">
        <v>362</v>
      </c>
      <c r="E403" s="140" t="s">
        <v>862</v>
      </c>
    </row>
    <row r="404" spans="1:6">
      <c r="B404" s="139">
        <v>496</v>
      </c>
      <c r="D404" s="127" t="s">
        <v>506</v>
      </c>
      <c r="E404" s="140" t="s">
        <v>863</v>
      </c>
    </row>
    <row r="405" spans="1:6">
      <c r="B405" s="139">
        <v>497</v>
      </c>
      <c r="D405" s="127" t="s">
        <v>363</v>
      </c>
      <c r="E405" s="140" t="s">
        <v>864</v>
      </c>
    </row>
    <row r="406" spans="1:6">
      <c r="B406" s="139">
        <v>498</v>
      </c>
      <c r="D406" s="127" t="s">
        <v>429</v>
      </c>
      <c r="E406" s="140" t="s">
        <v>865</v>
      </c>
    </row>
    <row r="407" spans="1:6">
      <c r="B407" s="139">
        <v>499</v>
      </c>
      <c r="D407" s="127" t="s">
        <v>364</v>
      </c>
      <c r="E407" s="140" t="s">
        <v>864</v>
      </c>
    </row>
    <row r="408" spans="1:6" ht="28.8">
      <c r="A408" s="134"/>
      <c r="B408" s="139">
        <v>500</v>
      </c>
      <c r="C408" s="134"/>
      <c r="D408" s="134" t="s">
        <v>960</v>
      </c>
      <c r="E408" s="134" t="s">
        <v>961</v>
      </c>
      <c r="F408" s="135"/>
    </row>
    <row r="409" spans="1:6">
      <c r="B409" s="139">
        <v>501</v>
      </c>
      <c r="D409" s="127" t="s">
        <v>365</v>
      </c>
      <c r="E409" s="140" t="s">
        <v>365</v>
      </c>
    </row>
    <row r="410" spans="1:6">
      <c r="B410" s="139">
        <v>502</v>
      </c>
      <c r="D410" s="127" t="s">
        <v>366</v>
      </c>
      <c r="E410" s="140" t="s">
        <v>866</v>
      </c>
    </row>
    <row r="411" spans="1:6">
      <c r="B411" s="139">
        <v>503</v>
      </c>
      <c r="D411" s="127" t="s">
        <v>367</v>
      </c>
      <c r="E411" s="140" t="s">
        <v>867</v>
      </c>
    </row>
    <row r="412" spans="1:6">
      <c r="B412" s="139">
        <v>504</v>
      </c>
      <c r="D412" s="127" t="s">
        <v>507</v>
      </c>
      <c r="E412" s="140" t="s">
        <v>868</v>
      </c>
    </row>
    <row r="413" spans="1:6">
      <c r="B413" s="139">
        <v>505</v>
      </c>
      <c r="D413" s="127" t="s">
        <v>368</v>
      </c>
      <c r="E413" s="140" t="s">
        <v>869</v>
      </c>
    </row>
    <row r="414" spans="1:6">
      <c r="B414" s="139">
        <v>506</v>
      </c>
      <c r="D414" s="127" t="s">
        <v>369</v>
      </c>
      <c r="E414" s="140" t="s">
        <v>870</v>
      </c>
    </row>
    <row r="415" spans="1:6">
      <c r="B415" s="139">
        <v>507</v>
      </c>
      <c r="D415" s="127" t="s">
        <v>370</v>
      </c>
      <c r="E415" s="140" t="s">
        <v>871</v>
      </c>
    </row>
    <row r="416" spans="1:6">
      <c r="B416" s="139">
        <v>508</v>
      </c>
      <c r="D416" s="127" t="s">
        <v>508</v>
      </c>
      <c r="E416" s="140" t="s">
        <v>872</v>
      </c>
    </row>
    <row r="417" spans="1:6" ht="26.4">
      <c r="B417" s="139">
        <v>509</v>
      </c>
      <c r="D417" s="127" t="s">
        <v>371</v>
      </c>
      <c r="E417" s="140" t="s">
        <v>873</v>
      </c>
    </row>
    <row r="418" spans="1:6">
      <c r="B418" s="139">
        <v>510</v>
      </c>
      <c r="D418" s="127" t="s">
        <v>372</v>
      </c>
      <c r="E418" s="140" t="s">
        <v>871</v>
      </c>
    </row>
    <row r="419" spans="1:6">
      <c r="B419" s="139">
        <v>511</v>
      </c>
      <c r="D419" s="127" t="s">
        <v>373</v>
      </c>
      <c r="E419" s="140" t="s">
        <v>874</v>
      </c>
    </row>
    <row r="420" spans="1:6">
      <c r="B420" s="139">
        <v>512</v>
      </c>
      <c r="D420" s="127" t="s">
        <v>374</v>
      </c>
      <c r="E420" s="140" t="s">
        <v>875</v>
      </c>
    </row>
    <row r="421" spans="1:6">
      <c r="B421" s="139">
        <v>513</v>
      </c>
      <c r="D421" s="127" t="s">
        <v>375</v>
      </c>
      <c r="E421" s="140" t="s">
        <v>876</v>
      </c>
    </row>
    <row r="422" spans="1:6" s="134" customFormat="1" ht="13.8">
      <c r="A422" s="126"/>
      <c r="B422" s="139">
        <v>514</v>
      </c>
      <c r="C422" s="136"/>
      <c r="D422" s="127" t="s">
        <v>376</v>
      </c>
      <c r="E422" s="140" t="s">
        <v>877</v>
      </c>
      <c r="F422" s="126"/>
    </row>
    <row r="423" spans="1:6" s="134" customFormat="1" ht="13.8">
      <c r="A423" s="126"/>
      <c r="B423" s="139">
        <v>515</v>
      </c>
      <c r="C423" s="136"/>
      <c r="D423" s="127" t="s">
        <v>377</v>
      </c>
      <c r="E423" s="140" t="s">
        <v>878</v>
      </c>
      <c r="F423" s="126"/>
    </row>
    <row r="424" spans="1:6" s="129" customFormat="1">
      <c r="A424" s="126"/>
      <c r="B424" s="139">
        <v>516</v>
      </c>
      <c r="C424" s="136"/>
      <c r="D424" s="127" t="s">
        <v>378</v>
      </c>
      <c r="E424" s="140" t="s">
        <v>870</v>
      </c>
      <c r="F424" s="126"/>
    </row>
    <row r="425" spans="1:6" s="129" customFormat="1" ht="26.4">
      <c r="A425" s="126"/>
      <c r="B425" s="139">
        <v>517</v>
      </c>
      <c r="C425" s="136"/>
      <c r="D425" s="127" t="s">
        <v>379</v>
      </c>
      <c r="E425" s="140" t="s">
        <v>879</v>
      </c>
      <c r="F425" s="126"/>
    </row>
    <row r="426" spans="1:6" s="129" customFormat="1" ht="39.6">
      <c r="A426" s="126"/>
      <c r="B426" s="139">
        <v>518</v>
      </c>
      <c r="C426" s="136"/>
      <c r="D426" s="127" t="s">
        <v>380</v>
      </c>
      <c r="E426" s="140" t="s">
        <v>880</v>
      </c>
      <c r="F426" s="126"/>
    </row>
    <row r="427" spans="1:6" s="129" customFormat="1">
      <c r="A427" s="126"/>
      <c r="B427" s="139">
        <v>519</v>
      </c>
      <c r="C427" s="136"/>
      <c r="D427" s="127" t="s">
        <v>381</v>
      </c>
      <c r="E427" s="140" t="s">
        <v>881</v>
      </c>
      <c r="F427" s="126"/>
    </row>
    <row r="428" spans="1:6" s="129" customFormat="1" ht="39.6">
      <c r="A428" s="126"/>
      <c r="B428" s="139">
        <v>520</v>
      </c>
      <c r="C428" s="136"/>
      <c r="D428" s="127" t="s">
        <v>382</v>
      </c>
      <c r="E428" s="140" t="s">
        <v>882</v>
      </c>
      <c r="F428" s="126"/>
    </row>
    <row r="429" spans="1:6" s="129" customFormat="1">
      <c r="A429" s="126"/>
      <c r="B429" s="139">
        <v>521</v>
      </c>
      <c r="C429" s="136"/>
      <c r="D429" s="127" t="s">
        <v>383</v>
      </c>
      <c r="E429" s="140" t="s">
        <v>883</v>
      </c>
      <c r="F429" s="126"/>
    </row>
    <row r="430" spans="1:6" s="129" customFormat="1">
      <c r="A430" s="126"/>
      <c r="B430" s="139">
        <v>522</v>
      </c>
      <c r="C430" s="136"/>
      <c r="D430" s="127" t="s">
        <v>384</v>
      </c>
      <c r="E430" s="140" t="s">
        <v>884</v>
      </c>
      <c r="F430" s="126"/>
    </row>
    <row r="431" spans="1:6" s="129" customFormat="1">
      <c r="A431" s="126"/>
      <c r="B431" s="139">
        <v>523</v>
      </c>
      <c r="C431" s="136"/>
      <c r="D431" s="127" t="s">
        <v>385</v>
      </c>
      <c r="E431" s="140" t="s">
        <v>885</v>
      </c>
      <c r="F431" s="126"/>
    </row>
    <row r="432" spans="1:6" s="129" customFormat="1">
      <c r="A432" s="126"/>
      <c r="B432" s="139">
        <v>524</v>
      </c>
      <c r="C432" s="136"/>
      <c r="D432" s="127" t="s">
        <v>386</v>
      </c>
      <c r="E432" s="140" t="s">
        <v>886</v>
      </c>
      <c r="F432" s="126"/>
    </row>
    <row r="433" spans="1:6" s="129" customFormat="1">
      <c r="A433" s="126"/>
      <c r="B433" s="139">
        <v>525</v>
      </c>
      <c r="C433" s="136"/>
      <c r="D433" s="127" t="s">
        <v>387</v>
      </c>
      <c r="E433" s="140" t="s">
        <v>887</v>
      </c>
      <c r="F433" s="126"/>
    </row>
    <row r="434" spans="1:6" s="129" customFormat="1">
      <c r="A434" s="126"/>
      <c r="B434" s="139">
        <v>526</v>
      </c>
      <c r="C434" s="136"/>
      <c r="D434" s="127" t="s">
        <v>388</v>
      </c>
      <c r="E434" s="140" t="s">
        <v>888</v>
      </c>
      <c r="F434" s="126"/>
    </row>
    <row r="435" spans="1:6">
      <c r="B435" s="139">
        <v>527</v>
      </c>
      <c r="D435" s="127" t="s">
        <v>963</v>
      </c>
      <c r="E435" s="140" t="s">
        <v>965</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26"/>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390</v>
      </c>
      <c r="B1" s="89" t="s">
        <v>391</v>
      </c>
      <c r="C1" s="90" t="s">
        <v>392</v>
      </c>
      <c r="D1" s="90" t="s">
        <v>393</v>
      </c>
      <c r="E1" s="89" t="s">
        <v>394</v>
      </c>
      <c r="F1" s="91" t="s">
        <v>395</v>
      </c>
      <c r="G1" s="91" t="s">
        <v>396</v>
      </c>
      <c r="H1" s="91" t="s">
        <v>397</v>
      </c>
    </row>
    <row r="2" spans="1:8">
      <c r="A2" s="93">
        <v>1.1000000000000001</v>
      </c>
      <c r="B2" s="94" t="s">
        <v>1093</v>
      </c>
      <c r="C2" s="95" t="s">
        <v>1114</v>
      </c>
      <c r="D2" s="95">
        <v>44390</v>
      </c>
      <c r="E2" s="96">
        <v>44391</v>
      </c>
      <c r="F2" s="95">
        <v>44389</v>
      </c>
      <c r="G2" s="95">
        <v>44395</v>
      </c>
      <c r="H2" s="92">
        <v>2</v>
      </c>
    </row>
    <row r="3" spans="1:8">
      <c r="A3" s="93">
        <v>1.2</v>
      </c>
      <c r="B3" s="94" t="s">
        <v>1110</v>
      </c>
      <c r="C3" s="95" t="s">
        <v>1115</v>
      </c>
      <c r="D3" s="95">
        <v>44390</v>
      </c>
      <c r="E3" s="96">
        <v>44519</v>
      </c>
      <c r="F3" s="95">
        <v>44389</v>
      </c>
      <c r="G3" s="95">
        <v>44395</v>
      </c>
      <c r="H3" s="92">
        <v>4</v>
      </c>
    </row>
    <row r="4" spans="1:8">
      <c r="A4" s="93">
        <v>1.2</v>
      </c>
      <c r="B4" s="94" t="s">
        <v>1110</v>
      </c>
      <c r="C4" s="95" t="s">
        <v>1115</v>
      </c>
      <c r="D4" s="95">
        <v>44390</v>
      </c>
      <c r="E4" s="96">
        <v>44519</v>
      </c>
      <c r="F4" s="95">
        <v>44396</v>
      </c>
      <c r="G4" s="95">
        <v>44402</v>
      </c>
      <c r="H4" s="92">
        <v>5</v>
      </c>
    </row>
    <row r="5" spans="1:8">
      <c r="A5" s="93">
        <v>1.2</v>
      </c>
      <c r="B5" s="94" t="s">
        <v>1110</v>
      </c>
      <c r="C5" s="95" t="s">
        <v>1115</v>
      </c>
      <c r="D5" s="95">
        <v>44390</v>
      </c>
      <c r="E5" s="96">
        <v>44519</v>
      </c>
      <c r="F5" s="95">
        <v>44403</v>
      </c>
      <c r="G5" s="95">
        <v>44409</v>
      </c>
      <c r="H5" s="92">
        <v>5</v>
      </c>
    </row>
    <row r="6" spans="1:8">
      <c r="A6" s="93">
        <v>1.2</v>
      </c>
      <c r="B6" s="94" t="s">
        <v>1110</v>
      </c>
      <c r="C6" s="95" t="s">
        <v>1115</v>
      </c>
      <c r="D6" s="95">
        <v>44390</v>
      </c>
      <c r="E6" s="96">
        <v>44519</v>
      </c>
      <c r="F6" s="95">
        <v>44410</v>
      </c>
      <c r="G6" s="95">
        <v>44416</v>
      </c>
      <c r="H6" s="92">
        <v>5</v>
      </c>
    </row>
    <row r="7" spans="1:8">
      <c r="A7" s="93">
        <v>1.2</v>
      </c>
      <c r="B7" s="94" t="s">
        <v>1110</v>
      </c>
      <c r="C7" s="95" t="s">
        <v>1115</v>
      </c>
      <c r="D7" s="95">
        <v>44390</v>
      </c>
      <c r="E7" s="96">
        <v>44519</v>
      </c>
      <c r="F7" s="95">
        <v>44417</v>
      </c>
      <c r="G7" s="95">
        <v>44423</v>
      </c>
      <c r="H7" s="92">
        <v>5</v>
      </c>
    </row>
    <row r="8" spans="1:8">
      <c r="A8" s="93">
        <v>1.2</v>
      </c>
      <c r="B8" s="94" t="s">
        <v>1110</v>
      </c>
      <c r="C8" s="95" t="s">
        <v>1115</v>
      </c>
      <c r="D8" s="95">
        <v>44390</v>
      </c>
      <c r="E8" s="96">
        <v>44519</v>
      </c>
      <c r="F8" s="95">
        <v>44424</v>
      </c>
      <c r="G8" s="95">
        <v>44430</v>
      </c>
      <c r="H8" s="92">
        <v>5</v>
      </c>
    </row>
    <row r="9" spans="1:8">
      <c r="A9" s="93">
        <v>1.2</v>
      </c>
      <c r="B9" s="94" t="s">
        <v>1110</v>
      </c>
      <c r="C9" s="95" t="s">
        <v>1115</v>
      </c>
      <c r="D9" s="95">
        <v>44390</v>
      </c>
      <c r="E9" s="96">
        <v>44519</v>
      </c>
      <c r="F9" s="95">
        <v>44431</v>
      </c>
      <c r="G9" s="95">
        <v>44437</v>
      </c>
      <c r="H9" s="92">
        <v>5</v>
      </c>
    </row>
    <row r="10" spans="1:8">
      <c r="A10" s="93">
        <v>1.2</v>
      </c>
      <c r="B10" s="94" t="s">
        <v>1110</v>
      </c>
      <c r="C10" s="95" t="s">
        <v>1115</v>
      </c>
      <c r="D10" s="95">
        <v>44390</v>
      </c>
      <c r="E10" s="96">
        <v>44519</v>
      </c>
      <c r="F10" s="95">
        <v>44438</v>
      </c>
      <c r="G10" s="95">
        <v>44444</v>
      </c>
      <c r="H10" s="92">
        <v>5</v>
      </c>
    </row>
    <row r="11" spans="1:8">
      <c r="A11" s="93">
        <v>1.2</v>
      </c>
      <c r="B11" s="94" t="s">
        <v>1110</v>
      </c>
      <c r="C11" s="95" t="s">
        <v>1115</v>
      </c>
      <c r="D11" s="95">
        <v>44390</v>
      </c>
      <c r="E11" s="96">
        <v>44519</v>
      </c>
      <c r="F11" s="95">
        <v>44445</v>
      </c>
      <c r="G11" s="95">
        <v>44451</v>
      </c>
      <c r="H11" s="92">
        <v>5</v>
      </c>
    </row>
    <row r="12" spans="1:8">
      <c r="A12" s="93">
        <v>1.2</v>
      </c>
      <c r="B12" s="94" t="s">
        <v>1110</v>
      </c>
      <c r="C12" s="95" t="s">
        <v>1115</v>
      </c>
      <c r="D12" s="95">
        <v>44390</v>
      </c>
      <c r="E12" s="96">
        <v>44519</v>
      </c>
      <c r="F12" s="95">
        <v>44452</v>
      </c>
      <c r="G12" s="95">
        <v>44458</v>
      </c>
      <c r="H12" s="92">
        <v>5</v>
      </c>
    </row>
    <row r="13" spans="1:8">
      <c r="A13" s="93">
        <v>1.2</v>
      </c>
      <c r="B13" s="94" t="s">
        <v>1110</v>
      </c>
      <c r="C13" s="95" t="s">
        <v>1115</v>
      </c>
      <c r="D13" s="95">
        <v>44390</v>
      </c>
      <c r="E13" s="96">
        <v>44519</v>
      </c>
      <c r="F13" s="95">
        <v>44459</v>
      </c>
      <c r="G13" s="95">
        <v>44465</v>
      </c>
      <c r="H13" s="92">
        <v>5</v>
      </c>
    </row>
    <row r="14" spans="1:8">
      <c r="A14" s="93">
        <v>1.2</v>
      </c>
      <c r="B14" s="94" t="s">
        <v>1110</v>
      </c>
      <c r="C14" s="95" t="s">
        <v>1115</v>
      </c>
      <c r="D14" s="95">
        <v>44390</v>
      </c>
      <c r="E14" s="96">
        <v>44519</v>
      </c>
      <c r="F14" s="95">
        <v>44466</v>
      </c>
      <c r="G14" s="95">
        <v>44472</v>
      </c>
      <c r="H14" s="92">
        <v>5</v>
      </c>
    </row>
    <row r="15" spans="1:8">
      <c r="A15" s="93">
        <v>1.2</v>
      </c>
      <c r="B15" s="94" t="s">
        <v>1110</v>
      </c>
      <c r="C15" s="95" t="s">
        <v>1115</v>
      </c>
      <c r="D15" s="95">
        <v>44390</v>
      </c>
      <c r="E15" s="96">
        <v>44519</v>
      </c>
      <c r="F15" s="95">
        <v>44473</v>
      </c>
      <c r="G15" s="95">
        <v>44479</v>
      </c>
      <c r="H15" s="92">
        <v>5</v>
      </c>
    </row>
    <row r="16" spans="1:8">
      <c r="A16" s="93">
        <v>1.2</v>
      </c>
      <c r="B16" s="94" t="s">
        <v>1110</v>
      </c>
      <c r="C16" s="95" t="s">
        <v>1115</v>
      </c>
      <c r="D16" s="95">
        <v>44390</v>
      </c>
      <c r="E16" s="96">
        <v>44519</v>
      </c>
      <c r="F16" s="95">
        <v>44480</v>
      </c>
      <c r="G16" s="95">
        <v>44486</v>
      </c>
      <c r="H16" s="92">
        <v>5</v>
      </c>
    </row>
    <row r="17" spans="1:8">
      <c r="A17" s="93">
        <v>1.2</v>
      </c>
      <c r="B17" s="94" t="s">
        <v>1110</v>
      </c>
      <c r="C17" s="95" t="s">
        <v>1115</v>
      </c>
      <c r="D17" s="95">
        <v>44390</v>
      </c>
      <c r="E17" s="96">
        <v>44519</v>
      </c>
      <c r="F17" s="95">
        <v>44487</v>
      </c>
      <c r="G17" s="95">
        <v>44493</v>
      </c>
      <c r="H17" s="92">
        <v>5</v>
      </c>
    </row>
    <row r="18" spans="1:8">
      <c r="A18" s="93">
        <v>1.2</v>
      </c>
      <c r="B18" s="94" t="s">
        <v>1110</v>
      </c>
      <c r="C18" s="95" t="s">
        <v>1115</v>
      </c>
      <c r="D18" s="95">
        <v>44390</v>
      </c>
      <c r="E18" s="96">
        <v>44519</v>
      </c>
      <c r="F18" s="95">
        <v>44494</v>
      </c>
      <c r="G18" s="95">
        <v>44500</v>
      </c>
      <c r="H18" s="92">
        <v>5</v>
      </c>
    </row>
    <row r="19" spans="1:8">
      <c r="A19" s="93">
        <v>1.2</v>
      </c>
      <c r="B19" s="94" t="s">
        <v>1110</v>
      </c>
      <c r="C19" s="95" t="s">
        <v>1115</v>
      </c>
      <c r="D19" s="95">
        <v>44390</v>
      </c>
      <c r="E19" s="96">
        <v>44519</v>
      </c>
      <c r="F19" s="95">
        <v>44501</v>
      </c>
      <c r="G19" s="95">
        <v>44507</v>
      </c>
      <c r="H19" s="92">
        <v>5</v>
      </c>
    </row>
    <row r="20" spans="1:8">
      <c r="A20" s="93">
        <v>1.2</v>
      </c>
      <c r="B20" s="94" t="s">
        <v>1110</v>
      </c>
      <c r="C20" s="95" t="s">
        <v>1115</v>
      </c>
      <c r="D20" s="95">
        <v>44390</v>
      </c>
      <c r="E20" s="96">
        <v>44519</v>
      </c>
      <c r="F20" s="95">
        <v>44508</v>
      </c>
      <c r="G20" s="95">
        <v>44514</v>
      </c>
      <c r="H20" s="92">
        <v>5</v>
      </c>
    </row>
    <row r="21" spans="1:8">
      <c r="A21" s="93">
        <v>1.2</v>
      </c>
      <c r="B21" s="94" t="s">
        <v>1110</v>
      </c>
      <c r="C21" s="95" t="s">
        <v>1115</v>
      </c>
      <c r="D21" s="95">
        <v>44390</v>
      </c>
      <c r="E21" s="96">
        <v>44519</v>
      </c>
      <c r="F21" s="95">
        <v>44515</v>
      </c>
      <c r="G21" s="95">
        <v>44521</v>
      </c>
      <c r="H21" s="92">
        <v>5</v>
      </c>
    </row>
    <row r="22" spans="1:8">
      <c r="A22" s="93">
        <v>1.3</v>
      </c>
      <c r="B22" s="94" t="s">
        <v>1111</v>
      </c>
      <c r="C22" s="95" t="s">
        <v>1116</v>
      </c>
      <c r="D22" s="95">
        <v>44390</v>
      </c>
      <c r="E22" s="96">
        <v>44519</v>
      </c>
      <c r="F22" s="95">
        <v>44389</v>
      </c>
      <c r="G22" s="95">
        <v>44395</v>
      </c>
      <c r="H22" s="92">
        <v>4</v>
      </c>
    </row>
    <row r="23" spans="1:8">
      <c r="A23" s="93">
        <v>1.3</v>
      </c>
      <c r="B23" s="94" t="s">
        <v>1111</v>
      </c>
      <c r="C23" s="95" t="s">
        <v>1116</v>
      </c>
      <c r="D23" s="95">
        <v>44390</v>
      </c>
      <c r="E23" s="96">
        <v>44519</v>
      </c>
      <c r="F23" s="95">
        <v>44396</v>
      </c>
      <c r="G23" s="95">
        <v>44402</v>
      </c>
      <c r="H23" s="92">
        <v>5</v>
      </c>
    </row>
    <row r="24" spans="1:8">
      <c r="A24" s="93">
        <v>1.3</v>
      </c>
      <c r="B24" s="94" t="s">
        <v>1111</v>
      </c>
      <c r="C24" s="95" t="s">
        <v>1116</v>
      </c>
      <c r="D24" s="95">
        <v>44390</v>
      </c>
      <c r="E24" s="96">
        <v>44519</v>
      </c>
      <c r="F24" s="95">
        <v>44403</v>
      </c>
      <c r="G24" s="95">
        <v>44409</v>
      </c>
      <c r="H24" s="92">
        <v>5</v>
      </c>
    </row>
    <row r="25" spans="1:8">
      <c r="A25" s="93">
        <v>1.3</v>
      </c>
      <c r="B25" s="94" t="s">
        <v>1111</v>
      </c>
      <c r="C25" s="95" t="s">
        <v>1116</v>
      </c>
      <c r="D25" s="95">
        <v>44390</v>
      </c>
      <c r="E25" s="96">
        <v>44519</v>
      </c>
      <c r="F25" s="95">
        <v>44410</v>
      </c>
      <c r="G25" s="95">
        <v>44416</v>
      </c>
      <c r="H25" s="92">
        <v>5</v>
      </c>
    </row>
    <row r="26" spans="1:8">
      <c r="A26" s="93">
        <v>1.3</v>
      </c>
      <c r="B26" s="94" t="s">
        <v>1111</v>
      </c>
      <c r="C26" s="95" t="s">
        <v>1116</v>
      </c>
      <c r="D26" s="95">
        <v>44390</v>
      </c>
      <c r="E26" s="96">
        <v>44519</v>
      </c>
      <c r="F26" s="95">
        <v>44417</v>
      </c>
      <c r="G26" s="95">
        <v>44423</v>
      </c>
      <c r="H26" s="92">
        <v>5</v>
      </c>
    </row>
    <row r="27" spans="1:8">
      <c r="A27" s="93">
        <v>1.3</v>
      </c>
      <c r="B27" s="94" t="s">
        <v>1111</v>
      </c>
      <c r="C27" s="95" t="s">
        <v>1116</v>
      </c>
      <c r="D27" s="95">
        <v>44390</v>
      </c>
      <c r="E27" s="96">
        <v>44519</v>
      </c>
      <c r="F27" s="95">
        <v>44424</v>
      </c>
      <c r="G27" s="95">
        <v>44430</v>
      </c>
      <c r="H27" s="92">
        <v>5</v>
      </c>
    </row>
    <row r="28" spans="1:8">
      <c r="A28" s="93">
        <v>1.3</v>
      </c>
      <c r="B28" s="94" t="s">
        <v>1111</v>
      </c>
      <c r="C28" s="95" t="s">
        <v>1116</v>
      </c>
      <c r="D28" s="95">
        <v>44390</v>
      </c>
      <c r="E28" s="96">
        <v>44519</v>
      </c>
      <c r="F28" s="95">
        <v>44431</v>
      </c>
      <c r="G28" s="95">
        <v>44437</v>
      </c>
      <c r="H28" s="92">
        <v>5</v>
      </c>
    </row>
    <row r="29" spans="1:8">
      <c r="A29" s="93">
        <v>1.3</v>
      </c>
      <c r="B29" s="94" t="s">
        <v>1111</v>
      </c>
      <c r="C29" s="95" t="s">
        <v>1116</v>
      </c>
      <c r="D29" s="95">
        <v>44390</v>
      </c>
      <c r="E29" s="96">
        <v>44519</v>
      </c>
      <c r="F29" s="95">
        <v>44438</v>
      </c>
      <c r="G29" s="95">
        <v>44444</v>
      </c>
      <c r="H29" s="92">
        <v>5</v>
      </c>
    </row>
    <row r="30" spans="1:8">
      <c r="A30" s="93">
        <v>1.3</v>
      </c>
      <c r="B30" s="94" t="s">
        <v>1111</v>
      </c>
      <c r="C30" s="95" t="s">
        <v>1116</v>
      </c>
      <c r="D30" s="95">
        <v>44390</v>
      </c>
      <c r="E30" s="96">
        <v>44519</v>
      </c>
      <c r="F30" s="95">
        <v>44445</v>
      </c>
      <c r="G30" s="95">
        <v>44451</v>
      </c>
      <c r="H30" s="92">
        <v>5</v>
      </c>
    </row>
    <row r="31" spans="1:8">
      <c r="A31" s="93">
        <v>1.3</v>
      </c>
      <c r="B31" s="94" t="s">
        <v>1111</v>
      </c>
      <c r="C31" s="95" t="s">
        <v>1116</v>
      </c>
      <c r="D31" s="95">
        <v>44390</v>
      </c>
      <c r="E31" s="96">
        <v>44519</v>
      </c>
      <c r="F31" s="95">
        <v>44452</v>
      </c>
      <c r="G31" s="95">
        <v>44458</v>
      </c>
      <c r="H31" s="92">
        <v>5</v>
      </c>
    </row>
    <row r="32" spans="1:8">
      <c r="A32" s="93">
        <v>1.3</v>
      </c>
      <c r="B32" s="94" t="s">
        <v>1111</v>
      </c>
      <c r="C32" s="95" t="s">
        <v>1116</v>
      </c>
      <c r="D32" s="95">
        <v>44390</v>
      </c>
      <c r="E32" s="96">
        <v>44519</v>
      </c>
      <c r="F32" s="95">
        <v>44459</v>
      </c>
      <c r="G32" s="95">
        <v>44465</v>
      </c>
      <c r="H32" s="92">
        <v>5</v>
      </c>
    </row>
    <row r="33" spans="1:8">
      <c r="A33" s="93">
        <v>1.3</v>
      </c>
      <c r="B33" s="94" t="s">
        <v>1111</v>
      </c>
      <c r="C33" s="95" t="s">
        <v>1116</v>
      </c>
      <c r="D33" s="95">
        <v>44390</v>
      </c>
      <c r="E33" s="96">
        <v>44519</v>
      </c>
      <c r="F33" s="95">
        <v>44466</v>
      </c>
      <c r="G33" s="95">
        <v>44472</v>
      </c>
      <c r="H33" s="92">
        <v>5</v>
      </c>
    </row>
    <row r="34" spans="1:8">
      <c r="A34" s="93">
        <v>1.3</v>
      </c>
      <c r="B34" s="94" t="s">
        <v>1111</v>
      </c>
      <c r="C34" s="95" t="s">
        <v>1116</v>
      </c>
      <c r="D34" s="95">
        <v>44390</v>
      </c>
      <c r="E34" s="96">
        <v>44519</v>
      </c>
      <c r="F34" s="95">
        <v>44473</v>
      </c>
      <c r="G34" s="95">
        <v>44479</v>
      </c>
      <c r="H34" s="92">
        <v>5</v>
      </c>
    </row>
    <row r="35" spans="1:8">
      <c r="A35" s="93">
        <v>1.3</v>
      </c>
      <c r="B35" s="94" t="s">
        <v>1111</v>
      </c>
      <c r="C35" s="95" t="s">
        <v>1116</v>
      </c>
      <c r="D35" s="95">
        <v>44390</v>
      </c>
      <c r="E35" s="96">
        <v>44519</v>
      </c>
      <c r="F35" s="95">
        <v>44480</v>
      </c>
      <c r="G35" s="95">
        <v>44486</v>
      </c>
      <c r="H35" s="92">
        <v>5</v>
      </c>
    </row>
    <row r="36" spans="1:8">
      <c r="A36" s="93">
        <v>1.3</v>
      </c>
      <c r="B36" s="94" t="s">
        <v>1111</v>
      </c>
      <c r="C36" s="95" t="s">
        <v>1116</v>
      </c>
      <c r="D36" s="95">
        <v>44390</v>
      </c>
      <c r="E36" s="96">
        <v>44519</v>
      </c>
      <c r="F36" s="95">
        <v>44487</v>
      </c>
      <c r="G36" s="95">
        <v>44493</v>
      </c>
      <c r="H36" s="92">
        <v>5</v>
      </c>
    </row>
    <row r="37" spans="1:8">
      <c r="A37" s="93">
        <v>1.3</v>
      </c>
      <c r="B37" s="94" t="s">
        <v>1111</v>
      </c>
      <c r="C37" s="95" t="s">
        <v>1116</v>
      </c>
      <c r="D37" s="95">
        <v>44390</v>
      </c>
      <c r="E37" s="96">
        <v>44519</v>
      </c>
      <c r="F37" s="95">
        <v>44494</v>
      </c>
      <c r="G37" s="95">
        <v>44500</v>
      </c>
      <c r="H37" s="92">
        <v>5</v>
      </c>
    </row>
    <row r="38" spans="1:8">
      <c r="A38" s="93">
        <v>1.3</v>
      </c>
      <c r="B38" s="94" t="s">
        <v>1111</v>
      </c>
      <c r="C38" s="95" t="s">
        <v>1116</v>
      </c>
      <c r="D38" s="95">
        <v>44390</v>
      </c>
      <c r="E38" s="96">
        <v>44519</v>
      </c>
      <c r="F38" s="95">
        <v>44501</v>
      </c>
      <c r="G38" s="95">
        <v>44507</v>
      </c>
      <c r="H38" s="92">
        <v>5</v>
      </c>
    </row>
    <row r="39" spans="1:8">
      <c r="A39" s="93">
        <v>1.3</v>
      </c>
      <c r="B39" s="94" t="s">
        <v>1111</v>
      </c>
      <c r="C39" s="95" t="s">
        <v>1116</v>
      </c>
      <c r="D39" s="95">
        <v>44390</v>
      </c>
      <c r="E39" s="96">
        <v>44519</v>
      </c>
      <c r="F39" s="95">
        <v>44508</v>
      </c>
      <c r="G39" s="95">
        <v>44514</v>
      </c>
      <c r="H39" s="92">
        <v>5</v>
      </c>
    </row>
    <row r="40" spans="1:8">
      <c r="A40" s="93">
        <v>1.3</v>
      </c>
      <c r="B40" s="94" t="s">
        <v>1111</v>
      </c>
      <c r="C40" s="95" t="s">
        <v>1116</v>
      </c>
      <c r="D40" s="95">
        <v>44390</v>
      </c>
      <c r="E40" s="96">
        <v>44519</v>
      </c>
      <c r="F40" s="95">
        <v>44515</v>
      </c>
      <c r="G40" s="95">
        <v>44521</v>
      </c>
      <c r="H40" s="92">
        <v>5</v>
      </c>
    </row>
    <row r="41" spans="1:8">
      <c r="A41" s="93">
        <v>1.4</v>
      </c>
      <c r="B41" s="94" t="s">
        <v>1112</v>
      </c>
      <c r="C41" s="95" t="s">
        <v>1117</v>
      </c>
      <c r="D41" s="95">
        <v>44390</v>
      </c>
      <c r="E41" s="96">
        <v>44519</v>
      </c>
      <c r="F41" s="95">
        <v>44389</v>
      </c>
      <c r="G41" s="95">
        <v>44395</v>
      </c>
      <c r="H41" s="92">
        <v>4</v>
      </c>
    </row>
    <row r="42" spans="1:8">
      <c r="A42" s="93">
        <v>1.4</v>
      </c>
      <c r="B42" s="94" t="s">
        <v>1112</v>
      </c>
      <c r="C42" s="95" t="s">
        <v>1117</v>
      </c>
      <c r="D42" s="95">
        <v>44390</v>
      </c>
      <c r="E42" s="96">
        <v>44519</v>
      </c>
      <c r="F42" s="95">
        <v>44396</v>
      </c>
      <c r="G42" s="95">
        <v>44402</v>
      </c>
      <c r="H42" s="92">
        <v>5</v>
      </c>
    </row>
    <row r="43" spans="1:8">
      <c r="A43" s="93">
        <v>1.4</v>
      </c>
      <c r="B43" s="94" t="s">
        <v>1112</v>
      </c>
      <c r="C43" s="95" t="s">
        <v>1117</v>
      </c>
      <c r="D43" s="95">
        <v>44390</v>
      </c>
      <c r="E43" s="96">
        <v>44519</v>
      </c>
      <c r="F43" s="95">
        <v>44403</v>
      </c>
      <c r="G43" s="95">
        <v>44409</v>
      </c>
      <c r="H43" s="92">
        <v>5</v>
      </c>
    </row>
    <row r="44" spans="1:8">
      <c r="A44" s="93">
        <v>1.4</v>
      </c>
      <c r="B44" s="94" t="s">
        <v>1112</v>
      </c>
      <c r="C44" s="95" t="s">
        <v>1117</v>
      </c>
      <c r="D44" s="95">
        <v>44390</v>
      </c>
      <c r="E44" s="96">
        <v>44519</v>
      </c>
      <c r="F44" s="95">
        <v>44410</v>
      </c>
      <c r="G44" s="95">
        <v>44416</v>
      </c>
      <c r="H44" s="92">
        <v>5</v>
      </c>
    </row>
    <row r="45" spans="1:8">
      <c r="A45" s="93">
        <v>1.4</v>
      </c>
      <c r="B45" s="94" t="s">
        <v>1112</v>
      </c>
      <c r="C45" s="95" t="s">
        <v>1117</v>
      </c>
      <c r="D45" s="95">
        <v>44390</v>
      </c>
      <c r="E45" s="96">
        <v>44519</v>
      </c>
      <c r="F45" s="95">
        <v>44417</v>
      </c>
      <c r="G45" s="95">
        <v>44423</v>
      </c>
      <c r="H45" s="92">
        <v>5</v>
      </c>
    </row>
    <row r="46" spans="1:8">
      <c r="A46" s="93">
        <v>1.4</v>
      </c>
      <c r="B46" s="94" t="s">
        <v>1112</v>
      </c>
      <c r="C46" s="95" t="s">
        <v>1117</v>
      </c>
      <c r="D46" s="95">
        <v>44390</v>
      </c>
      <c r="E46" s="96">
        <v>44519</v>
      </c>
      <c r="F46" s="95">
        <v>44424</v>
      </c>
      <c r="G46" s="95">
        <v>44430</v>
      </c>
      <c r="H46" s="92">
        <v>5</v>
      </c>
    </row>
    <row r="47" spans="1:8">
      <c r="A47" s="93">
        <v>1.4</v>
      </c>
      <c r="B47" s="94" t="s">
        <v>1112</v>
      </c>
      <c r="C47" s="95" t="s">
        <v>1117</v>
      </c>
      <c r="D47" s="95">
        <v>44390</v>
      </c>
      <c r="E47" s="96">
        <v>44519</v>
      </c>
      <c r="F47" s="95">
        <v>44431</v>
      </c>
      <c r="G47" s="95">
        <v>44437</v>
      </c>
      <c r="H47" s="92">
        <v>5</v>
      </c>
    </row>
    <row r="48" spans="1:8">
      <c r="A48" s="93">
        <v>1.4</v>
      </c>
      <c r="B48" s="94" t="s">
        <v>1112</v>
      </c>
      <c r="C48" s="95" t="s">
        <v>1117</v>
      </c>
      <c r="D48" s="95">
        <v>44390</v>
      </c>
      <c r="E48" s="96">
        <v>44519</v>
      </c>
      <c r="F48" s="95">
        <v>44438</v>
      </c>
      <c r="G48" s="95">
        <v>44444</v>
      </c>
      <c r="H48" s="92">
        <v>5</v>
      </c>
    </row>
    <row r="49" spans="1:8">
      <c r="A49" s="93">
        <v>1.4</v>
      </c>
      <c r="B49" s="94" t="s">
        <v>1112</v>
      </c>
      <c r="C49" s="95" t="s">
        <v>1117</v>
      </c>
      <c r="D49" s="95">
        <v>44390</v>
      </c>
      <c r="E49" s="96">
        <v>44519</v>
      </c>
      <c r="F49" s="95">
        <v>44445</v>
      </c>
      <c r="G49" s="95">
        <v>44451</v>
      </c>
      <c r="H49" s="92">
        <v>5</v>
      </c>
    </row>
    <row r="50" spans="1:8">
      <c r="A50" s="93">
        <v>1.4</v>
      </c>
      <c r="B50" s="94" t="s">
        <v>1112</v>
      </c>
      <c r="C50" s="95" t="s">
        <v>1117</v>
      </c>
      <c r="D50" s="95">
        <v>44390</v>
      </c>
      <c r="E50" s="96">
        <v>44519</v>
      </c>
      <c r="F50" s="95">
        <v>44452</v>
      </c>
      <c r="G50" s="95">
        <v>44458</v>
      </c>
      <c r="H50" s="92">
        <v>5</v>
      </c>
    </row>
    <row r="51" spans="1:8">
      <c r="A51" s="93">
        <v>1.4</v>
      </c>
      <c r="B51" s="94" t="s">
        <v>1112</v>
      </c>
      <c r="C51" s="95" t="s">
        <v>1117</v>
      </c>
      <c r="D51" s="95">
        <v>44390</v>
      </c>
      <c r="E51" s="96">
        <v>44519</v>
      </c>
      <c r="F51" s="95">
        <v>44459</v>
      </c>
      <c r="G51" s="95">
        <v>44465</v>
      </c>
      <c r="H51" s="92">
        <v>5</v>
      </c>
    </row>
    <row r="52" spans="1:8">
      <c r="A52" s="93">
        <v>1.4</v>
      </c>
      <c r="B52" s="94" t="s">
        <v>1112</v>
      </c>
      <c r="C52" s="95" t="s">
        <v>1117</v>
      </c>
      <c r="D52" s="95">
        <v>44390</v>
      </c>
      <c r="E52" s="96">
        <v>44519</v>
      </c>
      <c r="F52" s="95">
        <v>44466</v>
      </c>
      <c r="G52" s="95">
        <v>44472</v>
      </c>
      <c r="H52" s="92">
        <v>5</v>
      </c>
    </row>
    <row r="53" spans="1:8">
      <c r="A53" s="93">
        <v>1.4</v>
      </c>
      <c r="B53" s="94" t="s">
        <v>1112</v>
      </c>
      <c r="C53" s="95" t="s">
        <v>1117</v>
      </c>
      <c r="D53" s="95">
        <v>44390</v>
      </c>
      <c r="E53" s="96">
        <v>44519</v>
      </c>
      <c r="F53" s="95">
        <v>44473</v>
      </c>
      <c r="G53" s="95">
        <v>44479</v>
      </c>
      <c r="H53" s="92">
        <v>5</v>
      </c>
    </row>
    <row r="54" spans="1:8">
      <c r="A54" s="93">
        <v>1.4</v>
      </c>
      <c r="B54" s="94" t="s">
        <v>1112</v>
      </c>
      <c r="C54" s="95" t="s">
        <v>1117</v>
      </c>
      <c r="D54" s="95">
        <v>44390</v>
      </c>
      <c r="E54" s="96">
        <v>44519</v>
      </c>
      <c r="F54" s="95">
        <v>44480</v>
      </c>
      <c r="G54" s="95">
        <v>44486</v>
      </c>
      <c r="H54" s="92">
        <v>5</v>
      </c>
    </row>
    <row r="55" spans="1:8">
      <c r="A55" s="93">
        <v>1.4</v>
      </c>
      <c r="B55" s="94" t="s">
        <v>1112</v>
      </c>
      <c r="C55" s="95" t="s">
        <v>1117</v>
      </c>
      <c r="D55" s="95">
        <v>44390</v>
      </c>
      <c r="E55" s="96">
        <v>44519</v>
      </c>
      <c r="F55" s="95">
        <v>44487</v>
      </c>
      <c r="G55" s="95">
        <v>44493</v>
      </c>
      <c r="H55" s="92">
        <v>5</v>
      </c>
    </row>
    <row r="56" spans="1:8">
      <c r="A56" s="93">
        <v>1.4</v>
      </c>
      <c r="B56" s="94" t="s">
        <v>1112</v>
      </c>
      <c r="C56" s="95" t="s">
        <v>1117</v>
      </c>
      <c r="D56" s="95">
        <v>44390</v>
      </c>
      <c r="E56" s="96">
        <v>44519</v>
      </c>
      <c r="F56" s="95">
        <v>44494</v>
      </c>
      <c r="G56" s="95">
        <v>44500</v>
      </c>
      <c r="H56" s="92">
        <v>5</v>
      </c>
    </row>
    <row r="57" spans="1:8">
      <c r="A57" s="93">
        <v>1.4</v>
      </c>
      <c r="B57" s="94" t="s">
        <v>1112</v>
      </c>
      <c r="C57" s="95" t="s">
        <v>1117</v>
      </c>
      <c r="D57" s="95">
        <v>44390</v>
      </c>
      <c r="E57" s="96">
        <v>44519</v>
      </c>
      <c r="F57" s="95">
        <v>44501</v>
      </c>
      <c r="G57" s="95">
        <v>44507</v>
      </c>
      <c r="H57" s="92">
        <v>5</v>
      </c>
    </row>
    <row r="58" spans="1:8">
      <c r="A58" s="93">
        <v>1.4</v>
      </c>
      <c r="B58" s="94" t="s">
        <v>1112</v>
      </c>
      <c r="C58" s="95" t="s">
        <v>1117</v>
      </c>
      <c r="D58" s="95">
        <v>44390</v>
      </c>
      <c r="E58" s="96">
        <v>44519</v>
      </c>
      <c r="F58" s="95">
        <v>44508</v>
      </c>
      <c r="G58" s="95">
        <v>44514</v>
      </c>
      <c r="H58" s="92">
        <v>5</v>
      </c>
    </row>
    <row r="59" spans="1:8">
      <c r="A59" s="93">
        <v>1.4</v>
      </c>
      <c r="B59" s="94" t="s">
        <v>1112</v>
      </c>
      <c r="C59" s="95" t="s">
        <v>1117</v>
      </c>
      <c r="D59" s="95">
        <v>44390</v>
      </c>
      <c r="E59" s="96">
        <v>44519</v>
      </c>
      <c r="F59" s="95">
        <v>44515</v>
      </c>
      <c r="G59" s="95">
        <v>44521</v>
      </c>
      <c r="H59" s="92">
        <v>5</v>
      </c>
    </row>
    <row r="60" spans="1:8">
      <c r="A60" s="93">
        <v>1.5</v>
      </c>
      <c r="B60" s="94" t="s">
        <v>1113</v>
      </c>
      <c r="C60" s="95" t="s">
        <v>1122</v>
      </c>
      <c r="D60" s="95">
        <v>44522</v>
      </c>
      <c r="E60" s="96">
        <v>44526</v>
      </c>
      <c r="F60" s="95">
        <v>44522</v>
      </c>
      <c r="G60" s="95">
        <v>44528</v>
      </c>
      <c r="H60" s="92">
        <v>1.6666666666666667</v>
      </c>
    </row>
    <row r="61" spans="1:8">
      <c r="A61" s="93">
        <v>1.5</v>
      </c>
      <c r="B61" s="94" t="s">
        <v>1113</v>
      </c>
      <c r="C61" s="95" t="s">
        <v>1127</v>
      </c>
      <c r="D61" s="95">
        <v>44522</v>
      </c>
      <c r="E61" s="96">
        <v>44526</v>
      </c>
      <c r="F61" s="95">
        <v>44522</v>
      </c>
      <c r="G61" s="95">
        <v>44528</v>
      </c>
      <c r="H61" s="92">
        <v>1.6666666666666667</v>
      </c>
    </row>
    <row r="62" spans="1:8">
      <c r="A62" s="93">
        <v>1.5</v>
      </c>
      <c r="B62" s="94" t="s">
        <v>1113</v>
      </c>
      <c r="C62" s="95" t="s">
        <v>1126</v>
      </c>
      <c r="D62" s="95">
        <v>44522</v>
      </c>
      <c r="E62" s="96">
        <v>44526</v>
      </c>
      <c r="F62" s="95">
        <v>44522</v>
      </c>
      <c r="G62" s="95">
        <v>44528</v>
      </c>
      <c r="H62" s="92">
        <v>1.6666666666666667</v>
      </c>
    </row>
    <row r="63" spans="1:8">
      <c r="A63" s="93">
        <v>2.1</v>
      </c>
      <c r="B63" s="94" t="s">
        <v>1093</v>
      </c>
      <c r="C63" s="95" t="s">
        <v>1114</v>
      </c>
      <c r="D63" s="95">
        <v>44448</v>
      </c>
      <c r="E63" s="96">
        <v>44453</v>
      </c>
      <c r="F63" s="95">
        <v>44445</v>
      </c>
      <c r="G63" s="95">
        <v>44451</v>
      </c>
      <c r="H63" s="92">
        <v>2</v>
      </c>
    </row>
    <row r="64" spans="1:8">
      <c r="A64" s="93">
        <v>2.1</v>
      </c>
      <c r="B64" s="94" t="s">
        <v>1093</v>
      </c>
      <c r="C64" s="95" t="s">
        <v>1114</v>
      </c>
      <c r="D64" s="95">
        <v>44448</v>
      </c>
      <c r="E64" s="96">
        <v>44453</v>
      </c>
      <c r="F64" s="95">
        <v>44452</v>
      </c>
      <c r="G64" s="95">
        <v>44458</v>
      </c>
      <c r="H64" s="92">
        <v>2</v>
      </c>
    </row>
    <row r="65" spans="1:8">
      <c r="A65" s="93">
        <v>2.2000000000000002</v>
      </c>
      <c r="B65" s="94" t="s">
        <v>1110</v>
      </c>
      <c r="C65" s="95" t="s">
        <v>1119</v>
      </c>
      <c r="D65" s="95">
        <v>44462</v>
      </c>
      <c r="E65" s="96">
        <v>44489</v>
      </c>
      <c r="F65" s="95">
        <v>44459</v>
      </c>
      <c r="G65" s="95">
        <v>44465</v>
      </c>
      <c r="H65" s="92">
        <v>2</v>
      </c>
    </row>
    <row r="66" spans="1:8">
      <c r="A66" s="93">
        <v>2.2000000000000002</v>
      </c>
      <c r="B66" s="94" t="s">
        <v>1110</v>
      </c>
      <c r="C66" s="95" t="s">
        <v>1119</v>
      </c>
      <c r="D66" s="95">
        <v>44462</v>
      </c>
      <c r="E66" s="96">
        <v>44489</v>
      </c>
      <c r="F66" s="95">
        <v>44466</v>
      </c>
      <c r="G66" s="95">
        <v>44472</v>
      </c>
      <c r="H66" s="92">
        <v>5</v>
      </c>
    </row>
    <row r="67" spans="1:8">
      <c r="A67" s="93">
        <v>2.2000000000000002</v>
      </c>
      <c r="B67" s="94" t="s">
        <v>1110</v>
      </c>
      <c r="C67" s="95" t="s">
        <v>1119</v>
      </c>
      <c r="D67" s="95">
        <v>44462</v>
      </c>
      <c r="E67" s="96">
        <v>44489</v>
      </c>
      <c r="F67" s="95">
        <v>44473</v>
      </c>
      <c r="G67" s="95">
        <v>44479</v>
      </c>
      <c r="H67" s="92">
        <v>5</v>
      </c>
    </row>
    <row r="68" spans="1:8">
      <c r="A68" s="93">
        <v>2.2000000000000002</v>
      </c>
      <c r="B68" s="94" t="s">
        <v>1110</v>
      </c>
      <c r="C68" s="95" t="s">
        <v>1119</v>
      </c>
      <c r="D68" s="95">
        <v>44462</v>
      </c>
      <c r="E68" s="96">
        <v>44489</v>
      </c>
      <c r="F68" s="95">
        <v>44480</v>
      </c>
      <c r="G68" s="95">
        <v>44486</v>
      </c>
      <c r="H68" s="92">
        <v>5</v>
      </c>
    </row>
    <row r="69" spans="1:8">
      <c r="A69" s="93">
        <v>2.2000000000000002</v>
      </c>
      <c r="B69" s="94" t="s">
        <v>1110</v>
      </c>
      <c r="C69" s="95" t="s">
        <v>1119</v>
      </c>
      <c r="D69" s="95">
        <v>44462</v>
      </c>
      <c r="E69" s="96">
        <v>44489</v>
      </c>
      <c r="F69" s="95">
        <v>44487</v>
      </c>
      <c r="G69" s="95">
        <v>44493</v>
      </c>
      <c r="H69" s="92">
        <v>3</v>
      </c>
    </row>
    <row r="70" spans="1:8">
      <c r="A70" s="93">
        <v>2.2999999999999998</v>
      </c>
      <c r="B70" s="94" t="s">
        <v>1111</v>
      </c>
      <c r="C70" s="95" t="s">
        <v>1120</v>
      </c>
      <c r="D70" s="95">
        <v>44462</v>
      </c>
      <c r="E70" s="96">
        <v>44489</v>
      </c>
      <c r="F70" s="95">
        <v>44459</v>
      </c>
      <c r="G70" s="95">
        <v>44465</v>
      </c>
      <c r="H70" s="92">
        <v>2</v>
      </c>
    </row>
    <row r="71" spans="1:8">
      <c r="A71" s="93">
        <v>2.2999999999999998</v>
      </c>
      <c r="B71" s="94" t="s">
        <v>1111</v>
      </c>
      <c r="C71" s="95" t="s">
        <v>1120</v>
      </c>
      <c r="D71" s="95">
        <v>44462</v>
      </c>
      <c r="E71" s="96">
        <v>44489</v>
      </c>
      <c r="F71" s="95">
        <v>44466</v>
      </c>
      <c r="G71" s="95">
        <v>44472</v>
      </c>
      <c r="H71" s="92">
        <v>5</v>
      </c>
    </row>
    <row r="72" spans="1:8">
      <c r="A72" s="93">
        <v>2.2999999999999998</v>
      </c>
      <c r="B72" s="94" t="s">
        <v>1111</v>
      </c>
      <c r="C72" s="95" t="s">
        <v>1120</v>
      </c>
      <c r="D72" s="95">
        <v>44462</v>
      </c>
      <c r="E72" s="96">
        <v>44489</v>
      </c>
      <c r="F72" s="95">
        <v>44473</v>
      </c>
      <c r="G72" s="95">
        <v>44479</v>
      </c>
      <c r="H72" s="92">
        <v>5</v>
      </c>
    </row>
    <row r="73" spans="1:8">
      <c r="A73" s="93">
        <v>2.2999999999999998</v>
      </c>
      <c r="B73" s="94" t="s">
        <v>1111</v>
      </c>
      <c r="C73" s="95" t="s">
        <v>1120</v>
      </c>
      <c r="D73" s="95">
        <v>44462</v>
      </c>
      <c r="E73" s="96">
        <v>44489</v>
      </c>
      <c r="F73" s="95">
        <v>44480</v>
      </c>
      <c r="G73" s="95">
        <v>44486</v>
      </c>
      <c r="H73" s="92">
        <v>5</v>
      </c>
    </row>
    <row r="74" spans="1:8">
      <c r="A74" s="93">
        <v>2.2999999999999998</v>
      </c>
      <c r="B74" s="94" t="s">
        <v>1111</v>
      </c>
      <c r="C74" s="95" t="s">
        <v>1120</v>
      </c>
      <c r="D74" s="95">
        <v>44462</v>
      </c>
      <c r="E74" s="96">
        <v>44489</v>
      </c>
      <c r="F74" s="95">
        <v>44487</v>
      </c>
      <c r="G74" s="95">
        <v>44493</v>
      </c>
      <c r="H74" s="92">
        <v>3</v>
      </c>
    </row>
    <row r="75" spans="1:8">
      <c r="A75" s="93">
        <v>2.4</v>
      </c>
      <c r="B75" s="94" t="s">
        <v>1112</v>
      </c>
      <c r="C75" s="95" t="s">
        <v>1121</v>
      </c>
      <c r="D75" s="95">
        <v>44462</v>
      </c>
      <c r="E75" s="96">
        <v>44489</v>
      </c>
      <c r="F75" s="95">
        <v>44459</v>
      </c>
      <c r="G75" s="95">
        <v>44465</v>
      </c>
      <c r="H75" s="92">
        <v>2</v>
      </c>
    </row>
    <row r="76" spans="1:8">
      <c r="A76" s="93">
        <v>2.4</v>
      </c>
      <c r="B76" s="94" t="s">
        <v>1112</v>
      </c>
      <c r="C76" s="95" t="s">
        <v>1121</v>
      </c>
      <c r="D76" s="95">
        <v>44462</v>
      </c>
      <c r="E76" s="96">
        <v>44489</v>
      </c>
      <c r="F76" s="95">
        <v>44466</v>
      </c>
      <c r="G76" s="95">
        <v>44472</v>
      </c>
      <c r="H76" s="92">
        <v>5</v>
      </c>
    </row>
    <row r="77" spans="1:8">
      <c r="A77" s="93">
        <v>2.4</v>
      </c>
      <c r="B77" s="94" t="s">
        <v>1112</v>
      </c>
      <c r="C77" s="95" t="s">
        <v>1121</v>
      </c>
      <c r="D77" s="95">
        <v>44462</v>
      </c>
      <c r="E77" s="96">
        <v>44489</v>
      </c>
      <c r="F77" s="95">
        <v>44473</v>
      </c>
      <c r="G77" s="95">
        <v>44479</v>
      </c>
      <c r="H77" s="92">
        <v>5</v>
      </c>
    </row>
    <row r="78" spans="1:8">
      <c r="A78" s="93">
        <v>2.4</v>
      </c>
      <c r="B78" s="94" t="s">
        <v>1112</v>
      </c>
      <c r="C78" s="95" t="s">
        <v>1121</v>
      </c>
      <c r="D78" s="95">
        <v>44462</v>
      </c>
      <c r="E78" s="96">
        <v>44489</v>
      </c>
      <c r="F78" s="95">
        <v>44480</v>
      </c>
      <c r="G78" s="95">
        <v>44486</v>
      </c>
      <c r="H78" s="92">
        <v>5</v>
      </c>
    </row>
    <row r="79" spans="1:8">
      <c r="A79" s="93">
        <v>2.4</v>
      </c>
      <c r="B79" s="94" t="s">
        <v>1112</v>
      </c>
      <c r="C79" s="95" t="s">
        <v>1121</v>
      </c>
      <c r="D79" s="95">
        <v>44462</v>
      </c>
      <c r="E79" s="96">
        <v>44489</v>
      </c>
      <c r="F79" s="95">
        <v>44487</v>
      </c>
      <c r="G79" s="95">
        <v>44493</v>
      </c>
      <c r="H79" s="92">
        <v>3</v>
      </c>
    </row>
    <row r="80" spans="1:8">
      <c r="A80" s="93">
        <v>2.5</v>
      </c>
      <c r="B80" s="94" t="s">
        <v>1113</v>
      </c>
      <c r="C80" s="95" t="s">
        <v>1122</v>
      </c>
      <c r="D80" s="95">
        <v>44518</v>
      </c>
      <c r="E80" s="96">
        <v>44524</v>
      </c>
      <c r="F80" s="95">
        <v>44515</v>
      </c>
      <c r="G80" s="95">
        <v>44521</v>
      </c>
      <c r="H80" s="92">
        <v>2</v>
      </c>
    </row>
    <row r="81" spans="1:8">
      <c r="A81" s="93">
        <v>2.5</v>
      </c>
      <c r="B81" s="94" t="s">
        <v>1113</v>
      </c>
      <c r="C81" s="95" t="s">
        <v>1122</v>
      </c>
      <c r="D81" s="95">
        <v>44518</v>
      </c>
      <c r="E81" s="96">
        <v>44524</v>
      </c>
      <c r="F81" s="95">
        <v>44522</v>
      </c>
      <c r="G81" s="95">
        <v>44528</v>
      </c>
      <c r="H81" s="92">
        <v>3</v>
      </c>
    </row>
    <row r="82" spans="1:8">
      <c r="A82" s="93">
        <v>3.1</v>
      </c>
      <c r="B82" s="94" t="s">
        <v>1093</v>
      </c>
      <c r="C82" s="95" t="s">
        <v>1114</v>
      </c>
      <c r="D82" s="95">
        <v>44462</v>
      </c>
      <c r="E82" s="96">
        <v>44466</v>
      </c>
      <c r="F82" s="95">
        <v>44459</v>
      </c>
      <c r="G82" s="95">
        <v>44465</v>
      </c>
      <c r="H82" s="92">
        <v>2</v>
      </c>
    </row>
    <row r="83" spans="1:8">
      <c r="A83" s="93">
        <v>3.1</v>
      </c>
      <c r="B83" s="94" t="s">
        <v>1093</v>
      </c>
      <c r="C83" s="95" t="s">
        <v>1114</v>
      </c>
      <c r="D83" s="95">
        <v>44462</v>
      </c>
      <c r="E83" s="96">
        <v>44466</v>
      </c>
      <c r="F83" s="95">
        <v>44466</v>
      </c>
      <c r="G83" s="95">
        <v>44472</v>
      </c>
      <c r="H83" s="92">
        <v>1</v>
      </c>
    </row>
    <row r="84" spans="1:8">
      <c r="A84" s="93">
        <v>3.2</v>
      </c>
      <c r="B84" s="94" t="s">
        <v>1110</v>
      </c>
      <c r="C84" s="95" t="s">
        <v>1124</v>
      </c>
      <c r="D84" s="95">
        <v>44462</v>
      </c>
      <c r="E84" s="96">
        <v>44526</v>
      </c>
      <c r="F84" s="95">
        <v>44459</v>
      </c>
      <c r="G84" s="95">
        <v>44465</v>
      </c>
      <c r="H84" s="92">
        <v>2</v>
      </c>
    </row>
    <row r="85" spans="1:8">
      <c r="A85" s="93">
        <v>3.2</v>
      </c>
      <c r="B85" s="94" t="s">
        <v>1110</v>
      </c>
      <c r="C85" s="95" t="s">
        <v>1124</v>
      </c>
      <c r="D85" s="95">
        <v>44462</v>
      </c>
      <c r="E85" s="96">
        <v>44526</v>
      </c>
      <c r="F85" s="95">
        <v>44466</v>
      </c>
      <c r="G85" s="95">
        <v>44472</v>
      </c>
      <c r="H85" s="92">
        <v>5</v>
      </c>
    </row>
    <row r="86" spans="1:8">
      <c r="A86" s="93">
        <v>3.2</v>
      </c>
      <c r="B86" s="94" t="s">
        <v>1110</v>
      </c>
      <c r="C86" s="95" t="s">
        <v>1124</v>
      </c>
      <c r="D86" s="95">
        <v>44462</v>
      </c>
      <c r="E86" s="96">
        <v>44526</v>
      </c>
      <c r="F86" s="95">
        <v>44473</v>
      </c>
      <c r="G86" s="95">
        <v>44479</v>
      </c>
      <c r="H86" s="92">
        <v>5</v>
      </c>
    </row>
    <row r="87" spans="1:8">
      <c r="A87" s="93">
        <v>3.2</v>
      </c>
      <c r="B87" s="94" t="s">
        <v>1110</v>
      </c>
      <c r="C87" s="95" t="s">
        <v>1124</v>
      </c>
      <c r="D87" s="95">
        <v>44462</v>
      </c>
      <c r="E87" s="96">
        <v>44526</v>
      </c>
      <c r="F87" s="95">
        <v>44480</v>
      </c>
      <c r="G87" s="95">
        <v>44486</v>
      </c>
      <c r="H87" s="92">
        <v>5</v>
      </c>
    </row>
    <row r="88" spans="1:8">
      <c r="A88" s="93">
        <v>3.2</v>
      </c>
      <c r="B88" s="94" t="s">
        <v>1110</v>
      </c>
      <c r="C88" s="95" t="s">
        <v>1124</v>
      </c>
      <c r="D88" s="95">
        <v>44462</v>
      </c>
      <c r="E88" s="96">
        <v>44526</v>
      </c>
      <c r="F88" s="95">
        <v>44487</v>
      </c>
      <c r="G88" s="95">
        <v>44493</v>
      </c>
      <c r="H88" s="92">
        <v>5</v>
      </c>
    </row>
    <row r="89" spans="1:8">
      <c r="A89" s="93">
        <v>3.2</v>
      </c>
      <c r="B89" s="94" t="s">
        <v>1110</v>
      </c>
      <c r="C89" s="95" t="s">
        <v>1124</v>
      </c>
      <c r="D89" s="95">
        <v>44462</v>
      </c>
      <c r="E89" s="96">
        <v>44526</v>
      </c>
      <c r="F89" s="95">
        <v>44494</v>
      </c>
      <c r="G89" s="95">
        <v>44500</v>
      </c>
      <c r="H89" s="92">
        <v>5</v>
      </c>
    </row>
    <row r="90" spans="1:8">
      <c r="A90" s="93">
        <v>3.2</v>
      </c>
      <c r="B90" s="94" t="s">
        <v>1110</v>
      </c>
      <c r="C90" s="95" t="s">
        <v>1124</v>
      </c>
      <c r="D90" s="95">
        <v>44462</v>
      </c>
      <c r="E90" s="96">
        <v>44526</v>
      </c>
      <c r="F90" s="95">
        <v>44501</v>
      </c>
      <c r="G90" s="95">
        <v>44507</v>
      </c>
      <c r="H90" s="92">
        <v>5</v>
      </c>
    </row>
    <row r="91" spans="1:8">
      <c r="A91" s="93">
        <v>3.2</v>
      </c>
      <c r="B91" s="94" t="s">
        <v>1110</v>
      </c>
      <c r="C91" s="95" t="s">
        <v>1124</v>
      </c>
      <c r="D91" s="95">
        <v>44462</v>
      </c>
      <c r="E91" s="96">
        <v>44526</v>
      </c>
      <c r="F91" s="95">
        <v>44508</v>
      </c>
      <c r="G91" s="95">
        <v>44514</v>
      </c>
      <c r="H91" s="92">
        <v>5</v>
      </c>
    </row>
    <row r="92" spans="1:8">
      <c r="A92" s="93">
        <v>3.2</v>
      </c>
      <c r="B92" s="94" t="s">
        <v>1110</v>
      </c>
      <c r="C92" s="95" t="s">
        <v>1124</v>
      </c>
      <c r="D92" s="95">
        <v>44462</v>
      </c>
      <c r="E92" s="96">
        <v>44526</v>
      </c>
      <c r="F92" s="95">
        <v>44515</v>
      </c>
      <c r="G92" s="95">
        <v>44521</v>
      </c>
      <c r="H92" s="92">
        <v>5</v>
      </c>
    </row>
    <row r="93" spans="1:8">
      <c r="A93" s="93">
        <v>3.2</v>
      </c>
      <c r="B93" s="94" t="s">
        <v>1110</v>
      </c>
      <c r="C93" s="95" t="s">
        <v>1124</v>
      </c>
      <c r="D93" s="95">
        <v>44462</v>
      </c>
      <c r="E93" s="96">
        <v>44526</v>
      </c>
      <c r="F93" s="95">
        <v>44522</v>
      </c>
      <c r="G93" s="95">
        <v>44528</v>
      </c>
      <c r="H93" s="92">
        <v>5</v>
      </c>
    </row>
    <row r="94" spans="1:8">
      <c r="A94" s="93">
        <v>3.3</v>
      </c>
      <c r="B94" s="94" t="s">
        <v>1111</v>
      </c>
      <c r="C94" s="95" t="s">
        <v>1116</v>
      </c>
      <c r="D94" s="95">
        <v>44515</v>
      </c>
      <c r="E94" s="96">
        <v>44526</v>
      </c>
      <c r="F94" s="95">
        <v>44515</v>
      </c>
      <c r="G94" s="95">
        <v>44521</v>
      </c>
      <c r="H94" s="92">
        <v>5</v>
      </c>
    </row>
    <row r="95" spans="1:8">
      <c r="A95" s="93">
        <v>3.3</v>
      </c>
      <c r="B95" s="94" t="s">
        <v>1111</v>
      </c>
      <c r="C95" s="95" t="s">
        <v>1116</v>
      </c>
      <c r="D95" s="95">
        <v>44515</v>
      </c>
      <c r="E95" s="96">
        <v>44526</v>
      </c>
      <c r="F95" s="95">
        <v>44522</v>
      </c>
      <c r="G95" s="95">
        <v>44528</v>
      </c>
      <c r="H95" s="92">
        <v>5</v>
      </c>
    </row>
    <row r="96" spans="1:8">
      <c r="A96" s="93">
        <v>3.4</v>
      </c>
      <c r="B96" s="94" t="s">
        <v>1112</v>
      </c>
      <c r="C96" s="95" t="s">
        <v>1117</v>
      </c>
      <c r="D96" s="95">
        <v>44515</v>
      </c>
      <c r="E96" s="96">
        <v>44526</v>
      </c>
      <c r="F96" s="95">
        <v>44515</v>
      </c>
      <c r="G96" s="95">
        <v>44521</v>
      </c>
      <c r="H96" s="92">
        <v>5</v>
      </c>
    </row>
    <row r="97" spans="1:8">
      <c r="A97" s="93">
        <v>3.4</v>
      </c>
      <c r="B97" s="94" t="s">
        <v>1112</v>
      </c>
      <c r="C97" s="95" t="s">
        <v>1117</v>
      </c>
      <c r="D97" s="95">
        <v>44515</v>
      </c>
      <c r="E97" s="96">
        <v>44526</v>
      </c>
      <c r="F97" s="95">
        <v>44522</v>
      </c>
      <c r="G97" s="95">
        <v>44528</v>
      </c>
      <c r="H97" s="92">
        <v>5</v>
      </c>
    </row>
    <row r="98" spans="1:8">
      <c r="A98" s="93">
        <v>3.5</v>
      </c>
      <c r="B98" s="94" t="s">
        <v>1113</v>
      </c>
      <c r="C98" s="95" t="s">
        <v>1122</v>
      </c>
      <c r="D98" s="95">
        <v>44529</v>
      </c>
      <c r="E98" s="96">
        <v>44533</v>
      </c>
      <c r="F98" s="95">
        <v>44529</v>
      </c>
      <c r="G98" s="95">
        <v>44535</v>
      </c>
      <c r="H98" s="92">
        <v>5</v>
      </c>
    </row>
    <row r="99" spans="1:8">
      <c r="A99" s="93">
        <v>4.0999999999999996</v>
      </c>
      <c r="B99" s="94" t="s">
        <v>1093</v>
      </c>
      <c r="C99" s="95" t="s">
        <v>1114</v>
      </c>
      <c r="D99" s="95">
        <v>44487</v>
      </c>
      <c r="E99" s="96">
        <v>44489</v>
      </c>
      <c r="F99" s="95">
        <v>44487</v>
      </c>
      <c r="G99" s="95">
        <v>44493</v>
      </c>
      <c r="H99" s="92">
        <v>3</v>
      </c>
    </row>
    <row r="100" spans="1:8">
      <c r="A100" s="93">
        <v>4.2</v>
      </c>
      <c r="B100" s="94" t="s">
        <v>1111</v>
      </c>
      <c r="C100" s="95" t="s">
        <v>1120</v>
      </c>
      <c r="D100" s="95">
        <v>44517</v>
      </c>
      <c r="E100" s="96">
        <v>44519</v>
      </c>
      <c r="F100" s="95">
        <v>44515</v>
      </c>
      <c r="G100" s="95">
        <v>44521</v>
      </c>
      <c r="H100" s="92">
        <v>3</v>
      </c>
    </row>
    <row r="101" spans="1:8">
      <c r="A101" s="93">
        <v>4.3</v>
      </c>
      <c r="B101" s="94" t="s">
        <v>1112</v>
      </c>
      <c r="C101" s="95" t="s">
        <v>1121</v>
      </c>
      <c r="D101" s="95">
        <v>44517</v>
      </c>
      <c r="E101" s="96">
        <v>44519</v>
      </c>
      <c r="F101" s="95">
        <v>44515</v>
      </c>
      <c r="G101" s="95">
        <v>44521</v>
      </c>
      <c r="H101" s="92">
        <v>3</v>
      </c>
    </row>
    <row r="102" spans="1:8">
      <c r="A102" s="93">
        <v>4.4000000000000004</v>
      </c>
      <c r="B102" s="94" t="s">
        <v>1113</v>
      </c>
      <c r="C102" s="95" t="s">
        <v>1122</v>
      </c>
      <c r="D102" s="95">
        <v>44522</v>
      </c>
      <c r="E102" s="96">
        <v>44523</v>
      </c>
      <c r="F102" s="95">
        <v>44522</v>
      </c>
      <c r="G102" s="95">
        <v>44528</v>
      </c>
      <c r="H102" s="92">
        <v>2</v>
      </c>
    </row>
    <row r="103" spans="1:8">
      <c r="A103" s="93">
        <v>5.0999999999999996</v>
      </c>
      <c r="B103" s="94" t="s">
        <v>1110</v>
      </c>
      <c r="C103" s="95" t="s">
        <v>1119</v>
      </c>
      <c r="D103" s="95">
        <v>44487</v>
      </c>
      <c r="E103" s="96">
        <v>44489</v>
      </c>
      <c r="F103" s="95">
        <v>44487</v>
      </c>
      <c r="G103" s="95">
        <v>44493</v>
      </c>
      <c r="H103" s="92">
        <v>3</v>
      </c>
    </row>
    <row r="104" spans="1:8">
      <c r="A104" s="93">
        <v>5.2</v>
      </c>
      <c r="B104" s="94" t="s">
        <v>1111</v>
      </c>
      <c r="C104" s="95" t="s">
        <v>1120</v>
      </c>
      <c r="D104" s="95">
        <v>44487</v>
      </c>
      <c r="E104" s="96">
        <v>44489</v>
      </c>
      <c r="F104" s="95">
        <v>44487</v>
      </c>
      <c r="G104" s="95">
        <v>44493</v>
      </c>
      <c r="H104" s="92">
        <v>3</v>
      </c>
    </row>
    <row r="105" spans="1:8">
      <c r="A105" s="93">
        <v>5.3</v>
      </c>
      <c r="B105" s="94" t="s">
        <v>1112</v>
      </c>
      <c r="C105" s="95" t="s">
        <v>1121</v>
      </c>
      <c r="D105" s="95">
        <v>44487</v>
      </c>
      <c r="E105" s="96">
        <v>44489</v>
      </c>
      <c r="F105" s="95">
        <v>44487</v>
      </c>
      <c r="G105" s="95">
        <v>44493</v>
      </c>
      <c r="H105" s="92">
        <v>3</v>
      </c>
    </row>
    <row r="106" spans="1:8">
      <c r="A106" s="93">
        <v>5.4</v>
      </c>
      <c r="B106" s="94" t="s">
        <v>1113</v>
      </c>
      <c r="C106" s="95" t="s">
        <v>1126</v>
      </c>
      <c r="D106" s="95">
        <v>44497</v>
      </c>
      <c r="E106" s="96">
        <v>44497</v>
      </c>
      <c r="F106" s="95">
        <v>44494</v>
      </c>
      <c r="G106" s="95">
        <v>44500</v>
      </c>
      <c r="H106" s="92">
        <v>1</v>
      </c>
    </row>
    <row r="107" spans="1:8">
      <c r="A107" s="93">
        <v>6.1</v>
      </c>
      <c r="B107" s="94" t="s">
        <v>1111</v>
      </c>
      <c r="C107" s="95" t="s">
        <v>1120</v>
      </c>
      <c r="D107" s="95">
        <v>44505</v>
      </c>
      <c r="E107" s="96">
        <v>44505</v>
      </c>
      <c r="F107" s="95">
        <v>44501</v>
      </c>
      <c r="G107" s="95">
        <v>44507</v>
      </c>
      <c r="H107" s="92">
        <v>1</v>
      </c>
    </row>
    <row r="108" spans="1:8">
      <c r="A108" s="93">
        <v>6.2</v>
      </c>
      <c r="B108" s="94" t="s">
        <v>1112</v>
      </c>
      <c r="C108" s="95" t="s">
        <v>1121</v>
      </c>
      <c r="D108" s="95">
        <v>44505</v>
      </c>
      <c r="E108" s="96">
        <v>44505</v>
      </c>
      <c r="F108" s="95">
        <v>44501</v>
      </c>
      <c r="G108" s="95">
        <v>44507</v>
      </c>
      <c r="H108" s="92">
        <v>1</v>
      </c>
    </row>
    <row r="109" spans="1:8">
      <c r="A109" s="93">
        <v>6.3</v>
      </c>
      <c r="B109" s="94" t="s">
        <v>1113</v>
      </c>
      <c r="C109" s="95" t="s">
        <v>1122</v>
      </c>
      <c r="D109" s="95">
        <v>44508</v>
      </c>
      <c r="E109" s="96">
        <v>44508</v>
      </c>
      <c r="F109" s="95">
        <v>44508</v>
      </c>
      <c r="G109" s="95">
        <v>44514</v>
      </c>
      <c r="H109" s="92">
        <v>1</v>
      </c>
    </row>
    <row r="110" spans="1:8">
      <c r="A110" s="93">
        <v>7.1</v>
      </c>
      <c r="B110" s="94" t="s">
        <v>1093</v>
      </c>
      <c r="C110" s="95" t="s">
        <v>1114</v>
      </c>
      <c r="D110" s="95">
        <v>44512</v>
      </c>
      <c r="E110" s="96">
        <v>44512</v>
      </c>
      <c r="F110" s="95">
        <v>44508</v>
      </c>
      <c r="G110" s="95">
        <v>44514</v>
      </c>
      <c r="H110" s="92">
        <v>1</v>
      </c>
    </row>
    <row r="111" spans="1:8">
      <c r="A111" s="93">
        <v>7.2</v>
      </c>
      <c r="B111" s="94" t="s">
        <v>1110</v>
      </c>
      <c r="C111" s="95" t="s">
        <v>1128</v>
      </c>
      <c r="D111" s="95">
        <v>44515</v>
      </c>
      <c r="E111" s="96">
        <v>44519</v>
      </c>
      <c r="F111" s="95">
        <v>44515</v>
      </c>
      <c r="G111" s="95">
        <v>44521</v>
      </c>
      <c r="H111" s="92">
        <v>5</v>
      </c>
    </row>
    <row r="112" spans="1:8">
      <c r="A112" s="93">
        <v>7.3</v>
      </c>
      <c r="B112" s="94" t="s">
        <v>1111</v>
      </c>
      <c r="C112" s="95" t="s">
        <v>1120</v>
      </c>
      <c r="D112" s="95">
        <v>44515</v>
      </c>
      <c r="E112" s="96">
        <v>44519</v>
      </c>
      <c r="F112" s="95">
        <v>44515</v>
      </c>
      <c r="G112" s="95">
        <v>44521</v>
      </c>
      <c r="H112" s="92">
        <v>5</v>
      </c>
    </row>
    <row r="113" spans="1:8">
      <c r="A113" s="93">
        <v>7.4</v>
      </c>
      <c r="B113" s="94" t="s">
        <v>1112</v>
      </c>
      <c r="C113" s="95" t="s">
        <v>1121</v>
      </c>
      <c r="D113" s="95">
        <v>44515</v>
      </c>
      <c r="E113" s="96">
        <v>44519</v>
      </c>
      <c r="F113" s="95">
        <v>44515</v>
      </c>
      <c r="G113" s="95">
        <v>44521</v>
      </c>
      <c r="H113" s="92">
        <v>5</v>
      </c>
    </row>
    <row r="114" spans="1:8">
      <c r="A114" s="93">
        <v>7.5</v>
      </c>
      <c r="B114" s="94" t="s">
        <v>1113</v>
      </c>
      <c r="C114" s="95" t="s">
        <v>1122</v>
      </c>
      <c r="D114" s="95">
        <v>44522</v>
      </c>
      <c r="E114" s="96">
        <v>44522</v>
      </c>
      <c r="F114" s="95">
        <v>44522</v>
      </c>
      <c r="G114" s="95">
        <v>44528</v>
      </c>
      <c r="H114" s="92">
        <v>1</v>
      </c>
    </row>
    <row r="115" spans="1:8">
      <c r="A115" s="93">
        <v>8.1</v>
      </c>
      <c r="B115" s="94" t="s">
        <v>1110</v>
      </c>
      <c r="C115" s="95" t="s">
        <v>1130</v>
      </c>
      <c r="D115" s="95">
        <v>44517</v>
      </c>
      <c r="E115" s="96">
        <v>44519</v>
      </c>
      <c r="F115" s="95">
        <v>44515</v>
      </c>
      <c r="G115" s="95">
        <v>44521</v>
      </c>
      <c r="H115" s="92">
        <v>3</v>
      </c>
    </row>
    <row r="116" spans="1:8">
      <c r="A116" s="93">
        <v>8.1999999999999993</v>
      </c>
      <c r="B116" s="94" t="s">
        <v>1111</v>
      </c>
      <c r="C116" s="95" t="s">
        <v>1120</v>
      </c>
      <c r="D116" s="95">
        <v>44517</v>
      </c>
      <c r="E116" s="96">
        <v>44519</v>
      </c>
      <c r="F116" s="95">
        <v>44515</v>
      </c>
      <c r="G116" s="95">
        <v>44521</v>
      </c>
      <c r="H116" s="92">
        <v>3</v>
      </c>
    </row>
    <row r="117" spans="1:8">
      <c r="A117" s="93">
        <v>8.3000000000000007</v>
      </c>
      <c r="B117" s="94" t="s">
        <v>1112</v>
      </c>
      <c r="C117" s="95" t="s">
        <v>1121</v>
      </c>
      <c r="D117" s="95">
        <v>44517</v>
      </c>
      <c r="E117" s="96">
        <v>44519</v>
      </c>
      <c r="F117" s="95">
        <v>44515</v>
      </c>
      <c r="G117" s="95">
        <v>44521</v>
      </c>
      <c r="H117" s="92">
        <v>3</v>
      </c>
    </row>
    <row r="118" spans="1:8">
      <c r="A118" s="93">
        <v>8.4</v>
      </c>
      <c r="B118" s="94" t="s">
        <v>1113</v>
      </c>
      <c r="C118" s="95" t="s">
        <v>1127</v>
      </c>
      <c r="D118" s="95">
        <v>44522</v>
      </c>
      <c r="E118" s="96">
        <v>44522</v>
      </c>
      <c r="F118" s="95">
        <v>44522</v>
      </c>
      <c r="G118" s="95">
        <v>44528</v>
      </c>
      <c r="H118" s="92">
        <v>0.5</v>
      </c>
    </row>
    <row r="119" spans="1:8">
      <c r="A119" s="93">
        <v>8.4</v>
      </c>
      <c r="B119" s="94" t="s">
        <v>1113</v>
      </c>
      <c r="C119" s="95" t="s">
        <v>1126</v>
      </c>
      <c r="D119" s="95">
        <v>44522</v>
      </c>
      <c r="E119" s="96">
        <v>44522</v>
      </c>
      <c r="F119" s="95">
        <v>44522</v>
      </c>
      <c r="G119" s="95">
        <v>44528</v>
      </c>
      <c r="H119" s="92">
        <v>0.5</v>
      </c>
    </row>
    <row r="120" spans="1:8">
      <c r="A120" s="93">
        <v>9.1</v>
      </c>
      <c r="B120" s="94" t="s">
        <v>1110</v>
      </c>
      <c r="C120" s="95" t="s">
        <v>1130</v>
      </c>
      <c r="D120" s="95">
        <v>44439</v>
      </c>
      <c r="E120" s="96">
        <v>44449</v>
      </c>
      <c r="F120" s="95">
        <v>44438</v>
      </c>
      <c r="G120" s="95">
        <v>44444</v>
      </c>
      <c r="H120" s="92">
        <v>4</v>
      </c>
    </row>
    <row r="121" spans="1:8">
      <c r="A121" s="93">
        <v>9.1</v>
      </c>
      <c r="B121" s="94" t="s">
        <v>1110</v>
      </c>
      <c r="C121" s="95" t="s">
        <v>1130</v>
      </c>
      <c r="D121" s="95">
        <v>44439</v>
      </c>
      <c r="E121" s="96">
        <v>44449</v>
      </c>
      <c r="F121" s="95">
        <v>44445</v>
      </c>
      <c r="G121" s="95">
        <v>44451</v>
      </c>
      <c r="H121" s="92">
        <v>5</v>
      </c>
    </row>
    <row r="122" spans="1:8">
      <c r="A122" s="93">
        <v>9.1999999999999993</v>
      </c>
      <c r="B122" s="94" t="s">
        <v>1111</v>
      </c>
      <c r="C122" s="95" t="s">
        <v>1120</v>
      </c>
      <c r="D122" s="95">
        <v>44439</v>
      </c>
      <c r="E122" s="96">
        <v>44449</v>
      </c>
      <c r="F122" s="95">
        <v>44438</v>
      </c>
      <c r="G122" s="95">
        <v>44444</v>
      </c>
      <c r="H122" s="92">
        <v>4</v>
      </c>
    </row>
    <row r="123" spans="1:8">
      <c r="A123" s="93">
        <v>9.1999999999999993</v>
      </c>
      <c r="B123" s="94" t="s">
        <v>1111</v>
      </c>
      <c r="C123" s="95" t="s">
        <v>1120</v>
      </c>
      <c r="D123" s="95">
        <v>44439</v>
      </c>
      <c r="E123" s="96">
        <v>44449</v>
      </c>
      <c r="F123" s="95">
        <v>44445</v>
      </c>
      <c r="G123" s="95">
        <v>44451</v>
      </c>
      <c r="H123" s="92">
        <v>5</v>
      </c>
    </row>
    <row r="124" spans="1:8">
      <c r="A124" s="93">
        <v>9.3000000000000007</v>
      </c>
      <c r="B124" s="94" t="s">
        <v>1112</v>
      </c>
      <c r="C124" s="95" t="s">
        <v>1121</v>
      </c>
      <c r="D124" s="95">
        <v>44439</v>
      </c>
      <c r="E124" s="96">
        <v>44449</v>
      </c>
      <c r="F124" s="95">
        <v>44438</v>
      </c>
      <c r="G124" s="95">
        <v>44444</v>
      </c>
      <c r="H124" s="92">
        <v>4</v>
      </c>
    </row>
    <row r="125" spans="1:8">
      <c r="A125" s="93">
        <v>9.3000000000000007</v>
      </c>
      <c r="B125" s="94" t="s">
        <v>1112</v>
      </c>
      <c r="C125" s="95" t="s">
        <v>1121</v>
      </c>
      <c r="D125" s="95">
        <v>44439</v>
      </c>
      <c r="E125" s="96">
        <v>44449</v>
      </c>
      <c r="F125" s="95">
        <v>44445</v>
      </c>
      <c r="G125" s="95">
        <v>44451</v>
      </c>
      <c r="H125" s="92">
        <v>5</v>
      </c>
    </row>
    <row r="126" spans="1:8">
      <c r="G126" s="92" t="s">
        <v>3</v>
      </c>
      <c r="H126" s="92">
        <f>SUM(H2:H125)</f>
        <v>511.00000000000006</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IK365"/>
  <sheetViews>
    <sheetView tabSelected="1" zoomScale="130" zoomScaleNormal="130" zoomScalePageLayoutView="55" workbookViewId="0">
      <pane ySplit="4" topLeftCell="A5" activePane="bottomLeft" state="frozen"/>
      <selection activeCell="E5" sqref="E5"/>
      <selection pane="bottomLeft" activeCell="P59" sqref="P59"/>
    </sheetView>
  </sheetViews>
  <sheetFormatPr defaultColWidth="10" defaultRowHeight="12" outlineLevelRow="1"/>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09765625" style="6" customWidth="1"/>
    <col min="12" max="12" width="9.69921875" style="6"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9.19921875" style="8" customWidth="1"/>
    <col min="26" max="26" width="11.5" style="14" customWidth="1"/>
    <col min="27" max="27" width="7" style="15" customWidth="1"/>
    <col min="28" max="28" width="7.09765625" style="16" customWidth="1"/>
    <col min="29" max="245" width="1.8984375" style="114" customWidth="1"/>
    <col min="246" max="16384" width="10" style="114"/>
  </cols>
  <sheetData>
    <row r="1" spans="1:245" s="158" customFormat="1" ht="19.95" customHeight="1">
      <c r="A1" s="141"/>
      <c r="B1" s="151"/>
      <c r="C1" s="142"/>
      <c r="D1" s="143" t="str">
        <f ca="1">xlgantt.ProjectName()</f>
        <v>GME-Project</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2021-06-01~2021-12-31 [계획:96.31% 실적:9.63%]</v>
      </c>
      <c r="AC1" s="243" t="s">
        <v>1072</v>
      </c>
      <c r="AD1" s="243"/>
      <c r="AE1" s="243"/>
      <c r="AF1" s="243"/>
      <c r="AG1" s="243"/>
      <c r="AH1" s="243"/>
      <c r="AI1" s="243"/>
      <c r="AJ1" s="243"/>
      <c r="AK1" s="243"/>
      <c r="AL1" s="243"/>
      <c r="AM1" s="243"/>
      <c r="AN1" s="243"/>
      <c r="AO1" s="243"/>
      <c r="AP1" s="243"/>
      <c r="AQ1" s="243"/>
      <c r="AR1" s="243"/>
      <c r="AS1" s="243"/>
      <c r="AT1" s="243"/>
      <c r="AU1" s="243"/>
      <c r="AV1" s="243"/>
      <c r="AW1" s="243"/>
      <c r="AX1" s="243"/>
      <c r="AY1" s="243"/>
      <c r="AZ1" s="243"/>
      <c r="BA1" s="243"/>
      <c r="BB1" s="243"/>
      <c r="BC1" s="243"/>
      <c r="BD1" s="243"/>
      <c r="BE1" s="243"/>
      <c r="BF1" s="243"/>
      <c r="BG1" s="243"/>
      <c r="BH1" s="243"/>
      <c r="BI1" s="243"/>
      <c r="BJ1" s="243"/>
      <c r="BK1" s="243"/>
      <c r="BL1" s="243"/>
      <c r="BM1" s="243"/>
      <c r="BN1" s="243"/>
      <c r="BO1" s="243"/>
      <c r="BP1" s="243"/>
      <c r="BQ1" s="243"/>
      <c r="BR1" s="243"/>
      <c r="BS1" s="243"/>
      <c r="BT1" s="243"/>
      <c r="BU1" s="243"/>
      <c r="BV1" s="243"/>
      <c r="BW1" s="243"/>
      <c r="BX1" s="243"/>
      <c r="BY1" s="243"/>
      <c r="BZ1" s="243"/>
      <c r="CA1" s="243"/>
    </row>
    <row r="2" spans="1:245" s="158" customFormat="1" ht="15" customHeight="1">
      <c r="A2" s="159"/>
      <c r="B2" s="159"/>
      <c r="C2" s="160"/>
      <c r="D2" s="229"/>
      <c r="E2" s="229"/>
      <c r="F2" s="229"/>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1073</v>
      </c>
    </row>
    <row r="3" spans="1:245" s="1" customFormat="1" ht="19.95" customHeight="1">
      <c r="A3" s="233" t="s">
        <v>1062</v>
      </c>
      <c r="B3" s="230" t="s">
        <v>1063</v>
      </c>
      <c r="C3" s="236" t="s">
        <v>1043</v>
      </c>
      <c r="D3" s="237" t="s">
        <v>1028</v>
      </c>
      <c r="E3" s="238" t="s">
        <v>1029</v>
      </c>
      <c r="F3" s="239"/>
      <c r="G3" s="239"/>
      <c r="H3" s="239"/>
      <c r="I3" s="239"/>
      <c r="J3" s="239"/>
      <c r="K3" s="240"/>
      <c r="L3" s="224" t="s">
        <v>1026</v>
      </c>
      <c r="M3" s="224" t="s">
        <v>1037</v>
      </c>
      <c r="N3" s="224" t="s">
        <v>1030</v>
      </c>
      <c r="O3" s="231" t="s">
        <v>1064</v>
      </c>
      <c r="P3" s="232" t="s">
        <v>1065</v>
      </c>
      <c r="Q3" s="232" t="s">
        <v>1066</v>
      </c>
      <c r="R3" s="232" t="s">
        <v>1038</v>
      </c>
      <c r="S3" s="232" t="s">
        <v>1067</v>
      </c>
      <c r="T3" s="223" t="s">
        <v>1068</v>
      </c>
      <c r="U3" s="223" t="s">
        <v>1027</v>
      </c>
      <c r="V3" s="225" t="s">
        <v>1069</v>
      </c>
      <c r="W3" s="226" t="s">
        <v>1031</v>
      </c>
      <c r="X3" s="227" t="s">
        <v>1019</v>
      </c>
      <c r="Y3" s="224" t="s">
        <v>1042</v>
      </c>
      <c r="Z3" s="230" t="s">
        <v>1035</v>
      </c>
      <c r="AA3" s="228" t="s">
        <v>1039</v>
      </c>
      <c r="AB3" s="222" t="s">
        <v>1023</v>
      </c>
      <c r="AC3" s="244">
        <v>44347</v>
      </c>
      <c r="AD3" s="241"/>
      <c r="AE3" s="241"/>
      <c r="AF3" s="241"/>
      <c r="AG3" s="241">
        <v>44375</v>
      </c>
      <c r="AH3" s="241"/>
      <c r="AI3" s="241"/>
      <c r="AJ3" s="241"/>
      <c r="AK3" s="241">
        <v>44403</v>
      </c>
      <c r="AL3" s="241"/>
      <c r="AM3" s="241"/>
      <c r="AN3" s="241"/>
      <c r="AO3" s="241">
        <v>44431</v>
      </c>
      <c r="AP3" s="241"/>
      <c r="AQ3" s="241"/>
      <c r="AR3" s="241"/>
      <c r="AS3" s="241">
        <v>44459</v>
      </c>
      <c r="AT3" s="241"/>
      <c r="AU3" s="241"/>
      <c r="AV3" s="241"/>
      <c r="AW3" s="241">
        <v>44487</v>
      </c>
      <c r="AX3" s="241"/>
      <c r="AY3" s="241"/>
      <c r="AZ3" s="241"/>
      <c r="BA3" s="241">
        <v>44515</v>
      </c>
      <c r="BB3" s="241"/>
      <c r="BC3" s="241"/>
      <c r="BD3" s="241"/>
      <c r="BE3" s="241">
        <v>44543</v>
      </c>
      <c r="BF3" s="241"/>
      <c r="BG3" s="241"/>
      <c r="BH3" s="242"/>
    </row>
    <row r="4" spans="1:245" s="2" customFormat="1" ht="4.95" customHeight="1">
      <c r="A4" s="234"/>
      <c r="B4" s="235"/>
      <c r="C4" s="233"/>
      <c r="D4" s="237"/>
      <c r="E4" s="238"/>
      <c r="F4" s="239"/>
      <c r="G4" s="239"/>
      <c r="H4" s="239"/>
      <c r="I4" s="239"/>
      <c r="J4" s="239"/>
      <c r="K4" s="240"/>
      <c r="L4" s="224"/>
      <c r="M4" s="224"/>
      <c r="N4" s="224"/>
      <c r="O4" s="231"/>
      <c r="P4" s="232"/>
      <c r="Q4" s="232"/>
      <c r="R4" s="232"/>
      <c r="S4" s="232"/>
      <c r="T4" s="224"/>
      <c r="U4" s="224"/>
      <c r="V4" s="225"/>
      <c r="W4" s="226"/>
      <c r="X4" s="227"/>
      <c r="Y4" s="224"/>
      <c r="Z4" s="230"/>
      <c r="AA4" s="228"/>
      <c r="AB4" s="222"/>
      <c r="AC4" s="112">
        <v>44347</v>
      </c>
      <c r="AD4" s="113">
        <v>44354</v>
      </c>
      <c r="AE4" s="113">
        <v>44361</v>
      </c>
      <c r="AF4" s="113">
        <v>44368</v>
      </c>
      <c r="AG4" s="113">
        <v>44375</v>
      </c>
      <c r="AH4" s="113">
        <v>44382</v>
      </c>
      <c r="AI4" s="113">
        <v>44389</v>
      </c>
      <c r="AJ4" s="113">
        <v>44396</v>
      </c>
      <c r="AK4" s="113">
        <v>44403</v>
      </c>
      <c r="AL4" s="113">
        <v>44410</v>
      </c>
      <c r="AM4" s="113">
        <v>44417</v>
      </c>
      <c r="AN4" s="113">
        <v>44424</v>
      </c>
      <c r="AO4" s="113">
        <v>44431</v>
      </c>
      <c r="AP4" s="113">
        <v>44438</v>
      </c>
      <c r="AQ4" s="113">
        <v>44445</v>
      </c>
      <c r="AR4" s="113">
        <v>44452</v>
      </c>
      <c r="AS4" s="113">
        <v>44459</v>
      </c>
      <c r="AT4" s="113">
        <v>44466</v>
      </c>
      <c r="AU4" s="113">
        <v>44473</v>
      </c>
      <c r="AV4" s="113">
        <v>44480</v>
      </c>
      <c r="AW4" s="113">
        <v>44487</v>
      </c>
      <c r="AX4" s="113">
        <v>44494</v>
      </c>
      <c r="AY4" s="113">
        <v>44501</v>
      </c>
      <c r="AZ4" s="113">
        <v>44508</v>
      </c>
      <c r="BA4" s="113">
        <v>44515</v>
      </c>
      <c r="BB4" s="113">
        <v>44522</v>
      </c>
      <c r="BC4" s="113">
        <v>44529</v>
      </c>
      <c r="BD4" s="113">
        <v>44536</v>
      </c>
      <c r="BE4" s="113">
        <v>44543</v>
      </c>
      <c r="BF4" s="113">
        <v>44550</v>
      </c>
      <c r="BG4" s="113">
        <v>44557</v>
      </c>
      <c r="BH4" s="115"/>
      <c r="BI4" s="121"/>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c r="CY4" s="122"/>
      <c r="CZ4" s="122"/>
      <c r="DA4" s="122"/>
      <c r="DB4" s="122"/>
      <c r="DC4" s="122"/>
      <c r="DD4" s="122"/>
      <c r="DE4" s="122"/>
      <c r="DF4" s="122"/>
      <c r="DG4" s="122"/>
      <c r="DH4" s="122"/>
      <c r="DI4" s="122"/>
      <c r="DJ4" s="122"/>
      <c r="DK4" s="122"/>
      <c r="DL4" s="122"/>
      <c r="DM4" s="122"/>
      <c r="DN4" s="122"/>
      <c r="DO4" s="122"/>
      <c r="DP4" s="122"/>
      <c r="DQ4" s="122"/>
      <c r="DR4" s="122"/>
      <c r="DS4" s="122"/>
      <c r="DT4" s="122"/>
      <c r="DU4" s="122"/>
      <c r="DV4" s="122"/>
      <c r="DW4" s="122"/>
      <c r="DX4" s="122"/>
      <c r="DY4" s="122"/>
      <c r="DZ4" s="122"/>
      <c r="EA4" s="122"/>
      <c r="EB4" s="122"/>
      <c r="EC4" s="122"/>
      <c r="ED4" s="122"/>
      <c r="EE4" s="122"/>
      <c r="EF4" s="122"/>
      <c r="EG4" s="122"/>
      <c r="EH4" s="122"/>
      <c r="EI4" s="122"/>
      <c r="EJ4" s="122"/>
      <c r="EK4" s="122"/>
      <c r="EL4" s="122"/>
      <c r="EM4" s="122"/>
      <c r="EN4" s="122"/>
      <c r="EO4" s="122"/>
      <c r="EP4" s="122"/>
      <c r="EQ4" s="122"/>
      <c r="ER4" s="122"/>
      <c r="ES4" s="122"/>
      <c r="ET4" s="122"/>
      <c r="EU4" s="122"/>
      <c r="EV4" s="122"/>
      <c r="EW4" s="122"/>
      <c r="EX4" s="122"/>
      <c r="EY4" s="122"/>
      <c r="EZ4" s="122"/>
      <c r="FA4" s="122"/>
      <c r="FB4" s="122"/>
      <c r="FC4" s="122"/>
      <c r="FD4" s="122"/>
      <c r="FE4" s="122"/>
      <c r="FF4" s="122"/>
      <c r="FG4" s="122"/>
      <c r="FH4" s="122"/>
      <c r="FI4" s="122"/>
      <c r="FJ4" s="122"/>
      <c r="FK4" s="122"/>
      <c r="FL4" s="122"/>
      <c r="FM4" s="122"/>
      <c r="FN4" s="122"/>
      <c r="FO4" s="122"/>
      <c r="FP4" s="122"/>
      <c r="FQ4" s="122"/>
      <c r="FR4" s="122"/>
      <c r="FS4" s="122"/>
      <c r="FT4" s="122"/>
      <c r="FU4" s="122"/>
      <c r="FV4" s="122"/>
      <c r="FW4" s="122"/>
      <c r="FX4" s="122"/>
      <c r="FY4" s="122"/>
      <c r="FZ4" s="122"/>
      <c r="GA4" s="122"/>
      <c r="GB4" s="122"/>
      <c r="GC4" s="122"/>
      <c r="GD4" s="122"/>
      <c r="GE4" s="122"/>
      <c r="GF4" s="122"/>
      <c r="GG4" s="122"/>
      <c r="GH4" s="122"/>
      <c r="GI4" s="122"/>
      <c r="GJ4" s="122"/>
      <c r="GK4" s="122"/>
      <c r="GL4" s="122"/>
      <c r="GM4" s="122"/>
      <c r="GN4" s="122"/>
      <c r="GO4" s="122"/>
      <c r="GP4" s="122"/>
      <c r="GQ4" s="122"/>
      <c r="GR4" s="122"/>
      <c r="GS4" s="122"/>
      <c r="GT4" s="122"/>
      <c r="GU4" s="122"/>
      <c r="GV4" s="122"/>
      <c r="GW4" s="122"/>
      <c r="GX4" s="122"/>
      <c r="GY4" s="122"/>
      <c r="GZ4" s="122"/>
      <c r="HA4" s="122"/>
      <c r="HB4" s="122"/>
      <c r="HC4" s="122"/>
      <c r="HD4" s="122"/>
      <c r="HE4" s="122"/>
      <c r="HF4" s="122"/>
      <c r="HG4" s="122"/>
      <c r="HH4" s="122"/>
      <c r="HI4" s="122"/>
      <c r="HJ4" s="122"/>
      <c r="HK4" s="122"/>
      <c r="HL4" s="122"/>
      <c r="HM4" s="122"/>
      <c r="HN4" s="122"/>
      <c r="HO4" s="122"/>
      <c r="HP4" s="122"/>
      <c r="HQ4" s="122"/>
      <c r="HR4" s="122"/>
      <c r="HS4" s="122"/>
      <c r="HT4" s="122"/>
      <c r="HU4" s="122"/>
      <c r="HV4" s="122"/>
      <c r="HW4" s="122"/>
      <c r="HX4" s="122"/>
      <c r="HY4" s="122"/>
      <c r="HZ4" s="122"/>
      <c r="IA4" s="122"/>
      <c r="IB4" s="122"/>
      <c r="IC4" s="122"/>
      <c r="ID4" s="122"/>
      <c r="IE4" s="122"/>
      <c r="IF4" s="122"/>
      <c r="IG4" s="122"/>
      <c r="IH4" s="122"/>
      <c r="II4" s="122"/>
      <c r="IJ4" s="122"/>
      <c r="IK4" s="122"/>
    </row>
    <row r="5" spans="1:245">
      <c r="A5" s="116"/>
      <c r="B5" s="116" t="s">
        <v>983</v>
      </c>
      <c r="C5" s="116">
        <v>1</v>
      </c>
      <c r="D5" s="3" t="s">
        <v>984</v>
      </c>
      <c r="E5" s="210" t="s">
        <v>1138</v>
      </c>
      <c r="F5" s="183"/>
      <c r="G5" s="183"/>
      <c r="H5" s="183"/>
      <c r="I5" s="183"/>
      <c r="J5" s="183"/>
      <c r="K5" s="183"/>
      <c r="L5" s="183"/>
      <c r="M5" s="184">
        <v>44390</v>
      </c>
      <c r="N5" s="184">
        <v>44526</v>
      </c>
      <c r="O5" s="185"/>
      <c r="P5" s="186">
        <v>289</v>
      </c>
      <c r="Q5" s="186">
        <v>286</v>
      </c>
      <c r="R5" s="187">
        <v>99</v>
      </c>
      <c r="S5" s="187">
        <v>96</v>
      </c>
      <c r="T5" s="184"/>
      <c r="U5" s="184"/>
      <c r="V5" s="188">
        <v>0</v>
      </c>
      <c r="W5" s="189">
        <v>0</v>
      </c>
      <c r="X5" s="190"/>
      <c r="Y5" s="185"/>
      <c r="Z5" s="191"/>
      <c r="AA5" s="97">
        <v>0.98961937716262971</v>
      </c>
      <c r="AB5" s="192">
        <v>6.920415224913495E-3</v>
      </c>
      <c r="AC5" s="123"/>
      <c r="AD5" s="4"/>
      <c r="AE5" s="4"/>
      <c r="AF5" s="4"/>
      <c r="AG5" s="4"/>
      <c r="AH5" s="4"/>
      <c r="AI5" s="4" t="str">
        <f>"  " &amp; TEXT(AB5,"#0.00%") &amp; " "</f>
        <v xml:space="preserve">  0.69% </v>
      </c>
      <c r="AJ5" s="4"/>
      <c r="AK5" s="4"/>
      <c r="AL5" s="4"/>
      <c r="AM5" s="4"/>
      <c r="AN5" s="4"/>
      <c r="AO5" s="4"/>
      <c r="AP5" s="4"/>
      <c r="AQ5" s="4"/>
      <c r="AR5" s="4"/>
      <c r="AS5" s="4"/>
      <c r="AT5" s="4"/>
      <c r="AU5" s="4"/>
      <c r="AV5" s="4"/>
      <c r="AW5" s="4"/>
      <c r="AX5" s="4"/>
      <c r="AY5" s="4"/>
      <c r="AZ5" s="4"/>
      <c r="BA5" s="4"/>
      <c r="BB5" s="4" t="str">
        <f>"     " &amp; "[2103-19] OCR Function in Mobile App" &amp; " " &amp; IF(M5="","",TEXT(M5,"M/D-")) &amp; IF(N5="","",TEXT(N5,"M/D")) &amp; " "</f>
        <v xml:space="preserve">     [2103-19] OCR Function in Mobile App 7/13-11/26 </v>
      </c>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c r="ER5" s="4"/>
      <c r="ES5" s="4"/>
      <c r="ET5" s="4"/>
      <c r="EU5" s="4"/>
      <c r="EV5" s="4"/>
      <c r="EW5" s="4"/>
      <c r="EX5" s="4"/>
      <c r="EY5" s="4"/>
      <c r="EZ5" s="4"/>
      <c r="FA5" s="4"/>
      <c r="FB5" s="4"/>
      <c r="FC5" s="4"/>
      <c r="FD5" s="4"/>
      <c r="FE5" s="4"/>
      <c r="FF5" s="4"/>
      <c r="FG5" s="4"/>
      <c r="FH5" s="4"/>
      <c r="FI5" s="4"/>
      <c r="FJ5" s="4"/>
      <c r="FK5" s="4"/>
      <c r="FL5" s="4"/>
      <c r="FM5" s="4"/>
      <c r="FN5" s="4"/>
      <c r="FO5" s="4"/>
      <c r="FP5" s="4"/>
      <c r="FQ5" s="4"/>
      <c r="FR5" s="4"/>
      <c r="FS5" s="4"/>
      <c r="FT5" s="4"/>
      <c r="FU5" s="4"/>
      <c r="FV5" s="4"/>
      <c r="FW5" s="4"/>
      <c r="FX5" s="4"/>
      <c r="FY5" s="4"/>
      <c r="FZ5" s="4"/>
      <c r="GA5" s="4"/>
      <c r="GB5" s="4"/>
      <c r="GC5" s="4"/>
      <c r="GD5" s="4"/>
      <c r="GE5" s="4"/>
      <c r="GF5" s="4"/>
      <c r="GG5" s="4"/>
      <c r="GH5" s="4"/>
      <c r="GI5" s="4"/>
      <c r="GJ5" s="4"/>
      <c r="GK5" s="4"/>
      <c r="GL5" s="4"/>
      <c r="GM5" s="4"/>
      <c r="GN5" s="4"/>
      <c r="GO5" s="4"/>
      <c r="GP5" s="4"/>
      <c r="GQ5" s="4"/>
      <c r="GR5" s="4"/>
      <c r="GS5" s="4"/>
      <c r="GT5" s="4"/>
      <c r="GU5" s="4"/>
      <c r="GV5" s="4"/>
      <c r="GW5" s="4"/>
      <c r="GX5" s="4"/>
      <c r="GY5" s="4"/>
      <c r="GZ5" s="4"/>
      <c r="HA5" s="4"/>
      <c r="HB5" s="4"/>
      <c r="HC5" s="4"/>
      <c r="HD5" s="4"/>
      <c r="HE5" s="4"/>
      <c r="HF5" s="4"/>
      <c r="HG5" s="4"/>
      <c r="HH5" s="4"/>
      <c r="HI5" s="4"/>
      <c r="HJ5" s="4"/>
      <c r="HK5" s="4"/>
      <c r="HL5" s="4"/>
      <c r="HM5" s="4"/>
      <c r="HN5" s="4"/>
      <c r="HO5" s="4"/>
      <c r="HP5" s="4"/>
      <c r="HQ5" s="4"/>
      <c r="HR5" s="4"/>
      <c r="HS5" s="4"/>
      <c r="HT5" s="4"/>
      <c r="HU5" s="4"/>
      <c r="HV5" s="4"/>
      <c r="HW5" s="4"/>
      <c r="HX5" s="4"/>
      <c r="HY5" s="4"/>
      <c r="HZ5" s="4"/>
      <c r="IA5" s="4"/>
      <c r="IB5" s="4"/>
      <c r="IC5" s="4"/>
      <c r="ID5" s="4"/>
      <c r="IE5" s="4"/>
      <c r="IF5" s="4"/>
      <c r="IG5" s="4"/>
      <c r="IH5" s="4"/>
      <c r="II5" s="4"/>
      <c r="IJ5" s="4"/>
      <c r="IK5" s="4"/>
    </row>
    <row r="6" spans="1:245" outlineLevel="1">
      <c r="A6" s="116"/>
      <c r="B6" s="116"/>
      <c r="C6" s="116">
        <v>2</v>
      </c>
      <c r="D6" s="3" t="s">
        <v>1084</v>
      </c>
      <c r="E6" s="183"/>
      <c r="F6" s="183" t="s">
        <v>1093</v>
      </c>
      <c r="G6" s="183"/>
      <c r="H6" s="183"/>
      <c r="I6" s="183"/>
      <c r="J6" s="183"/>
      <c r="K6" s="183"/>
      <c r="L6" s="183"/>
      <c r="M6" s="184">
        <v>44390</v>
      </c>
      <c r="N6" s="184">
        <v>44391</v>
      </c>
      <c r="O6" s="185"/>
      <c r="P6" s="186">
        <v>2</v>
      </c>
      <c r="Q6" s="186">
        <v>2</v>
      </c>
      <c r="R6" s="187">
        <v>2</v>
      </c>
      <c r="S6" s="187">
        <v>2</v>
      </c>
      <c r="T6" s="184"/>
      <c r="U6" s="184"/>
      <c r="V6" s="188"/>
      <c r="W6" s="189">
        <v>0</v>
      </c>
      <c r="X6" s="190">
        <v>1</v>
      </c>
      <c r="Y6" s="185" t="s">
        <v>1114</v>
      </c>
      <c r="Z6" s="191"/>
      <c r="AA6" s="97">
        <v>1</v>
      </c>
      <c r="AB6" s="192">
        <v>1</v>
      </c>
      <c r="AC6" s="123"/>
      <c r="AD6" s="4"/>
      <c r="AE6" s="4"/>
      <c r="AF6" s="4"/>
      <c r="AG6" s="4"/>
      <c r="AH6" s="4"/>
      <c r="AI6" s="4" t="str">
        <f>"   " &amp; TEXT(AB6,"#0.00%") &amp; " " &amp; "Design" &amp; "(Meghan)" &amp; " " &amp; IF(M6="","",TEXT(M6,"M/D-")) &amp; IF(N6="","",TEXT(N6,"M/D")) &amp; " "</f>
        <v xml:space="preserve">   100.00% Design(Meghan) 7/13-7/14 </v>
      </c>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c r="ER6" s="4"/>
      <c r="ES6" s="4"/>
      <c r="ET6" s="4"/>
      <c r="EU6" s="4"/>
      <c r="EV6" s="4"/>
      <c r="EW6" s="4"/>
      <c r="EX6" s="4"/>
      <c r="EY6" s="4"/>
      <c r="EZ6" s="4"/>
      <c r="FA6" s="4"/>
      <c r="FB6" s="4"/>
      <c r="FC6" s="4"/>
      <c r="FD6" s="4"/>
      <c r="FE6" s="4"/>
      <c r="FF6" s="4"/>
      <c r="FG6" s="4"/>
      <c r="FH6" s="4"/>
      <c r="FI6" s="4"/>
      <c r="FJ6" s="4"/>
      <c r="FK6" s="4"/>
      <c r="FL6" s="4"/>
      <c r="FM6" s="4"/>
      <c r="FN6" s="4"/>
      <c r="FO6" s="4"/>
      <c r="FP6" s="4"/>
      <c r="FQ6" s="4"/>
      <c r="FR6" s="4"/>
      <c r="FS6" s="4"/>
      <c r="FT6" s="4"/>
      <c r="FU6" s="4"/>
      <c r="FV6" s="4"/>
      <c r="FW6" s="4"/>
      <c r="FX6" s="4"/>
      <c r="FY6" s="4"/>
      <c r="FZ6" s="4"/>
      <c r="GA6" s="4"/>
      <c r="GB6" s="4"/>
      <c r="GC6" s="4"/>
      <c r="GD6" s="4"/>
      <c r="GE6" s="4"/>
      <c r="GF6" s="4"/>
      <c r="GG6" s="4"/>
      <c r="GH6" s="4"/>
      <c r="GI6" s="4"/>
      <c r="GJ6" s="4"/>
      <c r="GK6" s="4"/>
      <c r="GL6" s="4"/>
      <c r="GM6" s="4"/>
      <c r="GN6" s="4"/>
      <c r="GO6" s="4"/>
      <c r="GP6" s="4"/>
      <c r="GQ6" s="4"/>
      <c r="GR6" s="4"/>
      <c r="GS6" s="4"/>
      <c r="GT6" s="4"/>
      <c r="GU6" s="4"/>
      <c r="GV6" s="4"/>
      <c r="GW6" s="4"/>
      <c r="GX6" s="4"/>
      <c r="GY6" s="4"/>
      <c r="GZ6" s="4"/>
      <c r="HA6" s="4"/>
      <c r="HB6" s="4"/>
      <c r="HC6" s="4"/>
      <c r="HD6" s="4"/>
      <c r="HE6" s="4"/>
      <c r="HF6" s="4"/>
      <c r="HG6" s="4"/>
      <c r="HH6" s="4"/>
      <c r="HI6" s="4"/>
      <c r="HJ6" s="4"/>
      <c r="HK6" s="4"/>
      <c r="HL6" s="4"/>
      <c r="HM6" s="4"/>
      <c r="HN6" s="4"/>
      <c r="HO6" s="4"/>
      <c r="HP6" s="4"/>
      <c r="HQ6" s="4"/>
      <c r="HR6" s="4"/>
      <c r="HS6" s="4"/>
      <c r="HT6" s="4"/>
      <c r="HU6" s="4"/>
      <c r="HV6" s="4"/>
      <c r="HW6" s="4"/>
      <c r="HX6" s="4"/>
      <c r="HY6" s="4"/>
      <c r="HZ6" s="4"/>
      <c r="IA6" s="4"/>
      <c r="IB6" s="4"/>
      <c r="IC6" s="4"/>
      <c r="ID6" s="4"/>
      <c r="IE6" s="4"/>
      <c r="IF6" s="4"/>
      <c r="IG6" s="4"/>
      <c r="IH6" s="4"/>
      <c r="II6" s="4"/>
      <c r="IJ6" s="4"/>
      <c r="IK6" s="4"/>
    </row>
    <row r="7" spans="1:245" outlineLevel="1">
      <c r="A7" s="116"/>
      <c r="B7" s="116"/>
      <c r="C7" s="116">
        <v>2</v>
      </c>
      <c r="D7" s="3" t="s">
        <v>1085</v>
      </c>
      <c r="E7" s="183"/>
      <c r="F7" s="183" t="s">
        <v>1110</v>
      </c>
      <c r="G7" s="183"/>
      <c r="H7" s="183"/>
      <c r="I7" s="183"/>
      <c r="J7" s="183"/>
      <c r="K7" s="183"/>
      <c r="L7" s="183"/>
      <c r="M7" s="184">
        <v>44390</v>
      </c>
      <c r="N7" s="184">
        <v>44519</v>
      </c>
      <c r="O7" s="185"/>
      <c r="P7" s="186">
        <v>94</v>
      </c>
      <c r="Q7" s="186">
        <v>94</v>
      </c>
      <c r="R7" s="187">
        <v>94</v>
      </c>
      <c r="S7" s="187">
        <v>94</v>
      </c>
      <c r="T7" s="184"/>
      <c r="U7" s="184"/>
      <c r="V7" s="188"/>
      <c r="W7" s="189">
        <v>0</v>
      </c>
      <c r="X7" s="190">
        <v>1</v>
      </c>
      <c r="Y7" s="185" t="s">
        <v>1115</v>
      </c>
      <c r="Z7" s="191"/>
      <c r="AA7" s="97">
        <v>1</v>
      </c>
      <c r="AB7" s="192">
        <v>0</v>
      </c>
      <c r="AC7" s="123"/>
      <c r="AD7" s="4"/>
      <c r="AE7" s="4"/>
      <c r="AF7" s="4"/>
      <c r="AG7" s="4"/>
      <c r="AH7" s="4"/>
      <c r="AI7" s="4" t="str">
        <f>" " &amp; TEXT(AB7,"#0.00%") &amp; " "</f>
        <v xml:space="preserve"> 0.00% </v>
      </c>
      <c r="AJ7" s="4"/>
      <c r="AK7" s="4"/>
      <c r="AL7" s="4"/>
      <c r="AM7" s="4"/>
      <c r="AN7" s="4"/>
      <c r="AO7" s="4"/>
      <c r="AP7" s="4"/>
      <c r="AQ7" s="4"/>
      <c r="AR7" s="4"/>
      <c r="AS7" s="4"/>
      <c r="AT7" s="4"/>
      <c r="AU7" s="4"/>
      <c r="AV7" s="4"/>
      <c r="AW7" s="4"/>
      <c r="AX7" s="4"/>
      <c r="AY7" s="4"/>
      <c r="AZ7" s="4"/>
      <c r="BA7" s="4" t="str">
        <f>"     " &amp; "Server" &amp; "(Anil)" &amp; " " &amp; IF(M7="","",TEXT(M7,"M/D-")) &amp; IF(N7="","",TEXT(N7,"M/D")) &amp; " "</f>
        <v xml:space="preserve">     Server(Anil) 7/13-11/19 </v>
      </c>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HP7" s="4"/>
      <c r="HQ7" s="4"/>
      <c r="HR7" s="4"/>
      <c r="HS7" s="4"/>
      <c r="HT7" s="4"/>
      <c r="HU7" s="4"/>
      <c r="HV7" s="4"/>
      <c r="HW7" s="4"/>
      <c r="HX7" s="4"/>
      <c r="HY7" s="4"/>
      <c r="HZ7" s="4"/>
      <c r="IA7" s="4"/>
      <c r="IB7" s="4"/>
      <c r="IC7" s="4"/>
      <c r="ID7" s="4"/>
      <c r="IE7" s="4"/>
      <c r="IF7" s="4"/>
      <c r="IG7" s="4"/>
      <c r="IH7" s="4"/>
      <c r="II7" s="4"/>
      <c r="IJ7" s="4"/>
      <c r="IK7" s="4"/>
    </row>
    <row r="8" spans="1:245" outlineLevel="1">
      <c r="A8" s="116"/>
      <c r="B8" s="116"/>
      <c r="C8" s="116">
        <v>2</v>
      </c>
      <c r="D8" s="3" t="s">
        <v>1086</v>
      </c>
      <c r="E8" s="183"/>
      <c r="F8" s="183" t="s">
        <v>1111</v>
      </c>
      <c r="G8" s="183"/>
      <c r="H8" s="183"/>
      <c r="I8" s="183"/>
      <c r="J8" s="183"/>
      <c r="K8" s="183"/>
      <c r="L8" s="183"/>
      <c r="M8" s="184">
        <v>44390</v>
      </c>
      <c r="N8" s="184">
        <v>44519</v>
      </c>
      <c r="O8" s="185"/>
      <c r="P8" s="186">
        <v>94</v>
      </c>
      <c r="Q8" s="186">
        <v>94</v>
      </c>
      <c r="R8" s="187">
        <v>94</v>
      </c>
      <c r="S8" s="187">
        <v>94</v>
      </c>
      <c r="T8" s="184"/>
      <c r="U8" s="184"/>
      <c r="V8" s="188"/>
      <c r="W8" s="189">
        <v>0</v>
      </c>
      <c r="X8" s="190">
        <v>1</v>
      </c>
      <c r="Y8" s="185" t="s">
        <v>1116</v>
      </c>
      <c r="Z8" s="191"/>
      <c r="AA8" s="97">
        <v>1</v>
      </c>
      <c r="AB8" s="192">
        <v>0</v>
      </c>
      <c r="AC8" s="123"/>
      <c r="AD8" s="4"/>
      <c r="AE8" s="4"/>
      <c r="AF8" s="4"/>
      <c r="AG8" s="4"/>
      <c r="AH8" s="4"/>
      <c r="AI8" s="4" t="str">
        <f>" " &amp; TEXT(AB8,"#0.00%") &amp; " "</f>
        <v xml:space="preserve"> 0.00% </v>
      </c>
      <c r="AJ8" s="4"/>
      <c r="AK8" s="4"/>
      <c r="AL8" s="4"/>
      <c r="AM8" s="4"/>
      <c r="AN8" s="4"/>
      <c r="AO8" s="4"/>
      <c r="AP8" s="4"/>
      <c r="AQ8" s="4"/>
      <c r="AR8" s="4"/>
      <c r="AS8" s="4"/>
      <c r="AT8" s="4"/>
      <c r="AU8" s="4"/>
      <c r="AV8" s="4"/>
      <c r="AW8" s="4"/>
      <c r="AX8" s="4"/>
      <c r="AY8" s="4"/>
      <c r="AZ8" s="4"/>
      <c r="BA8" s="4" t="str">
        <f>"     " &amp; "iOS" &amp; "(Nabin)" &amp; " " &amp; IF(M8="","",TEXT(M8,"M/D-")) &amp; IF(N8="","",TEXT(N8,"M/D")) &amp; " "</f>
        <v xml:space="preserve">     iOS(Nabin) 7/13-11/19 </v>
      </c>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c r="FF8" s="4"/>
      <c r="FG8" s="4"/>
      <c r="FH8" s="4"/>
      <c r="FI8" s="4"/>
      <c r="FJ8" s="4"/>
      <c r="FK8" s="4"/>
      <c r="FL8" s="4"/>
      <c r="FM8" s="4"/>
      <c r="FN8" s="4"/>
      <c r="FO8" s="4"/>
      <c r="FP8" s="4"/>
      <c r="FQ8" s="4"/>
      <c r="FR8" s="4"/>
      <c r="FS8" s="4"/>
      <c r="FT8" s="4"/>
      <c r="FU8" s="4"/>
      <c r="FV8" s="4"/>
      <c r="FW8" s="4"/>
      <c r="FX8" s="4"/>
      <c r="FY8" s="4"/>
      <c r="FZ8" s="4"/>
      <c r="GA8" s="4"/>
      <c r="GB8" s="4"/>
      <c r="GC8" s="4"/>
      <c r="GD8" s="4"/>
      <c r="GE8" s="4"/>
      <c r="GF8" s="4"/>
      <c r="GG8" s="4"/>
      <c r="GH8" s="4"/>
      <c r="GI8" s="4"/>
      <c r="GJ8" s="4"/>
      <c r="GK8" s="4"/>
      <c r="GL8" s="4"/>
      <c r="GM8" s="4"/>
      <c r="GN8" s="4"/>
      <c r="GO8" s="4"/>
      <c r="GP8" s="4"/>
      <c r="GQ8" s="4"/>
      <c r="GR8" s="4"/>
      <c r="GS8" s="4"/>
      <c r="GT8" s="4"/>
      <c r="GU8" s="4"/>
      <c r="GV8" s="4"/>
      <c r="GW8" s="4"/>
      <c r="GX8" s="4"/>
      <c r="GY8" s="4"/>
      <c r="GZ8" s="4"/>
      <c r="HA8" s="4"/>
      <c r="HB8" s="4"/>
      <c r="HC8" s="4"/>
      <c r="HD8" s="4"/>
      <c r="HE8" s="4"/>
      <c r="HF8" s="4"/>
      <c r="HG8" s="4"/>
      <c r="HH8" s="4"/>
      <c r="HI8" s="4"/>
      <c r="HJ8" s="4"/>
      <c r="HK8" s="4"/>
      <c r="HL8" s="4"/>
      <c r="HM8" s="4"/>
      <c r="HN8" s="4"/>
      <c r="HO8" s="4"/>
      <c r="HP8" s="4"/>
      <c r="HQ8" s="4"/>
      <c r="HR8" s="4"/>
      <c r="HS8" s="4"/>
      <c r="HT8" s="4"/>
      <c r="HU8" s="4"/>
      <c r="HV8" s="4"/>
      <c r="HW8" s="4"/>
      <c r="HX8" s="4"/>
      <c r="HY8" s="4"/>
      <c r="HZ8" s="4"/>
      <c r="IA8" s="4"/>
      <c r="IB8" s="4"/>
      <c r="IC8" s="4"/>
      <c r="ID8" s="4"/>
      <c r="IE8" s="4"/>
      <c r="IF8" s="4"/>
      <c r="IG8" s="4"/>
      <c r="IH8" s="4"/>
      <c r="II8" s="4"/>
      <c r="IJ8" s="4"/>
      <c r="IK8" s="4"/>
    </row>
    <row r="9" spans="1:245" outlineLevel="1">
      <c r="A9" s="116"/>
      <c r="B9" s="116"/>
      <c r="C9" s="116">
        <v>2</v>
      </c>
      <c r="D9" s="3" t="s">
        <v>1087</v>
      </c>
      <c r="E9" s="183"/>
      <c r="F9" s="183" t="s">
        <v>1112</v>
      </c>
      <c r="G9" s="183"/>
      <c r="H9" s="183"/>
      <c r="I9" s="183"/>
      <c r="J9" s="183"/>
      <c r="K9" s="183"/>
      <c r="L9" s="183"/>
      <c r="M9" s="184">
        <v>44390</v>
      </c>
      <c r="N9" s="184">
        <v>44519</v>
      </c>
      <c r="O9" s="185"/>
      <c r="P9" s="186">
        <v>94</v>
      </c>
      <c r="Q9" s="186">
        <v>94</v>
      </c>
      <c r="R9" s="187">
        <v>94</v>
      </c>
      <c r="S9" s="187">
        <v>94</v>
      </c>
      <c r="T9" s="184"/>
      <c r="U9" s="184"/>
      <c r="V9" s="188"/>
      <c r="W9" s="189">
        <v>0</v>
      </c>
      <c r="X9" s="190">
        <v>1</v>
      </c>
      <c r="Y9" s="185" t="s">
        <v>1117</v>
      </c>
      <c r="Z9" s="191"/>
      <c r="AA9" s="97">
        <v>1</v>
      </c>
      <c r="AB9" s="192">
        <v>0</v>
      </c>
      <c r="AC9" s="123"/>
      <c r="AD9" s="4"/>
      <c r="AE9" s="4"/>
      <c r="AF9" s="4"/>
      <c r="AG9" s="4"/>
      <c r="AH9" s="4"/>
      <c r="AI9" s="4" t="str">
        <f>" " &amp; TEXT(AB9,"#0.00%") &amp; " "</f>
        <v xml:space="preserve"> 0.00% </v>
      </c>
      <c r="AJ9" s="4"/>
      <c r="AK9" s="4"/>
      <c r="AL9" s="4"/>
      <c r="AM9" s="4"/>
      <c r="AN9" s="4"/>
      <c r="AO9" s="4"/>
      <c r="AP9" s="4"/>
      <c r="AQ9" s="4"/>
      <c r="AR9" s="4"/>
      <c r="AS9" s="4"/>
      <c r="AT9" s="4"/>
      <c r="AU9" s="4"/>
      <c r="AV9" s="4"/>
      <c r="AW9" s="4"/>
      <c r="AX9" s="4"/>
      <c r="AY9" s="4"/>
      <c r="AZ9" s="4"/>
      <c r="BA9" s="4" t="str">
        <f>"     " &amp; "Android" &amp; "(Preyea)" &amp; " " &amp; IF(M9="","",TEXT(M9,"M/D-")) &amp; IF(N9="","",TEXT(N9,"M/D")) &amp; " "</f>
        <v xml:space="preserve">     Android(Preyea) 7/13-11/19 </v>
      </c>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c r="ER9" s="4"/>
      <c r="ES9" s="4"/>
      <c r="ET9" s="4"/>
      <c r="EU9" s="4"/>
      <c r="EV9" s="4"/>
      <c r="EW9" s="4"/>
      <c r="EX9" s="4"/>
      <c r="EY9" s="4"/>
      <c r="EZ9" s="4"/>
      <c r="FA9" s="4"/>
      <c r="FB9" s="4"/>
      <c r="FC9" s="4"/>
      <c r="FD9" s="4"/>
      <c r="FE9" s="4"/>
      <c r="FF9" s="4"/>
      <c r="FG9" s="4"/>
      <c r="FH9" s="4"/>
      <c r="FI9" s="4"/>
      <c r="FJ9" s="4"/>
      <c r="FK9" s="4"/>
      <c r="FL9" s="4"/>
      <c r="FM9" s="4"/>
      <c r="FN9" s="4"/>
      <c r="FO9" s="4"/>
      <c r="FP9" s="4"/>
      <c r="FQ9" s="4"/>
      <c r="FR9" s="4"/>
      <c r="FS9" s="4"/>
      <c r="FT9" s="4"/>
      <c r="FU9" s="4"/>
      <c r="FV9" s="4"/>
      <c r="FW9" s="4"/>
      <c r="FX9" s="4"/>
      <c r="FY9" s="4"/>
      <c r="FZ9" s="4"/>
      <c r="GA9" s="4"/>
      <c r="GB9" s="4"/>
      <c r="GC9" s="4"/>
      <c r="GD9" s="4"/>
      <c r="GE9" s="4"/>
      <c r="GF9" s="4"/>
      <c r="GG9" s="4"/>
      <c r="GH9" s="4"/>
      <c r="GI9" s="4"/>
      <c r="GJ9" s="4"/>
      <c r="GK9" s="4"/>
      <c r="GL9" s="4"/>
      <c r="GM9" s="4"/>
      <c r="GN9" s="4"/>
      <c r="GO9" s="4"/>
      <c r="GP9" s="4"/>
      <c r="GQ9" s="4"/>
      <c r="GR9" s="4"/>
      <c r="GS9" s="4"/>
      <c r="GT9" s="4"/>
      <c r="GU9" s="4"/>
      <c r="GV9" s="4"/>
      <c r="GW9" s="4"/>
      <c r="GX9" s="4"/>
      <c r="GY9" s="4"/>
      <c r="GZ9" s="4"/>
      <c r="HA9" s="4"/>
      <c r="HB9" s="4"/>
      <c r="HC9" s="4"/>
      <c r="HD9" s="4"/>
      <c r="HE9" s="4"/>
      <c r="HF9" s="4"/>
      <c r="HG9" s="4"/>
      <c r="HH9" s="4"/>
      <c r="HI9" s="4"/>
      <c r="HJ9" s="4"/>
      <c r="HK9" s="4"/>
      <c r="HL9" s="4"/>
      <c r="HM9" s="4"/>
      <c r="HN9" s="4"/>
      <c r="HO9" s="4"/>
      <c r="HP9" s="4"/>
      <c r="HQ9" s="4"/>
      <c r="HR9" s="4"/>
      <c r="HS9" s="4"/>
      <c r="HT9" s="4"/>
      <c r="HU9" s="4"/>
      <c r="HV9" s="4"/>
      <c r="HW9" s="4"/>
      <c r="HX9" s="4"/>
      <c r="HY9" s="4"/>
      <c r="HZ9" s="4"/>
      <c r="IA9" s="4"/>
      <c r="IB9" s="4"/>
      <c r="IC9" s="4"/>
      <c r="ID9" s="4"/>
      <c r="IE9" s="4"/>
      <c r="IF9" s="4"/>
      <c r="IG9" s="4"/>
      <c r="IH9" s="4"/>
      <c r="II9" s="4"/>
      <c r="IJ9" s="4"/>
      <c r="IK9" s="4"/>
    </row>
    <row r="10" spans="1:245" outlineLevel="1">
      <c r="A10" s="116"/>
      <c r="B10" s="116"/>
      <c r="C10" s="116">
        <v>2</v>
      </c>
      <c r="D10" s="3" t="s">
        <v>1088</v>
      </c>
      <c r="E10" s="183"/>
      <c r="F10" s="183" t="s">
        <v>1113</v>
      </c>
      <c r="G10" s="183"/>
      <c r="H10" s="183"/>
      <c r="I10" s="183"/>
      <c r="J10" s="183"/>
      <c r="K10" s="183"/>
      <c r="L10" s="183"/>
      <c r="M10" s="184">
        <v>44522</v>
      </c>
      <c r="N10" s="184">
        <v>44526</v>
      </c>
      <c r="O10" s="185"/>
      <c r="P10" s="186">
        <v>5</v>
      </c>
      <c r="Q10" s="186">
        <v>2</v>
      </c>
      <c r="R10" s="187">
        <v>5</v>
      </c>
      <c r="S10" s="187">
        <v>2</v>
      </c>
      <c r="T10" s="184"/>
      <c r="U10" s="184"/>
      <c r="V10" s="188"/>
      <c r="W10" s="189">
        <v>0</v>
      </c>
      <c r="X10" s="190">
        <v>1</v>
      </c>
      <c r="Y10" s="185" t="s">
        <v>1118</v>
      </c>
      <c r="Z10" s="191"/>
      <c r="AA10" s="97">
        <v>0.4</v>
      </c>
      <c r="AB10" s="192">
        <v>0</v>
      </c>
      <c r="AC10" s="123"/>
      <c r="AD10" s="4"/>
      <c r="AE10" s="4"/>
      <c r="AF10" s="4"/>
      <c r="AG10" s="4"/>
      <c r="AH10" s="4"/>
      <c r="AI10" s="4"/>
      <c r="AJ10" s="4"/>
      <c r="AK10" s="4"/>
      <c r="AL10" s="4"/>
      <c r="AM10" s="4"/>
      <c r="AN10" s="4"/>
      <c r="AO10" s="4"/>
      <c r="AP10" s="4"/>
      <c r="AQ10" s="4"/>
      <c r="AR10" s="4"/>
      <c r="AS10" s="4"/>
      <c r="AT10" s="4"/>
      <c r="AU10" s="4"/>
      <c r="AV10" s="4"/>
      <c r="AW10" s="4"/>
      <c r="AX10" s="4"/>
      <c r="AY10" s="4"/>
      <c r="AZ10" s="4"/>
      <c r="BA10" s="4"/>
      <c r="BB10" s="4" t="str">
        <f>"" &amp; TEXT(AB10,"#0.00%") &amp; " " &amp; "QA" &amp; "(Eddie, Chetan, Sumitra)" &amp; " " &amp; IF(M10="","",TEXT(M10,"M/D-")) &amp; IF(N10="","",TEXT(N10,"M/D")) &amp; " "</f>
        <v xml:space="preserve">0.00% QA(Eddie, Chetan, Sumitra) 11/22-11/26 </v>
      </c>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c r="ER10" s="4"/>
      <c r="ES10" s="4"/>
      <c r="ET10" s="4"/>
      <c r="EU10" s="4"/>
      <c r="EV10" s="4"/>
      <c r="EW10" s="4"/>
      <c r="EX10" s="4"/>
      <c r="EY10" s="4"/>
      <c r="EZ10" s="4"/>
      <c r="FA10" s="4"/>
      <c r="FB10" s="4"/>
      <c r="FC10" s="4"/>
      <c r="FD10" s="4"/>
      <c r="FE10" s="4"/>
      <c r="FF10" s="4"/>
      <c r="FG10" s="4"/>
      <c r="FH10" s="4"/>
      <c r="FI10" s="4"/>
      <c r="FJ10" s="4"/>
      <c r="FK10" s="4"/>
      <c r="FL10" s="4"/>
      <c r="FM10" s="4"/>
      <c r="FN10" s="4"/>
      <c r="FO10" s="4"/>
      <c r="FP10" s="4"/>
      <c r="FQ10" s="4"/>
      <c r="FR10" s="4"/>
      <c r="FS10" s="4"/>
      <c r="FT10" s="4"/>
      <c r="FU10" s="4"/>
      <c r="FV10" s="4"/>
      <c r="FW10" s="4"/>
      <c r="FX10" s="4"/>
      <c r="FY10" s="4"/>
      <c r="FZ10" s="4"/>
      <c r="GA10" s="4"/>
      <c r="GB10" s="4"/>
      <c r="GC10" s="4"/>
      <c r="GD10" s="4"/>
      <c r="GE10" s="4"/>
      <c r="GF10" s="4"/>
      <c r="GG10" s="4"/>
      <c r="GH10" s="4"/>
      <c r="GI10" s="4"/>
      <c r="GJ10" s="4"/>
      <c r="GK10" s="4"/>
      <c r="GL10" s="4"/>
      <c r="GM10" s="4"/>
      <c r="GN10" s="4"/>
      <c r="GO10" s="4"/>
      <c r="GP10" s="4"/>
      <c r="GQ10" s="4"/>
      <c r="GR10" s="4"/>
      <c r="GS10" s="4"/>
      <c r="GT10" s="4"/>
      <c r="GU10" s="4"/>
      <c r="GV10" s="4"/>
      <c r="GW10" s="4"/>
      <c r="GX10" s="4"/>
      <c r="GY10" s="4"/>
      <c r="GZ10" s="4"/>
      <c r="HA10" s="4"/>
      <c r="HB10" s="4"/>
      <c r="HC10" s="4"/>
      <c r="HD10" s="4"/>
      <c r="HE10" s="4"/>
      <c r="HF10" s="4"/>
      <c r="HG10" s="4"/>
      <c r="HH10" s="4"/>
      <c r="HI10" s="4"/>
      <c r="HJ10" s="4"/>
      <c r="HK10" s="4"/>
      <c r="HL10" s="4"/>
      <c r="HM10" s="4"/>
      <c r="HN10" s="4"/>
      <c r="HO10" s="4"/>
      <c r="HP10" s="4"/>
      <c r="HQ10" s="4"/>
      <c r="HR10" s="4"/>
      <c r="HS10" s="4"/>
      <c r="HT10" s="4"/>
      <c r="HU10" s="4"/>
      <c r="HV10" s="4"/>
      <c r="HW10" s="4"/>
      <c r="HX10" s="4"/>
      <c r="HY10" s="4"/>
      <c r="HZ10" s="4"/>
      <c r="IA10" s="4"/>
      <c r="IB10" s="4"/>
      <c r="IC10" s="4"/>
      <c r="ID10" s="4"/>
      <c r="IE10" s="4"/>
      <c r="IF10" s="4"/>
      <c r="IG10" s="4"/>
      <c r="IH10" s="4"/>
      <c r="II10" s="4"/>
      <c r="IJ10" s="4"/>
      <c r="IK10" s="4"/>
    </row>
    <row r="11" spans="1:245" outlineLevel="1">
      <c r="A11" s="116"/>
      <c r="B11" s="116"/>
      <c r="C11" s="116">
        <v>0</v>
      </c>
      <c r="D11" s="3"/>
      <c r="E11" s="183"/>
      <c r="F11" s="183"/>
      <c r="G11" s="183"/>
      <c r="H11" s="183"/>
      <c r="I11" s="183"/>
      <c r="J11" s="183"/>
      <c r="K11" s="183"/>
      <c r="L11" s="183"/>
      <c r="M11" s="184"/>
      <c r="N11" s="184"/>
      <c r="O11" s="185"/>
      <c r="P11" s="186"/>
      <c r="Q11" s="186"/>
      <c r="R11" s="187">
        <v>0</v>
      </c>
      <c r="S11" s="187">
        <v>0</v>
      </c>
      <c r="T11" s="184"/>
      <c r="U11" s="184"/>
      <c r="V11" s="188"/>
      <c r="W11" s="189">
        <v>0</v>
      </c>
      <c r="X11" s="190"/>
      <c r="Y11" s="185"/>
      <c r="Z11" s="191"/>
      <c r="AA11" s="97"/>
      <c r="AB11" s="192"/>
      <c r="AC11" s="123"/>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c r="FF11" s="4"/>
      <c r="FG11" s="4"/>
      <c r="FH11" s="4"/>
      <c r="FI11" s="4"/>
      <c r="FJ11" s="4"/>
      <c r="FK11" s="4"/>
      <c r="FL11" s="4"/>
      <c r="FM11" s="4"/>
      <c r="FN11" s="4"/>
      <c r="FO11" s="4"/>
      <c r="FP11" s="4"/>
      <c r="FQ11" s="4"/>
      <c r="FR11" s="4"/>
      <c r="FS11" s="4"/>
      <c r="FT11" s="4"/>
      <c r="FU11" s="4"/>
      <c r="FV11" s="4"/>
      <c r="FW11" s="4"/>
      <c r="FX11" s="4"/>
      <c r="FY11" s="4"/>
      <c r="FZ11" s="4"/>
      <c r="GA11" s="4"/>
      <c r="GB11" s="4"/>
      <c r="GC11" s="4"/>
      <c r="GD11" s="4"/>
      <c r="GE11" s="4"/>
      <c r="GF11" s="4"/>
      <c r="GG11" s="4"/>
      <c r="GH11" s="4"/>
      <c r="GI11" s="4"/>
      <c r="GJ11" s="4"/>
      <c r="GK11" s="4"/>
      <c r="GL11" s="4"/>
      <c r="GM11" s="4"/>
      <c r="GN11" s="4"/>
      <c r="GO11" s="4"/>
      <c r="GP11" s="4"/>
      <c r="GQ11" s="4"/>
      <c r="GR11" s="4"/>
      <c r="GS11" s="4"/>
      <c r="GT11" s="4"/>
      <c r="GU11" s="4"/>
      <c r="GV11" s="4"/>
      <c r="GW11" s="4"/>
      <c r="GX11" s="4"/>
      <c r="GY11" s="4"/>
      <c r="GZ11" s="4"/>
      <c r="HA11" s="4"/>
      <c r="HB11" s="4"/>
      <c r="HC11" s="4"/>
      <c r="HD11" s="4"/>
      <c r="HE11" s="4"/>
      <c r="HF11" s="4"/>
      <c r="HG11" s="4"/>
      <c r="HH11" s="4"/>
      <c r="HI11" s="4"/>
      <c r="HJ11" s="4"/>
      <c r="HK11" s="4"/>
      <c r="HL11" s="4"/>
      <c r="HM11" s="4"/>
      <c r="HN11" s="4"/>
      <c r="HO11" s="4"/>
      <c r="HP11" s="4"/>
      <c r="HQ11" s="4"/>
      <c r="HR11" s="4"/>
      <c r="HS11" s="4"/>
      <c r="HT11" s="4"/>
      <c r="HU11" s="4"/>
      <c r="HV11" s="4"/>
      <c r="HW11" s="4"/>
      <c r="HX11" s="4"/>
      <c r="HY11" s="4"/>
      <c r="HZ11" s="4"/>
      <c r="IA11" s="4"/>
      <c r="IB11" s="4"/>
      <c r="IC11" s="4"/>
      <c r="ID11" s="4"/>
      <c r="IE11" s="4"/>
      <c r="IF11" s="4"/>
      <c r="IG11" s="4"/>
      <c r="IH11" s="4"/>
      <c r="II11" s="4"/>
      <c r="IJ11" s="4"/>
      <c r="IK11" s="4"/>
    </row>
    <row r="12" spans="1:245">
      <c r="A12" s="116"/>
      <c r="B12" s="116" t="s">
        <v>983</v>
      </c>
      <c r="C12" s="116">
        <v>1</v>
      </c>
      <c r="D12" s="3" t="s">
        <v>985</v>
      </c>
      <c r="E12" s="183" t="s">
        <v>1139</v>
      </c>
      <c r="F12" s="183"/>
      <c r="G12" s="183"/>
      <c r="H12" s="183"/>
      <c r="I12" s="183"/>
      <c r="J12" s="183"/>
      <c r="K12" s="183"/>
      <c r="L12" s="183"/>
      <c r="M12" s="184">
        <v>44448</v>
      </c>
      <c r="N12" s="184">
        <v>44524</v>
      </c>
      <c r="O12" s="185"/>
      <c r="P12" s="186">
        <v>69</v>
      </c>
      <c r="Q12" s="186">
        <v>68</v>
      </c>
      <c r="R12" s="187">
        <v>55</v>
      </c>
      <c r="S12" s="187">
        <v>54</v>
      </c>
      <c r="T12" s="184"/>
      <c r="U12" s="184"/>
      <c r="V12" s="188">
        <v>0</v>
      </c>
      <c r="W12" s="189">
        <v>0</v>
      </c>
      <c r="X12" s="190"/>
      <c r="Y12" s="185"/>
      <c r="Z12" s="191"/>
      <c r="AA12" s="97">
        <v>0.98550724637681164</v>
      </c>
      <c r="AB12" s="192">
        <v>5.7971014492753624E-2</v>
      </c>
      <c r="AC12" s="123"/>
      <c r="AD12" s="4"/>
      <c r="AE12" s="4"/>
      <c r="AF12" s="4"/>
      <c r="AG12" s="4"/>
      <c r="AH12" s="4"/>
      <c r="AI12" s="4"/>
      <c r="AJ12" s="4"/>
      <c r="AK12" s="4"/>
      <c r="AL12" s="4"/>
      <c r="AM12" s="4"/>
      <c r="AN12" s="4"/>
      <c r="AO12" s="4"/>
      <c r="AP12" s="4"/>
      <c r="AQ12" s="4"/>
      <c r="AR12" s="4" t="str">
        <f>"" &amp; TEXT(AB12,"#0.00%") &amp; " "</f>
        <v xml:space="preserve">5.80% </v>
      </c>
      <c r="AS12" s="4"/>
      <c r="AT12" s="4"/>
      <c r="AU12" s="4"/>
      <c r="AV12" s="4"/>
      <c r="AW12" s="4"/>
      <c r="AX12" s="4"/>
      <c r="AY12" s="4"/>
      <c r="AZ12" s="4"/>
      <c r="BA12" s="4"/>
      <c r="BB12" s="4" t="str">
        <f>"   " &amp; "[2108-09] ATM Deposit using Galaxia" &amp; " " &amp; IF(M12="","",TEXT(M12,"M/D-")) &amp; IF(N12="","",TEXT(N12,"M/D")) &amp; " "</f>
        <v xml:space="preserve">   [2108-09] ATM Deposit using Galaxia 9/9-11/24 </v>
      </c>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4"/>
      <c r="FG12" s="4"/>
      <c r="FH12" s="4"/>
      <c r="FI12" s="4"/>
      <c r="FJ12" s="4"/>
      <c r="FK12" s="4"/>
      <c r="FL12" s="4"/>
      <c r="FM12" s="4"/>
      <c r="FN12" s="4"/>
      <c r="FO12" s="4"/>
      <c r="FP12" s="4"/>
      <c r="FQ12" s="4"/>
      <c r="FR12" s="4"/>
      <c r="FS12" s="4"/>
      <c r="FT12" s="4"/>
      <c r="FU12" s="4"/>
      <c r="FV12" s="4"/>
      <c r="FW12" s="4"/>
      <c r="FX12" s="4"/>
      <c r="FY12" s="4"/>
      <c r="FZ12" s="4"/>
      <c r="GA12" s="4"/>
      <c r="GB12" s="4"/>
      <c r="GC12" s="4"/>
      <c r="GD12" s="4"/>
      <c r="GE12" s="4"/>
      <c r="GF12" s="4"/>
      <c r="GG12" s="4"/>
      <c r="GH12" s="4"/>
      <c r="GI12" s="4"/>
      <c r="GJ12" s="4"/>
      <c r="GK12" s="4"/>
      <c r="GL12" s="4"/>
      <c r="GM12" s="4"/>
      <c r="GN12" s="4"/>
      <c r="GO12" s="4"/>
      <c r="GP12" s="4"/>
      <c r="GQ12" s="4"/>
      <c r="GR12" s="4"/>
      <c r="GS12" s="4"/>
      <c r="GT12" s="4"/>
      <c r="GU12" s="4"/>
      <c r="GV12" s="4"/>
      <c r="GW12" s="4"/>
      <c r="GX12" s="4"/>
      <c r="GY12" s="4"/>
      <c r="GZ12" s="4"/>
      <c r="HA12" s="4"/>
      <c r="HB12" s="4"/>
      <c r="HC12" s="4"/>
      <c r="HD12" s="4"/>
      <c r="HE12" s="4"/>
      <c r="HF12" s="4"/>
      <c r="HG12" s="4"/>
      <c r="HH12" s="4"/>
      <c r="HI12" s="4"/>
      <c r="HJ12" s="4"/>
      <c r="HK12" s="4"/>
      <c r="HL12" s="4"/>
      <c r="HM12" s="4"/>
      <c r="HN12" s="4"/>
      <c r="HO12" s="4"/>
      <c r="HP12" s="4"/>
      <c r="HQ12" s="4"/>
      <c r="HR12" s="4"/>
      <c r="HS12" s="4"/>
      <c r="HT12" s="4"/>
      <c r="HU12" s="4"/>
      <c r="HV12" s="4"/>
      <c r="HW12" s="4"/>
      <c r="HX12" s="4"/>
      <c r="HY12" s="4"/>
      <c r="HZ12" s="4"/>
      <c r="IA12" s="4"/>
      <c r="IB12" s="4"/>
      <c r="IC12" s="4"/>
      <c r="ID12" s="4"/>
      <c r="IE12" s="4"/>
      <c r="IF12" s="4"/>
      <c r="IG12" s="4"/>
      <c r="IH12" s="4"/>
      <c r="II12" s="4"/>
      <c r="IJ12" s="4"/>
      <c r="IK12" s="4"/>
    </row>
    <row r="13" spans="1:245" outlineLevel="1">
      <c r="A13" s="116"/>
      <c r="B13" s="116"/>
      <c r="C13" s="116">
        <v>2</v>
      </c>
      <c r="D13" s="3" t="s">
        <v>986</v>
      </c>
      <c r="E13" s="210"/>
      <c r="F13" s="183" t="s">
        <v>1093</v>
      </c>
      <c r="G13" s="183"/>
      <c r="H13" s="183"/>
      <c r="I13" s="183"/>
      <c r="J13" s="183"/>
      <c r="K13" s="183"/>
      <c r="L13" s="183"/>
      <c r="M13" s="184">
        <v>44448</v>
      </c>
      <c r="N13" s="184">
        <v>44453</v>
      </c>
      <c r="O13" s="185"/>
      <c r="P13" s="186">
        <v>4</v>
      </c>
      <c r="Q13" s="186">
        <v>4</v>
      </c>
      <c r="R13" s="187">
        <v>4</v>
      </c>
      <c r="S13" s="187">
        <v>4</v>
      </c>
      <c r="T13" s="184"/>
      <c r="U13" s="184"/>
      <c r="V13" s="188"/>
      <c r="W13" s="189">
        <v>0</v>
      </c>
      <c r="X13" s="190">
        <v>1</v>
      </c>
      <c r="Y13" s="185" t="s">
        <v>1114</v>
      </c>
      <c r="Z13" s="191"/>
      <c r="AA13" s="97">
        <v>1</v>
      </c>
      <c r="AB13" s="192">
        <v>1</v>
      </c>
      <c r="AC13" s="123"/>
      <c r="AD13" s="4"/>
      <c r="AE13" s="4"/>
      <c r="AF13" s="4"/>
      <c r="AG13" s="4"/>
      <c r="AH13" s="4"/>
      <c r="AI13" s="4"/>
      <c r="AJ13" s="4"/>
      <c r="AK13" s="4"/>
      <c r="AL13" s="4"/>
      <c r="AM13" s="4"/>
      <c r="AN13" s="4"/>
      <c r="AO13" s="4"/>
      <c r="AP13" s="4"/>
      <c r="AQ13" s="4"/>
      <c r="AR13" s="4" t="str">
        <f>"  " &amp; TEXT(AB13,"#0.00%") &amp; " " &amp; "Design" &amp; "(Meghan)" &amp; " " &amp; IF(M13="","",TEXT(M13,"M/D-")) &amp; IF(N13="","",TEXT(N13,"M/D")) &amp; " "</f>
        <v xml:space="preserve">  100.00% Design(Meghan) 9/9-9/14 </v>
      </c>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c r="ER13" s="4"/>
      <c r="ES13" s="4"/>
      <c r="ET13" s="4"/>
      <c r="EU13" s="4"/>
      <c r="EV13" s="4"/>
      <c r="EW13" s="4"/>
      <c r="EX13" s="4"/>
      <c r="EY13" s="4"/>
      <c r="EZ13" s="4"/>
      <c r="FA13" s="4"/>
      <c r="FB13" s="4"/>
      <c r="FC13" s="4"/>
      <c r="FD13" s="4"/>
      <c r="FE13" s="4"/>
      <c r="FF13" s="4"/>
      <c r="FG13" s="4"/>
      <c r="FH13" s="4"/>
      <c r="FI13" s="4"/>
      <c r="FJ13" s="4"/>
      <c r="FK13" s="4"/>
      <c r="FL13" s="4"/>
      <c r="FM13" s="4"/>
      <c r="FN13" s="4"/>
      <c r="FO13" s="4"/>
      <c r="FP13" s="4"/>
      <c r="FQ13" s="4"/>
      <c r="FR13" s="4"/>
      <c r="FS13" s="4"/>
      <c r="FT13" s="4"/>
      <c r="FU13" s="4"/>
      <c r="FV13" s="4"/>
      <c r="FW13" s="4"/>
      <c r="FX13" s="4"/>
      <c r="FY13" s="4"/>
      <c r="FZ13" s="4"/>
      <c r="GA13" s="4"/>
      <c r="GB13" s="4"/>
      <c r="GC13" s="4"/>
      <c r="GD13" s="4"/>
      <c r="GE13" s="4"/>
      <c r="GF13" s="4"/>
      <c r="GG13" s="4"/>
      <c r="GH13" s="4"/>
      <c r="GI13" s="4"/>
      <c r="GJ13" s="4"/>
      <c r="GK13" s="4"/>
      <c r="GL13" s="4"/>
      <c r="GM13" s="4"/>
      <c r="GN13" s="4"/>
      <c r="GO13" s="4"/>
      <c r="GP13" s="4"/>
      <c r="GQ13" s="4"/>
      <c r="GR13" s="4"/>
      <c r="GS13" s="4"/>
      <c r="GT13" s="4"/>
      <c r="GU13" s="4"/>
      <c r="GV13" s="4"/>
      <c r="GW13" s="4"/>
      <c r="GX13" s="4"/>
      <c r="GY13" s="4"/>
      <c r="GZ13" s="4"/>
      <c r="HA13" s="4"/>
      <c r="HB13" s="4"/>
      <c r="HC13" s="4"/>
      <c r="HD13" s="4"/>
      <c r="HE13" s="4"/>
      <c r="HF13" s="4"/>
      <c r="HG13" s="4"/>
      <c r="HH13" s="4"/>
      <c r="HI13" s="4"/>
      <c r="HJ13" s="4"/>
      <c r="HK13" s="4"/>
      <c r="HL13" s="4"/>
      <c r="HM13" s="4"/>
      <c r="HN13" s="4"/>
      <c r="HO13" s="4"/>
      <c r="HP13" s="4"/>
      <c r="HQ13" s="4"/>
      <c r="HR13" s="4"/>
      <c r="HS13" s="4"/>
      <c r="HT13" s="4"/>
      <c r="HU13" s="4"/>
      <c r="HV13" s="4"/>
      <c r="HW13" s="4"/>
      <c r="HX13" s="4"/>
      <c r="HY13" s="4"/>
      <c r="HZ13" s="4"/>
      <c r="IA13" s="4"/>
      <c r="IB13" s="4"/>
      <c r="IC13" s="4"/>
      <c r="ID13" s="4"/>
      <c r="IE13" s="4"/>
      <c r="IF13" s="4"/>
      <c r="IG13" s="4"/>
      <c r="IH13" s="4"/>
      <c r="II13" s="4"/>
      <c r="IJ13" s="4"/>
      <c r="IK13" s="4"/>
    </row>
    <row r="14" spans="1:245" outlineLevel="1">
      <c r="A14" s="116"/>
      <c r="B14" s="116"/>
      <c r="C14" s="116">
        <v>2</v>
      </c>
      <c r="D14" s="3" t="s">
        <v>987</v>
      </c>
      <c r="E14" s="183"/>
      <c r="F14" s="183" t="s">
        <v>1110</v>
      </c>
      <c r="G14" s="183"/>
      <c r="H14" s="183"/>
      <c r="I14" s="183"/>
      <c r="J14" s="183"/>
      <c r="K14" s="183"/>
      <c r="L14" s="183"/>
      <c r="M14" s="184">
        <v>44462</v>
      </c>
      <c r="N14" s="184">
        <v>44489</v>
      </c>
      <c r="O14" s="185"/>
      <c r="P14" s="186">
        <v>20</v>
      </c>
      <c r="Q14" s="186">
        <v>20</v>
      </c>
      <c r="R14" s="187">
        <v>20</v>
      </c>
      <c r="S14" s="187">
        <v>20</v>
      </c>
      <c r="T14" s="184"/>
      <c r="U14" s="184"/>
      <c r="V14" s="188"/>
      <c r="W14" s="189">
        <v>0</v>
      </c>
      <c r="X14" s="190">
        <v>1</v>
      </c>
      <c r="Y14" s="185" t="s">
        <v>1119</v>
      </c>
      <c r="Z14" s="191"/>
      <c r="AA14" s="97">
        <v>1</v>
      </c>
      <c r="AB14" s="192">
        <v>0</v>
      </c>
      <c r="AC14" s="123"/>
      <c r="AD14" s="4"/>
      <c r="AE14" s="4"/>
      <c r="AF14" s="4"/>
      <c r="AG14" s="4"/>
      <c r="AH14" s="4"/>
      <c r="AI14" s="4"/>
      <c r="AJ14" s="4"/>
      <c r="AK14" s="4"/>
      <c r="AL14" s="4"/>
      <c r="AM14" s="4"/>
      <c r="AN14" s="4"/>
      <c r="AO14" s="4"/>
      <c r="AP14" s="4"/>
      <c r="AQ14" s="4"/>
      <c r="AR14" s="4"/>
      <c r="AS14" s="4" t="str">
        <f>"   " &amp; TEXT(AB14,"#0.00%") &amp; " "</f>
        <v xml:space="preserve">   0.00% </v>
      </c>
      <c r="AT14" s="4"/>
      <c r="AU14" s="4"/>
      <c r="AV14" s="4"/>
      <c r="AW14" s="4" t="str">
        <f>"   " &amp; "Server" &amp; "(Ram)" &amp; " " &amp; IF(M14="","",TEXT(M14,"M/D-")) &amp; IF(N14="","",TEXT(N14,"M/D")) &amp; " "</f>
        <v xml:space="preserve">   Server(Ram) 9/23-10/20 </v>
      </c>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c r="ER14" s="4"/>
      <c r="ES14" s="4"/>
      <c r="ET14" s="4"/>
      <c r="EU14" s="4"/>
      <c r="EV14" s="4"/>
      <c r="EW14" s="4"/>
      <c r="EX14" s="4"/>
      <c r="EY14" s="4"/>
      <c r="EZ14" s="4"/>
      <c r="FA14" s="4"/>
      <c r="FB14" s="4"/>
      <c r="FC14" s="4"/>
      <c r="FD14" s="4"/>
      <c r="FE14" s="4"/>
      <c r="FF14" s="4"/>
      <c r="FG14" s="4"/>
      <c r="FH14" s="4"/>
      <c r="FI14" s="4"/>
      <c r="FJ14" s="4"/>
      <c r="FK14" s="4"/>
      <c r="FL14" s="4"/>
      <c r="FM14" s="4"/>
      <c r="FN14" s="4"/>
      <c r="FO14" s="4"/>
      <c r="FP14" s="4"/>
      <c r="FQ14" s="4"/>
      <c r="FR14" s="4"/>
      <c r="FS14" s="4"/>
      <c r="FT14" s="4"/>
      <c r="FU14" s="4"/>
      <c r="FV14" s="4"/>
      <c r="FW14" s="4"/>
      <c r="FX14" s="4"/>
      <c r="FY14" s="4"/>
      <c r="FZ14" s="4"/>
      <c r="GA14" s="4"/>
      <c r="GB14" s="4"/>
      <c r="GC14" s="4"/>
      <c r="GD14" s="4"/>
      <c r="GE14" s="4"/>
      <c r="GF14" s="4"/>
      <c r="GG14" s="4"/>
      <c r="GH14" s="4"/>
      <c r="GI14" s="4"/>
      <c r="GJ14" s="4"/>
      <c r="GK14" s="4"/>
      <c r="GL14" s="4"/>
      <c r="GM14" s="4"/>
      <c r="GN14" s="4"/>
      <c r="GO14" s="4"/>
      <c r="GP14" s="4"/>
      <c r="GQ14" s="4"/>
      <c r="GR14" s="4"/>
      <c r="GS14" s="4"/>
      <c r="GT14" s="4"/>
      <c r="GU14" s="4"/>
      <c r="GV14" s="4"/>
      <c r="GW14" s="4"/>
      <c r="GX14" s="4"/>
      <c r="GY14" s="4"/>
      <c r="GZ14" s="4"/>
      <c r="HA14" s="4"/>
      <c r="HB14" s="4"/>
      <c r="HC14" s="4"/>
      <c r="HD14" s="4"/>
      <c r="HE14" s="4"/>
      <c r="HF14" s="4"/>
      <c r="HG14" s="4"/>
      <c r="HH14" s="4"/>
      <c r="HI14" s="4"/>
      <c r="HJ14" s="4"/>
      <c r="HK14" s="4"/>
      <c r="HL14" s="4"/>
      <c r="HM14" s="4"/>
      <c r="HN14" s="4"/>
      <c r="HO14" s="4"/>
      <c r="HP14" s="4"/>
      <c r="HQ14" s="4"/>
      <c r="HR14" s="4"/>
      <c r="HS14" s="4"/>
      <c r="HT14" s="4"/>
      <c r="HU14" s="4"/>
      <c r="HV14" s="4"/>
      <c r="HW14" s="4"/>
      <c r="HX14" s="4"/>
      <c r="HY14" s="4"/>
      <c r="HZ14" s="4"/>
      <c r="IA14" s="4"/>
      <c r="IB14" s="4"/>
      <c r="IC14" s="4"/>
      <c r="ID14" s="4"/>
      <c r="IE14" s="4"/>
      <c r="IF14" s="4"/>
      <c r="IG14" s="4"/>
      <c r="IH14" s="4"/>
      <c r="II14" s="4"/>
      <c r="IJ14" s="4"/>
      <c r="IK14" s="4"/>
    </row>
    <row r="15" spans="1:245" outlineLevel="1">
      <c r="A15" s="116"/>
      <c r="B15" s="116"/>
      <c r="C15" s="116">
        <v>2</v>
      </c>
      <c r="D15" s="3" t="s">
        <v>1074</v>
      </c>
      <c r="E15" s="183"/>
      <c r="F15" s="183" t="s">
        <v>1111</v>
      </c>
      <c r="G15" s="183"/>
      <c r="H15" s="183"/>
      <c r="I15" s="183"/>
      <c r="J15" s="183"/>
      <c r="K15" s="183"/>
      <c r="L15" s="183"/>
      <c r="M15" s="184">
        <v>44462</v>
      </c>
      <c r="N15" s="184">
        <v>44489</v>
      </c>
      <c r="O15" s="185"/>
      <c r="P15" s="186">
        <v>20</v>
      </c>
      <c r="Q15" s="186">
        <v>20</v>
      </c>
      <c r="R15" s="187">
        <v>20</v>
      </c>
      <c r="S15" s="187">
        <v>20</v>
      </c>
      <c r="T15" s="184"/>
      <c r="U15" s="184"/>
      <c r="V15" s="188"/>
      <c r="W15" s="189">
        <v>0</v>
      </c>
      <c r="X15" s="190">
        <v>1</v>
      </c>
      <c r="Y15" s="185" t="s">
        <v>1120</v>
      </c>
      <c r="Z15" s="191"/>
      <c r="AA15" s="97">
        <v>1</v>
      </c>
      <c r="AB15" s="192">
        <v>0</v>
      </c>
      <c r="AC15" s="123"/>
      <c r="AD15" s="4"/>
      <c r="AE15" s="4"/>
      <c r="AF15" s="4"/>
      <c r="AG15" s="4"/>
      <c r="AH15" s="4"/>
      <c r="AI15" s="4"/>
      <c r="AJ15" s="4"/>
      <c r="AK15" s="4"/>
      <c r="AL15" s="4"/>
      <c r="AM15" s="4"/>
      <c r="AN15" s="4"/>
      <c r="AO15" s="4"/>
      <c r="AP15" s="4"/>
      <c r="AQ15" s="4"/>
      <c r="AR15" s="4"/>
      <c r="AS15" s="4" t="str">
        <f>"   " &amp; TEXT(AB15,"#0.00%") &amp; " "</f>
        <v xml:space="preserve">   0.00% </v>
      </c>
      <c r="AT15" s="4"/>
      <c r="AU15" s="4"/>
      <c r="AV15" s="4"/>
      <c r="AW15" s="4" t="str">
        <f>"   " &amp; "iOS" &amp; "(Dibya)" &amp; " " &amp; IF(M15="","",TEXT(M15,"M/D-")) &amp; IF(N15="","",TEXT(N15,"M/D")) &amp; " "</f>
        <v xml:space="preserve">   iOS(Dibya) 9/23-10/20 </v>
      </c>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c r="ER15" s="4"/>
      <c r="ES15" s="4"/>
      <c r="ET15" s="4"/>
      <c r="EU15" s="4"/>
      <c r="EV15" s="4"/>
      <c r="EW15" s="4"/>
      <c r="EX15" s="4"/>
      <c r="EY15" s="4"/>
      <c r="EZ15" s="4"/>
      <c r="FA15" s="4"/>
      <c r="FB15" s="4"/>
      <c r="FC15" s="4"/>
      <c r="FD15" s="4"/>
      <c r="FE15" s="4"/>
      <c r="FF15" s="4"/>
      <c r="FG15" s="4"/>
      <c r="FH15" s="4"/>
      <c r="FI15" s="4"/>
      <c r="FJ15" s="4"/>
      <c r="FK15" s="4"/>
      <c r="FL15" s="4"/>
      <c r="FM15" s="4"/>
      <c r="FN15" s="4"/>
      <c r="FO15" s="4"/>
      <c r="FP15" s="4"/>
      <c r="FQ15" s="4"/>
      <c r="FR15" s="4"/>
      <c r="FS15" s="4"/>
      <c r="FT15" s="4"/>
      <c r="FU15" s="4"/>
      <c r="FV15" s="4"/>
      <c r="FW15" s="4"/>
      <c r="FX15" s="4"/>
      <c r="FY15" s="4"/>
      <c r="FZ15" s="4"/>
      <c r="GA15" s="4"/>
      <c r="GB15" s="4"/>
      <c r="GC15" s="4"/>
      <c r="GD15" s="4"/>
      <c r="GE15" s="4"/>
      <c r="GF15" s="4"/>
      <c r="GG15" s="4"/>
      <c r="GH15" s="4"/>
      <c r="GI15" s="4"/>
      <c r="GJ15" s="4"/>
      <c r="GK15" s="4"/>
      <c r="GL15" s="4"/>
      <c r="GM15" s="4"/>
      <c r="GN15" s="4"/>
      <c r="GO15" s="4"/>
      <c r="GP15" s="4"/>
      <c r="GQ15" s="4"/>
      <c r="GR15" s="4"/>
      <c r="GS15" s="4"/>
      <c r="GT15" s="4"/>
      <c r="GU15" s="4"/>
      <c r="GV15" s="4"/>
      <c r="GW15" s="4"/>
      <c r="GX15" s="4"/>
      <c r="GY15" s="4"/>
      <c r="GZ15" s="4"/>
      <c r="HA15" s="4"/>
      <c r="HB15" s="4"/>
      <c r="HC15" s="4"/>
      <c r="HD15" s="4"/>
      <c r="HE15" s="4"/>
      <c r="HF15" s="4"/>
      <c r="HG15" s="4"/>
      <c r="HH15" s="4"/>
      <c r="HI15" s="4"/>
      <c r="HJ15" s="4"/>
      <c r="HK15" s="4"/>
      <c r="HL15" s="4"/>
      <c r="HM15" s="4"/>
      <c r="HN15" s="4"/>
      <c r="HO15" s="4"/>
      <c r="HP15" s="4"/>
      <c r="HQ15" s="4"/>
      <c r="HR15" s="4"/>
      <c r="HS15" s="4"/>
      <c r="HT15" s="4"/>
      <c r="HU15" s="4"/>
      <c r="HV15" s="4"/>
      <c r="HW15" s="4"/>
      <c r="HX15" s="4"/>
      <c r="HY15" s="4"/>
      <c r="HZ15" s="4"/>
      <c r="IA15" s="4"/>
      <c r="IB15" s="4"/>
      <c r="IC15" s="4"/>
      <c r="ID15" s="4"/>
      <c r="IE15" s="4"/>
      <c r="IF15" s="4"/>
      <c r="IG15" s="4"/>
      <c r="IH15" s="4"/>
      <c r="II15" s="4"/>
      <c r="IJ15" s="4"/>
      <c r="IK15" s="4"/>
    </row>
    <row r="16" spans="1:245" outlineLevel="1">
      <c r="A16" s="116"/>
      <c r="B16" s="116"/>
      <c r="C16" s="116">
        <v>2</v>
      </c>
      <c r="D16" s="3" t="s">
        <v>1075</v>
      </c>
      <c r="E16" s="183"/>
      <c r="F16" s="183" t="s">
        <v>1112</v>
      </c>
      <c r="G16" s="183"/>
      <c r="H16" s="183"/>
      <c r="I16" s="183"/>
      <c r="J16" s="183"/>
      <c r="K16" s="183"/>
      <c r="L16" s="183"/>
      <c r="M16" s="184">
        <v>44462</v>
      </c>
      <c r="N16" s="184">
        <v>44489</v>
      </c>
      <c r="O16" s="185"/>
      <c r="P16" s="186">
        <v>20</v>
      </c>
      <c r="Q16" s="186">
        <v>20</v>
      </c>
      <c r="R16" s="187">
        <v>20</v>
      </c>
      <c r="S16" s="187">
        <v>20</v>
      </c>
      <c r="T16" s="184"/>
      <c r="U16" s="184"/>
      <c r="V16" s="188"/>
      <c r="W16" s="189">
        <v>0</v>
      </c>
      <c r="X16" s="190">
        <v>1</v>
      </c>
      <c r="Y16" s="185" t="s">
        <v>1121</v>
      </c>
      <c r="Z16" s="191"/>
      <c r="AA16" s="97">
        <v>1</v>
      </c>
      <c r="AB16" s="192">
        <v>0</v>
      </c>
      <c r="AC16" s="123"/>
      <c r="AD16" s="4"/>
      <c r="AE16" s="4"/>
      <c r="AF16" s="4"/>
      <c r="AG16" s="4"/>
      <c r="AH16" s="4"/>
      <c r="AI16" s="4"/>
      <c r="AJ16" s="4"/>
      <c r="AK16" s="4"/>
      <c r="AL16" s="4"/>
      <c r="AM16" s="4"/>
      <c r="AN16" s="4"/>
      <c r="AO16" s="4"/>
      <c r="AP16" s="4"/>
      <c r="AQ16" s="4"/>
      <c r="AR16" s="4"/>
      <c r="AS16" s="4" t="str">
        <f>"   " &amp; TEXT(AB16,"#0.00%") &amp; " "</f>
        <v xml:space="preserve">   0.00% </v>
      </c>
      <c r="AT16" s="4"/>
      <c r="AU16" s="4"/>
      <c r="AV16" s="4"/>
      <c r="AW16" s="4" t="str">
        <f>"   " &amp; "Android" &amp; "(Andrew)" &amp; " " &amp; IF(M16="","",TEXT(M16,"M/D-")) &amp; IF(N16="","",TEXT(N16,"M/D")) &amp; " "</f>
        <v xml:space="preserve">   Android(Andrew) 9/23-10/20 </v>
      </c>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c r="ER16" s="4"/>
      <c r="ES16" s="4"/>
      <c r="ET16" s="4"/>
      <c r="EU16" s="4"/>
      <c r="EV16" s="4"/>
      <c r="EW16" s="4"/>
      <c r="EX16" s="4"/>
      <c r="EY16" s="4"/>
      <c r="EZ16" s="4"/>
      <c r="FA16" s="4"/>
      <c r="FB16" s="4"/>
      <c r="FC16" s="4"/>
      <c r="FD16" s="4"/>
      <c r="FE16" s="4"/>
      <c r="FF16" s="4"/>
      <c r="FG16" s="4"/>
      <c r="FH16" s="4"/>
      <c r="FI16" s="4"/>
      <c r="FJ16" s="4"/>
      <c r="FK16" s="4"/>
      <c r="FL16" s="4"/>
      <c r="FM16" s="4"/>
      <c r="FN16" s="4"/>
      <c r="FO16" s="4"/>
      <c r="FP16" s="4"/>
      <c r="FQ16" s="4"/>
      <c r="FR16" s="4"/>
      <c r="FS16" s="4"/>
      <c r="FT16" s="4"/>
      <c r="FU16" s="4"/>
      <c r="FV16" s="4"/>
      <c r="FW16" s="4"/>
      <c r="FX16" s="4"/>
      <c r="FY16" s="4"/>
      <c r="FZ16" s="4"/>
      <c r="GA16" s="4"/>
      <c r="GB16" s="4"/>
      <c r="GC16" s="4"/>
      <c r="GD16" s="4"/>
      <c r="GE16" s="4"/>
      <c r="GF16" s="4"/>
      <c r="GG16" s="4"/>
      <c r="GH16" s="4"/>
      <c r="GI16" s="4"/>
      <c r="GJ16" s="4"/>
      <c r="GK16" s="4"/>
      <c r="GL16" s="4"/>
      <c r="GM16" s="4"/>
      <c r="GN16" s="4"/>
      <c r="GO16" s="4"/>
      <c r="GP16" s="4"/>
      <c r="GQ16" s="4"/>
      <c r="GR16" s="4"/>
      <c r="GS16" s="4"/>
      <c r="GT16" s="4"/>
      <c r="GU16" s="4"/>
      <c r="GV16" s="4"/>
      <c r="GW16" s="4"/>
      <c r="GX16" s="4"/>
      <c r="GY16" s="4"/>
      <c r="GZ16" s="4"/>
      <c r="HA16" s="4"/>
      <c r="HB16" s="4"/>
      <c r="HC16" s="4"/>
      <c r="HD16" s="4"/>
      <c r="HE16" s="4"/>
      <c r="HF16" s="4"/>
      <c r="HG16" s="4"/>
      <c r="HH16" s="4"/>
      <c r="HI16" s="4"/>
      <c r="HJ16" s="4"/>
      <c r="HK16" s="4"/>
      <c r="HL16" s="4"/>
      <c r="HM16" s="4"/>
      <c r="HN16" s="4"/>
      <c r="HO16" s="4"/>
      <c r="HP16" s="4"/>
      <c r="HQ16" s="4"/>
      <c r="HR16" s="4"/>
      <c r="HS16" s="4"/>
      <c r="HT16" s="4"/>
      <c r="HU16" s="4"/>
      <c r="HV16" s="4"/>
      <c r="HW16" s="4"/>
      <c r="HX16" s="4"/>
      <c r="HY16" s="4"/>
      <c r="HZ16" s="4"/>
      <c r="IA16" s="4"/>
      <c r="IB16" s="4"/>
      <c r="IC16" s="4"/>
      <c r="ID16" s="4"/>
      <c r="IE16" s="4"/>
      <c r="IF16" s="4"/>
      <c r="IG16" s="4"/>
      <c r="IH16" s="4"/>
      <c r="II16" s="4"/>
      <c r="IJ16" s="4"/>
      <c r="IK16" s="4"/>
    </row>
    <row r="17" spans="1:245" outlineLevel="1">
      <c r="A17" s="116"/>
      <c r="B17" s="116"/>
      <c r="C17" s="116">
        <v>2</v>
      </c>
      <c r="D17" s="3" t="s">
        <v>1076</v>
      </c>
      <c r="E17" s="183"/>
      <c r="F17" s="183" t="s">
        <v>1113</v>
      </c>
      <c r="G17" s="183"/>
      <c r="H17" s="183"/>
      <c r="I17" s="183"/>
      <c r="J17" s="183"/>
      <c r="K17" s="183"/>
      <c r="L17" s="183"/>
      <c r="M17" s="184">
        <v>44518</v>
      </c>
      <c r="N17" s="184">
        <v>44524</v>
      </c>
      <c r="O17" s="185"/>
      <c r="P17" s="186">
        <v>5</v>
      </c>
      <c r="Q17" s="186">
        <v>4</v>
      </c>
      <c r="R17" s="187">
        <v>5</v>
      </c>
      <c r="S17" s="187">
        <v>4</v>
      </c>
      <c r="T17" s="184"/>
      <c r="U17" s="184"/>
      <c r="V17" s="188"/>
      <c r="W17" s="189">
        <v>0</v>
      </c>
      <c r="X17" s="190">
        <v>1</v>
      </c>
      <c r="Y17" s="185" t="s">
        <v>1122</v>
      </c>
      <c r="Z17" s="191"/>
      <c r="AA17" s="97">
        <v>0.8</v>
      </c>
      <c r="AB17" s="192">
        <v>0</v>
      </c>
      <c r="AC17" s="123"/>
      <c r="AD17" s="4"/>
      <c r="AE17" s="4"/>
      <c r="AF17" s="4"/>
      <c r="AG17" s="4"/>
      <c r="AH17" s="4"/>
      <c r="AI17" s="4"/>
      <c r="AJ17" s="4"/>
      <c r="AK17" s="4"/>
      <c r="AL17" s="4"/>
      <c r="AM17" s="4"/>
      <c r="AN17" s="4"/>
      <c r="AO17" s="4"/>
      <c r="AP17" s="4"/>
      <c r="AQ17" s="4"/>
      <c r="AR17" s="4"/>
      <c r="AS17" s="4"/>
      <c r="AT17" s="4"/>
      <c r="AU17" s="4"/>
      <c r="AV17" s="4"/>
      <c r="AW17" s="4"/>
      <c r="AX17" s="4"/>
      <c r="AY17" s="4"/>
      <c r="AZ17" s="4"/>
      <c r="BA17" s="4" t="str">
        <f>"   " &amp; TEXT(AB17,"#0.00%") &amp; " " &amp; "QA" &amp; "(Eddie)" &amp; " " &amp; IF(M17="","",TEXT(M17,"M/D-")) &amp; IF(N17="","",TEXT(N17,"M/D")) &amp; " "</f>
        <v xml:space="preserve">   0.00% QA(Eddie) 11/18-11/24 </v>
      </c>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c r="ER17" s="4"/>
      <c r="ES17" s="4"/>
      <c r="ET17" s="4"/>
      <c r="EU17" s="4"/>
      <c r="EV17" s="4"/>
      <c r="EW17" s="4"/>
      <c r="EX17" s="4"/>
      <c r="EY17" s="4"/>
      <c r="EZ17" s="4"/>
      <c r="FA17" s="4"/>
      <c r="FB17" s="4"/>
      <c r="FC17" s="4"/>
      <c r="FD17" s="4"/>
      <c r="FE17" s="4"/>
      <c r="FF17" s="4"/>
      <c r="FG17" s="4"/>
      <c r="FH17" s="4"/>
      <c r="FI17" s="4"/>
      <c r="FJ17" s="4"/>
      <c r="FK17" s="4"/>
      <c r="FL17" s="4"/>
      <c r="FM17" s="4"/>
      <c r="FN17" s="4"/>
      <c r="FO17" s="4"/>
      <c r="FP17" s="4"/>
      <c r="FQ17" s="4"/>
      <c r="FR17" s="4"/>
      <c r="FS17" s="4"/>
      <c r="FT17" s="4"/>
      <c r="FU17" s="4"/>
      <c r="FV17" s="4"/>
      <c r="FW17" s="4"/>
      <c r="FX17" s="4"/>
      <c r="FY17" s="4"/>
      <c r="FZ17" s="4"/>
      <c r="GA17" s="4"/>
      <c r="GB17" s="4"/>
      <c r="GC17" s="4"/>
      <c r="GD17" s="4"/>
      <c r="GE17" s="4"/>
      <c r="GF17" s="4"/>
      <c r="GG17" s="4"/>
      <c r="GH17" s="4"/>
      <c r="GI17" s="4"/>
      <c r="GJ17" s="4"/>
      <c r="GK17" s="4"/>
      <c r="GL17" s="4"/>
      <c r="GM17" s="4"/>
      <c r="GN17" s="4"/>
      <c r="GO17" s="4"/>
      <c r="GP17" s="4"/>
      <c r="GQ17" s="4"/>
      <c r="GR17" s="4"/>
      <c r="GS17" s="4"/>
      <c r="GT17" s="4"/>
      <c r="GU17" s="4"/>
      <c r="GV17" s="4"/>
      <c r="GW17" s="4"/>
      <c r="GX17" s="4"/>
      <c r="GY17" s="4"/>
      <c r="GZ17" s="4"/>
      <c r="HA17" s="4"/>
      <c r="HB17" s="4"/>
      <c r="HC17" s="4"/>
      <c r="HD17" s="4"/>
      <c r="HE17" s="4"/>
      <c r="HF17" s="4"/>
      <c r="HG17" s="4"/>
      <c r="HH17" s="4"/>
      <c r="HI17" s="4"/>
      <c r="HJ17" s="4"/>
      <c r="HK17" s="4"/>
      <c r="HL17" s="4"/>
      <c r="HM17" s="4"/>
      <c r="HN17" s="4"/>
      <c r="HO17" s="4"/>
      <c r="HP17" s="4"/>
      <c r="HQ17" s="4"/>
      <c r="HR17" s="4"/>
      <c r="HS17" s="4"/>
      <c r="HT17" s="4"/>
      <c r="HU17" s="4"/>
      <c r="HV17" s="4"/>
      <c r="HW17" s="4"/>
      <c r="HX17" s="4"/>
      <c r="HY17" s="4"/>
      <c r="HZ17" s="4"/>
      <c r="IA17" s="4"/>
      <c r="IB17" s="4"/>
      <c r="IC17" s="4"/>
      <c r="ID17" s="4"/>
      <c r="IE17" s="4"/>
      <c r="IF17" s="4"/>
      <c r="IG17" s="4"/>
      <c r="IH17" s="4"/>
      <c r="II17" s="4"/>
      <c r="IJ17" s="4"/>
      <c r="IK17" s="4"/>
    </row>
    <row r="18" spans="1:245" outlineLevel="1">
      <c r="A18" s="116"/>
      <c r="B18" s="116"/>
      <c r="C18" s="116">
        <v>0</v>
      </c>
      <c r="D18" s="3"/>
      <c r="E18" s="183"/>
      <c r="F18" s="183"/>
      <c r="G18" s="183"/>
      <c r="H18" s="183"/>
      <c r="I18" s="183"/>
      <c r="J18" s="183"/>
      <c r="K18" s="183"/>
      <c r="L18" s="183"/>
      <c r="M18" s="184"/>
      <c r="N18" s="184"/>
      <c r="O18" s="185"/>
      <c r="P18" s="186"/>
      <c r="Q18" s="186"/>
      <c r="R18" s="187">
        <v>0</v>
      </c>
      <c r="S18" s="187">
        <v>0</v>
      </c>
      <c r="T18" s="184"/>
      <c r="U18" s="184"/>
      <c r="V18" s="188"/>
      <c r="W18" s="189">
        <v>0</v>
      </c>
      <c r="X18" s="190"/>
      <c r="Y18" s="185"/>
      <c r="Z18" s="191"/>
      <c r="AA18" s="97"/>
      <c r="AB18" s="192"/>
      <c r="AC18" s="123"/>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c r="ER18" s="4"/>
      <c r="ES18" s="4"/>
      <c r="ET18" s="4"/>
      <c r="EU18" s="4"/>
      <c r="EV18" s="4"/>
      <c r="EW18" s="4"/>
      <c r="EX18" s="4"/>
      <c r="EY18" s="4"/>
      <c r="EZ18" s="4"/>
      <c r="FA18" s="4"/>
      <c r="FB18" s="4"/>
      <c r="FC18" s="4"/>
      <c r="FD18" s="4"/>
      <c r="FE18" s="4"/>
      <c r="FF18" s="4"/>
      <c r="FG18" s="4"/>
      <c r="FH18" s="4"/>
      <c r="FI18" s="4"/>
      <c r="FJ18" s="4"/>
      <c r="FK18" s="4"/>
      <c r="FL18" s="4"/>
      <c r="FM18" s="4"/>
      <c r="FN18" s="4"/>
      <c r="FO18" s="4"/>
      <c r="FP18" s="4"/>
      <c r="FQ18" s="4"/>
      <c r="FR18" s="4"/>
      <c r="FS18" s="4"/>
      <c r="FT18" s="4"/>
      <c r="FU18" s="4"/>
      <c r="FV18" s="4"/>
      <c r="FW18" s="4"/>
      <c r="FX18" s="4"/>
      <c r="FY18" s="4"/>
      <c r="FZ18" s="4"/>
      <c r="GA18" s="4"/>
      <c r="GB18" s="4"/>
      <c r="GC18" s="4"/>
      <c r="GD18" s="4"/>
      <c r="GE18" s="4"/>
      <c r="GF18" s="4"/>
      <c r="GG18" s="4"/>
      <c r="GH18" s="4"/>
      <c r="GI18" s="4"/>
      <c r="GJ18" s="4"/>
      <c r="GK18" s="4"/>
      <c r="GL18" s="4"/>
      <c r="GM18" s="4"/>
      <c r="GN18" s="4"/>
      <c r="GO18" s="4"/>
      <c r="GP18" s="4"/>
      <c r="GQ18" s="4"/>
      <c r="GR18" s="4"/>
      <c r="GS18" s="4"/>
      <c r="GT18" s="4"/>
      <c r="GU18" s="4"/>
      <c r="GV18" s="4"/>
      <c r="GW18" s="4"/>
      <c r="GX18" s="4"/>
      <c r="GY18" s="4"/>
      <c r="GZ18" s="4"/>
      <c r="HA18" s="4"/>
      <c r="HB18" s="4"/>
      <c r="HC18" s="4"/>
      <c r="HD18" s="4"/>
      <c r="HE18" s="4"/>
      <c r="HF18" s="4"/>
      <c r="HG18" s="4"/>
      <c r="HH18" s="4"/>
      <c r="HI18" s="4"/>
      <c r="HJ18" s="4"/>
      <c r="HK18" s="4"/>
      <c r="HL18" s="4"/>
      <c r="HM18" s="4"/>
      <c r="HN18" s="4"/>
      <c r="HO18" s="4"/>
      <c r="HP18" s="4"/>
      <c r="HQ18" s="4"/>
      <c r="HR18" s="4"/>
      <c r="HS18" s="4"/>
      <c r="HT18" s="4"/>
      <c r="HU18" s="4"/>
      <c r="HV18" s="4"/>
      <c r="HW18" s="4"/>
      <c r="HX18" s="4"/>
      <c r="HY18" s="4"/>
      <c r="HZ18" s="4"/>
      <c r="IA18" s="4"/>
      <c r="IB18" s="4"/>
      <c r="IC18" s="4"/>
      <c r="ID18" s="4"/>
      <c r="IE18" s="4"/>
      <c r="IF18" s="4"/>
      <c r="IG18" s="4"/>
      <c r="IH18" s="4"/>
      <c r="II18" s="4"/>
      <c r="IJ18" s="4"/>
      <c r="IK18" s="4"/>
    </row>
    <row r="19" spans="1:245">
      <c r="A19" s="116"/>
      <c r="B19" s="116" t="s">
        <v>983</v>
      </c>
      <c r="C19" s="116">
        <v>1</v>
      </c>
      <c r="D19" s="3" t="s">
        <v>1044</v>
      </c>
      <c r="E19" s="183" t="s">
        <v>1123</v>
      </c>
      <c r="F19" s="183"/>
      <c r="G19" s="183"/>
      <c r="H19" s="183"/>
      <c r="I19" s="183"/>
      <c r="J19" s="183"/>
      <c r="K19" s="183"/>
      <c r="L19" s="183"/>
      <c r="M19" s="184">
        <v>44462</v>
      </c>
      <c r="N19" s="184">
        <v>44533</v>
      </c>
      <c r="O19" s="185"/>
      <c r="P19" s="186">
        <v>75</v>
      </c>
      <c r="Q19" s="186">
        <v>61</v>
      </c>
      <c r="R19" s="187">
        <v>52</v>
      </c>
      <c r="S19" s="187">
        <v>44</v>
      </c>
      <c r="T19" s="184"/>
      <c r="U19" s="184"/>
      <c r="V19" s="188">
        <v>0</v>
      </c>
      <c r="W19" s="189">
        <v>0</v>
      </c>
      <c r="X19" s="190"/>
      <c r="Y19" s="185"/>
      <c r="Z19" s="191"/>
      <c r="AA19" s="97">
        <v>0.81333333333333335</v>
      </c>
      <c r="AB19" s="192">
        <v>0.47866666666666663</v>
      </c>
      <c r="AC19" s="123"/>
      <c r="AD19" s="4"/>
      <c r="AE19" s="4"/>
      <c r="AF19" s="4"/>
      <c r="AG19" s="4"/>
      <c r="AH19" s="4"/>
      <c r="AI19" s="4"/>
      <c r="AJ19" s="4"/>
      <c r="AK19" s="4"/>
      <c r="AL19" s="4"/>
      <c r="AM19" s="4"/>
      <c r="AN19" s="4"/>
      <c r="AO19" s="4"/>
      <c r="AP19" s="4"/>
      <c r="AQ19" s="4"/>
      <c r="AR19" s="4"/>
      <c r="AS19" s="4"/>
      <c r="AT19" s="4"/>
      <c r="AU19" s="4"/>
      <c r="AV19" s="4"/>
      <c r="AW19" s="4"/>
      <c r="AX19" s="4" t="str">
        <f>"  " &amp; TEXT(AB19,"#0.00%") &amp; " "</f>
        <v xml:space="preserve">  47.87% </v>
      </c>
      <c r="AY19" s="4"/>
      <c r="AZ19" s="4"/>
      <c r="BA19" s="4"/>
      <c r="BB19" s="4"/>
      <c r="BC19" s="4" t="str">
        <f>"     " &amp; "[2109-09] New Point Policy" &amp; " " &amp; IF(M19="","",TEXT(M19,"M/D-")) &amp; IF(N19="","",TEXT(N19,"M/D")) &amp; " "</f>
        <v xml:space="preserve">     [2109-09] New Point Policy 9/23-12/3 </v>
      </c>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c r="ER19" s="4"/>
      <c r="ES19" s="4"/>
      <c r="ET19" s="4"/>
      <c r="EU19" s="4"/>
      <c r="EV19" s="4"/>
      <c r="EW19" s="4"/>
      <c r="EX19" s="4"/>
      <c r="EY19" s="4"/>
      <c r="EZ19" s="4"/>
      <c r="FA19" s="4"/>
      <c r="FB19" s="4"/>
      <c r="FC19" s="4"/>
      <c r="FD19" s="4"/>
      <c r="FE19" s="4"/>
      <c r="FF19" s="4"/>
      <c r="FG19" s="4"/>
      <c r="FH19" s="4"/>
      <c r="FI19" s="4"/>
      <c r="FJ19" s="4"/>
      <c r="FK19" s="4"/>
      <c r="FL19" s="4"/>
      <c r="FM19" s="4"/>
      <c r="FN19" s="4"/>
      <c r="FO19" s="4"/>
      <c r="FP19" s="4"/>
      <c r="FQ19" s="4"/>
      <c r="FR19" s="4"/>
      <c r="FS19" s="4"/>
      <c r="FT19" s="4"/>
      <c r="FU19" s="4"/>
      <c r="FV19" s="4"/>
      <c r="FW19" s="4"/>
      <c r="FX19" s="4"/>
      <c r="FY19" s="4"/>
      <c r="FZ19" s="4"/>
      <c r="GA19" s="4"/>
      <c r="GB19" s="4"/>
      <c r="GC19" s="4"/>
      <c r="GD19" s="4"/>
      <c r="GE19" s="4"/>
      <c r="GF19" s="4"/>
      <c r="GG19" s="4"/>
      <c r="GH19" s="4"/>
      <c r="GI19" s="4"/>
      <c r="GJ19" s="4"/>
      <c r="GK19" s="4"/>
      <c r="GL19" s="4"/>
      <c r="GM19" s="4"/>
      <c r="GN19" s="4"/>
      <c r="GO19" s="4"/>
      <c r="GP19" s="4"/>
      <c r="GQ19" s="4"/>
      <c r="GR19" s="4"/>
      <c r="GS19" s="4"/>
      <c r="GT19" s="4"/>
      <c r="GU19" s="4"/>
      <c r="GV19" s="4"/>
      <c r="GW19" s="4"/>
      <c r="GX19" s="4"/>
      <c r="GY19" s="4"/>
      <c r="GZ19" s="4"/>
      <c r="HA19" s="4"/>
      <c r="HB19" s="4"/>
      <c r="HC19" s="4"/>
      <c r="HD19" s="4"/>
      <c r="HE19" s="4"/>
      <c r="HF19" s="4"/>
      <c r="HG19" s="4"/>
      <c r="HH19" s="4"/>
      <c r="HI19" s="4"/>
      <c r="HJ19" s="4"/>
      <c r="HK19" s="4"/>
      <c r="HL19" s="4"/>
      <c r="HM19" s="4"/>
      <c r="HN19" s="4"/>
      <c r="HO19" s="4"/>
      <c r="HP19" s="4"/>
      <c r="HQ19" s="4"/>
      <c r="HR19" s="4"/>
      <c r="HS19" s="4"/>
      <c r="HT19" s="4"/>
      <c r="HU19" s="4"/>
      <c r="HV19" s="4"/>
      <c r="HW19" s="4"/>
      <c r="HX19" s="4"/>
      <c r="HY19" s="4"/>
      <c r="HZ19" s="4"/>
      <c r="IA19" s="4"/>
      <c r="IB19" s="4"/>
      <c r="IC19" s="4"/>
      <c r="ID19" s="4"/>
      <c r="IE19" s="4"/>
      <c r="IF19" s="4"/>
      <c r="IG19" s="4"/>
      <c r="IH19" s="4"/>
      <c r="II19" s="4"/>
      <c r="IJ19" s="4"/>
      <c r="IK19" s="4"/>
    </row>
    <row r="20" spans="1:245" outlineLevel="1">
      <c r="A20" s="116"/>
      <c r="B20" s="116"/>
      <c r="C20" s="116">
        <v>2</v>
      </c>
      <c r="D20" s="3" t="s">
        <v>1045</v>
      </c>
      <c r="E20" s="183"/>
      <c r="F20" s="183" t="s">
        <v>1093</v>
      </c>
      <c r="G20" s="183"/>
      <c r="H20" s="183"/>
      <c r="I20" s="183"/>
      <c r="J20" s="183"/>
      <c r="K20" s="183"/>
      <c r="L20" s="183"/>
      <c r="M20" s="184">
        <v>44462</v>
      </c>
      <c r="N20" s="184">
        <v>44466</v>
      </c>
      <c r="O20" s="185"/>
      <c r="P20" s="186">
        <v>3</v>
      </c>
      <c r="Q20" s="186">
        <v>3</v>
      </c>
      <c r="R20" s="187">
        <v>3</v>
      </c>
      <c r="S20" s="187">
        <v>3</v>
      </c>
      <c r="T20" s="184"/>
      <c r="U20" s="184"/>
      <c r="V20" s="188"/>
      <c r="W20" s="189">
        <v>0</v>
      </c>
      <c r="X20" s="190">
        <v>1</v>
      </c>
      <c r="Y20" s="185" t="s">
        <v>1114</v>
      </c>
      <c r="Z20" s="191"/>
      <c r="AA20" s="97">
        <v>1</v>
      </c>
      <c r="AB20" s="192">
        <v>1</v>
      </c>
      <c r="AC20" s="123"/>
      <c r="AD20" s="4"/>
      <c r="AE20" s="4"/>
      <c r="AF20" s="4"/>
      <c r="AG20" s="4"/>
      <c r="AH20" s="4"/>
      <c r="AI20" s="4"/>
      <c r="AJ20" s="4"/>
      <c r="AK20" s="4"/>
      <c r="AL20" s="4"/>
      <c r="AM20" s="4"/>
      <c r="AN20" s="4"/>
      <c r="AO20" s="4"/>
      <c r="AP20" s="4"/>
      <c r="AQ20" s="4"/>
      <c r="AR20" s="4"/>
      <c r="AS20" s="4"/>
      <c r="AT20" s="4" t="str">
        <f>" " &amp; TEXT(AB20,"#0.00%") &amp; " " &amp; "Design" &amp; "(Meghan)" &amp; " " &amp; IF(M20="","",TEXT(M20,"M/D-")) &amp; IF(N20="","",TEXT(N20,"M/D")) &amp; " "</f>
        <v xml:space="preserve"> 100.00% Design(Meghan) 9/23-9/27 </v>
      </c>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c r="ER20" s="4"/>
      <c r="ES20" s="4"/>
      <c r="ET20" s="4"/>
      <c r="EU20" s="4"/>
      <c r="EV20" s="4"/>
      <c r="EW20" s="4"/>
      <c r="EX20" s="4"/>
      <c r="EY20" s="4"/>
      <c r="EZ20" s="4"/>
      <c r="FA20" s="4"/>
      <c r="FB20" s="4"/>
      <c r="FC20" s="4"/>
      <c r="FD20" s="4"/>
      <c r="FE20" s="4"/>
      <c r="FF20" s="4"/>
      <c r="FG20" s="4"/>
      <c r="FH20" s="4"/>
      <c r="FI20" s="4"/>
      <c r="FJ20" s="4"/>
      <c r="FK20" s="4"/>
      <c r="FL20" s="4"/>
      <c r="FM20" s="4"/>
      <c r="FN20" s="4"/>
      <c r="FO20" s="4"/>
      <c r="FP20" s="4"/>
      <c r="FQ20" s="4"/>
      <c r="FR20" s="4"/>
      <c r="FS20" s="4"/>
      <c r="FT20" s="4"/>
      <c r="FU20" s="4"/>
      <c r="FV20" s="4"/>
      <c r="FW20" s="4"/>
      <c r="FX20" s="4"/>
      <c r="FY20" s="4"/>
      <c r="FZ20" s="4"/>
      <c r="GA20" s="4"/>
      <c r="GB20" s="4"/>
      <c r="GC20" s="4"/>
      <c r="GD20" s="4"/>
      <c r="GE20" s="4"/>
      <c r="GF20" s="4"/>
      <c r="GG20" s="4"/>
      <c r="GH20" s="4"/>
      <c r="GI20" s="4"/>
      <c r="GJ20" s="4"/>
      <c r="GK20" s="4"/>
      <c r="GL20" s="4"/>
      <c r="GM20" s="4"/>
      <c r="GN20" s="4"/>
      <c r="GO20" s="4"/>
      <c r="GP20" s="4"/>
      <c r="GQ20" s="4"/>
      <c r="GR20" s="4"/>
      <c r="GS20" s="4"/>
      <c r="GT20" s="4"/>
      <c r="GU20" s="4"/>
      <c r="GV20" s="4"/>
      <c r="GW20" s="4"/>
      <c r="GX20" s="4"/>
      <c r="GY20" s="4"/>
      <c r="GZ20" s="4"/>
      <c r="HA20" s="4"/>
      <c r="HB20" s="4"/>
      <c r="HC20" s="4"/>
      <c r="HD20" s="4"/>
      <c r="HE20" s="4"/>
      <c r="HF20" s="4"/>
      <c r="HG20" s="4"/>
      <c r="HH20" s="4"/>
      <c r="HI20" s="4"/>
      <c r="HJ20" s="4"/>
      <c r="HK20" s="4"/>
      <c r="HL20" s="4"/>
      <c r="HM20" s="4"/>
      <c r="HN20" s="4"/>
      <c r="HO20" s="4"/>
      <c r="HP20" s="4"/>
      <c r="HQ20" s="4"/>
      <c r="HR20" s="4"/>
      <c r="HS20" s="4"/>
      <c r="HT20" s="4"/>
      <c r="HU20" s="4"/>
      <c r="HV20" s="4"/>
      <c r="HW20" s="4"/>
      <c r="HX20" s="4"/>
      <c r="HY20" s="4"/>
      <c r="HZ20" s="4"/>
      <c r="IA20" s="4"/>
      <c r="IB20" s="4"/>
      <c r="IC20" s="4"/>
      <c r="ID20" s="4"/>
      <c r="IE20" s="4"/>
      <c r="IF20" s="4"/>
      <c r="IG20" s="4"/>
      <c r="IH20" s="4"/>
      <c r="II20" s="4"/>
      <c r="IJ20" s="4"/>
      <c r="IK20" s="4"/>
    </row>
    <row r="21" spans="1:245" outlineLevel="1">
      <c r="A21" s="116"/>
      <c r="B21" s="116"/>
      <c r="C21" s="116">
        <v>2</v>
      </c>
      <c r="D21" s="3" t="s">
        <v>1055</v>
      </c>
      <c r="E21" s="183"/>
      <c r="F21" s="183" t="s">
        <v>1110</v>
      </c>
      <c r="G21" s="183"/>
      <c r="H21" s="183"/>
      <c r="I21" s="183"/>
      <c r="J21" s="183"/>
      <c r="K21" s="183"/>
      <c r="L21" s="183"/>
      <c r="M21" s="184">
        <v>44462</v>
      </c>
      <c r="N21" s="184">
        <v>44526</v>
      </c>
      <c r="O21" s="185"/>
      <c r="P21" s="186">
        <v>47</v>
      </c>
      <c r="Q21" s="186">
        <v>44</v>
      </c>
      <c r="R21" s="187">
        <v>47</v>
      </c>
      <c r="S21" s="187">
        <v>44</v>
      </c>
      <c r="T21" s="184"/>
      <c r="U21" s="184"/>
      <c r="V21" s="188"/>
      <c r="W21" s="189">
        <v>0</v>
      </c>
      <c r="X21" s="190">
        <v>1</v>
      </c>
      <c r="Y21" s="185" t="s">
        <v>1124</v>
      </c>
      <c r="Z21" s="191"/>
      <c r="AA21" s="97">
        <v>0.93617021276595747</v>
      </c>
      <c r="AB21" s="192">
        <v>0.7</v>
      </c>
      <c r="AC21" s="123"/>
      <c r="AD21" s="4"/>
      <c r="AE21" s="4"/>
      <c r="AF21" s="4"/>
      <c r="AG21" s="4"/>
      <c r="AH21" s="4"/>
      <c r="AI21" s="4"/>
      <c r="AJ21" s="4"/>
      <c r="AK21" s="4"/>
      <c r="AL21" s="4"/>
      <c r="AM21" s="4"/>
      <c r="AN21" s="4"/>
      <c r="AO21" s="4"/>
      <c r="AP21" s="4"/>
      <c r="AQ21" s="4"/>
      <c r="AR21" s="4"/>
      <c r="AS21" s="4"/>
      <c r="AT21" s="4"/>
      <c r="AU21" s="4"/>
      <c r="AV21" s="4"/>
      <c r="AW21" s="4"/>
      <c r="AX21" s="4"/>
      <c r="AY21" s="4" t="str">
        <f>"      " &amp; TEXT(AB21,"#0.00%") &amp; " " &amp; "Server" &amp; "(JY)" &amp; " " &amp; IF(M21="","",TEXT(M21,"M/D-")) &amp; IF(N21="","",TEXT(N21,"M/D")) &amp; " "</f>
        <v xml:space="preserve">      70.00% Server(JY) 9/23-11/26 </v>
      </c>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c r="ER21" s="4"/>
      <c r="ES21" s="4"/>
      <c r="ET21" s="4"/>
      <c r="EU21" s="4"/>
      <c r="EV21" s="4"/>
      <c r="EW21" s="4"/>
      <c r="EX21" s="4"/>
      <c r="EY21" s="4"/>
      <c r="EZ21" s="4"/>
      <c r="FA21" s="4"/>
      <c r="FB21" s="4"/>
      <c r="FC21" s="4"/>
      <c r="FD21" s="4"/>
      <c r="FE21" s="4"/>
      <c r="FF21" s="4"/>
      <c r="FG21" s="4"/>
      <c r="FH21" s="4"/>
      <c r="FI21" s="4"/>
      <c r="FJ21" s="4"/>
      <c r="FK21" s="4"/>
      <c r="FL21" s="4"/>
      <c r="FM21" s="4"/>
      <c r="FN21" s="4"/>
      <c r="FO21" s="4"/>
      <c r="FP21" s="4"/>
      <c r="FQ21" s="4"/>
      <c r="FR21" s="4"/>
      <c r="FS21" s="4"/>
      <c r="FT21" s="4"/>
      <c r="FU21" s="4"/>
      <c r="FV21" s="4"/>
      <c r="FW21" s="4"/>
      <c r="FX21" s="4"/>
      <c r="FY21" s="4"/>
      <c r="FZ21" s="4"/>
      <c r="GA21" s="4"/>
      <c r="GB21" s="4"/>
      <c r="GC21" s="4"/>
      <c r="GD21" s="4"/>
      <c r="GE21" s="4"/>
      <c r="GF21" s="4"/>
      <c r="GG21" s="4"/>
      <c r="GH21" s="4"/>
      <c r="GI21" s="4"/>
      <c r="GJ21" s="4"/>
      <c r="GK21" s="4"/>
      <c r="GL21" s="4"/>
      <c r="GM21" s="4"/>
      <c r="GN21" s="4"/>
      <c r="GO21" s="4"/>
      <c r="GP21" s="4"/>
      <c r="GQ21" s="4"/>
      <c r="GR21" s="4"/>
      <c r="GS21" s="4"/>
      <c r="GT21" s="4"/>
      <c r="GU21" s="4"/>
      <c r="GV21" s="4"/>
      <c r="GW21" s="4"/>
      <c r="GX21" s="4"/>
      <c r="GY21" s="4"/>
      <c r="GZ21" s="4"/>
      <c r="HA21" s="4"/>
      <c r="HB21" s="4"/>
      <c r="HC21" s="4"/>
      <c r="HD21" s="4"/>
      <c r="HE21" s="4"/>
      <c r="HF21" s="4"/>
      <c r="HG21" s="4"/>
      <c r="HH21" s="4"/>
      <c r="HI21" s="4"/>
      <c r="HJ21" s="4"/>
      <c r="HK21" s="4"/>
      <c r="HL21" s="4"/>
      <c r="HM21" s="4"/>
      <c r="HN21" s="4"/>
      <c r="HO21" s="4"/>
      <c r="HP21" s="4"/>
      <c r="HQ21" s="4"/>
      <c r="HR21" s="4"/>
      <c r="HS21" s="4"/>
      <c r="HT21" s="4"/>
      <c r="HU21" s="4"/>
      <c r="HV21" s="4"/>
      <c r="HW21" s="4"/>
      <c r="HX21" s="4"/>
      <c r="HY21" s="4"/>
      <c r="HZ21" s="4"/>
      <c r="IA21" s="4"/>
      <c r="IB21" s="4"/>
      <c r="IC21" s="4"/>
      <c r="ID21" s="4"/>
      <c r="IE21" s="4"/>
      <c r="IF21" s="4"/>
      <c r="IG21" s="4"/>
      <c r="IH21" s="4"/>
      <c r="II21" s="4"/>
      <c r="IJ21" s="4"/>
      <c r="IK21" s="4"/>
    </row>
    <row r="22" spans="1:245" outlineLevel="1">
      <c r="A22" s="116"/>
      <c r="B22" s="116"/>
      <c r="C22" s="116">
        <v>2</v>
      </c>
      <c r="D22" s="3" t="s">
        <v>1056</v>
      </c>
      <c r="E22" s="210"/>
      <c r="F22" s="183" t="s">
        <v>1111</v>
      </c>
      <c r="G22" s="183"/>
      <c r="H22" s="183"/>
      <c r="I22" s="183"/>
      <c r="J22" s="183"/>
      <c r="K22" s="183"/>
      <c r="L22" s="183"/>
      <c r="M22" s="184">
        <v>44515</v>
      </c>
      <c r="N22" s="184">
        <v>44526</v>
      </c>
      <c r="O22" s="185"/>
      <c r="P22" s="186">
        <v>10</v>
      </c>
      <c r="Q22" s="186">
        <v>7</v>
      </c>
      <c r="R22" s="187">
        <v>10</v>
      </c>
      <c r="S22" s="187">
        <v>7</v>
      </c>
      <c r="T22" s="184"/>
      <c r="U22" s="184"/>
      <c r="V22" s="188"/>
      <c r="W22" s="189">
        <v>0</v>
      </c>
      <c r="X22" s="190">
        <v>1</v>
      </c>
      <c r="Y22" s="185" t="s">
        <v>1116</v>
      </c>
      <c r="Z22" s="191"/>
      <c r="AA22" s="97">
        <v>0.7</v>
      </c>
      <c r="AB22" s="192">
        <v>0</v>
      </c>
      <c r="AC22" s="123"/>
      <c r="AD22" s="4"/>
      <c r="AE22" s="4"/>
      <c r="AF22" s="4"/>
      <c r="AG22" s="4"/>
      <c r="AH22" s="4"/>
      <c r="AI22" s="4"/>
      <c r="AJ22" s="4"/>
      <c r="AK22" s="4"/>
      <c r="AL22" s="4"/>
      <c r="AM22" s="4"/>
      <c r="AN22" s="4"/>
      <c r="AO22" s="4"/>
      <c r="AP22" s="4"/>
      <c r="AQ22" s="4"/>
      <c r="AR22" s="4"/>
      <c r="AS22" s="4"/>
      <c r="AT22" s="4"/>
      <c r="AU22" s="4"/>
      <c r="AV22" s="4"/>
      <c r="AW22" s="4"/>
      <c r="AX22" s="4"/>
      <c r="AY22" s="4"/>
      <c r="AZ22" s="4"/>
      <c r="BA22" s="4" t="str">
        <f>"" &amp; TEXT(AB22,"#0.00%") &amp; " " &amp; "iOS" &amp; "(Nabin)" &amp; " " &amp; IF(M22="","",TEXT(M22,"M/D-")) &amp; IF(N22="","",TEXT(N22,"M/D")) &amp; " "</f>
        <v xml:space="preserve">0.00% iOS(Nabin) 11/15-11/26 </v>
      </c>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c r="EK22" s="4"/>
      <c r="EL22" s="4"/>
      <c r="EM22" s="4"/>
      <c r="EN22" s="4"/>
      <c r="EO22" s="4"/>
      <c r="EP22" s="4"/>
      <c r="EQ22" s="4"/>
      <c r="ER22" s="4"/>
      <c r="ES22" s="4"/>
      <c r="ET22" s="4"/>
      <c r="EU22" s="4"/>
      <c r="EV22" s="4"/>
      <c r="EW22" s="4"/>
      <c r="EX22" s="4"/>
      <c r="EY22" s="4"/>
      <c r="EZ22" s="4"/>
      <c r="FA22" s="4"/>
      <c r="FB22" s="4"/>
      <c r="FC22" s="4"/>
      <c r="FD22" s="4"/>
      <c r="FE22" s="4"/>
      <c r="FF22" s="4"/>
      <c r="FG22" s="4"/>
      <c r="FH22" s="4"/>
      <c r="FI22" s="4"/>
      <c r="FJ22" s="4"/>
      <c r="FK22" s="4"/>
      <c r="FL22" s="4"/>
      <c r="FM22" s="4"/>
      <c r="FN22" s="4"/>
      <c r="FO22" s="4"/>
      <c r="FP22" s="4"/>
      <c r="FQ22" s="4"/>
      <c r="FR22" s="4"/>
      <c r="FS22" s="4"/>
      <c r="FT22" s="4"/>
      <c r="FU22" s="4"/>
      <c r="FV22" s="4"/>
      <c r="FW22" s="4"/>
      <c r="FX22" s="4"/>
      <c r="FY22" s="4"/>
      <c r="FZ22" s="4"/>
      <c r="GA22" s="4"/>
      <c r="GB22" s="4"/>
      <c r="GC22" s="4"/>
      <c r="GD22" s="4"/>
      <c r="GE22" s="4"/>
      <c r="GF22" s="4"/>
      <c r="GG22" s="4"/>
      <c r="GH22" s="4"/>
      <c r="GI22" s="4"/>
      <c r="GJ22" s="4"/>
      <c r="GK22" s="4"/>
      <c r="GL22" s="4"/>
      <c r="GM22" s="4"/>
      <c r="GN22" s="4"/>
      <c r="GO22" s="4"/>
      <c r="GP22" s="4"/>
      <c r="GQ22" s="4"/>
      <c r="GR22" s="4"/>
      <c r="GS22" s="4"/>
      <c r="GT22" s="4"/>
      <c r="GU22" s="4"/>
      <c r="GV22" s="4"/>
      <c r="GW22" s="4"/>
      <c r="GX22" s="4"/>
      <c r="GY22" s="4"/>
      <c r="GZ22" s="4"/>
      <c r="HA22" s="4"/>
      <c r="HB22" s="4"/>
      <c r="HC22" s="4"/>
      <c r="HD22" s="4"/>
      <c r="HE22" s="4"/>
      <c r="HF22" s="4"/>
      <c r="HG22" s="4"/>
      <c r="HH22" s="4"/>
      <c r="HI22" s="4"/>
      <c r="HJ22" s="4"/>
      <c r="HK22" s="4"/>
      <c r="HL22" s="4"/>
      <c r="HM22" s="4"/>
      <c r="HN22" s="4"/>
      <c r="HO22" s="4"/>
      <c r="HP22" s="4"/>
      <c r="HQ22" s="4"/>
      <c r="HR22" s="4"/>
      <c r="HS22" s="4"/>
      <c r="HT22" s="4"/>
      <c r="HU22" s="4"/>
      <c r="HV22" s="4"/>
      <c r="HW22" s="4"/>
      <c r="HX22" s="4"/>
      <c r="HY22" s="4"/>
      <c r="HZ22" s="4"/>
      <c r="IA22" s="4"/>
      <c r="IB22" s="4"/>
      <c r="IC22" s="4"/>
      <c r="ID22" s="4"/>
      <c r="IE22" s="4"/>
      <c r="IF22" s="4"/>
      <c r="IG22" s="4"/>
      <c r="IH22" s="4"/>
      <c r="II22" s="4"/>
      <c r="IJ22" s="4"/>
      <c r="IK22" s="4"/>
    </row>
    <row r="23" spans="1:245" outlineLevel="1">
      <c r="A23" s="116"/>
      <c r="B23" s="116"/>
      <c r="C23" s="116">
        <v>2</v>
      </c>
      <c r="D23" s="3" t="s">
        <v>1077</v>
      </c>
      <c r="E23" s="183"/>
      <c r="F23" s="183" t="s">
        <v>1112</v>
      </c>
      <c r="G23" s="183"/>
      <c r="H23" s="183"/>
      <c r="I23" s="183"/>
      <c r="J23" s="183"/>
      <c r="K23" s="183"/>
      <c r="L23" s="183"/>
      <c r="M23" s="184">
        <v>44515</v>
      </c>
      <c r="N23" s="184">
        <v>44526</v>
      </c>
      <c r="O23" s="185"/>
      <c r="P23" s="186">
        <v>10</v>
      </c>
      <c r="Q23" s="186">
        <v>7</v>
      </c>
      <c r="R23" s="187">
        <v>10</v>
      </c>
      <c r="S23" s="187">
        <v>7</v>
      </c>
      <c r="T23" s="184"/>
      <c r="U23" s="184"/>
      <c r="V23" s="188"/>
      <c r="W23" s="189">
        <v>0</v>
      </c>
      <c r="X23" s="190">
        <v>1</v>
      </c>
      <c r="Y23" s="185" t="s">
        <v>1117</v>
      </c>
      <c r="Z23" s="191"/>
      <c r="AA23" s="97">
        <v>0.7</v>
      </c>
      <c r="AB23" s="192">
        <v>0</v>
      </c>
      <c r="AC23" s="123"/>
      <c r="AD23" s="4"/>
      <c r="AE23" s="4"/>
      <c r="AF23" s="4"/>
      <c r="AG23" s="4"/>
      <c r="AH23" s="4"/>
      <c r="AI23" s="4"/>
      <c r="AJ23" s="4"/>
      <c r="AK23" s="4"/>
      <c r="AL23" s="4"/>
      <c r="AM23" s="4"/>
      <c r="AN23" s="4"/>
      <c r="AO23" s="4"/>
      <c r="AP23" s="4"/>
      <c r="AQ23" s="4"/>
      <c r="AR23" s="4"/>
      <c r="AS23" s="4"/>
      <c r="AT23" s="4"/>
      <c r="AU23" s="4"/>
      <c r="AV23" s="4"/>
      <c r="AW23" s="4"/>
      <c r="AX23" s="4"/>
      <c r="AY23" s="4"/>
      <c r="AZ23" s="4"/>
      <c r="BA23" s="4" t="str">
        <f>"" &amp; TEXT(AB23,"#0.00%") &amp; " " &amp; "Android" &amp; "(Preyea)" &amp; " " &amp; IF(M23="","",TEXT(M23,"M/D-")) &amp; IF(N23="","",TEXT(N23,"M/D")) &amp; " "</f>
        <v xml:space="preserve">0.00% Android(Preyea) 11/15-11/26 </v>
      </c>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c r="ER23" s="4"/>
      <c r="ES23" s="4"/>
      <c r="ET23" s="4"/>
      <c r="EU23" s="4"/>
      <c r="EV23" s="4"/>
      <c r="EW23" s="4"/>
      <c r="EX23" s="4"/>
      <c r="EY23" s="4"/>
      <c r="EZ23" s="4"/>
      <c r="FA23" s="4"/>
      <c r="FB23" s="4"/>
      <c r="FC23" s="4"/>
      <c r="FD23" s="4"/>
      <c r="FE23" s="4"/>
      <c r="FF23" s="4"/>
      <c r="FG23" s="4"/>
      <c r="FH23" s="4"/>
      <c r="FI23" s="4"/>
      <c r="FJ23" s="4"/>
      <c r="FK23" s="4"/>
      <c r="FL23" s="4"/>
      <c r="FM23" s="4"/>
      <c r="FN23" s="4"/>
      <c r="FO23" s="4"/>
      <c r="FP23" s="4"/>
      <c r="FQ23" s="4"/>
      <c r="FR23" s="4"/>
      <c r="FS23" s="4"/>
      <c r="FT23" s="4"/>
      <c r="FU23" s="4"/>
      <c r="FV23" s="4"/>
      <c r="FW23" s="4"/>
      <c r="FX23" s="4"/>
      <c r="FY23" s="4"/>
      <c r="FZ23" s="4"/>
      <c r="GA23" s="4"/>
      <c r="GB23" s="4"/>
      <c r="GC23" s="4"/>
      <c r="GD23" s="4"/>
      <c r="GE23" s="4"/>
      <c r="GF23" s="4"/>
      <c r="GG23" s="4"/>
      <c r="GH23" s="4"/>
      <c r="GI23" s="4"/>
      <c r="GJ23" s="4"/>
      <c r="GK23" s="4"/>
      <c r="GL23" s="4"/>
      <c r="GM23" s="4"/>
      <c r="GN23" s="4"/>
      <c r="GO23" s="4"/>
      <c r="GP23" s="4"/>
      <c r="GQ23" s="4"/>
      <c r="GR23" s="4"/>
      <c r="GS23" s="4"/>
      <c r="GT23" s="4"/>
      <c r="GU23" s="4"/>
      <c r="GV23" s="4"/>
      <c r="GW23" s="4"/>
      <c r="GX23" s="4"/>
      <c r="GY23" s="4"/>
      <c r="GZ23" s="4"/>
      <c r="HA23" s="4"/>
      <c r="HB23" s="4"/>
      <c r="HC23" s="4"/>
      <c r="HD23" s="4"/>
      <c r="HE23" s="4"/>
      <c r="HF23" s="4"/>
      <c r="HG23" s="4"/>
      <c r="HH23" s="4"/>
      <c r="HI23" s="4"/>
      <c r="HJ23" s="4"/>
      <c r="HK23" s="4"/>
      <c r="HL23" s="4"/>
      <c r="HM23" s="4"/>
      <c r="HN23" s="4"/>
      <c r="HO23" s="4"/>
      <c r="HP23" s="4"/>
      <c r="HQ23" s="4"/>
      <c r="HR23" s="4"/>
      <c r="HS23" s="4"/>
      <c r="HT23" s="4"/>
      <c r="HU23" s="4"/>
      <c r="HV23" s="4"/>
      <c r="HW23" s="4"/>
      <c r="HX23" s="4"/>
      <c r="HY23" s="4"/>
      <c r="HZ23" s="4"/>
      <c r="IA23" s="4"/>
      <c r="IB23" s="4"/>
      <c r="IC23" s="4"/>
      <c r="ID23" s="4"/>
      <c r="IE23" s="4"/>
      <c r="IF23" s="4"/>
      <c r="IG23" s="4"/>
      <c r="IH23" s="4"/>
      <c r="II23" s="4"/>
      <c r="IJ23" s="4"/>
      <c r="IK23" s="4"/>
    </row>
    <row r="24" spans="1:245" outlineLevel="1">
      <c r="A24" s="116"/>
      <c r="B24" s="116"/>
      <c r="C24" s="116">
        <v>2</v>
      </c>
      <c r="D24" s="3" t="s">
        <v>1078</v>
      </c>
      <c r="E24" s="183"/>
      <c r="F24" s="183" t="s">
        <v>1113</v>
      </c>
      <c r="G24" s="183"/>
      <c r="H24" s="183"/>
      <c r="I24" s="183"/>
      <c r="J24" s="183"/>
      <c r="K24" s="183"/>
      <c r="L24" s="183"/>
      <c r="M24" s="184">
        <v>44529</v>
      </c>
      <c r="N24" s="184">
        <v>44533</v>
      </c>
      <c r="O24" s="185"/>
      <c r="P24" s="186">
        <v>5</v>
      </c>
      <c r="Q24" s="186">
        <v>0</v>
      </c>
      <c r="R24" s="187">
        <v>5</v>
      </c>
      <c r="S24" s="187">
        <v>0</v>
      </c>
      <c r="T24" s="184"/>
      <c r="U24" s="184"/>
      <c r="V24" s="188"/>
      <c r="W24" s="189">
        <v>0</v>
      </c>
      <c r="X24" s="190">
        <v>1</v>
      </c>
      <c r="Y24" s="185" t="s">
        <v>1122</v>
      </c>
      <c r="Z24" s="191"/>
      <c r="AA24" s="97">
        <v>0</v>
      </c>
      <c r="AB24" s="192">
        <v>0</v>
      </c>
      <c r="AC24" s="123"/>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t="str">
        <f>"" &amp; TEXT(AB24,"#0.00%") &amp; " " &amp; "QA" &amp; "(Eddie)" &amp; " " &amp; IF(M24="","",TEXT(M24,"M/D-")) &amp; IF(N24="","",TEXT(N24,"M/D")) &amp; " "</f>
        <v xml:space="preserve">0.00% QA(Eddie) 11/29-12/3 </v>
      </c>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c r="EK24" s="4"/>
      <c r="EL24" s="4"/>
      <c r="EM24" s="4"/>
      <c r="EN24" s="4"/>
      <c r="EO24" s="4"/>
      <c r="EP24" s="4"/>
      <c r="EQ24" s="4"/>
      <c r="ER24" s="4"/>
      <c r="ES24" s="4"/>
      <c r="ET24" s="4"/>
      <c r="EU24" s="4"/>
      <c r="EV24" s="4"/>
      <c r="EW24" s="4"/>
      <c r="EX24" s="4"/>
      <c r="EY24" s="4"/>
      <c r="EZ24" s="4"/>
      <c r="FA24" s="4"/>
      <c r="FB24" s="4"/>
      <c r="FC24" s="4"/>
      <c r="FD24" s="4"/>
      <c r="FE24" s="4"/>
      <c r="FF24" s="4"/>
      <c r="FG24" s="4"/>
      <c r="FH24" s="4"/>
      <c r="FI24" s="4"/>
      <c r="FJ24" s="4"/>
      <c r="FK24" s="4"/>
      <c r="FL24" s="4"/>
      <c r="FM24" s="4"/>
      <c r="FN24" s="4"/>
      <c r="FO24" s="4"/>
      <c r="FP24" s="4"/>
      <c r="FQ24" s="4"/>
      <c r="FR24" s="4"/>
      <c r="FS24" s="4"/>
      <c r="FT24" s="4"/>
      <c r="FU24" s="4"/>
      <c r="FV24" s="4"/>
      <c r="FW24" s="4"/>
      <c r="FX24" s="4"/>
      <c r="FY24" s="4"/>
      <c r="FZ24" s="4"/>
      <c r="GA24" s="4"/>
      <c r="GB24" s="4"/>
      <c r="GC24" s="4"/>
      <c r="GD24" s="4"/>
      <c r="GE24" s="4"/>
      <c r="GF24" s="4"/>
      <c r="GG24" s="4"/>
      <c r="GH24" s="4"/>
      <c r="GI24" s="4"/>
      <c r="GJ24" s="4"/>
      <c r="GK24" s="4"/>
      <c r="GL24" s="4"/>
      <c r="GM24" s="4"/>
      <c r="GN24" s="4"/>
      <c r="GO24" s="4"/>
      <c r="GP24" s="4"/>
      <c r="GQ24" s="4"/>
      <c r="GR24" s="4"/>
      <c r="GS24" s="4"/>
      <c r="GT24" s="4"/>
      <c r="GU24" s="4"/>
      <c r="GV24" s="4"/>
      <c r="GW24" s="4"/>
      <c r="GX24" s="4"/>
      <c r="GY24" s="4"/>
      <c r="GZ24" s="4"/>
      <c r="HA24" s="4"/>
      <c r="HB24" s="4"/>
      <c r="HC24" s="4"/>
      <c r="HD24" s="4"/>
      <c r="HE24" s="4"/>
      <c r="HF24" s="4"/>
      <c r="HG24" s="4"/>
      <c r="HH24" s="4"/>
      <c r="HI24" s="4"/>
      <c r="HJ24" s="4"/>
      <c r="HK24" s="4"/>
      <c r="HL24" s="4"/>
      <c r="HM24" s="4"/>
      <c r="HN24" s="4"/>
      <c r="HO24" s="4"/>
      <c r="HP24" s="4"/>
      <c r="HQ24" s="4"/>
      <c r="HR24" s="4"/>
      <c r="HS24" s="4"/>
      <c r="HT24" s="4"/>
      <c r="HU24" s="4"/>
      <c r="HV24" s="4"/>
      <c r="HW24" s="4"/>
      <c r="HX24" s="4"/>
      <c r="HY24" s="4"/>
      <c r="HZ24" s="4"/>
      <c r="IA24" s="4"/>
      <c r="IB24" s="4"/>
      <c r="IC24" s="4"/>
      <c r="ID24" s="4"/>
      <c r="IE24" s="4"/>
      <c r="IF24" s="4"/>
      <c r="IG24" s="4"/>
      <c r="IH24" s="4"/>
      <c r="II24" s="4"/>
      <c r="IJ24" s="4"/>
      <c r="IK24" s="4"/>
    </row>
    <row r="25" spans="1:245" outlineLevel="1">
      <c r="A25" s="116"/>
      <c r="B25" s="116"/>
      <c r="C25" s="116">
        <v>0</v>
      </c>
      <c r="D25" s="3"/>
      <c r="E25" s="183"/>
      <c r="F25" s="183"/>
      <c r="G25" s="183"/>
      <c r="H25" s="183"/>
      <c r="I25" s="183"/>
      <c r="J25" s="183"/>
      <c r="K25" s="183"/>
      <c r="L25" s="183"/>
      <c r="M25" s="184"/>
      <c r="N25" s="184"/>
      <c r="O25" s="185"/>
      <c r="P25" s="186"/>
      <c r="Q25" s="186"/>
      <c r="R25" s="187">
        <v>0</v>
      </c>
      <c r="S25" s="187">
        <v>0</v>
      </c>
      <c r="T25" s="184"/>
      <c r="U25" s="184"/>
      <c r="V25" s="188"/>
      <c r="W25" s="189">
        <v>0</v>
      </c>
      <c r="X25" s="190"/>
      <c r="Y25" s="185"/>
      <c r="Z25" s="191"/>
      <c r="AA25" s="97"/>
      <c r="AB25" s="192"/>
      <c r="AC25" s="123"/>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c r="ER25" s="4"/>
      <c r="ES25" s="4"/>
      <c r="ET25" s="4"/>
      <c r="EU25" s="4"/>
      <c r="EV25" s="4"/>
      <c r="EW25" s="4"/>
      <c r="EX25" s="4"/>
      <c r="EY25" s="4"/>
      <c r="EZ25" s="4"/>
      <c r="FA25" s="4"/>
      <c r="FB25" s="4"/>
      <c r="FC25" s="4"/>
      <c r="FD25" s="4"/>
      <c r="FE25" s="4"/>
      <c r="FF25" s="4"/>
      <c r="FG25" s="4"/>
      <c r="FH25" s="4"/>
      <c r="FI25" s="4"/>
      <c r="FJ25" s="4"/>
      <c r="FK25" s="4"/>
      <c r="FL25" s="4"/>
      <c r="FM25" s="4"/>
      <c r="FN25" s="4"/>
      <c r="FO25" s="4"/>
      <c r="FP25" s="4"/>
      <c r="FQ25" s="4"/>
      <c r="FR25" s="4"/>
      <c r="FS25" s="4"/>
      <c r="FT25" s="4"/>
      <c r="FU25" s="4"/>
      <c r="FV25" s="4"/>
      <c r="FW25" s="4"/>
      <c r="FX25" s="4"/>
      <c r="FY25" s="4"/>
      <c r="FZ25" s="4"/>
      <c r="GA25" s="4"/>
      <c r="GB25" s="4"/>
      <c r="GC25" s="4"/>
      <c r="GD25" s="4"/>
      <c r="GE25" s="4"/>
      <c r="GF25" s="4"/>
      <c r="GG25" s="4"/>
      <c r="GH25" s="4"/>
      <c r="GI25" s="4"/>
      <c r="GJ25" s="4"/>
      <c r="GK25" s="4"/>
      <c r="GL25" s="4"/>
      <c r="GM25" s="4"/>
      <c r="GN25" s="4"/>
      <c r="GO25" s="4"/>
      <c r="GP25" s="4"/>
      <c r="GQ25" s="4"/>
      <c r="GR25" s="4"/>
      <c r="GS25" s="4"/>
      <c r="GT25" s="4"/>
      <c r="GU25" s="4"/>
      <c r="GV25" s="4"/>
      <c r="GW25" s="4"/>
      <c r="GX25" s="4"/>
      <c r="GY25" s="4"/>
      <c r="GZ25" s="4"/>
      <c r="HA25" s="4"/>
      <c r="HB25" s="4"/>
      <c r="HC25" s="4"/>
      <c r="HD25" s="4"/>
      <c r="HE25" s="4"/>
      <c r="HF25" s="4"/>
      <c r="HG25" s="4"/>
      <c r="HH25" s="4"/>
      <c r="HI25" s="4"/>
      <c r="HJ25" s="4"/>
      <c r="HK25" s="4"/>
      <c r="HL25" s="4"/>
      <c r="HM25" s="4"/>
      <c r="HN25" s="4"/>
      <c r="HO25" s="4"/>
      <c r="HP25" s="4"/>
      <c r="HQ25" s="4"/>
      <c r="HR25" s="4"/>
      <c r="HS25" s="4"/>
      <c r="HT25" s="4"/>
      <c r="HU25" s="4"/>
      <c r="HV25" s="4"/>
      <c r="HW25" s="4"/>
      <c r="HX25" s="4"/>
      <c r="HY25" s="4"/>
      <c r="HZ25" s="4"/>
      <c r="IA25" s="4"/>
      <c r="IB25" s="4"/>
      <c r="IC25" s="4"/>
      <c r="ID25" s="4"/>
      <c r="IE25" s="4"/>
      <c r="IF25" s="4"/>
      <c r="IG25" s="4"/>
      <c r="IH25" s="4"/>
      <c r="II25" s="4"/>
      <c r="IJ25" s="4"/>
      <c r="IK25" s="4"/>
    </row>
    <row r="26" spans="1:245">
      <c r="A26" s="116"/>
      <c r="B26" s="116" t="s">
        <v>983</v>
      </c>
      <c r="C26" s="116">
        <v>1</v>
      </c>
      <c r="D26" s="3" t="s">
        <v>1057</v>
      </c>
      <c r="E26" s="183" t="s">
        <v>1125</v>
      </c>
      <c r="F26" s="183"/>
      <c r="G26" s="183"/>
      <c r="H26" s="183"/>
      <c r="I26" s="183"/>
      <c r="J26" s="183"/>
      <c r="K26" s="183"/>
      <c r="L26" s="183"/>
      <c r="M26" s="184">
        <v>44487</v>
      </c>
      <c r="N26" s="184">
        <v>44523</v>
      </c>
      <c r="O26" s="185"/>
      <c r="P26" s="186">
        <v>11</v>
      </c>
      <c r="Q26" s="186">
        <v>11</v>
      </c>
      <c r="R26" s="187">
        <v>27</v>
      </c>
      <c r="S26" s="187">
        <v>27</v>
      </c>
      <c r="T26" s="184"/>
      <c r="U26" s="184"/>
      <c r="V26" s="188">
        <v>0</v>
      </c>
      <c r="W26" s="189">
        <v>0</v>
      </c>
      <c r="X26" s="190"/>
      <c r="Y26" s="185"/>
      <c r="Z26" s="191"/>
      <c r="AA26" s="97">
        <v>1</v>
      </c>
      <c r="AB26" s="192">
        <v>0.27272727272727271</v>
      </c>
      <c r="AC26" s="123"/>
      <c r="AD26" s="4"/>
      <c r="AE26" s="4"/>
      <c r="AF26" s="4"/>
      <c r="AG26" s="4"/>
      <c r="AH26" s="4"/>
      <c r="AI26" s="4"/>
      <c r="AJ26" s="4"/>
      <c r="AK26" s="4"/>
      <c r="AL26" s="4"/>
      <c r="AM26" s="4"/>
      <c r="AN26" s="4"/>
      <c r="AO26" s="4"/>
      <c r="AP26" s="4"/>
      <c r="AQ26" s="4"/>
      <c r="AR26" s="4"/>
      <c r="AS26" s="4"/>
      <c r="AT26" s="4"/>
      <c r="AU26" s="4"/>
      <c r="AV26" s="4"/>
      <c r="AW26" s="4"/>
      <c r="AX26" s="4" t="str">
        <f>"   " &amp; TEXT(AB26,"#0.00%") &amp; " "</f>
        <v xml:space="preserve">   27.27% </v>
      </c>
      <c r="AY26" s="4"/>
      <c r="AZ26" s="4"/>
      <c r="BA26" s="4"/>
      <c r="BB26" s="4" t="str">
        <f>"  " &amp; "[2110-13] Change ATM Withdrawal UI Logic" &amp; " " &amp; IF(M26="","",TEXT(M26,"M/D-")) &amp; IF(N26="","",TEXT(N26,"M/D")) &amp; " "</f>
        <v xml:space="preserve">  [2110-13] Change ATM Withdrawal UI Logic 10/18-11/23 </v>
      </c>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c r="ER26" s="4"/>
      <c r="ES26" s="4"/>
      <c r="ET26" s="4"/>
      <c r="EU26" s="4"/>
      <c r="EV26" s="4"/>
      <c r="EW26" s="4"/>
      <c r="EX26" s="4"/>
      <c r="EY26" s="4"/>
      <c r="EZ26" s="4"/>
      <c r="FA26" s="4"/>
      <c r="FB26" s="4"/>
      <c r="FC26" s="4"/>
      <c r="FD26" s="4"/>
      <c r="FE26" s="4"/>
      <c r="FF26" s="4"/>
      <c r="FG26" s="4"/>
      <c r="FH26" s="4"/>
      <c r="FI26" s="4"/>
      <c r="FJ26" s="4"/>
      <c r="FK26" s="4"/>
      <c r="FL26" s="4"/>
      <c r="FM26" s="4"/>
      <c r="FN26" s="4"/>
      <c r="FO26" s="4"/>
      <c r="FP26" s="4"/>
      <c r="FQ26" s="4"/>
      <c r="FR26" s="4"/>
      <c r="FS26" s="4"/>
      <c r="FT26" s="4"/>
      <c r="FU26" s="4"/>
      <c r="FV26" s="4"/>
      <c r="FW26" s="4"/>
      <c r="FX26" s="4"/>
      <c r="FY26" s="4"/>
      <c r="FZ26" s="4"/>
      <c r="GA26" s="4"/>
      <c r="GB26" s="4"/>
      <c r="GC26" s="4"/>
      <c r="GD26" s="4"/>
      <c r="GE26" s="4"/>
      <c r="GF26" s="4"/>
      <c r="GG26" s="4"/>
      <c r="GH26" s="4"/>
      <c r="GI26" s="4"/>
      <c r="GJ26" s="4"/>
      <c r="GK26" s="4"/>
      <c r="GL26" s="4"/>
      <c r="GM26" s="4"/>
      <c r="GN26" s="4"/>
      <c r="GO26" s="4"/>
      <c r="GP26" s="4"/>
      <c r="GQ26" s="4"/>
      <c r="GR26" s="4"/>
      <c r="GS26" s="4"/>
      <c r="GT26" s="4"/>
      <c r="GU26" s="4"/>
      <c r="GV26" s="4"/>
      <c r="GW26" s="4"/>
      <c r="GX26" s="4"/>
      <c r="GY26" s="4"/>
      <c r="GZ26" s="4"/>
      <c r="HA26" s="4"/>
      <c r="HB26" s="4"/>
      <c r="HC26" s="4"/>
      <c r="HD26" s="4"/>
      <c r="HE26" s="4"/>
      <c r="HF26" s="4"/>
      <c r="HG26" s="4"/>
      <c r="HH26" s="4"/>
      <c r="HI26" s="4"/>
      <c r="HJ26" s="4"/>
      <c r="HK26" s="4"/>
      <c r="HL26" s="4"/>
      <c r="HM26" s="4"/>
      <c r="HN26" s="4"/>
      <c r="HO26" s="4"/>
      <c r="HP26" s="4"/>
      <c r="HQ26" s="4"/>
      <c r="HR26" s="4"/>
      <c r="HS26" s="4"/>
      <c r="HT26" s="4"/>
      <c r="HU26" s="4"/>
      <c r="HV26" s="4"/>
      <c r="HW26" s="4"/>
      <c r="HX26" s="4"/>
      <c r="HY26" s="4"/>
      <c r="HZ26" s="4"/>
      <c r="IA26" s="4"/>
      <c r="IB26" s="4"/>
      <c r="IC26" s="4"/>
      <c r="ID26" s="4"/>
      <c r="IE26" s="4"/>
      <c r="IF26" s="4"/>
      <c r="IG26" s="4"/>
      <c r="IH26" s="4"/>
      <c r="II26" s="4"/>
      <c r="IJ26" s="4"/>
      <c r="IK26" s="4"/>
    </row>
    <row r="27" spans="1:245" outlineLevel="1">
      <c r="A27" s="116"/>
      <c r="B27" s="116"/>
      <c r="C27" s="116">
        <v>2</v>
      </c>
      <c r="D27" s="3" t="s">
        <v>1079</v>
      </c>
      <c r="E27" s="183"/>
      <c r="F27" s="183" t="s">
        <v>1093</v>
      </c>
      <c r="G27" s="183"/>
      <c r="H27" s="183"/>
      <c r="I27" s="183"/>
      <c r="J27" s="183"/>
      <c r="K27" s="183"/>
      <c r="L27" s="183"/>
      <c r="M27" s="184">
        <v>44487</v>
      </c>
      <c r="N27" s="184">
        <v>44489</v>
      </c>
      <c r="O27" s="185"/>
      <c r="P27" s="186">
        <v>3</v>
      </c>
      <c r="Q27" s="186">
        <v>3</v>
      </c>
      <c r="R27" s="187">
        <v>3</v>
      </c>
      <c r="S27" s="187">
        <v>3</v>
      </c>
      <c r="T27" s="184"/>
      <c r="U27" s="184"/>
      <c r="V27" s="188"/>
      <c r="W27" s="189">
        <v>0</v>
      </c>
      <c r="X27" s="190">
        <v>1</v>
      </c>
      <c r="Y27" s="185" t="s">
        <v>1114</v>
      </c>
      <c r="Z27" s="191"/>
      <c r="AA27" s="97">
        <v>1</v>
      </c>
      <c r="AB27" s="192">
        <v>1</v>
      </c>
      <c r="AC27" s="123"/>
      <c r="AD27" s="4"/>
      <c r="AE27" s="4"/>
      <c r="AF27" s="4"/>
      <c r="AG27" s="4"/>
      <c r="AH27" s="4"/>
      <c r="AI27" s="4"/>
      <c r="AJ27" s="4"/>
      <c r="AK27" s="4"/>
      <c r="AL27" s="4"/>
      <c r="AM27" s="4"/>
      <c r="AN27" s="4"/>
      <c r="AO27" s="4"/>
      <c r="AP27" s="4"/>
      <c r="AQ27" s="4"/>
      <c r="AR27" s="4"/>
      <c r="AS27" s="4"/>
      <c r="AT27" s="4"/>
      <c r="AU27" s="4"/>
      <c r="AV27" s="4"/>
      <c r="AW27" s="4" t="str">
        <f>"   " &amp; TEXT(AB27,"#0.00%") &amp; " " &amp; "Design" &amp; "(Meghan)" &amp; " " &amp; IF(M27="","",TEXT(M27,"M/D-")) &amp; IF(N27="","",TEXT(N27,"M/D")) &amp; " "</f>
        <v xml:space="preserve">   100.00% Design(Meghan) 10/18-10/20 </v>
      </c>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c r="ER27" s="4"/>
      <c r="ES27" s="4"/>
      <c r="ET27" s="4"/>
      <c r="EU27" s="4"/>
      <c r="EV27" s="4"/>
      <c r="EW27" s="4"/>
      <c r="EX27" s="4"/>
      <c r="EY27" s="4"/>
      <c r="EZ27" s="4"/>
      <c r="FA27" s="4"/>
      <c r="FB27" s="4"/>
      <c r="FC27" s="4"/>
      <c r="FD27" s="4"/>
      <c r="FE27" s="4"/>
      <c r="FF27" s="4"/>
      <c r="FG27" s="4"/>
      <c r="FH27" s="4"/>
      <c r="FI27" s="4"/>
      <c r="FJ27" s="4"/>
      <c r="FK27" s="4"/>
      <c r="FL27" s="4"/>
      <c r="FM27" s="4"/>
      <c r="FN27" s="4"/>
      <c r="FO27" s="4"/>
      <c r="FP27" s="4"/>
      <c r="FQ27" s="4"/>
      <c r="FR27" s="4"/>
      <c r="FS27" s="4"/>
      <c r="FT27" s="4"/>
      <c r="FU27" s="4"/>
      <c r="FV27" s="4"/>
      <c r="FW27" s="4"/>
      <c r="FX27" s="4"/>
      <c r="FY27" s="4"/>
      <c r="FZ27" s="4"/>
      <c r="GA27" s="4"/>
      <c r="GB27" s="4"/>
      <c r="GC27" s="4"/>
      <c r="GD27" s="4"/>
      <c r="GE27" s="4"/>
      <c r="GF27" s="4"/>
      <c r="GG27" s="4"/>
      <c r="GH27" s="4"/>
      <c r="GI27" s="4"/>
      <c r="GJ27" s="4"/>
      <c r="GK27" s="4"/>
      <c r="GL27" s="4"/>
      <c r="GM27" s="4"/>
      <c r="GN27" s="4"/>
      <c r="GO27" s="4"/>
      <c r="GP27" s="4"/>
      <c r="GQ27" s="4"/>
      <c r="GR27" s="4"/>
      <c r="GS27" s="4"/>
      <c r="GT27" s="4"/>
      <c r="GU27" s="4"/>
      <c r="GV27" s="4"/>
      <c r="GW27" s="4"/>
      <c r="GX27" s="4"/>
      <c r="GY27" s="4"/>
      <c r="GZ27" s="4"/>
      <c r="HA27" s="4"/>
      <c r="HB27" s="4"/>
      <c r="HC27" s="4"/>
      <c r="HD27" s="4"/>
      <c r="HE27" s="4"/>
      <c r="HF27" s="4"/>
      <c r="HG27" s="4"/>
      <c r="HH27" s="4"/>
      <c r="HI27" s="4"/>
      <c r="HJ27" s="4"/>
      <c r="HK27" s="4"/>
      <c r="HL27" s="4"/>
      <c r="HM27" s="4"/>
      <c r="HN27" s="4"/>
      <c r="HO27" s="4"/>
      <c r="HP27" s="4"/>
      <c r="HQ27" s="4"/>
      <c r="HR27" s="4"/>
      <c r="HS27" s="4"/>
      <c r="HT27" s="4"/>
      <c r="HU27" s="4"/>
      <c r="HV27" s="4"/>
      <c r="HW27" s="4"/>
      <c r="HX27" s="4"/>
      <c r="HY27" s="4"/>
      <c r="HZ27" s="4"/>
      <c r="IA27" s="4"/>
      <c r="IB27" s="4"/>
      <c r="IC27" s="4"/>
      <c r="ID27" s="4"/>
      <c r="IE27" s="4"/>
      <c r="IF27" s="4"/>
      <c r="IG27" s="4"/>
      <c r="IH27" s="4"/>
      <c r="II27" s="4"/>
      <c r="IJ27" s="4"/>
      <c r="IK27" s="4"/>
    </row>
    <row r="28" spans="1:245" outlineLevel="1">
      <c r="A28" s="116"/>
      <c r="B28" s="116"/>
      <c r="C28" s="116">
        <v>2</v>
      </c>
      <c r="D28" s="3" t="s">
        <v>1080</v>
      </c>
      <c r="E28" s="183"/>
      <c r="F28" s="183" t="s">
        <v>1111</v>
      </c>
      <c r="G28" s="183"/>
      <c r="H28" s="183"/>
      <c r="I28" s="183"/>
      <c r="J28" s="183"/>
      <c r="K28" s="183"/>
      <c r="L28" s="183"/>
      <c r="M28" s="184">
        <v>44517</v>
      </c>
      <c r="N28" s="184">
        <v>44519</v>
      </c>
      <c r="O28" s="185"/>
      <c r="P28" s="186">
        <v>3</v>
      </c>
      <c r="Q28" s="186">
        <v>3</v>
      </c>
      <c r="R28" s="187">
        <v>3</v>
      </c>
      <c r="S28" s="187">
        <v>3</v>
      </c>
      <c r="T28" s="184"/>
      <c r="U28" s="184"/>
      <c r="V28" s="188"/>
      <c r="W28" s="189">
        <v>0</v>
      </c>
      <c r="X28" s="190">
        <v>1</v>
      </c>
      <c r="Y28" s="185" t="s">
        <v>1120</v>
      </c>
      <c r="Z28" s="191"/>
      <c r="AA28" s="97">
        <v>1</v>
      </c>
      <c r="AB28" s="192">
        <v>0</v>
      </c>
      <c r="AC28" s="123"/>
      <c r="AD28" s="4"/>
      <c r="AE28" s="4"/>
      <c r="AF28" s="4"/>
      <c r="AG28" s="4"/>
      <c r="AH28" s="4"/>
      <c r="AI28" s="4"/>
      <c r="AJ28" s="4"/>
      <c r="AK28" s="4"/>
      <c r="AL28" s="4"/>
      <c r="AM28" s="4"/>
      <c r="AN28" s="4"/>
      <c r="AO28" s="4"/>
      <c r="AP28" s="4"/>
      <c r="AQ28" s="4"/>
      <c r="AR28" s="4"/>
      <c r="AS28" s="4"/>
      <c r="AT28" s="4"/>
      <c r="AU28" s="4"/>
      <c r="AV28" s="4"/>
      <c r="AW28" s="4"/>
      <c r="AX28" s="4"/>
      <c r="AY28" s="4"/>
      <c r="AZ28" s="4"/>
      <c r="BA28" s="4" t="str">
        <f>"  " &amp; TEXT(AB28,"#0.00%") &amp; " " &amp; "iOS" &amp; "(Dibya)" &amp; " " &amp; IF(M28="","",TEXT(M28,"M/D-")) &amp; IF(N28="","",TEXT(N28,"M/D")) &amp; " "</f>
        <v xml:space="preserve">  0.00% iOS(Dibya) 11/17-11/19 </v>
      </c>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c r="EK28" s="4"/>
      <c r="EL28" s="4"/>
      <c r="EM28" s="4"/>
      <c r="EN28" s="4"/>
      <c r="EO28" s="4"/>
      <c r="EP28" s="4"/>
      <c r="EQ28" s="4"/>
      <c r="ER28" s="4"/>
      <c r="ES28" s="4"/>
      <c r="ET28" s="4"/>
      <c r="EU28" s="4"/>
      <c r="EV28" s="4"/>
      <c r="EW28" s="4"/>
      <c r="EX28" s="4"/>
      <c r="EY28" s="4"/>
      <c r="EZ28" s="4"/>
      <c r="FA28" s="4"/>
      <c r="FB28" s="4"/>
      <c r="FC28" s="4"/>
      <c r="FD28" s="4"/>
      <c r="FE28" s="4"/>
      <c r="FF28" s="4"/>
      <c r="FG28" s="4"/>
      <c r="FH28" s="4"/>
      <c r="FI28" s="4"/>
      <c r="FJ28" s="4"/>
      <c r="FK28" s="4"/>
      <c r="FL28" s="4"/>
      <c r="FM28" s="4"/>
      <c r="FN28" s="4"/>
      <c r="FO28" s="4"/>
      <c r="FP28" s="4"/>
      <c r="FQ28" s="4"/>
      <c r="FR28" s="4"/>
      <c r="FS28" s="4"/>
      <c r="FT28" s="4"/>
      <c r="FU28" s="4"/>
      <c r="FV28" s="4"/>
      <c r="FW28" s="4"/>
      <c r="FX28" s="4"/>
      <c r="FY28" s="4"/>
      <c r="FZ28" s="4"/>
      <c r="GA28" s="4"/>
      <c r="GB28" s="4"/>
      <c r="GC28" s="4"/>
      <c r="GD28" s="4"/>
      <c r="GE28" s="4"/>
      <c r="GF28" s="4"/>
      <c r="GG28" s="4"/>
      <c r="GH28" s="4"/>
      <c r="GI28" s="4"/>
      <c r="GJ28" s="4"/>
      <c r="GK28" s="4"/>
      <c r="GL28" s="4"/>
      <c r="GM28" s="4"/>
      <c r="GN28" s="4"/>
      <c r="GO28" s="4"/>
      <c r="GP28" s="4"/>
      <c r="GQ28" s="4"/>
      <c r="GR28" s="4"/>
      <c r="GS28" s="4"/>
      <c r="GT28" s="4"/>
      <c r="GU28" s="4"/>
      <c r="GV28" s="4"/>
      <c r="GW28" s="4"/>
      <c r="GX28" s="4"/>
      <c r="GY28" s="4"/>
      <c r="GZ28" s="4"/>
      <c r="HA28" s="4"/>
      <c r="HB28" s="4"/>
      <c r="HC28" s="4"/>
      <c r="HD28" s="4"/>
      <c r="HE28" s="4"/>
      <c r="HF28" s="4"/>
      <c r="HG28" s="4"/>
      <c r="HH28" s="4"/>
      <c r="HI28" s="4"/>
      <c r="HJ28" s="4"/>
      <c r="HK28" s="4"/>
      <c r="HL28" s="4"/>
      <c r="HM28" s="4"/>
      <c r="HN28" s="4"/>
      <c r="HO28" s="4"/>
      <c r="HP28" s="4"/>
      <c r="HQ28" s="4"/>
      <c r="HR28" s="4"/>
      <c r="HS28" s="4"/>
      <c r="HT28" s="4"/>
      <c r="HU28" s="4"/>
      <c r="HV28" s="4"/>
      <c r="HW28" s="4"/>
      <c r="HX28" s="4"/>
      <c r="HY28" s="4"/>
      <c r="HZ28" s="4"/>
      <c r="IA28" s="4"/>
      <c r="IB28" s="4"/>
      <c r="IC28" s="4"/>
      <c r="ID28" s="4"/>
      <c r="IE28" s="4"/>
      <c r="IF28" s="4"/>
      <c r="IG28" s="4"/>
      <c r="IH28" s="4"/>
      <c r="II28" s="4"/>
      <c r="IJ28" s="4"/>
      <c r="IK28" s="4"/>
    </row>
    <row r="29" spans="1:245" outlineLevel="1">
      <c r="A29" s="116"/>
      <c r="B29" s="116"/>
      <c r="C29" s="116">
        <v>2</v>
      </c>
      <c r="D29" s="3" t="s">
        <v>1081</v>
      </c>
      <c r="E29" s="183"/>
      <c r="F29" s="183" t="s">
        <v>1112</v>
      </c>
      <c r="G29" s="183"/>
      <c r="H29" s="183"/>
      <c r="I29" s="183"/>
      <c r="J29" s="183"/>
      <c r="K29" s="183"/>
      <c r="L29" s="183"/>
      <c r="M29" s="184">
        <v>44517</v>
      </c>
      <c r="N29" s="184">
        <v>44519</v>
      </c>
      <c r="O29" s="185"/>
      <c r="P29" s="186">
        <v>3</v>
      </c>
      <c r="Q29" s="186">
        <v>3</v>
      </c>
      <c r="R29" s="187">
        <v>3</v>
      </c>
      <c r="S29" s="187">
        <v>3</v>
      </c>
      <c r="T29" s="184"/>
      <c r="U29" s="184"/>
      <c r="V29" s="188"/>
      <c r="W29" s="189">
        <v>0</v>
      </c>
      <c r="X29" s="190">
        <v>1</v>
      </c>
      <c r="Y29" s="185" t="s">
        <v>1121</v>
      </c>
      <c r="Z29" s="191"/>
      <c r="AA29" s="97">
        <v>1</v>
      </c>
      <c r="AB29" s="192">
        <v>0</v>
      </c>
      <c r="AC29" s="123"/>
      <c r="AD29" s="4"/>
      <c r="AE29" s="4"/>
      <c r="AF29" s="4"/>
      <c r="AG29" s="4"/>
      <c r="AH29" s="4"/>
      <c r="AI29" s="4"/>
      <c r="AJ29" s="4"/>
      <c r="AK29" s="4"/>
      <c r="AL29" s="4"/>
      <c r="AM29" s="4"/>
      <c r="AN29" s="4"/>
      <c r="AO29" s="4"/>
      <c r="AP29" s="4"/>
      <c r="AQ29" s="4"/>
      <c r="AR29" s="4"/>
      <c r="AS29" s="4"/>
      <c r="AT29" s="4"/>
      <c r="AU29" s="4"/>
      <c r="AV29" s="4"/>
      <c r="AW29" s="4"/>
      <c r="AX29" s="4"/>
      <c r="AY29" s="4"/>
      <c r="AZ29" s="4"/>
      <c r="BA29" s="4" t="str">
        <f>"  " &amp; TEXT(AB29,"#0.00%") &amp; " " &amp; "Android" &amp; "(Andrew)" &amp; " " &amp; IF(M29="","",TEXT(M29,"M/D-")) &amp; IF(N29="","",TEXT(N29,"M/D")) &amp; " "</f>
        <v xml:space="preserve">  0.00% Android(Andrew) 11/17-11/19 </v>
      </c>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c r="EK29" s="4"/>
      <c r="EL29" s="4"/>
      <c r="EM29" s="4"/>
      <c r="EN29" s="4"/>
      <c r="EO29" s="4"/>
      <c r="EP29" s="4"/>
      <c r="EQ29" s="4"/>
      <c r="ER29" s="4"/>
      <c r="ES29" s="4"/>
      <c r="ET29" s="4"/>
      <c r="EU29" s="4"/>
      <c r="EV29" s="4"/>
      <c r="EW29" s="4"/>
      <c r="EX29" s="4"/>
      <c r="EY29" s="4"/>
      <c r="EZ29" s="4"/>
      <c r="FA29" s="4"/>
      <c r="FB29" s="4"/>
      <c r="FC29" s="4"/>
      <c r="FD29" s="4"/>
      <c r="FE29" s="4"/>
      <c r="FF29" s="4"/>
      <c r="FG29" s="4"/>
      <c r="FH29" s="4"/>
      <c r="FI29" s="4"/>
      <c r="FJ29" s="4"/>
      <c r="FK29" s="4"/>
      <c r="FL29" s="4"/>
      <c r="FM29" s="4"/>
      <c r="FN29" s="4"/>
      <c r="FO29" s="4"/>
      <c r="FP29" s="4"/>
      <c r="FQ29" s="4"/>
      <c r="FR29" s="4"/>
      <c r="FS29" s="4"/>
      <c r="FT29" s="4"/>
      <c r="FU29" s="4"/>
      <c r="FV29" s="4"/>
      <c r="FW29" s="4"/>
      <c r="FX29" s="4"/>
      <c r="FY29" s="4"/>
      <c r="FZ29" s="4"/>
      <c r="GA29" s="4"/>
      <c r="GB29" s="4"/>
      <c r="GC29" s="4"/>
      <c r="GD29" s="4"/>
      <c r="GE29" s="4"/>
      <c r="GF29" s="4"/>
      <c r="GG29" s="4"/>
      <c r="GH29" s="4"/>
      <c r="GI29" s="4"/>
      <c r="GJ29" s="4"/>
      <c r="GK29" s="4"/>
      <c r="GL29" s="4"/>
      <c r="GM29" s="4"/>
      <c r="GN29" s="4"/>
      <c r="GO29" s="4"/>
      <c r="GP29" s="4"/>
      <c r="GQ29" s="4"/>
      <c r="GR29" s="4"/>
      <c r="GS29" s="4"/>
      <c r="GT29" s="4"/>
      <c r="GU29" s="4"/>
      <c r="GV29" s="4"/>
      <c r="GW29" s="4"/>
      <c r="GX29" s="4"/>
      <c r="GY29" s="4"/>
      <c r="GZ29" s="4"/>
      <c r="HA29" s="4"/>
      <c r="HB29" s="4"/>
      <c r="HC29" s="4"/>
      <c r="HD29" s="4"/>
      <c r="HE29" s="4"/>
      <c r="HF29" s="4"/>
      <c r="HG29" s="4"/>
      <c r="HH29" s="4"/>
      <c r="HI29" s="4"/>
      <c r="HJ29" s="4"/>
      <c r="HK29" s="4"/>
      <c r="HL29" s="4"/>
      <c r="HM29" s="4"/>
      <c r="HN29" s="4"/>
      <c r="HO29" s="4"/>
      <c r="HP29" s="4"/>
      <c r="HQ29" s="4"/>
      <c r="HR29" s="4"/>
      <c r="HS29" s="4"/>
      <c r="HT29" s="4"/>
      <c r="HU29" s="4"/>
      <c r="HV29" s="4"/>
      <c r="HW29" s="4"/>
      <c r="HX29" s="4"/>
      <c r="HY29" s="4"/>
      <c r="HZ29" s="4"/>
      <c r="IA29" s="4"/>
      <c r="IB29" s="4"/>
      <c r="IC29" s="4"/>
      <c r="ID29" s="4"/>
      <c r="IE29" s="4"/>
      <c r="IF29" s="4"/>
      <c r="IG29" s="4"/>
      <c r="IH29" s="4"/>
      <c r="II29" s="4"/>
      <c r="IJ29" s="4"/>
      <c r="IK29" s="4"/>
    </row>
    <row r="30" spans="1:245" outlineLevel="1">
      <c r="A30" s="116"/>
      <c r="B30" s="116"/>
      <c r="C30" s="116">
        <v>2</v>
      </c>
      <c r="D30" s="3" t="s">
        <v>1082</v>
      </c>
      <c r="E30" s="183"/>
      <c r="F30" s="183" t="s">
        <v>1113</v>
      </c>
      <c r="G30" s="183"/>
      <c r="H30" s="183"/>
      <c r="I30" s="183"/>
      <c r="J30" s="183"/>
      <c r="K30" s="183"/>
      <c r="L30" s="183"/>
      <c r="M30" s="184">
        <v>44522</v>
      </c>
      <c r="N30" s="184">
        <v>44523</v>
      </c>
      <c r="O30" s="185"/>
      <c r="P30" s="186">
        <v>2</v>
      </c>
      <c r="Q30" s="186">
        <v>2</v>
      </c>
      <c r="R30" s="187">
        <v>2</v>
      </c>
      <c r="S30" s="187">
        <v>2</v>
      </c>
      <c r="T30" s="184"/>
      <c r="U30" s="184"/>
      <c r="V30" s="188"/>
      <c r="W30" s="189">
        <v>0</v>
      </c>
      <c r="X30" s="190">
        <v>1</v>
      </c>
      <c r="Y30" s="185" t="s">
        <v>1122</v>
      </c>
      <c r="Z30" s="191"/>
      <c r="AA30" s="97">
        <v>1</v>
      </c>
      <c r="AB30" s="192">
        <v>0</v>
      </c>
      <c r="AC30" s="123"/>
      <c r="AD30" s="4"/>
      <c r="AE30" s="4"/>
      <c r="AF30" s="4"/>
      <c r="AG30" s="4"/>
      <c r="AH30" s="4"/>
      <c r="AI30" s="4"/>
      <c r="AJ30" s="4"/>
      <c r="AK30" s="4"/>
      <c r="AL30" s="4"/>
      <c r="AM30" s="4"/>
      <c r="AN30" s="4"/>
      <c r="AO30" s="4"/>
      <c r="AP30" s="4"/>
      <c r="AQ30" s="4"/>
      <c r="AR30" s="4"/>
      <c r="AS30" s="4"/>
      <c r="AT30" s="4"/>
      <c r="AU30" s="4"/>
      <c r="AV30" s="4"/>
      <c r="AW30" s="4"/>
      <c r="AX30" s="4"/>
      <c r="AY30" s="4"/>
      <c r="AZ30" s="4"/>
      <c r="BA30" s="4"/>
      <c r="BB30" s="4" t="str">
        <f>"" &amp; TEXT(AB30,"#0.00%") &amp; " " &amp; "QA" &amp; "(Eddie)" &amp; " " &amp; IF(M30="","",TEXT(M30,"M/D-")) &amp; IF(N30="","",TEXT(N30,"M/D")) &amp; " "</f>
        <v xml:space="preserve">0.00% QA(Eddie) 11/22-11/23 </v>
      </c>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c r="ER30" s="4"/>
      <c r="ES30" s="4"/>
      <c r="ET30" s="4"/>
      <c r="EU30" s="4"/>
      <c r="EV30" s="4"/>
      <c r="EW30" s="4"/>
      <c r="EX30" s="4"/>
      <c r="EY30" s="4"/>
      <c r="EZ30" s="4"/>
      <c r="FA30" s="4"/>
      <c r="FB30" s="4"/>
      <c r="FC30" s="4"/>
      <c r="FD30" s="4"/>
      <c r="FE30" s="4"/>
      <c r="FF30" s="4"/>
      <c r="FG30" s="4"/>
      <c r="FH30" s="4"/>
      <c r="FI30" s="4"/>
      <c r="FJ30" s="4"/>
      <c r="FK30" s="4"/>
      <c r="FL30" s="4"/>
      <c r="FM30" s="4"/>
      <c r="FN30" s="4"/>
      <c r="FO30" s="4"/>
      <c r="FP30" s="4"/>
      <c r="FQ30" s="4"/>
      <c r="FR30" s="4"/>
      <c r="FS30" s="4"/>
      <c r="FT30" s="4"/>
      <c r="FU30" s="4"/>
      <c r="FV30" s="4"/>
      <c r="FW30" s="4"/>
      <c r="FX30" s="4"/>
      <c r="FY30" s="4"/>
      <c r="FZ30" s="4"/>
      <c r="GA30" s="4"/>
      <c r="GB30" s="4"/>
      <c r="GC30" s="4"/>
      <c r="GD30" s="4"/>
      <c r="GE30" s="4"/>
      <c r="GF30" s="4"/>
      <c r="GG30" s="4"/>
      <c r="GH30" s="4"/>
      <c r="GI30" s="4"/>
      <c r="GJ30" s="4"/>
      <c r="GK30" s="4"/>
      <c r="GL30" s="4"/>
      <c r="GM30" s="4"/>
      <c r="GN30" s="4"/>
      <c r="GO30" s="4"/>
      <c r="GP30" s="4"/>
      <c r="GQ30" s="4"/>
      <c r="GR30" s="4"/>
      <c r="GS30" s="4"/>
      <c r="GT30" s="4"/>
      <c r="GU30" s="4"/>
      <c r="GV30" s="4"/>
      <c r="GW30" s="4"/>
      <c r="GX30" s="4"/>
      <c r="GY30" s="4"/>
      <c r="GZ30" s="4"/>
      <c r="HA30" s="4"/>
      <c r="HB30" s="4"/>
      <c r="HC30" s="4"/>
      <c r="HD30" s="4"/>
      <c r="HE30" s="4"/>
      <c r="HF30" s="4"/>
      <c r="HG30" s="4"/>
      <c r="HH30" s="4"/>
      <c r="HI30" s="4"/>
      <c r="HJ30" s="4"/>
      <c r="HK30" s="4"/>
      <c r="HL30" s="4"/>
      <c r="HM30" s="4"/>
      <c r="HN30" s="4"/>
      <c r="HO30" s="4"/>
      <c r="HP30" s="4"/>
      <c r="HQ30" s="4"/>
      <c r="HR30" s="4"/>
      <c r="HS30" s="4"/>
      <c r="HT30" s="4"/>
      <c r="HU30" s="4"/>
      <c r="HV30" s="4"/>
      <c r="HW30" s="4"/>
      <c r="HX30" s="4"/>
      <c r="HY30" s="4"/>
      <c r="HZ30" s="4"/>
      <c r="IA30" s="4"/>
      <c r="IB30" s="4"/>
      <c r="IC30" s="4"/>
      <c r="ID30" s="4"/>
      <c r="IE30" s="4"/>
      <c r="IF30" s="4"/>
      <c r="IG30" s="4"/>
      <c r="IH30" s="4"/>
      <c r="II30" s="4"/>
      <c r="IJ30" s="4"/>
      <c r="IK30" s="4"/>
    </row>
    <row r="31" spans="1:245" outlineLevel="1">
      <c r="A31" s="116"/>
      <c r="B31" s="116"/>
      <c r="C31" s="116">
        <v>0</v>
      </c>
      <c r="D31" s="3"/>
      <c r="E31" s="183"/>
      <c r="F31" s="183"/>
      <c r="G31" s="183"/>
      <c r="H31" s="183"/>
      <c r="I31" s="183"/>
      <c r="J31" s="183"/>
      <c r="K31" s="183"/>
      <c r="L31" s="183"/>
      <c r="M31" s="184"/>
      <c r="N31" s="184"/>
      <c r="O31" s="185"/>
      <c r="P31" s="186"/>
      <c r="Q31" s="186"/>
      <c r="R31" s="187">
        <v>0</v>
      </c>
      <c r="S31" s="187">
        <v>0</v>
      </c>
      <c r="T31" s="184"/>
      <c r="U31" s="184"/>
      <c r="V31" s="188"/>
      <c r="W31" s="189">
        <v>0</v>
      </c>
      <c r="X31" s="190"/>
      <c r="Y31" s="185"/>
      <c r="Z31" s="191"/>
      <c r="AA31" s="97"/>
      <c r="AB31" s="192"/>
      <c r="AC31" s="123"/>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c r="ER31" s="4"/>
      <c r="ES31" s="4"/>
      <c r="ET31" s="4"/>
      <c r="EU31" s="4"/>
      <c r="EV31" s="4"/>
      <c r="EW31" s="4"/>
      <c r="EX31" s="4"/>
      <c r="EY31" s="4"/>
      <c r="EZ31" s="4"/>
      <c r="FA31" s="4"/>
      <c r="FB31" s="4"/>
      <c r="FC31" s="4"/>
      <c r="FD31" s="4"/>
      <c r="FE31" s="4"/>
      <c r="FF31" s="4"/>
      <c r="FG31" s="4"/>
      <c r="FH31" s="4"/>
      <c r="FI31" s="4"/>
      <c r="FJ31" s="4"/>
      <c r="FK31" s="4"/>
      <c r="FL31" s="4"/>
      <c r="FM31" s="4"/>
      <c r="FN31" s="4"/>
      <c r="FO31" s="4"/>
      <c r="FP31" s="4"/>
      <c r="FQ31" s="4"/>
      <c r="FR31" s="4"/>
      <c r="FS31" s="4"/>
      <c r="FT31" s="4"/>
      <c r="FU31" s="4"/>
      <c r="FV31" s="4"/>
      <c r="FW31" s="4"/>
      <c r="FX31" s="4"/>
      <c r="FY31" s="4"/>
      <c r="FZ31" s="4"/>
      <c r="GA31" s="4"/>
      <c r="GB31" s="4"/>
      <c r="GC31" s="4"/>
      <c r="GD31" s="4"/>
      <c r="GE31" s="4"/>
      <c r="GF31" s="4"/>
      <c r="GG31" s="4"/>
      <c r="GH31" s="4"/>
      <c r="GI31" s="4"/>
      <c r="GJ31" s="4"/>
      <c r="GK31" s="4"/>
      <c r="GL31" s="4"/>
      <c r="GM31" s="4"/>
      <c r="GN31" s="4"/>
      <c r="GO31" s="4"/>
      <c r="GP31" s="4"/>
      <c r="GQ31" s="4"/>
      <c r="GR31" s="4"/>
      <c r="GS31" s="4"/>
      <c r="GT31" s="4"/>
      <c r="GU31" s="4"/>
      <c r="GV31" s="4"/>
      <c r="GW31" s="4"/>
      <c r="GX31" s="4"/>
      <c r="GY31" s="4"/>
      <c r="GZ31" s="4"/>
      <c r="HA31" s="4"/>
      <c r="HB31" s="4"/>
      <c r="HC31" s="4"/>
      <c r="HD31" s="4"/>
      <c r="HE31" s="4"/>
      <c r="HF31" s="4"/>
      <c r="HG31" s="4"/>
      <c r="HH31" s="4"/>
      <c r="HI31" s="4"/>
      <c r="HJ31" s="4"/>
      <c r="HK31" s="4"/>
      <c r="HL31" s="4"/>
      <c r="HM31" s="4"/>
      <c r="HN31" s="4"/>
      <c r="HO31" s="4"/>
      <c r="HP31" s="4"/>
      <c r="HQ31" s="4"/>
      <c r="HR31" s="4"/>
      <c r="HS31" s="4"/>
      <c r="HT31" s="4"/>
      <c r="HU31" s="4"/>
      <c r="HV31" s="4"/>
      <c r="HW31" s="4"/>
      <c r="HX31" s="4"/>
      <c r="HY31" s="4"/>
      <c r="HZ31" s="4"/>
      <c r="IA31" s="4"/>
      <c r="IB31" s="4"/>
      <c r="IC31" s="4"/>
      <c r="ID31" s="4"/>
      <c r="IE31" s="4"/>
      <c r="IF31" s="4"/>
      <c r="IG31" s="4"/>
      <c r="IH31" s="4"/>
      <c r="II31" s="4"/>
      <c r="IJ31" s="4"/>
      <c r="IK31" s="4"/>
    </row>
    <row r="32" spans="1:245">
      <c r="A32" s="116"/>
      <c r="B32" s="116" t="s">
        <v>983</v>
      </c>
      <c r="C32" s="116">
        <v>1</v>
      </c>
      <c r="D32" s="3" t="s">
        <v>1058</v>
      </c>
      <c r="E32" s="183" t="s">
        <v>1140</v>
      </c>
      <c r="F32" s="183"/>
      <c r="G32" s="183"/>
      <c r="H32" s="183"/>
      <c r="I32" s="183"/>
      <c r="J32" s="183"/>
      <c r="K32" s="183"/>
      <c r="L32" s="183"/>
      <c r="M32" s="184">
        <v>44487</v>
      </c>
      <c r="N32" s="184">
        <v>44497</v>
      </c>
      <c r="O32" s="185"/>
      <c r="P32" s="186">
        <v>10</v>
      </c>
      <c r="Q32" s="186">
        <v>10</v>
      </c>
      <c r="R32" s="187">
        <v>9</v>
      </c>
      <c r="S32" s="187">
        <v>9</v>
      </c>
      <c r="T32" s="184"/>
      <c r="U32" s="184"/>
      <c r="V32" s="188">
        <v>0</v>
      </c>
      <c r="W32" s="189">
        <v>0</v>
      </c>
      <c r="X32" s="190"/>
      <c r="Y32" s="185"/>
      <c r="Z32" s="191"/>
      <c r="AA32" s="97">
        <v>1</v>
      </c>
      <c r="AB32" s="192">
        <v>0</v>
      </c>
      <c r="AC32" s="123"/>
      <c r="AD32" s="4"/>
      <c r="AE32" s="4"/>
      <c r="AF32" s="4"/>
      <c r="AG32" s="4"/>
      <c r="AH32" s="4"/>
      <c r="AI32" s="4"/>
      <c r="AJ32" s="4"/>
      <c r="AK32" s="4"/>
      <c r="AL32" s="4"/>
      <c r="AM32" s="4"/>
      <c r="AN32" s="4"/>
      <c r="AO32" s="4"/>
      <c r="AP32" s="4"/>
      <c r="AQ32" s="4"/>
      <c r="AR32" s="4"/>
      <c r="AS32" s="4"/>
      <c r="AT32" s="4"/>
      <c r="AU32" s="4"/>
      <c r="AV32" s="4"/>
      <c r="AW32" s="4" t="str">
        <f>"" &amp; TEXT(AB32,"#0.00%") &amp; " " &amp; "[2110-14] Add Email field from Recipient Registration in African Countries" &amp; " " &amp; IF(M32="","",TEXT(M32,"M/D-")) &amp; IF(N32="","",TEXT(N32,"M/D")) &amp; " "</f>
        <v xml:space="preserve">0.00% [2110-14] Add Email field from Recipient Registration in African Countries 10/18-10/28 </v>
      </c>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c r="ER32" s="4"/>
      <c r="ES32" s="4"/>
      <c r="ET32" s="4"/>
      <c r="EU32" s="4"/>
      <c r="EV32" s="4"/>
      <c r="EW32" s="4"/>
      <c r="EX32" s="4"/>
      <c r="EY32" s="4"/>
      <c r="EZ32" s="4"/>
      <c r="FA32" s="4"/>
      <c r="FB32" s="4"/>
      <c r="FC32" s="4"/>
      <c r="FD32" s="4"/>
      <c r="FE32" s="4"/>
      <c r="FF32" s="4"/>
      <c r="FG32" s="4"/>
      <c r="FH32" s="4"/>
      <c r="FI32" s="4"/>
      <c r="FJ32" s="4"/>
      <c r="FK32" s="4"/>
      <c r="FL32" s="4"/>
      <c r="FM32" s="4"/>
      <c r="FN32" s="4"/>
      <c r="FO32" s="4"/>
      <c r="FP32" s="4"/>
      <c r="FQ32" s="4"/>
      <c r="FR32" s="4"/>
      <c r="FS32" s="4"/>
      <c r="FT32" s="4"/>
      <c r="FU32" s="4"/>
      <c r="FV32" s="4"/>
      <c r="FW32" s="4"/>
      <c r="FX32" s="4"/>
      <c r="FY32" s="4"/>
      <c r="FZ32" s="4"/>
      <c r="GA32" s="4"/>
      <c r="GB32" s="4"/>
      <c r="GC32" s="4"/>
      <c r="GD32" s="4"/>
      <c r="GE32" s="4"/>
      <c r="GF32" s="4"/>
      <c r="GG32" s="4"/>
      <c r="GH32" s="4"/>
      <c r="GI32" s="4"/>
      <c r="GJ32" s="4"/>
      <c r="GK32" s="4"/>
      <c r="GL32" s="4"/>
      <c r="GM32" s="4"/>
      <c r="GN32" s="4"/>
      <c r="GO32" s="4"/>
      <c r="GP32" s="4"/>
      <c r="GQ32" s="4"/>
      <c r="GR32" s="4"/>
      <c r="GS32" s="4"/>
      <c r="GT32" s="4"/>
      <c r="GU32" s="4"/>
      <c r="GV32" s="4"/>
      <c r="GW32" s="4"/>
      <c r="GX32" s="4"/>
      <c r="GY32" s="4"/>
      <c r="GZ32" s="4"/>
      <c r="HA32" s="4"/>
      <c r="HB32" s="4"/>
      <c r="HC32" s="4"/>
      <c r="HD32" s="4"/>
      <c r="HE32" s="4"/>
      <c r="HF32" s="4"/>
      <c r="HG32" s="4"/>
      <c r="HH32" s="4"/>
      <c r="HI32" s="4"/>
      <c r="HJ32" s="4"/>
      <c r="HK32" s="4"/>
      <c r="HL32" s="4"/>
      <c r="HM32" s="4"/>
      <c r="HN32" s="4"/>
      <c r="HO32" s="4"/>
      <c r="HP32" s="4"/>
      <c r="HQ32" s="4"/>
      <c r="HR32" s="4"/>
      <c r="HS32" s="4"/>
      <c r="HT32" s="4"/>
      <c r="HU32" s="4"/>
      <c r="HV32" s="4"/>
      <c r="HW32" s="4"/>
      <c r="HX32" s="4"/>
      <c r="HY32" s="4"/>
      <c r="HZ32" s="4"/>
      <c r="IA32" s="4"/>
      <c r="IB32" s="4"/>
      <c r="IC32" s="4"/>
      <c r="ID32" s="4"/>
      <c r="IE32" s="4"/>
      <c r="IF32" s="4"/>
      <c r="IG32" s="4"/>
      <c r="IH32" s="4"/>
      <c r="II32" s="4"/>
      <c r="IJ32" s="4"/>
      <c r="IK32" s="4"/>
    </row>
    <row r="33" spans="1:245" outlineLevel="1">
      <c r="A33" s="116"/>
      <c r="B33" s="116"/>
      <c r="C33" s="116">
        <v>2</v>
      </c>
      <c r="D33" s="3" t="s">
        <v>1059</v>
      </c>
      <c r="E33" s="183"/>
      <c r="F33" s="183" t="s">
        <v>1110</v>
      </c>
      <c r="G33" s="183"/>
      <c r="H33" s="183"/>
      <c r="I33" s="183"/>
      <c r="J33" s="183"/>
      <c r="K33" s="183"/>
      <c r="L33" s="183"/>
      <c r="M33" s="184">
        <v>44487</v>
      </c>
      <c r="N33" s="184">
        <v>44489</v>
      </c>
      <c r="O33" s="185"/>
      <c r="P33" s="186">
        <v>3</v>
      </c>
      <c r="Q33" s="186">
        <v>3</v>
      </c>
      <c r="R33" s="187">
        <v>3</v>
      </c>
      <c r="S33" s="187">
        <v>3</v>
      </c>
      <c r="T33" s="184"/>
      <c r="U33" s="184"/>
      <c r="V33" s="188"/>
      <c r="W33" s="189">
        <v>0</v>
      </c>
      <c r="X33" s="190">
        <v>1</v>
      </c>
      <c r="Y33" s="185" t="s">
        <v>1119</v>
      </c>
      <c r="Z33" s="191"/>
      <c r="AA33" s="97">
        <v>1</v>
      </c>
      <c r="AB33" s="192">
        <v>0</v>
      </c>
      <c r="AC33" s="123"/>
      <c r="AD33" s="4"/>
      <c r="AE33" s="4"/>
      <c r="AF33" s="4"/>
      <c r="AG33" s="4"/>
      <c r="AH33" s="4"/>
      <c r="AI33" s="4"/>
      <c r="AJ33" s="4"/>
      <c r="AK33" s="4"/>
      <c r="AL33" s="4"/>
      <c r="AM33" s="4"/>
      <c r="AN33" s="4"/>
      <c r="AO33" s="4"/>
      <c r="AP33" s="4"/>
      <c r="AQ33" s="4"/>
      <c r="AR33" s="4"/>
      <c r="AS33" s="4"/>
      <c r="AT33" s="4"/>
      <c r="AU33" s="4"/>
      <c r="AV33" s="4"/>
      <c r="AW33" s="4" t="str">
        <f>"" &amp; TEXT(AB33,"#0.00%") &amp; " " &amp; "Server" &amp; "(Ram)" &amp; " " &amp; IF(M33="","",TEXT(M33,"M/D-")) &amp; IF(N33="","",TEXT(N33,"M/D")) &amp; " "</f>
        <v xml:space="preserve">0.00% Server(Ram) 10/18-10/20 </v>
      </c>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c r="EK33" s="4"/>
      <c r="EL33" s="4"/>
      <c r="EM33" s="4"/>
      <c r="EN33" s="4"/>
      <c r="EO33" s="4"/>
      <c r="EP33" s="4"/>
      <c r="EQ33" s="4"/>
      <c r="ER33" s="4"/>
      <c r="ES33" s="4"/>
      <c r="ET33" s="4"/>
      <c r="EU33" s="4"/>
      <c r="EV33" s="4"/>
      <c r="EW33" s="4"/>
      <c r="EX33" s="4"/>
      <c r="EY33" s="4"/>
      <c r="EZ33" s="4"/>
      <c r="FA33" s="4"/>
      <c r="FB33" s="4"/>
      <c r="FC33" s="4"/>
      <c r="FD33" s="4"/>
      <c r="FE33" s="4"/>
      <c r="FF33" s="4"/>
      <c r="FG33" s="4"/>
      <c r="FH33" s="4"/>
      <c r="FI33" s="4"/>
      <c r="FJ33" s="4"/>
      <c r="FK33" s="4"/>
      <c r="FL33" s="4"/>
      <c r="FM33" s="4"/>
      <c r="FN33" s="4"/>
      <c r="FO33" s="4"/>
      <c r="FP33" s="4"/>
      <c r="FQ33" s="4"/>
      <c r="FR33" s="4"/>
      <c r="FS33" s="4"/>
      <c r="FT33" s="4"/>
      <c r="FU33" s="4"/>
      <c r="FV33" s="4"/>
      <c r="FW33" s="4"/>
      <c r="FX33" s="4"/>
      <c r="FY33" s="4"/>
      <c r="FZ33" s="4"/>
      <c r="GA33" s="4"/>
      <c r="GB33" s="4"/>
      <c r="GC33" s="4"/>
      <c r="GD33" s="4"/>
      <c r="GE33" s="4"/>
      <c r="GF33" s="4"/>
      <c r="GG33" s="4"/>
      <c r="GH33" s="4"/>
      <c r="GI33" s="4"/>
      <c r="GJ33" s="4"/>
      <c r="GK33" s="4"/>
      <c r="GL33" s="4"/>
      <c r="GM33" s="4"/>
      <c r="GN33" s="4"/>
      <c r="GO33" s="4"/>
      <c r="GP33" s="4"/>
      <c r="GQ33" s="4"/>
      <c r="GR33" s="4"/>
      <c r="GS33" s="4"/>
      <c r="GT33" s="4"/>
      <c r="GU33" s="4"/>
      <c r="GV33" s="4"/>
      <c r="GW33" s="4"/>
      <c r="GX33" s="4"/>
      <c r="GY33" s="4"/>
      <c r="GZ33" s="4"/>
      <c r="HA33" s="4"/>
      <c r="HB33" s="4"/>
      <c r="HC33" s="4"/>
      <c r="HD33" s="4"/>
      <c r="HE33" s="4"/>
      <c r="HF33" s="4"/>
      <c r="HG33" s="4"/>
      <c r="HH33" s="4"/>
      <c r="HI33" s="4"/>
      <c r="HJ33" s="4"/>
      <c r="HK33" s="4"/>
      <c r="HL33" s="4"/>
      <c r="HM33" s="4"/>
      <c r="HN33" s="4"/>
      <c r="HO33" s="4"/>
      <c r="HP33" s="4"/>
      <c r="HQ33" s="4"/>
      <c r="HR33" s="4"/>
      <c r="HS33" s="4"/>
      <c r="HT33" s="4"/>
      <c r="HU33" s="4"/>
      <c r="HV33" s="4"/>
      <c r="HW33" s="4"/>
      <c r="HX33" s="4"/>
      <c r="HY33" s="4"/>
      <c r="HZ33" s="4"/>
      <c r="IA33" s="4"/>
      <c r="IB33" s="4"/>
      <c r="IC33" s="4"/>
      <c r="ID33" s="4"/>
      <c r="IE33" s="4"/>
      <c r="IF33" s="4"/>
      <c r="IG33" s="4"/>
      <c r="IH33" s="4"/>
      <c r="II33" s="4"/>
      <c r="IJ33" s="4"/>
      <c r="IK33" s="4"/>
    </row>
    <row r="34" spans="1:245" outlineLevel="1">
      <c r="A34" s="116"/>
      <c r="B34" s="116"/>
      <c r="C34" s="116">
        <v>2</v>
      </c>
      <c r="D34" s="3" t="s">
        <v>1060</v>
      </c>
      <c r="E34" s="183"/>
      <c r="F34" s="183" t="s">
        <v>1111</v>
      </c>
      <c r="G34" s="183"/>
      <c r="H34" s="183"/>
      <c r="I34" s="183"/>
      <c r="J34" s="183"/>
      <c r="K34" s="183"/>
      <c r="L34" s="183"/>
      <c r="M34" s="184">
        <v>44487</v>
      </c>
      <c r="N34" s="184">
        <v>44489</v>
      </c>
      <c r="O34" s="185"/>
      <c r="P34" s="186">
        <v>3</v>
      </c>
      <c r="Q34" s="186">
        <v>3</v>
      </c>
      <c r="R34" s="187">
        <v>3</v>
      </c>
      <c r="S34" s="187">
        <v>3</v>
      </c>
      <c r="T34" s="184"/>
      <c r="U34" s="184"/>
      <c r="V34" s="188"/>
      <c r="W34" s="189">
        <v>0</v>
      </c>
      <c r="X34" s="190">
        <v>1</v>
      </c>
      <c r="Y34" s="185" t="s">
        <v>1120</v>
      </c>
      <c r="Z34" s="191"/>
      <c r="AA34" s="97">
        <v>1</v>
      </c>
      <c r="AB34" s="192">
        <v>0</v>
      </c>
      <c r="AC34" s="123"/>
      <c r="AD34" s="4"/>
      <c r="AE34" s="4"/>
      <c r="AF34" s="4"/>
      <c r="AG34" s="4"/>
      <c r="AH34" s="4"/>
      <c r="AI34" s="4"/>
      <c r="AJ34" s="4"/>
      <c r="AK34" s="4"/>
      <c r="AL34" s="4"/>
      <c r="AM34" s="4"/>
      <c r="AN34" s="4"/>
      <c r="AO34" s="4"/>
      <c r="AP34" s="4"/>
      <c r="AQ34" s="4"/>
      <c r="AR34" s="4"/>
      <c r="AS34" s="4"/>
      <c r="AT34" s="4"/>
      <c r="AU34" s="4"/>
      <c r="AV34" s="4"/>
      <c r="AW34" s="4" t="str">
        <f>"" &amp; TEXT(AB34,"#0.00%") &amp; " " &amp; "iOS" &amp; "(Dibya)" &amp; " " &amp; IF(M34="","",TEXT(M34,"M/D-")) &amp; IF(N34="","",TEXT(N34,"M/D")) &amp; " "</f>
        <v xml:space="preserve">0.00% iOS(Dibya) 10/18-10/20 </v>
      </c>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c r="EK34" s="4"/>
      <c r="EL34" s="4"/>
      <c r="EM34" s="4"/>
      <c r="EN34" s="4"/>
      <c r="EO34" s="4"/>
      <c r="EP34" s="4"/>
      <c r="EQ34" s="4"/>
      <c r="ER34" s="4"/>
      <c r="ES34" s="4"/>
      <c r="ET34" s="4"/>
      <c r="EU34" s="4"/>
      <c r="EV34" s="4"/>
      <c r="EW34" s="4"/>
      <c r="EX34" s="4"/>
      <c r="EY34" s="4"/>
      <c r="EZ34" s="4"/>
      <c r="FA34" s="4"/>
      <c r="FB34" s="4"/>
      <c r="FC34" s="4"/>
      <c r="FD34" s="4"/>
      <c r="FE34" s="4"/>
      <c r="FF34" s="4"/>
      <c r="FG34" s="4"/>
      <c r="FH34" s="4"/>
      <c r="FI34" s="4"/>
      <c r="FJ34" s="4"/>
      <c r="FK34" s="4"/>
      <c r="FL34" s="4"/>
      <c r="FM34" s="4"/>
      <c r="FN34" s="4"/>
      <c r="FO34" s="4"/>
      <c r="FP34" s="4"/>
      <c r="FQ34" s="4"/>
      <c r="FR34" s="4"/>
      <c r="FS34" s="4"/>
      <c r="FT34" s="4"/>
      <c r="FU34" s="4"/>
      <c r="FV34" s="4"/>
      <c r="FW34" s="4"/>
      <c r="FX34" s="4"/>
      <c r="FY34" s="4"/>
      <c r="FZ34" s="4"/>
      <c r="GA34" s="4"/>
      <c r="GB34" s="4"/>
      <c r="GC34" s="4"/>
      <c r="GD34" s="4"/>
      <c r="GE34" s="4"/>
      <c r="GF34" s="4"/>
      <c r="GG34" s="4"/>
      <c r="GH34" s="4"/>
      <c r="GI34" s="4"/>
      <c r="GJ34" s="4"/>
      <c r="GK34" s="4"/>
      <c r="GL34" s="4"/>
      <c r="GM34" s="4"/>
      <c r="GN34" s="4"/>
      <c r="GO34" s="4"/>
      <c r="GP34" s="4"/>
      <c r="GQ34" s="4"/>
      <c r="GR34" s="4"/>
      <c r="GS34" s="4"/>
      <c r="GT34" s="4"/>
      <c r="GU34" s="4"/>
      <c r="GV34" s="4"/>
      <c r="GW34" s="4"/>
      <c r="GX34" s="4"/>
      <c r="GY34" s="4"/>
      <c r="GZ34" s="4"/>
      <c r="HA34" s="4"/>
      <c r="HB34" s="4"/>
      <c r="HC34" s="4"/>
      <c r="HD34" s="4"/>
      <c r="HE34" s="4"/>
      <c r="HF34" s="4"/>
      <c r="HG34" s="4"/>
      <c r="HH34" s="4"/>
      <c r="HI34" s="4"/>
      <c r="HJ34" s="4"/>
      <c r="HK34" s="4"/>
      <c r="HL34" s="4"/>
      <c r="HM34" s="4"/>
      <c r="HN34" s="4"/>
      <c r="HO34" s="4"/>
      <c r="HP34" s="4"/>
      <c r="HQ34" s="4"/>
      <c r="HR34" s="4"/>
      <c r="HS34" s="4"/>
      <c r="HT34" s="4"/>
      <c r="HU34" s="4"/>
      <c r="HV34" s="4"/>
      <c r="HW34" s="4"/>
      <c r="HX34" s="4"/>
      <c r="HY34" s="4"/>
      <c r="HZ34" s="4"/>
      <c r="IA34" s="4"/>
      <c r="IB34" s="4"/>
      <c r="IC34" s="4"/>
      <c r="ID34" s="4"/>
      <c r="IE34" s="4"/>
      <c r="IF34" s="4"/>
      <c r="IG34" s="4"/>
      <c r="IH34" s="4"/>
      <c r="II34" s="4"/>
      <c r="IJ34" s="4"/>
      <c r="IK34" s="4"/>
    </row>
    <row r="35" spans="1:245" outlineLevel="1">
      <c r="A35" s="116"/>
      <c r="B35" s="116"/>
      <c r="C35" s="116">
        <v>2</v>
      </c>
      <c r="D35" s="3" t="s">
        <v>1061</v>
      </c>
      <c r="E35" s="183"/>
      <c r="F35" s="183" t="s">
        <v>1112</v>
      </c>
      <c r="G35" s="183"/>
      <c r="H35" s="183"/>
      <c r="I35" s="183"/>
      <c r="J35" s="183"/>
      <c r="K35" s="183"/>
      <c r="L35" s="183"/>
      <c r="M35" s="184">
        <v>44487</v>
      </c>
      <c r="N35" s="184">
        <v>44489</v>
      </c>
      <c r="O35" s="185"/>
      <c r="P35" s="186">
        <v>3</v>
      </c>
      <c r="Q35" s="186">
        <v>3</v>
      </c>
      <c r="R35" s="187">
        <v>3</v>
      </c>
      <c r="S35" s="187">
        <v>3</v>
      </c>
      <c r="T35" s="184"/>
      <c r="U35" s="184"/>
      <c r="V35" s="188"/>
      <c r="W35" s="189">
        <v>0</v>
      </c>
      <c r="X35" s="190">
        <v>1</v>
      </c>
      <c r="Y35" s="185" t="s">
        <v>1121</v>
      </c>
      <c r="Z35" s="191"/>
      <c r="AA35" s="97">
        <v>1</v>
      </c>
      <c r="AB35" s="192">
        <v>0</v>
      </c>
      <c r="AC35" s="123"/>
      <c r="AD35" s="4"/>
      <c r="AE35" s="4"/>
      <c r="AF35" s="4"/>
      <c r="AG35" s="4"/>
      <c r="AH35" s="4"/>
      <c r="AI35" s="4"/>
      <c r="AJ35" s="4"/>
      <c r="AK35" s="4"/>
      <c r="AL35" s="4"/>
      <c r="AM35" s="4"/>
      <c r="AN35" s="4"/>
      <c r="AO35" s="4"/>
      <c r="AP35" s="4"/>
      <c r="AQ35" s="4"/>
      <c r="AR35" s="4"/>
      <c r="AS35" s="4"/>
      <c r="AT35" s="4"/>
      <c r="AU35" s="4"/>
      <c r="AV35" s="4"/>
      <c r="AW35" s="4" t="str">
        <f>"" &amp; TEXT(AB35,"#0.00%") &amp; " " &amp; "Android" &amp; "(Andrew)" &amp; " " &amp; IF(M35="","",TEXT(M35,"M/D-")) &amp; IF(N35="","",TEXT(N35,"M/D")) &amp; " "</f>
        <v xml:space="preserve">0.00% Android(Andrew) 10/18-10/20 </v>
      </c>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c r="EK35" s="4"/>
      <c r="EL35" s="4"/>
      <c r="EM35" s="4"/>
      <c r="EN35" s="4"/>
      <c r="EO35" s="4"/>
      <c r="EP35" s="4"/>
      <c r="EQ35" s="4"/>
      <c r="ER35" s="4"/>
      <c r="ES35" s="4"/>
      <c r="ET35" s="4"/>
      <c r="EU35" s="4"/>
      <c r="EV35" s="4"/>
      <c r="EW35" s="4"/>
      <c r="EX35" s="4"/>
      <c r="EY35" s="4"/>
      <c r="EZ35" s="4"/>
      <c r="FA35" s="4"/>
      <c r="FB35" s="4"/>
      <c r="FC35" s="4"/>
      <c r="FD35" s="4"/>
      <c r="FE35" s="4"/>
      <c r="FF35" s="4"/>
      <c r="FG35" s="4"/>
      <c r="FH35" s="4"/>
      <c r="FI35" s="4"/>
      <c r="FJ35" s="4"/>
      <c r="FK35" s="4"/>
      <c r="FL35" s="4"/>
      <c r="FM35" s="4"/>
      <c r="FN35" s="4"/>
      <c r="FO35" s="4"/>
      <c r="FP35" s="4"/>
      <c r="FQ35" s="4"/>
      <c r="FR35" s="4"/>
      <c r="FS35" s="4"/>
      <c r="FT35" s="4"/>
      <c r="FU35" s="4"/>
      <c r="FV35" s="4"/>
      <c r="FW35" s="4"/>
      <c r="FX35" s="4"/>
      <c r="FY35" s="4"/>
      <c r="FZ35" s="4"/>
      <c r="GA35" s="4"/>
      <c r="GB35" s="4"/>
      <c r="GC35" s="4"/>
      <c r="GD35" s="4"/>
      <c r="GE35" s="4"/>
      <c r="GF35" s="4"/>
      <c r="GG35" s="4"/>
      <c r="GH35" s="4"/>
      <c r="GI35" s="4"/>
      <c r="GJ35" s="4"/>
      <c r="GK35" s="4"/>
      <c r="GL35" s="4"/>
      <c r="GM35" s="4"/>
      <c r="GN35" s="4"/>
      <c r="GO35" s="4"/>
      <c r="GP35" s="4"/>
      <c r="GQ35" s="4"/>
      <c r="GR35" s="4"/>
      <c r="GS35" s="4"/>
      <c r="GT35" s="4"/>
      <c r="GU35" s="4"/>
      <c r="GV35" s="4"/>
      <c r="GW35" s="4"/>
      <c r="GX35" s="4"/>
      <c r="GY35" s="4"/>
      <c r="GZ35" s="4"/>
      <c r="HA35" s="4"/>
      <c r="HB35" s="4"/>
      <c r="HC35" s="4"/>
      <c r="HD35" s="4"/>
      <c r="HE35" s="4"/>
      <c r="HF35" s="4"/>
      <c r="HG35" s="4"/>
      <c r="HH35" s="4"/>
      <c r="HI35" s="4"/>
      <c r="HJ35" s="4"/>
      <c r="HK35" s="4"/>
      <c r="HL35" s="4"/>
      <c r="HM35" s="4"/>
      <c r="HN35" s="4"/>
      <c r="HO35" s="4"/>
      <c r="HP35" s="4"/>
      <c r="HQ35" s="4"/>
      <c r="HR35" s="4"/>
      <c r="HS35" s="4"/>
      <c r="HT35" s="4"/>
      <c r="HU35" s="4"/>
      <c r="HV35" s="4"/>
      <c r="HW35" s="4"/>
      <c r="HX35" s="4"/>
      <c r="HY35" s="4"/>
      <c r="HZ35" s="4"/>
      <c r="IA35" s="4"/>
      <c r="IB35" s="4"/>
      <c r="IC35" s="4"/>
      <c r="ID35" s="4"/>
      <c r="IE35" s="4"/>
      <c r="IF35" s="4"/>
      <c r="IG35" s="4"/>
      <c r="IH35" s="4"/>
      <c r="II35" s="4"/>
      <c r="IJ35" s="4"/>
      <c r="IK35" s="4"/>
    </row>
    <row r="36" spans="1:245" outlineLevel="1">
      <c r="A36" s="116"/>
      <c r="B36" s="116"/>
      <c r="C36" s="116">
        <v>2</v>
      </c>
      <c r="D36" s="3" t="s">
        <v>1083</v>
      </c>
      <c r="E36" s="183"/>
      <c r="F36" s="183" t="s">
        <v>1113</v>
      </c>
      <c r="G36" s="183"/>
      <c r="H36" s="183"/>
      <c r="I36" s="183"/>
      <c r="J36" s="183"/>
      <c r="K36" s="183"/>
      <c r="L36" s="183"/>
      <c r="M36" s="184">
        <v>44497</v>
      </c>
      <c r="N36" s="184">
        <v>44497</v>
      </c>
      <c r="O36" s="185"/>
      <c r="P36" s="186">
        <v>1</v>
      </c>
      <c r="Q36" s="186">
        <v>1</v>
      </c>
      <c r="R36" s="187">
        <v>1</v>
      </c>
      <c r="S36" s="187">
        <v>1</v>
      </c>
      <c r="T36" s="184"/>
      <c r="U36" s="184"/>
      <c r="V36" s="188"/>
      <c r="W36" s="189">
        <v>0</v>
      </c>
      <c r="X36" s="190">
        <v>1</v>
      </c>
      <c r="Y36" s="185" t="s">
        <v>1126</v>
      </c>
      <c r="Z36" s="191"/>
      <c r="AA36" s="97">
        <v>1</v>
      </c>
      <c r="AB36" s="192">
        <v>0</v>
      </c>
      <c r="AC36" s="123"/>
      <c r="AD36" s="4"/>
      <c r="AE36" s="4"/>
      <c r="AF36" s="4"/>
      <c r="AG36" s="4"/>
      <c r="AH36" s="4"/>
      <c r="AI36" s="4"/>
      <c r="AJ36" s="4"/>
      <c r="AK36" s="4"/>
      <c r="AL36" s="4"/>
      <c r="AM36" s="4"/>
      <c r="AN36" s="4"/>
      <c r="AO36" s="4"/>
      <c r="AP36" s="4"/>
      <c r="AQ36" s="4"/>
      <c r="AR36" s="4"/>
      <c r="AS36" s="4"/>
      <c r="AT36" s="4"/>
      <c r="AU36" s="4"/>
      <c r="AV36" s="4"/>
      <c r="AW36" s="4"/>
      <c r="AX36" s="4" t="str">
        <f>"   " &amp; TEXT(AB36,"#0.00%") &amp; " " &amp; "QA" &amp; "(Sumitra)" &amp; " " &amp; IF(M36="","",TEXT(M36,"M/D-")) &amp; IF(N36="","",TEXT(N36,"M/D")) &amp; " "</f>
        <v xml:space="preserve">   0.00% QA(Sumitra) 10/28-10/28 </v>
      </c>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c r="EK36" s="4"/>
      <c r="EL36" s="4"/>
      <c r="EM36" s="4"/>
      <c r="EN36" s="4"/>
      <c r="EO36" s="4"/>
      <c r="EP36" s="4"/>
      <c r="EQ36" s="4"/>
      <c r="ER36" s="4"/>
      <c r="ES36" s="4"/>
      <c r="ET36" s="4"/>
      <c r="EU36" s="4"/>
      <c r="EV36" s="4"/>
      <c r="EW36" s="4"/>
      <c r="EX36" s="4"/>
      <c r="EY36" s="4"/>
      <c r="EZ36" s="4"/>
      <c r="FA36" s="4"/>
      <c r="FB36" s="4"/>
      <c r="FC36" s="4"/>
      <c r="FD36" s="4"/>
      <c r="FE36" s="4"/>
      <c r="FF36" s="4"/>
      <c r="FG36" s="4"/>
      <c r="FH36" s="4"/>
      <c r="FI36" s="4"/>
      <c r="FJ36" s="4"/>
      <c r="FK36" s="4"/>
      <c r="FL36" s="4"/>
      <c r="FM36" s="4"/>
      <c r="FN36" s="4"/>
      <c r="FO36" s="4"/>
      <c r="FP36" s="4"/>
      <c r="FQ36" s="4"/>
      <c r="FR36" s="4"/>
      <c r="FS36" s="4"/>
      <c r="FT36" s="4"/>
      <c r="FU36" s="4"/>
      <c r="FV36" s="4"/>
      <c r="FW36" s="4"/>
      <c r="FX36" s="4"/>
      <c r="FY36" s="4"/>
      <c r="FZ36" s="4"/>
      <c r="GA36" s="4"/>
      <c r="GB36" s="4"/>
      <c r="GC36" s="4"/>
      <c r="GD36" s="4"/>
      <c r="GE36" s="4"/>
      <c r="GF36" s="4"/>
      <c r="GG36" s="4"/>
      <c r="GH36" s="4"/>
      <c r="GI36" s="4"/>
      <c r="GJ36" s="4"/>
      <c r="GK36" s="4"/>
      <c r="GL36" s="4"/>
      <c r="GM36" s="4"/>
      <c r="GN36" s="4"/>
      <c r="GO36" s="4"/>
      <c r="GP36" s="4"/>
      <c r="GQ36" s="4"/>
      <c r="GR36" s="4"/>
      <c r="GS36" s="4"/>
      <c r="GT36" s="4"/>
      <c r="GU36" s="4"/>
      <c r="GV36" s="4"/>
      <c r="GW36" s="4"/>
      <c r="GX36" s="4"/>
      <c r="GY36" s="4"/>
      <c r="GZ36" s="4"/>
      <c r="HA36" s="4"/>
      <c r="HB36" s="4"/>
      <c r="HC36" s="4"/>
      <c r="HD36" s="4"/>
      <c r="HE36" s="4"/>
      <c r="HF36" s="4"/>
      <c r="HG36" s="4"/>
      <c r="HH36" s="4"/>
      <c r="HI36" s="4"/>
      <c r="HJ36" s="4"/>
      <c r="HK36" s="4"/>
      <c r="HL36" s="4"/>
      <c r="HM36" s="4"/>
      <c r="HN36" s="4"/>
      <c r="HO36" s="4"/>
      <c r="HP36" s="4"/>
      <c r="HQ36" s="4"/>
      <c r="HR36" s="4"/>
      <c r="HS36" s="4"/>
      <c r="HT36" s="4"/>
      <c r="HU36" s="4"/>
      <c r="HV36" s="4"/>
      <c r="HW36" s="4"/>
      <c r="HX36" s="4"/>
      <c r="HY36" s="4"/>
      <c r="HZ36" s="4"/>
      <c r="IA36" s="4"/>
      <c r="IB36" s="4"/>
      <c r="IC36" s="4"/>
      <c r="ID36" s="4"/>
      <c r="IE36" s="4"/>
      <c r="IF36" s="4"/>
      <c r="IG36" s="4"/>
      <c r="IH36" s="4"/>
      <c r="II36" s="4"/>
      <c r="IJ36" s="4"/>
      <c r="IK36" s="4"/>
    </row>
    <row r="37" spans="1:245" outlineLevel="1">
      <c r="A37" s="116"/>
      <c r="B37" s="116"/>
      <c r="C37" s="116">
        <v>0</v>
      </c>
      <c r="D37" s="3"/>
      <c r="E37" s="183"/>
      <c r="F37" s="183"/>
      <c r="G37" s="183"/>
      <c r="H37" s="183"/>
      <c r="I37" s="183"/>
      <c r="J37" s="183"/>
      <c r="K37" s="183"/>
      <c r="L37" s="183"/>
      <c r="M37" s="184"/>
      <c r="N37" s="184"/>
      <c r="O37" s="185"/>
      <c r="P37" s="186"/>
      <c r="Q37" s="186"/>
      <c r="R37" s="187">
        <v>0</v>
      </c>
      <c r="S37" s="187">
        <v>0</v>
      </c>
      <c r="T37" s="184"/>
      <c r="U37" s="184"/>
      <c r="V37" s="188"/>
      <c r="W37" s="189">
        <v>0</v>
      </c>
      <c r="X37" s="190"/>
      <c r="Y37" s="185"/>
      <c r="Z37" s="191"/>
      <c r="AA37" s="97"/>
      <c r="AB37" s="192"/>
      <c r="AC37" s="123"/>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c r="EK37" s="4"/>
      <c r="EL37" s="4"/>
      <c r="EM37" s="4"/>
      <c r="EN37" s="4"/>
      <c r="EO37" s="4"/>
      <c r="EP37" s="4"/>
      <c r="EQ37" s="4"/>
      <c r="ER37" s="4"/>
      <c r="ES37" s="4"/>
      <c r="ET37" s="4"/>
      <c r="EU37" s="4"/>
      <c r="EV37" s="4"/>
      <c r="EW37" s="4"/>
      <c r="EX37" s="4"/>
      <c r="EY37" s="4"/>
      <c r="EZ37" s="4"/>
      <c r="FA37" s="4"/>
      <c r="FB37" s="4"/>
      <c r="FC37" s="4"/>
      <c r="FD37" s="4"/>
      <c r="FE37" s="4"/>
      <c r="FF37" s="4"/>
      <c r="FG37" s="4"/>
      <c r="FH37" s="4"/>
      <c r="FI37" s="4"/>
      <c r="FJ37" s="4"/>
      <c r="FK37" s="4"/>
      <c r="FL37" s="4"/>
      <c r="FM37" s="4"/>
      <c r="FN37" s="4"/>
      <c r="FO37" s="4"/>
      <c r="FP37" s="4"/>
      <c r="FQ37" s="4"/>
      <c r="FR37" s="4"/>
      <c r="FS37" s="4"/>
      <c r="FT37" s="4"/>
      <c r="FU37" s="4"/>
      <c r="FV37" s="4"/>
      <c r="FW37" s="4"/>
      <c r="FX37" s="4"/>
      <c r="FY37" s="4"/>
      <c r="FZ37" s="4"/>
      <c r="GA37" s="4"/>
      <c r="GB37" s="4"/>
      <c r="GC37" s="4"/>
      <c r="GD37" s="4"/>
      <c r="GE37" s="4"/>
      <c r="GF37" s="4"/>
      <c r="GG37" s="4"/>
      <c r="GH37" s="4"/>
      <c r="GI37" s="4"/>
      <c r="GJ37" s="4"/>
      <c r="GK37" s="4"/>
      <c r="GL37" s="4"/>
      <c r="GM37" s="4"/>
      <c r="GN37" s="4"/>
      <c r="GO37" s="4"/>
      <c r="GP37" s="4"/>
      <c r="GQ37" s="4"/>
      <c r="GR37" s="4"/>
      <c r="GS37" s="4"/>
      <c r="GT37" s="4"/>
      <c r="GU37" s="4"/>
      <c r="GV37" s="4"/>
      <c r="GW37" s="4"/>
      <c r="GX37" s="4"/>
      <c r="GY37" s="4"/>
      <c r="GZ37" s="4"/>
      <c r="HA37" s="4"/>
      <c r="HB37" s="4"/>
      <c r="HC37" s="4"/>
      <c r="HD37" s="4"/>
      <c r="HE37" s="4"/>
      <c r="HF37" s="4"/>
      <c r="HG37" s="4"/>
      <c r="HH37" s="4"/>
      <c r="HI37" s="4"/>
      <c r="HJ37" s="4"/>
      <c r="HK37" s="4"/>
      <c r="HL37" s="4"/>
      <c r="HM37" s="4"/>
      <c r="HN37" s="4"/>
      <c r="HO37" s="4"/>
      <c r="HP37" s="4"/>
      <c r="HQ37" s="4"/>
      <c r="HR37" s="4"/>
      <c r="HS37" s="4"/>
      <c r="HT37" s="4"/>
      <c r="HU37" s="4"/>
      <c r="HV37" s="4"/>
      <c r="HW37" s="4"/>
      <c r="HX37" s="4"/>
      <c r="HY37" s="4"/>
      <c r="HZ37" s="4"/>
      <c r="IA37" s="4"/>
      <c r="IB37" s="4"/>
      <c r="IC37" s="4"/>
      <c r="ID37" s="4"/>
      <c r="IE37" s="4"/>
      <c r="IF37" s="4"/>
      <c r="IG37" s="4"/>
      <c r="IH37" s="4"/>
      <c r="II37" s="4"/>
      <c r="IJ37" s="4"/>
      <c r="IK37" s="4"/>
    </row>
    <row r="38" spans="1:245">
      <c r="A38" s="116"/>
      <c r="B38" s="116" t="s">
        <v>983</v>
      </c>
      <c r="C38" s="116">
        <v>1</v>
      </c>
      <c r="D38" s="3" t="s">
        <v>1089</v>
      </c>
      <c r="E38" s="183" t="s">
        <v>1141</v>
      </c>
      <c r="F38" s="183"/>
      <c r="G38" s="183"/>
      <c r="H38" s="183"/>
      <c r="I38" s="183"/>
      <c r="J38" s="183"/>
      <c r="K38" s="183"/>
      <c r="L38" s="183"/>
      <c r="M38" s="184">
        <v>44505</v>
      </c>
      <c r="N38" s="184">
        <v>44508</v>
      </c>
      <c r="O38" s="185"/>
      <c r="P38" s="186">
        <v>3</v>
      </c>
      <c r="Q38" s="186">
        <v>3</v>
      </c>
      <c r="R38" s="187">
        <v>2</v>
      </c>
      <c r="S38" s="187">
        <v>2</v>
      </c>
      <c r="T38" s="184"/>
      <c r="U38" s="184"/>
      <c r="V38" s="188">
        <v>0</v>
      </c>
      <c r="W38" s="189">
        <v>0</v>
      </c>
      <c r="X38" s="190"/>
      <c r="Y38" s="185"/>
      <c r="Z38" s="191"/>
      <c r="AA38" s="97">
        <v>1</v>
      </c>
      <c r="AB38" s="192">
        <v>0</v>
      </c>
      <c r="AC38" s="123"/>
      <c r="AD38" s="4"/>
      <c r="AE38" s="4"/>
      <c r="AF38" s="4"/>
      <c r="AG38" s="4"/>
      <c r="AH38" s="4"/>
      <c r="AI38" s="4"/>
      <c r="AJ38" s="4"/>
      <c r="AK38" s="4"/>
      <c r="AL38" s="4"/>
      <c r="AM38" s="4"/>
      <c r="AN38" s="4"/>
      <c r="AO38" s="4"/>
      <c r="AP38" s="4"/>
      <c r="AQ38" s="4"/>
      <c r="AR38" s="4"/>
      <c r="AS38" s="4"/>
      <c r="AT38" s="4"/>
      <c r="AU38" s="4"/>
      <c r="AV38" s="4"/>
      <c r="AW38" s="4"/>
      <c r="AX38" s="4"/>
      <c r="AY38" s="4" t="str">
        <f>"    " &amp; TEXT(AB38,"#0.00%") &amp; " " &amp; "[2110-22] Set Default Country is as Native Country in New Recipient" &amp; " " &amp; IF(M38="","",TEXT(M38,"M/D-")) &amp; IF(N38="","",TEXT(N38,"M/D")) &amp; " "</f>
        <v xml:space="preserve">    0.00% [2110-22] Set Default Country is as Native Country in New Recipient 11/5-11/8 </v>
      </c>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c r="EK38" s="4"/>
      <c r="EL38" s="4"/>
      <c r="EM38" s="4"/>
      <c r="EN38" s="4"/>
      <c r="EO38" s="4"/>
      <c r="EP38" s="4"/>
      <c r="EQ38" s="4"/>
      <c r="ER38" s="4"/>
      <c r="ES38" s="4"/>
      <c r="ET38" s="4"/>
      <c r="EU38" s="4"/>
      <c r="EV38" s="4"/>
      <c r="EW38" s="4"/>
      <c r="EX38" s="4"/>
      <c r="EY38" s="4"/>
      <c r="EZ38" s="4"/>
      <c r="FA38" s="4"/>
      <c r="FB38" s="4"/>
      <c r="FC38" s="4"/>
      <c r="FD38" s="4"/>
      <c r="FE38" s="4"/>
      <c r="FF38" s="4"/>
      <c r="FG38" s="4"/>
      <c r="FH38" s="4"/>
      <c r="FI38" s="4"/>
      <c r="FJ38" s="4"/>
      <c r="FK38" s="4"/>
      <c r="FL38" s="4"/>
      <c r="FM38" s="4"/>
      <c r="FN38" s="4"/>
      <c r="FO38" s="4"/>
      <c r="FP38" s="4"/>
      <c r="FQ38" s="4"/>
      <c r="FR38" s="4"/>
      <c r="FS38" s="4"/>
      <c r="FT38" s="4"/>
      <c r="FU38" s="4"/>
      <c r="FV38" s="4"/>
      <c r="FW38" s="4"/>
      <c r="FX38" s="4"/>
      <c r="FY38" s="4"/>
      <c r="FZ38" s="4"/>
      <c r="GA38" s="4"/>
      <c r="GB38" s="4"/>
      <c r="GC38" s="4"/>
      <c r="GD38" s="4"/>
      <c r="GE38" s="4"/>
      <c r="GF38" s="4"/>
      <c r="GG38" s="4"/>
      <c r="GH38" s="4"/>
      <c r="GI38" s="4"/>
      <c r="GJ38" s="4"/>
      <c r="GK38" s="4"/>
      <c r="GL38" s="4"/>
      <c r="GM38" s="4"/>
      <c r="GN38" s="4"/>
      <c r="GO38" s="4"/>
      <c r="GP38" s="4"/>
      <c r="GQ38" s="4"/>
      <c r="GR38" s="4"/>
      <c r="GS38" s="4"/>
      <c r="GT38" s="4"/>
      <c r="GU38" s="4"/>
      <c r="GV38" s="4"/>
      <c r="GW38" s="4"/>
      <c r="GX38" s="4"/>
      <c r="GY38" s="4"/>
      <c r="GZ38" s="4"/>
      <c r="HA38" s="4"/>
      <c r="HB38" s="4"/>
      <c r="HC38" s="4"/>
      <c r="HD38" s="4"/>
      <c r="HE38" s="4"/>
      <c r="HF38" s="4"/>
      <c r="HG38" s="4"/>
      <c r="HH38" s="4"/>
      <c r="HI38" s="4"/>
      <c r="HJ38" s="4"/>
      <c r="HK38" s="4"/>
      <c r="HL38" s="4"/>
      <c r="HM38" s="4"/>
      <c r="HN38" s="4"/>
      <c r="HO38" s="4"/>
      <c r="HP38" s="4"/>
      <c r="HQ38" s="4"/>
      <c r="HR38" s="4"/>
      <c r="HS38" s="4"/>
      <c r="HT38" s="4"/>
      <c r="HU38" s="4"/>
      <c r="HV38" s="4"/>
      <c r="HW38" s="4"/>
      <c r="HX38" s="4"/>
      <c r="HY38" s="4"/>
      <c r="HZ38" s="4"/>
      <c r="IA38" s="4"/>
      <c r="IB38" s="4"/>
      <c r="IC38" s="4"/>
      <c r="ID38" s="4"/>
      <c r="IE38" s="4"/>
      <c r="IF38" s="4"/>
      <c r="IG38" s="4"/>
      <c r="IH38" s="4"/>
      <c r="II38" s="4"/>
      <c r="IJ38" s="4"/>
      <c r="IK38" s="4"/>
    </row>
    <row r="39" spans="1:245" outlineLevel="1">
      <c r="A39" s="116"/>
      <c r="B39" s="116"/>
      <c r="C39" s="116">
        <v>2</v>
      </c>
      <c r="D39" s="3" t="s">
        <v>1090</v>
      </c>
      <c r="E39" s="183"/>
      <c r="F39" s="183" t="s">
        <v>1111</v>
      </c>
      <c r="G39" s="183"/>
      <c r="H39" s="183"/>
      <c r="I39" s="183"/>
      <c r="J39" s="183"/>
      <c r="K39" s="183"/>
      <c r="L39" s="183"/>
      <c r="M39" s="184">
        <v>44505</v>
      </c>
      <c r="N39" s="184">
        <v>44505</v>
      </c>
      <c r="O39" s="185"/>
      <c r="P39" s="186">
        <v>1</v>
      </c>
      <c r="Q39" s="186">
        <v>1</v>
      </c>
      <c r="R39" s="187">
        <v>1</v>
      </c>
      <c r="S39" s="187">
        <v>1</v>
      </c>
      <c r="T39" s="184"/>
      <c r="U39" s="184"/>
      <c r="V39" s="188"/>
      <c r="W39" s="189">
        <v>0</v>
      </c>
      <c r="X39" s="190">
        <v>1</v>
      </c>
      <c r="Y39" s="185" t="s">
        <v>1120</v>
      </c>
      <c r="Z39" s="191"/>
      <c r="AA39" s="97">
        <v>1</v>
      </c>
      <c r="AB39" s="192">
        <v>0</v>
      </c>
      <c r="AC39" s="123"/>
      <c r="AD39" s="4"/>
      <c r="AE39" s="4"/>
      <c r="AF39" s="4"/>
      <c r="AG39" s="4"/>
      <c r="AH39" s="4"/>
      <c r="AI39" s="4"/>
      <c r="AJ39" s="4"/>
      <c r="AK39" s="4"/>
      <c r="AL39" s="4"/>
      <c r="AM39" s="4"/>
      <c r="AN39" s="4"/>
      <c r="AO39" s="4"/>
      <c r="AP39" s="4"/>
      <c r="AQ39" s="4"/>
      <c r="AR39" s="4"/>
      <c r="AS39" s="4"/>
      <c r="AT39" s="4"/>
      <c r="AU39" s="4"/>
      <c r="AV39" s="4"/>
      <c r="AW39" s="4"/>
      <c r="AX39" s="4"/>
      <c r="AY39" s="4" t="str">
        <f>"    " &amp; TEXT(AB39,"#0.00%") &amp; " " &amp; "iOS" &amp; "(Dibya)" &amp; " " &amp; IF(M39="","",TEXT(M39,"M/D-")) &amp; IF(N39="","",TEXT(N39,"M/D")) &amp; " "</f>
        <v xml:space="preserve">    0.00% iOS(Dibya) 11/5-11/5 </v>
      </c>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4"/>
      <c r="EI39" s="4"/>
      <c r="EJ39" s="4"/>
      <c r="EK39" s="4"/>
      <c r="EL39" s="4"/>
      <c r="EM39" s="4"/>
      <c r="EN39" s="4"/>
      <c r="EO39" s="4"/>
      <c r="EP39" s="4"/>
      <c r="EQ39" s="4"/>
      <c r="ER39" s="4"/>
      <c r="ES39" s="4"/>
      <c r="ET39" s="4"/>
      <c r="EU39" s="4"/>
      <c r="EV39" s="4"/>
      <c r="EW39" s="4"/>
      <c r="EX39" s="4"/>
      <c r="EY39" s="4"/>
      <c r="EZ39" s="4"/>
      <c r="FA39" s="4"/>
      <c r="FB39" s="4"/>
      <c r="FC39" s="4"/>
      <c r="FD39" s="4"/>
      <c r="FE39" s="4"/>
      <c r="FF39" s="4"/>
      <c r="FG39" s="4"/>
      <c r="FH39" s="4"/>
      <c r="FI39" s="4"/>
      <c r="FJ39" s="4"/>
      <c r="FK39" s="4"/>
      <c r="FL39" s="4"/>
      <c r="FM39" s="4"/>
      <c r="FN39" s="4"/>
      <c r="FO39" s="4"/>
      <c r="FP39" s="4"/>
      <c r="FQ39" s="4"/>
      <c r="FR39" s="4"/>
      <c r="FS39" s="4"/>
      <c r="FT39" s="4"/>
      <c r="FU39" s="4"/>
      <c r="FV39" s="4"/>
      <c r="FW39" s="4"/>
      <c r="FX39" s="4"/>
      <c r="FY39" s="4"/>
      <c r="FZ39" s="4"/>
      <c r="GA39" s="4"/>
      <c r="GB39" s="4"/>
      <c r="GC39" s="4"/>
      <c r="GD39" s="4"/>
      <c r="GE39" s="4"/>
      <c r="GF39" s="4"/>
      <c r="GG39" s="4"/>
      <c r="GH39" s="4"/>
      <c r="GI39" s="4"/>
      <c r="GJ39" s="4"/>
      <c r="GK39" s="4"/>
      <c r="GL39" s="4"/>
      <c r="GM39" s="4"/>
      <c r="GN39" s="4"/>
      <c r="GO39" s="4"/>
      <c r="GP39" s="4"/>
      <c r="GQ39" s="4"/>
      <c r="GR39" s="4"/>
      <c r="GS39" s="4"/>
      <c r="GT39" s="4"/>
      <c r="GU39" s="4"/>
      <c r="GV39" s="4"/>
      <c r="GW39" s="4"/>
      <c r="GX39" s="4"/>
      <c r="GY39" s="4"/>
      <c r="GZ39" s="4"/>
      <c r="HA39" s="4"/>
      <c r="HB39" s="4"/>
      <c r="HC39" s="4"/>
      <c r="HD39" s="4"/>
      <c r="HE39" s="4"/>
      <c r="HF39" s="4"/>
      <c r="HG39" s="4"/>
      <c r="HH39" s="4"/>
      <c r="HI39" s="4"/>
      <c r="HJ39" s="4"/>
      <c r="HK39" s="4"/>
      <c r="HL39" s="4"/>
      <c r="HM39" s="4"/>
      <c r="HN39" s="4"/>
      <c r="HO39" s="4"/>
      <c r="HP39" s="4"/>
      <c r="HQ39" s="4"/>
      <c r="HR39" s="4"/>
      <c r="HS39" s="4"/>
      <c r="HT39" s="4"/>
      <c r="HU39" s="4"/>
      <c r="HV39" s="4"/>
      <c r="HW39" s="4"/>
      <c r="HX39" s="4"/>
      <c r="HY39" s="4"/>
      <c r="HZ39" s="4"/>
      <c r="IA39" s="4"/>
      <c r="IB39" s="4"/>
      <c r="IC39" s="4"/>
      <c r="ID39" s="4"/>
      <c r="IE39" s="4"/>
      <c r="IF39" s="4"/>
      <c r="IG39" s="4"/>
      <c r="IH39" s="4"/>
      <c r="II39" s="4"/>
      <c r="IJ39" s="4"/>
      <c r="IK39" s="4"/>
    </row>
    <row r="40" spans="1:245" outlineLevel="1">
      <c r="A40" s="116"/>
      <c r="B40" s="116"/>
      <c r="C40" s="116">
        <v>2</v>
      </c>
      <c r="D40" s="3" t="s">
        <v>1091</v>
      </c>
      <c r="E40" s="183"/>
      <c r="F40" s="183" t="s">
        <v>1112</v>
      </c>
      <c r="G40" s="183"/>
      <c r="H40" s="183"/>
      <c r="I40" s="183"/>
      <c r="J40" s="183"/>
      <c r="K40" s="183"/>
      <c r="L40" s="183"/>
      <c r="M40" s="184">
        <v>44505</v>
      </c>
      <c r="N40" s="184">
        <v>44505</v>
      </c>
      <c r="O40" s="185"/>
      <c r="P40" s="186">
        <v>1</v>
      </c>
      <c r="Q40" s="186">
        <v>1</v>
      </c>
      <c r="R40" s="187">
        <v>1</v>
      </c>
      <c r="S40" s="187">
        <v>1</v>
      </c>
      <c r="T40" s="184"/>
      <c r="U40" s="184"/>
      <c r="V40" s="188"/>
      <c r="W40" s="189">
        <v>0</v>
      </c>
      <c r="X40" s="190">
        <v>1</v>
      </c>
      <c r="Y40" s="185" t="s">
        <v>1121</v>
      </c>
      <c r="Z40" s="191"/>
      <c r="AA40" s="97">
        <v>1</v>
      </c>
      <c r="AB40" s="192">
        <v>0</v>
      </c>
      <c r="AC40" s="123"/>
      <c r="AD40" s="4"/>
      <c r="AE40" s="4"/>
      <c r="AF40" s="4"/>
      <c r="AG40" s="4"/>
      <c r="AH40" s="4"/>
      <c r="AI40" s="4"/>
      <c r="AJ40" s="4"/>
      <c r="AK40" s="4"/>
      <c r="AL40" s="4"/>
      <c r="AM40" s="4"/>
      <c r="AN40" s="4"/>
      <c r="AO40" s="4"/>
      <c r="AP40" s="4"/>
      <c r="AQ40" s="4"/>
      <c r="AR40" s="4"/>
      <c r="AS40" s="4"/>
      <c r="AT40" s="4"/>
      <c r="AU40" s="4"/>
      <c r="AV40" s="4"/>
      <c r="AW40" s="4"/>
      <c r="AX40" s="4"/>
      <c r="AY40" s="4" t="str">
        <f>"    " &amp; TEXT(AB40,"#0.00%") &amp; " " &amp; "Android" &amp; "(Andrew)" &amp; " " &amp; IF(M40="","",TEXT(M40,"M/D-")) &amp; IF(N40="","",TEXT(N40,"M/D")) &amp; " "</f>
        <v xml:space="preserve">    0.00% Android(Andrew) 11/5-11/5 </v>
      </c>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c r="ER40" s="4"/>
      <c r="ES40" s="4"/>
      <c r="ET40" s="4"/>
      <c r="EU40" s="4"/>
      <c r="EV40" s="4"/>
      <c r="EW40" s="4"/>
      <c r="EX40" s="4"/>
      <c r="EY40" s="4"/>
      <c r="EZ40" s="4"/>
      <c r="FA40" s="4"/>
      <c r="FB40" s="4"/>
      <c r="FC40" s="4"/>
      <c r="FD40" s="4"/>
      <c r="FE40" s="4"/>
      <c r="FF40" s="4"/>
      <c r="FG40" s="4"/>
      <c r="FH40" s="4"/>
      <c r="FI40" s="4"/>
      <c r="FJ40" s="4"/>
      <c r="FK40" s="4"/>
      <c r="FL40" s="4"/>
      <c r="FM40" s="4"/>
      <c r="FN40" s="4"/>
      <c r="FO40" s="4"/>
      <c r="FP40" s="4"/>
      <c r="FQ40" s="4"/>
      <c r="FR40" s="4"/>
      <c r="FS40" s="4"/>
      <c r="FT40" s="4"/>
      <c r="FU40" s="4"/>
      <c r="FV40" s="4"/>
      <c r="FW40" s="4"/>
      <c r="FX40" s="4"/>
      <c r="FY40" s="4"/>
      <c r="FZ40" s="4"/>
      <c r="GA40" s="4"/>
      <c r="GB40" s="4"/>
      <c r="GC40" s="4"/>
      <c r="GD40" s="4"/>
      <c r="GE40" s="4"/>
      <c r="GF40" s="4"/>
      <c r="GG40" s="4"/>
      <c r="GH40" s="4"/>
      <c r="GI40" s="4"/>
      <c r="GJ40" s="4"/>
      <c r="GK40" s="4"/>
      <c r="GL40" s="4"/>
      <c r="GM40" s="4"/>
      <c r="GN40" s="4"/>
      <c r="GO40" s="4"/>
      <c r="GP40" s="4"/>
      <c r="GQ40" s="4"/>
      <c r="GR40" s="4"/>
      <c r="GS40" s="4"/>
      <c r="GT40" s="4"/>
      <c r="GU40" s="4"/>
      <c r="GV40" s="4"/>
      <c r="GW40" s="4"/>
      <c r="GX40" s="4"/>
      <c r="GY40" s="4"/>
      <c r="GZ40" s="4"/>
      <c r="HA40" s="4"/>
      <c r="HB40" s="4"/>
      <c r="HC40" s="4"/>
      <c r="HD40" s="4"/>
      <c r="HE40" s="4"/>
      <c r="HF40" s="4"/>
      <c r="HG40" s="4"/>
      <c r="HH40" s="4"/>
      <c r="HI40" s="4"/>
      <c r="HJ40" s="4"/>
      <c r="HK40" s="4"/>
      <c r="HL40" s="4"/>
      <c r="HM40" s="4"/>
      <c r="HN40" s="4"/>
      <c r="HO40" s="4"/>
      <c r="HP40" s="4"/>
      <c r="HQ40" s="4"/>
      <c r="HR40" s="4"/>
      <c r="HS40" s="4"/>
      <c r="HT40" s="4"/>
      <c r="HU40" s="4"/>
      <c r="HV40" s="4"/>
      <c r="HW40" s="4"/>
      <c r="HX40" s="4"/>
      <c r="HY40" s="4"/>
      <c r="HZ40" s="4"/>
      <c r="IA40" s="4"/>
      <c r="IB40" s="4"/>
      <c r="IC40" s="4"/>
      <c r="ID40" s="4"/>
      <c r="IE40" s="4"/>
      <c r="IF40" s="4"/>
      <c r="IG40" s="4"/>
      <c r="IH40" s="4"/>
      <c r="II40" s="4"/>
      <c r="IJ40" s="4"/>
      <c r="IK40" s="4"/>
    </row>
    <row r="41" spans="1:245" outlineLevel="1">
      <c r="A41" s="116"/>
      <c r="B41" s="116"/>
      <c r="C41" s="116">
        <v>2</v>
      </c>
      <c r="D41" s="3" t="s">
        <v>1092</v>
      </c>
      <c r="E41" s="183"/>
      <c r="F41" s="183" t="s">
        <v>1113</v>
      </c>
      <c r="G41" s="183"/>
      <c r="H41" s="183"/>
      <c r="I41" s="183"/>
      <c r="J41" s="183"/>
      <c r="K41" s="183"/>
      <c r="L41" s="183"/>
      <c r="M41" s="184">
        <v>44508</v>
      </c>
      <c r="N41" s="184">
        <v>44508</v>
      </c>
      <c r="O41" s="185"/>
      <c r="P41" s="186">
        <v>1</v>
      </c>
      <c r="Q41" s="186">
        <v>1</v>
      </c>
      <c r="R41" s="187">
        <v>1</v>
      </c>
      <c r="S41" s="187">
        <v>1</v>
      </c>
      <c r="T41" s="184"/>
      <c r="U41" s="184"/>
      <c r="V41" s="188"/>
      <c r="W41" s="189">
        <v>0</v>
      </c>
      <c r="X41" s="190">
        <v>1</v>
      </c>
      <c r="Y41" s="185" t="s">
        <v>1122</v>
      </c>
      <c r="Z41" s="191"/>
      <c r="AA41" s="97">
        <v>1</v>
      </c>
      <c r="AB41" s="192">
        <v>0</v>
      </c>
      <c r="AC41" s="123"/>
      <c r="AD41" s="4"/>
      <c r="AE41" s="4"/>
      <c r="AF41" s="4"/>
      <c r="AG41" s="4"/>
      <c r="AH41" s="4"/>
      <c r="AI41" s="4"/>
      <c r="AJ41" s="4"/>
      <c r="AK41" s="4"/>
      <c r="AL41" s="4"/>
      <c r="AM41" s="4"/>
      <c r="AN41" s="4"/>
      <c r="AO41" s="4"/>
      <c r="AP41" s="4"/>
      <c r="AQ41" s="4"/>
      <c r="AR41" s="4"/>
      <c r="AS41" s="4"/>
      <c r="AT41" s="4"/>
      <c r="AU41" s="4"/>
      <c r="AV41" s="4"/>
      <c r="AW41" s="4"/>
      <c r="AX41" s="4"/>
      <c r="AY41" s="4"/>
      <c r="AZ41" s="4" t="str">
        <f>"" &amp; TEXT(AB41,"#0.00%") &amp; " " &amp; "QA" &amp; "(Eddie)" &amp; " " &amp; IF(M41="","",TEXT(M41,"M/D-")) &amp; IF(N41="","",TEXT(N41,"M/D")) &amp; " "</f>
        <v xml:space="preserve">0.00% QA(Eddie) 11/8-11/8 </v>
      </c>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c r="EK41" s="4"/>
      <c r="EL41" s="4"/>
      <c r="EM41" s="4"/>
      <c r="EN41" s="4"/>
      <c r="EO41" s="4"/>
      <c r="EP41" s="4"/>
      <c r="EQ41" s="4"/>
      <c r="ER41" s="4"/>
      <c r="ES41" s="4"/>
      <c r="ET41" s="4"/>
      <c r="EU41" s="4"/>
      <c r="EV41" s="4"/>
      <c r="EW41" s="4"/>
      <c r="EX41" s="4"/>
      <c r="EY41" s="4"/>
      <c r="EZ41" s="4"/>
      <c r="FA41" s="4"/>
      <c r="FB41" s="4"/>
      <c r="FC41" s="4"/>
      <c r="FD41" s="4"/>
      <c r="FE41" s="4"/>
      <c r="FF41" s="4"/>
      <c r="FG41" s="4"/>
      <c r="FH41" s="4"/>
      <c r="FI41" s="4"/>
      <c r="FJ41" s="4"/>
      <c r="FK41" s="4"/>
      <c r="FL41" s="4"/>
      <c r="FM41" s="4"/>
      <c r="FN41" s="4"/>
      <c r="FO41" s="4"/>
      <c r="FP41" s="4"/>
      <c r="FQ41" s="4"/>
      <c r="FR41" s="4"/>
      <c r="FS41" s="4"/>
      <c r="FT41" s="4"/>
      <c r="FU41" s="4"/>
      <c r="FV41" s="4"/>
      <c r="FW41" s="4"/>
      <c r="FX41" s="4"/>
      <c r="FY41" s="4"/>
      <c r="FZ41" s="4"/>
      <c r="GA41" s="4"/>
      <c r="GB41" s="4"/>
      <c r="GC41" s="4"/>
      <c r="GD41" s="4"/>
      <c r="GE41" s="4"/>
      <c r="GF41" s="4"/>
      <c r="GG41" s="4"/>
      <c r="GH41" s="4"/>
      <c r="GI41" s="4"/>
      <c r="GJ41" s="4"/>
      <c r="GK41" s="4"/>
      <c r="GL41" s="4"/>
      <c r="GM41" s="4"/>
      <c r="GN41" s="4"/>
      <c r="GO41" s="4"/>
      <c r="GP41" s="4"/>
      <c r="GQ41" s="4"/>
      <c r="GR41" s="4"/>
      <c r="GS41" s="4"/>
      <c r="GT41" s="4"/>
      <c r="GU41" s="4"/>
      <c r="GV41" s="4"/>
      <c r="GW41" s="4"/>
      <c r="GX41" s="4"/>
      <c r="GY41" s="4"/>
      <c r="GZ41" s="4"/>
      <c r="HA41" s="4"/>
      <c r="HB41" s="4"/>
      <c r="HC41" s="4"/>
      <c r="HD41" s="4"/>
      <c r="HE41" s="4"/>
      <c r="HF41" s="4"/>
      <c r="HG41" s="4"/>
      <c r="HH41" s="4"/>
      <c r="HI41" s="4"/>
      <c r="HJ41" s="4"/>
      <c r="HK41" s="4"/>
      <c r="HL41" s="4"/>
      <c r="HM41" s="4"/>
      <c r="HN41" s="4"/>
      <c r="HO41" s="4"/>
      <c r="HP41" s="4"/>
      <c r="HQ41" s="4"/>
      <c r="HR41" s="4"/>
      <c r="HS41" s="4"/>
      <c r="HT41" s="4"/>
      <c r="HU41" s="4"/>
      <c r="HV41" s="4"/>
      <c r="HW41" s="4"/>
      <c r="HX41" s="4"/>
      <c r="HY41" s="4"/>
      <c r="HZ41" s="4"/>
      <c r="IA41" s="4"/>
      <c r="IB41" s="4"/>
      <c r="IC41" s="4"/>
      <c r="ID41" s="4"/>
      <c r="IE41" s="4"/>
      <c r="IF41" s="4"/>
      <c r="IG41" s="4"/>
      <c r="IH41" s="4"/>
      <c r="II41" s="4"/>
      <c r="IJ41" s="4"/>
      <c r="IK41" s="4"/>
    </row>
    <row r="42" spans="1:245" outlineLevel="1">
      <c r="A42" s="116"/>
      <c r="B42" s="116"/>
      <c r="C42" s="116">
        <v>0</v>
      </c>
      <c r="D42" s="3"/>
      <c r="E42" s="183"/>
      <c r="F42" s="183"/>
      <c r="G42" s="183"/>
      <c r="H42" s="183"/>
      <c r="I42" s="183"/>
      <c r="J42" s="183"/>
      <c r="K42" s="183"/>
      <c r="L42" s="183"/>
      <c r="M42" s="184"/>
      <c r="N42" s="184"/>
      <c r="O42" s="185"/>
      <c r="P42" s="186"/>
      <c r="Q42" s="186"/>
      <c r="R42" s="187">
        <v>0</v>
      </c>
      <c r="S42" s="187">
        <v>0</v>
      </c>
      <c r="T42" s="184"/>
      <c r="U42" s="184"/>
      <c r="V42" s="188"/>
      <c r="W42" s="189">
        <v>0</v>
      </c>
      <c r="X42" s="190"/>
      <c r="Y42" s="185"/>
      <c r="Z42" s="191"/>
      <c r="AA42" s="97"/>
      <c r="AB42" s="192"/>
      <c r="AC42" s="123"/>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c r="ER42" s="4"/>
      <c r="ES42" s="4"/>
      <c r="ET42" s="4"/>
      <c r="EU42" s="4"/>
      <c r="EV42" s="4"/>
      <c r="EW42" s="4"/>
      <c r="EX42" s="4"/>
      <c r="EY42" s="4"/>
      <c r="EZ42" s="4"/>
      <c r="FA42" s="4"/>
      <c r="FB42" s="4"/>
      <c r="FC42" s="4"/>
      <c r="FD42" s="4"/>
      <c r="FE42" s="4"/>
      <c r="FF42" s="4"/>
      <c r="FG42" s="4"/>
      <c r="FH42" s="4"/>
      <c r="FI42" s="4"/>
      <c r="FJ42" s="4"/>
      <c r="FK42" s="4"/>
      <c r="FL42" s="4"/>
      <c r="FM42" s="4"/>
      <c r="FN42" s="4"/>
      <c r="FO42" s="4"/>
      <c r="FP42" s="4"/>
      <c r="FQ42" s="4"/>
      <c r="FR42" s="4"/>
      <c r="FS42" s="4"/>
      <c r="FT42" s="4"/>
      <c r="FU42" s="4"/>
      <c r="FV42" s="4"/>
      <c r="FW42" s="4"/>
      <c r="FX42" s="4"/>
      <c r="FY42" s="4"/>
      <c r="FZ42" s="4"/>
      <c r="GA42" s="4"/>
      <c r="GB42" s="4"/>
      <c r="GC42" s="4"/>
      <c r="GD42" s="4"/>
      <c r="GE42" s="4"/>
      <c r="GF42" s="4"/>
      <c r="GG42" s="4"/>
      <c r="GH42" s="4"/>
      <c r="GI42" s="4"/>
      <c r="GJ42" s="4"/>
      <c r="GK42" s="4"/>
      <c r="GL42" s="4"/>
      <c r="GM42" s="4"/>
      <c r="GN42" s="4"/>
      <c r="GO42" s="4"/>
      <c r="GP42" s="4"/>
      <c r="GQ42" s="4"/>
      <c r="GR42" s="4"/>
      <c r="GS42" s="4"/>
      <c r="GT42" s="4"/>
      <c r="GU42" s="4"/>
      <c r="GV42" s="4"/>
      <c r="GW42" s="4"/>
      <c r="GX42" s="4"/>
      <c r="GY42" s="4"/>
      <c r="GZ42" s="4"/>
      <c r="HA42" s="4"/>
      <c r="HB42" s="4"/>
      <c r="HC42" s="4"/>
      <c r="HD42" s="4"/>
      <c r="HE42" s="4"/>
      <c r="HF42" s="4"/>
      <c r="HG42" s="4"/>
      <c r="HH42" s="4"/>
      <c r="HI42" s="4"/>
      <c r="HJ42" s="4"/>
      <c r="HK42" s="4"/>
      <c r="HL42" s="4"/>
      <c r="HM42" s="4"/>
      <c r="HN42" s="4"/>
      <c r="HO42" s="4"/>
      <c r="HP42" s="4"/>
      <c r="HQ42" s="4"/>
      <c r="HR42" s="4"/>
      <c r="HS42" s="4"/>
      <c r="HT42" s="4"/>
      <c r="HU42" s="4"/>
      <c r="HV42" s="4"/>
      <c r="HW42" s="4"/>
      <c r="HX42" s="4"/>
      <c r="HY42" s="4"/>
      <c r="HZ42" s="4"/>
      <c r="IA42" s="4"/>
      <c r="IB42" s="4"/>
      <c r="IC42" s="4"/>
      <c r="ID42" s="4"/>
      <c r="IE42" s="4"/>
      <c r="IF42" s="4"/>
      <c r="IG42" s="4"/>
      <c r="IH42" s="4"/>
      <c r="II42" s="4"/>
      <c r="IJ42" s="4"/>
      <c r="IK42" s="4"/>
    </row>
    <row r="43" spans="1:245">
      <c r="A43" s="116"/>
      <c r="B43" s="116" t="s">
        <v>983</v>
      </c>
      <c r="C43" s="116">
        <v>1</v>
      </c>
      <c r="D43" s="3" t="s">
        <v>1094</v>
      </c>
      <c r="E43" s="183" t="s">
        <v>1142</v>
      </c>
      <c r="F43" s="183"/>
      <c r="G43" s="183"/>
      <c r="H43" s="183"/>
      <c r="I43" s="183"/>
      <c r="J43" s="183"/>
      <c r="K43" s="183"/>
      <c r="L43" s="183"/>
      <c r="M43" s="184">
        <v>44512</v>
      </c>
      <c r="N43" s="184">
        <v>44522</v>
      </c>
      <c r="O43" s="185"/>
      <c r="P43" s="186">
        <v>17</v>
      </c>
      <c r="Q43" s="186">
        <v>17</v>
      </c>
      <c r="R43" s="187">
        <v>7</v>
      </c>
      <c r="S43" s="187">
        <v>7</v>
      </c>
      <c r="T43" s="184"/>
      <c r="U43" s="184"/>
      <c r="V43" s="188">
        <v>0</v>
      </c>
      <c r="W43" s="189">
        <v>0</v>
      </c>
      <c r="X43" s="190"/>
      <c r="Y43" s="185"/>
      <c r="Z43" s="191"/>
      <c r="AA43" s="97">
        <v>1</v>
      </c>
      <c r="AB43" s="192">
        <v>5.8823529411764705E-2</v>
      </c>
      <c r="AC43" s="123"/>
      <c r="AD43" s="4"/>
      <c r="AE43" s="4"/>
      <c r="AF43" s="4"/>
      <c r="AG43" s="4"/>
      <c r="AH43" s="4"/>
      <c r="AI43" s="4"/>
      <c r="AJ43" s="4"/>
      <c r="AK43" s="4"/>
      <c r="AL43" s="4"/>
      <c r="AM43" s="4"/>
      <c r="AN43" s="4"/>
      <c r="AO43" s="4"/>
      <c r="AP43" s="4"/>
      <c r="AQ43" s="4"/>
      <c r="AR43" s="4"/>
      <c r="AS43" s="4"/>
      <c r="AT43" s="4"/>
      <c r="AU43" s="4"/>
      <c r="AV43" s="4"/>
      <c r="AW43" s="4"/>
      <c r="AX43" s="4"/>
      <c r="AY43" s="4"/>
      <c r="AZ43" s="4" t="str">
        <f>"     " &amp; TEXT(AB43,"#0.00%") &amp; " " &amp; "[2111-02] Change for Access Token Date" &amp; " " &amp; IF(M43="","",TEXT(M43,"M/D-")) &amp; IF(N43="","",TEXT(N43,"M/D")) &amp; " "</f>
        <v xml:space="preserve">     5.88% [2111-02] Change for Access Token Date 11/12-11/22 </v>
      </c>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c r="ED43" s="4"/>
      <c r="EE43" s="4"/>
      <c r="EF43" s="4"/>
      <c r="EG43" s="4"/>
      <c r="EH43" s="4"/>
      <c r="EI43" s="4"/>
      <c r="EJ43" s="4"/>
      <c r="EK43" s="4"/>
      <c r="EL43" s="4"/>
      <c r="EM43" s="4"/>
      <c r="EN43" s="4"/>
      <c r="EO43" s="4"/>
      <c r="EP43" s="4"/>
      <c r="EQ43" s="4"/>
      <c r="ER43" s="4"/>
      <c r="ES43" s="4"/>
      <c r="ET43" s="4"/>
      <c r="EU43" s="4"/>
      <c r="EV43" s="4"/>
      <c r="EW43" s="4"/>
      <c r="EX43" s="4"/>
      <c r="EY43" s="4"/>
      <c r="EZ43" s="4"/>
      <c r="FA43" s="4"/>
      <c r="FB43" s="4"/>
      <c r="FC43" s="4"/>
      <c r="FD43" s="4"/>
      <c r="FE43" s="4"/>
      <c r="FF43" s="4"/>
      <c r="FG43" s="4"/>
      <c r="FH43" s="4"/>
      <c r="FI43" s="4"/>
      <c r="FJ43" s="4"/>
      <c r="FK43" s="4"/>
      <c r="FL43" s="4"/>
      <c r="FM43" s="4"/>
      <c r="FN43" s="4"/>
      <c r="FO43" s="4"/>
      <c r="FP43" s="4"/>
      <c r="FQ43" s="4"/>
      <c r="FR43" s="4"/>
      <c r="FS43" s="4"/>
      <c r="FT43" s="4"/>
      <c r="FU43" s="4"/>
      <c r="FV43" s="4"/>
      <c r="FW43" s="4"/>
      <c r="FX43" s="4"/>
      <c r="FY43" s="4"/>
      <c r="FZ43" s="4"/>
      <c r="GA43" s="4"/>
      <c r="GB43" s="4"/>
      <c r="GC43" s="4"/>
      <c r="GD43" s="4"/>
      <c r="GE43" s="4"/>
      <c r="GF43" s="4"/>
      <c r="GG43" s="4"/>
      <c r="GH43" s="4"/>
      <c r="GI43" s="4"/>
      <c r="GJ43" s="4"/>
      <c r="GK43" s="4"/>
      <c r="GL43" s="4"/>
      <c r="GM43" s="4"/>
      <c r="GN43" s="4"/>
      <c r="GO43" s="4"/>
      <c r="GP43" s="4"/>
      <c r="GQ43" s="4"/>
      <c r="GR43" s="4"/>
      <c r="GS43" s="4"/>
      <c r="GT43" s="4"/>
      <c r="GU43" s="4"/>
      <c r="GV43" s="4"/>
      <c r="GW43" s="4"/>
      <c r="GX43" s="4"/>
      <c r="GY43" s="4"/>
      <c r="GZ43" s="4"/>
      <c r="HA43" s="4"/>
      <c r="HB43" s="4"/>
      <c r="HC43" s="4"/>
      <c r="HD43" s="4"/>
      <c r="HE43" s="4"/>
      <c r="HF43" s="4"/>
      <c r="HG43" s="4"/>
      <c r="HH43" s="4"/>
      <c r="HI43" s="4"/>
      <c r="HJ43" s="4"/>
      <c r="HK43" s="4"/>
      <c r="HL43" s="4"/>
      <c r="HM43" s="4"/>
      <c r="HN43" s="4"/>
      <c r="HO43" s="4"/>
      <c r="HP43" s="4"/>
      <c r="HQ43" s="4"/>
      <c r="HR43" s="4"/>
      <c r="HS43" s="4"/>
      <c r="HT43" s="4"/>
      <c r="HU43" s="4"/>
      <c r="HV43" s="4"/>
      <c r="HW43" s="4"/>
      <c r="HX43" s="4"/>
      <c r="HY43" s="4"/>
      <c r="HZ43" s="4"/>
      <c r="IA43" s="4"/>
      <c r="IB43" s="4"/>
      <c r="IC43" s="4"/>
      <c r="ID43" s="4"/>
      <c r="IE43" s="4"/>
      <c r="IF43" s="4"/>
      <c r="IG43" s="4"/>
      <c r="IH43" s="4"/>
      <c r="II43" s="4"/>
      <c r="IJ43" s="4"/>
      <c r="IK43" s="4"/>
    </row>
    <row r="44" spans="1:245" outlineLevel="1">
      <c r="A44" s="116"/>
      <c r="B44" s="116"/>
      <c r="C44" s="116">
        <v>2</v>
      </c>
      <c r="D44" s="3" t="s">
        <v>1095</v>
      </c>
      <c r="E44" s="183"/>
      <c r="F44" s="183" t="s">
        <v>1093</v>
      </c>
      <c r="G44" s="183"/>
      <c r="H44" s="183"/>
      <c r="I44" s="183"/>
      <c r="J44" s="183"/>
      <c r="K44" s="183"/>
      <c r="L44" s="183"/>
      <c r="M44" s="184">
        <v>44512</v>
      </c>
      <c r="N44" s="184">
        <v>44512</v>
      </c>
      <c r="O44" s="185"/>
      <c r="P44" s="186">
        <v>1</v>
      </c>
      <c r="Q44" s="186">
        <v>1</v>
      </c>
      <c r="R44" s="187">
        <v>1</v>
      </c>
      <c r="S44" s="187">
        <v>1</v>
      </c>
      <c r="T44" s="184"/>
      <c r="U44" s="184"/>
      <c r="V44" s="188"/>
      <c r="W44" s="189">
        <v>0</v>
      </c>
      <c r="X44" s="190">
        <v>1</v>
      </c>
      <c r="Y44" s="185" t="s">
        <v>1114</v>
      </c>
      <c r="Z44" s="191"/>
      <c r="AA44" s="97">
        <v>1</v>
      </c>
      <c r="AB44" s="192">
        <v>1</v>
      </c>
      <c r="AC44" s="123"/>
      <c r="AD44" s="4"/>
      <c r="AE44" s="4"/>
      <c r="AF44" s="4"/>
      <c r="AG44" s="4"/>
      <c r="AH44" s="4"/>
      <c r="AI44" s="4"/>
      <c r="AJ44" s="4"/>
      <c r="AK44" s="4"/>
      <c r="AL44" s="4"/>
      <c r="AM44" s="4"/>
      <c r="AN44" s="4"/>
      <c r="AO44" s="4"/>
      <c r="AP44" s="4"/>
      <c r="AQ44" s="4"/>
      <c r="AR44" s="4"/>
      <c r="AS44" s="4"/>
      <c r="AT44" s="4"/>
      <c r="AU44" s="4"/>
      <c r="AV44" s="4"/>
      <c r="AW44" s="4"/>
      <c r="AX44" s="4"/>
      <c r="AY44" s="4"/>
      <c r="AZ44" s="4" t="str">
        <f>"     " &amp; TEXT(AB44,"#0.00%") &amp; " " &amp; "Design" &amp; "(Meghan)" &amp; " " &amp; IF(M44="","",TEXT(M44,"M/D-")) &amp; IF(N44="","",TEXT(N44,"M/D")) &amp; " "</f>
        <v xml:space="preserve">     100.00% Design(Meghan) 11/12-11/12 </v>
      </c>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4"/>
      <c r="EI44" s="4"/>
      <c r="EJ44" s="4"/>
      <c r="EK44" s="4"/>
      <c r="EL44" s="4"/>
      <c r="EM44" s="4"/>
      <c r="EN44" s="4"/>
      <c r="EO44" s="4"/>
      <c r="EP44" s="4"/>
      <c r="EQ44" s="4"/>
      <c r="ER44" s="4"/>
      <c r="ES44" s="4"/>
      <c r="ET44" s="4"/>
      <c r="EU44" s="4"/>
      <c r="EV44" s="4"/>
      <c r="EW44" s="4"/>
      <c r="EX44" s="4"/>
      <c r="EY44" s="4"/>
      <c r="EZ44" s="4"/>
      <c r="FA44" s="4"/>
      <c r="FB44" s="4"/>
      <c r="FC44" s="4"/>
      <c r="FD44" s="4"/>
      <c r="FE44" s="4"/>
      <c r="FF44" s="4"/>
      <c r="FG44" s="4"/>
      <c r="FH44" s="4"/>
      <c r="FI44" s="4"/>
      <c r="FJ44" s="4"/>
      <c r="FK44" s="4"/>
      <c r="FL44" s="4"/>
      <c r="FM44" s="4"/>
      <c r="FN44" s="4"/>
      <c r="FO44" s="4"/>
      <c r="FP44" s="4"/>
      <c r="FQ44" s="4"/>
      <c r="FR44" s="4"/>
      <c r="FS44" s="4"/>
      <c r="FT44" s="4"/>
      <c r="FU44" s="4"/>
      <c r="FV44" s="4"/>
      <c r="FW44" s="4"/>
      <c r="FX44" s="4"/>
      <c r="FY44" s="4"/>
      <c r="FZ44" s="4"/>
      <c r="GA44" s="4"/>
      <c r="GB44" s="4"/>
      <c r="GC44" s="4"/>
      <c r="GD44" s="4"/>
      <c r="GE44" s="4"/>
      <c r="GF44" s="4"/>
      <c r="GG44" s="4"/>
      <c r="GH44" s="4"/>
      <c r="GI44" s="4"/>
      <c r="GJ44" s="4"/>
      <c r="GK44" s="4"/>
      <c r="GL44" s="4"/>
      <c r="GM44" s="4"/>
      <c r="GN44" s="4"/>
      <c r="GO44" s="4"/>
      <c r="GP44" s="4"/>
      <c r="GQ44" s="4"/>
      <c r="GR44" s="4"/>
      <c r="GS44" s="4"/>
      <c r="GT44" s="4"/>
      <c r="GU44" s="4"/>
      <c r="GV44" s="4"/>
      <c r="GW44" s="4"/>
      <c r="GX44" s="4"/>
      <c r="GY44" s="4"/>
      <c r="GZ44" s="4"/>
      <c r="HA44" s="4"/>
      <c r="HB44" s="4"/>
      <c r="HC44" s="4"/>
      <c r="HD44" s="4"/>
      <c r="HE44" s="4"/>
      <c r="HF44" s="4"/>
      <c r="HG44" s="4"/>
      <c r="HH44" s="4"/>
      <c r="HI44" s="4"/>
      <c r="HJ44" s="4"/>
      <c r="HK44" s="4"/>
      <c r="HL44" s="4"/>
      <c r="HM44" s="4"/>
      <c r="HN44" s="4"/>
      <c r="HO44" s="4"/>
      <c r="HP44" s="4"/>
      <c r="HQ44" s="4"/>
      <c r="HR44" s="4"/>
      <c r="HS44" s="4"/>
      <c r="HT44" s="4"/>
      <c r="HU44" s="4"/>
      <c r="HV44" s="4"/>
      <c r="HW44" s="4"/>
      <c r="HX44" s="4"/>
      <c r="HY44" s="4"/>
      <c r="HZ44" s="4"/>
      <c r="IA44" s="4"/>
      <c r="IB44" s="4"/>
      <c r="IC44" s="4"/>
      <c r="ID44" s="4"/>
      <c r="IE44" s="4"/>
      <c r="IF44" s="4"/>
      <c r="IG44" s="4"/>
      <c r="IH44" s="4"/>
      <c r="II44" s="4"/>
      <c r="IJ44" s="4"/>
      <c r="IK44" s="4"/>
    </row>
    <row r="45" spans="1:245" outlineLevel="1">
      <c r="A45" s="116"/>
      <c r="B45" s="116"/>
      <c r="C45" s="116">
        <v>2</v>
      </c>
      <c r="D45" s="3" t="s">
        <v>1096</v>
      </c>
      <c r="E45" s="183"/>
      <c r="F45" s="183" t="s">
        <v>1110</v>
      </c>
      <c r="G45" s="183"/>
      <c r="H45" s="183"/>
      <c r="I45" s="183"/>
      <c r="J45" s="183"/>
      <c r="K45" s="183"/>
      <c r="L45" s="183"/>
      <c r="M45" s="184">
        <v>44515</v>
      </c>
      <c r="N45" s="184">
        <v>44519</v>
      </c>
      <c r="O45" s="185"/>
      <c r="P45" s="186">
        <v>5</v>
      </c>
      <c r="Q45" s="186">
        <v>5</v>
      </c>
      <c r="R45" s="187">
        <v>5</v>
      </c>
      <c r="S45" s="187">
        <v>5</v>
      </c>
      <c r="T45" s="184"/>
      <c r="U45" s="184"/>
      <c r="V45" s="188"/>
      <c r="W45" s="189">
        <v>0</v>
      </c>
      <c r="X45" s="190">
        <v>1</v>
      </c>
      <c r="Y45" s="185" t="s">
        <v>1128</v>
      </c>
      <c r="Z45" s="191"/>
      <c r="AA45" s="97">
        <v>1</v>
      </c>
      <c r="AB45" s="192">
        <v>0</v>
      </c>
      <c r="AC45" s="123"/>
      <c r="AD45" s="4"/>
      <c r="AE45" s="4"/>
      <c r="AF45" s="4"/>
      <c r="AG45" s="4"/>
      <c r="AH45" s="4"/>
      <c r="AI45" s="4"/>
      <c r="AJ45" s="4"/>
      <c r="AK45" s="4"/>
      <c r="AL45" s="4"/>
      <c r="AM45" s="4"/>
      <c r="AN45" s="4"/>
      <c r="AO45" s="4"/>
      <c r="AP45" s="4"/>
      <c r="AQ45" s="4"/>
      <c r="AR45" s="4"/>
      <c r="AS45" s="4"/>
      <c r="AT45" s="4"/>
      <c r="AU45" s="4"/>
      <c r="AV45" s="4"/>
      <c r="AW45" s="4"/>
      <c r="AX45" s="4"/>
      <c r="AY45" s="4"/>
      <c r="AZ45" s="4"/>
      <c r="BA45" s="4" t="str">
        <f>"" &amp; TEXT(AB45,"#0.00%") &amp; " " &amp; "Server" &amp; "(Summer)" &amp; " " &amp; IF(M45="","",TEXT(M45,"M/D-")) &amp; IF(N45="","",TEXT(N45,"M/D")) &amp; " "</f>
        <v xml:space="preserve">0.00% Server(Summer) 11/15-11/19 </v>
      </c>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c r="ER45" s="4"/>
      <c r="ES45" s="4"/>
      <c r="ET45" s="4"/>
      <c r="EU45" s="4"/>
      <c r="EV45" s="4"/>
      <c r="EW45" s="4"/>
      <c r="EX45" s="4"/>
      <c r="EY45" s="4"/>
      <c r="EZ45" s="4"/>
      <c r="FA45" s="4"/>
      <c r="FB45" s="4"/>
      <c r="FC45" s="4"/>
      <c r="FD45" s="4"/>
      <c r="FE45" s="4"/>
      <c r="FF45" s="4"/>
      <c r="FG45" s="4"/>
      <c r="FH45" s="4"/>
      <c r="FI45" s="4"/>
      <c r="FJ45" s="4"/>
      <c r="FK45" s="4"/>
      <c r="FL45" s="4"/>
      <c r="FM45" s="4"/>
      <c r="FN45" s="4"/>
      <c r="FO45" s="4"/>
      <c r="FP45" s="4"/>
      <c r="FQ45" s="4"/>
      <c r="FR45" s="4"/>
      <c r="FS45" s="4"/>
      <c r="FT45" s="4"/>
      <c r="FU45" s="4"/>
      <c r="FV45" s="4"/>
      <c r="FW45" s="4"/>
      <c r="FX45" s="4"/>
      <c r="FY45" s="4"/>
      <c r="FZ45" s="4"/>
      <c r="GA45" s="4"/>
      <c r="GB45" s="4"/>
      <c r="GC45" s="4"/>
      <c r="GD45" s="4"/>
      <c r="GE45" s="4"/>
      <c r="GF45" s="4"/>
      <c r="GG45" s="4"/>
      <c r="GH45" s="4"/>
      <c r="GI45" s="4"/>
      <c r="GJ45" s="4"/>
      <c r="GK45" s="4"/>
      <c r="GL45" s="4"/>
      <c r="GM45" s="4"/>
      <c r="GN45" s="4"/>
      <c r="GO45" s="4"/>
      <c r="GP45" s="4"/>
      <c r="GQ45" s="4"/>
      <c r="GR45" s="4"/>
      <c r="GS45" s="4"/>
      <c r="GT45" s="4"/>
      <c r="GU45" s="4"/>
      <c r="GV45" s="4"/>
      <c r="GW45" s="4"/>
      <c r="GX45" s="4"/>
      <c r="GY45" s="4"/>
      <c r="GZ45" s="4"/>
      <c r="HA45" s="4"/>
      <c r="HB45" s="4"/>
      <c r="HC45" s="4"/>
      <c r="HD45" s="4"/>
      <c r="HE45" s="4"/>
      <c r="HF45" s="4"/>
      <c r="HG45" s="4"/>
      <c r="HH45" s="4"/>
      <c r="HI45" s="4"/>
      <c r="HJ45" s="4"/>
      <c r="HK45" s="4"/>
      <c r="HL45" s="4"/>
      <c r="HM45" s="4"/>
      <c r="HN45" s="4"/>
      <c r="HO45" s="4"/>
      <c r="HP45" s="4"/>
      <c r="HQ45" s="4"/>
      <c r="HR45" s="4"/>
      <c r="HS45" s="4"/>
      <c r="HT45" s="4"/>
      <c r="HU45" s="4"/>
      <c r="HV45" s="4"/>
      <c r="HW45" s="4"/>
      <c r="HX45" s="4"/>
      <c r="HY45" s="4"/>
      <c r="HZ45" s="4"/>
      <c r="IA45" s="4"/>
      <c r="IB45" s="4"/>
      <c r="IC45" s="4"/>
      <c r="ID45" s="4"/>
      <c r="IE45" s="4"/>
      <c r="IF45" s="4"/>
      <c r="IG45" s="4"/>
      <c r="IH45" s="4"/>
      <c r="II45" s="4"/>
      <c r="IJ45" s="4"/>
      <c r="IK45" s="4"/>
    </row>
    <row r="46" spans="1:245" outlineLevel="1">
      <c r="A46" s="116"/>
      <c r="B46" s="116"/>
      <c r="C46" s="116">
        <v>2</v>
      </c>
      <c r="D46" s="3" t="s">
        <v>1097</v>
      </c>
      <c r="E46" s="183"/>
      <c r="F46" s="183" t="s">
        <v>1111</v>
      </c>
      <c r="G46" s="183"/>
      <c r="H46" s="183"/>
      <c r="I46" s="183"/>
      <c r="J46" s="183"/>
      <c r="K46" s="183"/>
      <c r="L46" s="183"/>
      <c r="M46" s="184">
        <v>44515</v>
      </c>
      <c r="N46" s="184">
        <v>44519</v>
      </c>
      <c r="O46" s="185"/>
      <c r="P46" s="186">
        <v>5</v>
      </c>
      <c r="Q46" s="186">
        <v>5</v>
      </c>
      <c r="R46" s="187">
        <v>5</v>
      </c>
      <c r="S46" s="187">
        <v>5</v>
      </c>
      <c r="T46" s="184"/>
      <c r="U46" s="184"/>
      <c r="V46" s="188"/>
      <c r="W46" s="189">
        <v>0</v>
      </c>
      <c r="X46" s="190">
        <v>1</v>
      </c>
      <c r="Y46" s="185" t="s">
        <v>1120</v>
      </c>
      <c r="Z46" s="191"/>
      <c r="AA46" s="97">
        <v>1</v>
      </c>
      <c r="AB46" s="192">
        <v>0</v>
      </c>
      <c r="AC46" s="123"/>
      <c r="AD46" s="4"/>
      <c r="AE46" s="4"/>
      <c r="AF46" s="4"/>
      <c r="AG46" s="4"/>
      <c r="AH46" s="4"/>
      <c r="AI46" s="4"/>
      <c r="AJ46" s="4"/>
      <c r="AK46" s="4"/>
      <c r="AL46" s="4"/>
      <c r="AM46" s="4"/>
      <c r="AN46" s="4"/>
      <c r="AO46" s="4"/>
      <c r="AP46" s="4"/>
      <c r="AQ46" s="4"/>
      <c r="AR46" s="4"/>
      <c r="AS46" s="4"/>
      <c r="AT46" s="4"/>
      <c r="AU46" s="4"/>
      <c r="AV46" s="4"/>
      <c r="AW46" s="4"/>
      <c r="AX46" s="4"/>
      <c r="AY46" s="4"/>
      <c r="AZ46" s="4"/>
      <c r="BA46" s="4" t="str">
        <f>"" &amp; TEXT(AB46,"#0.00%") &amp; " " &amp; "iOS" &amp; "(Dibya)" &amp; " " &amp; IF(M46="","",TEXT(M46,"M/D-")) &amp; IF(N46="","",TEXT(N46,"M/D")) &amp; " "</f>
        <v xml:space="preserve">0.00% iOS(Dibya) 11/15-11/19 </v>
      </c>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c r="ER46" s="4"/>
      <c r="ES46" s="4"/>
      <c r="ET46" s="4"/>
      <c r="EU46" s="4"/>
      <c r="EV46" s="4"/>
      <c r="EW46" s="4"/>
      <c r="EX46" s="4"/>
      <c r="EY46" s="4"/>
      <c r="EZ46" s="4"/>
      <c r="FA46" s="4"/>
      <c r="FB46" s="4"/>
      <c r="FC46" s="4"/>
      <c r="FD46" s="4"/>
      <c r="FE46" s="4"/>
      <c r="FF46" s="4"/>
      <c r="FG46" s="4"/>
      <c r="FH46" s="4"/>
      <c r="FI46" s="4"/>
      <c r="FJ46" s="4"/>
      <c r="FK46" s="4"/>
      <c r="FL46" s="4"/>
      <c r="FM46" s="4"/>
      <c r="FN46" s="4"/>
      <c r="FO46" s="4"/>
      <c r="FP46" s="4"/>
      <c r="FQ46" s="4"/>
      <c r="FR46" s="4"/>
      <c r="FS46" s="4"/>
      <c r="FT46" s="4"/>
      <c r="FU46" s="4"/>
      <c r="FV46" s="4"/>
      <c r="FW46" s="4"/>
      <c r="FX46" s="4"/>
      <c r="FY46" s="4"/>
      <c r="FZ46" s="4"/>
      <c r="GA46" s="4"/>
      <c r="GB46" s="4"/>
      <c r="GC46" s="4"/>
      <c r="GD46" s="4"/>
      <c r="GE46" s="4"/>
      <c r="GF46" s="4"/>
      <c r="GG46" s="4"/>
      <c r="GH46" s="4"/>
      <c r="GI46" s="4"/>
      <c r="GJ46" s="4"/>
      <c r="GK46" s="4"/>
      <c r="GL46" s="4"/>
      <c r="GM46" s="4"/>
      <c r="GN46" s="4"/>
      <c r="GO46" s="4"/>
      <c r="GP46" s="4"/>
      <c r="GQ46" s="4"/>
      <c r="GR46" s="4"/>
      <c r="GS46" s="4"/>
      <c r="GT46" s="4"/>
      <c r="GU46" s="4"/>
      <c r="GV46" s="4"/>
      <c r="GW46" s="4"/>
      <c r="GX46" s="4"/>
      <c r="GY46" s="4"/>
      <c r="GZ46" s="4"/>
      <c r="HA46" s="4"/>
      <c r="HB46" s="4"/>
      <c r="HC46" s="4"/>
      <c r="HD46" s="4"/>
      <c r="HE46" s="4"/>
      <c r="HF46" s="4"/>
      <c r="HG46" s="4"/>
      <c r="HH46" s="4"/>
      <c r="HI46" s="4"/>
      <c r="HJ46" s="4"/>
      <c r="HK46" s="4"/>
      <c r="HL46" s="4"/>
      <c r="HM46" s="4"/>
      <c r="HN46" s="4"/>
      <c r="HO46" s="4"/>
      <c r="HP46" s="4"/>
      <c r="HQ46" s="4"/>
      <c r="HR46" s="4"/>
      <c r="HS46" s="4"/>
      <c r="HT46" s="4"/>
      <c r="HU46" s="4"/>
      <c r="HV46" s="4"/>
      <c r="HW46" s="4"/>
      <c r="HX46" s="4"/>
      <c r="HY46" s="4"/>
      <c r="HZ46" s="4"/>
      <c r="IA46" s="4"/>
      <c r="IB46" s="4"/>
      <c r="IC46" s="4"/>
      <c r="ID46" s="4"/>
      <c r="IE46" s="4"/>
      <c r="IF46" s="4"/>
      <c r="IG46" s="4"/>
      <c r="IH46" s="4"/>
      <c r="II46" s="4"/>
      <c r="IJ46" s="4"/>
      <c r="IK46" s="4"/>
    </row>
    <row r="47" spans="1:245" outlineLevel="1">
      <c r="A47" s="116"/>
      <c r="B47" s="116"/>
      <c r="C47" s="116">
        <v>2</v>
      </c>
      <c r="D47" s="3" t="s">
        <v>1098</v>
      </c>
      <c r="E47" s="183"/>
      <c r="F47" s="183" t="s">
        <v>1112</v>
      </c>
      <c r="G47" s="183"/>
      <c r="H47" s="183"/>
      <c r="I47" s="183"/>
      <c r="J47" s="183"/>
      <c r="K47" s="183"/>
      <c r="L47" s="183"/>
      <c r="M47" s="184">
        <v>44515</v>
      </c>
      <c r="N47" s="184">
        <v>44519</v>
      </c>
      <c r="O47" s="185"/>
      <c r="P47" s="186">
        <v>5</v>
      </c>
      <c r="Q47" s="186">
        <v>5</v>
      </c>
      <c r="R47" s="187">
        <v>5</v>
      </c>
      <c r="S47" s="187">
        <v>5</v>
      </c>
      <c r="T47" s="184"/>
      <c r="U47" s="184"/>
      <c r="V47" s="188"/>
      <c r="W47" s="189">
        <v>0</v>
      </c>
      <c r="X47" s="190">
        <v>1</v>
      </c>
      <c r="Y47" s="185" t="s">
        <v>1121</v>
      </c>
      <c r="Z47" s="191"/>
      <c r="AA47" s="97">
        <v>1</v>
      </c>
      <c r="AB47" s="192">
        <v>0</v>
      </c>
      <c r="AC47" s="123"/>
      <c r="AD47" s="4"/>
      <c r="AE47" s="4"/>
      <c r="AF47" s="4"/>
      <c r="AG47" s="4"/>
      <c r="AH47" s="4"/>
      <c r="AI47" s="4"/>
      <c r="AJ47" s="4"/>
      <c r="AK47" s="4"/>
      <c r="AL47" s="4"/>
      <c r="AM47" s="4"/>
      <c r="AN47" s="4"/>
      <c r="AO47" s="4"/>
      <c r="AP47" s="4"/>
      <c r="AQ47" s="4"/>
      <c r="AR47" s="4"/>
      <c r="AS47" s="4"/>
      <c r="AT47" s="4"/>
      <c r="AU47" s="4"/>
      <c r="AV47" s="4"/>
      <c r="AW47" s="4"/>
      <c r="AX47" s="4"/>
      <c r="AY47" s="4"/>
      <c r="AZ47" s="4"/>
      <c r="BA47" s="4" t="str">
        <f>"" &amp; TEXT(AB47,"#0.00%") &amp; " " &amp; "Android" &amp; "(Andrew)" &amp; " " &amp; IF(M47="","",TEXT(M47,"M/D-")) &amp; IF(N47="","",TEXT(N47,"M/D")) &amp; " "</f>
        <v xml:space="preserve">0.00% Android(Andrew) 11/15-11/19 </v>
      </c>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c r="EY47" s="4"/>
      <c r="EZ47" s="4"/>
      <c r="FA47" s="4"/>
      <c r="FB47" s="4"/>
      <c r="FC47" s="4"/>
      <c r="FD47" s="4"/>
      <c r="FE47" s="4"/>
      <c r="FF47" s="4"/>
      <c r="FG47" s="4"/>
      <c r="FH47" s="4"/>
      <c r="FI47" s="4"/>
      <c r="FJ47" s="4"/>
      <c r="FK47" s="4"/>
      <c r="FL47" s="4"/>
      <c r="FM47" s="4"/>
      <c r="FN47" s="4"/>
      <c r="FO47" s="4"/>
      <c r="FP47" s="4"/>
      <c r="FQ47" s="4"/>
      <c r="FR47" s="4"/>
      <c r="FS47" s="4"/>
      <c r="FT47" s="4"/>
      <c r="FU47" s="4"/>
      <c r="FV47" s="4"/>
      <c r="FW47" s="4"/>
      <c r="FX47" s="4"/>
      <c r="FY47" s="4"/>
      <c r="FZ47" s="4"/>
      <c r="GA47" s="4"/>
      <c r="GB47" s="4"/>
      <c r="GC47" s="4"/>
      <c r="GD47" s="4"/>
      <c r="GE47" s="4"/>
      <c r="GF47" s="4"/>
      <c r="GG47" s="4"/>
      <c r="GH47" s="4"/>
      <c r="GI47" s="4"/>
      <c r="GJ47" s="4"/>
      <c r="GK47" s="4"/>
      <c r="GL47" s="4"/>
      <c r="GM47" s="4"/>
      <c r="GN47" s="4"/>
      <c r="GO47" s="4"/>
      <c r="GP47" s="4"/>
      <c r="GQ47" s="4"/>
      <c r="GR47" s="4"/>
      <c r="GS47" s="4"/>
      <c r="GT47" s="4"/>
      <c r="GU47" s="4"/>
      <c r="GV47" s="4"/>
      <c r="GW47" s="4"/>
      <c r="GX47" s="4"/>
      <c r="GY47" s="4"/>
      <c r="GZ47" s="4"/>
      <c r="HA47" s="4"/>
      <c r="HB47" s="4"/>
      <c r="HC47" s="4"/>
      <c r="HD47" s="4"/>
      <c r="HE47" s="4"/>
      <c r="HF47" s="4"/>
      <c r="HG47" s="4"/>
      <c r="HH47" s="4"/>
      <c r="HI47" s="4"/>
      <c r="HJ47" s="4"/>
      <c r="HK47" s="4"/>
      <c r="HL47" s="4"/>
      <c r="HM47" s="4"/>
      <c r="HN47" s="4"/>
      <c r="HO47" s="4"/>
      <c r="HP47" s="4"/>
      <c r="HQ47" s="4"/>
      <c r="HR47" s="4"/>
      <c r="HS47" s="4"/>
      <c r="HT47" s="4"/>
      <c r="HU47" s="4"/>
      <c r="HV47" s="4"/>
      <c r="HW47" s="4"/>
      <c r="HX47" s="4"/>
      <c r="HY47" s="4"/>
      <c r="HZ47" s="4"/>
      <c r="IA47" s="4"/>
      <c r="IB47" s="4"/>
      <c r="IC47" s="4"/>
      <c r="ID47" s="4"/>
      <c r="IE47" s="4"/>
      <c r="IF47" s="4"/>
      <c r="IG47" s="4"/>
      <c r="IH47" s="4"/>
      <c r="II47" s="4"/>
      <c r="IJ47" s="4"/>
      <c r="IK47" s="4"/>
    </row>
    <row r="48" spans="1:245" outlineLevel="1">
      <c r="A48" s="116"/>
      <c r="B48" s="116"/>
      <c r="C48" s="116">
        <v>2</v>
      </c>
      <c r="D48" s="3" t="s">
        <v>1099</v>
      </c>
      <c r="E48" s="183"/>
      <c r="F48" s="183" t="s">
        <v>1113</v>
      </c>
      <c r="G48" s="183"/>
      <c r="H48" s="183"/>
      <c r="I48" s="183"/>
      <c r="J48" s="183"/>
      <c r="K48" s="183"/>
      <c r="L48" s="183"/>
      <c r="M48" s="184">
        <v>44522</v>
      </c>
      <c r="N48" s="184">
        <v>44522</v>
      </c>
      <c r="O48" s="185"/>
      <c r="P48" s="186">
        <v>1</v>
      </c>
      <c r="Q48" s="186">
        <v>1</v>
      </c>
      <c r="R48" s="187">
        <v>1</v>
      </c>
      <c r="S48" s="187">
        <v>1</v>
      </c>
      <c r="T48" s="184"/>
      <c r="U48" s="184"/>
      <c r="V48" s="188"/>
      <c r="W48" s="189">
        <v>0</v>
      </c>
      <c r="X48" s="190">
        <v>1</v>
      </c>
      <c r="Y48" s="185" t="s">
        <v>1122</v>
      </c>
      <c r="Z48" s="191"/>
      <c r="AA48" s="97">
        <v>1</v>
      </c>
      <c r="AB48" s="192">
        <v>0</v>
      </c>
      <c r="AC48" s="123"/>
      <c r="AD48" s="4"/>
      <c r="AE48" s="4"/>
      <c r="AF48" s="4"/>
      <c r="AG48" s="4"/>
      <c r="AH48" s="4"/>
      <c r="AI48" s="4"/>
      <c r="AJ48" s="4"/>
      <c r="AK48" s="4"/>
      <c r="AL48" s="4"/>
      <c r="AM48" s="4"/>
      <c r="AN48" s="4"/>
      <c r="AO48" s="4"/>
      <c r="AP48" s="4"/>
      <c r="AQ48" s="4"/>
      <c r="AR48" s="4"/>
      <c r="AS48" s="4"/>
      <c r="AT48" s="4"/>
      <c r="AU48" s="4"/>
      <c r="AV48" s="4"/>
      <c r="AW48" s="4"/>
      <c r="AX48" s="4"/>
      <c r="AY48" s="4"/>
      <c r="AZ48" s="4"/>
      <c r="BA48" s="4"/>
      <c r="BB48" s="4" t="str">
        <f>"" &amp; TEXT(AB48,"#0.00%") &amp; " " &amp; "QA" &amp; "(Eddie)" &amp; " " &amp; IF(M48="","",TEXT(M48,"M/D-")) &amp; IF(N48="","",TEXT(N48,"M/D")) &amp; " "</f>
        <v xml:space="preserve">0.00% QA(Eddie) 11/22-11/22 </v>
      </c>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c r="ER48" s="4"/>
      <c r="ES48" s="4"/>
      <c r="ET48" s="4"/>
      <c r="EU48" s="4"/>
      <c r="EV48" s="4"/>
      <c r="EW48" s="4"/>
      <c r="EX48" s="4"/>
      <c r="EY48" s="4"/>
      <c r="EZ48" s="4"/>
      <c r="FA48" s="4"/>
      <c r="FB48" s="4"/>
      <c r="FC48" s="4"/>
      <c r="FD48" s="4"/>
      <c r="FE48" s="4"/>
      <c r="FF48" s="4"/>
      <c r="FG48" s="4"/>
      <c r="FH48" s="4"/>
      <c r="FI48" s="4"/>
      <c r="FJ48" s="4"/>
      <c r="FK48" s="4"/>
      <c r="FL48" s="4"/>
      <c r="FM48" s="4"/>
      <c r="FN48" s="4"/>
      <c r="FO48" s="4"/>
      <c r="FP48" s="4"/>
      <c r="FQ48" s="4"/>
      <c r="FR48" s="4"/>
      <c r="FS48" s="4"/>
      <c r="FT48" s="4"/>
      <c r="FU48" s="4"/>
      <c r="FV48" s="4"/>
      <c r="FW48" s="4"/>
      <c r="FX48" s="4"/>
      <c r="FY48" s="4"/>
      <c r="FZ48" s="4"/>
      <c r="GA48" s="4"/>
      <c r="GB48" s="4"/>
      <c r="GC48" s="4"/>
      <c r="GD48" s="4"/>
      <c r="GE48" s="4"/>
      <c r="GF48" s="4"/>
      <c r="GG48" s="4"/>
      <c r="GH48" s="4"/>
      <c r="GI48" s="4"/>
      <c r="GJ48" s="4"/>
      <c r="GK48" s="4"/>
      <c r="GL48" s="4"/>
      <c r="GM48" s="4"/>
      <c r="GN48" s="4"/>
      <c r="GO48" s="4"/>
      <c r="GP48" s="4"/>
      <c r="GQ48" s="4"/>
      <c r="GR48" s="4"/>
      <c r="GS48" s="4"/>
      <c r="GT48" s="4"/>
      <c r="GU48" s="4"/>
      <c r="GV48" s="4"/>
      <c r="GW48" s="4"/>
      <c r="GX48" s="4"/>
      <c r="GY48" s="4"/>
      <c r="GZ48" s="4"/>
      <c r="HA48" s="4"/>
      <c r="HB48" s="4"/>
      <c r="HC48" s="4"/>
      <c r="HD48" s="4"/>
      <c r="HE48" s="4"/>
      <c r="HF48" s="4"/>
      <c r="HG48" s="4"/>
      <c r="HH48" s="4"/>
      <c r="HI48" s="4"/>
      <c r="HJ48" s="4"/>
      <c r="HK48" s="4"/>
      <c r="HL48" s="4"/>
      <c r="HM48" s="4"/>
      <c r="HN48" s="4"/>
      <c r="HO48" s="4"/>
      <c r="HP48" s="4"/>
      <c r="HQ48" s="4"/>
      <c r="HR48" s="4"/>
      <c r="HS48" s="4"/>
      <c r="HT48" s="4"/>
      <c r="HU48" s="4"/>
      <c r="HV48" s="4"/>
      <c r="HW48" s="4"/>
      <c r="HX48" s="4"/>
      <c r="HY48" s="4"/>
      <c r="HZ48" s="4"/>
      <c r="IA48" s="4"/>
      <c r="IB48" s="4"/>
      <c r="IC48" s="4"/>
      <c r="ID48" s="4"/>
      <c r="IE48" s="4"/>
      <c r="IF48" s="4"/>
      <c r="IG48" s="4"/>
      <c r="IH48" s="4"/>
      <c r="II48" s="4"/>
      <c r="IJ48" s="4"/>
      <c r="IK48" s="4"/>
    </row>
    <row r="49" spans="1:245" outlineLevel="1">
      <c r="A49" s="116"/>
      <c r="B49" s="116"/>
      <c r="C49" s="116">
        <v>0</v>
      </c>
      <c r="D49" s="3"/>
      <c r="E49" s="183"/>
      <c r="F49" s="183"/>
      <c r="G49" s="183"/>
      <c r="H49" s="183"/>
      <c r="I49" s="183"/>
      <c r="J49" s="183"/>
      <c r="K49" s="183"/>
      <c r="L49" s="183"/>
      <c r="M49" s="184"/>
      <c r="N49" s="184"/>
      <c r="O49" s="185"/>
      <c r="P49" s="186"/>
      <c r="Q49" s="186"/>
      <c r="R49" s="187">
        <v>0</v>
      </c>
      <c r="S49" s="187">
        <v>0</v>
      </c>
      <c r="T49" s="184"/>
      <c r="U49" s="184"/>
      <c r="V49" s="188"/>
      <c r="W49" s="189">
        <v>0</v>
      </c>
      <c r="X49" s="190"/>
      <c r="Y49" s="185"/>
      <c r="Z49" s="191"/>
      <c r="AA49" s="97"/>
      <c r="AB49" s="192"/>
      <c r="AC49" s="123"/>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c r="ED49" s="4"/>
      <c r="EE49" s="4"/>
      <c r="EF49" s="4"/>
      <c r="EG49" s="4"/>
      <c r="EH49" s="4"/>
      <c r="EI49" s="4"/>
      <c r="EJ49" s="4"/>
      <c r="EK49" s="4"/>
      <c r="EL49" s="4"/>
      <c r="EM49" s="4"/>
      <c r="EN49" s="4"/>
      <c r="EO49" s="4"/>
      <c r="EP49" s="4"/>
      <c r="EQ49" s="4"/>
      <c r="ER49" s="4"/>
      <c r="ES49" s="4"/>
      <c r="ET49" s="4"/>
      <c r="EU49" s="4"/>
      <c r="EV49" s="4"/>
      <c r="EW49" s="4"/>
      <c r="EX49" s="4"/>
      <c r="EY49" s="4"/>
      <c r="EZ49" s="4"/>
      <c r="FA49" s="4"/>
      <c r="FB49" s="4"/>
      <c r="FC49" s="4"/>
      <c r="FD49" s="4"/>
      <c r="FE49" s="4"/>
      <c r="FF49" s="4"/>
      <c r="FG49" s="4"/>
      <c r="FH49" s="4"/>
      <c r="FI49" s="4"/>
      <c r="FJ49" s="4"/>
      <c r="FK49" s="4"/>
      <c r="FL49" s="4"/>
      <c r="FM49" s="4"/>
      <c r="FN49" s="4"/>
      <c r="FO49" s="4"/>
      <c r="FP49" s="4"/>
      <c r="FQ49" s="4"/>
      <c r="FR49" s="4"/>
      <c r="FS49" s="4"/>
      <c r="FT49" s="4"/>
      <c r="FU49" s="4"/>
      <c r="FV49" s="4"/>
      <c r="FW49" s="4"/>
      <c r="FX49" s="4"/>
      <c r="FY49" s="4"/>
      <c r="FZ49" s="4"/>
      <c r="GA49" s="4"/>
      <c r="GB49" s="4"/>
      <c r="GC49" s="4"/>
      <c r="GD49" s="4"/>
      <c r="GE49" s="4"/>
      <c r="GF49" s="4"/>
      <c r="GG49" s="4"/>
      <c r="GH49" s="4"/>
      <c r="GI49" s="4"/>
      <c r="GJ49" s="4"/>
      <c r="GK49" s="4"/>
      <c r="GL49" s="4"/>
      <c r="GM49" s="4"/>
      <c r="GN49" s="4"/>
      <c r="GO49" s="4"/>
      <c r="GP49" s="4"/>
      <c r="GQ49" s="4"/>
      <c r="GR49" s="4"/>
      <c r="GS49" s="4"/>
      <c r="GT49" s="4"/>
      <c r="GU49" s="4"/>
      <c r="GV49" s="4"/>
      <c r="GW49" s="4"/>
      <c r="GX49" s="4"/>
      <c r="GY49" s="4"/>
      <c r="GZ49" s="4"/>
      <c r="HA49" s="4"/>
      <c r="HB49" s="4"/>
      <c r="HC49" s="4"/>
      <c r="HD49" s="4"/>
      <c r="HE49" s="4"/>
      <c r="HF49" s="4"/>
      <c r="HG49" s="4"/>
      <c r="HH49" s="4"/>
      <c r="HI49" s="4"/>
      <c r="HJ49" s="4"/>
      <c r="HK49" s="4"/>
      <c r="HL49" s="4"/>
      <c r="HM49" s="4"/>
      <c r="HN49" s="4"/>
      <c r="HO49" s="4"/>
      <c r="HP49" s="4"/>
      <c r="HQ49" s="4"/>
      <c r="HR49" s="4"/>
      <c r="HS49" s="4"/>
      <c r="HT49" s="4"/>
      <c r="HU49" s="4"/>
      <c r="HV49" s="4"/>
      <c r="HW49" s="4"/>
      <c r="HX49" s="4"/>
      <c r="HY49" s="4"/>
      <c r="HZ49" s="4"/>
      <c r="IA49" s="4"/>
      <c r="IB49" s="4"/>
      <c r="IC49" s="4"/>
      <c r="ID49" s="4"/>
      <c r="IE49" s="4"/>
      <c r="IF49" s="4"/>
      <c r="IG49" s="4"/>
      <c r="IH49" s="4"/>
      <c r="II49" s="4"/>
      <c r="IJ49" s="4"/>
      <c r="IK49" s="4"/>
    </row>
    <row r="50" spans="1:245">
      <c r="A50" s="116"/>
      <c r="B50" s="116" t="s">
        <v>983</v>
      </c>
      <c r="C50" s="116">
        <v>1</v>
      </c>
      <c r="D50" s="3" t="s">
        <v>1100</v>
      </c>
      <c r="E50" s="183" t="s">
        <v>1143</v>
      </c>
      <c r="F50" s="183"/>
      <c r="G50" s="183"/>
      <c r="H50" s="183"/>
      <c r="I50" s="183"/>
      <c r="J50" s="183"/>
      <c r="K50" s="183"/>
      <c r="L50" s="183"/>
      <c r="M50" s="184">
        <v>44517</v>
      </c>
      <c r="N50" s="184">
        <v>44522</v>
      </c>
      <c r="O50" s="185"/>
      <c r="P50" s="186">
        <v>10</v>
      </c>
      <c r="Q50" s="186">
        <v>10</v>
      </c>
      <c r="R50" s="187">
        <v>4</v>
      </c>
      <c r="S50" s="187">
        <v>4</v>
      </c>
      <c r="T50" s="184"/>
      <c r="U50" s="184"/>
      <c r="V50" s="188">
        <v>0</v>
      </c>
      <c r="W50" s="189">
        <v>0</v>
      </c>
      <c r="X50" s="190"/>
      <c r="Y50" s="185"/>
      <c r="Z50" s="191"/>
      <c r="AA50" s="97">
        <v>1</v>
      </c>
      <c r="AB50" s="192">
        <v>0</v>
      </c>
      <c r="AC50" s="123"/>
      <c r="AD50" s="4"/>
      <c r="AE50" s="4"/>
      <c r="AF50" s="4"/>
      <c r="AG50" s="4"/>
      <c r="AH50" s="4"/>
      <c r="AI50" s="4"/>
      <c r="AJ50" s="4"/>
      <c r="AK50" s="4"/>
      <c r="AL50" s="4"/>
      <c r="AM50" s="4"/>
      <c r="AN50" s="4"/>
      <c r="AO50" s="4"/>
      <c r="AP50" s="4"/>
      <c r="AQ50" s="4"/>
      <c r="AR50" s="4"/>
      <c r="AS50" s="4"/>
      <c r="AT50" s="4"/>
      <c r="AU50" s="4"/>
      <c r="AV50" s="4"/>
      <c r="AW50" s="4"/>
      <c r="AX50" s="4"/>
      <c r="AY50" s="4"/>
      <c r="AZ50" s="4"/>
      <c r="BA50" s="4" t="str">
        <f>"  " &amp; TEXT(AB50,"#0.00%") &amp; " " &amp; "[2111-05] New API for International Topup Country" &amp; " " &amp; IF(M50="","",TEXT(M50,"M/D-")) &amp; IF(N50="","",TEXT(N50,"M/D")) &amp; " "</f>
        <v xml:space="preserve">  0.00% [2111-05] New API for International Topup Country 11/17-11/22 </v>
      </c>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c r="ED50" s="4"/>
      <c r="EE50" s="4"/>
      <c r="EF50" s="4"/>
      <c r="EG50" s="4"/>
      <c r="EH50" s="4"/>
      <c r="EI50" s="4"/>
      <c r="EJ50" s="4"/>
      <c r="EK50" s="4"/>
      <c r="EL50" s="4"/>
      <c r="EM50" s="4"/>
      <c r="EN50" s="4"/>
      <c r="EO50" s="4"/>
      <c r="EP50" s="4"/>
      <c r="EQ50" s="4"/>
      <c r="ER50" s="4"/>
      <c r="ES50" s="4"/>
      <c r="ET50" s="4"/>
      <c r="EU50" s="4"/>
      <c r="EV50" s="4"/>
      <c r="EW50" s="4"/>
      <c r="EX50" s="4"/>
      <c r="EY50" s="4"/>
      <c r="EZ50" s="4"/>
      <c r="FA50" s="4"/>
      <c r="FB50" s="4"/>
      <c r="FC50" s="4"/>
      <c r="FD50" s="4"/>
      <c r="FE50" s="4"/>
      <c r="FF50" s="4"/>
      <c r="FG50" s="4"/>
      <c r="FH50" s="4"/>
      <c r="FI50" s="4"/>
      <c r="FJ50" s="4"/>
      <c r="FK50" s="4"/>
      <c r="FL50" s="4"/>
      <c r="FM50" s="4"/>
      <c r="FN50" s="4"/>
      <c r="FO50" s="4"/>
      <c r="FP50" s="4"/>
      <c r="FQ50" s="4"/>
      <c r="FR50" s="4"/>
      <c r="FS50" s="4"/>
      <c r="FT50" s="4"/>
      <c r="FU50" s="4"/>
      <c r="FV50" s="4"/>
      <c r="FW50" s="4"/>
      <c r="FX50" s="4"/>
      <c r="FY50" s="4"/>
      <c r="FZ50" s="4"/>
      <c r="GA50" s="4"/>
      <c r="GB50" s="4"/>
      <c r="GC50" s="4"/>
      <c r="GD50" s="4"/>
      <c r="GE50" s="4"/>
      <c r="GF50" s="4"/>
      <c r="GG50" s="4"/>
      <c r="GH50" s="4"/>
      <c r="GI50" s="4"/>
      <c r="GJ50" s="4"/>
      <c r="GK50" s="4"/>
      <c r="GL50" s="4"/>
      <c r="GM50" s="4"/>
      <c r="GN50" s="4"/>
      <c r="GO50" s="4"/>
      <c r="GP50" s="4"/>
      <c r="GQ50" s="4"/>
      <c r="GR50" s="4"/>
      <c r="GS50" s="4"/>
      <c r="GT50" s="4"/>
      <c r="GU50" s="4"/>
      <c r="GV50" s="4"/>
      <c r="GW50" s="4"/>
      <c r="GX50" s="4"/>
      <c r="GY50" s="4"/>
      <c r="GZ50" s="4"/>
      <c r="HA50" s="4"/>
      <c r="HB50" s="4"/>
      <c r="HC50" s="4"/>
      <c r="HD50" s="4"/>
      <c r="HE50" s="4"/>
      <c r="HF50" s="4"/>
      <c r="HG50" s="4"/>
      <c r="HH50" s="4"/>
      <c r="HI50" s="4"/>
      <c r="HJ50" s="4"/>
      <c r="HK50" s="4"/>
      <c r="HL50" s="4"/>
      <c r="HM50" s="4"/>
      <c r="HN50" s="4"/>
      <c r="HO50" s="4"/>
      <c r="HP50" s="4"/>
      <c r="HQ50" s="4"/>
      <c r="HR50" s="4"/>
      <c r="HS50" s="4"/>
      <c r="HT50" s="4"/>
      <c r="HU50" s="4"/>
      <c r="HV50" s="4"/>
      <c r="HW50" s="4"/>
      <c r="HX50" s="4"/>
      <c r="HY50" s="4"/>
      <c r="HZ50" s="4"/>
      <c r="IA50" s="4"/>
      <c r="IB50" s="4"/>
      <c r="IC50" s="4"/>
      <c r="ID50" s="4"/>
      <c r="IE50" s="4"/>
      <c r="IF50" s="4"/>
      <c r="IG50" s="4"/>
      <c r="IH50" s="4"/>
      <c r="II50" s="4"/>
      <c r="IJ50" s="4"/>
      <c r="IK50" s="4"/>
    </row>
    <row r="51" spans="1:245" outlineLevel="1">
      <c r="A51" s="116"/>
      <c r="B51" s="116"/>
      <c r="C51" s="116">
        <v>2</v>
      </c>
      <c r="D51" s="3" t="s">
        <v>1101</v>
      </c>
      <c r="E51" s="183"/>
      <c r="F51" s="183" t="s">
        <v>1110</v>
      </c>
      <c r="G51" s="183"/>
      <c r="H51" s="183"/>
      <c r="I51" s="183"/>
      <c r="J51" s="183"/>
      <c r="K51" s="183"/>
      <c r="L51" s="183"/>
      <c r="M51" s="184">
        <v>44517</v>
      </c>
      <c r="N51" s="184">
        <v>44519</v>
      </c>
      <c r="O51" s="185"/>
      <c r="P51" s="186">
        <v>3</v>
      </c>
      <c r="Q51" s="186">
        <v>3</v>
      </c>
      <c r="R51" s="187">
        <v>3</v>
      </c>
      <c r="S51" s="187">
        <v>3</v>
      </c>
      <c r="T51" s="184"/>
      <c r="U51" s="184"/>
      <c r="V51" s="188"/>
      <c r="W51" s="189">
        <v>0</v>
      </c>
      <c r="X51" s="190">
        <v>1</v>
      </c>
      <c r="Y51" s="185" t="s">
        <v>1130</v>
      </c>
      <c r="Z51" s="191"/>
      <c r="AA51" s="97">
        <v>1</v>
      </c>
      <c r="AB51" s="192">
        <v>0</v>
      </c>
      <c r="AC51" s="123"/>
      <c r="AD51" s="4"/>
      <c r="AE51" s="4"/>
      <c r="AF51" s="4"/>
      <c r="AG51" s="4"/>
      <c r="AH51" s="4"/>
      <c r="AI51" s="4"/>
      <c r="AJ51" s="4"/>
      <c r="AK51" s="4"/>
      <c r="AL51" s="4"/>
      <c r="AM51" s="4"/>
      <c r="AN51" s="4"/>
      <c r="AO51" s="4"/>
      <c r="AP51" s="4"/>
      <c r="AQ51" s="4"/>
      <c r="AR51" s="4"/>
      <c r="AS51" s="4"/>
      <c r="AT51" s="4"/>
      <c r="AU51" s="4"/>
      <c r="AV51" s="4"/>
      <c r="AW51" s="4"/>
      <c r="AX51" s="4"/>
      <c r="AY51" s="4"/>
      <c r="AZ51" s="4"/>
      <c r="BA51" s="4" t="str">
        <f>"  " &amp; TEXT(AB51,"#0.00%") &amp; " " &amp; "Server" &amp; "(Subash)" &amp; " " &amp; IF(M51="","",TEXT(M51,"M/D-")) &amp; IF(N51="","",TEXT(N51,"M/D")) &amp; " "</f>
        <v xml:space="preserve">  0.00% Server(Subash) 11/17-11/19 </v>
      </c>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c r="ED51" s="4"/>
      <c r="EE51" s="4"/>
      <c r="EF51" s="4"/>
      <c r="EG51" s="4"/>
      <c r="EH51" s="4"/>
      <c r="EI51" s="4"/>
      <c r="EJ51" s="4"/>
      <c r="EK51" s="4"/>
      <c r="EL51" s="4"/>
      <c r="EM51" s="4"/>
      <c r="EN51" s="4"/>
      <c r="EO51" s="4"/>
      <c r="EP51" s="4"/>
      <c r="EQ51" s="4"/>
      <c r="ER51" s="4"/>
      <c r="ES51" s="4"/>
      <c r="ET51" s="4"/>
      <c r="EU51" s="4"/>
      <c r="EV51" s="4"/>
      <c r="EW51" s="4"/>
      <c r="EX51" s="4"/>
      <c r="EY51" s="4"/>
      <c r="EZ51" s="4"/>
      <c r="FA51" s="4"/>
      <c r="FB51" s="4"/>
      <c r="FC51" s="4"/>
      <c r="FD51" s="4"/>
      <c r="FE51" s="4"/>
      <c r="FF51" s="4"/>
      <c r="FG51" s="4"/>
      <c r="FH51" s="4"/>
      <c r="FI51" s="4"/>
      <c r="FJ51" s="4"/>
      <c r="FK51" s="4"/>
      <c r="FL51" s="4"/>
      <c r="FM51" s="4"/>
      <c r="FN51" s="4"/>
      <c r="FO51" s="4"/>
      <c r="FP51" s="4"/>
      <c r="FQ51" s="4"/>
      <c r="FR51" s="4"/>
      <c r="FS51" s="4"/>
      <c r="FT51" s="4"/>
      <c r="FU51" s="4"/>
      <c r="FV51" s="4"/>
      <c r="FW51" s="4"/>
      <c r="FX51" s="4"/>
      <c r="FY51" s="4"/>
      <c r="FZ51" s="4"/>
      <c r="GA51" s="4"/>
      <c r="GB51" s="4"/>
      <c r="GC51" s="4"/>
      <c r="GD51" s="4"/>
      <c r="GE51" s="4"/>
      <c r="GF51" s="4"/>
      <c r="GG51" s="4"/>
      <c r="GH51" s="4"/>
      <c r="GI51" s="4"/>
      <c r="GJ51" s="4"/>
      <c r="GK51" s="4"/>
      <c r="GL51" s="4"/>
      <c r="GM51" s="4"/>
      <c r="GN51" s="4"/>
      <c r="GO51" s="4"/>
      <c r="GP51" s="4"/>
      <c r="GQ51" s="4"/>
      <c r="GR51" s="4"/>
      <c r="GS51" s="4"/>
      <c r="GT51" s="4"/>
      <c r="GU51" s="4"/>
      <c r="GV51" s="4"/>
      <c r="GW51" s="4"/>
      <c r="GX51" s="4"/>
      <c r="GY51" s="4"/>
      <c r="GZ51" s="4"/>
      <c r="HA51" s="4"/>
      <c r="HB51" s="4"/>
      <c r="HC51" s="4"/>
      <c r="HD51" s="4"/>
      <c r="HE51" s="4"/>
      <c r="HF51" s="4"/>
      <c r="HG51" s="4"/>
      <c r="HH51" s="4"/>
      <c r="HI51" s="4"/>
      <c r="HJ51" s="4"/>
      <c r="HK51" s="4"/>
      <c r="HL51" s="4"/>
      <c r="HM51" s="4"/>
      <c r="HN51" s="4"/>
      <c r="HO51" s="4"/>
      <c r="HP51" s="4"/>
      <c r="HQ51" s="4"/>
      <c r="HR51" s="4"/>
      <c r="HS51" s="4"/>
      <c r="HT51" s="4"/>
      <c r="HU51" s="4"/>
      <c r="HV51" s="4"/>
      <c r="HW51" s="4"/>
      <c r="HX51" s="4"/>
      <c r="HY51" s="4"/>
      <c r="HZ51" s="4"/>
      <c r="IA51" s="4"/>
      <c r="IB51" s="4"/>
      <c r="IC51" s="4"/>
      <c r="ID51" s="4"/>
      <c r="IE51" s="4"/>
      <c r="IF51" s="4"/>
      <c r="IG51" s="4"/>
      <c r="IH51" s="4"/>
      <c r="II51" s="4"/>
      <c r="IJ51" s="4"/>
      <c r="IK51" s="4"/>
    </row>
    <row r="52" spans="1:245" outlineLevel="1">
      <c r="A52" s="116"/>
      <c r="B52" s="116"/>
      <c r="C52" s="116">
        <v>2</v>
      </c>
      <c r="D52" s="3" t="s">
        <v>1102</v>
      </c>
      <c r="E52" s="183"/>
      <c r="F52" s="183" t="s">
        <v>1111</v>
      </c>
      <c r="G52" s="183"/>
      <c r="H52" s="183"/>
      <c r="I52" s="183"/>
      <c r="J52" s="183"/>
      <c r="K52" s="183"/>
      <c r="L52" s="183"/>
      <c r="M52" s="184">
        <v>44517</v>
      </c>
      <c r="N52" s="184">
        <v>44519</v>
      </c>
      <c r="O52" s="185"/>
      <c r="P52" s="186">
        <v>3</v>
      </c>
      <c r="Q52" s="186">
        <v>3</v>
      </c>
      <c r="R52" s="187">
        <v>3</v>
      </c>
      <c r="S52" s="187">
        <v>3</v>
      </c>
      <c r="T52" s="184"/>
      <c r="U52" s="184"/>
      <c r="V52" s="188"/>
      <c r="W52" s="189">
        <v>0</v>
      </c>
      <c r="X52" s="190">
        <v>1</v>
      </c>
      <c r="Y52" s="185" t="s">
        <v>1120</v>
      </c>
      <c r="Z52" s="191"/>
      <c r="AA52" s="97">
        <v>1</v>
      </c>
      <c r="AB52" s="192">
        <v>0</v>
      </c>
      <c r="AC52" s="123"/>
      <c r="AD52" s="4"/>
      <c r="AE52" s="4"/>
      <c r="AF52" s="4"/>
      <c r="AG52" s="4"/>
      <c r="AH52" s="4"/>
      <c r="AI52" s="4"/>
      <c r="AJ52" s="4"/>
      <c r="AK52" s="4"/>
      <c r="AL52" s="4"/>
      <c r="AM52" s="4"/>
      <c r="AN52" s="4"/>
      <c r="AO52" s="4"/>
      <c r="AP52" s="4"/>
      <c r="AQ52" s="4"/>
      <c r="AR52" s="4"/>
      <c r="AS52" s="4"/>
      <c r="AT52" s="4"/>
      <c r="AU52" s="4"/>
      <c r="AV52" s="4"/>
      <c r="AW52" s="4"/>
      <c r="AX52" s="4"/>
      <c r="AY52" s="4"/>
      <c r="AZ52" s="4"/>
      <c r="BA52" s="4" t="str">
        <f>"  " &amp; TEXT(AB52,"#0.00%") &amp; " " &amp; "iOS" &amp; "(Dibya)" &amp; " " &amp; IF(M52="","",TEXT(M52,"M/D-")) &amp; IF(N52="","",TEXT(N52,"M/D")) &amp; " "</f>
        <v xml:space="preserve">  0.00% iOS(Dibya) 11/17-11/19 </v>
      </c>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c r="ED52" s="4"/>
      <c r="EE52" s="4"/>
      <c r="EF52" s="4"/>
      <c r="EG52" s="4"/>
      <c r="EH52" s="4"/>
      <c r="EI52" s="4"/>
      <c r="EJ52" s="4"/>
      <c r="EK52" s="4"/>
      <c r="EL52" s="4"/>
      <c r="EM52" s="4"/>
      <c r="EN52" s="4"/>
      <c r="EO52" s="4"/>
      <c r="EP52" s="4"/>
      <c r="EQ52" s="4"/>
      <c r="ER52" s="4"/>
      <c r="ES52" s="4"/>
      <c r="ET52" s="4"/>
      <c r="EU52" s="4"/>
      <c r="EV52" s="4"/>
      <c r="EW52" s="4"/>
      <c r="EX52" s="4"/>
      <c r="EY52" s="4"/>
      <c r="EZ52" s="4"/>
      <c r="FA52" s="4"/>
      <c r="FB52" s="4"/>
      <c r="FC52" s="4"/>
      <c r="FD52" s="4"/>
      <c r="FE52" s="4"/>
      <c r="FF52" s="4"/>
      <c r="FG52" s="4"/>
      <c r="FH52" s="4"/>
      <c r="FI52" s="4"/>
      <c r="FJ52" s="4"/>
      <c r="FK52" s="4"/>
      <c r="FL52" s="4"/>
      <c r="FM52" s="4"/>
      <c r="FN52" s="4"/>
      <c r="FO52" s="4"/>
      <c r="FP52" s="4"/>
      <c r="FQ52" s="4"/>
      <c r="FR52" s="4"/>
      <c r="FS52" s="4"/>
      <c r="FT52" s="4"/>
      <c r="FU52" s="4"/>
      <c r="FV52" s="4"/>
      <c r="FW52" s="4"/>
      <c r="FX52" s="4"/>
      <c r="FY52" s="4"/>
      <c r="FZ52" s="4"/>
      <c r="GA52" s="4"/>
      <c r="GB52" s="4"/>
      <c r="GC52" s="4"/>
      <c r="GD52" s="4"/>
      <c r="GE52" s="4"/>
      <c r="GF52" s="4"/>
      <c r="GG52" s="4"/>
      <c r="GH52" s="4"/>
      <c r="GI52" s="4"/>
      <c r="GJ52" s="4"/>
      <c r="GK52" s="4"/>
      <c r="GL52" s="4"/>
      <c r="GM52" s="4"/>
      <c r="GN52" s="4"/>
      <c r="GO52" s="4"/>
      <c r="GP52" s="4"/>
      <c r="GQ52" s="4"/>
      <c r="GR52" s="4"/>
      <c r="GS52" s="4"/>
      <c r="GT52" s="4"/>
      <c r="GU52" s="4"/>
      <c r="GV52" s="4"/>
      <c r="GW52" s="4"/>
      <c r="GX52" s="4"/>
      <c r="GY52" s="4"/>
      <c r="GZ52" s="4"/>
      <c r="HA52" s="4"/>
      <c r="HB52" s="4"/>
      <c r="HC52" s="4"/>
      <c r="HD52" s="4"/>
      <c r="HE52" s="4"/>
      <c r="HF52" s="4"/>
      <c r="HG52" s="4"/>
      <c r="HH52" s="4"/>
      <c r="HI52" s="4"/>
      <c r="HJ52" s="4"/>
      <c r="HK52" s="4"/>
      <c r="HL52" s="4"/>
      <c r="HM52" s="4"/>
      <c r="HN52" s="4"/>
      <c r="HO52" s="4"/>
      <c r="HP52" s="4"/>
      <c r="HQ52" s="4"/>
      <c r="HR52" s="4"/>
      <c r="HS52" s="4"/>
      <c r="HT52" s="4"/>
      <c r="HU52" s="4"/>
      <c r="HV52" s="4"/>
      <c r="HW52" s="4"/>
      <c r="HX52" s="4"/>
      <c r="HY52" s="4"/>
      <c r="HZ52" s="4"/>
      <c r="IA52" s="4"/>
      <c r="IB52" s="4"/>
      <c r="IC52" s="4"/>
      <c r="ID52" s="4"/>
      <c r="IE52" s="4"/>
      <c r="IF52" s="4"/>
      <c r="IG52" s="4"/>
      <c r="IH52" s="4"/>
      <c r="II52" s="4"/>
      <c r="IJ52" s="4"/>
      <c r="IK52" s="4"/>
    </row>
    <row r="53" spans="1:245" outlineLevel="1">
      <c r="A53" s="116"/>
      <c r="B53" s="116"/>
      <c r="C53" s="116">
        <v>2</v>
      </c>
      <c r="D53" s="3" t="s">
        <v>1103</v>
      </c>
      <c r="E53" s="183"/>
      <c r="F53" s="183" t="s">
        <v>1112</v>
      </c>
      <c r="G53" s="183"/>
      <c r="H53" s="183"/>
      <c r="I53" s="183"/>
      <c r="J53" s="183"/>
      <c r="K53" s="183"/>
      <c r="L53" s="183"/>
      <c r="M53" s="184">
        <v>44517</v>
      </c>
      <c r="N53" s="184">
        <v>44519</v>
      </c>
      <c r="O53" s="185"/>
      <c r="P53" s="186">
        <v>3</v>
      </c>
      <c r="Q53" s="186">
        <v>3</v>
      </c>
      <c r="R53" s="187">
        <v>3</v>
      </c>
      <c r="S53" s="187">
        <v>3</v>
      </c>
      <c r="T53" s="184"/>
      <c r="U53" s="184"/>
      <c r="V53" s="188"/>
      <c r="W53" s="189">
        <v>0</v>
      </c>
      <c r="X53" s="190">
        <v>1</v>
      </c>
      <c r="Y53" s="185" t="s">
        <v>1121</v>
      </c>
      <c r="Z53" s="191"/>
      <c r="AA53" s="97">
        <v>1</v>
      </c>
      <c r="AB53" s="192">
        <v>0</v>
      </c>
      <c r="AC53" s="123"/>
      <c r="AD53" s="4"/>
      <c r="AE53" s="4"/>
      <c r="AF53" s="4"/>
      <c r="AG53" s="4"/>
      <c r="AH53" s="4"/>
      <c r="AI53" s="4"/>
      <c r="AJ53" s="4"/>
      <c r="AK53" s="4"/>
      <c r="AL53" s="4"/>
      <c r="AM53" s="4"/>
      <c r="AN53" s="4"/>
      <c r="AO53" s="4"/>
      <c r="AP53" s="4"/>
      <c r="AQ53" s="4"/>
      <c r="AR53" s="4"/>
      <c r="AS53" s="4"/>
      <c r="AT53" s="4"/>
      <c r="AU53" s="4"/>
      <c r="AV53" s="4"/>
      <c r="AW53" s="4"/>
      <c r="AX53" s="4"/>
      <c r="AY53" s="4"/>
      <c r="AZ53" s="4"/>
      <c r="BA53" s="4" t="str">
        <f>"  " &amp; TEXT(AB53,"#0.00%") &amp; " " &amp; "Android" &amp; "(Andrew)" &amp; " " &amp; IF(M53="","",TEXT(M53,"M/D-")) &amp; IF(N53="","",TEXT(N53,"M/D")) &amp; " "</f>
        <v xml:space="preserve">  0.00% Android(Andrew) 11/17-11/19 </v>
      </c>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c r="ED53" s="4"/>
      <c r="EE53" s="4"/>
      <c r="EF53" s="4"/>
      <c r="EG53" s="4"/>
      <c r="EH53" s="4"/>
      <c r="EI53" s="4"/>
      <c r="EJ53" s="4"/>
      <c r="EK53" s="4"/>
      <c r="EL53" s="4"/>
      <c r="EM53" s="4"/>
      <c r="EN53" s="4"/>
      <c r="EO53" s="4"/>
      <c r="EP53" s="4"/>
      <c r="EQ53" s="4"/>
      <c r="ER53" s="4"/>
      <c r="ES53" s="4"/>
      <c r="ET53" s="4"/>
      <c r="EU53" s="4"/>
      <c r="EV53" s="4"/>
      <c r="EW53" s="4"/>
      <c r="EX53" s="4"/>
      <c r="EY53" s="4"/>
      <c r="EZ53" s="4"/>
      <c r="FA53" s="4"/>
      <c r="FB53" s="4"/>
      <c r="FC53" s="4"/>
      <c r="FD53" s="4"/>
      <c r="FE53" s="4"/>
      <c r="FF53" s="4"/>
      <c r="FG53" s="4"/>
      <c r="FH53" s="4"/>
      <c r="FI53" s="4"/>
      <c r="FJ53" s="4"/>
      <c r="FK53" s="4"/>
      <c r="FL53" s="4"/>
      <c r="FM53" s="4"/>
      <c r="FN53" s="4"/>
      <c r="FO53" s="4"/>
      <c r="FP53" s="4"/>
      <c r="FQ53" s="4"/>
      <c r="FR53" s="4"/>
      <c r="FS53" s="4"/>
      <c r="FT53" s="4"/>
      <c r="FU53" s="4"/>
      <c r="FV53" s="4"/>
      <c r="FW53" s="4"/>
      <c r="FX53" s="4"/>
      <c r="FY53" s="4"/>
      <c r="FZ53" s="4"/>
      <c r="GA53" s="4"/>
      <c r="GB53" s="4"/>
      <c r="GC53" s="4"/>
      <c r="GD53" s="4"/>
      <c r="GE53" s="4"/>
      <c r="GF53" s="4"/>
      <c r="GG53" s="4"/>
      <c r="GH53" s="4"/>
      <c r="GI53" s="4"/>
      <c r="GJ53" s="4"/>
      <c r="GK53" s="4"/>
      <c r="GL53" s="4"/>
      <c r="GM53" s="4"/>
      <c r="GN53" s="4"/>
      <c r="GO53" s="4"/>
      <c r="GP53" s="4"/>
      <c r="GQ53" s="4"/>
      <c r="GR53" s="4"/>
      <c r="GS53" s="4"/>
      <c r="GT53" s="4"/>
      <c r="GU53" s="4"/>
      <c r="GV53" s="4"/>
      <c r="GW53" s="4"/>
      <c r="GX53" s="4"/>
      <c r="GY53" s="4"/>
      <c r="GZ53" s="4"/>
      <c r="HA53" s="4"/>
      <c r="HB53" s="4"/>
      <c r="HC53" s="4"/>
      <c r="HD53" s="4"/>
      <c r="HE53" s="4"/>
      <c r="HF53" s="4"/>
      <c r="HG53" s="4"/>
      <c r="HH53" s="4"/>
      <c r="HI53" s="4"/>
      <c r="HJ53" s="4"/>
      <c r="HK53" s="4"/>
      <c r="HL53" s="4"/>
      <c r="HM53" s="4"/>
      <c r="HN53" s="4"/>
      <c r="HO53" s="4"/>
      <c r="HP53" s="4"/>
      <c r="HQ53" s="4"/>
      <c r="HR53" s="4"/>
      <c r="HS53" s="4"/>
      <c r="HT53" s="4"/>
      <c r="HU53" s="4"/>
      <c r="HV53" s="4"/>
      <c r="HW53" s="4"/>
      <c r="HX53" s="4"/>
      <c r="HY53" s="4"/>
      <c r="HZ53" s="4"/>
      <c r="IA53" s="4"/>
      <c r="IB53" s="4"/>
      <c r="IC53" s="4"/>
      <c r="ID53" s="4"/>
      <c r="IE53" s="4"/>
      <c r="IF53" s="4"/>
      <c r="IG53" s="4"/>
      <c r="IH53" s="4"/>
      <c r="II53" s="4"/>
      <c r="IJ53" s="4"/>
      <c r="IK53" s="4"/>
    </row>
    <row r="54" spans="1:245" outlineLevel="1">
      <c r="A54" s="116"/>
      <c r="B54" s="116"/>
      <c r="C54" s="116">
        <v>2</v>
      </c>
      <c r="D54" s="3" t="s">
        <v>1104</v>
      </c>
      <c r="E54" s="183"/>
      <c r="F54" s="183" t="s">
        <v>1113</v>
      </c>
      <c r="G54" s="183"/>
      <c r="H54" s="183"/>
      <c r="I54" s="183"/>
      <c r="J54" s="183"/>
      <c r="K54" s="183"/>
      <c r="L54" s="183"/>
      <c r="M54" s="184">
        <v>44522</v>
      </c>
      <c r="N54" s="184">
        <v>44522</v>
      </c>
      <c r="O54" s="185"/>
      <c r="P54" s="186">
        <v>1</v>
      </c>
      <c r="Q54" s="186">
        <v>1</v>
      </c>
      <c r="R54" s="187">
        <v>1</v>
      </c>
      <c r="S54" s="187">
        <v>1</v>
      </c>
      <c r="T54" s="184"/>
      <c r="U54" s="184"/>
      <c r="V54" s="188"/>
      <c r="W54" s="189">
        <v>0</v>
      </c>
      <c r="X54" s="190">
        <v>1</v>
      </c>
      <c r="Y54" s="185" t="s">
        <v>1129</v>
      </c>
      <c r="Z54" s="191"/>
      <c r="AA54" s="97">
        <v>1</v>
      </c>
      <c r="AB54" s="192">
        <v>0</v>
      </c>
      <c r="AC54" s="123"/>
      <c r="AD54" s="4"/>
      <c r="AE54" s="4"/>
      <c r="AF54" s="4"/>
      <c r="AG54" s="4"/>
      <c r="AH54" s="4"/>
      <c r="AI54" s="4"/>
      <c r="AJ54" s="4"/>
      <c r="AK54" s="4"/>
      <c r="AL54" s="4"/>
      <c r="AM54" s="4"/>
      <c r="AN54" s="4"/>
      <c r="AO54" s="4"/>
      <c r="AP54" s="4"/>
      <c r="AQ54" s="4"/>
      <c r="AR54" s="4"/>
      <c r="AS54" s="4"/>
      <c r="AT54" s="4"/>
      <c r="AU54" s="4"/>
      <c r="AV54" s="4"/>
      <c r="AW54" s="4"/>
      <c r="AX54" s="4"/>
      <c r="AY54" s="4"/>
      <c r="AZ54" s="4"/>
      <c r="BA54" s="4"/>
      <c r="BB54" s="4" t="str">
        <f>"" &amp; TEXT(AB54,"#0.00%") &amp; " " &amp; "QA" &amp; "(Chetan, Sumitra)" &amp; " " &amp; IF(M54="","",TEXT(M54,"M/D-")) &amp; IF(N54="","",TEXT(N54,"M/D")) &amp; " "</f>
        <v xml:space="preserve">0.00% QA(Chetan, Sumitra) 11/22-11/22 </v>
      </c>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c r="ED54" s="4"/>
      <c r="EE54" s="4"/>
      <c r="EF54" s="4"/>
      <c r="EG54" s="4"/>
      <c r="EH54" s="4"/>
      <c r="EI54" s="4"/>
      <c r="EJ54" s="4"/>
      <c r="EK54" s="4"/>
      <c r="EL54" s="4"/>
      <c r="EM54" s="4"/>
      <c r="EN54" s="4"/>
      <c r="EO54" s="4"/>
      <c r="EP54" s="4"/>
      <c r="EQ54" s="4"/>
      <c r="ER54" s="4"/>
      <c r="ES54" s="4"/>
      <c r="ET54" s="4"/>
      <c r="EU54" s="4"/>
      <c r="EV54" s="4"/>
      <c r="EW54" s="4"/>
      <c r="EX54" s="4"/>
      <c r="EY54" s="4"/>
      <c r="EZ54" s="4"/>
      <c r="FA54" s="4"/>
      <c r="FB54" s="4"/>
      <c r="FC54" s="4"/>
      <c r="FD54" s="4"/>
      <c r="FE54" s="4"/>
      <c r="FF54" s="4"/>
      <c r="FG54" s="4"/>
      <c r="FH54" s="4"/>
      <c r="FI54" s="4"/>
      <c r="FJ54" s="4"/>
      <c r="FK54" s="4"/>
      <c r="FL54" s="4"/>
      <c r="FM54" s="4"/>
      <c r="FN54" s="4"/>
      <c r="FO54" s="4"/>
      <c r="FP54" s="4"/>
      <c r="FQ54" s="4"/>
      <c r="FR54" s="4"/>
      <c r="FS54" s="4"/>
      <c r="FT54" s="4"/>
      <c r="FU54" s="4"/>
      <c r="FV54" s="4"/>
      <c r="FW54" s="4"/>
      <c r="FX54" s="4"/>
      <c r="FY54" s="4"/>
      <c r="FZ54" s="4"/>
      <c r="GA54" s="4"/>
      <c r="GB54" s="4"/>
      <c r="GC54" s="4"/>
      <c r="GD54" s="4"/>
      <c r="GE54" s="4"/>
      <c r="GF54" s="4"/>
      <c r="GG54" s="4"/>
      <c r="GH54" s="4"/>
      <c r="GI54" s="4"/>
      <c r="GJ54" s="4"/>
      <c r="GK54" s="4"/>
      <c r="GL54" s="4"/>
      <c r="GM54" s="4"/>
      <c r="GN54" s="4"/>
      <c r="GO54" s="4"/>
      <c r="GP54" s="4"/>
      <c r="GQ54" s="4"/>
      <c r="GR54" s="4"/>
      <c r="GS54" s="4"/>
      <c r="GT54" s="4"/>
      <c r="GU54" s="4"/>
      <c r="GV54" s="4"/>
      <c r="GW54" s="4"/>
      <c r="GX54" s="4"/>
      <c r="GY54" s="4"/>
      <c r="GZ54" s="4"/>
      <c r="HA54" s="4"/>
      <c r="HB54" s="4"/>
      <c r="HC54" s="4"/>
      <c r="HD54" s="4"/>
      <c r="HE54" s="4"/>
      <c r="HF54" s="4"/>
      <c r="HG54" s="4"/>
      <c r="HH54" s="4"/>
      <c r="HI54" s="4"/>
      <c r="HJ54" s="4"/>
      <c r="HK54" s="4"/>
      <c r="HL54" s="4"/>
      <c r="HM54" s="4"/>
      <c r="HN54" s="4"/>
      <c r="HO54" s="4"/>
      <c r="HP54" s="4"/>
      <c r="HQ54" s="4"/>
      <c r="HR54" s="4"/>
      <c r="HS54" s="4"/>
      <c r="HT54" s="4"/>
      <c r="HU54" s="4"/>
      <c r="HV54" s="4"/>
      <c r="HW54" s="4"/>
      <c r="HX54" s="4"/>
      <c r="HY54" s="4"/>
      <c r="HZ54" s="4"/>
      <c r="IA54" s="4"/>
      <c r="IB54" s="4"/>
      <c r="IC54" s="4"/>
      <c r="ID54" s="4"/>
      <c r="IE54" s="4"/>
      <c r="IF54" s="4"/>
      <c r="IG54" s="4"/>
      <c r="IH54" s="4"/>
      <c r="II54" s="4"/>
      <c r="IJ54" s="4"/>
      <c r="IK54" s="4"/>
    </row>
    <row r="55" spans="1:245" outlineLevel="1">
      <c r="A55" s="116"/>
      <c r="B55" s="116"/>
      <c r="C55" s="116">
        <v>0</v>
      </c>
      <c r="D55" s="3"/>
      <c r="E55" s="183"/>
      <c r="F55" s="183"/>
      <c r="G55" s="183"/>
      <c r="H55" s="183"/>
      <c r="I55" s="183"/>
      <c r="J55" s="183"/>
      <c r="K55" s="183"/>
      <c r="L55" s="183"/>
      <c r="M55" s="184"/>
      <c r="N55" s="184"/>
      <c r="O55" s="185"/>
      <c r="P55" s="186"/>
      <c r="Q55" s="186"/>
      <c r="R55" s="187">
        <v>0</v>
      </c>
      <c r="S55" s="187">
        <v>0</v>
      </c>
      <c r="T55" s="184"/>
      <c r="U55" s="184"/>
      <c r="V55" s="188"/>
      <c r="W55" s="189">
        <v>0</v>
      </c>
      <c r="X55" s="190"/>
      <c r="Y55" s="185"/>
      <c r="Z55" s="191"/>
      <c r="AA55" s="97"/>
      <c r="AB55" s="192"/>
      <c r="AC55" s="123"/>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c r="ED55" s="4"/>
      <c r="EE55" s="4"/>
      <c r="EF55" s="4"/>
      <c r="EG55" s="4"/>
      <c r="EH55" s="4"/>
      <c r="EI55" s="4"/>
      <c r="EJ55" s="4"/>
      <c r="EK55" s="4"/>
      <c r="EL55" s="4"/>
      <c r="EM55" s="4"/>
      <c r="EN55" s="4"/>
      <c r="EO55" s="4"/>
      <c r="EP55" s="4"/>
      <c r="EQ55" s="4"/>
      <c r="ER55" s="4"/>
      <c r="ES55" s="4"/>
      <c r="ET55" s="4"/>
      <c r="EU55" s="4"/>
      <c r="EV55" s="4"/>
      <c r="EW55" s="4"/>
      <c r="EX55" s="4"/>
      <c r="EY55" s="4"/>
      <c r="EZ55" s="4"/>
      <c r="FA55" s="4"/>
      <c r="FB55" s="4"/>
      <c r="FC55" s="4"/>
      <c r="FD55" s="4"/>
      <c r="FE55" s="4"/>
      <c r="FF55" s="4"/>
      <c r="FG55" s="4"/>
      <c r="FH55" s="4"/>
      <c r="FI55" s="4"/>
      <c r="FJ55" s="4"/>
      <c r="FK55" s="4"/>
      <c r="FL55" s="4"/>
      <c r="FM55" s="4"/>
      <c r="FN55" s="4"/>
      <c r="FO55" s="4"/>
      <c r="FP55" s="4"/>
      <c r="FQ55" s="4"/>
      <c r="FR55" s="4"/>
      <c r="FS55" s="4"/>
      <c r="FT55" s="4"/>
      <c r="FU55" s="4"/>
      <c r="FV55" s="4"/>
      <c r="FW55" s="4"/>
      <c r="FX55" s="4"/>
      <c r="FY55" s="4"/>
      <c r="FZ55" s="4"/>
      <c r="GA55" s="4"/>
      <c r="GB55" s="4"/>
      <c r="GC55" s="4"/>
      <c r="GD55" s="4"/>
      <c r="GE55" s="4"/>
      <c r="GF55" s="4"/>
      <c r="GG55" s="4"/>
      <c r="GH55" s="4"/>
      <c r="GI55" s="4"/>
      <c r="GJ55" s="4"/>
      <c r="GK55" s="4"/>
      <c r="GL55" s="4"/>
      <c r="GM55" s="4"/>
      <c r="GN55" s="4"/>
      <c r="GO55" s="4"/>
      <c r="GP55" s="4"/>
      <c r="GQ55" s="4"/>
      <c r="GR55" s="4"/>
      <c r="GS55" s="4"/>
      <c r="GT55" s="4"/>
      <c r="GU55" s="4"/>
      <c r="GV55" s="4"/>
      <c r="GW55" s="4"/>
      <c r="GX55" s="4"/>
      <c r="GY55" s="4"/>
      <c r="GZ55" s="4"/>
      <c r="HA55" s="4"/>
      <c r="HB55" s="4"/>
      <c r="HC55" s="4"/>
      <c r="HD55" s="4"/>
      <c r="HE55" s="4"/>
      <c r="HF55" s="4"/>
      <c r="HG55" s="4"/>
      <c r="HH55" s="4"/>
      <c r="HI55" s="4"/>
      <c r="HJ55" s="4"/>
      <c r="HK55" s="4"/>
      <c r="HL55" s="4"/>
      <c r="HM55" s="4"/>
      <c r="HN55" s="4"/>
      <c r="HO55" s="4"/>
      <c r="HP55" s="4"/>
      <c r="HQ55" s="4"/>
      <c r="HR55" s="4"/>
      <c r="HS55" s="4"/>
      <c r="HT55" s="4"/>
      <c r="HU55" s="4"/>
      <c r="HV55" s="4"/>
      <c r="HW55" s="4"/>
      <c r="HX55" s="4"/>
      <c r="HY55" s="4"/>
      <c r="HZ55" s="4"/>
      <c r="IA55" s="4"/>
      <c r="IB55" s="4"/>
      <c r="IC55" s="4"/>
      <c r="ID55" s="4"/>
      <c r="IE55" s="4"/>
      <c r="IF55" s="4"/>
      <c r="IG55" s="4"/>
      <c r="IH55" s="4"/>
      <c r="II55" s="4"/>
      <c r="IJ55" s="4"/>
      <c r="IK55" s="4"/>
    </row>
    <row r="56" spans="1:245">
      <c r="A56" s="116"/>
      <c r="B56" s="116" t="s">
        <v>983</v>
      </c>
      <c r="C56" s="116">
        <v>1</v>
      </c>
      <c r="D56" s="3" t="s">
        <v>1105</v>
      </c>
      <c r="E56" s="183" t="s">
        <v>1144</v>
      </c>
      <c r="F56" s="183"/>
      <c r="G56" s="183"/>
      <c r="H56" s="183"/>
      <c r="I56" s="183"/>
      <c r="J56" s="183"/>
      <c r="K56" s="183"/>
      <c r="L56" s="183"/>
      <c r="M56" s="184">
        <v>44439</v>
      </c>
      <c r="N56" s="184">
        <v>44449</v>
      </c>
      <c r="O56" s="185"/>
      <c r="P56" s="186">
        <v>27</v>
      </c>
      <c r="Q56" s="186">
        <v>27</v>
      </c>
      <c r="R56" s="187">
        <v>9</v>
      </c>
      <c r="S56" s="187">
        <v>9</v>
      </c>
      <c r="T56" s="184"/>
      <c r="U56" s="184"/>
      <c r="V56" s="188">
        <v>0</v>
      </c>
      <c r="W56" s="189">
        <v>0</v>
      </c>
      <c r="X56" s="190"/>
      <c r="Y56" s="185"/>
      <c r="Z56" s="191"/>
      <c r="AA56" s="97">
        <v>1</v>
      </c>
      <c r="AB56" s="192">
        <v>0</v>
      </c>
      <c r="AC56" s="123"/>
      <c r="AD56" s="4"/>
      <c r="AE56" s="4"/>
      <c r="AF56" s="4"/>
      <c r="AG56" s="4"/>
      <c r="AH56" s="4"/>
      <c r="AI56" s="4"/>
      <c r="AJ56" s="4"/>
      <c r="AK56" s="4"/>
      <c r="AL56" s="4"/>
      <c r="AM56" s="4"/>
      <c r="AN56" s="4"/>
      <c r="AO56" s="4"/>
      <c r="AP56" s="4" t="str">
        <f>" " &amp; TEXT(AB56,"#0.00%") &amp; " " &amp; "[2108-16] Provide for Country default amount on the exchange rate page" &amp; " " &amp; IF(M56="","",TEXT(M56,"M/D-")) &amp; IF(N56="","",TEXT(N56,"M/D")) &amp; " "</f>
        <v xml:space="preserve"> 0.00% [2108-16] Provide for Country default amount on the exchange rate page 8/31-9/10 </v>
      </c>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c r="ED56" s="4"/>
      <c r="EE56" s="4"/>
      <c r="EF56" s="4"/>
      <c r="EG56" s="4"/>
      <c r="EH56" s="4"/>
      <c r="EI56" s="4"/>
      <c r="EJ56" s="4"/>
      <c r="EK56" s="4"/>
      <c r="EL56" s="4"/>
      <c r="EM56" s="4"/>
      <c r="EN56" s="4"/>
      <c r="EO56" s="4"/>
      <c r="EP56" s="4"/>
      <c r="EQ56" s="4"/>
      <c r="ER56" s="4"/>
      <c r="ES56" s="4"/>
      <c r="ET56" s="4"/>
      <c r="EU56" s="4"/>
      <c r="EV56" s="4"/>
      <c r="EW56" s="4"/>
      <c r="EX56" s="4"/>
      <c r="EY56" s="4"/>
      <c r="EZ56" s="4"/>
      <c r="FA56" s="4"/>
      <c r="FB56" s="4"/>
      <c r="FC56" s="4"/>
      <c r="FD56" s="4"/>
      <c r="FE56" s="4"/>
      <c r="FF56" s="4"/>
      <c r="FG56" s="4"/>
      <c r="FH56" s="4"/>
      <c r="FI56" s="4"/>
      <c r="FJ56" s="4"/>
      <c r="FK56" s="4"/>
      <c r="FL56" s="4"/>
      <c r="FM56" s="4"/>
      <c r="FN56" s="4"/>
      <c r="FO56" s="4"/>
      <c r="FP56" s="4"/>
      <c r="FQ56" s="4"/>
      <c r="FR56" s="4"/>
      <c r="FS56" s="4"/>
      <c r="FT56" s="4"/>
      <c r="FU56" s="4"/>
      <c r="FV56" s="4"/>
      <c r="FW56" s="4"/>
      <c r="FX56" s="4"/>
      <c r="FY56" s="4"/>
      <c r="FZ56" s="4"/>
      <c r="GA56" s="4"/>
      <c r="GB56" s="4"/>
      <c r="GC56" s="4"/>
      <c r="GD56" s="4"/>
      <c r="GE56" s="4"/>
      <c r="GF56" s="4"/>
      <c r="GG56" s="4"/>
      <c r="GH56" s="4"/>
      <c r="GI56" s="4"/>
      <c r="GJ56" s="4"/>
      <c r="GK56" s="4"/>
      <c r="GL56" s="4"/>
      <c r="GM56" s="4"/>
      <c r="GN56" s="4"/>
      <c r="GO56" s="4"/>
      <c r="GP56" s="4"/>
      <c r="GQ56" s="4"/>
      <c r="GR56" s="4"/>
      <c r="GS56" s="4"/>
      <c r="GT56" s="4"/>
      <c r="GU56" s="4"/>
      <c r="GV56" s="4"/>
      <c r="GW56" s="4"/>
      <c r="GX56" s="4"/>
      <c r="GY56" s="4"/>
      <c r="GZ56" s="4"/>
      <c r="HA56" s="4"/>
      <c r="HB56" s="4"/>
      <c r="HC56" s="4"/>
      <c r="HD56" s="4"/>
      <c r="HE56" s="4"/>
      <c r="HF56" s="4"/>
      <c r="HG56" s="4"/>
      <c r="HH56" s="4"/>
      <c r="HI56" s="4"/>
      <c r="HJ56" s="4"/>
      <c r="HK56" s="4"/>
      <c r="HL56" s="4"/>
      <c r="HM56" s="4"/>
      <c r="HN56" s="4"/>
      <c r="HO56" s="4"/>
      <c r="HP56" s="4"/>
      <c r="HQ56" s="4"/>
      <c r="HR56" s="4"/>
      <c r="HS56" s="4"/>
      <c r="HT56" s="4"/>
      <c r="HU56" s="4"/>
      <c r="HV56" s="4"/>
      <c r="HW56" s="4"/>
      <c r="HX56" s="4"/>
      <c r="HY56" s="4"/>
      <c r="HZ56" s="4"/>
      <c r="IA56" s="4"/>
      <c r="IB56" s="4"/>
      <c r="IC56" s="4"/>
      <c r="ID56" s="4"/>
      <c r="IE56" s="4"/>
      <c r="IF56" s="4"/>
      <c r="IG56" s="4"/>
      <c r="IH56" s="4"/>
      <c r="II56" s="4"/>
      <c r="IJ56" s="4"/>
      <c r="IK56" s="4"/>
    </row>
    <row r="57" spans="1:245" outlineLevel="1">
      <c r="A57" s="116"/>
      <c r="B57" s="116"/>
      <c r="C57" s="116">
        <v>2</v>
      </c>
      <c r="D57" s="3" t="s">
        <v>1106</v>
      </c>
      <c r="E57" s="183"/>
      <c r="F57" s="183" t="s">
        <v>1110</v>
      </c>
      <c r="G57" s="183"/>
      <c r="H57" s="183"/>
      <c r="I57" s="183"/>
      <c r="J57" s="183"/>
      <c r="K57" s="183"/>
      <c r="L57" s="183"/>
      <c r="M57" s="184">
        <v>44439</v>
      </c>
      <c r="N57" s="184">
        <v>44449</v>
      </c>
      <c r="O57" s="185"/>
      <c r="P57" s="186">
        <v>9</v>
      </c>
      <c r="Q57" s="186">
        <v>9</v>
      </c>
      <c r="R57" s="187">
        <v>9</v>
      </c>
      <c r="S57" s="187">
        <v>9</v>
      </c>
      <c r="T57" s="184"/>
      <c r="U57" s="184"/>
      <c r="V57" s="188"/>
      <c r="W57" s="189">
        <v>0</v>
      </c>
      <c r="X57" s="190">
        <v>1</v>
      </c>
      <c r="Y57" s="185" t="s">
        <v>1130</v>
      </c>
      <c r="Z57" s="191"/>
      <c r="AA57" s="97">
        <v>1</v>
      </c>
      <c r="AB57" s="192">
        <v>0</v>
      </c>
      <c r="AC57" s="123"/>
      <c r="AD57" s="4"/>
      <c r="AE57" s="4"/>
      <c r="AF57" s="4"/>
      <c r="AG57" s="4"/>
      <c r="AH57" s="4"/>
      <c r="AI57" s="4"/>
      <c r="AJ57" s="4"/>
      <c r="AK57" s="4"/>
      <c r="AL57" s="4"/>
      <c r="AM57" s="4"/>
      <c r="AN57" s="4"/>
      <c r="AO57" s="4"/>
      <c r="AP57" s="4" t="str">
        <f>" " &amp; TEXT(AB57,"#0.00%") &amp; " " &amp; "Server" &amp; "(Subash)" &amp; " " &amp; IF(M57="","",TEXT(M57,"M/D-")) &amp; IF(N57="","",TEXT(N57,"M/D")) &amp; " "</f>
        <v xml:space="preserve"> 0.00% Server(Subash) 8/31-9/10 </v>
      </c>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4"/>
      <c r="EG57" s="4"/>
      <c r="EH57" s="4"/>
      <c r="EI57" s="4"/>
      <c r="EJ57" s="4"/>
      <c r="EK57" s="4"/>
      <c r="EL57" s="4"/>
      <c r="EM57" s="4"/>
      <c r="EN57" s="4"/>
      <c r="EO57" s="4"/>
      <c r="EP57" s="4"/>
      <c r="EQ57" s="4"/>
      <c r="ER57" s="4"/>
      <c r="ES57" s="4"/>
      <c r="ET57" s="4"/>
      <c r="EU57" s="4"/>
      <c r="EV57" s="4"/>
      <c r="EW57" s="4"/>
      <c r="EX57" s="4"/>
      <c r="EY57" s="4"/>
      <c r="EZ57" s="4"/>
      <c r="FA57" s="4"/>
      <c r="FB57" s="4"/>
      <c r="FC57" s="4"/>
      <c r="FD57" s="4"/>
      <c r="FE57" s="4"/>
      <c r="FF57" s="4"/>
      <c r="FG57" s="4"/>
      <c r="FH57" s="4"/>
      <c r="FI57" s="4"/>
      <c r="FJ57" s="4"/>
      <c r="FK57" s="4"/>
      <c r="FL57" s="4"/>
      <c r="FM57" s="4"/>
      <c r="FN57" s="4"/>
      <c r="FO57" s="4"/>
      <c r="FP57" s="4"/>
      <c r="FQ57" s="4"/>
      <c r="FR57" s="4"/>
      <c r="FS57" s="4"/>
      <c r="FT57" s="4"/>
      <c r="FU57" s="4"/>
      <c r="FV57" s="4"/>
      <c r="FW57" s="4"/>
      <c r="FX57" s="4"/>
      <c r="FY57" s="4"/>
      <c r="FZ57" s="4"/>
      <c r="GA57" s="4"/>
      <c r="GB57" s="4"/>
      <c r="GC57" s="4"/>
      <c r="GD57" s="4"/>
      <c r="GE57" s="4"/>
      <c r="GF57" s="4"/>
      <c r="GG57" s="4"/>
      <c r="GH57" s="4"/>
      <c r="GI57" s="4"/>
      <c r="GJ57" s="4"/>
      <c r="GK57" s="4"/>
      <c r="GL57" s="4"/>
      <c r="GM57" s="4"/>
      <c r="GN57" s="4"/>
      <c r="GO57" s="4"/>
      <c r="GP57" s="4"/>
      <c r="GQ57" s="4"/>
      <c r="GR57" s="4"/>
      <c r="GS57" s="4"/>
      <c r="GT57" s="4"/>
      <c r="GU57" s="4"/>
      <c r="GV57" s="4"/>
      <c r="GW57" s="4"/>
      <c r="GX57" s="4"/>
      <c r="GY57" s="4"/>
      <c r="GZ57" s="4"/>
      <c r="HA57" s="4"/>
      <c r="HB57" s="4"/>
      <c r="HC57" s="4"/>
      <c r="HD57" s="4"/>
      <c r="HE57" s="4"/>
      <c r="HF57" s="4"/>
      <c r="HG57" s="4"/>
      <c r="HH57" s="4"/>
      <c r="HI57" s="4"/>
      <c r="HJ57" s="4"/>
      <c r="HK57" s="4"/>
      <c r="HL57" s="4"/>
      <c r="HM57" s="4"/>
      <c r="HN57" s="4"/>
      <c r="HO57" s="4"/>
      <c r="HP57" s="4"/>
      <c r="HQ57" s="4"/>
      <c r="HR57" s="4"/>
      <c r="HS57" s="4"/>
      <c r="HT57" s="4"/>
      <c r="HU57" s="4"/>
      <c r="HV57" s="4"/>
      <c r="HW57" s="4"/>
      <c r="HX57" s="4"/>
      <c r="HY57" s="4"/>
      <c r="HZ57" s="4"/>
      <c r="IA57" s="4"/>
      <c r="IB57" s="4"/>
      <c r="IC57" s="4"/>
      <c r="ID57" s="4"/>
      <c r="IE57" s="4"/>
      <c r="IF57" s="4"/>
      <c r="IG57" s="4"/>
      <c r="IH57" s="4"/>
      <c r="II57" s="4"/>
      <c r="IJ57" s="4"/>
      <c r="IK57" s="4"/>
    </row>
    <row r="58" spans="1:245" outlineLevel="1">
      <c r="A58" s="116"/>
      <c r="B58" s="116"/>
      <c r="C58" s="116">
        <v>2</v>
      </c>
      <c r="D58" s="3" t="s">
        <v>1107</v>
      </c>
      <c r="E58" s="183"/>
      <c r="F58" s="183" t="s">
        <v>1111</v>
      </c>
      <c r="G58" s="183"/>
      <c r="H58" s="183"/>
      <c r="I58" s="183"/>
      <c r="J58" s="183"/>
      <c r="K58" s="183"/>
      <c r="L58" s="183"/>
      <c r="M58" s="184">
        <v>44439</v>
      </c>
      <c r="N58" s="184">
        <v>44449</v>
      </c>
      <c r="O58" s="185"/>
      <c r="P58" s="186">
        <v>9</v>
      </c>
      <c r="Q58" s="186">
        <v>9</v>
      </c>
      <c r="R58" s="187">
        <v>9</v>
      </c>
      <c r="S58" s="187">
        <v>9</v>
      </c>
      <c r="T58" s="184"/>
      <c r="U58" s="184"/>
      <c r="V58" s="188"/>
      <c r="W58" s="189">
        <v>0</v>
      </c>
      <c r="X58" s="190">
        <v>1</v>
      </c>
      <c r="Y58" s="185" t="s">
        <v>1120</v>
      </c>
      <c r="Z58" s="191"/>
      <c r="AA58" s="97">
        <v>1</v>
      </c>
      <c r="AB58" s="192">
        <v>0</v>
      </c>
      <c r="AC58" s="123"/>
      <c r="AD58" s="4"/>
      <c r="AE58" s="4"/>
      <c r="AF58" s="4"/>
      <c r="AG58" s="4"/>
      <c r="AH58" s="4"/>
      <c r="AI58" s="4"/>
      <c r="AJ58" s="4"/>
      <c r="AK58" s="4"/>
      <c r="AL58" s="4"/>
      <c r="AM58" s="4"/>
      <c r="AN58" s="4"/>
      <c r="AO58" s="4"/>
      <c r="AP58" s="4" t="str">
        <f>" " &amp; TEXT(AB58,"#0.00%") &amp; " " &amp; "iOS" &amp; "(Dibya)" &amp; " " &amp; IF(M58="","",TEXT(M58,"M/D-")) &amp; IF(N58="","",TEXT(N58,"M/D")) &amp; " "</f>
        <v xml:space="preserve"> 0.00% iOS(Dibya) 8/31-9/10 </v>
      </c>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4"/>
      <c r="EG58" s="4"/>
      <c r="EH58" s="4"/>
      <c r="EI58" s="4"/>
      <c r="EJ58" s="4"/>
      <c r="EK58" s="4"/>
      <c r="EL58" s="4"/>
      <c r="EM58" s="4"/>
      <c r="EN58" s="4"/>
      <c r="EO58" s="4"/>
      <c r="EP58" s="4"/>
      <c r="EQ58" s="4"/>
      <c r="ER58" s="4"/>
      <c r="ES58" s="4"/>
      <c r="ET58" s="4"/>
      <c r="EU58" s="4"/>
      <c r="EV58" s="4"/>
      <c r="EW58" s="4"/>
      <c r="EX58" s="4"/>
      <c r="EY58" s="4"/>
      <c r="EZ58" s="4"/>
      <c r="FA58" s="4"/>
      <c r="FB58" s="4"/>
      <c r="FC58" s="4"/>
      <c r="FD58" s="4"/>
      <c r="FE58" s="4"/>
      <c r="FF58" s="4"/>
      <c r="FG58" s="4"/>
      <c r="FH58" s="4"/>
      <c r="FI58" s="4"/>
      <c r="FJ58" s="4"/>
      <c r="FK58" s="4"/>
      <c r="FL58" s="4"/>
      <c r="FM58" s="4"/>
      <c r="FN58" s="4"/>
      <c r="FO58" s="4"/>
      <c r="FP58" s="4"/>
      <c r="FQ58" s="4"/>
      <c r="FR58" s="4"/>
      <c r="FS58" s="4"/>
      <c r="FT58" s="4"/>
      <c r="FU58" s="4"/>
      <c r="FV58" s="4"/>
      <c r="FW58" s="4"/>
      <c r="FX58" s="4"/>
      <c r="FY58" s="4"/>
      <c r="FZ58" s="4"/>
      <c r="GA58" s="4"/>
      <c r="GB58" s="4"/>
      <c r="GC58" s="4"/>
      <c r="GD58" s="4"/>
      <c r="GE58" s="4"/>
      <c r="GF58" s="4"/>
      <c r="GG58" s="4"/>
      <c r="GH58" s="4"/>
      <c r="GI58" s="4"/>
      <c r="GJ58" s="4"/>
      <c r="GK58" s="4"/>
      <c r="GL58" s="4"/>
      <c r="GM58" s="4"/>
      <c r="GN58" s="4"/>
      <c r="GO58" s="4"/>
      <c r="GP58" s="4"/>
      <c r="GQ58" s="4"/>
      <c r="GR58" s="4"/>
      <c r="GS58" s="4"/>
      <c r="GT58" s="4"/>
      <c r="GU58" s="4"/>
      <c r="GV58" s="4"/>
      <c r="GW58" s="4"/>
      <c r="GX58" s="4"/>
      <c r="GY58" s="4"/>
      <c r="GZ58" s="4"/>
      <c r="HA58" s="4"/>
      <c r="HB58" s="4"/>
      <c r="HC58" s="4"/>
      <c r="HD58" s="4"/>
      <c r="HE58" s="4"/>
      <c r="HF58" s="4"/>
      <c r="HG58" s="4"/>
      <c r="HH58" s="4"/>
      <c r="HI58" s="4"/>
      <c r="HJ58" s="4"/>
      <c r="HK58" s="4"/>
      <c r="HL58" s="4"/>
      <c r="HM58" s="4"/>
      <c r="HN58" s="4"/>
      <c r="HO58" s="4"/>
      <c r="HP58" s="4"/>
      <c r="HQ58" s="4"/>
      <c r="HR58" s="4"/>
      <c r="HS58" s="4"/>
      <c r="HT58" s="4"/>
      <c r="HU58" s="4"/>
      <c r="HV58" s="4"/>
      <c r="HW58" s="4"/>
      <c r="HX58" s="4"/>
      <c r="HY58" s="4"/>
      <c r="HZ58" s="4"/>
      <c r="IA58" s="4"/>
      <c r="IB58" s="4"/>
      <c r="IC58" s="4"/>
      <c r="ID58" s="4"/>
      <c r="IE58" s="4"/>
      <c r="IF58" s="4"/>
      <c r="IG58" s="4"/>
      <c r="IH58" s="4"/>
      <c r="II58" s="4"/>
      <c r="IJ58" s="4"/>
      <c r="IK58" s="4"/>
    </row>
    <row r="59" spans="1:245" outlineLevel="1">
      <c r="A59" s="116"/>
      <c r="B59" s="116"/>
      <c r="C59" s="116">
        <v>2</v>
      </c>
      <c r="D59" s="3" t="s">
        <v>1108</v>
      </c>
      <c r="E59" s="183"/>
      <c r="F59" s="183" t="s">
        <v>1112</v>
      </c>
      <c r="G59" s="183"/>
      <c r="H59" s="183"/>
      <c r="I59" s="183"/>
      <c r="J59" s="183"/>
      <c r="K59" s="183"/>
      <c r="L59" s="183"/>
      <c r="M59" s="184">
        <v>44439</v>
      </c>
      <c r="N59" s="184">
        <v>44449</v>
      </c>
      <c r="O59" s="185"/>
      <c r="P59" s="186">
        <v>9</v>
      </c>
      <c r="Q59" s="186">
        <v>9</v>
      </c>
      <c r="R59" s="187">
        <v>9</v>
      </c>
      <c r="S59" s="187">
        <v>9</v>
      </c>
      <c r="T59" s="184"/>
      <c r="U59" s="184"/>
      <c r="V59" s="188"/>
      <c r="W59" s="189">
        <v>0</v>
      </c>
      <c r="X59" s="190">
        <v>1</v>
      </c>
      <c r="Y59" s="185" t="s">
        <v>1121</v>
      </c>
      <c r="Z59" s="191"/>
      <c r="AA59" s="97">
        <v>1</v>
      </c>
      <c r="AB59" s="192">
        <v>0</v>
      </c>
      <c r="AC59" s="123"/>
      <c r="AD59" s="4"/>
      <c r="AE59" s="4"/>
      <c r="AF59" s="4"/>
      <c r="AG59" s="4"/>
      <c r="AH59" s="4"/>
      <c r="AI59" s="4"/>
      <c r="AJ59" s="4"/>
      <c r="AK59" s="4"/>
      <c r="AL59" s="4"/>
      <c r="AM59" s="4"/>
      <c r="AN59" s="4"/>
      <c r="AO59" s="4"/>
      <c r="AP59" s="4" t="str">
        <f>" " &amp; TEXT(AB59,"#0.00%") &amp; " " &amp; "Android" &amp; "(Andrew)" &amp; " " &amp; IF(M59="","",TEXT(M59,"M/D-")) &amp; IF(N59="","",TEXT(N59,"M/D")) &amp; " "</f>
        <v xml:space="preserve"> 0.00% Android(Andrew) 8/31-9/10 </v>
      </c>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4"/>
      <c r="EG59" s="4"/>
      <c r="EH59" s="4"/>
      <c r="EI59" s="4"/>
      <c r="EJ59" s="4"/>
      <c r="EK59" s="4"/>
      <c r="EL59" s="4"/>
      <c r="EM59" s="4"/>
      <c r="EN59" s="4"/>
      <c r="EO59" s="4"/>
      <c r="EP59" s="4"/>
      <c r="EQ59" s="4"/>
      <c r="ER59" s="4"/>
      <c r="ES59" s="4"/>
      <c r="ET59" s="4"/>
      <c r="EU59" s="4"/>
      <c r="EV59" s="4"/>
      <c r="EW59" s="4"/>
      <c r="EX59" s="4"/>
      <c r="EY59" s="4"/>
      <c r="EZ59" s="4"/>
      <c r="FA59" s="4"/>
      <c r="FB59" s="4"/>
      <c r="FC59" s="4"/>
      <c r="FD59" s="4"/>
      <c r="FE59" s="4"/>
      <c r="FF59" s="4"/>
      <c r="FG59" s="4"/>
      <c r="FH59" s="4"/>
      <c r="FI59" s="4"/>
      <c r="FJ59" s="4"/>
      <c r="FK59" s="4"/>
      <c r="FL59" s="4"/>
      <c r="FM59" s="4"/>
      <c r="FN59" s="4"/>
      <c r="FO59" s="4"/>
      <c r="FP59" s="4"/>
      <c r="FQ59" s="4"/>
      <c r="FR59" s="4"/>
      <c r="FS59" s="4"/>
      <c r="FT59" s="4"/>
      <c r="FU59" s="4"/>
      <c r="FV59" s="4"/>
      <c r="FW59" s="4"/>
      <c r="FX59" s="4"/>
      <c r="FY59" s="4"/>
      <c r="FZ59" s="4"/>
      <c r="GA59" s="4"/>
      <c r="GB59" s="4"/>
      <c r="GC59" s="4"/>
      <c r="GD59" s="4"/>
      <c r="GE59" s="4"/>
      <c r="GF59" s="4"/>
      <c r="GG59" s="4"/>
      <c r="GH59" s="4"/>
      <c r="GI59" s="4"/>
      <c r="GJ59" s="4"/>
      <c r="GK59" s="4"/>
      <c r="GL59" s="4"/>
      <c r="GM59" s="4"/>
      <c r="GN59" s="4"/>
      <c r="GO59" s="4"/>
      <c r="GP59" s="4"/>
      <c r="GQ59" s="4"/>
      <c r="GR59" s="4"/>
      <c r="GS59" s="4"/>
      <c r="GT59" s="4"/>
      <c r="GU59" s="4"/>
      <c r="GV59" s="4"/>
      <c r="GW59" s="4"/>
      <c r="GX59" s="4"/>
      <c r="GY59" s="4"/>
      <c r="GZ59" s="4"/>
      <c r="HA59" s="4"/>
      <c r="HB59" s="4"/>
      <c r="HC59" s="4"/>
      <c r="HD59" s="4"/>
      <c r="HE59" s="4"/>
      <c r="HF59" s="4"/>
      <c r="HG59" s="4"/>
      <c r="HH59" s="4"/>
      <c r="HI59" s="4"/>
      <c r="HJ59" s="4"/>
      <c r="HK59" s="4"/>
      <c r="HL59" s="4"/>
      <c r="HM59" s="4"/>
      <c r="HN59" s="4"/>
      <c r="HO59" s="4"/>
      <c r="HP59" s="4"/>
      <c r="HQ59" s="4"/>
      <c r="HR59" s="4"/>
      <c r="HS59" s="4"/>
      <c r="HT59" s="4"/>
      <c r="HU59" s="4"/>
      <c r="HV59" s="4"/>
      <c r="HW59" s="4"/>
      <c r="HX59" s="4"/>
      <c r="HY59" s="4"/>
      <c r="HZ59" s="4"/>
      <c r="IA59" s="4"/>
      <c r="IB59" s="4"/>
      <c r="IC59" s="4"/>
      <c r="ID59" s="4"/>
      <c r="IE59" s="4"/>
      <c r="IF59" s="4"/>
      <c r="IG59" s="4"/>
      <c r="IH59" s="4"/>
      <c r="II59" s="4"/>
      <c r="IJ59" s="4"/>
      <c r="IK59" s="4"/>
    </row>
    <row r="60" spans="1:245" outlineLevel="1">
      <c r="A60" s="116"/>
      <c r="B60" s="116"/>
      <c r="C60" s="116">
        <v>2</v>
      </c>
      <c r="D60" s="3" t="s">
        <v>1109</v>
      </c>
      <c r="E60" s="183"/>
      <c r="F60" s="183" t="s">
        <v>1113</v>
      </c>
      <c r="G60" s="183"/>
      <c r="H60" s="183"/>
      <c r="I60" s="183"/>
      <c r="J60" s="183"/>
      <c r="K60" s="183"/>
      <c r="L60" s="183"/>
      <c r="M60" s="184"/>
      <c r="N60" s="184"/>
      <c r="O60" s="185"/>
      <c r="P60" s="186">
        <v>0</v>
      </c>
      <c r="Q60" s="186">
        <v>0</v>
      </c>
      <c r="R60" s="187">
        <v>0</v>
      </c>
      <c r="S60" s="187">
        <v>0</v>
      </c>
      <c r="T60" s="184"/>
      <c r="U60" s="184"/>
      <c r="V60" s="188">
        <v>0</v>
      </c>
      <c r="W60" s="189">
        <v>0</v>
      </c>
      <c r="X60" s="190"/>
      <c r="Y60" s="185" t="s">
        <v>1122</v>
      </c>
      <c r="Z60" s="191"/>
      <c r="AA60" s="97">
        <v>0</v>
      </c>
      <c r="AB60" s="192">
        <v>0</v>
      </c>
      <c r="AC60" s="123"/>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4"/>
      <c r="EG60" s="4"/>
      <c r="EH60" s="4"/>
      <c r="EI60" s="4"/>
      <c r="EJ60" s="4"/>
      <c r="EK60" s="4"/>
      <c r="EL60" s="4"/>
      <c r="EM60" s="4"/>
      <c r="EN60" s="4"/>
      <c r="EO60" s="4"/>
      <c r="EP60" s="4"/>
      <c r="EQ60" s="4"/>
      <c r="ER60" s="4"/>
      <c r="ES60" s="4"/>
      <c r="ET60" s="4"/>
      <c r="EU60" s="4"/>
      <c r="EV60" s="4"/>
      <c r="EW60" s="4"/>
      <c r="EX60" s="4"/>
      <c r="EY60" s="4"/>
      <c r="EZ60" s="4"/>
      <c r="FA60" s="4"/>
      <c r="FB60" s="4"/>
      <c r="FC60" s="4"/>
      <c r="FD60" s="4"/>
      <c r="FE60" s="4"/>
      <c r="FF60" s="4"/>
      <c r="FG60" s="4"/>
      <c r="FH60" s="4"/>
      <c r="FI60" s="4"/>
      <c r="FJ60" s="4"/>
      <c r="FK60" s="4"/>
      <c r="FL60" s="4"/>
      <c r="FM60" s="4"/>
      <c r="FN60" s="4"/>
      <c r="FO60" s="4"/>
      <c r="FP60" s="4"/>
      <c r="FQ60" s="4"/>
      <c r="FR60" s="4"/>
      <c r="FS60" s="4"/>
      <c r="FT60" s="4"/>
      <c r="FU60" s="4"/>
      <c r="FV60" s="4"/>
      <c r="FW60" s="4"/>
      <c r="FX60" s="4"/>
      <c r="FY60" s="4"/>
      <c r="FZ60" s="4"/>
      <c r="GA60" s="4"/>
      <c r="GB60" s="4"/>
      <c r="GC60" s="4"/>
      <c r="GD60" s="4"/>
      <c r="GE60" s="4"/>
      <c r="GF60" s="4"/>
      <c r="GG60" s="4"/>
      <c r="GH60" s="4"/>
      <c r="GI60" s="4"/>
      <c r="GJ60" s="4"/>
      <c r="GK60" s="4"/>
      <c r="GL60" s="4"/>
      <c r="GM60" s="4"/>
      <c r="GN60" s="4"/>
      <c r="GO60" s="4"/>
      <c r="GP60" s="4"/>
      <c r="GQ60" s="4"/>
      <c r="GR60" s="4"/>
      <c r="GS60" s="4"/>
      <c r="GT60" s="4"/>
      <c r="GU60" s="4"/>
      <c r="GV60" s="4"/>
      <c r="GW60" s="4"/>
      <c r="GX60" s="4"/>
      <c r="GY60" s="4"/>
      <c r="GZ60" s="4"/>
      <c r="HA60" s="4"/>
      <c r="HB60" s="4"/>
      <c r="HC60" s="4"/>
      <c r="HD60" s="4"/>
      <c r="HE60" s="4"/>
      <c r="HF60" s="4"/>
      <c r="HG60" s="4"/>
      <c r="HH60" s="4"/>
      <c r="HI60" s="4"/>
      <c r="HJ60" s="4"/>
      <c r="HK60" s="4"/>
      <c r="HL60" s="4"/>
      <c r="HM60" s="4"/>
      <c r="HN60" s="4"/>
      <c r="HO60" s="4"/>
      <c r="HP60" s="4"/>
      <c r="HQ60" s="4"/>
      <c r="HR60" s="4"/>
      <c r="HS60" s="4"/>
      <c r="HT60" s="4"/>
      <c r="HU60" s="4"/>
      <c r="HV60" s="4"/>
      <c r="HW60" s="4"/>
      <c r="HX60" s="4"/>
      <c r="HY60" s="4"/>
      <c r="HZ60" s="4"/>
      <c r="IA60" s="4"/>
      <c r="IB60" s="4"/>
      <c r="IC60" s="4"/>
      <c r="ID60" s="4"/>
      <c r="IE60" s="4"/>
      <c r="IF60" s="4"/>
      <c r="IG60" s="4"/>
      <c r="IH60" s="4"/>
      <c r="II60" s="4"/>
      <c r="IJ60" s="4"/>
      <c r="IK60" s="4"/>
    </row>
    <row r="61" spans="1:245" outlineLevel="1">
      <c r="A61" s="116"/>
      <c r="B61" s="116"/>
      <c r="C61" s="116">
        <v>0</v>
      </c>
      <c r="D61" s="3"/>
      <c r="E61" s="183"/>
      <c r="F61" s="183"/>
      <c r="G61" s="183"/>
      <c r="H61" s="183"/>
      <c r="I61" s="183"/>
      <c r="J61" s="183"/>
      <c r="K61" s="183"/>
      <c r="L61" s="183"/>
      <c r="M61" s="184"/>
      <c r="N61" s="184"/>
      <c r="O61" s="185"/>
      <c r="P61" s="186"/>
      <c r="Q61" s="186"/>
      <c r="R61" s="187">
        <v>0</v>
      </c>
      <c r="S61" s="187">
        <v>0</v>
      </c>
      <c r="T61" s="184"/>
      <c r="U61" s="184"/>
      <c r="V61" s="188"/>
      <c r="W61" s="189">
        <v>0</v>
      </c>
      <c r="X61" s="190"/>
      <c r="Y61" s="185"/>
      <c r="Z61" s="191"/>
      <c r="AA61" s="97"/>
      <c r="AB61" s="192"/>
      <c r="AC61" s="211"/>
      <c r="AD61" s="211"/>
      <c r="AE61" s="211"/>
      <c r="AF61" s="211"/>
      <c r="AG61" s="211"/>
      <c r="AH61" s="211"/>
      <c r="AI61" s="211"/>
      <c r="AJ61" s="211"/>
      <c r="AK61" s="211"/>
      <c r="AL61" s="211"/>
      <c r="AM61" s="211"/>
      <c r="AN61" s="211"/>
      <c r="AO61" s="211"/>
      <c r="AP61" s="211"/>
      <c r="AQ61" s="211"/>
      <c r="AR61" s="211"/>
      <c r="AS61" s="211"/>
      <c r="AT61" s="211"/>
      <c r="AU61" s="211"/>
      <c r="AV61" s="211"/>
      <c r="AW61" s="211"/>
      <c r="AX61" s="211"/>
      <c r="AY61" s="211"/>
      <c r="AZ61" s="211"/>
      <c r="BA61" s="211"/>
      <c r="BB61" s="211"/>
      <c r="BC61" s="211"/>
      <c r="BD61" s="211"/>
      <c r="BE61" s="211"/>
      <c r="BF61" s="211"/>
      <c r="BG61" s="211"/>
      <c r="BH61" s="211"/>
      <c r="BI61" s="211"/>
      <c r="BJ61" s="211"/>
      <c r="BK61" s="211"/>
      <c r="BL61" s="211"/>
      <c r="BM61" s="211"/>
      <c r="BN61" s="211"/>
      <c r="BO61" s="211"/>
      <c r="BP61" s="211"/>
      <c r="BQ61" s="211"/>
      <c r="BR61" s="211"/>
      <c r="BS61" s="211"/>
      <c r="BT61" s="211"/>
      <c r="BU61" s="211"/>
      <c r="BV61" s="211"/>
      <c r="BW61" s="211"/>
      <c r="BX61" s="211"/>
      <c r="BY61" s="211"/>
      <c r="BZ61" s="211"/>
      <c r="CA61" s="211"/>
      <c r="CB61" s="211"/>
      <c r="CC61" s="211"/>
      <c r="CD61" s="211"/>
      <c r="CE61" s="211"/>
      <c r="CF61" s="211"/>
      <c r="CG61" s="211"/>
      <c r="CH61" s="211"/>
      <c r="CI61" s="211"/>
      <c r="CJ61" s="211"/>
      <c r="CK61" s="211"/>
      <c r="CL61" s="211"/>
      <c r="CM61" s="211"/>
      <c r="CN61" s="211"/>
      <c r="CO61" s="211"/>
      <c r="CP61" s="211"/>
      <c r="CQ61" s="211"/>
      <c r="CR61" s="211"/>
      <c r="CS61" s="211"/>
      <c r="CT61" s="211"/>
      <c r="CU61" s="211"/>
      <c r="CV61" s="211"/>
      <c r="CW61" s="211"/>
      <c r="CX61" s="211"/>
      <c r="CY61" s="211"/>
      <c r="CZ61" s="211"/>
      <c r="DA61" s="211"/>
      <c r="DB61" s="211"/>
      <c r="DC61" s="211"/>
      <c r="DD61" s="211"/>
      <c r="DE61" s="211"/>
      <c r="DF61" s="211"/>
      <c r="DG61" s="211"/>
      <c r="DH61" s="211"/>
      <c r="DI61" s="211"/>
      <c r="DJ61" s="211"/>
      <c r="DK61" s="211"/>
      <c r="DL61" s="211"/>
      <c r="DM61" s="211"/>
      <c r="DN61" s="211"/>
      <c r="DO61" s="211"/>
      <c r="DP61" s="211"/>
      <c r="DQ61" s="211"/>
      <c r="DR61" s="211"/>
      <c r="DS61" s="211"/>
      <c r="DT61" s="211"/>
      <c r="DU61" s="211"/>
      <c r="DV61" s="211"/>
      <c r="DW61" s="211"/>
      <c r="DX61" s="211"/>
      <c r="DY61" s="211"/>
      <c r="DZ61" s="211"/>
      <c r="EA61" s="211"/>
      <c r="EB61" s="211"/>
      <c r="EC61" s="211"/>
      <c r="ED61" s="211"/>
      <c r="EE61" s="211"/>
      <c r="EF61" s="211"/>
      <c r="EG61" s="211"/>
      <c r="EH61" s="211"/>
      <c r="EI61" s="211"/>
      <c r="EJ61" s="211"/>
      <c r="EK61" s="211"/>
      <c r="EL61" s="211"/>
      <c r="EM61" s="211"/>
      <c r="EN61" s="211"/>
      <c r="EO61" s="211"/>
      <c r="EP61" s="211"/>
      <c r="EQ61" s="211"/>
      <c r="ER61" s="211"/>
      <c r="ES61" s="211"/>
      <c r="ET61" s="211"/>
      <c r="EU61" s="211"/>
      <c r="EV61" s="211"/>
      <c r="EW61" s="211"/>
      <c r="EX61" s="211"/>
      <c r="EY61" s="211"/>
      <c r="EZ61" s="211"/>
      <c r="FA61" s="211"/>
      <c r="FB61" s="211"/>
      <c r="FC61" s="211"/>
      <c r="FD61" s="211"/>
      <c r="FE61" s="211"/>
      <c r="FF61" s="211"/>
      <c r="FG61" s="211"/>
      <c r="FH61" s="211"/>
      <c r="FI61" s="211"/>
      <c r="FJ61" s="211"/>
      <c r="FK61" s="211"/>
      <c r="FL61" s="211"/>
      <c r="FM61" s="211"/>
      <c r="FN61" s="211"/>
      <c r="FO61" s="211"/>
      <c r="FP61" s="211"/>
      <c r="FQ61" s="211"/>
      <c r="FR61" s="211"/>
      <c r="FS61" s="211"/>
      <c r="FT61" s="211"/>
      <c r="FU61" s="211"/>
      <c r="FV61" s="211"/>
      <c r="FW61" s="211"/>
      <c r="FX61" s="211"/>
      <c r="FY61" s="211"/>
      <c r="FZ61" s="211"/>
      <c r="GA61" s="211"/>
      <c r="GB61" s="211"/>
      <c r="GC61" s="211"/>
      <c r="GD61" s="211"/>
      <c r="GE61" s="211"/>
      <c r="GF61" s="211"/>
      <c r="GG61" s="211"/>
      <c r="GH61" s="211"/>
      <c r="GI61" s="211"/>
      <c r="GJ61" s="211"/>
      <c r="GK61" s="211"/>
      <c r="GL61" s="211"/>
      <c r="GM61" s="211"/>
      <c r="GN61" s="211"/>
      <c r="GO61" s="211"/>
      <c r="GP61" s="211"/>
      <c r="GQ61" s="211"/>
      <c r="GR61" s="211"/>
      <c r="GS61" s="211"/>
      <c r="GT61" s="211"/>
      <c r="GU61" s="211"/>
      <c r="GV61" s="211"/>
      <c r="GW61" s="211"/>
      <c r="GX61" s="211"/>
      <c r="GY61" s="211"/>
      <c r="GZ61" s="211"/>
      <c r="HA61" s="211"/>
      <c r="HB61" s="211"/>
      <c r="HC61" s="211"/>
      <c r="HD61" s="211"/>
      <c r="HE61" s="211"/>
      <c r="HF61" s="211"/>
      <c r="HG61" s="211"/>
      <c r="HH61" s="211"/>
      <c r="HI61" s="211"/>
      <c r="HJ61" s="211"/>
      <c r="HK61" s="211"/>
      <c r="HL61" s="211"/>
      <c r="HM61" s="211"/>
      <c r="HN61" s="211"/>
      <c r="HO61" s="211"/>
      <c r="HP61" s="211"/>
      <c r="HQ61" s="211"/>
      <c r="HR61" s="211"/>
      <c r="HS61" s="211"/>
      <c r="HT61" s="211"/>
      <c r="HU61" s="211"/>
      <c r="HV61" s="211"/>
      <c r="HW61" s="211"/>
      <c r="HX61" s="211"/>
      <c r="HY61" s="211"/>
      <c r="HZ61" s="211"/>
      <c r="IA61" s="211"/>
      <c r="IB61" s="211"/>
      <c r="IC61" s="211"/>
      <c r="ID61" s="211"/>
      <c r="IE61" s="211"/>
      <c r="IF61" s="211"/>
      <c r="IG61" s="211"/>
      <c r="IH61" s="211"/>
      <c r="II61" s="211"/>
      <c r="IJ61" s="211"/>
      <c r="IK61" s="211"/>
    </row>
    <row r="62" spans="1:245">
      <c r="A62" s="116"/>
      <c r="B62" s="116" t="s">
        <v>983</v>
      </c>
      <c r="C62" s="116">
        <v>1</v>
      </c>
      <c r="D62" s="3" t="s">
        <v>1145</v>
      </c>
      <c r="E62" s="183" t="s">
        <v>1136</v>
      </c>
      <c r="F62" s="183"/>
      <c r="G62" s="183"/>
      <c r="H62" s="183"/>
      <c r="I62" s="183"/>
      <c r="J62" s="183"/>
      <c r="K62" s="183"/>
      <c r="L62" s="183"/>
      <c r="M62" s="184">
        <v>44522</v>
      </c>
      <c r="N62" s="184">
        <v>44522</v>
      </c>
      <c r="O62" s="185"/>
      <c r="P62" s="186">
        <v>1</v>
      </c>
      <c r="Q62" s="186">
        <v>1</v>
      </c>
      <c r="R62" s="187">
        <v>1</v>
      </c>
      <c r="S62" s="187">
        <v>1</v>
      </c>
      <c r="T62" s="184"/>
      <c r="U62" s="184"/>
      <c r="V62" s="188">
        <v>0</v>
      </c>
      <c r="W62" s="189">
        <v>0</v>
      </c>
      <c r="X62" s="190"/>
      <c r="Y62" s="185"/>
      <c r="Z62" s="191"/>
      <c r="AA62" s="97">
        <v>1</v>
      </c>
      <c r="AB62" s="192">
        <v>1</v>
      </c>
      <c r="BB62" s="114" t="str">
        <f>" " &amp; TEXT(AB62,"#0.00%") &amp; " " &amp; "[2111-06] Bulk Email Service" &amp; " " &amp; IF(M62="","",TEXT(M62,"M/D-")) &amp; IF(N62="","",TEXT(N62,"M/D")) &amp; " "</f>
        <v xml:space="preserve"> 100.00% [2111-06] Bulk Email Service 11/22-11/22 </v>
      </c>
    </row>
    <row r="63" spans="1:245" outlineLevel="1">
      <c r="A63" s="116"/>
      <c r="B63" s="116"/>
      <c r="C63" s="116">
        <v>2</v>
      </c>
      <c r="D63" s="3" t="s">
        <v>1146</v>
      </c>
      <c r="E63" s="183"/>
      <c r="F63" s="183" t="s">
        <v>1110</v>
      </c>
      <c r="G63" s="183"/>
      <c r="H63" s="183"/>
      <c r="I63" s="183"/>
      <c r="J63" s="183"/>
      <c r="K63" s="183"/>
      <c r="L63" s="183"/>
      <c r="M63" s="184">
        <v>44522</v>
      </c>
      <c r="N63" s="184">
        <v>44522</v>
      </c>
      <c r="O63" s="185"/>
      <c r="P63" s="186">
        <v>1</v>
      </c>
      <c r="Q63" s="186">
        <v>1</v>
      </c>
      <c r="R63" s="187">
        <v>1</v>
      </c>
      <c r="S63" s="187">
        <v>1</v>
      </c>
      <c r="T63" s="184"/>
      <c r="U63" s="184"/>
      <c r="V63" s="188"/>
      <c r="W63" s="189">
        <v>0</v>
      </c>
      <c r="X63" s="190">
        <v>1</v>
      </c>
      <c r="Y63" s="185" t="s">
        <v>1137</v>
      </c>
      <c r="Z63" s="191"/>
      <c r="AA63" s="97">
        <v>1</v>
      </c>
      <c r="AB63" s="192">
        <v>1</v>
      </c>
      <c r="BB63" s="114" t="str">
        <f>" " &amp; TEXT(AB63,"#0.00%") &amp; " " &amp; "Server" &amp; "(Saroj, Manoj)" &amp; " " &amp; IF(M63="","",TEXT(M63,"M/D-")) &amp; IF(N63="","",TEXT(N63,"M/D")) &amp; " "</f>
        <v xml:space="preserve"> 100.00% Server(Saroj, Manoj) 11/22-11/22 </v>
      </c>
    </row>
    <row r="64" spans="1:245" outlineLevel="1">
      <c r="A64" s="116"/>
      <c r="B64" s="116"/>
      <c r="C64" s="116">
        <v>0</v>
      </c>
      <c r="D64" s="3"/>
      <c r="E64" s="183"/>
      <c r="F64" s="183"/>
      <c r="G64" s="183"/>
      <c r="H64" s="183"/>
      <c r="I64" s="183"/>
      <c r="J64" s="183"/>
      <c r="K64" s="183"/>
      <c r="L64" s="183"/>
      <c r="M64" s="184"/>
      <c r="N64" s="184"/>
      <c r="O64" s="185"/>
      <c r="P64" s="186"/>
      <c r="Q64" s="186"/>
      <c r="R64" s="187">
        <v>0</v>
      </c>
      <c r="S64" s="187">
        <v>0</v>
      </c>
      <c r="T64" s="184"/>
      <c r="U64" s="184"/>
      <c r="V64" s="188"/>
      <c r="W64" s="189">
        <v>0</v>
      </c>
      <c r="X64" s="190"/>
      <c r="Y64" s="185"/>
      <c r="Z64" s="191"/>
      <c r="AA64" s="97"/>
      <c r="AB64" s="192"/>
    </row>
    <row r="65" spans="1:54">
      <c r="A65" s="116"/>
      <c r="B65" s="116" t="s">
        <v>983</v>
      </c>
      <c r="C65" s="116">
        <v>1</v>
      </c>
      <c r="D65" s="3" t="s">
        <v>1149</v>
      </c>
      <c r="E65" s="183" t="s">
        <v>1147</v>
      </c>
      <c r="F65" s="183"/>
      <c r="G65" s="183"/>
      <c r="H65" s="183"/>
      <c r="I65" s="183"/>
      <c r="J65" s="183"/>
      <c r="K65" s="183"/>
      <c r="L65" s="183"/>
      <c r="M65" s="184">
        <v>44522</v>
      </c>
      <c r="N65" s="184">
        <v>44524</v>
      </c>
      <c r="O65" s="185"/>
      <c r="P65" s="186">
        <v>3</v>
      </c>
      <c r="Q65" s="186">
        <v>2</v>
      </c>
      <c r="R65" s="187">
        <v>3</v>
      </c>
      <c r="S65" s="187">
        <v>2</v>
      </c>
      <c r="T65" s="184"/>
      <c r="U65" s="184"/>
      <c r="V65" s="188">
        <v>0</v>
      </c>
      <c r="W65" s="189">
        <v>0</v>
      </c>
      <c r="X65" s="190"/>
      <c r="Y65" s="185"/>
      <c r="Z65" s="191"/>
      <c r="AA65" s="97">
        <v>0.66666666666666663</v>
      </c>
      <c r="AB65" s="192">
        <v>0.9</v>
      </c>
      <c r="BB65" s="114" t="str">
        <f>"   " &amp; TEXT(AB65,"#0.00%") &amp; " " &amp; "[2111-07] Alipay Reprocess" &amp; " " &amp; IF(M65="","",TEXT(M65,"M/D-")) &amp; IF(N65="","",TEXT(N65,"M/D")) &amp; " "</f>
        <v xml:space="preserve">   90.00% [2111-07] Alipay Reprocess 11/22-11/24 </v>
      </c>
    </row>
    <row r="66" spans="1:54" outlineLevel="1">
      <c r="A66" s="116"/>
      <c r="B66" s="116"/>
      <c r="C66" s="116">
        <v>2</v>
      </c>
      <c r="D66" s="3" t="s">
        <v>1150</v>
      </c>
      <c r="E66" s="183"/>
      <c r="F66" s="183" t="s">
        <v>1110</v>
      </c>
      <c r="G66" s="183"/>
      <c r="H66" s="183"/>
      <c r="I66" s="183"/>
      <c r="J66" s="183"/>
      <c r="K66" s="183"/>
      <c r="L66" s="183"/>
      <c r="M66" s="184">
        <v>44522</v>
      </c>
      <c r="N66" s="184">
        <v>44524</v>
      </c>
      <c r="O66" s="185"/>
      <c r="P66" s="186">
        <v>3</v>
      </c>
      <c r="Q66" s="186">
        <v>2</v>
      </c>
      <c r="R66" s="187">
        <v>3</v>
      </c>
      <c r="S66" s="187">
        <v>2</v>
      </c>
      <c r="T66" s="184"/>
      <c r="U66" s="184"/>
      <c r="V66" s="188"/>
      <c r="W66" s="189">
        <v>0</v>
      </c>
      <c r="X66" s="190">
        <v>1</v>
      </c>
      <c r="Y66" s="185" t="s">
        <v>1148</v>
      </c>
      <c r="Z66" s="191"/>
      <c r="AA66" s="97">
        <v>0.66666666666666663</v>
      </c>
      <c r="AB66" s="192">
        <v>0.9</v>
      </c>
      <c r="BB66" s="114" t="str">
        <f>"   " &amp; TEXT(AB66,"#0.00%") &amp; " " &amp; "Server" &amp; "(Manoj)" &amp; " " &amp; IF(M66="","",TEXT(M66,"M/D-")) &amp; IF(N66="","",TEXT(N66,"M/D")) &amp; " "</f>
        <v xml:space="preserve">   90.00% Server(Manoj) 11/22-11/24 </v>
      </c>
    </row>
    <row r="67" spans="1:54">
      <c r="A67" s="193"/>
      <c r="B67" s="193"/>
      <c r="C67" s="193">
        <v>1</v>
      </c>
      <c r="D67" s="194"/>
      <c r="E67" s="195"/>
      <c r="F67" s="195"/>
      <c r="G67" s="195"/>
      <c r="H67" s="195"/>
      <c r="I67" s="195"/>
      <c r="J67" s="195"/>
      <c r="K67" s="195"/>
      <c r="L67" s="195"/>
      <c r="M67" s="196"/>
      <c r="N67" s="196"/>
      <c r="O67" s="197"/>
      <c r="P67" s="198"/>
      <c r="Q67" s="198"/>
      <c r="R67" s="199"/>
      <c r="S67" s="199"/>
      <c r="T67" s="196"/>
      <c r="U67" s="196"/>
      <c r="V67" s="200"/>
      <c r="W67" s="201"/>
      <c r="X67" s="202"/>
      <c r="Y67" s="197"/>
      <c r="Z67" s="203"/>
      <c r="AA67" s="204"/>
      <c r="AB67" s="205"/>
    </row>
    <row r="68" spans="1:54">
      <c r="A68" s="116"/>
      <c r="B68" s="116"/>
      <c r="C68" s="116">
        <v>2</v>
      </c>
      <c r="D68" s="3"/>
      <c r="E68" s="183"/>
      <c r="F68" s="183"/>
      <c r="G68" s="183"/>
      <c r="H68" s="183"/>
      <c r="I68" s="183"/>
      <c r="J68" s="183"/>
      <c r="K68" s="183"/>
      <c r="L68" s="183"/>
      <c r="M68" s="184"/>
      <c r="N68" s="184"/>
      <c r="O68" s="185"/>
      <c r="P68" s="186"/>
      <c r="Q68" s="186"/>
      <c r="R68" s="187"/>
      <c r="S68" s="187"/>
      <c r="T68" s="184"/>
      <c r="U68" s="184"/>
      <c r="V68" s="188"/>
      <c r="W68" s="189"/>
      <c r="X68" s="190"/>
      <c r="Y68" s="185"/>
      <c r="Z68" s="191"/>
      <c r="AA68" s="97"/>
      <c r="AB68" s="192"/>
    </row>
    <row r="69" spans="1:54">
      <c r="A69" s="116"/>
      <c r="B69" s="116"/>
      <c r="C69" s="116">
        <v>2</v>
      </c>
      <c r="D69" s="3"/>
      <c r="E69" s="183"/>
      <c r="F69" s="183"/>
      <c r="G69" s="183"/>
      <c r="H69" s="183"/>
      <c r="I69" s="183"/>
      <c r="J69" s="183"/>
      <c r="K69" s="183"/>
      <c r="L69" s="183"/>
      <c r="M69" s="184"/>
      <c r="N69" s="184"/>
      <c r="O69" s="185"/>
      <c r="P69" s="186"/>
      <c r="Q69" s="186"/>
      <c r="R69" s="187"/>
      <c r="S69" s="187"/>
      <c r="T69" s="184"/>
      <c r="U69" s="184"/>
      <c r="V69" s="188"/>
      <c r="W69" s="189"/>
      <c r="X69" s="190"/>
      <c r="Y69" s="185"/>
      <c r="Z69" s="191"/>
      <c r="AA69" s="97"/>
      <c r="AB69" s="192"/>
    </row>
    <row r="70" spans="1:54">
      <c r="A70" s="116"/>
      <c r="B70" s="116"/>
      <c r="C70" s="116">
        <v>2</v>
      </c>
      <c r="D70" s="3"/>
      <c r="E70" s="183"/>
      <c r="F70" s="183"/>
      <c r="G70" s="183"/>
      <c r="H70" s="183"/>
      <c r="I70" s="183"/>
      <c r="J70" s="183"/>
      <c r="K70" s="183"/>
      <c r="L70" s="183"/>
      <c r="M70" s="184"/>
      <c r="N70" s="184"/>
      <c r="O70" s="185"/>
      <c r="P70" s="186"/>
      <c r="Q70" s="186"/>
      <c r="R70" s="187"/>
      <c r="S70" s="187"/>
      <c r="T70" s="184"/>
      <c r="U70" s="184"/>
      <c r="V70" s="188"/>
      <c r="W70" s="189"/>
      <c r="X70" s="190"/>
      <c r="Y70" s="185"/>
      <c r="Z70" s="191"/>
      <c r="AA70" s="97"/>
      <c r="AB70" s="192"/>
    </row>
    <row r="71" spans="1:54">
      <c r="A71" s="116"/>
      <c r="B71" s="116"/>
      <c r="C71" s="116">
        <v>2</v>
      </c>
      <c r="D71" s="3"/>
      <c r="E71" s="183"/>
      <c r="F71" s="183"/>
      <c r="G71" s="183"/>
      <c r="H71" s="183"/>
      <c r="I71" s="183"/>
      <c r="J71" s="183"/>
      <c r="K71" s="183"/>
      <c r="L71" s="183"/>
      <c r="M71" s="184"/>
      <c r="N71" s="184"/>
      <c r="O71" s="185"/>
      <c r="P71" s="186"/>
      <c r="Q71" s="186"/>
      <c r="R71" s="187"/>
      <c r="S71" s="187"/>
      <c r="T71" s="184"/>
      <c r="U71" s="184"/>
      <c r="V71" s="188"/>
      <c r="W71" s="189"/>
      <c r="X71" s="190"/>
      <c r="Y71" s="185"/>
      <c r="Z71" s="191"/>
      <c r="AA71" s="97"/>
      <c r="AB71" s="192"/>
    </row>
    <row r="72" spans="1:54">
      <c r="A72" s="116"/>
      <c r="B72" s="116"/>
      <c r="C72" s="116">
        <v>2</v>
      </c>
      <c r="D72" s="3"/>
      <c r="E72" s="183"/>
      <c r="F72" s="183"/>
      <c r="G72" s="183"/>
      <c r="H72" s="183"/>
      <c r="I72" s="183"/>
      <c r="J72" s="183"/>
      <c r="K72" s="183"/>
      <c r="L72" s="183"/>
      <c r="M72" s="184"/>
      <c r="N72" s="184"/>
      <c r="O72" s="185"/>
      <c r="P72" s="186"/>
      <c r="Q72" s="186"/>
      <c r="R72" s="187"/>
      <c r="S72" s="187"/>
      <c r="T72" s="184"/>
      <c r="U72" s="184"/>
      <c r="V72" s="188"/>
      <c r="W72" s="189"/>
      <c r="X72" s="190"/>
      <c r="Y72" s="185"/>
      <c r="Z72" s="191"/>
      <c r="AA72" s="97"/>
      <c r="AB72" s="192"/>
    </row>
    <row r="73" spans="1:54">
      <c r="A73" s="116"/>
      <c r="B73" s="116"/>
      <c r="C73" s="116">
        <v>2</v>
      </c>
      <c r="D73" s="3"/>
      <c r="E73" s="183"/>
      <c r="F73" s="183"/>
      <c r="G73" s="183"/>
      <c r="H73" s="183"/>
      <c r="I73" s="183"/>
      <c r="J73" s="183"/>
      <c r="K73" s="183"/>
      <c r="L73" s="183"/>
      <c r="M73" s="184"/>
      <c r="N73" s="184"/>
      <c r="O73" s="185"/>
      <c r="P73" s="186"/>
      <c r="Q73" s="186"/>
      <c r="R73" s="187"/>
      <c r="S73" s="187"/>
      <c r="T73" s="184"/>
      <c r="U73" s="184"/>
      <c r="V73" s="188"/>
      <c r="W73" s="189"/>
      <c r="X73" s="190"/>
      <c r="Y73" s="185"/>
      <c r="Z73" s="191"/>
      <c r="AA73" s="97"/>
      <c r="AB73" s="192"/>
    </row>
    <row r="74" spans="1:54">
      <c r="A74" s="116"/>
      <c r="B74" s="116"/>
      <c r="C74" s="116">
        <v>2</v>
      </c>
      <c r="D74" s="3"/>
      <c r="E74" s="183"/>
      <c r="F74" s="183"/>
      <c r="G74" s="183"/>
      <c r="H74" s="183"/>
      <c r="I74" s="183"/>
      <c r="J74" s="183"/>
      <c r="K74" s="183"/>
      <c r="L74" s="183"/>
      <c r="M74" s="184"/>
      <c r="N74" s="184"/>
      <c r="O74" s="185"/>
      <c r="P74" s="186"/>
      <c r="Q74" s="186"/>
      <c r="R74" s="187"/>
      <c r="S74" s="187"/>
      <c r="T74" s="184"/>
      <c r="U74" s="184"/>
      <c r="V74" s="188"/>
      <c r="W74" s="189"/>
      <c r="X74" s="190"/>
      <c r="Y74" s="185"/>
      <c r="Z74" s="191"/>
      <c r="AA74" s="97"/>
      <c r="AB74" s="192"/>
    </row>
    <row r="75" spans="1:54">
      <c r="A75" s="116"/>
      <c r="B75" s="116"/>
      <c r="C75" s="116">
        <v>0</v>
      </c>
      <c r="D75" s="3"/>
      <c r="E75" s="183"/>
      <c r="F75" s="183"/>
      <c r="G75" s="183"/>
      <c r="H75" s="183"/>
      <c r="I75" s="183"/>
      <c r="J75" s="183"/>
      <c r="K75" s="183"/>
      <c r="L75" s="183"/>
      <c r="M75" s="184"/>
      <c r="N75" s="184"/>
      <c r="O75" s="185"/>
      <c r="P75" s="186"/>
      <c r="Q75" s="186"/>
      <c r="R75" s="187"/>
      <c r="S75" s="187"/>
      <c r="T75" s="184"/>
      <c r="U75" s="184"/>
      <c r="V75" s="188"/>
      <c r="W75" s="189"/>
      <c r="X75" s="190"/>
      <c r="Y75" s="185"/>
      <c r="Z75" s="191"/>
      <c r="AA75" s="97"/>
      <c r="AB75" s="192"/>
    </row>
    <row r="76" spans="1:54">
      <c r="A76" s="116"/>
      <c r="B76" s="116"/>
      <c r="C76" s="116">
        <v>1</v>
      </c>
      <c r="D76" s="3"/>
      <c r="E76" s="183"/>
      <c r="F76" s="183"/>
      <c r="G76" s="183"/>
      <c r="H76" s="183"/>
      <c r="I76" s="183"/>
      <c r="J76" s="183"/>
      <c r="K76" s="183"/>
      <c r="L76" s="183"/>
      <c r="M76" s="184"/>
      <c r="N76" s="184"/>
      <c r="O76" s="185"/>
      <c r="P76" s="186"/>
      <c r="Q76" s="186"/>
      <c r="R76" s="187"/>
      <c r="S76" s="187"/>
      <c r="T76" s="184"/>
      <c r="U76" s="184"/>
      <c r="V76" s="188"/>
      <c r="W76" s="189"/>
      <c r="X76" s="190"/>
      <c r="Y76" s="185"/>
      <c r="Z76" s="191"/>
      <c r="AA76" s="97"/>
      <c r="AB76" s="192"/>
    </row>
    <row r="77" spans="1:54">
      <c r="A77" s="116"/>
      <c r="B77" s="116"/>
      <c r="C77" s="116">
        <v>2</v>
      </c>
      <c r="D77" s="3"/>
      <c r="E77" s="183"/>
      <c r="F77" s="183"/>
      <c r="G77" s="183"/>
      <c r="H77" s="183"/>
      <c r="I77" s="183"/>
      <c r="J77" s="183"/>
      <c r="K77" s="183"/>
      <c r="L77" s="183"/>
      <c r="M77" s="184"/>
      <c r="N77" s="184"/>
      <c r="O77" s="185"/>
      <c r="P77" s="186"/>
      <c r="Q77" s="186"/>
      <c r="R77" s="187"/>
      <c r="S77" s="187"/>
      <c r="T77" s="184"/>
      <c r="U77" s="184"/>
      <c r="V77" s="188"/>
      <c r="W77" s="189"/>
      <c r="X77" s="190"/>
      <c r="Y77" s="185"/>
      <c r="Z77" s="191"/>
      <c r="AA77" s="97"/>
      <c r="AB77" s="192"/>
    </row>
    <row r="78" spans="1:54">
      <c r="A78" s="116"/>
      <c r="B78" s="116"/>
      <c r="C78" s="116">
        <v>2</v>
      </c>
      <c r="D78" s="3"/>
      <c r="E78" s="183"/>
      <c r="F78" s="183"/>
      <c r="G78" s="183"/>
      <c r="H78" s="183"/>
      <c r="I78" s="183"/>
      <c r="J78" s="183"/>
      <c r="K78" s="183"/>
      <c r="L78" s="183"/>
      <c r="M78" s="184"/>
      <c r="N78" s="184"/>
      <c r="O78" s="185"/>
      <c r="P78" s="186"/>
      <c r="Q78" s="186"/>
      <c r="R78" s="187"/>
      <c r="S78" s="187"/>
      <c r="T78" s="184"/>
      <c r="U78" s="184"/>
      <c r="V78" s="188"/>
      <c r="W78" s="189"/>
      <c r="X78" s="190"/>
      <c r="Y78" s="185"/>
      <c r="Z78" s="191"/>
      <c r="AA78" s="97"/>
      <c r="AB78" s="192"/>
    </row>
    <row r="79" spans="1:54">
      <c r="A79" s="116"/>
      <c r="B79" s="116"/>
      <c r="C79" s="116">
        <v>2</v>
      </c>
      <c r="D79" s="3"/>
      <c r="E79" s="183"/>
      <c r="F79" s="183"/>
      <c r="G79" s="183"/>
      <c r="H79" s="183"/>
      <c r="I79" s="183"/>
      <c r="J79" s="183"/>
      <c r="K79" s="183"/>
      <c r="L79" s="183"/>
      <c r="M79" s="184"/>
      <c r="N79" s="184"/>
      <c r="O79" s="185"/>
      <c r="P79" s="186"/>
      <c r="Q79" s="186"/>
      <c r="R79" s="187"/>
      <c r="S79" s="187"/>
      <c r="T79" s="184"/>
      <c r="U79" s="184"/>
      <c r="V79" s="188"/>
      <c r="W79" s="189"/>
      <c r="X79" s="190"/>
      <c r="Y79" s="185"/>
      <c r="Z79" s="191"/>
      <c r="AA79" s="97"/>
      <c r="AB79" s="192"/>
    </row>
    <row r="80" spans="1:54">
      <c r="A80" s="116"/>
      <c r="B80" s="116"/>
      <c r="C80" s="116">
        <v>2</v>
      </c>
      <c r="D80" s="3"/>
      <c r="E80" s="183"/>
      <c r="F80" s="183"/>
      <c r="G80" s="183"/>
      <c r="H80" s="183"/>
      <c r="I80" s="183"/>
      <c r="J80" s="183"/>
      <c r="K80" s="183"/>
      <c r="L80" s="183"/>
      <c r="M80" s="184"/>
      <c r="N80" s="184"/>
      <c r="O80" s="185"/>
      <c r="P80" s="186"/>
      <c r="Q80" s="186"/>
      <c r="R80" s="187"/>
      <c r="S80" s="187"/>
      <c r="T80" s="184"/>
      <c r="U80" s="184"/>
      <c r="V80" s="188"/>
      <c r="W80" s="189"/>
      <c r="X80" s="190"/>
      <c r="Y80" s="185"/>
      <c r="Z80" s="191"/>
      <c r="AA80" s="97"/>
      <c r="AB80" s="192"/>
    </row>
    <row r="81" spans="1:28">
      <c r="A81" s="116"/>
      <c r="B81" s="116"/>
      <c r="C81" s="116">
        <v>2</v>
      </c>
      <c r="D81" s="3"/>
      <c r="E81" s="183"/>
      <c r="F81" s="183"/>
      <c r="G81" s="183"/>
      <c r="H81" s="183"/>
      <c r="I81" s="183"/>
      <c r="J81" s="183"/>
      <c r="K81" s="183"/>
      <c r="L81" s="183"/>
      <c r="M81" s="184"/>
      <c r="N81" s="184"/>
      <c r="O81" s="185"/>
      <c r="P81" s="186"/>
      <c r="Q81" s="186"/>
      <c r="R81" s="187"/>
      <c r="S81" s="187"/>
      <c r="T81" s="184"/>
      <c r="U81" s="184"/>
      <c r="V81" s="188"/>
      <c r="W81" s="189"/>
      <c r="X81" s="190"/>
      <c r="Y81" s="185"/>
      <c r="Z81" s="191"/>
      <c r="AA81" s="97"/>
      <c r="AB81" s="192"/>
    </row>
    <row r="82" spans="1:28">
      <c r="A82" s="116"/>
      <c r="B82" s="116"/>
      <c r="C82" s="116">
        <v>2</v>
      </c>
      <c r="D82" s="3"/>
      <c r="E82" s="183"/>
      <c r="F82" s="183"/>
      <c r="G82" s="183"/>
      <c r="H82" s="183"/>
      <c r="I82" s="183"/>
      <c r="J82" s="183"/>
      <c r="K82" s="183"/>
      <c r="L82" s="183"/>
      <c r="M82" s="184"/>
      <c r="N82" s="184"/>
      <c r="O82" s="185"/>
      <c r="P82" s="186"/>
      <c r="Q82" s="186"/>
      <c r="R82" s="187"/>
      <c r="S82" s="187"/>
      <c r="T82" s="184"/>
      <c r="U82" s="184"/>
      <c r="V82" s="188"/>
      <c r="W82" s="189"/>
      <c r="X82" s="190"/>
      <c r="Y82" s="185"/>
      <c r="Z82" s="191"/>
      <c r="AA82" s="97"/>
      <c r="AB82" s="192"/>
    </row>
    <row r="83" spans="1:28">
      <c r="A83" s="116"/>
      <c r="B83" s="116"/>
      <c r="C83" s="116">
        <v>2</v>
      </c>
      <c r="D83" s="3"/>
      <c r="E83" s="183"/>
      <c r="F83" s="183"/>
      <c r="G83" s="183"/>
      <c r="H83" s="183"/>
      <c r="I83" s="183"/>
      <c r="J83" s="183"/>
      <c r="K83" s="183"/>
      <c r="L83" s="183"/>
      <c r="M83" s="184"/>
      <c r="N83" s="184"/>
      <c r="O83" s="185"/>
      <c r="P83" s="186"/>
      <c r="Q83" s="186"/>
      <c r="R83" s="187"/>
      <c r="S83" s="187"/>
      <c r="T83" s="184"/>
      <c r="U83" s="184"/>
      <c r="V83" s="188"/>
      <c r="W83" s="189"/>
      <c r="X83" s="190"/>
      <c r="Y83" s="185"/>
      <c r="Z83" s="191"/>
      <c r="AA83" s="97"/>
      <c r="AB83" s="192"/>
    </row>
    <row r="84" spans="1:28">
      <c r="A84" s="116"/>
      <c r="B84" s="116"/>
      <c r="C84" s="116">
        <v>0</v>
      </c>
      <c r="D84" s="3"/>
      <c r="E84" s="183"/>
      <c r="F84" s="183"/>
      <c r="G84" s="183"/>
      <c r="H84" s="183"/>
      <c r="I84" s="183"/>
      <c r="J84" s="183"/>
      <c r="K84" s="183"/>
      <c r="L84" s="183"/>
      <c r="M84" s="184"/>
      <c r="N84" s="184"/>
      <c r="O84" s="185"/>
      <c r="P84" s="186"/>
      <c r="Q84" s="186"/>
      <c r="R84" s="187"/>
      <c r="S84" s="187"/>
      <c r="T84" s="184"/>
      <c r="U84" s="184"/>
      <c r="V84" s="188"/>
      <c r="W84" s="189"/>
      <c r="X84" s="190"/>
      <c r="Y84" s="185"/>
      <c r="Z84" s="191"/>
      <c r="AA84" s="97"/>
      <c r="AB84" s="192"/>
    </row>
    <row r="85" spans="1:28">
      <c r="A85" s="116"/>
      <c r="B85" s="116"/>
      <c r="C85" s="116">
        <v>1</v>
      </c>
      <c r="D85" s="3"/>
      <c r="E85" s="183"/>
      <c r="F85" s="183"/>
      <c r="G85" s="183"/>
      <c r="H85" s="183"/>
      <c r="I85" s="183"/>
      <c r="J85" s="183"/>
      <c r="K85" s="183"/>
      <c r="L85" s="183"/>
      <c r="M85" s="184"/>
      <c r="N85" s="184"/>
      <c r="O85" s="185"/>
      <c r="P85" s="186"/>
      <c r="Q85" s="186"/>
      <c r="R85" s="187"/>
      <c r="S85" s="187"/>
      <c r="T85" s="184"/>
      <c r="U85" s="184"/>
      <c r="V85" s="188"/>
      <c r="W85" s="189"/>
      <c r="X85" s="190"/>
      <c r="Y85" s="185"/>
      <c r="Z85" s="191"/>
      <c r="AA85" s="97"/>
      <c r="AB85" s="192"/>
    </row>
    <row r="86" spans="1:28">
      <c r="A86" s="116"/>
      <c r="B86" s="116"/>
      <c r="C86" s="116">
        <v>2</v>
      </c>
      <c r="D86" s="3"/>
      <c r="E86" s="183"/>
      <c r="F86" s="183"/>
      <c r="G86" s="183"/>
      <c r="H86" s="183"/>
      <c r="I86" s="183"/>
      <c r="J86" s="183"/>
      <c r="K86" s="183"/>
      <c r="L86" s="183"/>
      <c r="M86" s="184"/>
      <c r="N86" s="184"/>
      <c r="O86" s="185"/>
      <c r="P86" s="186"/>
      <c r="Q86" s="186"/>
      <c r="R86" s="187"/>
      <c r="S86" s="187"/>
      <c r="T86" s="184"/>
      <c r="U86" s="184"/>
      <c r="V86" s="188"/>
      <c r="W86" s="189"/>
      <c r="X86" s="190"/>
      <c r="Y86" s="185"/>
      <c r="Z86" s="191"/>
      <c r="AA86" s="97"/>
      <c r="AB86" s="192"/>
    </row>
    <row r="87" spans="1:28">
      <c r="A87" s="116"/>
      <c r="B87" s="116"/>
      <c r="C87" s="116">
        <v>2</v>
      </c>
      <c r="D87" s="3"/>
      <c r="E87" s="183"/>
      <c r="F87" s="183"/>
      <c r="G87" s="183"/>
      <c r="H87" s="183"/>
      <c r="I87" s="183"/>
      <c r="J87" s="183"/>
      <c r="K87" s="183"/>
      <c r="L87" s="183"/>
      <c r="M87" s="184"/>
      <c r="N87" s="184"/>
      <c r="O87" s="185"/>
      <c r="P87" s="186"/>
      <c r="Q87" s="186"/>
      <c r="R87" s="187"/>
      <c r="S87" s="187"/>
      <c r="T87" s="184"/>
      <c r="U87" s="184"/>
      <c r="V87" s="188"/>
      <c r="W87" s="189"/>
      <c r="X87" s="190"/>
      <c r="Y87" s="185"/>
      <c r="Z87" s="191"/>
      <c r="AA87" s="97"/>
      <c r="AB87" s="192"/>
    </row>
    <row r="88" spans="1:28">
      <c r="A88" s="116"/>
      <c r="B88" s="116"/>
      <c r="C88" s="116">
        <v>2</v>
      </c>
      <c r="D88" s="3"/>
      <c r="E88" s="183"/>
      <c r="F88" s="183"/>
      <c r="G88" s="183"/>
      <c r="H88" s="183"/>
      <c r="I88" s="183"/>
      <c r="J88" s="183"/>
      <c r="K88" s="183"/>
      <c r="L88" s="183"/>
      <c r="M88" s="184"/>
      <c r="N88" s="184"/>
      <c r="O88" s="185"/>
      <c r="P88" s="186"/>
      <c r="Q88" s="186"/>
      <c r="R88" s="187"/>
      <c r="S88" s="187"/>
      <c r="T88" s="184"/>
      <c r="U88" s="184"/>
      <c r="V88" s="188"/>
      <c r="W88" s="189"/>
      <c r="X88" s="190"/>
      <c r="Y88" s="185"/>
      <c r="Z88" s="191"/>
      <c r="AA88" s="97"/>
      <c r="AB88" s="192"/>
    </row>
    <row r="89" spans="1:28">
      <c r="A89" s="116"/>
      <c r="B89" s="116"/>
      <c r="C89" s="116">
        <v>2</v>
      </c>
      <c r="D89" s="3"/>
      <c r="E89" s="183"/>
      <c r="F89" s="183"/>
      <c r="G89" s="183"/>
      <c r="H89" s="183"/>
      <c r="I89" s="183"/>
      <c r="J89" s="183"/>
      <c r="K89" s="183"/>
      <c r="L89" s="183"/>
      <c r="M89" s="184"/>
      <c r="N89" s="184"/>
      <c r="O89" s="185"/>
      <c r="P89" s="186"/>
      <c r="Q89" s="186"/>
      <c r="R89" s="187"/>
      <c r="S89" s="187"/>
      <c r="T89" s="184"/>
      <c r="U89" s="184"/>
      <c r="V89" s="188"/>
      <c r="W89" s="189"/>
      <c r="X89" s="190"/>
      <c r="Y89" s="185"/>
      <c r="Z89" s="191"/>
      <c r="AA89" s="97"/>
      <c r="AB89" s="192"/>
    </row>
    <row r="90" spans="1:28">
      <c r="A90" s="116"/>
      <c r="B90" s="116"/>
      <c r="C90" s="116">
        <v>2</v>
      </c>
      <c r="D90" s="3"/>
      <c r="E90" s="183"/>
      <c r="F90" s="183"/>
      <c r="G90" s="183"/>
      <c r="H90" s="183"/>
      <c r="I90" s="183"/>
      <c r="J90" s="183"/>
      <c r="K90" s="183"/>
      <c r="L90" s="183"/>
      <c r="M90" s="184"/>
      <c r="N90" s="184"/>
      <c r="O90" s="185"/>
      <c r="P90" s="186"/>
      <c r="Q90" s="186"/>
      <c r="R90" s="187"/>
      <c r="S90" s="187"/>
      <c r="T90" s="184"/>
      <c r="U90" s="184"/>
      <c r="V90" s="188"/>
      <c r="W90" s="189"/>
      <c r="X90" s="190"/>
      <c r="Y90" s="185"/>
      <c r="Z90" s="191"/>
      <c r="AA90" s="97"/>
      <c r="AB90" s="192"/>
    </row>
    <row r="91" spans="1:28">
      <c r="A91" s="116"/>
      <c r="B91" s="116"/>
      <c r="C91" s="116">
        <v>2</v>
      </c>
      <c r="D91" s="3"/>
      <c r="E91" s="183"/>
      <c r="F91" s="183"/>
      <c r="G91" s="183"/>
      <c r="H91" s="183"/>
      <c r="I91" s="183"/>
      <c r="J91" s="183"/>
      <c r="K91" s="183"/>
      <c r="L91" s="183"/>
      <c r="M91" s="184"/>
      <c r="N91" s="184"/>
      <c r="O91" s="185"/>
      <c r="P91" s="186"/>
      <c r="Q91" s="186"/>
      <c r="R91" s="187"/>
      <c r="S91" s="187"/>
      <c r="T91" s="184"/>
      <c r="U91" s="184"/>
      <c r="V91" s="188"/>
      <c r="W91" s="189"/>
      <c r="X91" s="190"/>
      <c r="Y91" s="185"/>
      <c r="Z91" s="191"/>
      <c r="AA91" s="97"/>
      <c r="AB91" s="192"/>
    </row>
    <row r="92" spans="1:28">
      <c r="A92" s="116"/>
      <c r="B92" s="116"/>
      <c r="C92" s="116">
        <v>2</v>
      </c>
      <c r="D92" s="3"/>
      <c r="E92" s="183"/>
      <c r="F92" s="183"/>
      <c r="G92" s="183"/>
      <c r="H92" s="183"/>
      <c r="I92" s="183"/>
      <c r="J92" s="183"/>
      <c r="K92" s="183"/>
      <c r="L92" s="183"/>
      <c r="M92" s="184"/>
      <c r="N92" s="184"/>
      <c r="O92" s="185"/>
      <c r="P92" s="186"/>
      <c r="Q92" s="186"/>
      <c r="R92" s="187"/>
      <c r="S92" s="187"/>
      <c r="T92" s="184"/>
      <c r="U92" s="184"/>
      <c r="V92" s="188"/>
      <c r="W92" s="189"/>
      <c r="X92" s="190"/>
      <c r="Y92" s="185"/>
      <c r="Z92" s="191"/>
      <c r="AA92" s="97"/>
      <c r="AB92" s="192"/>
    </row>
    <row r="93" spans="1:28">
      <c r="A93" s="116"/>
      <c r="B93" s="116"/>
      <c r="C93" s="116">
        <v>0</v>
      </c>
      <c r="D93" s="3"/>
      <c r="E93" s="183"/>
      <c r="F93" s="183"/>
      <c r="G93" s="183"/>
      <c r="H93" s="183"/>
      <c r="I93" s="183"/>
      <c r="J93" s="183"/>
      <c r="K93" s="183"/>
      <c r="L93" s="183"/>
      <c r="M93" s="184"/>
      <c r="N93" s="184"/>
      <c r="O93" s="185"/>
      <c r="P93" s="186"/>
      <c r="Q93" s="186"/>
      <c r="R93" s="187"/>
      <c r="S93" s="187"/>
      <c r="T93" s="184"/>
      <c r="U93" s="184"/>
      <c r="V93" s="188"/>
      <c r="W93" s="189"/>
      <c r="X93" s="190"/>
      <c r="Y93" s="185"/>
      <c r="Z93" s="191"/>
      <c r="AA93" s="97"/>
      <c r="AB93" s="192"/>
    </row>
    <row r="94" spans="1:28">
      <c r="A94" s="116"/>
      <c r="B94" s="116"/>
      <c r="C94" s="116">
        <v>1</v>
      </c>
      <c r="D94" s="3"/>
      <c r="E94" s="183"/>
      <c r="F94" s="183"/>
      <c r="G94" s="183"/>
      <c r="H94" s="183"/>
      <c r="I94" s="183"/>
      <c r="J94" s="183"/>
      <c r="K94" s="183"/>
      <c r="L94" s="183"/>
      <c r="M94" s="184"/>
      <c r="N94" s="184"/>
      <c r="O94" s="185"/>
      <c r="P94" s="186"/>
      <c r="Q94" s="186"/>
      <c r="R94" s="187"/>
      <c r="S94" s="187"/>
      <c r="T94" s="184"/>
      <c r="U94" s="184"/>
      <c r="V94" s="188"/>
      <c r="W94" s="189"/>
      <c r="X94" s="190"/>
      <c r="Y94" s="185"/>
      <c r="Z94" s="191"/>
      <c r="AA94" s="97"/>
      <c r="AB94" s="192"/>
    </row>
    <row r="95" spans="1:28">
      <c r="A95" s="116"/>
      <c r="B95" s="116"/>
      <c r="C95" s="116">
        <v>2</v>
      </c>
      <c r="D95" s="3"/>
      <c r="E95" s="183"/>
      <c r="F95" s="183"/>
      <c r="G95" s="183"/>
      <c r="H95" s="183"/>
      <c r="I95" s="183"/>
      <c r="J95" s="183"/>
      <c r="K95" s="183"/>
      <c r="L95" s="183"/>
      <c r="M95" s="184"/>
      <c r="N95" s="184"/>
      <c r="O95" s="185"/>
      <c r="P95" s="186"/>
      <c r="Q95" s="186"/>
      <c r="R95" s="187"/>
      <c r="S95" s="187"/>
      <c r="T95" s="184"/>
      <c r="U95" s="184"/>
      <c r="V95" s="188"/>
      <c r="W95" s="189"/>
      <c r="X95" s="190"/>
      <c r="Y95" s="185"/>
      <c r="Z95" s="191"/>
      <c r="AA95" s="97"/>
      <c r="AB95" s="192"/>
    </row>
    <row r="96" spans="1:28">
      <c r="A96" s="116"/>
      <c r="B96" s="116"/>
      <c r="C96" s="116">
        <v>2</v>
      </c>
      <c r="D96" s="3"/>
      <c r="E96" s="183"/>
      <c r="F96" s="183"/>
      <c r="G96" s="183"/>
      <c r="H96" s="183"/>
      <c r="I96" s="183"/>
      <c r="J96" s="183"/>
      <c r="K96" s="183"/>
      <c r="L96" s="183"/>
      <c r="M96" s="184"/>
      <c r="N96" s="184"/>
      <c r="O96" s="185"/>
      <c r="P96" s="186"/>
      <c r="Q96" s="186"/>
      <c r="R96" s="187"/>
      <c r="S96" s="187"/>
      <c r="T96" s="184"/>
      <c r="U96" s="184"/>
      <c r="V96" s="188"/>
      <c r="W96" s="189"/>
      <c r="X96" s="190"/>
      <c r="Y96" s="185"/>
      <c r="Z96" s="191"/>
      <c r="AA96" s="97"/>
      <c r="AB96" s="192"/>
    </row>
    <row r="97" spans="1:28">
      <c r="A97" s="116"/>
      <c r="B97" s="116"/>
      <c r="C97" s="116">
        <v>2</v>
      </c>
      <c r="D97" s="3"/>
      <c r="E97" s="183"/>
      <c r="F97" s="183"/>
      <c r="G97" s="183"/>
      <c r="H97" s="183"/>
      <c r="I97" s="183"/>
      <c r="J97" s="183"/>
      <c r="K97" s="183"/>
      <c r="L97" s="183"/>
      <c r="M97" s="184"/>
      <c r="N97" s="184"/>
      <c r="O97" s="185"/>
      <c r="P97" s="186"/>
      <c r="Q97" s="186"/>
      <c r="R97" s="187"/>
      <c r="S97" s="187"/>
      <c r="T97" s="184"/>
      <c r="U97" s="184"/>
      <c r="V97" s="188"/>
      <c r="W97" s="189"/>
      <c r="X97" s="190"/>
      <c r="Y97" s="185"/>
      <c r="Z97" s="191"/>
      <c r="AA97" s="97"/>
      <c r="AB97" s="192"/>
    </row>
    <row r="98" spans="1:28">
      <c r="A98" s="116"/>
      <c r="B98" s="116"/>
      <c r="C98" s="116">
        <v>2</v>
      </c>
      <c r="D98" s="3"/>
      <c r="E98" s="183"/>
      <c r="F98" s="183"/>
      <c r="G98" s="183"/>
      <c r="H98" s="183"/>
      <c r="I98" s="183"/>
      <c r="J98" s="183"/>
      <c r="K98" s="183"/>
      <c r="L98" s="183"/>
      <c r="M98" s="184"/>
      <c r="N98" s="184"/>
      <c r="O98" s="185"/>
      <c r="P98" s="186"/>
      <c r="Q98" s="186"/>
      <c r="R98" s="187"/>
      <c r="S98" s="187"/>
      <c r="T98" s="184"/>
      <c r="U98" s="184"/>
      <c r="V98" s="188"/>
      <c r="W98" s="189"/>
      <c r="X98" s="190"/>
      <c r="Y98" s="185"/>
      <c r="Z98" s="191"/>
      <c r="AA98" s="97"/>
      <c r="AB98" s="192"/>
    </row>
    <row r="99" spans="1:28">
      <c r="A99" s="116"/>
      <c r="B99" s="116"/>
      <c r="C99" s="116">
        <v>2</v>
      </c>
      <c r="D99" s="3"/>
      <c r="E99" s="183"/>
      <c r="F99" s="183"/>
      <c r="G99" s="183"/>
      <c r="H99" s="183"/>
      <c r="I99" s="183"/>
      <c r="J99" s="183"/>
      <c r="K99" s="183"/>
      <c r="L99" s="183"/>
      <c r="M99" s="184"/>
      <c r="N99" s="184"/>
      <c r="O99" s="185"/>
      <c r="P99" s="186"/>
      <c r="Q99" s="186"/>
      <c r="R99" s="187"/>
      <c r="S99" s="187"/>
      <c r="T99" s="184"/>
      <c r="U99" s="184"/>
      <c r="V99" s="188"/>
      <c r="W99" s="189"/>
      <c r="X99" s="190"/>
      <c r="Y99" s="185"/>
      <c r="Z99" s="191"/>
      <c r="AA99" s="97"/>
      <c r="AB99" s="192"/>
    </row>
    <row r="100" spans="1:28">
      <c r="A100" s="116"/>
      <c r="B100" s="116"/>
      <c r="C100" s="116">
        <v>2</v>
      </c>
      <c r="D100" s="3"/>
      <c r="E100" s="183"/>
      <c r="F100" s="183"/>
      <c r="G100" s="183"/>
      <c r="H100" s="183"/>
      <c r="I100" s="183"/>
      <c r="J100" s="183"/>
      <c r="K100" s="183"/>
      <c r="L100" s="183"/>
      <c r="M100" s="184"/>
      <c r="N100" s="184"/>
      <c r="O100" s="185"/>
      <c r="P100" s="186"/>
      <c r="Q100" s="186"/>
      <c r="R100" s="187"/>
      <c r="S100" s="187"/>
      <c r="T100" s="184"/>
      <c r="U100" s="184"/>
      <c r="V100" s="188"/>
      <c r="W100" s="189"/>
      <c r="X100" s="190"/>
      <c r="Y100" s="185"/>
      <c r="Z100" s="191"/>
      <c r="AA100" s="97"/>
      <c r="AB100" s="192"/>
    </row>
    <row r="101" spans="1:28">
      <c r="A101" s="116"/>
      <c r="B101" s="116"/>
      <c r="C101" s="116">
        <v>2</v>
      </c>
      <c r="D101" s="3"/>
      <c r="E101" s="183"/>
      <c r="F101" s="183"/>
      <c r="G101" s="183"/>
      <c r="H101" s="183"/>
      <c r="I101" s="183"/>
      <c r="J101" s="183"/>
      <c r="K101" s="183"/>
      <c r="L101" s="183"/>
      <c r="M101" s="184"/>
      <c r="N101" s="184"/>
      <c r="O101" s="185"/>
      <c r="P101" s="186"/>
      <c r="Q101" s="186"/>
      <c r="R101" s="187"/>
      <c r="S101" s="187"/>
      <c r="T101" s="184"/>
      <c r="U101" s="184"/>
      <c r="V101" s="188"/>
      <c r="W101" s="189"/>
      <c r="X101" s="190"/>
      <c r="Y101" s="185"/>
      <c r="Z101" s="191"/>
      <c r="AA101" s="97"/>
      <c r="AB101" s="192"/>
    </row>
    <row r="102" spans="1:28">
      <c r="A102" s="116"/>
      <c r="B102" s="116"/>
      <c r="C102" s="116">
        <v>0</v>
      </c>
      <c r="D102" s="3"/>
      <c r="E102" s="183"/>
      <c r="F102" s="183"/>
      <c r="G102" s="183"/>
      <c r="H102" s="183"/>
      <c r="I102" s="183"/>
      <c r="J102" s="183"/>
      <c r="K102" s="183"/>
      <c r="L102" s="183"/>
      <c r="M102" s="184"/>
      <c r="N102" s="184"/>
      <c r="O102" s="185"/>
      <c r="P102" s="186"/>
      <c r="Q102" s="186"/>
      <c r="R102" s="187"/>
      <c r="S102" s="187"/>
      <c r="T102" s="184"/>
      <c r="U102" s="184"/>
      <c r="V102" s="188"/>
      <c r="W102" s="189"/>
      <c r="X102" s="190"/>
      <c r="Y102" s="185"/>
      <c r="Z102" s="191"/>
      <c r="AA102" s="97"/>
      <c r="AB102" s="192"/>
    </row>
    <row r="103" spans="1:28">
      <c r="A103" s="116"/>
      <c r="B103" s="116"/>
      <c r="C103" s="116">
        <v>1</v>
      </c>
      <c r="D103" s="3"/>
      <c r="E103" s="183"/>
      <c r="F103" s="183"/>
      <c r="G103" s="183"/>
      <c r="H103" s="183"/>
      <c r="I103" s="183"/>
      <c r="J103" s="183"/>
      <c r="K103" s="183"/>
      <c r="L103" s="183"/>
      <c r="M103" s="184"/>
      <c r="N103" s="184"/>
      <c r="O103" s="185"/>
      <c r="P103" s="186"/>
      <c r="Q103" s="186"/>
      <c r="R103" s="187"/>
      <c r="S103" s="187"/>
      <c r="T103" s="184"/>
      <c r="U103" s="184"/>
      <c r="V103" s="188"/>
      <c r="W103" s="189"/>
      <c r="X103" s="190"/>
      <c r="Y103" s="185"/>
      <c r="Z103" s="191"/>
      <c r="AA103" s="97"/>
      <c r="AB103" s="192"/>
    </row>
    <row r="104" spans="1:28">
      <c r="A104" s="116"/>
      <c r="B104" s="116"/>
      <c r="C104" s="116">
        <v>2</v>
      </c>
      <c r="D104" s="3"/>
      <c r="E104" s="183"/>
      <c r="F104" s="183"/>
      <c r="G104" s="183"/>
      <c r="H104" s="183"/>
      <c r="I104" s="183"/>
      <c r="J104" s="183"/>
      <c r="K104" s="183"/>
      <c r="L104" s="183"/>
      <c r="M104" s="184"/>
      <c r="N104" s="184"/>
      <c r="O104" s="185"/>
      <c r="P104" s="186"/>
      <c r="Q104" s="186"/>
      <c r="R104" s="187"/>
      <c r="S104" s="187"/>
      <c r="T104" s="184"/>
      <c r="U104" s="184"/>
      <c r="V104" s="188"/>
      <c r="W104" s="189"/>
      <c r="X104" s="190"/>
      <c r="Y104" s="185"/>
      <c r="Z104" s="191"/>
      <c r="AA104" s="97"/>
      <c r="AB104" s="192"/>
    </row>
    <row r="105" spans="1:28">
      <c r="A105" s="116"/>
      <c r="B105" s="116"/>
      <c r="C105" s="116">
        <v>2</v>
      </c>
      <c r="D105" s="3"/>
      <c r="E105" s="183"/>
      <c r="F105" s="183"/>
      <c r="G105" s="183"/>
      <c r="H105" s="183"/>
      <c r="I105" s="183"/>
      <c r="J105" s="183"/>
      <c r="K105" s="183"/>
      <c r="L105" s="183"/>
      <c r="M105" s="184"/>
      <c r="N105" s="184"/>
      <c r="O105" s="185"/>
      <c r="P105" s="186"/>
      <c r="Q105" s="186"/>
      <c r="R105" s="187"/>
      <c r="S105" s="187"/>
      <c r="T105" s="184"/>
      <c r="U105" s="184"/>
      <c r="V105" s="188"/>
      <c r="W105" s="189"/>
      <c r="X105" s="190"/>
      <c r="Y105" s="185"/>
      <c r="Z105" s="191"/>
      <c r="AA105" s="97"/>
      <c r="AB105" s="192"/>
    </row>
    <row r="106" spans="1:28">
      <c r="A106" s="116"/>
      <c r="B106" s="116"/>
      <c r="C106" s="116">
        <v>2</v>
      </c>
      <c r="D106" s="3"/>
      <c r="E106" s="183"/>
      <c r="F106" s="183"/>
      <c r="G106" s="183"/>
      <c r="H106" s="183"/>
      <c r="I106" s="183"/>
      <c r="J106" s="183"/>
      <c r="K106" s="183"/>
      <c r="L106" s="183"/>
      <c r="M106" s="184"/>
      <c r="N106" s="184"/>
      <c r="O106" s="185"/>
      <c r="P106" s="186"/>
      <c r="Q106" s="186"/>
      <c r="R106" s="187"/>
      <c r="S106" s="187"/>
      <c r="T106" s="184"/>
      <c r="U106" s="184"/>
      <c r="V106" s="188"/>
      <c r="W106" s="189"/>
      <c r="X106" s="190"/>
      <c r="Y106" s="185"/>
      <c r="Z106" s="191"/>
      <c r="AA106" s="97"/>
      <c r="AB106" s="192"/>
    </row>
    <row r="107" spans="1:28">
      <c r="A107" s="116"/>
      <c r="B107" s="116"/>
      <c r="C107" s="116">
        <v>2</v>
      </c>
      <c r="D107" s="3"/>
      <c r="E107" s="183"/>
      <c r="F107" s="183"/>
      <c r="G107" s="183"/>
      <c r="H107" s="183"/>
      <c r="I107" s="183"/>
      <c r="J107" s="183"/>
      <c r="K107" s="183"/>
      <c r="L107" s="183"/>
      <c r="M107" s="184"/>
      <c r="N107" s="184"/>
      <c r="O107" s="185"/>
      <c r="P107" s="186"/>
      <c r="Q107" s="186"/>
      <c r="R107" s="187"/>
      <c r="S107" s="187"/>
      <c r="T107" s="184"/>
      <c r="U107" s="184"/>
      <c r="V107" s="188"/>
      <c r="W107" s="189"/>
      <c r="X107" s="190"/>
      <c r="Y107" s="185"/>
      <c r="Z107" s="191"/>
      <c r="AA107" s="97"/>
      <c r="AB107" s="192"/>
    </row>
    <row r="108" spans="1:28">
      <c r="A108" s="116"/>
      <c r="B108" s="116"/>
      <c r="C108" s="116">
        <v>2</v>
      </c>
      <c r="D108" s="3"/>
      <c r="E108" s="183"/>
      <c r="F108" s="183"/>
      <c r="G108" s="183"/>
      <c r="H108" s="183"/>
      <c r="I108" s="183"/>
      <c r="J108" s="183"/>
      <c r="K108" s="183"/>
      <c r="L108" s="183"/>
      <c r="M108" s="184"/>
      <c r="N108" s="184"/>
      <c r="O108" s="185"/>
      <c r="P108" s="186"/>
      <c r="Q108" s="186"/>
      <c r="R108" s="187"/>
      <c r="S108" s="187"/>
      <c r="T108" s="184"/>
      <c r="U108" s="184"/>
      <c r="V108" s="188"/>
      <c r="W108" s="189"/>
      <c r="X108" s="190"/>
      <c r="Y108" s="185"/>
      <c r="Z108" s="191"/>
      <c r="AA108" s="97"/>
      <c r="AB108" s="192"/>
    </row>
    <row r="109" spans="1:28">
      <c r="A109" s="116"/>
      <c r="B109" s="116"/>
      <c r="C109" s="116">
        <v>2</v>
      </c>
      <c r="D109" s="3"/>
      <c r="E109" s="183"/>
      <c r="F109" s="183"/>
      <c r="G109" s="183"/>
      <c r="H109" s="183"/>
      <c r="I109" s="183"/>
      <c r="J109" s="183"/>
      <c r="K109" s="183"/>
      <c r="L109" s="183"/>
      <c r="M109" s="184"/>
      <c r="N109" s="184"/>
      <c r="O109" s="185"/>
      <c r="P109" s="186"/>
      <c r="Q109" s="186"/>
      <c r="R109" s="187"/>
      <c r="S109" s="187"/>
      <c r="T109" s="184"/>
      <c r="U109" s="184"/>
      <c r="V109" s="188"/>
      <c r="W109" s="189"/>
      <c r="X109" s="190"/>
      <c r="Y109" s="185"/>
      <c r="Z109" s="191"/>
      <c r="AA109" s="97"/>
      <c r="AB109" s="192"/>
    </row>
    <row r="110" spans="1:28">
      <c r="A110" s="116"/>
      <c r="B110" s="116"/>
      <c r="C110" s="116">
        <v>2</v>
      </c>
      <c r="D110" s="3"/>
      <c r="E110" s="183"/>
      <c r="F110" s="183"/>
      <c r="G110" s="183"/>
      <c r="H110" s="183"/>
      <c r="I110" s="183"/>
      <c r="J110" s="183"/>
      <c r="K110" s="183"/>
      <c r="L110" s="183"/>
      <c r="M110" s="184"/>
      <c r="N110" s="184"/>
      <c r="O110" s="185"/>
      <c r="P110" s="186"/>
      <c r="Q110" s="186"/>
      <c r="R110" s="187"/>
      <c r="S110" s="187"/>
      <c r="T110" s="184"/>
      <c r="U110" s="184"/>
      <c r="V110" s="188"/>
      <c r="W110" s="189"/>
      <c r="X110" s="190"/>
      <c r="Y110" s="185"/>
      <c r="Z110" s="191"/>
      <c r="AA110" s="97"/>
      <c r="AB110" s="192"/>
    </row>
    <row r="111" spans="1:28">
      <c r="A111" s="116"/>
      <c r="B111" s="116"/>
      <c r="C111" s="116">
        <v>0</v>
      </c>
      <c r="D111" s="3"/>
      <c r="E111" s="183"/>
      <c r="F111" s="183"/>
      <c r="G111" s="183"/>
      <c r="H111" s="183"/>
      <c r="I111" s="183"/>
      <c r="J111" s="183"/>
      <c r="K111" s="183"/>
      <c r="L111" s="183"/>
      <c r="M111" s="184"/>
      <c r="N111" s="184"/>
      <c r="O111" s="185"/>
      <c r="P111" s="186"/>
      <c r="Q111" s="186"/>
      <c r="R111" s="187"/>
      <c r="S111" s="187"/>
      <c r="T111" s="184"/>
      <c r="U111" s="184"/>
      <c r="V111" s="188"/>
      <c r="W111" s="189"/>
      <c r="X111" s="190"/>
      <c r="Y111" s="185"/>
      <c r="Z111" s="191"/>
      <c r="AA111" s="97"/>
      <c r="AB111" s="192"/>
    </row>
    <row r="112" spans="1:28">
      <c r="A112" s="116"/>
      <c r="B112" s="116"/>
      <c r="C112" s="116">
        <v>1</v>
      </c>
      <c r="D112" s="3"/>
      <c r="E112" s="210"/>
      <c r="F112" s="183"/>
      <c r="G112" s="183"/>
      <c r="H112" s="183"/>
      <c r="I112" s="183"/>
      <c r="J112" s="183"/>
      <c r="K112" s="183"/>
      <c r="L112" s="183"/>
      <c r="M112" s="184"/>
      <c r="N112" s="184"/>
      <c r="O112" s="185"/>
      <c r="P112" s="186"/>
      <c r="Q112" s="186"/>
      <c r="R112" s="187"/>
      <c r="S112" s="187"/>
      <c r="T112" s="184"/>
      <c r="U112" s="184"/>
      <c r="V112" s="188"/>
      <c r="W112" s="189"/>
      <c r="X112" s="190"/>
      <c r="Y112" s="185"/>
      <c r="Z112" s="191"/>
      <c r="AA112" s="97"/>
      <c r="AB112" s="192"/>
    </row>
    <row r="113" spans="1:28">
      <c r="A113" s="116"/>
      <c r="B113" s="116"/>
      <c r="C113" s="116">
        <v>2</v>
      </c>
      <c r="D113" s="3"/>
      <c r="E113" s="183"/>
      <c r="F113" s="183"/>
      <c r="G113" s="183"/>
      <c r="H113" s="183"/>
      <c r="I113" s="183"/>
      <c r="J113" s="183"/>
      <c r="K113" s="183"/>
      <c r="L113" s="183"/>
      <c r="M113" s="184"/>
      <c r="N113" s="184"/>
      <c r="O113" s="185"/>
      <c r="P113" s="186"/>
      <c r="Q113" s="186"/>
      <c r="R113" s="187"/>
      <c r="S113" s="187"/>
      <c r="T113" s="184"/>
      <c r="U113" s="184"/>
      <c r="V113" s="188"/>
      <c r="W113" s="189"/>
      <c r="X113" s="190"/>
      <c r="Y113" s="185"/>
      <c r="Z113" s="191"/>
      <c r="AA113" s="97"/>
      <c r="AB113" s="192"/>
    </row>
    <row r="114" spans="1:28">
      <c r="A114" s="116"/>
      <c r="B114" s="116"/>
      <c r="C114" s="116">
        <v>2</v>
      </c>
      <c r="D114" s="3"/>
      <c r="E114" s="183"/>
      <c r="F114" s="183"/>
      <c r="G114" s="183"/>
      <c r="H114" s="183"/>
      <c r="I114" s="183"/>
      <c r="J114" s="183"/>
      <c r="K114" s="183"/>
      <c r="L114" s="183"/>
      <c r="M114" s="184"/>
      <c r="N114" s="184"/>
      <c r="O114" s="185"/>
      <c r="P114" s="186"/>
      <c r="Q114" s="186"/>
      <c r="R114" s="187"/>
      <c r="S114" s="187"/>
      <c r="T114" s="184"/>
      <c r="U114" s="184"/>
      <c r="V114" s="188"/>
      <c r="W114" s="189"/>
      <c r="X114" s="190"/>
      <c r="Y114" s="185"/>
      <c r="Z114" s="191"/>
      <c r="AA114" s="97"/>
      <c r="AB114" s="192"/>
    </row>
    <row r="115" spans="1:28">
      <c r="A115" s="116"/>
      <c r="B115" s="116"/>
      <c r="C115" s="116">
        <v>2</v>
      </c>
      <c r="D115" s="3"/>
      <c r="E115" s="183"/>
      <c r="F115" s="183"/>
      <c r="G115" s="183"/>
      <c r="H115" s="183"/>
      <c r="I115" s="183"/>
      <c r="J115" s="183"/>
      <c r="K115" s="183"/>
      <c r="L115" s="183"/>
      <c r="M115" s="184"/>
      <c r="N115" s="184"/>
      <c r="O115" s="185"/>
      <c r="P115" s="186"/>
      <c r="Q115" s="186"/>
      <c r="R115" s="187"/>
      <c r="S115" s="187"/>
      <c r="T115" s="184"/>
      <c r="U115" s="184"/>
      <c r="V115" s="188"/>
      <c r="W115" s="189"/>
      <c r="X115" s="190"/>
      <c r="Y115" s="185"/>
      <c r="Z115" s="191"/>
      <c r="AA115" s="97"/>
      <c r="AB115" s="192"/>
    </row>
    <row r="116" spans="1:28">
      <c r="A116" s="116"/>
      <c r="B116" s="116"/>
      <c r="C116" s="116">
        <v>2</v>
      </c>
      <c r="D116" s="3"/>
      <c r="E116" s="183"/>
      <c r="F116" s="183"/>
      <c r="G116" s="183"/>
      <c r="H116" s="183"/>
      <c r="I116" s="183"/>
      <c r="J116" s="183"/>
      <c r="K116" s="183"/>
      <c r="L116" s="183"/>
      <c r="M116" s="184"/>
      <c r="N116" s="184"/>
      <c r="O116" s="185"/>
      <c r="P116" s="186"/>
      <c r="Q116" s="186"/>
      <c r="R116" s="187"/>
      <c r="S116" s="187"/>
      <c r="T116" s="184"/>
      <c r="U116" s="184"/>
      <c r="V116" s="188"/>
      <c r="W116" s="189"/>
      <c r="X116" s="190"/>
      <c r="Y116" s="185"/>
      <c r="Z116" s="191"/>
      <c r="AA116" s="97"/>
      <c r="AB116" s="192"/>
    </row>
    <row r="117" spans="1:28">
      <c r="A117" s="116"/>
      <c r="B117" s="116"/>
      <c r="C117" s="116">
        <v>2</v>
      </c>
      <c r="D117" s="3"/>
      <c r="E117" s="183"/>
      <c r="F117" s="183"/>
      <c r="G117" s="183"/>
      <c r="H117" s="183"/>
      <c r="I117" s="183"/>
      <c r="J117" s="183"/>
      <c r="K117" s="183"/>
      <c r="L117" s="183"/>
      <c r="M117" s="184"/>
      <c r="N117" s="184"/>
      <c r="O117" s="185"/>
      <c r="P117" s="186"/>
      <c r="Q117" s="186"/>
      <c r="R117" s="187"/>
      <c r="S117" s="187"/>
      <c r="T117" s="184"/>
      <c r="U117" s="184"/>
      <c r="V117" s="188"/>
      <c r="W117" s="189"/>
      <c r="X117" s="190"/>
      <c r="Y117" s="185"/>
      <c r="Z117" s="191"/>
      <c r="AA117" s="97"/>
      <c r="AB117" s="192"/>
    </row>
    <row r="118" spans="1:28">
      <c r="A118" s="116"/>
      <c r="B118" s="116"/>
      <c r="C118" s="116">
        <v>2</v>
      </c>
      <c r="D118" s="3"/>
      <c r="E118" s="183"/>
      <c r="F118" s="183"/>
      <c r="G118" s="183"/>
      <c r="H118" s="183"/>
      <c r="I118" s="183"/>
      <c r="J118" s="183"/>
      <c r="K118" s="183"/>
      <c r="L118" s="183"/>
      <c r="M118" s="184"/>
      <c r="N118" s="184"/>
      <c r="O118" s="185"/>
      <c r="P118" s="186"/>
      <c r="Q118" s="186"/>
      <c r="R118" s="187"/>
      <c r="S118" s="187"/>
      <c r="T118" s="184"/>
      <c r="U118" s="184"/>
      <c r="V118" s="188"/>
      <c r="W118" s="189"/>
      <c r="X118" s="190"/>
      <c r="Y118" s="185"/>
      <c r="Z118" s="191"/>
      <c r="AA118" s="97"/>
      <c r="AB118" s="192"/>
    </row>
    <row r="119" spans="1:28">
      <c r="A119" s="116"/>
      <c r="B119" s="116"/>
      <c r="C119" s="116">
        <v>2</v>
      </c>
      <c r="D119" s="3"/>
      <c r="E119" s="183"/>
      <c r="F119" s="183"/>
      <c r="G119" s="183"/>
      <c r="H119" s="183"/>
      <c r="I119" s="183"/>
      <c r="J119" s="183"/>
      <c r="K119" s="183"/>
      <c r="L119" s="183"/>
      <c r="M119" s="184"/>
      <c r="N119" s="184"/>
      <c r="O119" s="185"/>
      <c r="P119" s="186"/>
      <c r="Q119" s="186"/>
      <c r="R119" s="187"/>
      <c r="S119" s="187"/>
      <c r="T119" s="184"/>
      <c r="U119" s="184"/>
      <c r="V119" s="188"/>
      <c r="W119" s="189"/>
      <c r="X119" s="190"/>
      <c r="Y119" s="185"/>
      <c r="Z119" s="191"/>
      <c r="AA119" s="97"/>
      <c r="AB119" s="192"/>
    </row>
    <row r="120" spans="1:28">
      <c r="A120" s="116"/>
      <c r="B120" s="116"/>
      <c r="C120" s="116">
        <v>2</v>
      </c>
      <c r="D120" s="3"/>
      <c r="E120" s="183"/>
      <c r="F120" s="183"/>
      <c r="G120" s="183"/>
      <c r="H120" s="183"/>
      <c r="I120" s="183"/>
      <c r="J120" s="183"/>
      <c r="K120" s="183"/>
      <c r="L120" s="183"/>
      <c r="M120" s="184"/>
      <c r="N120" s="184"/>
      <c r="O120" s="185"/>
      <c r="P120" s="186"/>
      <c r="Q120" s="186"/>
      <c r="R120" s="187"/>
      <c r="S120" s="187"/>
      <c r="T120" s="184"/>
      <c r="U120" s="184"/>
      <c r="V120" s="188"/>
      <c r="W120" s="189"/>
      <c r="X120" s="190"/>
      <c r="Y120" s="185"/>
      <c r="Z120" s="191"/>
      <c r="AA120" s="97"/>
      <c r="AB120" s="192"/>
    </row>
    <row r="121" spans="1:28">
      <c r="A121" s="116"/>
      <c r="B121" s="116"/>
      <c r="C121" s="116">
        <v>2</v>
      </c>
      <c r="D121" s="3"/>
      <c r="E121" s="183"/>
      <c r="F121" s="183"/>
      <c r="G121" s="183"/>
      <c r="H121" s="183"/>
      <c r="I121" s="183"/>
      <c r="J121" s="183"/>
      <c r="K121" s="183"/>
      <c r="L121" s="183"/>
      <c r="M121" s="184"/>
      <c r="N121" s="184"/>
      <c r="O121" s="185"/>
      <c r="P121" s="186"/>
      <c r="Q121" s="186"/>
      <c r="R121" s="187"/>
      <c r="S121" s="187"/>
      <c r="T121" s="184"/>
      <c r="U121" s="184"/>
      <c r="V121" s="188"/>
      <c r="W121" s="189"/>
      <c r="X121" s="190"/>
      <c r="Y121" s="185"/>
      <c r="Z121" s="191"/>
      <c r="AA121" s="97"/>
      <c r="AB121" s="192"/>
    </row>
    <row r="122" spans="1:28">
      <c r="A122" s="193"/>
      <c r="B122" s="193"/>
      <c r="C122" s="193">
        <v>0</v>
      </c>
      <c r="D122" s="194"/>
      <c r="E122" s="195"/>
      <c r="F122" s="195"/>
      <c r="G122" s="195"/>
      <c r="H122" s="195"/>
      <c r="I122" s="195"/>
      <c r="J122" s="195"/>
      <c r="K122" s="195"/>
      <c r="L122" s="195"/>
      <c r="M122" s="196"/>
      <c r="N122" s="196"/>
      <c r="O122" s="197"/>
      <c r="P122" s="198"/>
      <c r="Q122" s="198"/>
      <c r="R122" s="199"/>
      <c r="S122" s="199"/>
      <c r="T122" s="196"/>
      <c r="U122" s="196"/>
      <c r="V122" s="200"/>
      <c r="W122" s="201"/>
      <c r="X122" s="202"/>
      <c r="Y122" s="197"/>
      <c r="Z122" s="203"/>
      <c r="AA122" s="204"/>
      <c r="AB122" s="205"/>
    </row>
    <row r="123" spans="1:28">
      <c r="A123" s="116"/>
      <c r="B123" s="116"/>
      <c r="C123" s="116">
        <v>0</v>
      </c>
      <c r="D123" s="3"/>
      <c r="E123" s="183"/>
      <c r="F123" s="183"/>
      <c r="G123" s="183"/>
      <c r="H123" s="183"/>
      <c r="I123" s="183"/>
      <c r="J123" s="183"/>
      <c r="K123" s="183"/>
      <c r="L123" s="183"/>
      <c r="M123" s="184"/>
      <c r="N123" s="184"/>
      <c r="O123" s="185"/>
      <c r="P123" s="186"/>
      <c r="Q123" s="186"/>
      <c r="R123" s="187"/>
      <c r="S123" s="187"/>
      <c r="T123" s="184"/>
      <c r="U123" s="184"/>
      <c r="V123" s="188"/>
      <c r="W123" s="189"/>
      <c r="X123" s="190"/>
      <c r="Y123" s="185"/>
      <c r="Z123" s="191"/>
      <c r="AA123" s="97"/>
      <c r="AB123" s="192"/>
    </row>
    <row r="124" spans="1:28">
      <c r="A124" s="116"/>
      <c r="B124" s="116" t="s">
        <v>983</v>
      </c>
      <c r="C124" s="116">
        <v>1</v>
      </c>
      <c r="D124" s="3"/>
      <c r="E124" s="207"/>
      <c r="F124" s="183"/>
      <c r="G124" s="183"/>
      <c r="H124" s="183"/>
      <c r="I124" s="183"/>
      <c r="J124" s="183"/>
      <c r="K124" s="183"/>
      <c r="L124" s="183"/>
      <c r="M124" s="184"/>
      <c r="N124" s="184"/>
      <c r="O124" s="185"/>
      <c r="P124" s="186"/>
      <c r="Q124" s="186"/>
      <c r="R124" s="187"/>
      <c r="S124" s="187"/>
      <c r="T124" s="184"/>
      <c r="U124" s="184"/>
      <c r="V124" s="188"/>
      <c r="W124" s="189"/>
      <c r="X124" s="190"/>
      <c r="Y124" s="185"/>
      <c r="Z124" s="191"/>
      <c r="AA124" s="97"/>
      <c r="AB124" s="192"/>
    </row>
    <row r="125" spans="1:28">
      <c r="A125" s="116"/>
      <c r="B125" s="116"/>
      <c r="C125" s="116">
        <v>2</v>
      </c>
      <c r="D125" s="3"/>
      <c r="E125" s="207"/>
      <c r="F125" s="209"/>
      <c r="G125" s="183"/>
      <c r="H125" s="183"/>
      <c r="I125" s="183"/>
      <c r="J125" s="183"/>
      <c r="K125" s="183"/>
      <c r="L125" s="183"/>
      <c r="M125" s="184"/>
      <c r="N125" s="184"/>
      <c r="O125" s="185"/>
      <c r="P125" s="186"/>
      <c r="Q125" s="186"/>
      <c r="R125" s="187"/>
      <c r="S125" s="187"/>
      <c r="T125" s="184"/>
      <c r="U125" s="184"/>
      <c r="V125" s="188"/>
      <c r="W125" s="189"/>
      <c r="X125" s="190"/>
      <c r="Y125" s="185"/>
      <c r="Z125" s="191"/>
      <c r="AA125" s="97"/>
      <c r="AB125" s="192"/>
    </row>
    <row r="126" spans="1:28">
      <c r="A126" s="116"/>
      <c r="B126" s="116"/>
      <c r="C126" s="116">
        <v>2</v>
      </c>
      <c r="D126" s="3"/>
      <c r="E126" s="207"/>
      <c r="F126" s="209"/>
      <c r="G126" s="183"/>
      <c r="H126" s="183"/>
      <c r="I126" s="183"/>
      <c r="J126" s="183"/>
      <c r="K126" s="183"/>
      <c r="L126" s="183"/>
      <c r="M126" s="184"/>
      <c r="N126" s="184"/>
      <c r="O126" s="185"/>
      <c r="P126" s="186"/>
      <c r="Q126" s="186"/>
      <c r="R126" s="187"/>
      <c r="S126" s="187"/>
      <c r="T126" s="184"/>
      <c r="U126" s="184"/>
      <c r="V126" s="188"/>
      <c r="W126" s="189"/>
      <c r="X126" s="190"/>
      <c r="Y126" s="185"/>
      <c r="Z126" s="191"/>
      <c r="AA126" s="97"/>
      <c r="AB126" s="192"/>
    </row>
    <row r="127" spans="1:28">
      <c r="A127" s="116"/>
      <c r="B127" s="116"/>
      <c r="C127" s="116">
        <v>2</v>
      </c>
      <c r="D127" s="3"/>
      <c r="E127" s="183"/>
      <c r="F127" s="209"/>
      <c r="G127" s="183"/>
      <c r="H127" s="183"/>
      <c r="I127" s="183"/>
      <c r="J127" s="183"/>
      <c r="K127" s="183"/>
      <c r="L127" s="183"/>
      <c r="M127" s="184"/>
      <c r="N127" s="184"/>
      <c r="O127" s="185"/>
      <c r="P127" s="186"/>
      <c r="Q127" s="186"/>
      <c r="R127" s="187"/>
      <c r="S127" s="187"/>
      <c r="T127" s="184"/>
      <c r="U127" s="184"/>
      <c r="V127" s="188"/>
      <c r="W127" s="189"/>
      <c r="X127" s="190"/>
      <c r="Y127" s="185"/>
      <c r="Z127" s="191"/>
      <c r="AA127" s="97"/>
      <c r="AB127" s="192"/>
    </row>
    <row r="128" spans="1:28">
      <c r="A128" s="116"/>
      <c r="B128" s="116"/>
      <c r="C128" s="116">
        <v>2</v>
      </c>
      <c r="D128" s="3"/>
      <c r="E128" s="183"/>
      <c r="F128" s="209"/>
      <c r="G128" s="183"/>
      <c r="H128" s="183"/>
      <c r="I128" s="183"/>
      <c r="J128" s="183"/>
      <c r="K128" s="183"/>
      <c r="L128" s="183"/>
      <c r="M128" s="184"/>
      <c r="N128" s="184"/>
      <c r="O128" s="185"/>
      <c r="P128" s="186"/>
      <c r="Q128" s="186"/>
      <c r="R128" s="187"/>
      <c r="S128" s="187"/>
      <c r="T128" s="184"/>
      <c r="U128" s="184"/>
      <c r="V128" s="188"/>
      <c r="W128" s="189"/>
      <c r="X128" s="190"/>
      <c r="Y128" s="185"/>
      <c r="Z128" s="191"/>
      <c r="AA128" s="97"/>
      <c r="AB128" s="192"/>
    </row>
    <row r="129" spans="1:28">
      <c r="A129" s="116"/>
      <c r="B129" s="116"/>
      <c r="C129" s="116">
        <v>2</v>
      </c>
      <c r="D129" s="3"/>
      <c r="E129" s="183"/>
      <c r="F129" s="209"/>
      <c r="G129" s="183"/>
      <c r="H129" s="183"/>
      <c r="I129" s="183"/>
      <c r="J129" s="183"/>
      <c r="K129" s="183"/>
      <c r="L129" s="183"/>
      <c r="M129" s="184"/>
      <c r="N129" s="184"/>
      <c r="O129" s="185"/>
      <c r="P129" s="186"/>
      <c r="Q129" s="186"/>
      <c r="R129" s="187"/>
      <c r="S129" s="187"/>
      <c r="T129" s="184"/>
      <c r="U129" s="184"/>
      <c r="V129" s="188"/>
      <c r="W129" s="189"/>
      <c r="X129" s="190"/>
      <c r="Y129" s="185"/>
      <c r="Z129" s="191"/>
      <c r="AA129" s="97"/>
      <c r="AB129" s="192"/>
    </row>
    <row r="130" spans="1:28">
      <c r="A130" s="116"/>
      <c r="B130" s="116"/>
      <c r="C130" s="116">
        <v>2</v>
      </c>
      <c r="D130" s="3"/>
      <c r="E130" s="183"/>
      <c r="F130" s="209"/>
      <c r="G130" s="183"/>
      <c r="H130" s="183"/>
      <c r="I130" s="183"/>
      <c r="J130" s="183"/>
      <c r="K130" s="183"/>
      <c r="L130" s="183"/>
      <c r="M130" s="184"/>
      <c r="N130" s="184"/>
      <c r="O130" s="185"/>
      <c r="P130" s="186"/>
      <c r="Q130" s="186"/>
      <c r="R130" s="187"/>
      <c r="S130" s="187"/>
      <c r="T130" s="184"/>
      <c r="U130" s="184"/>
      <c r="V130" s="188"/>
      <c r="W130" s="189"/>
      <c r="X130" s="190"/>
      <c r="Y130" s="185"/>
      <c r="Z130" s="191"/>
      <c r="AA130" s="97"/>
      <c r="AB130" s="192"/>
    </row>
    <row r="131" spans="1:28">
      <c r="A131" s="116"/>
      <c r="B131" s="116"/>
      <c r="C131" s="116">
        <v>2</v>
      </c>
      <c r="D131" s="3"/>
      <c r="E131" s="183"/>
      <c r="F131" s="209"/>
      <c r="G131" s="183"/>
      <c r="H131" s="183"/>
      <c r="I131" s="183"/>
      <c r="J131" s="183"/>
      <c r="K131" s="183"/>
      <c r="L131" s="183"/>
      <c r="M131" s="184"/>
      <c r="N131" s="184"/>
      <c r="O131" s="185"/>
      <c r="P131" s="186"/>
      <c r="Q131" s="186"/>
      <c r="R131" s="187"/>
      <c r="S131" s="187"/>
      <c r="T131" s="184"/>
      <c r="U131" s="184"/>
      <c r="V131" s="188"/>
      <c r="W131" s="189"/>
      <c r="X131" s="190"/>
      <c r="Y131" s="185"/>
      <c r="Z131" s="191"/>
      <c r="AA131" s="97"/>
      <c r="AB131" s="192"/>
    </row>
    <row r="132" spans="1:28">
      <c r="A132" s="116"/>
      <c r="B132" s="116"/>
      <c r="C132" s="116">
        <v>2</v>
      </c>
      <c r="D132" s="3"/>
      <c r="E132" s="183"/>
      <c r="F132" s="209"/>
      <c r="G132" s="183"/>
      <c r="H132" s="183"/>
      <c r="I132" s="183"/>
      <c r="J132" s="183"/>
      <c r="K132" s="183"/>
      <c r="L132" s="183"/>
      <c r="M132" s="184"/>
      <c r="N132" s="184"/>
      <c r="O132" s="185"/>
      <c r="P132" s="186"/>
      <c r="Q132" s="186"/>
      <c r="R132" s="187"/>
      <c r="S132" s="187"/>
      <c r="T132" s="184"/>
      <c r="U132" s="184"/>
      <c r="V132" s="188"/>
      <c r="W132" s="189"/>
      <c r="X132" s="190"/>
      <c r="Y132" s="185"/>
      <c r="Z132" s="191"/>
      <c r="AA132" s="97"/>
      <c r="AB132" s="192"/>
    </row>
    <row r="133" spans="1:28">
      <c r="A133" s="116"/>
      <c r="B133" s="116"/>
      <c r="C133" s="116">
        <v>2</v>
      </c>
      <c r="D133" s="3"/>
      <c r="E133" s="183"/>
      <c r="F133" s="209"/>
      <c r="G133" s="183"/>
      <c r="H133" s="183"/>
      <c r="I133" s="183"/>
      <c r="J133" s="183"/>
      <c r="K133" s="183"/>
      <c r="L133" s="183"/>
      <c r="M133" s="184"/>
      <c r="N133" s="184"/>
      <c r="O133" s="185"/>
      <c r="P133" s="186"/>
      <c r="Q133" s="186"/>
      <c r="R133" s="187"/>
      <c r="S133" s="187"/>
      <c r="T133" s="184"/>
      <c r="U133" s="184"/>
      <c r="V133" s="188"/>
      <c r="W133" s="189"/>
      <c r="X133" s="190"/>
      <c r="Y133" s="185"/>
      <c r="Z133" s="191"/>
      <c r="AA133" s="97"/>
      <c r="AB133" s="192"/>
    </row>
    <row r="134" spans="1:28">
      <c r="A134" s="116"/>
      <c r="B134" s="116"/>
      <c r="C134" s="116">
        <v>2</v>
      </c>
      <c r="D134" s="3"/>
      <c r="E134" s="183"/>
      <c r="F134" s="209"/>
      <c r="G134" s="183"/>
      <c r="H134" s="183"/>
      <c r="I134" s="183"/>
      <c r="J134" s="183"/>
      <c r="K134" s="183"/>
      <c r="L134" s="183"/>
      <c r="M134" s="184"/>
      <c r="N134" s="184"/>
      <c r="O134" s="185"/>
      <c r="P134" s="186"/>
      <c r="Q134" s="186"/>
      <c r="R134" s="187"/>
      <c r="S134" s="187"/>
      <c r="T134" s="184"/>
      <c r="U134" s="184"/>
      <c r="V134" s="188"/>
      <c r="W134" s="189"/>
      <c r="X134" s="190"/>
      <c r="Y134" s="185"/>
      <c r="Z134" s="191"/>
      <c r="AA134" s="97"/>
      <c r="AB134" s="192"/>
    </row>
    <row r="135" spans="1:28">
      <c r="A135" s="116"/>
      <c r="B135" s="116"/>
      <c r="C135" s="116">
        <v>2</v>
      </c>
      <c r="D135" s="3"/>
      <c r="E135" s="183"/>
      <c r="F135" s="209"/>
      <c r="G135" s="183"/>
      <c r="H135" s="183"/>
      <c r="I135" s="183"/>
      <c r="J135" s="183"/>
      <c r="K135" s="183"/>
      <c r="L135" s="183"/>
      <c r="M135" s="184"/>
      <c r="N135" s="184"/>
      <c r="O135" s="185"/>
      <c r="P135" s="186"/>
      <c r="Q135" s="186"/>
      <c r="R135" s="187"/>
      <c r="S135" s="187"/>
      <c r="T135" s="184"/>
      <c r="U135" s="184"/>
      <c r="V135" s="188"/>
      <c r="W135" s="189"/>
      <c r="X135" s="190"/>
      <c r="Y135" s="185"/>
      <c r="Z135" s="191"/>
      <c r="AA135" s="97"/>
      <c r="AB135" s="192"/>
    </row>
    <row r="136" spans="1:28">
      <c r="A136" s="116"/>
      <c r="B136" s="116"/>
      <c r="C136" s="116">
        <v>2</v>
      </c>
      <c r="D136" s="3"/>
      <c r="E136" s="183"/>
      <c r="F136" s="209"/>
      <c r="G136" s="183"/>
      <c r="H136" s="183"/>
      <c r="I136" s="183"/>
      <c r="J136" s="183"/>
      <c r="K136" s="183"/>
      <c r="L136" s="183"/>
      <c r="M136" s="184"/>
      <c r="N136" s="184"/>
      <c r="O136" s="185"/>
      <c r="P136" s="186"/>
      <c r="Q136" s="186"/>
      <c r="R136" s="187"/>
      <c r="S136" s="187"/>
      <c r="T136" s="184"/>
      <c r="U136" s="184"/>
      <c r="V136" s="188"/>
      <c r="W136" s="189"/>
      <c r="X136" s="190"/>
      <c r="Y136" s="185"/>
      <c r="Z136" s="191"/>
      <c r="AA136" s="97"/>
      <c r="AB136" s="192"/>
    </row>
    <row r="137" spans="1:28">
      <c r="A137" s="116"/>
      <c r="B137" s="116"/>
      <c r="C137" s="116">
        <v>2</v>
      </c>
      <c r="D137" s="3"/>
      <c r="E137" s="183"/>
      <c r="F137" s="209"/>
      <c r="G137" s="183"/>
      <c r="H137" s="183"/>
      <c r="I137" s="183"/>
      <c r="J137" s="183"/>
      <c r="K137" s="183"/>
      <c r="L137" s="183"/>
      <c r="M137" s="184"/>
      <c r="N137" s="184"/>
      <c r="O137" s="185"/>
      <c r="P137" s="186"/>
      <c r="Q137" s="186"/>
      <c r="R137" s="187"/>
      <c r="S137" s="187"/>
      <c r="T137" s="184"/>
      <c r="U137" s="184"/>
      <c r="V137" s="188"/>
      <c r="W137" s="189"/>
      <c r="X137" s="190"/>
      <c r="Y137" s="185"/>
      <c r="Z137" s="191"/>
      <c r="AA137" s="97"/>
      <c r="AB137" s="192"/>
    </row>
    <row r="138" spans="1:28">
      <c r="A138" s="116"/>
      <c r="B138" s="116"/>
      <c r="C138" s="116">
        <v>2</v>
      </c>
      <c r="D138" s="3"/>
      <c r="E138" s="183"/>
      <c r="F138" s="209"/>
      <c r="G138" s="183"/>
      <c r="H138" s="183"/>
      <c r="I138" s="183"/>
      <c r="J138" s="183"/>
      <c r="K138" s="183"/>
      <c r="L138" s="183"/>
      <c r="M138" s="184"/>
      <c r="N138" s="184"/>
      <c r="O138" s="185"/>
      <c r="P138" s="186"/>
      <c r="Q138" s="186"/>
      <c r="R138" s="187"/>
      <c r="S138" s="187"/>
      <c r="T138" s="184"/>
      <c r="U138" s="184"/>
      <c r="V138" s="188"/>
      <c r="W138" s="189"/>
      <c r="X138" s="190"/>
      <c r="Y138" s="185"/>
      <c r="Z138" s="191"/>
      <c r="AA138" s="97"/>
      <c r="AB138" s="192"/>
    </row>
    <row r="139" spans="1:28">
      <c r="A139" s="116"/>
      <c r="B139" s="116"/>
      <c r="C139" s="116">
        <v>2</v>
      </c>
      <c r="D139" s="3"/>
      <c r="E139" s="183"/>
      <c r="F139" s="209"/>
      <c r="G139" s="183"/>
      <c r="H139" s="183"/>
      <c r="I139" s="183"/>
      <c r="J139" s="183"/>
      <c r="K139" s="183"/>
      <c r="L139" s="183"/>
      <c r="M139" s="184"/>
      <c r="N139" s="184"/>
      <c r="O139" s="185"/>
      <c r="P139" s="186"/>
      <c r="Q139" s="186"/>
      <c r="R139" s="187"/>
      <c r="S139" s="187"/>
      <c r="T139" s="184"/>
      <c r="U139" s="184"/>
      <c r="V139" s="188"/>
      <c r="W139" s="189"/>
      <c r="X139" s="190"/>
      <c r="Y139" s="185"/>
      <c r="Z139" s="191"/>
      <c r="AA139" s="97"/>
      <c r="AB139" s="192"/>
    </row>
    <row r="140" spans="1:28">
      <c r="A140" s="116"/>
      <c r="B140" s="116"/>
      <c r="C140" s="116">
        <v>2</v>
      </c>
      <c r="D140" s="3"/>
      <c r="E140" s="183"/>
      <c r="F140" s="209"/>
      <c r="G140" s="183"/>
      <c r="H140" s="183"/>
      <c r="I140" s="183"/>
      <c r="J140" s="183"/>
      <c r="K140" s="183"/>
      <c r="L140" s="183"/>
      <c r="M140" s="184"/>
      <c r="N140" s="184"/>
      <c r="O140" s="185"/>
      <c r="P140" s="186"/>
      <c r="Q140" s="186"/>
      <c r="R140" s="187"/>
      <c r="S140" s="187"/>
      <c r="T140" s="184"/>
      <c r="U140" s="184"/>
      <c r="V140" s="188"/>
      <c r="W140" s="189"/>
      <c r="X140" s="190"/>
      <c r="Y140" s="185"/>
      <c r="Z140" s="191"/>
      <c r="AA140" s="97"/>
      <c r="AB140" s="192"/>
    </row>
    <row r="141" spans="1:28">
      <c r="A141" s="116"/>
      <c r="B141" s="116"/>
      <c r="C141" s="116">
        <v>0</v>
      </c>
      <c r="D141" s="3"/>
      <c r="E141" s="183"/>
      <c r="F141" s="209"/>
      <c r="G141" s="183"/>
      <c r="H141" s="183"/>
      <c r="I141" s="183"/>
      <c r="J141" s="183"/>
      <c r="K141" s="183"/>
      <c r="L141" s="183"/>
      <c r="M141" s="184"/>
      <c r="N141" s="184"/>
      <c r="O141" s="185"/>
      <c r="P141" s="186"/>
      <c r="Q141" s="186"/>
      <c r="R141" s="187"/>
      <c r="S141" s="187"/>
      <c r="T141" s="184"/>
      <c r="U141" s="184"/>
      <c r="V141" s="188"/>
      <c r="W141" s="189"/>
      <c r="X141" s="190"/>
      <c r="Y141" s="185"/>
      <c r="Z141" s="191"/>
      <c r="AA141" s="97"/>
      <c r="AB141" s="192"/>
    </row>
    <row r="142" spans="1:28">
      <c r="A142" s="116"/>
      <c r="B142" s="116"/>
      <c r="C142" s="116">
        <v>0</v>
      </c>
      <c r="D142" s="3"/>
      <c r="E142" s="183"/>
      <c r="F142" s="183"/>
      <c r="G142" s="183"/>
      <c r="H142" s="183"/>
      <c r="I142" s="183"/>
      <c r="J142" s="183"/>
      <c r="K142" s="183"/>
      <c r="L142" s="183"/>
      <c r="M142" s="184"/>
      <c r="N142" s="184"/>
      <c r="O142" s="185"/>
      <c r="P142" s="186"/>
      <c r="Q142" s="186"/>
      <c r="R142" s="187"/>
      <c r="S142" s="187"/>
      <c r="T142" s="184"/>
      <c r="U142" s="184"/>
      <c r="V142" s="188"/>
      <c r="W142" s="189"/>
      <c r="X142" s="190"/>
      <c r="Y142" s="185"/>
      <c r="Z142" s="191"/>
      <c r="AA142" s="97"/>
      <c r="AB142" s="192"/>
    </row>
    <row r="143" spans="1:28">
      <c r="A143" s="116"/>
      <c r="B143" s="116" t="s">
        <v>983</v>
      </c>
      <c r="C143" s="116">
        <v>1</v>
      </c>
      <c r="D143" s="3"/>
      <c r="E143" s="207"/>
      <c r="F143" s="183"/>
      <c r="G143" s="183"/>
      <c r="H143" s="183"/>
      <c r="I143" s="183"/>
      <c r="J143" s="183"/>
      <c r="K143" s="183"/>
      <c r="L143" s="183"/>
      <c r="M143" s="184"/>
      <c r="N143" s="184"/>
      <c r="O143" s="185"/>
      <c r="P143" s="186"/>
      <c r="Q143" s="186"/>
      <c r="R143" s="187"/>
      <c r="S143" s="187"/>
      <c r="T143" s="184"/>
      <c r="U143" s="184"/>
      <c r="V143" s="188"/>
      <c r="W143" s="189"/>
      <c r="X143" s="190"/>
      <c r="Y143" s="185"/>
      <c r="Z143" s="191"/>
      <c r="AA143" s="97"/>
      <c r="AB143" s="192"/>
    </row>
    <row r="144" spans="1:28">
      <c r="A144" s="116"/>
      <c r="B144" s="116" t="s">
        <v>983</v>
      </c>
      <c r="C144" s="116">
        <v>2</v>
      </c>
      <c r="D144" s="3"/>
      <c r="E144" s="207"/>
      <c r="F144" s="209"/>
      <c r="G144" s="209"/>
      <c r="H144" s="183"/>
      <c r="I144" s="183"/>
      <c r="J144" s="183"/>
      <c r="K144" s="183"/>
      <c r="L144" s="183"/>
      <c r="M144" s="184"/>
      <c r="N144" s="184"/>
      <c r="O144" s="185"/>
      <c r="P144" s="186"/>
      <c r="Q144" s="186"/>
      <c r="R144" s="187"/>
      <c r="S144" s="187"/>
      <c r="T144" s="184"/>
      <c r="U144" s="184"/>
      <c r="V144" s="188"/>
      <c r="W144" s="189"/>
      <c r="X144" s="190"/>
      <c r="Y144" s="185"/>
      <c r="Z144" s="191"/>
      <c r="AA144" s="97"/>
      <c r="AB144" s="192"/>
    </row>
    <row r="145" spans="1:28">
      <c r="A145" s="116"/>
      <c r="B145" s="116"/>
      <c r="C145" s="116">
        <v>3</v>
      </c>
      <c r="D145" s="3"/>
      <c r="E145" s="207"/>
      <c r="F145" s="209"/>
      <c r="G145" s="209"/>
      <c r="H145" s="183"/>
      <c r="I145" s="183"/>
      <c r="J145" s="183"/>
      <c r="K145" s="183"/>
      <c r="L145" s="183"/>
      <c r="M145" s="184"/>
      <c r="N145" s="184"/>
      <c r="O145" s="185"/>
      <c r="P145" s="186"/>
      <c r="Q145" s="186"/>
      <c r="R145" s="187"/>
      <c r="S145" s="187"/>
      <c r="T145" s="184"/>
      <c r="U145" s="184"/>
      <c r="V145" s="188"/>
      <c r="W145" s="189"/>
      <c r="X145" s="190"/>
      <c r="Y145" s="185"/>
      <c r="Z145" s="191"/>
      <c r="AA145" s="97"/>
      <c r="AB145" s="192"/>
    </row>
    <row r="146" spans="1:28">
      <c r="A146" s="116"/>
      <c r="B146" s="116"/>
      <c r="C146" s="116">
        <v>3</v>
      </c>
      <c r="D146" s="3"/>
      <c r="E146" s="207"/>
      <c r="F146" s="209"/>
      <c r="G146" s="209"/>
      <c r="H146" s="183"/>
      <c r="I146" s="183"/>
      <c r="J146" s="183"/>
      <c r="K146" s="183"/>
      <c r="L146" s="183"/>
      <c r="M146" s="184"/>
      <c r="N146" s="184"/>
      <c r="O146" s="185"/>
      <c r="P146" s="186"/>
      <c r="Q146" s="186"/>
      <c r="R146" s="187"/>
      <c r="S146" s="187"/>
      <c r="T146" s="184"/>
      <c r="U146" s="184"/>
      <c r="V146" s="188"/>
      <c r="W146" s="189"/>
      <c r="X146" s="190"/>
      <c r="Y146" s="185"/>
      <c r="Z146" s="191"/>
      <c r="AA146" s="97"/>
      <c r="AB146" s="192"/>
    </row>
    <row r="147" spans="1:28">
      <c r="A147" s="116"/>
      <c r="B147" s="116"/>
      <c r="C147" s="116">
        <v>3</v>
      </c>
      <c r="D147" s="3"/>
      <c r="E147" s="207"/>
      <c r="F147" s="209"/>
      <c r="G147" s="209"/>
      <c r="H147" s="183"/>
      <c r="I147" s="183"/>
      <c r="J147" s="183"/>
      <c r="K147" s="183"/>
      <c r="L147" s="183"/>
      <c r="M147" s="184"/>
      <c r="N147" s="184"/>
      <c r="O147" s="185"/>
      <c r="P147" s="186"/>
      <c r="Q147" s="186"/>
      <c r="R147" s="187"/>
      <c r="S147" s="187"/>
      <c r="T147" s="184"/>
      <c r="U147" s="184"/>
      <c r="V147" s="188"/>
      <c r="W147" s="189"/>
      <c r="X147" s="190"/>
      <c r="Y147" s="185"/>
      <c r="Z147" s="191"/>
      <c r="AA147" s="97"/>
      <c r="AB147" s="192"/>
    </row>
    <row r="148" spans="1:28">
      <c r="A148" s="116"/>
      <c r="B148" s="116"/>
      <c r="C148" s="116">
        <v>3</v>
      </c>
      <c r="D148" s="3"/>
      <c r="E148" s="207"/>
      <c r="F148" s="209"/>
      <c r="G148" s="209"/>
      <c r="H148" s="183"/>
      <c r="I148" s="183"/>
      <c r="J148" s="183"/>
      <c r="K148" s="183"/>
      <c r="L148" s="183"/>
      <c r="M148" s="184"/>
      <c r="N148" s="184"/>
      <c r="O148" s="185"/>
      <c r="P148" s="186"/>
      <c r="Q148" s="186"/>
      <c r="R148" s="187"/>
      <c r="S148" s="187"/>
      <c r="T148" s="184"/>
      <c r="U148" s="184"/>
      <c r="V148" s="188"/>
      <c r="W148" s="189"/>
      <c r="X148" s="190"/>
      <c r="Y148" s="185"/>
      <c r="Z148" s="191"/>
      <c r="AA148" s="97"/>
      <c r="AB148" s="192"/>
    </row>
    <row r="149" spans="1:28">
      <c r="A149" s="116"/>
      <c r="B149" s="116"/>
      <c r="C149" s="116">
        <v>0</v>
      </c>
      <c r="D149" s="3"/>
      <c r="E149" s="207"/>
      <c r="F149" s="209"/>
      <c r="G149" s="209"/>
      <c r="H149" s="183"/>
      <c r="I149" s="183"/>
      <c r="J149" s="183"/>
      <c r="K149" s="183"/>
      <c r="L149" s="183"/>
      <c r="M149" s="184"/>
      <c r="N149" s="184"/>
      <c r="O149" s="185"/>
      <c r="P149" s="186"/>
      <c r="Q149" s="186"/>
      <c r="R149" s="187"/>
      <c r="S149" s="187"/>
      <c r="T149" s="184"/>
      <c r="U149" s="184"/>
      <c r="V149" s="188"/>
      <c r="W149" s="189"/>
      <c r="X149" s="190"/>
      <c r="Y149" s="185"/>
      <c r="Z149" s="191"/>
      <c r="AA149" s="97"/>
      <c r="AB149" s="192"/>
    </row>
    <row r="150" spans="1:28">
      <c r="A150" s="116"/>
      <c r="B150" s="116" t="s">
        <v>983</v>
      </c>
      <c r="C150" s="116">
        <v>2</v>
      </c>
      <c r="D150" s="3"/>
      <c r="E150" s="207"/>
      <c r="F150" s="209"/>
      <c r="G150" s="209"/>
      <c r="H150" s="183"/>
      <c r="I150" s="183"/>
      <c r="J150" s="183"/>
      <c r="K150" s="183"/>
      <c r="L150" s="183"/>
      <c r="M150" s="184"/>
      <c r="N150" s="184"/>
      <c r="O150" s="185"/>
      <c r="P150" s="186"/>
      <c r="Q150" s="186"/>
      <c r="R150" s="187"/>
      <c r="S150" s="187"/>
      <c r="T150" s="184"/>
      <c r="U150" s="184"/>
      <c r="V150" s="188"/>
      <c r="W150" s="189"/>
      <c r="X150" s="190"/>
      <c r="Y150" s="185"/>
      <c r="Z150" s="191"/>
      <c r="AA150" s="97"/>
      <c r="AB150" s="192"/>
    </row>
    <row r="151" spans="1:28">
      <c r="A151" s="116"/>
      <c r="B151" s="116"/>
      <c r="C151" s="116">
        <v>3</v>
      </c>
      <c r="D151" s="3"/>
      <c r="E151" s="207"/>
      <c r="F151" s="209"/>
      <c r="G151" s="209"/>
      <c r="H151" s="183"/>
      <c r="I151" s="183"/>
      <c r="J151" s="183"/>
      <c r="K151" s="183"/>
      <c r="L151" s="183"/>
      <c r="M151" s="184"/>
      <c r="N151" s="184"/>
      <c r="O151" s="185"/>
      <c r="P151" s="186"/>
      <c r="Q151" s="186"/>
      <c r="R151" s="187"/>
      <c r="S151" s="187"/>
      <c r="T151" s="184"/>
      <c r="U151" s="184"/>
      <c r="V151" s="188"/>
      <c r="W151" s="189"/>
      <c r="X151" s="190"/>
      <c r="Y151" s="185"/>
      <c r="Z151" s="191"/>
      <c r="AA151" s="97"/>
      <c r="AB151" s="192"/>
    </row>
    <row r="152" spans="1:28">
      <c r="A152" s="116"/>
      <c r="B152" s="116"/>
      <c r="C152" s="116">
        <v>3</v>
      </c>
      <c r="D152" s="3"/>
      <c r="E152" s="207"/>
      <c r="F152" s="209"/>
      <c r="G152" s="209"/>
      <c r="H152" s="183"/>
      <c r="I152" s="183"/>
      <c r="J152" s="183"/>
      <c r="K152" s="183"/>
      <c r="L152" s="183"/>
      <c r="M152" s="184"/>
      <c r="N152" s="184"/>
      <c r="O152" s="185"/>
      <c r="P152" s="186"/>
      <c r="Q152" s="186"/>
      <c r="R152" s="187"/>
      <c r="S152" s="187"/>
      <c r="T152" s="184"/>
      <c r="U152" s="184"/>
      <c r="V152" s="188"/>
      <c r="W152" s="189"/>
      <c r="X152" s="190"/>
      <c r="Y152" s="185"/>
      <c r="Z152" s="191"/>
      <c r="AA152" s="97"/>
      <c r="AB152" s="192"/>
    </row>
    <row r="153" spans="1:28">
      <c r="A153" s="116"/>
      <c r="B153" s="116"/>
      <c r="C153" s="116">
        <v>3</v>
      </c>
      <c r="D153" s="3"/>
      <c r="E153" s="207"/>
      <c r="F153" s="209"/>
      <c r="G153" s="209"/>
      <c r="H153" s="183"/>
      <c r="I153" s="183"/>
      <c r="J153" s="183"/>
      <c r="K153" s="183"/>
      <c r="L153" s="183"/>
      <c r="M153" s="184"/>
      <c r="N153" s="184"/>
      <c r="O153" s="185"/>
      <c r="P153" s="186"/>
      <c r="Q153" s="186"/>
      <c r="R153" s="187"/>
      <c r="S153" s="187"/>
      <c r="T153" s="184"/>
      <c r="U153" s="184"/>
      <c r="V153" s="188"/>
      <c r="W153" s="189"/>
      <c r="X153" s="190"/>
      <c r="Y153" s="185"/>
      <c r="Z153" s="191"/>
      <c r="AA153" s="97"/>
      <c r="AB153" s="192"/>
    </row>
    <row r="154" spans="1:28">
      <c r="A154" s="116"/>
      <c r="B154" s="116"/>
      <c r="C154" s="116">
        <v>3</v>
      </c>
      <c r="D154" s="3"/>
      <c r="E154" s="207"/>
      <c r="F154" s="209"/>
      <c r="G154" s="209"/>
      <c r="H154" s="183"/>
      <c r="I154" s="183"/>
      <c r="J154" s="183"/>
      <c r="K154" s="183"/>
      <c r="L154" s="183"/>
      <c r="M154" s="184"/>
      <c r="N154" s="184"/>
      <c r="O154" s="185"/>
      <c r="P154" s="186"/>
      <c r="Q154" s="186"/>
      <c r="R154" s="187"/>
      <c r="S154" s="187"/>
      <c r="T154" s="184"/>
      <c r="U154" s="184"/>
      <c r="V154" s="188"/>
      <c r="W154" s="189"/>
      <c r="X154" s="190"/>
      <c r="Y154" s="185"/>
      <c r="Z154" s="191"/>
      <c r="AA154" s="97"/>
      <c r="AB154" s="192"/>
    </row>
    <row r="155" spans="1:28">
      <c r="A155" s="116"/>
      <c r="B155" s="116"/>
      <c r="C155" s="116">
        <v>0</v>
      </c>
      <c r="D155" s="3"/>
      <c r="E155" s="207"/>
      <c r="F155" s="209"/>
      <c r="G155" s="209"/>
      <c r="H155" s="183"/>
      <c r="I155" s="183"/>
      <c r="J155" s="183"/>
      <c r="K155" s="183"/>
      <c r="L155" s="183"/>
      <c r="M155" s="184"/>
      <c r="N155" s="184"/>
      <c r="O155" s="185"/>
      <c r="P155" s="186"/>
      <c r="Q155" s="186"/>
      <c r="R155" s="187"/>
      <c r="S155" s="187"/>
      <c r="T155" s="184"/>
      <c r="U155" s="184"/>
      <c r="V155" s="188"/>
      <c r="W155" s="189"/>
      <c r="X155" s="190"/>
      <c r="Y155" s="185"/>
      <c r="Z155" s="191"/>
      <c r="AA155" s="97"/>
      <c r="AB155" s="192"/>
    </row>
    <row r="156" spans="1:28">
      <c r="A156" s="116"/>
      <c r="B156" s="116" t="s">
        <v>983</v>
      </c>
      <c r="C156" s="116">
        <v>2</v>
      </c>
      <c r="D156" s="3"/>
      <c r="E156" s="207"/>
      <c r="F156" s="209"/>
      <c r="G156" s="209"/>
      <c r="H156" s="183"/>
      <c r="I156" s="183"/>
      <c r="J156" s="183"/>
      <c r="K156" s="183"/>
      <c r="L156" s="183"/>
      <c r="M156" s="184"/>
      <c r="N156" s="184"/>
      <c r="O156" s="185"/>
      <c r="P156" s="186"/>
      <c r="Q156" s="186"/>
      <c r="R156" s="187"/>
      <c r="S156" s="187"/>
      <c r="T156" s="184"/>
      <c r="U156" s="184"/>
      <c r="V156" s="188"/>
      <c r="W156" s="189"/>
      <c r="X156" s="190"/>
      <c r="Y156" s="185"/>
      <c r="Z156" s="191"/>
      <c r="AA156" s="97"/>
      <c r="AB156" s="192"/>
    </row>
    <row r="157" spans="1:28">
      <c r="A157" s="116"/>
      <c r="B157" s="116"/>
      <c r="C157" s="116">
        <v>3</v>
      </c>
      <c r="D157" s="3"/>
      <c r="E157" s="207"/>
      <c r="F157" s="209"/>
      <c r="G157" s="209"/>
      <c r="H157" s="183"/>
      <c r="I157" s="183"/>
      <c r="J157" s="183"/>
      <c r="K157" s="183"/>
      <c r="L157" s="183"/>
      <c r="M157" s="184"/>
      <c r="N157" s="184"/>
      <c r="O157" s="185"/>
      <c r="P157" s="186"/>
      <c r="Q157" s="186"/>
      <c r="R157" s="187"/>
      <c r="S157" s="187"/>
      <c r="T157" s="184"/>
      <c r="U157" s="184"/>
      <c r="V157" s="188"/>
      <c r="W157" s="189"/>
      <c r="X157" s="190"/>
      <c r="Y157" s="185"/>
      <c r="Z157" s="191"/>
      <c r="AA157" s="97"/>
      <c r="AB157" s="192"/>
    </row>
    <row r="158" spans="1:28">
      <c r="A158" s="116"/>
      <c r="B158" s="116"/>
      <c r="C158" s="116">
        <v>3</v>
      </c>
      <c r="D158" s="3"/>
      <c r="E158" s="207"/>
      <c r="F158" s="209"/>
      <c r="G158" s="209"/>
      <c r="H158" s="183"/>
      <c r="I158" s="183"/>
      <c r="J158" s="183"/>
      <c r="K158" s="183"/>
      <c r="L158" s="183"/>
      <c r="M158" s="184"/>
      <c r="N158" s="184"/>
      <c r="O158" s="185"/>
      <c r="P158" s="186"/>
      <c r="Q158" s="186"/>
      <c r="R158" s="187"/>
      <c r="S158" s="187"/>
      <c r="T158" s="184"/>
      <c r="U158" s="184"/>
      <c r="V158" s="188"/>
      <c r="W158" s="189"/>
      <c r="X158" s="190"/>
      <c r="Y158" s="185"/>
      <c r="Z158" s="191"/>
      <c r="AA158" s="97"/>
      <c r="AB158" s="192"/>
    </row>
    <row r="159" spans="1:28">
      <c r="A159" s="116"/>
      <c r="B159" s="116"/>
      <c r="C159" s="116">
        <v>3</v>
      </c>
      <c r="D159" s="3"/>
      <c r="E159" s="207"/>
      <c r="F159" s="209"/>
      <c r="G159" s="209"/>
      <c r="H159" s="183"/>
      <c r="I159" s="183"/>
      <c r="J159" s="183"/>
      <c r="K159" s="183"/>
      <c r="L159" s="183"/>
      <c r="M159" s="184"/>
      <c r="N159" s="184"/>
      <c r="O159" s="185"/>
      <c r="P159" s="186"/>
      <c r="Q159" s="186"/>
      <c r="R159" s="187"/>
      <c r="S159" s="187"/>
      <c r="T159" s="184"/>
      <c r="U159" s="184"/>
      <c r="V159" s="188"/>
      <c r="W159" s="189"/>
      <c r="X159" s="190"/>
      <c r="Y159" s="185"/>
      <c r="Z159" s="191"/>
      <c r="AA159" s="97"/>
      <c r="AB159" s="192"/>
    </row>
    <row r="160" spans="1:28">
      <c r="A160" s="116"/>
      <c r="B160" s="116"/>
      <c r="C160" s="116">
        <v>3</v>
      </c>
      <c r="D160" s="3"/>
      <c r="E160" s="207"/>
      <c r="F160" s="209"/>
      <c r="G160" s="209"/>
      <c r="H160" s="183"/>
      <c r="I160" s="183"/>
      <c r="J160" s="183"/>
      <c r="K160" s="183"/>
      <c r="L160" s="183"/>
      <c r="M160" s="184"/>
      <c r="N160" s="184"/>
      <c r="O160" s="185"/>
      <c r="P160" s="186"/>
      <c r="Q160" s="186"/>
      <c r="R160" s="187"/>
      <c r="S160" s="187"/>
      <c r="T160" s="184"/>
      <c r="U160" s="184"/>
      <c r="V160" s="188"/>
      <c r="W160" s="189"/>
      <c r="X160" s="190"/>
      <c r="Y160" s="185"/>
      <c r="Z160" s="191"/>
      <c r="AA160" s="97"/>
      <c r="AB160" s="192"/>
    </row>
    <row r="161" spans="1:28">
      <c r="A161" s="116"/>
      <c r="B161" s="116"/>
      <c r="C161" s="116">
        <v>0</v>
      </c>
      <c r="D161" s="3"/>
      <c r="E161" s="207"/>
      <c r="F161" s="209"/>
      <c r="G161" s="209"/>
      <c r="H161" s="183"/>
      <c r="I161" s="183"/>
      <c r="J161" s="183"/>
      <c r="K161" s="183"/>
      <c r="L161" s="183"/>
      <c r="M161" s="184"/>
      <c r="N161" s="184"/>
      <c r="O161" s="185"/>
      <c r="P161" s="186"/>
      <c r="Q161" s="186"/>
      <c r="R161" s="187"/>
      <c r="S161" s="187"/>
      <c r="T161" s="184"/>
      <c r="U161" s="184"/>
      <c r="V161" s="188"/>
      <c r="W161" s="189"/>
      <c r="X161" s="190"/>
      <c r="Y161" s="185"/>
      <c r="Z161" s="191"/>
      <c r="AA161" s="97"/>
      <c r="AB161" s="192"/>
    </row>
    <row r="162" spans="1:28">
      <c r="A162" s="116"/>
      <c r="B162" s="116" t="s">
        <v>983</v>
      </c>
      <c r="C162" s="116">
        <v>2</v>
      </c>
      <c r="D162" s="3"/>
      <c r="E162" s="207"/>
      <c r="F162" s="209"/>
      <c r="G162" s="209"/>
      <c r="H162" s="183"/>
      <c r="I162" s="183"/>
      <c r="J162" s="183"/>
      <c r="K162" s="183"/>
      <c r="L162" s="183"/>
      <c r="M162" s="184"/>
      <c r="N162" s="184"/>
      <c r="O162" s="185"/>
      <c r="P162" s="186"/>
      <c r="Q162" s="186"/>
      <c r="R162" s="187"/>
      <c r="S162" s="187"/>
      <c r="T162" s="184"/>
      <c r="U162" s="184"/>
      <c r="V162" s="188"/>
      <c r="W162" s="189"/>
      <c r="X162" s="190"/>
      <c r="Y162" s="185"/>
      <c r="Z162" s="191"/>
      <c r="AA162" s="97"/>
      <c r="AB162" s="192"/>
    </row>
    <row r="163" spans="1:28">
      <c r="A163" s="116"/>
      <c r="B163" s="116"/>
      <c r="C163" s="116">
        <v>3</v>
      </c>
      <c r="D163" s="3"/>
      <c r="E163" s="207"/>
      <c r="F163" s="209"/>
      <c r="G163" s="209"/>
      <c r="H163" s="183"/>
      <c r="I163" s="183"/>
      <c r="J163" s="183"/>
      <c r="K163" s="183"/>
      <c r="L163" s="183"/>
      <c r="M163" s="184"/>
      <c r="N163" s="184"/>
      <c r="O163" s="185"/>
      <c r="P163" s="186"/>
      <c r="Q163" s="186"/>
      <c r="R163" s="187"/>
      <c r="S163" s="187"/>
      <c r="T163" s="184"/>
      <c r="U163" s="184"/>
      <c r="V163" s="188"/>
      <c r="W163" s="189"/>
      <c r="X163" s="190"/>
      <c r="Y163" s="185"/>
      <c r="Z163" s="191"/>
      <c r="AA163" s="97"/>
      <c r="AB163" s="192"/>
    </row>
    <row r="164" spans="1:28">
      <c r="A164" s="116"/>
      <c r="B164" s="116"/>
      <c r="C164" s="116">
        <v>3</v>
      </c>
      <c r="D164" s="3"/>
      <c r="E164" s="207"/>
      <c r="F164" s="209"/>
      <c r="G164" s="209"/>
      <c r="H164" s="183"/>
      <c r="I164" s="183"/>
      <c r="J164" s="183"/>
      <c r="K164" s="183"/>
      <c r="L164" s="183"/>
      <c r="M164" s="184"/>
      <c r="N164" s="184"/>
      <c r="O164" s="185"/>
      <c r="P164" s="186"/>
      <c r="Q164" s="186"/>
      <c r="R164" s="187"/>
      <c r="S164" s="187"/>
      <c r="T164" s="184"/>
      <c r="U164" s="184"/>
      <c r="V164" s="188"/>
      <c r="W164" s="189"/>
      <c r="X164" s="190"/>
      <c r="Y164" s="185"/>
      <c r="Z164" s="191"/>
      <c r="AA164" s="97"/>
      <c r="AB164" s="192"/>
    </row>
    <row r="165" spans="1:28">
      <c r="A165" s="116"/>
      <c r="B165" s="116"/>
      <c r="C165" s="116">
        <v>3</v>
      </c>
      <c r="D165" s="3"/>
      <c r="E165" s="207"/>
      <c r="F165" s="209"/>
      <c r="G165" s="209"/>
      <c r="H165" s="183"/>
      <c r="I165" s="183"/>
      <c r="J165" s="183"/>
      <c r="K165" s="183"/>
      <c r="L165" s="183"/>
      <c r="M165" s="184"/>
      <c r="N165" s="184"/>
      <c r="O165" s="185"/>
      <c r="P165" s="186"/>
      <c r="Q165" s="186"/>
      <c r="R165" s="187"/>
      <c r="S165" s="187"/>
      <c r="T165" s="184"/>
      <c r="U165" s="184"/>
      <c r="V165" s="188"/>
      <c r="W165" s="189"/>
      <c r="X165" s="190"/>
      <c r="Y165" s="185"/>
      <c r="Z165" s="191"/>
      <c r="AA165" s="97"/>
      <c r="AB165" s="192"/>
    </row>
    <row r="166" spans="1:28">
      <c r="A166" s="116"/>
      <c r="B166" s="116"/>
      <c r="C166" s="116">
        <v>3</v>
      </c>
      <c r="D166" s="3"/>
      <c r="E166" s="207"/>
      <c r="F166" s="209"/>
      <c r="G166" s="209"/>
      <c r="H166" s="183"/>
      <c r="I166" s="183"/>
      <c r="J166" s="183"/>
      <c r="K166" s="183"/>
      <c r="L166" s="183"/>
      <c r="M166" s="184"/>
      <c r="N166" s="184"/>
      <c r="O166" s="185"/>
      <c r="P166" s="186"/>
      <c r="Q166" s="186"/>
      <c r="R166" s="187"/>
      <c r="S166" s="187"/>
      <c r="T166" s="184"/>
      <c r="U166" s="184"/>
      <c r="V166" s="188"/>
      <c r="W166" s="189"/>
      <c r="X166" s="190"/>
      <c r="Y166" s="185"/>
      <c r="Z166" s="191"/>
      <c r="AA166" s="97"/>
      <c r="AB166" s="192"/>
    </row>
    <row r="167" spans="1:28">
      <c r="A167" s="116"/>
      <c r="B167" s="116"/>
      <c r="C167" s="116">
        <v>0</v>
      </c>
      <c r="D167" s="3"/>
      <c r="E167" s="207"/>
      <c r="F167" s="209"/>
      <c r="G167" s="209"/>
      <c r="H167" s="183"/>
      <c r="I167" s="183"/>
      <c r="J167" s="183"/>
      <c r="K167" s="183"/>
      <c r="L167" s="183"/>
      <c r="M167" s="184"/>
      <c r="N167" s="184"/>
      <c r="O167" s="185"/>
      <c r="P167" s="186"/>
      <c r="Q167" s="186"/>
      <c r="R167" s="187"/>
      <c r="S167" s="187"/>
      <c r="T167" s="184"/>
      <c r="U167" s="184"/>
      <c r="V167" s="188"/>
      <c r="W167" s="189"/>
      <c r="X167" s="190"/>
      <c r="Y167" s="185"/>
      <c r="Z167" s="191"/>
      <c r="AA167" s="97"/>
      <c r="AB167" s="192"/>
    </row>
    <row r="168" spans="1:28">
      <c r="A168" s="116"/>
      <c r="B168" s="116" t="s">
        <v>983</v>
      </c>
      <c r="C168" s="116">
        <v>2</v>
      </c>
      <c r="D168" s="3"/>
      <c r="E168" s="207"/>
      <c r="F168" s="209"/>
      <c r="G168" s="209"/>
      <c r="H168" s="183"/>
      <c r="I168" s="183"/>
      <c r="J168" s="183"/>
      <c r="K168" s="183"/>
      <c r="L168" s="183"/>
      <c r="M168" s="184"/>
      <c r="N168" s="184"/>
      <c r="O168" s="185"/>
      <c r="P168" s="186"/>
      <c r="Q168" s="186"/>
      <c r="R168" s="187"/>
      <c r="S168" s="187"/>
      <c r="T168" s="184"/>
      <c r="U168" s="184"/>
      <c r="V168" s="188"/>
      <c r="W168" s="189"/>
      <c r="X168" s="190"/>
      <c r="Y168" s="185"/>
      <c r="Z168" s="191"/>
      <c r="AA168" s="97"/>
      <c r="AB168" s="192"/>
    </row>
    <row r="169" spans="1:28">
      <c r="A169" s="116"/>
      <c r="B169" s="116"/>
      <c r="C169" s="116">
        <v>3</v>
      </c>
      <c r="D169" s="3"/>
      <c r="E169" s="207"/>
      <c r="F169" s="209"/>
      <c r="G169" s="209"/>
      <c r="H169" s="183"/>
      <c r="I169" s="183"/>
      <c r="J169" s="183"/>
      <c r="K169" s="183"/>
      <c r="L169" s="183"/>
      <c r="M169" s="184"/>
      <c r="N169" s="184"/>
      <c r="O169" s="185"/>
      <c r="P169" s="186"/>
      <c r="Q169" s="186"/>
      <c r="R169" s="187"/>
      <c r="S169" s="187"/>
      <c r="T169" s="184"/>
      <c r="U169" s="184"/>
      <c r="V169" s="188"/>
      <c r="W169" s="189"/>
      <c r="X169" s="190"/>
      <c r="Y169" s="185"/>
      <c r="Z169" s="191"/>
      <c r="AA169" s="97"/>
      <c r="AB169" s="192"/>
    </row>
    <row r="170" spans="1:28">
      <c r="A170" s="116"/>
      <c r="B170" s="116"/>
      <c r="C170" s="116">
        <v>3</v>
      </c>
      <c r="D170" s="3"/>
      <c r="E170" s="207"/>
      <c r="F170" s="209"/>
      <c r="G170" s="209"/>
      <c r="H170" s="183"/>
      <c r="I170" s="183"/>
      <c r="J170" s="183"/>
      <c r="K170" s="183"/>
      <c r="L170" s="183"/>
      <c r="M170" s="184"/>
      <c r="N170" s="184"/>
      <c r="O170" s="185"/>
      <c r="P170" s="186"/>
      <c r="Q170" s="186"/>
      <c r="R170" s="187"/>
      <c r="S170" s="187"/>
      <c r="T170" s="184"/>
      <c r="U170" s="184"/>
      <c r="V170" s="188"/>
      <c r="W170" s="189"/>
      <c r="X170" s="190"/>
      <c r="Y170" s="185"/>
      <c r="Z170" s="191"/>
      <c r="AA170" s="97"/>
      <c r="AB170" s="192"/>
    </row>
    <row r="171" spans="1:28">
      <c r="A171" s="116"/>
      <c r="B171" s="116"/>
      <c r="C171" s="116">
        <v>3</v>
      </c>
      <c r="D171" s="3"/>
      <c r="E171" s="207"/>
      <c r="F171" s="209"/>
      <c r="G171" s="209"/>
      <c r="H171" s="183"/>
      <c r="I171" s="183"/>
      <c r="J171" s="183"/>
      <c r="K171" s="183"/>
      <c r="L171" s="183"/>
      <c r="M171" s="184"/>
      <c r="N171" s="184"/>
      <c r="O171" s="185"/>
      <c r="P171" s="186"/>
      <c r="Q171" s="186"/>
      <c r="R171" s="187"/>
      <c r="S171" s="187"/>
      <c r="T171" s="184"/>
      <c r="U171" s="184"/>
      <c r="V171" s="188"/>
      <c r="W171" s="189"/>
      <c r="X171" s="190"/>
      <c r="Y171" s="185"/>
      <c r="Z171" s="191"/>
      <c r="AA171" s="97"/>
      <c r="AB171" s="192"/>
    </row>
    <row r="172" spans="1:28">
      <c r="A172" s="116"/>
      <c r="B172" s="116"/>
      <c r="C172" s="116">
        <v>3</v>
      </c>
      <c r="D172" s="3"/>
      <c r="E172" s="207"/>
      <c r="F172" s="209"/>
      <c r="G172" s="209"/>
      <c r="H172" s="183"/>
      <c r="I172" s="183"/>
      <c r="J172" s="183"/>
      <c r="K172" s="183"/>
      <c r="L172" s="183"/>
      <c r="M172" s="184"/>
      <c r="N172" s="184"/>
      <c r="O172" s="185"/>
      <c r="P172" s="186"/>
      <c r="Q172" s="186"/>
      <c r="R172" s="187"/>
      <c r="S172" s="187"/>
      <c r="T172" s="184"/>
      <c r="U172" s="184"/>
      <c r="V172" s="188"/>
      <c r="W172" s="189"/>
      <c r="X172" s="190"/>
      <c r="Y172" s="185"/>
      <c r="Z172" s="191"/>
      <c r="AA172" s="97"/>
      <c r="AB172" s="192"/>
    </row>
    <row r="173" spans="1:28">
      <c r="A173" s="116"/>
      <c r="B173" s="116"/>
      <c r="C173" s="116">
        <v>0</v>
      </c>
      <c r="D173" s="3"/>
      <c r="E173" s="207"/>
      <c r="F173" s="209"/>
      <c r="G173" s="209"/>
      <c r="H173" s="183"/>
      <c r="I173" s="183"/>
      <c r="J173" s="183"/>
      <c r="K173" s="183"/>
      <c r="L173" s="183"/>
      <c r="M173" s="184"/>
      <c r="N173" s="184"/>
      <c r="O173" s="185"/>
      <c r="P173" s="186"/>
      <c r="Q173" s="186"/>
      <c r="R173" s="187"/>
      <c r="S173" s="187"/>
      <c r="T173" s="184"/>
      <c r="U173" s="184"/>
      <c r="V173" s="188"/>
      <c r="W173" s="189"/>
      <c r="X173" s="190"/>
      <c r="Y173" s="185"/>
      <c r="Z173" s="191"/>
      <c r="AA173" s="97"/>
      <c r="AB173" s="192"/>
    </row>
    <row r="174" spans="1:28">
      <c r="A174" s="116"/>
      <c r="B174" s="116" t="s">
        <v>983</v>
      </c>
      <c r="C174" s="116">
        <v>2</v>
      </c>
      <c r="D174" s="3"/>
      <c r="E174" s="207"/>
      <c r="F174" s="209"/>
      <c r="G174" s="209"/>
      <c r="H174" s="183"/>
      <c r="I174" s="183"/>
      <c r="J174" s="183"/>
      <c r="K174" s="183"/>
      <c r="L174" s="183"/>
      <c r="M174" s="184"/>
      <c r="N174" s="184"/>
      <c r="O174" s="185"/>
      <c r="P174" s="186"/>
      <c r="Q174" s="186"/>
      <c r="R174" s="187"/>
      <c r="S174" s="187"/>
      <c r="T174" s="184"/>
      <c r="U174" s="184"/>
      <c r="V174" s="188"/>
      <c r="W174" s="189"/>
      <c r="X174" s="190"/>
      <c r="Y174" s="185"/>
      <c r="Z174" s="191"/>
      <c r="AA174" s="97"/>
      <c r="AB174" s="192"/>
    </row>
    <row r="175" spans="1:28">
      <c r="A175" s="116"/>
      <c r="B175" s="116"/>
      <c r="C175" s="116">
        <v>3</v>
      </c>
      <c r="D175" s="3"/>
      <c r="E175" s="207"/>
      <c r="F175" s="209"/>
      <c r="G175" s="209"/>
      <c r="H175" s="183"/>
      <c r="I175" s="183"/>
      <c r="J175" s="183"/>
      <c r="K175" s="183"/>
      <c r="L175" s="183"/>
      <c r="M175" s="184"/>
      <c r="N175" s="184"/>
      <c r="O175" s="185"/>
      <c r="P175" s="186"/>
      <c r="Q175" s="186"/>
      <c r="R175" s="187"/>
      <c r="S175" s="187"/>
      <c r="T175" s="184"/>
      <c r="U175" s="184"/>
      <c r="V175" s="188"/>
      <c r="W175" s="189"/>
      <c r="X175" s="190"/>
      <c r="Y175" s="185"/>
      <c r="Z175" s="191"/>
      <c r="AA175" s="97"/>
      <c r="AB175" s="192"/>
    </row>
    <row r="176" spans="1:28">
      <c r="A176" s="116"/>
      <c r="B176" s="116"/>
      <c r="C176" s="116">
        <v>3</v>
      </c>
      <c r="D176" s="3"/>
      <c r="E176" s="207"/>
      <c r="F176" s="209"/>
      <c r="G176" s="209"/>
      <c r="H176" s="183"/>
      <c r="I176" s="183"/>
      <c r="J176" s="183"/>
      <c r="K176" s="183"/>
      <c r="L176" s="183"/>
      <c r="M176" s="184"/>
      <c r="N176" s="184"/>
      <c r="O176" s="185"/>
      <c r="P176" s="186"/>
      <c r="Q176" s="186"/>
      <c r="R176" s="187"/>
      <c r="S176" s="187"/>
      <c r="T176" s="184"/>
      <c r="U176" s="184"/>
      <c r="V176" s="188"/>
      <c r="W176" s="189"/>
      <c r="X176" s="190"/>
      <c r="Y176" s="185"/>
      <c r="Z176" s="191"/>
      <c r="AA176" s="97"/>
      <c r="AB176" s="192"/>
    </row>
    <row r="177" spans="1:28">
      <c r="A177" s="116"/>
      <c r="B177" s="116"/>
      <c r="C177" s="116">
        <v>3</v>
      </c>
      <c r="D177" s="3"/>
      <c r="E177" s="207"/>
      <c r="F177" s="209"/>
      <c r="G177" s="209"/>
      <c r="H177" s="183"/>
      <c r="I177" s="183"/>
      <c r="J177" s="183"/>
      <c r="K177" s="183"/>
      <c r="L177" s="183"/>
      <c r="M177" s="184"/>
      <c r="N177" s="184"/>
      <c r="O177" s="185"/>
      <c r="P177" s="186"/>
      <c r="Q177" s="186"/>
      <c r="R177" s="187"/>
      <c r="S177" s="187"/>
      <c r="T177" s="184"/>
      <c r="U177" s="184"/>
      <c r="V177" s="188"/>
      <c r="W177" s="189"/>
      <c r="X177" s="190"/>
      <c r="Y177" s="185"/>
      <c r="Z177" s="191"/>
      <c r="AA177" s="97"/>
      <c r="AB177" s="192"/>
    </row>
    <row r="178" spans="1:28">
      <c r="A178" s="116"/>
      <c r="B178" s="116"/>
      <c r="C178" s="116">
        <v>3</v>
      </c>
      <c r="D178" s="3"/>
      <c r="E178" s="207"/>
      <c r="F178" s="209"/>
      <c r="G178" s="209"/>
      <c r="H178" s="183"/>
      <c r="I178" s="183"/>
      <c r="J178" s="183"/>
      <c r="K178" s="183"/>
      <c r="L178" s="183"/>
      <c r="M178" s="184"/>
      <c r="N178" s="184"/>
      <c r="O178" s="185"/>
      <c r="P178" s="186"/>
      <c r="Q178" s="186"/>
      <c r="R178" s="187"/>
      <c r="S178" s="187"/>
      <c r="T178" s="184"/>
      <c r="U178" s="184"/>
      <c r="V178" s="188"/>
      <c r="W178" s="189"/>
      <c r="X178" s="190"/>
      <c r="Y178" s="185"/>
      <c r="Z178" s="191"/>
      <c r="AA178" s="97"/>
      <c r="AB178" s="192"/>
    </row>
    <row r="179" spans="1:28">
      <c r="A179" s="116"/>
      <c r="B179" s="116"/>
      <c r="C179" s="116">
        <v>0</v>
      </c>
      <c r="D179" s="3"/>
      <c r="E179" s="207"/>
      <c r="F179" s="209"/>
      <c r="G179" s="209"/>
      <c r="H179" s="183"/>
      <c r="I179" s="183"/>
      <c r="J179" s="183"/>
      <c r="K179" s="183"/>
      <c r="L179" s="183"/>
      <c r="M179" s="184"/>
      <c r="N179" s="184"/>
      <c r="O179" s="185"/>
      <c r="P179" s="186"/>
      <c r="Q179" s="186"/>
      <c r="R179" s="187"/>
      <c r="S179" s="187"/>
      <c r="T179" s="184"/>
      <c r="U179" s="184"/>
      <c r="V179" s="188"/>
      <c r="W179" s="189"/>
      <c r="X179" s="190"/>
      <c r="Y179" s="185"/>
      <c r="Z179" s="191"/>
      <c r="AA179" s="97"/>
      <c r="AB179" s="192"/>
    </row>
    <row r="180" spans="1:28">
      <c r="A180" s="116"/>
      <c r="B180" s="116" t="s">
        <v>983</v>
      </c>
      <c r="C180" s="116">
        <v>2</v>
      </c>
      <c r="D180" s="3"/>
      <c r="E180" s="207"/>
      <c r="F180" s="209"/>
      <c r="G180" s="209"/>
      <c r="H180" s="183"/>
      <c r="I180" s="183"/>
      <c r="J180" s="183"/>
      <c r="K180" s="183"/>
      <c r="L180" s="183"/>
      <c r="M180" s="184"/>
      <c r="N180" s="184"/>
      <c r="O180" s="185"/>
      <c r="P180" s="186"/>
      <c r="Q180" s="186"/>
      <c r="R180" s="187"/>
      <c r="S180" s="187"/>
      <c r="T180" s="184"/>
      <c r="U180" s="184"/>
      <c r="V180" s="188"/>
      <c r="W180" s="189"/>
      <c r="X180" s="190"/>
      <c r="Y180" s="185"/>
      <c r="Z180" s="191"/>
      <c r="AA180" s="97"/>
      <c r="AB180" s="192"/>
    </row>
    <row r="181" spans="1:28">
      <c r="A181" s="116"/>
      <c r="B181" s="116"/>
      <c r="C181" s="116">
        <v>3</v>
      </c>
      <c r="D181" s="3"/>
      <c r="E181" s="207"/>
      <c r="F181" s="209"/>
      <c r="G181" s="209"/>
      <c r="H181" s="183"/>
      <c r="I181" s="183"/>
      <c r="J181" s="183"/>
      <c r="K181" s="183"/>
      <c r="L181" s="183"/>
      <c r="M181" s="184"/>
      <c r="N181" s="184"/>
      <c r="O181" s="185"/>
      <c r="P181" s="186"/>
      <c r="Q181" s="186"/>
      <c r="R181" s="187"/>
      <c r="S181" s="187"/>
      <c r="T181" s="184"/>
      <c r="U181" s="184"/>
      <c r="V181" s="188"/>
      <c r="W181" s="189"/>
      <c r="X181" s="190"/>
      <c r="Y181" s="185"/>
      <c r="Z181" s="191"/>
      <c r="AA181" s="97"/>
      <c r="AB181" s="192"/>
    </row>
    <row r="182" spans="1:28">
      <c r="A182" s="116"/>
      <c r="B182" s="116"/>
      <c r="C182" s="116">
        <v>3</v>
      </c>
      <c r="D182" s="3"/>
      <c r="E182" s="207"/>
      <c r="F182" s="209"/>
      <c r="G182" s="209"/>
      <c r="H182" s="183"/>
      <c r="I182" s="183"/>
      <c r="J182" s="183"/>
      <c r="K182" s="183"/>
      <c r="L182" s="183"/>
      <c r="M182" s="184"/>
      <c r="N182" s="184"/>
      <c r="O182" s="185"/>
      <c r="P182" s="186"/>
      <c r="Q182" s="186"/>
      <c r="R182" s="187"/>
      <c r="S182" s="187"/>
      <c r="T182" s="184"/>
      <c r="U182" s="184"/>
      <c r="V182" s="188"/>
      <c r="W182" s="189"/>
      <c r="X182" s="190"/>
      <c r="Y182" s="185"/>
      <c r="Z182" s="191"/>
      <c r="AA182" s="97"/>
      <c r="AB182" s="192"/>
    </row>
    <row r="183" spans="1:28">
      <c r="A183" s="116"/>
      <c r="B183" s="116"/>
      <c r="C183" s="116">
        <v>3</v>
      </c>
      <c r="D183" s="3"/>
      <c r="E183" s="207"/>
      <c r="F183" s="209"/>
      <c r="G183" s="209"/>
      <c r="H183" s="183"/>
      <c r="I183" s="183"/>
      <c r="J183" s="183"/>
      <c r="K183" s="183"/>
      <c r="L183" s="183"/>
      <c r="M183" s="184"/>
      <c r="N183" s="184"/>
      <c r="O183" s="185"/>
      <c r="P183" s="186"/>
      <c r="Q183" s="186"/>
      <c r="R183" s="187"/>
      <c r="S183" s="187"/>
      <c r="T183" s="184"/>
      <c r="U183" s="184"/>
      <c r="V183" s="188"/>
      <c r="W183" s="189"/>
      <c r="X183" s="190"/>
      <c r="Y183" s="185"/>
      <c r="Z183" s="191"/>
      <c r="AA183" s="97"/>
      <c r="AB183" s="192"/>
    </row>
    <row r="184" spans="1:28">
      <c r="A184" s="116"/>
      <c r="B184" s="116"/>
      <c r="C184" s="116">
        <v>3</v>
      </c>
      <c r="D184" s="3"/>
      <c r="E184" s="207"/>
      <c r="F184" s="209"/>
      <c r="G184" s="209"/>
      <c r="H184" s="183"/>
      <c r="I184" s="183"/>
      <c r="J184" s="183"/>
      <c r="K184" s="183"/>
      <c r="L184" s="183"/>
      <c r="M184" s="184"/>
      <c r="N184" s="184"/>
      <c r="O184" s="185"/>
      <c r="P184" s="186"/>
      <c r="Q184" s="186"/>
      <c r="R184" s="187"/>
      <c r="S184" s="187"/>
      <c r="T184" s="184"/>
      <c r="U184" s="184"/>
      <c r="V184" s="188"/>
      <c r="W184" s="189"/>
      <c r="X184" s="190"/>
      <c r="Y184" s="185"/>
      <c r="Z184" s="191"/>
      <c r="AA184" s="97"/>
      <c r="AB184" s="192"/>
    </row>
    <row r="185" spans="1:28">
      <c r="A185" s="116"/>
      <c r="B185" s="116"/>
      <c r="C185" s="116">
        <v>0</v>
      </c>
      <c r="D185" s="3"/>
      <c r="E185" s="207"/>
      <c r="F185" s="209"/>
      <c r="G185" s="209"/>
      <c r="H185" s="183"/>
      <c r="I185" s="183"/>
      <c r="J185" s="183"/>
      <c r="K185" s="183"/>
      <c r="L185" s="183"/>
      <c r="M185" s="184"/>
      <c r="N185" s="184"/>
      <c r="O185" s="185"/>
      <c r="P185" s="186"/>
      <c r="Q185" s="186"/>
      <c r="R185" s="187"/>
      <c r="S185" s="187"/>
      <c r="T185" s="184"/>
      <c r="U185" s="184"/>
      <c r="V185" s="188"/>
      <c r="W185" s="189"/>
      <c r="X185" s="190"/>
      <c r="Y185" s="185"/>
      <c r="Z185" s="191"/>
      <c r="AA185" s="97"/>
      <c r="AB185" s="192"/>
    </row>
    <row r="186" spans="1:28">
      <c r="A186" s="116"/>
      <c r="B186" s="116" t="s">
        <v>983</v>
      </c>
      <c r="C186" s="116">
        <v>2</v>
      </c>
      <c r="D186" s="3"/>
      <c r="E186" s="207"/>
      <c r="F186" s="209"/>
      <c r="G186" s="209"/>
      <c r="H186" s="183"/>
      <c r="I186" s="183"/>
      <c r="J186" s="183"/>
      <c r="K186" s="183"/>
      <c r="L186" s="183"/>
      <c r="M186" s="184"/>
      <c r="N186" s="184"/>
      <c r="O186" s="185"/>
      <c r="P186" s="186"/>
      <c r="Q186" s="186"/>
      <c r="R186" s="187"/>
      <c r="S186" s="187"/>
      <c r="T186" s="184"/>
      <c r="U186" s="184"/>
      <c r="V186" s="188"/>
      <c r="W186" s="189"/>
      <c r="X186" s="190"/>
      <c r="Y186" s="185"/>
      <c r="Z186" s="191"/>
      <c r="AA186" s="97"/>
      <c r="AB186" s="192"/>
    </row>
    <row r="187" spans="1:28">
      <c r="A187" s="116"/>
      <c r="B187" s="116"/>
      <c r="C187" s="116">
        <v>3</v>
      </c>
      <c r="D187" s="3"/>
      <c r="E187" s="207"/>
      <c r="F187" s="209"/>
      <c r="G187" s="209"/>
      <c r="H187" s="183"/>
      <c r="I187" s="183"/>
      <c r="J187" s="183"/>
      <c r="K187" s="183"/>
      <c r="L187" s="183"/>
      <c r="M187" s="184"/>
      <c r="N187" s="184"/>
      <c r="O187" s="185"/>
      <c r="P187" s="186"/>
      <c r="Q187" s="186"/>
      <c r="R187" s="187"/>
      <c r="S187" s="187"/>
      <c r="T187" s="184"/>
      <c r="U187" s="184"/>
      <c r="V187" s="188"/>
      <c r="W187" s="189"/>
      <c r="X187" s="190"/>
      <c r="Y187" s="185"/>
      <c r="Z187" s="191"/>
      <c r="AA187" s="97"/>
      <c r="AB187" s="192"/>
    </row>
    <row r="188" spans="1:28">
      <c r="A188" s="116"/>
      <c r="B188" s="116"/>
      <c r="C188" s="116">
        <v>3</v>
      </c>
      <c r="D188" s="3"/>
      <c r="E188" s="207"/>
      <c r="F188" s="209"/>
      <c r="G188" s="209"/>
      <c r="H188" s="183"/>
      <c r="I188" s="183"/>
      <c r="J188" s="183"/>
      <c r="K188" s="183"/>
      <c r="L188" s="183"/>
      <c r="M188" s="184"/>
      <c r="N188" s="184"/>
      <c r="O188" s="185"/>
      <c r="P188" s="186"/>
      <c r="Q188" s="186"/>
      <c r="R188" s="187"/>
      <c r="S188" s="187"/>
      <c r="T188" s="184"/>
      <c r="U188" s="184"/>
      <c r="V188" s="188"/>
      <c r="W188" s="189"/>
      <c r="X188" s="190"/>
      <c r="Y188" s="185"/>
      <c r="Z188" s="191"/>
      <c r="AA188" s="97"/>
      <c r="AB188" s="192"/>
    </row>
    <row r="189" spans="1:28">
      <c r="A189" s="116"/>
      <c r="B189" s="116"/>
      <c r="C189" s="116">
        <v>3</v>
      </c>
      <c r="D189" s="3"/>
      <c r="E189" s="207"/>
      <c r="F189" s="209"/>
      <c r="G189" s="209"/>
      <c r="H189" s="183"/>
      <c r="I189" s="183"/>
      <c r="J189" s="183"/>
      <c r="K189" s="183"/>
      <c r="L189" s="183"/>
      <c r="M189" s="184"/>
      <c r="N189" s="184"/>
      <c r="O189" s="185"/>
      <c r="P189" s="186"/>
      <c r="Q189" s="186"/>
      <c r="R189" s="187"/>
      <c r="S189" s="187"/>
      <c r="T189" s="184"/>
      <c r="U189" s="184"/>
      <c r="V189" s="188"/>
      <c r="W189" s="189"/>
      <c r="X189" s="190"/>
      <c r="Y189" s="185"/>
      <c r="Z189" s="191"/>
      <c r="AA189" s="97"/>
      <c r="AB189" s="192"/>
    </row>
    <row r="190" spans="1:28">
      <c r="A190" s="116"/>
      <c r="B190" s="116"/>
      <c r="C190" s="116">
        <v>3</v>
      </c>
      <c r="D190" s="3"/>
      <c r="E190" s="207"/>
      <c r="F190" s="209"/>
      <c r="G190" s="209"/>
      <c r="H190" s="183"/>
      <c r="I190" s="183"/>
      <c r="J190" s="183"/>
      <c r="K190" s="183"/>
      <c r="L190" s="183"/>
      <c r="M190" s="184"/>
      <c r="N190" s="184"/>
      <c r="O190" s="185"/>
      <c r="P190" s="186"/>
      <c r="Q190" s="186"/>
      <c r="R190" s="187"/>
      <c r="S190" s="187"/>
      <c r="T190" s="184"/>
      <c r="U190" s="184"/>
      <c r="V190" s="188"/>
      <c r="W190" s="189"/>
      <c r="X190" s="190"/>
      <c r="Y190" s="185"/>
      <c r="Z190" s="191"/>
      <c r="AA190" s="97"/>
      <c r="AB190" s="192"/>
    </row>
    <row r="191" spans="1:28">
      <c r="A191" s="116"/>
      <c r="B191" s="116"/>
      <c r="C191" s="116">
        <v>0</v>
      </c>
      <c r="D191" s="3"/>
      <c r="E191" s="207"/>
      <c r="F191" s="209"/>
      <c r="G191" s="209"/>
      <c r="H191" s="183"/>
      <c r="I191" s="183"/>
      <c r="J191" s="183"/>
      <c r="K191" s="183"/>
      <c r="L191" s="183"/>
      <c r="M191" s="184"/>
      <c r="N191" s="184"/>
      <c r="O191" s="185"/>
      <c r="P191" s="186"/>
      <c r="Q191" s="186"/>
      <c r="R191" s="187"/>
      <c r="S191" s="187"/>
      <c r="T191" s="184"/>
      <c r="U191" s="184"/>
      <c r="V191" s="188"/>
      <c r="W191" s="189"/>
      <c r="X191" s="190"/>
      <c r="Y191" s="185"/>
      <c r="Z191" s="191"/>
      <c r="AA191" s="97"/>
      <c r="AB191" s="192"/>
    </row>
    <row r="192" spans="1:28">
      <c r="A192" s="116"/>
      <c r="B192" s="116" t="s">
        <v>983</v>
      </c>
      <c r="C192" s="116">
        <v>2</v>
      </c>
      <c r="D192" s="3"/>
      <c r="E192" s="207"/>
      <c r="F192" s="209"/>
      <c r="G192" s="209"/>
      <c r="H192" s="183"/>
      <c r="I192" s="183"/>
      <c r="J192" s="183"/>
      <c r="K192" s="183"/>
      <c r="L192" s="183"/>
      <c r="M192" s="184"/>
      <c r="N192" s="184"/>
      <c r="O192" s="185"/>
      <c r="P192" s="186"/>
      <c r="Q192" s="186"/>
      <c r="R192" s="187"/>
      <c r="S192" s="187"/>
      <c r="T192" s="184"/>
      <c r="U192" s="184"/>
      <c r="V192" s="188"/>
      <c r="W192" s="189"/>
      <c r="X192" s="190"/>
      <c r="Y192" s="185"/>
      <c r="Z192" s="191"/>
      <c r="AA192" s="97"/>
      <c r="AB192" s="192"/>
    </row>
    <row r="193" spans="1:28">
      <c r="A193" s="116"/>
      <c r="B193" s="116"/>
      <c r="C193" s="116">
        <v>3</v>
      </c>
      <c r="D193" s="3"/>
      <c r="E193" s="207"/>
      <c r="F193" s="209"/>
      <c r="G193" s="209"/>
      <c r="H193" s="183"/>
      <c r="I193" s="183"/>
      <c r="J193" s="183"/>
      <c r="K193" s="183"/>
      <c r="L193" s="183"/>
      <c r="M193" s="184"/>
      <c r="N193" s="184"/>
      <c r="O193" s="185"/>
      <c r="P193" s="186"/>
      <c r="Q193" s="186"/>
      <c r="R193" s="187"/>
      <c r="S193" s="187"/>
      <c r="T193" s="184"/>
      <c r="U193" s="184"/>
      <c r="V193" s="188"/>
      <c r="W193" s="189"/>
      <c r="X193" s="190"/>
      <c r="Y193" s="185"/>
      <c r="Z193" s="191"/>
      <c r="AA193" s="97"/>
      <c r="AB193" s="192"/>
    </row>
    <row r="194" spans="1:28">
      <c r="A194" s="116"/>
      <c r="B194" s="116"/>
      <c r="C194" s="116">
        <v>3</v>
      </c>
      <c r="D194" s="3"/>
      <c r="E194" s="207"/>
      <c r="F194" s="209"/>
      <c r="G194" s="209"/>
      <c r="H194" s="183"/>
      <c r="I194" s="183"/>
      <c r="J194" s="183"/>
      <c r="K194" s="183"/>
      <c r="L194" s="183"/>
      <c r="M194" s="184"/>
      <c r="N194" s="184"/>
      <c r="O194" s="185"/>
      <c r="P194" s="186"/>
      <c r="Q194" s="186"/>
      <c r="R194" s="187"/>
      <c r="S194" s="187"/>
      <c r="T194" s="184"/>
      <c r="U194" s="184"/>
      <c r="V194" s="188"/>
      <c r="W194" s="189"/>
      <c r="X194" s="190"/>
      <c r="Y194" s="185"/>
      <c r="Z194" s="191"/>
      <c r="AA194" s="97"/>
      <c r="AB194" s="192"/>
    </row>
    <row r="195" spans="1:28">
      <c r="A195" s="116"/>
      <c r="B195" s="116"/>
      <c r="C195" s="116">
        <v>3</v>
      </c>
      <c r="D195" s="3"/>
      <c r="E195" s="207"/>
      <c r="F195" s="209"/>
      <c r="G195" s="209"/>
      <c r="H195" s="183"/>
      <c r="I195" s="183"/>
      <c r="J195" s="183"/>
      <c r="K195" s="183"/>
      <c r="L195" s="183"/>
      <c r="M195" s="184"/>
      <c r="N195" s="184"/>
      <c r="O195" s="185"/>
      <c r="P195" s="186"/>
      <c r="Q195" s="186"/>
      <c r="R195" s="187"/>
      <c r="S195" s="187"/>
      <c r="T195" s="184"/>
      <c r="U195" s="184"/>
      <c r="V195" s="188"/>
      <c r="W195" s="189"/>
      <c r="X195" s="190"/>
      <c r="Y195" s="185"/>
      <c r="Z195" s="191"/>
      <c r="AA195" s="97"/>
      <c r="AB195" s="192"/>
    </row>
    <row r="196" spans="1:28">
      <c r="A196" s="116"/>
      <c r="B196" s="116"/>
      <c r="C196" s="116">
        <v>3</v>
      </c>
      <c r="D196" s="3"/>
      <c r="E196" s="207"/>
      <c r="F196" s="209"/>
      <c r="G196" s="209"/>
      <c r="H196" s="183"/>
      <c r="I196" s="183"/>
      <c r="J196" s="183"/>
      <c r="K196" s="183"/>
      <c r="L196" s="183"/>
      <c r="M196" s="184"/>
      <c r="N196" s="184"/>
      <c r="O196" s="185"/>
      <c r="P196" s="186"/>
      <c r="Q196" s="186"/>
      <c r="R196" s="187"/>
      <c r="S196" s="187"/>
      <c r="T196" s="184"/>
      <c r="U196" s="184"/>
      <c r="V196" s="188"/>
      <c r="W196" s="189"/>
      <c r="X196" s="190"/>
      <c r="Y196" s="185"/>
      <c r="Z196" s="191"/>
      <c r="AA196" s="97"/>
      <c r="AB196" s="192"/>
    </row>
    <row r="197" spans="1:28">
      <c r="A197" s="116"/>
      <c r="B197" s="116"/>
      <c r="C197" s="116">
        <v>0</v>
      </c>
      <c r="D197" s="3"/>
      <c r="E197" s="207"/>
      <c r="F197" s="209"/>
      <c r="G197" s="209"/>
      <c r="H197" s="183"/>
      <c r="I197" s="183"/>
      <c r="J197" s="183"/>
      <c r="K197" s="183"/>
      <c r="L197" s="183"/>
      <c r="M197" s="184"/>
      <c r="N197" s="184"/>
      <c r="O197" s="185"/>
      <c r="P197" s="186"/>
      <c r="Q197" s="186"/>
      <c r="R197" s="187"/>
      <c r="S197" s="187"/>
      <c r="T197" s="184"/>
      <c r="U197" s="184"/>
      <c r="V197" s="188"/>
      <c r="W197" s="189"/>
      <c r="X197" s="190"/>
      <c r="Y197" s="185"/>
      <c r="Z197" s="191"/>
      <c r="AA197" s="97"/>
      <c r="AB197" s="192"/>
    </row>
    <row r="198" spans="1:28">
      <c r="A198" s="116"/>
      <c r="B198" s="116" t="s">
        <v>983</v>
      </c>
      <c r="C198" s="116">
        <v>2</v>
      </c>
      <c r="D198" s="3"/>
      <c r="E198" s="207"/>
      <c r="F198" s="209"/>
      <c r="G198" s="209"/>
      <c r="H198" s="183"/>
      <c r="I198" s="183"/>
      <c r="J198" s="183"/>
      <c r="K198" s="183"/>
      <c r="L198" s="183"/>
      <c r="M198" s="184"/>
      <c r="N198" s="184"/>
      <c r="O198" s="185"/>
      <c r="P198" s="186"/>
      <c r="Q198" s="186"/>
      <c r="R198" s="187"/>
      <c r="S198" s="187"/>
      <c r="T198" s="184"/>
      <c r="U198" s="184"/>
      <c r="V198" s="188"/>
      <c r="W198" s="189"/>
      <c r="X198" s="190"/>
      <c r="Y198" s="185"/>
      <c r="Z198" s="191"/>
      <c r="AA198" s="97"/>
      <c r="AB198" s="192"/>
    </row>
    <row r="199" spans="1:28">
      <c r="A199" s="116"/>
      <c r="B199" s="116"/>
      <c r="C199" s="116">
        <v>3</v>
      </c>
      <c r="D199" s="3"/>
      <c r="E199" s="207"/>
      <c r="F199" s="209"/>
      <c r="G199" s="209"/>
      <c r="H199" s="183"/>
      <c r="I199" s="183"/>
      <c r="J199" s="183"/>
      <c r="K199" s="183"/>
      <c r="L199" s="183"/>
      <c r="M199" s="184"/>
      <c r="N199" s="184"/>
      <c r="O199" s="185"/>
      <c r="P199" s="186"/>
      <c r="Q199" s="186"/>
      <c r="R199" s="187"/>
      <c r="S199" s="187"/>
      <c r="T199" s="184"/>
      <c r="U199" s="184"/>
      <c r="V199" s="188"/>
      <c r="W199" s="189"/>
      <c r="X199" s="190"/>
      <c r="Y199" s="185"/>
      <c r="Z199" s="191"/>
      <c r="AA199" s="97"/>
      <c r="AB199" s="192"/>
    </row>
    <row r="200" spans="1:28">
      <c r="A200" s="116"/>
      <c r="B200" s="116"/>
      <c r="C200" s="116">
        <v>3</v>
      </c>
      <c r="D200" s="3"/>
      <c r="E200" s="207"/>
      <c r="F200" s="209"/>
      <c r="G200" s="209"/>
      <c r="H200" s="183"/>
      <c r="I200" s="183"/>
      <c r="J200" s="183"/>
      <c r="K200" s="183"/>
      <c r="L200" s="183"/>
      <c r="M200" s="184"/>
      <c r="N200" s="184"/>
      <c r="O200" s="185"/>
      <c r="P200" s="186"/>
      <c r="Q200" s="186"/>
      <c r="R200" s="187"/>
      <c r="S200" s="187"/>
      <c r="T200" s="184"/>
      <c r="U200" s="184"/>
      <c r="V200" s="188"/>
      <c r="W200" s="189"/>
      <c r="X200" s="190"/>
      <c r="Y200" s="185"/>
      <c r="Z200" s="191"/>
      <c r="AA200" s="97"/>
      <c r="AB200" s="192"/>
    </row>
    <row r="201" spans="1:28">
      <c r="A201" s="116"/>
      <c r="B201" s="116"/>
      <c r="C201" s="116">
        <v>3</v>
      </c>
      <c r="D201" s="3"/>
      <c r="E201" s="207"/>
      <c r="F201" s="209"/>
      <c r="G201" s="209"/>
      <c r="H201" s="183"/>
      <c r="I201" s="183"/>
      <c r="J201" s="183"/>
      <c r="K201" s="183"/>
      <c r="L201" s="183"/>
      <c r="M201" s="184"/>
      <c r="N201" s="184"/>
      <c r="O201" s="185"/>
      <c r="P201" s="186"/>
      <c r="Q201" s="186"/>
      <c r="R201" s="187"/>
      <c r="S201" s="187"/>
      <c r="T201" s="184"/>
      <c r="U201" s="184"/>
      <c r="V201" s="188"/>
      <c r="W201" s="189"/>
      <c r="X201" s="190"/>
      <c r="Y201" s="185"/>
      <c r="Z201" s="191"/>
      <c r="AA201" s="97"/>
      <c r="AB201" s="192"/>
    </row>
    <row r="202" spans="1:28">
      <c r="A202" s="116"/>
      <c r="B202" s="116"/>
      <c r="C202" s="116">
        <v>3</v>
      </c>
      <c r="D202" s="3"/>
      <c r="E202" s="207"/>
      <c r="F202" s="209"/>
      <c r="G202" s="209"/>
      <c r="H202" s="183"/>
      <c r="I202" s="183"/>
      <c r="J202" s="183"/>
      <c r="K202" s="183"/>
      <c r="L202" s="183"/>
      <c r="M202" s="184"/>
      <c r="N202" s="184"/>
      <c r="O202" s="185"/>
      <c r="P202" s="186"/>
      <c r="Q202" s="186"/>
      <c r="R202" s="187"/>
      <c r="S202" s="187"/>
      <c r="T202" s="184"/>
      <c r="U202" s="184"/>
      <c r="V202" s="188"/>
      <c r="W202" s="189"/>
      <c r="X202" s="190"/>
      <c r="Y202" s="185"/>
      <c r="Z202" s="191"/>
      <c r="AA202" s="97"/>
      <c r="AB202" s="192"/>
    </row>
    <row r="203" spans="1:28">
      <c r="A203" s="116"/>
      <c r="B203" s="116"/>
      <c r="C203" s="116">
        <v>0</v>
      </c>
      <c r="D203" s="3"/>
      <c r="E203" s="207"/>
      <c r="F203" s="209"/>
      <c r="G203" s="209"/>
      <c r="H203" s="183"/>
      <c r="I203" s="183"/>
      <c r="J203" s="183"/>
      <c r="K203" s="183"/>
      <c r="L203" s="183"/>
      <c r="M203" s="184"/>
      <c r="N203" s="184"/>
      <c r="O203" s="185"/>
      <c r="P203" s="186"/>
      <c r="Q203" s="186"/>
      <c r="R203" s="187"/>
      <c r="S203" s="187"/>
      <c r="T203" s="184"/>
      <c r="U203" s="184"/>
      <c r="V203" s="188"/>
      <c r="W203" s="189"/>
      <c r="X203" s="190"/>
      <c r="Y203" s="185"/>
      <c r="Z203" s="191"/>
      <c r="AA203" s="97"/>
      <c r="AB203" s="192"/>
    </row>
    <row r="204" spans="1:28">
      <c r="A204" s="116"/>
      <c r="B204" s="116" t="s">
        <v>983</v>
      </c>
      <c r="C204" s="116">
        <v>2</v>
      </c>
      <c r="D204" s="3"/>
      <c r="E204" s="207"/>
      <c r="F204" s="209"/>
      <c r="G204" s="209"/>
      <c r="H204" s="183"/>
      <c r="I204" s="183"/>
      <c r="J204" s="183"/>
      <c r="K204" s="183"/>
      <c r="L204" s="183"/>
      <c r="M204" s="184"/>
      <c r="N204" s="184"/>
      <c r="O204" s="185"/>
      <c r="P204" s="186"/>
      <c r="Q204" s="186"/>
      <c r="R204" s="187"/>
      <c r="S204" s="187"/>
      <c r="T204" s="184"/>
      <c r="U204" s="184"/>
      <c r="V204" s="188"/>
      <c r="W204" s="189"/>
      <c r="X204" s="190"/>
      <c r="Y204" s="185"/>
      <c r="Z204" s="191"/>
      <c r="AA204" s="97"/>
      <c r="AB204" s="192"/>
    </row>
    <row r="205" spans="1:28">
      <c r="A205" s="116"/>
      <c r="B205" s="116"/>
      <c r="C205" s="116">
        <v>3</v>
      </c>
      <c r="D205" s="3"/>
      <c r="E205" s="207"/>
      <c r="F205" s="209"/>
      <c r="G205" s="209"/>
      <c r="H205" s="183"/>
      <c r="I205" s="183"/>
      <c r="J205" s="183"/>
      <c r="K205" s="183"/>
      <c r="L205" s="183"/>
      <c r="M205" s="184"/>
      <c r="N205" s="184"/>
      <c r="O205" s="185"/>
      <c r="P205" s="186"/>
      <c r="Q205" s="186"/>
      <c r="R205" s="187"/>
      <c r="S205" s="187"/>
      <c r="T205" s="184"/>
      <c r="U205" s="184"/>
      <c r="V205" s="188"/>
      <c r="W205" s="189"/>
      <c r="X205" s="190"/>
      <c r="Y205" s="185"/>
      <c r="Z205" s="191"/>
      <c r="AA205" s="97"/>
      <c r="AB205" s="192"/>
    </row>
    <row r="206" spans="1:28">
      <c r="A206" s="116"/>
      <c r="B206" s="116"/>
      <c r="C206" s="116">
        <v>3</v>
      </c>
      <c r="D206" s="3"/>
      <c r="E206" s="207"/>
      <c r="F206" s="209"/>
      <c r="G206" s="209"/>
      <c r="H206" s="183"/>
      <c r="I206" s="183"/>
      <c r="J206" s="183"/>
      <c r="K206" s="183"/>
      <c r="L206" s="183"/>
      <c r="M206" s="184"/>
      <c r="N206" s="184"/>
      <c r="O206" s="185"/>
      <c r="P206" s="186"/>
      <c r="Q206" s="186"/>
      <c r="R206" s="187"/>
      <c r="S206" s="187"/>
      <c r="T206" s="184"/>
      <c r="U206" s="184"/>
      <c r="V206" s="188"/>
      <c r="W206" s="189"/>
      <c r="X206" s="190"/>
      <c r="Y206" s="185"/>
      <c r="Z206" s="191"/>
      <c r="AA206" s="97"/>
      <c r="AB206" s="192"/>
    </row>
    <row r="207" spans="1:28">
      <c r="A207" s="116"/>
      <c r="B207" s="116"/>
      <c r="C207" s="116">
        <v>3</v>
      </c>
      <c r="D207" s="3"/>
      <c r="E207" s="207"/>
      <c r="F207" s="209"/>
      <c r="G207" s="209"/>
      <c r="H207" s="183"/>
      <c r="I207" s="183"/>
      <c r="J207" s="183"/>
      <c r="K207" s="183"/>
      <c r="L207" s="183"/>
      <c r="M207" s="184"/>
      <c r="N207" s="184"/>
      <c r="O207" s="185"/>
      <c r="P207" s="186"/>
      <c r="Q207" s="186"/>
      <c r="R207" s="187"/>
      <c r="S207" s="187"/>
      <c r="T207" s="184"/>
      <c r="U207" s="184"/>
      <c r="V207" s="188"/>
      <c r="W207" s="189"/>
      <c r="X207" s="190"/>
      <c r="Y207" s="185"/>
      <c r="Z207" s="191"/>
      <c r="AA207" s="97"/>
      <c r="AB207" s="192"/>
    </row>
    <row r="208" spans="1:28">
      <c r="A208" s="116"/>
      <c r="B208" s="116"/>
      <c r="C208" s="116">
        <v>3</v>
      </c>
      <c r="D208" s="3"/>
      <c r="E208" s="207"/>
      <c r="F208" s="209"/>
      <c r="G208" s="209"/>
      <c r="H208" s="183"/>
      <c r="I208" s="183"/>
      <c r="J208" s="183"/>
      <c r="K208" s="183"/>
      <c r="L208" s="183"/>
      <c r="M208" s="184"/>
      <c r="N208" s="184"/>
      <c r="O208" s="185"/>
      <c r="P208" s="186"/>
      <c r="Q208" s="186"/>
      <c r="R208" s="187"/>
      <c r="S208" s="187"/>
      <c r="T208" s="184"/>
      <c r="U208" s="184"/>
      <c r="V208" s="188"/>
      <c r="W208" s="189"/>
      <c r="X208" s="190"/>
      <c r="Y208" s="185"/>
      <c r="Z208" s="191"/>
      <c r="AA208" s="97"/>
      <c r="AB208" s="192"/>
    </row>
    <row r="209" spans="1:28">
      <c r="A209" s="116"/>
      <c r="B209" s="116"/>
      <c r="C209" s="116">
        <v>0</v>
      </c>
      <c r="D209" s="3"/>
      <c r="E209" s="207"/>
      <c r="F209" s="209"/>
      <c r="G209" s="209"/>
      <c r="H209" s="183"/>
      <c r="I209" s="183"/>
      <c r="J209" s="183"/>
      <c r="K209" s="183"/>
      <c r="L209" s="183"/>
      <c r="M209" s="184"/>
      <c r="N209" s="184"/>
      <c r="O209" s="185"/>
      <c r="P209" s="186"/>
      <c r="Q209" s="186"/>
      <c r="R209" s="187"/>
      <c r="S209" s="187"/>
      <c r="T209" s="184"/>
      <c r="U209" s="184"/>
      <c r="V209" s="188"/>
      <c r="W209" s="189"/>
      <c r="X209" s="190"/>
      <c r="Y209" s="185"/>
      <c r="Z209" s="191"/>
      <c r="AA209" s="97"/>
      <c r="AB209" s="192"/>
    </row>
    <row r="210" spans="1:28">
      <c r="A210" s="116"/>
      <c r="B210" s="116" t="s">
        <v>983</v>
      </c>
      <c r="C210" s="116">
        <v>2</v>
      </c>
      <c r="D210" s="3"/>
      <c r="E210" s="207"/>
      <c r="F210" s="209"/>
      <c r="G210" s="209"/>
      <c r="H210" s="183"/>
      <c r="I210" s="183"/>
      <c r="J210" s="183"/>
      <c r="K210" s="183"/>
      <c r="L210" s="183"/>
      <c r="M210" s="184"/>
      <c r="N210" s="184"/>
      <c r="O210" s="185"/>
      <c r="P210" s="186"/>
      <c r="Q210" s="186"/>
      <c r="R210" s="187"/>
      <c r="S210" s="187"/>
      <c r="T210" s="184"/>
      <c r="U210" s="184"/>
      <c r="V210" s="188"/>
      <c r="W210" s="189"/>
      <c r="X210" s="190"/>
      <c r="Y210" s="185"/>
      <c r="Z210" s="191"/>
      <c r="AA210" s="97"/>
      <c r="AB210" s="192"/>
    </row>
    <row r="211" spans="1:28">
      <c r="A211" s="116"/>
      <c r="B211" s="116"/>
      <c r="C211" s="116">
        <v>3</v>
      </c>
      <c r="D211" s="3"/>
      <c r="E211" s="207"/>
      <c r="F211" s="209"/>
      <c r="G211" s="209"/>
      <c r="H211" s="183"/>
      <c r="I211" s="183"/>
      <c r="J211" s="183"/>
      <c r="K211" s="183"/>
      <c r="L211" s="183"/>
      <c r="M211" s="184"/>
      <c r="N211" s="184"/>
      <c r="O211" s="185"/>
      <c r="P211" s="186"/>
      <c r="Q211" s="186"/>
      <c r="R211" s="187"/>
      <c r="S211" s="187"/>
      <c r="T211" s="184"/>
      <c r="U211" s="184"/>
      <c r="V211" s="188"/>
      <c r="W211" s="189"/>
      <c r="X211" s="190"/>
      <c r="Y211" s="185"/>
      <c r="Z211" s="191"/>
      <c r="AA211" s="97"/>
      <c r="AB211" s="192"/>
    </row>
    <row r="212" spans="1:28">
      <c r="A212" s="116"/>
      <c r="B212" s="116"/>
      <c r="C212" s="116">
        <v>3</v>
      </c>
      <c r="D212" s="3"/>
      <c r="E212" s="207"/>
      <c r="F212" s="209"/>
      <c r="G212" s="209"/>
      <c r="H212" s="183"/>
      <c r="I212" s="183"/>
      <c r="J212" s="183"/>
      <c r="K212" s="183"/>
      <c r="L212" s="183"/>
      <c r="M212" s="184"/>
      <c r="N212" s="184"/>
      <c r="O212" s="185"/>
      <c r="P212" s="186"/>
      <c r="Q212" s="186"/>
      <c r="R212" s="187"/>
      <c r="S212" s="187"/>
      <c r="T212" s="184"/>
      <c r="U212" s="184"/>
      <c r="V212" s="188"/>
      <c r="W212" s="189"/>
      <c r="X212" s="190"/>
      <c r="Y212" s="185"/>
      <c r="Z212" s="191"/>
      <c r="AA212" s="97"/>
      <c r="AB212" s="192"/>
    </row>
    <row r="213" spans="1:28">
      <c r="A213" s="116"/>
      <c r="B213" s="116"/>
      <c r="C213" s="116">
        <v>3</v>
      </c>
      <c r="D213" s="3"/>
      <c r="E213" s="207"/>
      <c r="F213" s="209"/>
      <c r="G213" s="209"/>
      <c r="H213" s="183"/>
      <c r="I213" s="183"/>
      <c r="J213" s="183"/>
      <c r="K213" s="183"/>
      <c r="L213" s="183"/>
      <c r="M213" s="184"/>
      <c r="N213" s="184"/>
      <c r="O213" s="185"/>
      <c r="P213" s="186"/>
      <c r="Q213" s="186"/>
      <c r="R213" s="187"/>
      <c r="S213" s="187"/>
      <c r="T213" s="184"/>
      <c r="U213" s="184"/>
      <c r="V213" s="188"/>
      <c r="W213" s="189"/>
      <c r="X213" s="190"/>
      <c r="Y213" s="185"/>
      <c r="Z213" s="191"/>
      <c r="AA213" s="97"/>
      <c r="AB213" s="192"/>
    </row>
    <row r="214" spans="1:28">
      <c r="A214" s="116"/>
      <c r="B214" s="116"/>
      <c r="C214" s="116">
        <v>3</v>
      </c>
      <c r="D214" s="3"/>
      <c r="E214" s="207"/>
      <c r="F214" s="209"/>
      <c r="G214" s="209"/>
      <c r="H214" s="183"/>
      <c r="I214" s="183"/>
      <c r="J214" s="183"/>
      <c r="K214" s="183"/>
      <c r="L214" s="183"/>
      <c r="M214" s="184"/>
      <c r="N214" s="184"/>
      <c r="O214" s="185"/>
      <c r="P214" s="186"/>
      <c r="Q214" s="186"/>
      <c r="R214" s="187"/>
      <c r="S214" s="187"/>
      <c r="T214" s="184"/>
      <c r="U214" s="184"/>
      <c r="V214" s="188"/>
      <c r="W214" s="189"/>
      <c r="X214" s="190"/>
      <c r="Y214" s="185"/>
      <c r="Z214" s="191"/>
      <c r="AA214" s="97"/>
      <c r="AB214" s="192"/>
    </row>
    <row r="215" spans="1:28">
      <c r="A215" s="116"/>
      <c r="B215" s="116"/>
      <c r="C215" s="116">
        <v>0</v>
      </c>
      <c r="D215" s="3"/>
      <c r="E215" s="207"/>
      <c r="F215" s="209"/>
      <c r="G215" s="209"/>
      <c r="H215" s="183"/>
      <c r="I215" s="183"/>
      <c r="J215" s="183"/>
      <c r="K215" s="183"/>
      <c r="L215" s="183"/>
      <c r="M215" s="184"/>
      <c r="N215" s="184"/>
      <c r="O215" s="185"/>
      <c r="P215" s="186"/>
      <c r="Q215" s="186"/>
      <c r="R215" s="187"/>
      <c r="S215" s="187"/>
      <c r="T215" s="184"/>
      <c r="U215" s="184"/>
      <c r="V215" s="188"/>
      <c r="W215" s="189"/>
      <c r="X215" s="190"/>
      <c r="Y215" s="185"/>
      <c r="Z215" s="191"/>
      <c r="AA215" s="97"/>
      <c r="AB215" s="192"/>
    </row>
    <row r="216" spans="1:28">
      <c r="A216" s="116"/>
      <c r="B216" s="116" t="s">
        <v>983</v>
      </c>
      <c r="C216" s="116">
        <v>2</v>
      </c>
      <c r="D216" s="3"/>
      <c r="E216" s="207"/>
      <c r="F216" s="209"/>
      <c r="G216" s="209"/>
      <c r="H216" s="183"/>
      <c r="I216" s="183"/>
      <c r="J216" s="183"/>
      <c r="K216" s="183"/>
      <c r="L216" s="183"/>
      <c r="M216" s="184"/>
      <c r="N216" s="184"/>
      <c r="O216" s="185"/>
      <c r="P216" s="186"/>
      <c r="Q216" s="186"/>
      <c r="R216" s="187"/>
      <c r="S216" s="187"/>
      <c r="T216" s="184"/>
      <c r="U216" s="184"/>
      <c r="V216" s="188"/>
      <c r="W216" s="189"/>
      <c r="X216" s="190"/>
      <c r="Y216" s="185"/>
      <c r="Z216" s="191"/>
      <c r="AA216" s="97"/>
      <c r="AB216" s="192"/>
    </row>
    <row r="217" spans="1:28">
      <c r="A217" s="116"/>
      <c r="B217" s="116"/>
      <c r="C217" s="116">
        <v>3</v>
      </c>
      <c r="D217" s="3"/>
      <c r="E217" s="207"/>
      <c r="F217" s="209"/>
      <c r="G217" s="209"/>
      <c r="H217" s="183"/>
      <c r="I217" s="183"/>
      <c r="J217" s="183"/>
      <c r="K217" s="183"/>
      <c r="L217" s="183"/>
      <c r="M217" s="184"/>
      <c r="N217" s="184"/>
      <c r="O217" s="185"/>
      <c r="P217" s="186"/>
      <c r="Q217" s="186"/>
      <c r="R217" s="187"/>
      <c r="S217" s="187"/>
      <c r="T217" s="184"/>
      <c r="U217" s="184"/>
      <c r="V217" s="188"/>
      <c r="W217" s="189"/>
      <c r="X217" s="190"/>
      <c r="Y217" s="185"/>
      <c r="Z217" s="191"/>
      <c r="AA217" s="97"/>
      <c r="AB217" s="192"/>
    </row>
    <row r="218" spans="1:28">
      <c r="A218" s="116"/>
      <c r="B218" s="116"/>
      <c r="C218" s="116">
        <v>3</v>
      </c>
      <c r="D218" s="3"/>
      <c r="E218" s="207"/>
      <c r="F218" s="209"/>
      <c r="G218" s="209"/>
      <c r="H218" s="183"/>
      <c r="I218" s="183"/>
      <c r="J218" s="183"/>
      <c r="K218" s="183"/>
      <c r="L218" s="183"/>
      <c r="M218" s="184"/>
      <c r="N218" s="184"/>
      <c r="O218" s="185"/>
      <c r="P218" s="186"/>
      <c r="Q218" s="186"/>
      <c r="R218" s="187"/>
      <c r="S218" s="187"/>
      <c r="T218" s="184"/>
      <c r="U218" s="184"/>
      <c r="V218" s="188"/>
      <c r="W218" s="189"/>
      <c r="X218" s="190"/>
      <c r="Y218" s="185"/>
      <c r="Z218" s="191"/>
      <c r="AA218" s="97"/>
      <c r="AB218" s="192"/>
    </row>
    <row r="219" spans="1:28">
      <c r="A219" s="116"/>
      <c r="B219" s="116"/>
      <c r="C219" s="116">
        <v>3</v>
      </c>
      <c r="D219" s="3"/>
      <c r="E219" s="207"/>
      <c r="F219" s="209"/>
      <c r="G219" s="209"/>
      <c r="H219" s="183"/>
      <c r="I219" s="183"/>
      <c r="J219" s="183"/>
      <c r="K219" s="183"/>
      <c r="L219" s="183"/>
      <c r="M219" s="184"/>
      <c r="N219" s="184"/>
      <c r="O219" s="185"/>
      <c r="P219" s="186"/>
      <c r="Q219" s="186"/>
      <c r="R219" s="187"/>
      <c r="S219" s="187"/>
      <c r="T219" s="184"/>
      <c r="U219" s="184"/>
      <c r="V219" s="188"/>
      <c r="W219" s="189"/>
      <c r="X219" s="190"/>
      <c r="Y219" s="185"/>
      <c r="Z219" s="191"/>
      <c r="AA219" s="97"/>
      <c r="AB219" s="192"/>
    </row>
    <row r="220" spans="1:28">
      <c r="A220" s="116"/>
      <c r="B220" s="116"/>
      <c r="C220" s="116">
        <v>3</v>
      </c>
      <c r="D220" s="3"/>
      <c r="E220" s="207"/>
      <c r="F220" s="209"/>
      <c r="G220" s="209"/>
      <c r="H220" s="183"/>
      <c r="I220" s="183"/>
      <c r="J220" s="183"/>
      <c r="K220" s="183"/>
      <c r="L220" s="183"/>
      <c r="M220" s="184"/>
      <c r="N220" s="184"/>
      <c r="O220" s="185"/>
      <c r="P220" s="186"/>
      <c r="Q220" s="186"/>
      <c r="R220" s="187"/>
      <c r="S220" s="187"/>
      <c r="T220" s="184"/>
      <c r="U220" s="184"/>
      <c r="V220" s="188"/>
      <c r="W220" s="189"/>
      <c r="X220" s="190"/>
      <c r="Y220" s="185"/>
      <c r="Z220" s="191"/>
      <c r="AA220" s="97"/>
      <c r="AB220" s="192"/>
    </row>
    <row r="221" spans="1:28">
      <c r="A221" s="116"/>
      <c r="B221" s="116"/>
      <c r="C221" s="116">
        <v>0</v>
      </c>
      <c r="D221" s="3"/>
      <c r="E221" s="207"/>
      <c r="F221" s="183"/>
      <c r="G221" s="183"/>
      <c r="H221" s="183"/>
      <c r="I221" s="183"/>
      <c r="J221" s="183"/>
      <c r="K221" s="183"/>
      <c r="L221" s="183"/>
      <c r="M221" s="184"/>
      <c r="N221" s="184"/>
      <c r="O221" s="185"/>
      <c r="P221" s="186"/>
      <c r="Q221" s="186"/>
      <c r="R221" s="187"/>
      <c r="S221" s="187"/>
      <c r="T221" s="184"/>
      <c r="U221" s="184"/>
      <c r="V221" s="188"/>
      <c r="W221" s="189"/>
      <c r="X221" s="190"/>
      <c r="Y221" s="185"/>
      <c r="Z221" s="191"/>
      <c r="AA221" s="97"/>
      <c r="AB221" s="192"/>
    </row>
    <row r="222" spans="1:28">
      <c r="A222" s="116"/>
      <c r="B222" s="116" t="s">
        <v>983</v>
      </c>
      <c r="C222" s="116">
        <v>2</v>
      </c>
      <c r="D222" s="3"/>
      <c r="E222" s="207"/>
      <c r="F222" s="209"/>
      <c r="G222" s="209"/>
      <c r="H222" s="183"/>
      <c r="I222" s="183"/>
      <c r="J222" s="183"/>
      <c r="K222" s="183"/>
      <c r="L222" s="183"/>
      <c r="M222" s="184"/>
      <c r="N222" s="184"/>
      <c r="O222" s="185"/>
      <c r="P222" s="186"/>
      <c r="Q222" s="186"/>
      <c r="R222" s="187"/>
      <c r="S222" s="187"/>
      <c r="T222" s="184"/>
      <c r="U222" s="184"/>
      <c r="V222" s="188"/>
      <c r="W222" s="189"/>
      <c r="X222" s="190"/>
      <c r="Y222" s="185"/>
      <c r="Z222" s="191"/>
      <c r="AA222" s="97"/>
      <c r="AB222" s="192"/>
    </row>
    <row r="223" spans="1:28">
      <c r="A223" s="116"/>
      <c r="B223" s="116"/>
      <c r="C223" s="116">
        <v>3</v>
      </c>
      <c r="D223" s="3"/>
      <c r="E223" s="207"/>
      <c r="F223" s="209"/>
      <c r="G223" s="209"/>
      <c r="H223" s="183"/>
      <c r="I223" s="183"/>
      <c r="J223" s="183"/>
      <c r="K223" s="183"/>
      <c r="L223" s="183"/>
      <c r="M223" s="184"/>
      <c r="N223" s="184"/>
      <c r="O223" s="185"/>
      <c r="P223" s="186"/>
      <c r="Q223" s="186"/>
      <c r="R223" s="187"/>
      <c r="S223" s="187"/>
      <c r="T223" s="184"/>
      <c r="U223" s="184"/>
      <c r="V223" s="188"/>
      <c r="W223" s="189"/>
      <c r="X223" s="190"/>
      <c r="Y223" s="185"/>
      <c r="Z223" s="191"/>
      <c r="AA223" s="97"/>
      <c r="AB223" s="192"/>
    </row>
    <row r="224" spans="1:28">
      <c r="A224" s="116"/>
      <c r="B224" s="116"/>
      <c r="C224" s="116">
        <v>3</v>
      </c>
      <c r="D224" s="3"/>
      <c r="E224" s="207"/>
      <c r="F224" s="209"/>
      <c r="G224" s="209"/>
      <c r="H224" s="183"/>
      <c r="I224" s="183"/>
      <c r="J224" s="183"/>
      <c r="K224" s="183"/>
      <c r="L224" s="183"/>
      <c r="M224" s="184"/>
      <c r="N224" s="184"/>
      <c r="O224" s="185"/>
      <c r="P224" s="186"/>
      <c r="Q224" s="186"/>
      <c r="R224" s="187"/>
      <c r="S224" s="187"/>
      <c r="T224" s="184"/>
      <c r="U224" s="184"/>
      <c r="V224" s="188"/>
      <c r="W224" s="189"/>
      <c r="X224" s="190"/>
      <c r="Y224" s="185"/>
      <c r="Z224" s="191"/>
      <c r="AA224" s="97"/>
      <c r="AB224" s="192"/>
    </row>
    <row r="225" spans="1:28">
      <c r="A225" s="116"/>
      <c r="B225" s="116"/>
      <c r="C225" s="116">
        <v>3</v>
      </c>
      <c r="D225" s="3"/>
      <c r="E225" s="207"/>
      <c r="F225" s="209"/>
      <c r="G225" s="209"/>
      <c r="H225" s="183"/>
      <c r="I225" s="183"/>
      <c r="J225" s="183"/>
      <c r="K225" s="183"/>
      <c r="L225" s="183"/>
      <c r="M225" s="184"/>
      <c r="N225" s="184"/>
      <c r="O225" s="185"/>
      <c r="P225" s="186"/>
      <c r="Q225" s="186"/>
      <c r="R225" s="187"/>
      <c r="S225" s="187"/>
      <c r="T225" s="184"/>
      <c r="U225" s="184"/>
      <c r="V225" s="188"/>
      <c r="W225" s="189"/>
      <c r="X225" s="190"/>
      <c r="Y225" s="185"/>
      <c r="Z225" s="191"/>
      <c r="AA225" s="97"/>
      <c r="AB225" s="192"/>
    </row>
    <row r="226" spans="1:28">
      <c r="A226" s="116"/>
      <c r="B226" s="116"/>
      <c r="C226" s="116">
        <v>3</v>
      </c>
      <c r="D226" s="3"/>
      <c r="E226" s="207"/>
      <c r="F226" s="209"/>
      <c r="G226" s="209"/>
      <c r="H226" s="183"/>
      <c r="I226" s="183"/>
      <c r="J226" s="183"/>
      <c r="K226" s="183"/>
      <c r="L226" s="183"/>
      <c r="M226" s="184"/>
      <c r="N226" s="184"/>
      <c r="O226" s="185"/>
      <c r="P226" s="186"/>
      <c r="Q226" s="186"/>
      <c r="R226" s="187"/>
      <c r="S226" s="187"/>
      <c r="T226" s="184"/>
      <c r="U226" s="184"/>
      <c r="V226" s="188"/>
      <c r="W226" s="189"/>
      <c r="X226" s="190"/>
      <c r="Y226" s="185"/>
      <c r="Z226" s="191"/>
      <c r="AA226" s="97"/>
      <c r="AB226" s="192"/>
    </row>
    <row r="227" spans="1:28">
      <c r="A227" s="116"/>
      <c r="B227" s="116"/>
      <c r="C227" s="116">
        <v>0</v>
      </c>
      <c r="D227" s="3"/>
      <c r="E227" s="207"/>
      <c r="F227" s="183"/>
      <c r="G227" s="183"/>
      <c r="H227" s="183"/>
      <c r="I227" s="183"/>
      <c r="J227" s="183"/>
      <c r="K227" s="183"/>
      <c r="L227" s="183"/>
      <c r="M227" s="184"/>
      <c r="N227" s="184"/>
      <c r="O227" s="185"/>
      <c r="P227" s="186"/>
      <c r="Q227" s="186"/>
      <c r="R227" s="187"/>
      <c r="S227" s="187"/>
      <c r="T227" s="184"/>
      <c r="U227" s="184"/>
      <c r="V227" s="188"/>
      <c r="W227" s="189"/>
      <c r="X227" s="190"/>
      <c r="Y227" s="185"/>
      <c r="Z227" s="191"/>
      <c r="AA227" s="97"/>
      <c r="AB227" s="192"/>
    </row>
    <row r="228" spans="1:28">
      <c r="A228" s="116"/>
      <c r="B228" s="116" t="s">
        <v>983</v>
      </c>
      <c r="C228" s="116">
        <v>2</v>
      </c>
      <c r="D228" s="3"/>
      <c r="E228" s="207"/>
      <c r="F228" s="209"/>
      <c r="G228" s="209"/>
      <c r="H228" s="183"/>
      <c r="I228" s="183"/>
      <c r="J228" s="183"/>
      <c r="K228" s="183"/>
      <c r="L228" s="183"/>
      <c r="M228" s="184"/>
      <c r="N228" s="184"/>
      <c r="O228" s="185"/>
      <c r="P228" s="186"/>
      <c r="Q228" s="186"/>
      <c r="R228" s="187"/>
      <c r="S228" s="187"/>
      <c r="T228" s="184"/>
      <c r="U228" s="184"/>
      <c r="V228" s="188"/>
      <c r="W228" s="189"/>
      <c r="X228" s="190"/>
      <c r="Y228" s="185"/>
      <c r="Z228" s="191"/>
      <c r="AA228" s="97"/>
      <c r="AB228" s="192"/>
    </row>
    <row r="229" spans="1:28">
      <c r="A229" s="116"/>
      <c r="B229" s="116"/>
      <c r="C229" s="116">
        <v>3</v>
      </c>
      <c r="D229" s="3"/>
      <c r="E229" s="207"/>
      <c r="F229" s="209"/>
      <c r="G229" s="209"/>
      <c r="H229" s="183"/>
      <c r="I229" s="183"/>
      <c r="J229" s="183"/>
      <c r="K229" s="183"/>
      <c r="L229" s="183"/>
      <c r="M229" s="184"/>
      <c r="N229" s="184"/>
      <c r="O229" s="185"/>
      <c r="P229" s="186"/>
      <c r="Q229" s="186"/>
      <c r="R229" s="187"/>
      <c r="S229" s="187"/>
      <c r="T229" s="184"/>
      <c r="U229" s="184"/>
      <c r="V229" s="188"/>
      <c r="W229" s="189"/>
      <c r="X229" s="190"/>
      <c r="Y229" s="185"/>
      <c r="Z229" s="191"/>
      <c r="AA229" s="97"/>
      <c r="AB229" s="192"/>
    </row>
    <row r="230" spans="1:28">
      <c r="A230" s="116"/>
      <c r="B230" s="116"/>
      <c r="C230" s="116">
        <v>3</v>
      </c>
      <c r="D230" s="3"/>
      <c r="E230" s="207"/>
      <c r="F230" s="209"/>
      <c r="G230" s="209"/>
      <c r="H230" s="183"/>
      <c r="I230" s="183"/>
      <c r="J230" s="183"/>
      <c r="K230" s="183"/>
      <c r="L230" s="183"/>
      <c r="M230" s="184"/>
      <c r="N230" s="184"/>
      <c r="O230" s="185"/>
      <c r="P230" s="186"/>
      <c r="Q230" s="186"/>
      <c r="R230" s="187"/>
      <c r="S230" s="187"/>
      <c r="T230" s="184"/>
      <c r="U230" s="184"/>
      <c r="V230" s="188"/>
      <c r="W230" s="189"/>
      <c r="X230" s="190"/>
      <c r="Y230" s="185"/>
      <c r="Z230" s="191"/>
      <c r="AA230" s="97"/>
      <c r="AB230" s="192"/>
    </row>
    <row r="231" spans="1:28">
      <c r="A231" s="116"/>
      <c r="B231" s="116"/>
      <c r="C231" s="116">
        <v>3</v>
      </c>
      <c r="D231" s="3"/>
      <c r="E231" s="207"/>
      <c r="F231" s="209"/>
      <c r="G231" s="209"/>
      <c r="H231" s="183"/>
      <c r="I231" s="183"/>
      <c r="J231" s="183"/>
      <c r="K231" s="183"/>
      <c r="L231" s="183"/>
      <c r="M231" s="184"/>
      <c r="N231" s="184"/>
      <c r="O231" s="185"/>
      <c r="P231" s="186"/>
      <c r="Q231" s="186"/>
      <c r="R231" s="187"/>
      <c r="S231" s="187"/>
      <c r="T231" s="184"/>
      <c r="U231" s="184"/>
      <c r="V231" s="188"/>
      <c r="W231" s="189"/>
      <c r="X231" s="190"/>
      <c r="Y231" s="185"/>
      <c r="Z231" s="191"/>
      <c r="AA231" s="97"/>
      <c r="AB231" s="192"/>
    </row>
    <row r="232" spans="1:28">
      <c r="A232" s="116"/>
      <c r="B232" s="116"/>
      <c r="C232" s="116">
        <v>3</v>
      </c>
      <c r="D232" s="3"/>
      <c r="E232" s="207"/>
      <c r="F232" s="209"/>
      <c r="G232" s="209"/>
      <c r="H232" s="183"/>
      <c r="I232" s="183"/>
      <c r="J232" s="183"/>
      <c r="K232" s="183"/>
      <c r="L232" s="183"/>
      <c r="M232" s="184"/>
      <c r="N232" s="184"/>
      <c r="O232" s="185"/>
      <c r="P232" s="186"/>
      <c r="Q232" s="186"/>
      <c r="R232" s="187"/>
      <c r="S232" s="187"/>
      <c r="T232" s="184"/>
      <c r="U232" s="184"/>
      <c r="V232" s="188"/>
      <c r="W232" s="189"/>
      <c r="X232" s="190"/>
      <c r="Y232" s="185"/>
      <c r="Z232" s="191"/>
      <c r="AA232" s="97"/>
      <c r="AB232" s="192"/>
    </row>
    <row r="233" spans="1:28">
      <c r="A233" s="116"/>
      <c r="B233" s="116"/>
      <c r="C233" s="116">
        <v>0</v>
      </c>
      <c r="D233" s="3"/>
      <c r="E233" s="207"/>
      <c r="F233" s="183"/>
      <c r="G233" s="183"/>
      <c r="H233" s="183"/>
      <c r="I233" s="183"/>
      <c r="J233" s="183"/>
      <c r="K233" s="183"/>
      <c r="L233" s="183"/>
      <c r="M233" s="184"/>
      <c r="N233" s="184"/>
      <c r="O233" s="185"/>
      <c r="P233" s="186"/>
      <c r="Q233" s="186"/>
      <c r="R233" s="187"/>
      <c r="S233" s="187"/>
      <c r="T233" s="184"/>
      <c r="U233" s="184"/>
      <c r="V233" s="188"/>
      <c r="W233" s="189"/>
      <c r="X233" s="190"/>
      <c r="Y233" s="185"/>
      <c r="Z233" s="191"/>
      <c r="AA233" s="97"/>
      <c r="AB233" s="192"/>
    </row>
    <row r="234" spans="1:28">
      <c r="A234" s="116"/>
      <c r="B234" s="116" t="s">
        <v>983</v>
      </c>
      <c r="C234" s="116">
        <v>2</v>
      </c>
      <c r="D234" s="3"/>
      <c r="E234" s="207"/>
      <c r="F234" s="209"/>
      <c r="G234" s="209"/>
      <c r="H234" s="183"/>
      <c r="I234" s="183"/>
      <c r="J234" s="183"/>
      <c r="K234" s="183"/>
      <c r="L234" s="183"/>
      <c r="M234" s="184"/>
      <c r="N234" s="184"/>
      <c r="O234" s="185"/>
      <c r="P234" s="186"/>
      <c r="Q234" s="186"/>
      <c r="R234" s="187"/>
      <c r="S234" s="187"/>
      <c r="T234" s="184"/>
      <c r="U234" s="184"/>
      <c r="V234" s="188"/>
      <c r="W234" s="189"/>
      <c r="X234" s="190"/>
      <c r="Y234" s="185"/>
      <c r="Z234" s="191"/>
      <c r="AA234" s="97"/>
      <c r="AB234" s="192"/>
    </row>
    <row r="235" spans="1:28">
      <c r="A235" s="116"/>
      <c r="B235" s="116"/>
      <c r="C235" s="116">
        <v>3</v>
      </c>
      <c r="D235" s="3"/>
      <c r="E235" s="207"/>
      <c r="F235" s="209"/>
      <c r="G235" s="209"/>
      <c r="H235" s="183"/>
      <c r="I235" s="183"/>
      <c r="J235" s="183"/>
      <c r="K235" s="183"/>
      <c r="L235" s="183"/>
      <c r="M235" s="184"/>
      <c r="N235" s="184"/>
      <c r="O235" s="185"/>
      <c r="P235" s="186"/>
      <c r="Q235" s="186"/>
      <c r="R235" s="187"/>
      <c r="S235" s="187"/>
      <c r="T235" s="184"/>
      <c r="U235" s="184"/>
      <c r="V235" s="188"/>
      <c r="W235" s="189"/>
      <c r="X235" s="190"/>
      <c r="Y235" s="185"/>
      <c r="Z235" s="191"/>
      <c r="AA235" s="97"/>
      <c r="AB235" s="192"/>
    </row>
    <row r="236" spans="1:28">
      <c r="A236" s="116"/>
      <c r="B236" s="116"/>
      <c r="C236" s="116">
        <v>3</v>
      </c>
      <c r="D236" s="3"/>
      <c r="E236" s="207"/>
      <c r="F236" s="209"/>
      <c r="G236" s="209"/>
      <c r="H236" s="183"/>
      <c r="I236" s="183"/>
      <c r="J236" s="183"/>
      <c r="K236" s="183"/>
      <c r="L236" s="183"/>
      <c r="M236" s="184"/>
      <c r="N236" s="184"/>
      <c r="O236" s="185"/>
      <c r="P236" s="186"/>
      <c r="Q236" s="186"/>
      <c r="R236" s="187"/>
      <c r="S236" s="187"/>
      <c r="T236" s="184"/>
      <c r="U236" s="184"/>
      <c r="V236" s="188"/>
      <c r="W236" s="189"/>
      <c r="X236" s="190"/>
      <c r="Y236" s="185"/>
      <c r="Z236" s="191"/>
      <c r="AA236" s="97"/>
      <c r="AB236" s="192"/>
    </row>
    <row r="237" spans="1:28">
      <c r="A237" s="116"/>
      <c r="B237" s="116"/>
      <c r="C237" s="116">
        <v>3</v>
      </c>
      <c r="D237" s="3"/>
      <c r="E237" s="207"/>
      <c r="F237" s="209"/>
      <c r="G237" s="209"/>
      <c r="H237" s="183"/>
      <c r="I237" s="183"/>
      <c r="J237" s="183"/>
      <c r="K237" s="183"/>
      <c r="L237" s="183"/>
      <c r="M237" s="184"/>
      <c r="N237" s="184"/>
      <c r="O237" s="185"/>
      <c r="P237" s="186"/>
      <c r="Q237" s="186"/>
      <c r="R237" s="187"/>
      <c r="S237" s="187"/>
      <c r="T237" s="184"/>
      <c r="U237" s="184"/>
      <c r="V237" s="188"/>
      <c r="W237" s="189"/>
      <c r="X237" s="190"/>
      <c r="Y237" s="185"/>
      <c r="Z237" s="191"/>
      <c r="AA237" s="97"/>
      <c r="AB237" s="192"/>
    </row>
    <row r="238" spans="1:28">
      <c r="A238" s="116"/>
      <c r="B238" s="116"/>
      <c r="C238" s="116">
        <v>3</v>
      </c>
      <c r="D238" s="3"/>
      <c r="E238" s="207"/>
      <c r="F238" s="209"/>
      <c r="G238" s="209"/>
      <c r="H238" s="183"/>
      <c r="I238" s="183"/>
      <c r="J238" s="183"/>
      <c r="K238" s="183"/>
      <c r="L238" s="183"/>
      <c r="M238" s="184"/>
      <c r="N238" s="184"/>
      <c r="O238" s="185"/>
      <c r="P238" s="186"/>
      <c r="Q238" s="186"/>
      <c r="R238" s="187"/>
      <c r="S238" s="187"/>
      <c r="T238" s="184"/>
      <c r="U238" s="184"/>
      <c r="V238" s="188"/>
      <c r="W238" s="189"/>
      <c r="X238" s="190"/>
      <c r="Y238" s="185"/>
      <c r="Z238" s="191"/>
      <c r="AA238" s="97"/>
      <c r="AB238" s="192"/>
    </row>
    <row r="239" spans="1:28">
      <c r="A239" s="116"/>
      <c r="B239" s="116"/>
      <c r="C239" s="116">
        <v>0</v>
      </c>
      <c r="D239" s="3"/>
      <c r="E239" s="183"/>
      <c r="F239" s="183"/>
      <c r="G239" s="183"/>
      <c r="H239" s="183"/>
      <c r="I239" s="183"/>
      <c r="J239" s="183"/>
      <c r="K239" s="183"/>
      <c r="L239" s="183"/>
      <c r="M239" s="184"/>
      <c r="N239" s="184"/>
      <c r="O239" s="185"/>
      <c r="P239" s="186"/>
      <c r="Q239" s="186"/>
      <c r="R239" s="187"/>
      <c r="S239" s="187"/>
      <c r="T239" s="184"/>
      <c r="U239" s="184"/>
      <c r="V239" s="188"/>
      <c r="W239" s="189"/>
      <c r="X239" s="190"/>
      <c r="Y239" s="185"/>
      <c r="Z239" s="191"/>
      <c r="AA239" s="97"/>
      <c r="AB239" s="192"/>
    </row>
    <row r="240" spans="1:28">
      <c r="A240" s="116"/>
      <c r="B240" s="116" t="s">
        <v>983</v>
      </c>
      <c r="C240" s="116">
        <v>2</v>
      </c>
      <c r="D240" s="3"/>
      <c r="E240" s="207"/>
      <c r="F240" s="209"/>
      <c r="G240" s="209"/>
      <c r="H240" s="183"/>
      <c r="I240" s="183"/>
      <c r="J240" s="183"/>
      <c r="K240" s="183"/>
      <c r="L240" s="183"/>
      <c r="M240" s="184"/>
      <c r="N240" s="184"/>
      <c r="O240" s="185"/>
      <c r="P240" s="186"/>
      <c r="Q240" s="186"/>
      <c r="R240" s="187"/>
      <c r="S240" s="187"/>
      <c r="T240" s="184"/>
      <c r="U240" s="184"/>
      <c r="V240" s="188"/>
      <c r="W240" s="189"/>
      <c r="X240" s="190"/>
      <c r="Y240" s="185"/>
      <c r="Z240" s="191"/>
      <c r="AA240" s="97"/>
      <c r="AB240" s="192"/>
    </row>
    <row r="241" spans="1:28">
      <c r="A241" s="116"/>
      <c r="B241" s="116"/>
      <c r="C241" s="116">
        <v>3</v>
      </c>
      <c r="D241" s="3"/>
      <c r="E241" s="207"/>
      <c r="F241" s="209"/>
      <c r="G241" s="209"/>
      <c r="H241" s="183"/>
      <c r="I241" s="183"/>
      <c r="J241" s="183"/>
      <c r="K241" s="183"/>
      <c r="L241" s="183"/>
      <c r="M241" s="184"/>
      <c r="N241" s="184"/>
      <c r="O241" s="185"/>
      <c r="P241" s="186"/>
      <c r="Q241" s="186"/>
      <c r="R241" s="187"/>
      <c r="S241" s="187"/>
      <c r="T241" s="184"/>
      <c r="U241" s="184"/>
      <c r="V241" s="188"/>
      <c r="W241" s="189"/>
      <c r="X241" s="190"/>
      <c r="Y241" s="185"/>
      <c r="Z241" s="191"/>
      <c r="AA241" s="97"/>
      <c r="AB241" s="192"/>
    </row>
    <row r="242" spans="1:28">
      <c r="A242" s="116"/>
      <c r="B242" s="116"/>
      <c r="C242" s="116">
        <v>3</v>
      </c>
      <c r="D242" s="3"/>
      <c r="E242" s="207"/>
      <c r="F242" s="209"/>
      <c r="G242" s="209"/>
      <c r="H242" s="183"/>
      <c r="I242" s="183"/>
      <c r="J242" s="183"/>
      <c r="K242" s="183"/>
      <c r="L242" s="183"/>
      <c r="M242" s="184"/>
      <c r="N242" s="184"/>
      <c r="O242" s="185"/>
      <c r="P242" s="186"/>
      <c r="Q242" s="186"/>
      <c r="R242" s="187"/>
      <c r="S242" s="187"/>
      <c r="T242" s="184"/>
      <c r="U242" s="184"/>
      <c r="V242" s="188"/>
      <c r="W242" s="189"/>
      <c r="X242" s="190"/>
      <c r="Y242" s="185"/>
      <c r="Z242" s="191"/>
      <c r="AA242" s="97"/>
      <c r="AB242" s="192"/>
    </row>
    <row r="243" spans="1:28">
      <c r="A243" s="116"/>
      <c r="B243" s="116"/>
      <c r="C243" s="116">
        <v>3</v>
      </c>
      <c r="D243" s="3"/>
      <c r="E243" s="207"/>
      <c r="F243" s="209"/>
      <c r="G243" s="209"/>
      <c r="H243" s="183"/>
      <c r="I243" s="183"/>
      <c r="J243" s="183"/>
      <c r="K243" s="183"/>
      <c r="L243" s="183"/>
      <c r="M243" s="184"/>
      <c r="N243" s="184"/>
      <c r="O243" s="185"/>
      <c r="P243" s="186"/>
      <c r="Q243" s="186"/>
      <c r="R243" s="187"/>
      <c r="S243" s="187"/>
      <c r="T243" s="184"/>
      <c r="U243" s="184"/>
      <c r="V243" s="188"/>
      <c r="W243" s="189"/>
      <c r="X243" s="190"/>
      <c r="Y243" s="185"/>
      <c r="Z243" s="191"/>
      <c r="AA243" s="97"/>
      <c r="AB243" s="192"/>
    </row>
    <row r="244" spans="1:28">
      <c r="A244" s="116"/>
      <c r="B244" s="116"/>
      <c r="C244" s="116">
        <v>3</v>
      </c>
      <c r="D244" s="3"/>
      <c r="E244" s="207"/>
      <c r="F244" s="209"/>
      <c r="G244" s="209"/>
      <c r="H244" s="183"/>
      <c r="I244" s="183"/>
      <c r="J244" s="183"/>
      <c r="K244" s="183"/>
      <c r="L244" s="183"/>
      <c r="M244" s="184"/>
      <c r="N244" s="184"/>
      <c r="O244" s="185"/>
      <c r="P244" s="186"/>
      <c r="Q244" s="186"/>
      <c r="R244" s="187"/>
      <c r="S244" s="187"/>
      <c r="T244" s="184"/>
      <c r="U244" s="184"/>
      <c r="V244" s="188"/>
      <c r="W244" s="189"/>
      <c r="X244" s="190"/>
      <c r="Y244" s="185"/>
      <c r="Z244" s="191"/>
      <c r="AA244" s="97"/>
      <c r="AB244" s="192"/>
    </row>
    <row r="245" spans="1:28">
      <c r="A245" s="116"/>
      <c r="B245" s="116"/>
      <c r="C245" s="116">
        <v>0</v>
      </c>
      <c r="D245" s="3"/>
      <c r="E245" s="183"/>
      <c r="F245" s="183"/>
      <c r="G245" s="183"/>
      <c r="H245" s="183"/>
      <c r="I245" s="183"/>
      <c r="J245" s="183"/>
      <c r="K245" s="183"/>
      <c r="L245" s="183"/>
      <c r="M245" s="184"/>
      <c r="N245" s="184"/>
      <c r="O245" s="185"/>
      <c r="P245" s="186"/>
      <c r="Q245" s="186"/>
      <c r="R245" s="187"/>
      <c r="S245" s="187"/>
      <c r="T245" s="184"/>
      <c r="U245" s="184"/>
      <c r="V245" s="188"/>
      <c r="W245" s="189"/>
      <c r="X245" s="190"/>
      <c r="Y245" s="185"/>
      <c r="Z245" s="191"/>
      <c r="AA245" s="97"/>
      <c r="AB245" s="192"/>
    </row>
    <row r="246" spans="1:28">
      <c r="A246" s="116"/>
      <c r="B246" s="116" t="s">
        <v>983</v>
      </c>
      <c r="C246" s="116">
        <v>1</v>
      </c>
      <c r="D246" s="3"/>
      <c r="E246" s="207"/>
      <c r="F246" s="183"/>
      <c r="G246" s="183"/>
      <c r="H246" s="183"/>
      <c r="I246" s="183"/>
      <c r="J246" s="183"/>
      <c r="K246" s="183"/>
      <c r="L246" s="183"/>
      <c r="M246" s="184"/>
      <c r="N246" s="184"/>
      <c r="O246" s="185"/>
      <c r="P246" s="186"/>
      <c r="Q246" s="186"/>
      <c r="R246" s="187"/>
      <c r="S246" s="187"/>
      <c r="T246" s="184"/>
      <c r="U246" s="184"/>
      <c r="V246" s="188"/>
      <c r="W246" s="189"/>
      <c r="X246" s="190"/>
      <c r="Y246" s="185"/>
      <c r="Z246" s="191"/>
      <c r="AA246" s="97"/>
      <c r="AB246" s="192"/>
    </row>
    <row r="247" spans="1:28">
      <c r="A247" s="116"/>
      <c r="B247" s="116" t="s">
        <v>983</v>
      </c>
      <c r="C247" s="116">
        <v>2</v>
      </c>
      <c r="D247" s="3"/>
      <c r="E247" s="208"/>
      <c r="F247" s="209"/>
      <c r="G247" s="209"/>
      <c r="H247" s="183"/>
      <c r="I247" s="183"/>
      <c r="J247" s="183"/>
      <c r="K247" s="183"/>
      <c r="L247" s="183"/>
      <c r="M247" s="184"/>
      <c r="N247" s="184"/>
      <c r="O247" s="185"/>
      <c r="P247" s="186"/>
      <c r="Q247" s="186"/>
      <c r="R247" s="187"/>
      <c r="S247" s="187"/>
      <c r="T247" s="184"/>
      <c r="U247" s="184"/>
      <c r="V247" s="188"/>
      <c r="W247" s="189"/>
      <c r="X247" s="190"/>
      <c r="Y247" s="185"/>
      <c r="Z247" s="191"/>
      <c r="AA247" s="97"/>
      <c r="AB247" s="192"/>
    </row>
    <row r="248" spans="1:28">
      <c r="A248" s="116"/>
      <c r="B248" s="116"/>
      <c r="C248" s="116">
        <v>3</v>
      </c>
      <c r="D248" s="3"/>
      <c r="E248" s="208"/>
      <c r="F248" s="209"/>
      <c r="G248" s="209"/>
      <c r="H248" s="183"/>
      <c r="I248" s="183"/>
      <c r="J248" s="183"/>
      <c r="K248" s="183"/>
      <c r="L248" s="183"/>
      <c r="M248" s="184"/>
      <c r="N248" s="184"/>
      <c r="O248" s="185"/>
      <c r="P248" s="186"/>
      <c r="Q248" s="186"/>
      <c r="R248" s="187"/>
      <c r="S248" s="187"/>
      <c r="T248" s="184"/>
      <c r="U248" s="184"/>
      <c r="V248" s="188"/>
      <c r="W248" s="189"/>
      <c r="X248" s="190"/>
      <c r="Y248" s="185"/>
      <c r="Z248" s="191"/>
      <c r="AA248" s="97"/>
      <c r="AB248" s="192"/>
    </row>
    <row r="249" spans="1:28">
      <c r="A249" s="116"/>
      <c r="B249" s="116"/>
      <c r="C249" s="116">
        <v>3</v>
      </c>
      <c r="D249" s="3"/>
      <c r="E249" s="208"/>
      <c r="F249" s="209"/>
      <c r="G249" s="209"/>
      <c r="H249" s="183"/>
      <c r="I249" s="183"/>
      <c r="J249" s="183"/>
      <c r="K249" s="183"/>
      <c r="L249" s="183"/>
      <c r="M249" s="184"/>
      <c r="N249" s="184"/>
      <c r="O249" s="185"/>
      <c r="P249" s="186"/>
      <c r="Q249" s="186"/>
      <c r="R249" s="187"/>
      <c r="S249" s="187"/>
      <c r="T249" s="184"/>
      <c r="U249" s="184"/>
      <c r="V249" s="188"/>
      <c r="W249" s="189"/>
      <c r="X249" s="190"/>
      <c r="Y249" s="185"/>
      <c r="Z249" s="191"/>
      <c r="AA249" s="97"/>
      <c r="AB249" s="192"/>
    </row>
    <row r="250" spans="1:28">
      <c r="A250" s="116"/>
      <c r="B250" s="116"/>
      <c r="C250" s="116">
        <v>0</v>
      </c>
      <c r="D250" s="3"/>
      <c r="E250" s="208"/>
      <c r="F250" s="209"/>
      <c r="G250" s="209"/>
      <c r="H250" s="183"/>
      <c r="I250" s="183"/>
      <c r="J250" s="183"/>
      <c r="K250" s="183"/>
      <c r="L250" s="183"/>
      <c r="M250" s="184"/>
      <c r="N250" s="184"/>
      <c r="O250" s="185"/>
      <c r="P250" s="186"/>
      <c r="Q250" s="186"/>
      <c r="R250" s="187"/>
      <c r="S250" s="187"/>
      <c r="T250" s="184"/>
      <c r="U250" s="184"/>
      <c r="V250" s="188"/>
      <c r="W250" s="189"/>
      <c r="X250" s="190"/>
      <c r="Y250" s="185"/>
      <c r="Z250" s="191"/>
      <c r="AA250" s="97"/>
      <c r="AB250" s="192"/>
    </row>
    <row r="251" spans="1:28">
      <c r="A251" s="116"/>
      <c r="B251" s="116" t="s">
        <v>983</v>
      </c>
      <c r="C251" s="116">
        <v>2</v>
      </c>
      <c r="D251" s="3"/>
      <c r="E251" s="183"/>
      <c r="F251" s="209"/>
      <c r="G251" s="209"/>
      <c r="H251" s="183"/>
      <c r="I251" s="183"/>
      <c r="J251" s="183"/>
      <c r="K251" s="183"/>
      <c r="L251" s="183"/>
      <c r="M251" s="184"/>
      <c r="N251" s="184"/>
      <c r="O251" s="185"/>
      <c r="P251" s="186"/>
      <c r="Q251" s="186"/>
      <c r="R251" s="187"/>
      <c r="S251" s="187"/>
      <c r="T251" s="184"/>
      <c r="U251" s="184"/>
      <c r="V251" s="188"/>
      <c r="W251" s="189"/>
      <c r="X251" s="190"/>
      <c r="Y251" s="185"/>
      <c r="Z251" s="191"/>
      <c r="AA251" s="97"/>
      <c r="AB251" s="192"/>
    </row>
    <row r="252" spans="1:28">
      <c r="A252" s="116"/>
      <c r="B252" s="116"/>
      <c r="C252" s="116">
        <v>3</v>
      </c>
      <c r="D252" s="3"/>
      <c r="E252" s="208"/>
      <c r="F252" s="209"/>
      <c r="G252" s="209"/>
      <c r="H252" s="183"/>
      <c r="I252" s="183"/>
      <c r="J252" s="183"/>
      <c r="K252" s="183"/>
      <c r="L252" s="183"/>
      <c r="M252" s="184"/>
      <c r="N252" s="184"/>
      <c r="O252" s="185"/>
      <c r="P252" s="186"/>
      <c r="Q252" s="186"/>
      <c r="R252" s="187"/>
      <c r="S252" s="187"/>
      <c r="T252" s="184"/>
      <c r="U252" s="184"/>
      <c r="V252" s="188"/>
      <c r="W252" s="189"/>
      <c r="X252" s="190"/>
      <c r="Y252" s="185"/>
      <c r="Z252" s="191"/>
      <c r="AA252" s="97"/>
      <c r="AB252" s="192"/>
    </row>
    <row r="253" spans="1:28">
      <c r="A253" s="116"/>
      <c r="B253" s="116"/>
      <c r="C253" s="116">
        <v>3</v>
      </c>
      <c r="D253" s="3"/>
      <c r="E253" s="208"/>
      <c r="F253" s="209"/>
      <c r="G253" s="209"/>
      <c r="H253" s="183"/>
      <c r="I253" s="183"/>
      <c r="J253" s="183"/>
      <c r="K253" s="183"/>
      <c r="L253" s="183"/>
      <c r="M253" s="184"/>
      <c r="N253" s="184"/>
      <c r="O253" s="185"/>
      <c r="P253" s="186"/>
      <c r="Q253" s="186"/>
      <c r="R253" s="187"/>
      <c r="S253" s="187"/>
      <c r="T253" s="184"/>
      <c r="U253" s="184"/>
      <c r="V253" s="188"/>
      <c r="W253" s="189"/>
      <c r="X253" s="190"/>
      <c r="Y253" s="185"/>
      <c r="Z253" s="191"/>
      <c r="AA253" s="97"/>
      <c r="AB253" s="192"/>
    </row>
    <row r="254" spans="1:28">
      <c r="A254" s="116"/>
      <c r="B254" s="116"/>
      <c r="C254" s="116">
        <v>0</v>
      </c>
      <c r="D254" s="3"/>
      <c r="E254" s="207"/>
      <c r="F254" s="209"/>
      <c r="G254" s="209"/>
      <c r="H254" s="183"/>
      <c r="I254" s="183"/>
      <c r="J254" s="183"/>
      <c r="K254" s="183"/>
      <c r="L254" s="183"/>
      <c r="M254" s="184"/>
      <c r="N254" s="184"/>
      <c r="O254" s="185"/>
      <c r="P254" s="186"/>
      <c r="Q254" s="186"/>
      <c r="R254" s="187"/>
      <c r="S254" s="187"/>
      <c r="T254" s="184"/>
      <c r="U254" s="184"/>
      <c r="V254" s="188"/>
      <c r="W254" s="189"/>
      <c r="X254" s="190"/>
      <c r="Y254" s="185"/>
      <c r="Z254" s="191"/>
      <c r="AA254" s="97"/>
      <c r="AB254" s="192"/>
    </row>
    <row r="255" spans="1:28">
      <c r="A255" s="116"/>
      <c r="B255" s="116" t="s">
        <v>983</v>
      </c>
      <c r="C255" s="116">
        <v>2</v>
      </c>
      <c r="D255" s="3"/>
      <c r="E255" s="183"/>
      <c r="F255" s="209"/>
      <c r="G255" s="209"/>
      <c r="H255" s="183"/>
      <c r="I255" s="183"/>
      <c r="J255" s="183"/>
      <c r="K255" s="183"/>
      <c r="L255" s="183"/>
      <c r="M255" s="184"/>
      <c r="N255" s="184"/>
      <c r="O255" s="185"/>
      <c r="P255" s="186"/>
      <c r="Q255" s="186"/>
      <c r="R255" s="187"/>
      <c r="S255" s="187"/>
      <c r="T255" s="184"/>
      <c r="U255" s="184"/>
      <c r="V255" s="188"/>
      <c r="W255" s="189"/>
      <c r="X255" s="190"/>
      <c r="Y255" s="185"/>
      <c r="Z255" s="191"/>
      <c r="AA255" s="97"/>
      <c r="AB255" s="192"/>
    </row>
    <row r="256" spans="1:28">
      <c r="A256" s="116"/>
      <c r="B256" s="116"/>
      <c r="C256" s="116">
        <v>3</v>
      </c>
      <c r="D256" s="3"/>
      <c r="E256" s="208"/>
      <c r="F256" s="209"/>
      <c r="G256" s="209"/>
      <c r="H256" s="183"/>
      <c r="I256" s="183"/>
      <c r="J256" s="183"/>
      <c r="K256" s="183"/>
      <c r="L256" s="183"/>
      <c r="M256" s="184"/>
      <c r="N256" s="184"/>
      <c r="O256" s="185"/>
      <c r="P256" s="186"/>
      <c r="Q256" s="186"/>
      <c r="R256" s="187"/>
      <c r="S256" s="187"/>
      <c r="T256" s="184"/>
      <c r="U256" s="184"/>
      <c r="V256" s="188"/>
      <c r="W256" s="189"/>
      <c r="X256" s="190"/>
      <c r="Y256" s="185"/>
      <c r="Z256" s="191"/>
      <c r="AA256" s="97"/>
      <c r="AB256" s="192"/>
    </row>
    <row r="257" spans="1:28">
      <c r="A257" s="116"/>
      <c r="B257" s="116"/>
      <c r="C257" s="116">
        <v>3</v>
      </c>
      <c r="D257" s="3"/>
      <c r="E257" s="208"/>
      <c r="F257" s="209"/>
      <c r="G257" s="209"/>
      <c r="H257" s="183"/>
      <c r="I257" s="183"/>
      <c r="J257" s="183"/>
      <c r="K257" s="183"/>
      <c r="L257" s="183"/>
      <c r="M257" s="184"/>
      <c r="N257" s="184"/>
      <c r="O257" s="185"/>
      <c r="P257" s="186"/>
      <c r="Q257" s="186"/>
      <c r="R257" s="187"/>
      <c r="S257" s="187"/>
      <c r="T257" s="184"/>
      <c r="U257" s="184"/>
      <c r="V257" s="188"/>
      <c r="W257" s="189"/>
      <c r="X257" s="190"/>
      <c r="Y257" s="185"/>
      <c r="Z257" s="191"/>
      <c r="AA257" s="97"/>
      <c r="AB257" s="192"/>
    </row>
    <row r="258" spans="1:28">
      <c r="A258" s="116"/>
      <c r="B258" s="116"/>
      <c r="C258" s="116">
        <v>0</v>
      </c>
      <c r="D258" s="3"/>
      <c r="E258" s="183"/>
      <c r="F258" s="209"/>
      <c r="G258" s="209"/>
      <c r="H258" s="183"/>
      <c r="I258" s="183"/>
      <c r="J258" s="183"/>
      <c r="K258" s="183"/>
      <c r="L258" s="183"/>
      <c r="M258" s="184"/>
      <c r="N258" s="184"/>
      <c r="O258" s="185"/>
      <c r="P258" s="186"/>
      <c r="Q258" s="186"/>
      <c r="R258" s="187"/>
      <c r="S258" s="187"/>
      <c r="T258" s="184"/>
      <c r="U258" s="184"/>
      <c r="V258" s="188"/>
      <c r="W258" s="189"/>
      <c r="X258" s="190"/>
      <c r="Y258" s="185"/>
      <c r="Z258" s="191"/>
      <c r="AA258" s="97"/>
      <c r="AB258" s="192"/>
    </row>
    <row r="259" spans="1:28">
      <c r="A259" s="116"/>
      <c r="B259" s="116" t="s">
        <v>983</v>
      </c>
      <c r="C259" s="116">
        <v>2</v>
      </c>
      <c r="D259" s="3"/>
      <c r="E259" s="183"/>
      <c r="F259" s="209"/>
      <c r="G259" s="209"/>
      <c r="H259" s="183"/>
      <c r="I259" s="183"/>
      <c r="J259" s="183"/>
      <c r="K259" s="183"/>
      <c r="L259" s="183"/>
      <c r="M259" s="184"/>
      <c r="N259" s="184"/>
      <c r="O259" s="185"/>
      <c r="P259" s="186"/>
      <c r="Q259" s="186"/>
      <c r="R259" s="187"/>
      <c r="S259" s="187"/>
      <c r="T259" s="184"/>
      <c r="U259" s="184"/>
      <c r="V259" s="188"/>
      <c r="W259" s="189"/>
      <c r="X259" s="190"/>
      <c r="Y259" s="185"/>
      <c r="Z259" s="191"/>
      <c r="AA259" s="97"/>
      <c r="AB259" s="192"/>
    </row>
    <row r="260" spans="1:28">
      <c r="A260" s="116"/>
      <c r="B260" s="116"/>
      <c r="C260" s="116">
        <v>3</v>
      </c>
      <c r="D260" s="3"/>
      <c r="E260" s="208"/>
      <c r="F260" s="209"/>
      <c r="G260" s="209"/>
      <c r="H260" s="183"/>
      <c r="I260" s="183"/>
      <c r="J260" s="183"/>
      <c r="K260" s="183"/>
      <c r="L260" s="183"/>
      <c r="M260" s="184"/>
      <c r="N260" s="184"/>
      <c r="O260" s="185"/>
      <c r="P260" s="186"/>
      <c r="Q260" s="186"/>
      <c r="R260" s="187"/>
      <c r="S260" s="187"/>
      <c r="T260" s="184"/>
      <c r="U260" s="184"/>
      <c r="V260" s="188"/>
      <c r="W260" s="189"/>
      <c r="X260" s="190"/>
      <c r="Y260" s="185"/>
      <c r="Z260" s="191"/>
      <c r="AA260" s="97"/>
      <c r="AB260" s="192"/>
    </row>
    <row r="261" spans="1:28">
      <c r="A261" s="116"/>
      <c r="B261" s="116"/>
      <c r="C261" s="116">
        <v>3</v>
      </c>
      <c r="D261" s="3"/>
      <c r="E261" s="208"/>
      <c r="F261" s="209"/>
      <c r="G261" s="209"/>
      <c r="H261" s="183"/>
      <c r="I261" s="183"/>
      <c r="J261" s="183"/>
      <c r="K261" s="183"/>
      <c r="L261" s="183"/>
      <c r="M261" s="184"/>
      <c r="N261" s="184"/>
      <c r="O261" s="185"/>
      <c r="P261" s="186"/>
      <c r="Q261" s="186"/>
      <c r="R261" s="187"/>
      <c r="S261" s="187"/>
      <c r="T261" s="184"/>
      <c r="U261" s="184"/>
      <c r="V261" s="188"/>
      <c r="W261" s="189"/>
      <c r="X261" s="190"/>
      <c r="Y261" s="185"/>
      <c r="Z261" s="191"/>
      <c r="AA261" s="97"/>
      <c r="AB261" s="192"/>
    </row>
    <row r="262" spans="1:28">
      <c r="A262" s="116"/>
      <c r="B262" s="116"/>
      <c r="C262" s="116">
        <v>0</v>
      </c>
      <c r="D262" s="3"/>
      <c r="E262" s="183"/>
      <c r="F262" s="209"/>
      <c r="G262" s="209"/>
      <c r="H262" s="183"/>
      <c r="I262" s="183"/>
      <c r="J262" s="183"/>
      <c r="K262" s="183"/>
      <c r="L262" s="183"/>
      <c r="M262" s="184"/>
      <c r="N262" s="184"/>
      <c r="O262" s="185"/>
      <c r="P262" s="186"/>
      <c r="Q262" s="186"/>
      <c r="R262" s="187"/>
      <c r="S262" s="187"/>
      <c r="T262" s="184"/>
      <c r="U262" s="184"/>
      <c r="V262" s="188"/>
      <c r="W262" s="189"/>
      <c r="X262" s="190"/>
      <c r="Y262" s="185"/>
      <c r="Z262" s="191"/>
      <c r="AA262" s="97"/>
      <c r="AB262" s="192"/>
    </row>
    <row r="263" spans="1:28">
      <c r="A263" s="116"/>
      <c r="B263" s="116" t="s">
        <v>983</v>
      </c>
      <c r="C263" s="116">
        <v>2</v>
      </c>
      <c r="D263" s="3"/>
      <c r="E263" s="183"/>
      <c r="F263" s="209"/>
      <c r="G263" s="209"/>
      <c r="H263" s="183"/>
      <c r="I263" s="183"/>
      <c r="J263" s="183"/>
      <c r="K263" s="183"/>
      <c r="L263" s="183"/>
      <c r="M263" s="184"/>
      <c r="N263" s="184"/>
      <c r="O263" s="185"/>
      <c r="P263" s="186"/>
      <c r="Q263" s="186"/>
      <c r="R263" s="187"/>
      <c r="S263" s="187"/>
      <c r="T263" s="184"/>
      <c r="U263" s="184"/>
      <c r="V263" s="188"/>
      <c r="W263" s="189"/>
      <c r="X263" s="190"/>
      <c r="Y263" s="185"/>
      <c r="Z263" s="191"/>
      <c r="AA263" s="97"/>
      <c r="AB263" s="192"/>
    </row>
    <row r="264" spans="1:28">
      <c r="A264" s="116"/>
      <c r="B264" s="116"/>
      <c r="C264" s="116">
        <v>3</v>
      </c>
      <c r="D264" s="3"/>
      <c r="E264" s="208"/>
      <c r="F264" s="209"/>
      <c r="G264" s="209"/>
      <c r="H264" s="183"/>
      <c r="I264" s="183"/>
      <c r="J264" s="183"/>
      <c r="K264" s="183"/>
      <c r="L264" s="183"/>
      <c r="M264" s="184"/>
      <c r="N264" s="184"/>
      <c r="O264" s="185"/>
      <c r="P264" s="186"/>
      <c r="Q264" s="186"/>
      <c r="R264" s="187"/>
      <c r="S264" s="187"/>
      <c r="T264" s="184"/>
      <c r="U264" s="184"/>
      <c r="V264" s="188"/>
      <c r="W264" s="189"/>
      <c r="X264" s="190"/>
      <c r="Y264" s="185"/>
      <c r="Z264" s="191"/>
      <c r="AA264" s="97"/>
      <c r="AB264" s="192"/>
    </row>
    <row r="265" spans="1:28">
      <c r="A265" s="116"/>
      <c r="B265" s="116"/>
      <c r="C265" s="116">
        <v>3</v>
      </c>
      <c r="D265" s="3"/>
      <c r="E265" s="208"/>
      <c r="F265" s="209"/>
      <c r="G265" s="209"/>
      <c r="H265" s="183"/>
      <c r="I265" s="183"/>
      <c r="J265" s="183"/>
      <c r="K265" s="183"/>
      <c r="L265" s="183"/>
      <c r="M265" s="184"/>
      <c r="N265" s="184"/>
      <c r="O265" s="185"/>
      <c r="P265" s="186"/>
      <c r="Q265" s="186"/>
      <c r="R265" s="187"/>
      <c r="S265" s="187"/>
      <c r="T265" s="184"/>
      <c r="U265" s="184"/>
      <c r="V265" s="188"/>
      <c r="W265" s="189"/>
      <c r="X265" s="190"/>
      <c r="Y265" s="185"/>
      <c r="Z265" s="191"/>
      <c r="AA265" s="97"/>
      <c r="AB265" s="192"/>
    </row>
    <row r="266" spans="1:28">
      <c r="A266" s="116"/>
      <c r="B266" s="116"/>
      <c r="C266" s="116">
        <v>0</v>
      </c>
      <c r="D266" s="3"/>
      <c r="E266" s="183"/>
      <c r="F266" s="209"/>
      <c r="G266" s="209"/>
      <c r="H266" s="183"/>
      <c r="I266" s="183"/>
      <c r="J266" s="183"/>
      <c r="K266" s="183"/>
      <c r="L266" s="183"/>
      <c r="M266" s="184"/>
      <c r="N266" s="184"/>
      <c r="O266" s="185"/>
      <c r="P266" s="186"/>
      <c r="Q266" s="186"/>
      <c r="R266" s="187"/>
      <c r="S266" s="187"/>
      <c r="T266" s="184"/>
      <c r="U266" s="184"/>
      <c r="V266" s="188"/>
      <c r="W266" s="189"/>
      <c r="X266" s="190"/>
      <c r="Y266" s="185"/>
      <c r="Z266" s="191"/>
      <c r="AA266" s="97"/>
      <c r="AB266" s="192"/>
    </row>
    <row r="267" spans="1:28">
      <c r="A267" s="116"/>
      <c r="B267" s="116" t="s">
        <v>983</v>
      </c>
      <c r="C267" s="116">
        <v>2</v>
      </c>
      <c r="D267" s="3"/>
      <c r="E267" s="183"/>
      <c r="F267" s="209"/>
      <c r="G267" s="209"/>
      <c r="H267" s="183"/>
      <c r="I267" s="183"/>
      <c r="J267" s="183"/>
      <c r="K267" s="183"/>
      <c r="L267" s="183"/>
      <c r="M267" s="184"/>
      <c r="N267" s="184"/>
      <c r="O267" s="185"/>
      <c r="P267" s="186"/>
      <c r="Q267" s="186"/>
      <c r="R267" s="187"/>
      <c r="S267" s="187"/>
      <c r="T267" s="184"/>
      <c r="U267" s="184"/>
      <c r="V267" s="188"/>
      <c r="W267" s="189"/>
      <c r="X267" s="190"/>
      <c r="Y267" s="185"/>
      <c r="Z267" s="191"/>
      <c r="AA267" s="97"/>
      <c r="AB267" s="192"/>
    </row>
    <row r="268" spans="1:28">
      <c r="A268" s="116"/>
      <c r="B268" s="116"/>
      <c r="C268" s="116">
        <v>3</v>
      </c>
      <c r="D268" s="3"/>
      <c r="E268" s="208"/>
      <c r="F268" s="209"/>
      <c r="G268" s="209"/>
      <c r="H268" s="183"/>
      <c r="I268" s="183"/>
      <c r="J268" s="183"/>
      <c r="K268" s="183"/>
      <c r="L268" s="183"/>
      <c r="M268" s="184"/>
      <c r="N268" s="184"/>
      <c r="O268" s="185"/>
      <c r="P268" s="186"/>
      <c r="Q268" s="186"/>
      <c r="R268" s="187"/>
      <c r="S268" s="187"/>
      <c r="T268" s="184"/>
      <c r="U268" s="184"/>
      <c r="V268" s="188"/>
      <c r="W268" s="189"/>
      <c r="X268" s="190"/>
      <c r="Y268" s="185"/>
      <c r="Z268" s="191"/>
      <c r="AA268" s="97"/>
      <c r="AB268" s="192"/>
    </row>
    <row r="269" spans="1:28">
      <c r="A269" s="116"/>
      <c r="B269" s="116"/>
      <c r="C269" s="116">
        <v>3</v>
      </c>
      <c r="D269" s="3"/>
      <c r="E269" s="208"/>
      <c r="F269" s="209"/>
      <c r="G269" s="209"/>
      <c r="H269" s="183"/>
      <c r="I269" s="183"/>
      <c r="J269" s="183"/>
      <c r="K269" s="183"/>
      <c r="L269" s="183"/>
      <c r="M269" s="184"/>
      <c r="N269" s="184"/>
      <c r="O269" s="185"/>
      <c r="P269" s="186"/>
      <c r="Q269" s="186"/>
      <c r="R269" s="187"/>
      <c r="S269" s="187"/>
      <c r="T269" s="184"/>
      <c r="U269" s="184"/>
      <c r="V269" s="188"/>
      <c r="W269" s="189"/>
      <c r="X269" s="190"/>
      <c r="Y269" s="185"/>
      <c r="Z269" s="191"/>
      <c r="AA269" s="97"/>
      <c r="AB269" s="192"/>
    </row>
    <row r="270" spans="1:28">
      <c r="A270" s="116"/>
      <c r="B270" s="116"/>
      <c r="C270" s="116">
        <v>0</v>
      </c>
      <c r="D270" s="3"/>
      <c r="E270" s="183"/>
      <c r="F270" s="209"/>
      <c r="G270" s="209"/>
      <c r="H270" s="183"/>
      <c r="I270" s="183"/>
      <c r="J270" s="183"/>
      <c r="K270" s="183"/>
      <c r="L270" s="183"/>
      <c r="M270" s="184"/>
      <c r="N270" s="184"/>
      <c r="O270" s="185"/>
      <c r="P270" s="186"/>
      <c r="Q270" s="186"/>
      <c r="R270" s="187"/>
      <c r="S270" s="187"/>
      <c r="T270" s="184"/>
      <c r="U270" s="184"/>
      <c r="V270" s="188"/>
      <c r="W270" s="189"/>
      <c r="X270" s="190"/>
      <c r="Y270" s="185"/>
      <c r="Z270" s="191"/>
      <c r="AA270" s="97"/>
      <c r="AB270" s="192"/>
    </row>
    <row r="271" spans="1:28">
      <c r="A271" s="116"/>
      <c r="B271" s="116" t="s">
        <v>983</v>
      </c>
      <c r="C271" s="116">
        <v>2</v>
      </c>
      <c r="D271" s="3"/>
      <c r="E271" s="183"/>
      <c r="F271" s="209"/>
      <c r="G271" s="209"/>
      <c r="H271" s="183"/>
      <c r="I271" s="183"/>
      <c r="J271" s="183"/>
      <c r="K271" s="183"/>
      <c r="L271" s="183"/>
      <c r="M271" s="184"/>
      <c r="N271" s="184"/>
      <c r="O271" s="185"/>
      <c r="P271" s="186"/>
      <c r="Q271" s="186"/>
      <c r="R271" s="187"/>
      <c r="S271" s="187"/>
      <c r="T271" s="184"/>
      <c r="U271" s="184"/>
      <c r="V271" s="188"/>
      <c r="W271" s="189"/>
      <c r="X271" s="190"/>
      <c r="Y271" s="185"/>
      <c r="Z271" s="191"/>
      <c r="AA271" s="97"/>
      <c r="AB271" s="192"/>
    </row>
    <row r="272" spans="1:28">
      <c r="A272" s="116"/>
      <c r="B272" s="116"/>
      <c r="C272" s="116">
        <v>3</v>
      </c>
      <c r="D272" s="3"/>
      <c r="E272" s="208"/>
      <c r="F272" s="209"/>
      <c r="G272" s="209"/>
      <c r="H272" s="183"/>
      <c r="I272" s="183"/>
      <c r="J272" s="183"/>
      <c r="K272" s="183"/>
      <c r="L272" s="183"/>
      <c r="M272" s="184"/>
      <c r="N272" s="184"/>
      <c r="O272" s="185"/>
      <c r="P272" s="186"/>
      <c r="Q272" s="186"/>
      <c r="R272" s="187"/>
      <c r="S272" s="187"/>
      <c r="T272" s="184"/>
      <c r="U272" s="184"/>
      <c r="V272" s="188"/>
      <c r="W272" s="189"/>
      <c r="X272" s="190"/>
      <c r="Y272" s="185"/>
      <c r="Z272" s="191"/>
      <c r="AA272" s="97"/>
      <c r="AB272" s="192"/>
    </row>
    <row r="273" spans="1:28">
      <c r="A273" s="116"/>
      <c r="B273" s="116"/>
      <c r="C273" s="116">
        <v>3</v>
      </c>
      <c r="D273" s="3"/>
      <c r="E273" s="208"/>
      <c r="F273" s="209"/>
      <c r="G273" s="209"/>
      <c r="H273" s="183"/>
      <c r="I273" s="183"/>
      <c r="J273" s="183"/>
      <c r="K273" s="183"/>
      <c r="L273" s="183"/>
      <c r="M273" s="184"/>
      <c r="N273" s="184"/>
      <c r="O273" s="185"/>
      <c r="P273" s="186"/>
      <c r="Q273" s="186"/>
      <c r="R273" s="187"/>
      <c r="S273" s="187"/>
      <c r="T273" s="184"/>
      <c r="U273" s="184"/>
      <c r="V273" s="188"/>
      <c r="W273" s="189"/>
      <c r="X273" s="190"/>
      <c r="Y273" s="185"/>
      <c r="Z273" s="191"/>
      <c r="AA273" s="97"/>
      <c r="AB273" s="192"/>
    </row>
    <row r="274" spans="1:28">
      <c r="A274" s="116"/>
      <c r="B274" s="116"/>
      <c r="C274" s="116">
        <v>0</v>
      </c>
      <c r="D274" s="3"/>
      <c r="E274" s="183"/>
      <c r="F274" s="209"/>
      <c r="G274" s="209"/>
      <c r="H274" s="183"/>
      <c r="I274" s="183"/>
      <c r="J274" s="183"/>
      <c r="K274" s="183"/>
      <c r="L274" s="183"/>
      <c r="M274" s="184"/>
      <c r="N274" s="184"/>
      <c r="O274" s="185"/>
      <c r="P274" s="186"/>
      <c r="Q274" s="186"/>
      <c r="R274" s="187"/>
      <c r="S274" s="187"/>
      <c r="T274" s="184"/>
      <c r="U274" s="184"/>
      <c r="V274" s="188"/>
      <c r="W274" s="189"/>
      <c r="X274" s="190"/>
      <c r="Y274" s="185"/>
      <c r="Z274" s="191"/>
      <c r="AA274" s="97"/>
      <c r="AB274" s="192"/>
    </row>
    <row r="275" spans="1:28">
      <c r="A275" s="116"/>
      <c r="B275" s="116" t="s">
        <v>983</v>
      </c>
      <c r="C275" s="116">
        <v>2</v>
      </c>
      <c r="D275" s="3"/>
      <c r="E275" s="183"/>
      <c r="F275" s="209"/>
      <c r="G275" s="209"/>
      <c r="H275" s="183"/>
      <c r="I275" s="183"/>
      <c r="J275" s="183"/>
      <c r="K275" s="183"/>
      <c r="L275" s="183"/>
      <c r="M275" s="184"/>
      <c r="N275" s="184"/>
      <c r="O275" s="185"/>
      <c r="P275" s="186"/>
      <c r="Q275" s="186"/>
      <c r="R275" s="187"/>
      <c r="S275" s="187"/>
      <c r="T275" s="184"/>
      <c r="U275" s="184"/>
      <c r="V275" s="188"/>
      <c r="W275" s="189"/>
      <c r="X275" s="190"/>
      <c r="Y275" s="185"/>
      <c r="Z275" s="191"/>
      <c r="AA275" s="97"/>
      <c r="AB275" s="192"/>
    </row>
    <row r="276" spans="1:28">
      <c r="A276" s="116"/>
      <c r="B276" s="116"/>
      <c r="C276" s="116">
        <v>3</v>
      </c>
      <c r="D276" s="3"/>
      <c r="E276" s="208"/>
      <c r="F276" s="209"/>
      <c r="G276" s="209"/>
      <c r="H276" s="183"/>
      <c r="I276" s="183"/>
      <c r="J276" s="183"/>
      <c r="K276" s="183"/>
      <c r="L276" s="183"/>
      <c r="M276" s="184"/>
      <c r="N276" s="184"/>
      <c r="O276" s="185"/>
      <c r="P276" s="186"/>
      <c r="Q276" s="186"/>
      <c r="R276" s="187"/>
      <c r="S276" s="187"/>
      <c r="T276" s="184"/>
      <c r="U276" s="184"/>
      <c r="V276" s="188"/>
      <c r="W276" s="189"/>
      <c r="X276" s="190"/>
      <c r="Y276" s="185"/>
      <c r="Z276" s="191"/>
      <c r="AA276" s="97"/>
      <c r="AB276" s="192"/>
    </row>
    <row r="277" spans="1:28">
      <c r="A277" s="116"/>
      <c r="B277" s="116"/>
      <c r="C277" s="116">
        <v>3</v>
      </c>
      <c r="D277" s="3"/>
      <c r="E277" s="208"/>
      <c r="F277" s="209"/>
      <c r="G277" s="209"/>
      <c r="H277" s="183"/>
      <c r="I277" s="183"/>
      <c r="J277" s="183"/>
      <c r="K277" s="183"/>
      <c r="L277" s="183"/>
      <c r="M277" s="184"/>
      <c r="N277" s="184"/>
      <c r="O277" s="185"/>
      <c r="P277" s="186"/>
      <c r="Q277" s="186"/>
      <c r="R277" s="187"/>
      <c r="S277" s="187"/>
      <c r="T277" s="184"/>
      <c r="U277" s="184"/>
      <c r="V277" s="188"/>
      <c r="W277" s="189"/>
      <c r="X277" s="190"/>
      <c r="Y277" s="185"/>
      <c r="Z277" s="191"/>
      <c r="AA277" s="97"/>
      <c r="AB277" s="192"/>
    </row>
    <row r="278" spans="1:28">
      <c r="A278" s="116"/>
      <c r="B278" s="116"/>
      <c r="C278" s="116">
        <v>0</v>
      </c>
      <c r="D278" s="3"/>
      <c r="E278" s="183"/>
      <c r="F278" s="209"/>
      <c r="G278" s="209"/>
      <c r="H278" s="183"/>
      <c r="I278" s="183"/>
      <c r="J278" s="183"/>
      <c r="K278" s="183"/>
      <c r="L278" s="183"/>
      <c r="M278" s="184"/>
      <c r="N278" s="184"/>
      <c r="O278" s="185"/>
      <c r="P278" s="186"/>
      <c r="Q278" s="186"/>
      <c r="R278" s="187"/>
      <c r="S278" s="187"/>
      <c r="T278" s="184"/>
      <c r="U278" s="184"/>
      <c r="V278" s="188"/>
      <c r="W278" s="189"/>
      <c r="X278" s="190"/>
      <c r="Y278" s="185"/>
      <c r="Z278" s="191"/>
      <c r="AA278" s="97"/>
      <c r="AB278" s="192"/>
    </row>
    <row r="279" spans="1:28">
      <c r="A279" s="116"/>
      <c r="B279" s="116" t="s">
        <v>983</v>
      </c>
      <c r="C279" s="116">
        <v>2</v>
      </c>
      <c r="D279" s="3"/>
      <c r="E279" s="183"/>
      <c r="F279" s="209"/>
      <c r="G279" s="209"/>
      <c r="H279" s="183"/>
      <c r="I279" s="183"/>
      <c r="J279" s="183"/>
      <c r="K279" s="183"/>
      <c r="L279" s="183"/>
      <c r="M279" s="184"/>
      <c r="N279" s="184"/>
      <c r="O279" s="185"/>
      <c r="P279" s="186"/>
      <c r="Q279" s="186"/>
      <c r="R279" s="187"/>
      <c r="S279" s="187"/>
      <c r="T279" s="184"/>
      <c r="U279" s="184"/>
      <c r="V279" s="188"/>
      <c r="W279" s="189"/>
      <c r="X279" s="190"/>
      <c r="Y279" s="185"/>
      <c r="Z279" s="191"/>
      <c r="AA279" s="97"/>
      <c r="AB279" s="192"/>
    </row>
    <row r="280" spans="1:28">
      <c r="A280" s="116"/>
      <c r="B280" s="116"/>
      <c r="C280" s="116">
        <v>3</v>
      </c>
      <c r="D280" s="3"/>
      <c r="E280" s="208"/>
      <c r="F280" s="209"/>
      <c r="G280" s="209"/>
      <c r="H280" s="183"/>
      <c r="I280" s="183"/>
      <c r="J280" s="183"/>
      <c r="K280" s="183"/>
      <c r="L280" s="183"/>
      <c r="M280" s="184"/>
      <c r="N280" s="184"/>
      <c r="O280" s="185"/>
      <c r="P280" s="186"/>
      <c r="Q280" s="186"/>
      <c r="R280" s="187"/>
      <c r="S280" s="187"/>
      <c r="T280" s="184"/>
      <c r="U280" s="184"/>
      <c r="V280" s="188"/>
      <c r="W280" s="189"/>
      <c r="X280" s="190"/>
      <c r="Y280" s="185"/>
      <c r="Z280" s="191"/>
      <c r="AA280" s="97"/>
      <c r="AB280" s="192"/>
    </row>
    <row r="281" spans="1:28">
      <c r="A281" s="116"/>
      <c r="B281" s="116"/>
      <c r="C281" s="116">
        <v>3</v>
      </c>
      <c r="D281" s="3"/>
      <c r="E281" s="208"/>
      <c r="F281" s="209"/>
      <c r="G281" s="209"/>
      <c r="H281" s="183"/>
      <c r="I281" s="183"/>
      <c r="J281" s="183"/>
      <c r="K281" s="183"/>
      <c r="L281" s="183"/>
      <c r="M281" s="184"/>
      <c r="N281" s="184"/>
      <c r="O281" s="185"/>
      <c r="P281" s="186"/>
      <c r="Q281" s="186"/>
      <c r="R281" s="187"/>
      <c r="S281" s="187"/>
      <c r="T281" s="184"/>
      <c r="U281" s="184"/>
      <c r="V281" s="188"/>
      <c r="W281" s="189"/>
      <c r="X281" s="190"/>
      <c r="Y281" s="185"/>
      <c r="Z281" s="191"/>
      <c r="AA281" s="97"/>
      <c r="AB281" s="192"/>
    </row>
    <row r="282" spans="1:28">
      <c r="A282" s="116"/>
      <c r="B282" s="116"/>
      <c r="C282" s="116">
        <v>0</v>
      </c>
      <c r="D282" s="3"/>
      <c r="E282" s="183"/>
      <c r="F282" s="209"/>
      <c r="G282" s="209"/>
      <c r="H282" s="183"/>
      <c r="I282" s="183"/>
      <c r="J282" s="183"/>
      <c r="K282" s="183"/>
      <c r="L282" s="183"/>
      <c r="M282" s="184"/>
      <c r="N282" s="184"/>
      <c r="O282" s="185"/>
      <c r="P282" s="186"/>
      <c r="Q282" s="186"/>
      <c r="R282" s="187"/>
      <c r="S282" s="187"/>
      <c r="T282" s="184"/>
      <c r="U282" s="184"/>
      <c r="V282" s="188"/>
      <c r="W282" s="189"/>
      <c r="X282" s="190"/>
      <c r="Y282" s="185"/>
      <c r="Z282" s="191"/>
      <c r="AA282" s="97"/>
      <c r="AB282" s="192"/>
    </row>
    <row r="283" spans="1:28">
      <c r="A283" s="116"/>
      <c r="B283" s="116" t="s">
        <v>983</v>
      </c>
      <c r="C283" s="116">
        <v>2</v>
      </c>
      <c r="D283" s="3"/>
      <c r="E283" s="183"/>
      <c r="F283" s="209"/>
      <c r="G283" s="209"/>
      <c r="H283" s="183"/>
      <c r="I283" s="183"/>
      <c r="J283" s="183"/>
      <c r="K283" s="183"/>
      <c r="L283" s="183"/>
      <c r="M283" s="184"/>
      <c r="N283" s="184"/>
      <c r="O283" s="185"/>
      <c r="P283" s="186"/>
      <c r="Q283" s="186"/>
      <c r="R283" s="187"/>
      <c r="S283" s="187"/>
      <c r="T283" s="184"/>
      <c r="U283" s="184"/>
      <c r="V283" s="188"/>
      <c r="W283" s="189"/>
      <c r="X283" s="190"/>
      <c r="Y283" s="185"/>
      <c r="Z283" s="191"/>
      <c r="AA283" s="97"/>
      <c r="AB283" s="192"/>
    </row>
    <row r="284" spans="1:28">
      <c r="A284" s="116"/>
      <c r="B284" s="116"/>
      <c r="C284" s="116">
        <v>3</v>
      </c>
      <c r="D284" s="3"/>
      <c r="E284" s="208"/>
      <c r="F284" s="209"/>
      <c r="G284" s="209"/>
      <c r="H284" s="183"/>
      <c r="I284" s="183"/>
      <c r="J284" s="183"/>
      <c r="K284" s="183"/>
      <c r="L284" s="183"/>
      <c r="M284" s="184"/>
      <c r="N284" s="184"/>
      <c r="O284" s="185"/>
      <c r="P284" s="186"/>
      <c r="Q284" s="186"/>
      <c r="R284" s="187"/>
      <c r="S284" s="187"/>
      <c r="T284" s="184"/>
      <c r="U284" s="184"/>
      <c r="V284" s="188"/>
      <c r="W284" s="189"/>
      <c r="X284" s="190"/>
      <c r="Y284" s="185"/>
      <c r="Z284" s="191"/>
      <c r="AA284" s="97"/>
      <c r="AB284" s="192"/>
    </row>
    <row r="285" spans="1:28">
      <c r="A285" s="116"/>
      <c r="B285" s="116"/>
      <c r="C285" s="116">
        <v>3</v>
      </c>
      <c r="D285" s="3"/>
      <c r="E285" s="208"/>
      <c r="F285" s="209"/>
      <c r="G285" s="209"/>
      <c r="H285" s="183"/>
      <c r="I285" s="183"/>
      <c r="J285" s="183"/>
      <c r="K285" s="183"/>
      <c r="L285" s="183"/>
      <c r="M285" s="184"/>
      <c r="N285" s="184"/>
      <c r="O285" s="185"/>
      <c r="P285" s="186"/>
      <c r="Q285" s="186"/>
      <c r="R285" s="187"/>
      <c r="S285" s="187"/>
      <c r="T285" s="184"/>
      <c r="U285" s="184"/>
      <c r="V285" s="188"/>
      <c r="W285" s="189"/>
      <c r="X285" s="190"/>
      <c r="Y285" s="185"/>
      <c r="Z285" s="191"/>
      <c r="AA285" s="97"/>
      <c r="AB285" s="192"/>
    </row>
    <row r="286" spans="1:28">
      <c r="A286" s="116"/>
      <c r="B286" s="116"/>
      <c r="C286" s="116">
        <v>0</v>
      </c>
      <c r="D286" s="3"/>
      <c r="E286" s="183"/>
      <c r="F286" s="209"/>
      <c r="G286" s="209"/>
      <c r="H286" s="183"/>
      <c r="I286" s="183"/>
      <c r="J286" s="183"/>
      <c r="K286" s="183"/>
      <c r="L286" s="183"/>
      <c r="M286" s="184"/>
      <c r="N286" s="184"/>
      <c r="O286" s="185"/>
      <c r="P286" s="186"/>
      <c r="Q286" s="186"/>
      <c r="R286" s="187"/>
      <c r="S286" s="187"/>
      <c r="T286" s="184"/>
      <c r="U286" s="184"/>
      <c r="V286" s="188"/>
      <c r="W286" s="189"/>
      <c r="X286" s="190"/>
      <c r="Y286" s="185"/>
      <c r="Z286" s="191"/>
      <c r="AA286" s="97"/>
      <c r="AB286" s="192"/>
    </row>
    <row r="287" spans="1:28">
      <c r="A287" s="116"/>
      <c r="B287" s="116" t="s">
        <v>983</v>
      </c>
      <c r="C287" s="116">
        <v>2</v>
      </c>
      <c r="D287" s="3"/>
      <c r="E287" s="183"/>
      <c r="F287" s="209"/>
      <c r="G287" s="209"/>
      <c r="H287" s="183"/>
      <c r="I287" s="183"/>
      <c r="J287" s="183"/>
      <c r="K287" s="183"/>
      <c r="L287" s="183"/>
      <c r="M287" s="184"/>
      <c r="N287" s="184"/>
      <c r="O287" s="185"/>
      <c r="P287" s="186"/>
      <c r="Q287" s="186"/>
      <c r="R287" s="187"/>
      <c r="S287" s="187"/>
      <c r="T287" s="184"/>
      <c r="U287" s="184"/>
      <c r="V287" s="188"/>
      <c r="W287" s="189"/>
      <c r="X287" s="190"/>
      <c r="Y287" s="185"/>
      <c r="Z287" s="191"/>
      <c r="AA287" s="97"/>
      <c r="AB287" s="192"/>
    </row>
    <row r="288" spans="1:28">
      <c r="A288" s="116"/>
      <c r="B288" s="116"/>
      <c r="C288" s="116">
        <v>3</v>
      </c>
      <c r="D288" s="3"/>
      <c r="E288" s="208"/>
      <c r="F288" s="209"/>
      <c r="G288" s="209"/>
      <c r="H288" s="183"/>
      <c r="I288" s="183"/>
      <c r="J288" s="183"/>
      <c r="K288" s="183"/>
      <c r="L288" s="183"/>
      <c r="M288" s="184"/>
      <c r="N288" s="184"/>
      <c r="O288" s="185"/>
      <c r="P288" s="186"/>
      <c r="Q288" s="186"/>
      <c r="R288" s="187"/>
      <c r="S288" s="187"/>
      <c r="T288" s="184"/>
      <c r="U288" s="184"/>
      <c r="V288" s="188"/>
      <c r="W288" s="189"/>
      <c r="X288" s="190"/>
      <c r="Y288" s="185"/>
      <c r="Z288" s="191"/>
      <c r="AA288" s="97"/>
      <c r="AB288" s="192"/>
    </row>
    <row r="289" spans="1:28">
      <c r="A289" s="116"/>
      <c r="B289" s="116"/>
      <c r="C289" s="116">
        <v>3</v>
      </c>
      <c r="D289" s="3"/>
      <c r="E289" s="208"/>
      <c r="F289" s="209"/>
      <c r="G289" s="209"/>
      <c r="H289" s="183"/>
      <c r="I289" s="183"/>
      <c r="J289" s="183"/>
      <c r="K289" s="183"/>
      <c r="L289" s="183"/>
      <c r="M289" s="184"/>
      <c r="N289" s="184"/>
      <c r="O289" s="185"/>
      <c r="P289" s="186"/>
      <c r="Q289" s="186"/>
      <c r="R289" s="187"/>
      <c r="S289" s="187"/>
      <c r="T289" s="184"/>
      <c r="U289" s="184"/>
      <c r="V289" s="188"/>
      <c r="W289" s="189"/>
      <c r="X289" s="190"/>
      <c r="Y289" s="185"/>
      <c r="Z289" s="191"/>
      <c r="AA289" s="97"/>
      <c r="AB289" s="192"/>
    </row>
    <row r="290" spans="1:28">
      <c r="A290" s="116"/>
      <c r="B290" s="116"/>
      <c r="C290" s="116">
        <v>0</v>
      </c>
      <c r="D290" s="3"/>
      <c r="E290" s="183"/>
      <c r="F290" s="209"/>
      <c r="G290" s="209"/>
      <c r="H290" s="183"/>
      <c r="I290" s="183"/>
      <c r="J290" s="183"/>
      <c r="K290" s="183"/>
      <c r="L290" s="183"/>
      <c r="M290" s="184"/>
      <c r="N290" s="184"/>
      <c r="O290" s="185"/>
      <c r="P290" s="186"/>
      <c r="Q290" s="186"/>
      <c r="R290" s="187"/>
      <c r="S290" s="187"/>
      <c r="T290" s="184"/>
      <c r="U290" s="184"/>
      <c r="V290" s="188"/>
      <c r="W290" s="189"/>
      <c r="X290" s="190"/>
      <c r="Y290" s="185"/>
      <c r="Z290" s="191"/>
      <c r="AA290" s="97"/>
      <c r="AB290" s="192"/>
    </row>
    <row r="291" spans="1:28">
      <c r="A291" s="116"/>
      <c r="B291" s="116" t="s">
        <v>983</v>
      </c>
      <c r="C291" s="116">
        <v>2</v>
      </c>
      <c r="D291" s="3"/>
      <c r="E291" s="183"/>
      <c r="F291" s="209"/>
      <c r="G291" s="209"/>
      <c r="H291" s="183"/>
      <c r="I291" s="183"/>
      <c r="J291" s="183"/>
      <c r="K291" s="183"/>
      <c r="L291" s="183"/>
      <c r="M291" s="184"/>
      <c r="N291" s="184"/>
      <c r="O291" s="185"/>
      <c r="P291" s="186"/>
      <c r="Q291" s="186"/>
      <c r="R291" s="187"/>
      <c r="S291" s="187"/>
      <c r="T291" s="184"/>
      <c r="U291" s="184"/>
      <c r="V291" s="188"/>
      <c r="W291" s="189"/>
      <c r="X291" s="190"/>
      <c r="Y291" s="185"/>
      <c r="Z291" s="191"/>
      <c r="AA291" s="97"/>
      <c r="AB291" s="192"/>
    </row>
    <row r="292" spans="1:28">
      <c r="A292" s="116"/>
      <c r="B292" s="116"/>
      <c r="C292" s="116">
        <v>3</v>
      </c>
      <c r="D292" s="3"/>
      <c r="E292" s="208"/>
      <c r="F292" s="209"/>
      <c r="G292" s="209"/>
      <c r="H292" s="183"/>
      <c r="I292" s="183"/>
      <c r="J292" s="183"/>
      <c r="K292" s="183"/>
      <c r="L292" s="183"/>
      <c r="M292" s="184"/>
      <c r="N292" s="184"/>
      <c r="O292" s="185"/>
      <c r="P292" s="186"/>
      <c r="Q292" s="186"/>
      <c r="R292" s="187"/>
      <c r="S292" s="187"/>
      <c r="T292" s="184"/>
      <c r="U292" s="184"/>
      <c r="V292" s="188"/>
      <c r="W292" s="189"/>
      <c r="X292" s="190"/>
      <c r="Y292" s="185"/>
      <c r="Z292" s="191"/>
      <c r="AA292" s="97"/>
      <c r="AB292" s="192"/>
    </row>
    <row r="293" spans="1:28">
      <c r="A293" s="116"/>
      <c r="B293" s="116"/>
      <c r="C293" s="116">
        <v>3</v>
      </c>
      <c r="D293" s="3"/>
      <c r="E293" s="208"/>
      <c r="F293" s="209"/>
      <c r="G293" s="209"/>
      <c r="H293" s="183"/>
      <c r="I293" s="183"/>
      <c r="J293" s="183"/>
      <c r="K293" s="183"/>
      <c r="L293" s="183"/>
      <c r="M293" s="184"/>
      <c r="N293" s="184"/>
      <c r="O293" s="185"/>
      <c r="P293" s="186"/>
      <c r="Q293" s="186"/>
      <c r="R293" s="187"/>
      <c r="S293" s="187"/>
      <c r="T293" s="184"/>
      <c r="U293" s="184"/>
      <c r="V293" s="188"/>
      <c r="W293" s="189"/>
      <c r="X293" s="190"/>
      <c r="Y293" s="185"/>
      <c r="Z293" s="191"/>
      <c r="AA293" s="97"/>
      <c r="AB293" s="192"/>
    </row>
    <row r="294" spans="1:28">
      <c r="A294" s="116"/>
      <c r="B294" s="116"/>
      <c r="C294" s="116">
        <v>0</v>
      </c>
      <c r="D294" s="3"/>
      <c r="E294" s="183"/>
      <c r="F294" s="209"/>
      <c r="G294" s="209"/>
      <c r="H294" s="183"/>
      <c r="I294" s="183"/>
      <c r="J294" s="183"/>
      <c r="K294" s="183"/>
      <c r="L294" s="183"/>
      <c r="M294" s="184"/>
      <c r="N294" s="184"/>
      <c r="O294" s="185"/>
      <c r="P294" s="186"/>
      <c r="Q294" s="186"/>
      <c r="R294" s="187"/>
      <c r="S294" s="187"/>
      <c r="T294" s="184"/>
      <c r="U294" s="184"/>
      <c r="V294" s="188"/>
      <c r="W294" s="189"/>
      <c r="X294" s="190"/>
      <c r="Y294" s="185"/>
      <c r="Z294" s="191"/>
      <c r="AA294" s="97"/>
      <c r="AB294" s="192"/>
    </row>
    <row r="295" spans="1:28">
      <c r="A295" s="116"/>
      <c r="B295" s="116" t="s">
        <v>983</v>
      </c>
      <c r="C295" s="116">
        <v>2</v>
      </c>
      <c r="D295" s="3"/>
      <c r="E295" s="183"/>
      <c r="F295" s="209"/>
      <c r="G295" s="209"/>
      <c r="H295" s="183"/>
      <c r="I295" s="183"/>
      <c r="J295" s="183"/>
      <c r="K295" s="183"/>
      <c r="L295" s="183"/>
      <c r="M295" s="184"/>
      <c r="N295" s="184"/>
      <c r="O295" s="185"/>
      <c r="P295" s="186"/>
      <c r="Q295" s="186"/>
      <c r="R295" s="187"/>
      <c r="S295" s="187"/>
      <c r="T295" s="184"/>
      <c r="U295" s="184"/>
      <c r="V295" s="188"/>
      <c r="W295" s="189"/>
      <c r="X295" s="190"/>
      <c r="Y295" s="185"/>
      <c r="Z295" s="191"/>
      <c r="AA295" s="97"/>
      <c r="AB295" s="192"/>
    </row>
    <row r="296" spans="1:28">
      <c r="A296" s="116"/>
      <c r="B296" s="116"/>
      <c r="C296" s="116">
        <v>3</v>
      </c>
      <c r="D296" s="3"/>
      <c r="E296" s="208"/>
      <c r="F296" s="209"/>
      <c r="G296" s="209"/>
      <c r="H296" s="183"/>
      <c r="I296" s="183"/>
      <c r="J296" s="183"/>
      <c r="K296" s="183"/>
      <c r="L296" s="183"/>
      <c r="M296" s="184"/>
      <c r="N296" s="184"/>
      <c r="O296" s="185"/>
      <c r="P296" s="186"/>
      <c r="Q296" s="186"/>
      <c r="R296" s="187"/>
      <c r="S296" s="187"/>
      <c r="T296" s="184"/>
      <c r="U296" s="184"/>
      <c r="V296" s="188"/>
      <c r="W296" s="189"/>
      <c r="X296" s="190"/>
      <c r="Y296" s="185"/>
      <c r="Z296" s="191"/>
      <c r="AA296" s="97"/>
      <c r="AB296" s="192"/>
    </row>
    <row r="297" spans="1:28">
      <c r="A297" s="116"/>
      <c r="B297" s="116"/>
      <c r="C297" s="116">
        <v>3</v>
      </c>
      <c r="D297" s="3"/>
      <c r="E297" s="208"/>
      <c r="F297" s="209"/>
      <c r="G297" s="209"/>
      <c r="H297" s="183"/>
      <c r="I297" s="183"/>
      <c r="J297" s="183"/>
      <c r="K297" s="183"/>
      <c r="L297" s="183"/>
      <c r="M297" s="184"/>
      <c r="N297" s="184"/>
      <c r="O297" s="185"/>
      <c r="P297" s="186"/>
      <c r="Q297" s="186"/>
      <c r="R297" s="187"/>
      <c r="S297" s="187"/>
      <c r="T297" s="184"/>
      <c r="U297" s="184"/>
      <c r="V297" s="188"/>
      <c r="W297" s="189"/>
      <c r="X297" s="190"/>
      <c r="Y297" s="185"/>
      <c r="Z297" s="191"/>
      <c r="AA297" s="97"/>
      <c r="AB297" s="192"/>
    </row>
    <row r="298" spans="1:28">
      <c r="A298" s="116"/>
      <c r="B298" s="116"/>
      <c r="C298" s="116">
        <v>0</v>
      </c>
      <c r="D298" s="3"/>
      <c r="E298" s="183"/>
      <c r="F298" s="209"/>
      <c r="G298" s="209"/>
      <c r="H298" s="183"/>
      <c r="I298" s="183"/>
      <c r="J298" s="183"/>
      <c r="K298" s="183"/>
      <c r="L298" s="183"/>
      <c r="M298" s="184"/>
      <c r="N298" s="184"/>
      <c r="O298" s="185"/>
      <c r="P298" s="186"/>
      <c r="Q298" s="186"/>
      <c r="R298" s="187"/>
      <c r="S298" s="187"/>
      <c r="T298" s="184"/>
      <c r="U298" s="184"/>
      <c r="V298" s="188"/>
      <c r="W298" s="189"/>
      <c r="X298" s="190"/>
      <c r="Y298" s="185"/>
      <c r="Z298" s="191"/>
      <c r="AA298" s="97"/>
      <c r="AB298" s="192"/>
    </row>
    <row r="299" spans="1:28">
      <c r="A299" s="116"/>
      <c r="B299" s="116" t="s">
        <v>983</v>
      </c>
      <c r="C299" s="116">
        <v>2</v>
      </c>
      <c r="D299" s="3"/>
      <c r="E299" s="183"/>
      <c r="F299" s="209"/>
      <c r="G299" s="209"/>
      <c r="H299" s="183"/>
      <c r="I299" s="183"/>
      <c r="J299" s="183"/>
      <c r="K299" s="183"/>
      <c r="L299" s="183"/>
      <c r="M299" s="184"/>
      <c r="N299" s="184"/>
      <c r="O299" s="185"/>
      <c r="P299" s="186"/>
      <c r="Q299" s="186"/>
      <c r="R299" s="187"/>
      <c r="S299" s="187"/>
      <c r="T299" s="184"/>
      <c r="U299" s="184"/>
      <c r="V299" s="188"/>
      <c r="W299" s="189"/>
      <c r="X299" s="190"/>
      <c r="Y299" s="185"/>
      <c r="Z299" s="191"/>
      <c r="AA299" s="97"/>
      <c r="AB299" s="192"/>
    </row>
    <row r="300" spans="1:28">
      <c r="A300" s="116"/>
      <c r="B300" s="116"/>
      <c r="C300" s="116">
        <v>3</v>
      </c>
      <c r="D300" s="3"/>
      <c r="E300" s="208"/>
      <c r="F300" s="209"/>
      <c r="G300" s="209"/>
      <c r="H300" s="183"/>
      <c r="I300" s="183"/>
      <c r="J300" s="183"/>
      <c r="K300" s="183"/>
      <c r="L300" s="183"/>
      <c r="M300" s="184"/>
      <c r="N300" s="184"/>
      <c r="O300" s="185"/>
      <c r="P300" s="186"/>
      <c r="Q300" s="186"/>
      <c r="R300" s="187"/>
      <c r="S300" s="187"/>
      <c r="T300" s="184"/>
      <c r="U300" s="184"/>
      <c r="V300" s="188"/>
      <c r="W300" s="189"/>
      <c r="X300" s="190"/>
      <c r="Y300" s="185"/>
      <c r="Z300" s="191"/>
      <c r="AA300" s="97"/>
      <c r="AB300" s="192"/>
    </row>
    <row r="301" spans="1:28">
      <c r="A301" s="116"/>
      <c r="B301" s="116"/>
      <c r="C301" s="116">
        <v>3</v>
      </c>
      <c r="D301" s="3"/>
      <c r="E301" s="208"/>
      <c r="F301" s="209"/>
      <c r="G301" s="209"/>
      <c r="H301" s="183"/>
      <c r="I301" s="183"/>
      <c r="J301" s="183"/>
      <c r="K301" s="183"/>
      <c r="L301" s="183"/>
      <c r="M301" s="184"/>
      <c r="N301" s="184"/>
      <c r="O301" s="185"/>
      <c r="P301" s="186"/>
      <c r="Q301" s="186"/>
      <c r="R301" s="187"/>
      <c r="S301" s="187"/>
      <c r="T301" s="184"/>
      <c r="U301" s="184"/>
      <c r="V301" s="188"/>
      <c r="W301" s="189"/>
      <c r="X301" s="190"/>
      <c r="Y301" s="185"/>
      <c r="Z301" s="191"/>
      <c r="AA301" s="97"/>
      <c r="AB301" s="192"/>
    </row>
    <row r="302" spans="1:28">
      <c r="A302" s="116"/>
      <c r="B302" s="116"/>
      <c r="C302" s="116">
        <v>0</v>
      </c>
      <c r="D302" s="3"/>
      <c r="E302" s="208"/>
      <c r="F302" s="209"/>
      <c r="G302" s="209"/>
      <c r="H302" s="183"/>
      <c r="I302" s="183"/>
      <c r="J302" s="183"/>
      <c r="K302" s="183"/>
      <c r="L302" s="183"/>
      <c r="M302" s="184"/>
      <c r="N302" s="184"/>
      <c r="O302" s="185"/>
      <c r="P302" s="186"/>
      <c r="Q302" s="186"/>
      <c r="R302" s="187"/>
      <c r="S302" s="187"/>
      <c r="T302" s="184"/>
      <c r="U302" s="184"/>
      <c r="V302" s="188"/>
      <c r="W302" s="189"/>
      <c r="X302" s="190"/>
      <c r="Y302" s="185"/>
      <c r="Z302" s="191"/>
      <c r="AA302" s="97"/>
      <c r="AB302" s="192"/>
    </row>
    <row r="303" spans="1:28">
      <c r="A303" s="116"/>
      <c r="B303" s="116" t="s">
        <v>983</v>
      </c>
      <c r="C303" s="116">
        <v>2</v>
      </c>
      <c r="D303" s="3"/>
      <c r="E303" s="183"/>
      <c r="F303" s="209"/>
      <c r="G303" s="209"/>
      <c r="H303" s="183"/>
      <c r="I303" s="183"/>
      <c r="J303" s="183"/>
      <c r="K303" s="183"/>
      <c r="L303" s="183"/>
      <c r="M303" s="184"/>
      <c r="N303" s="184"/>
      <c r="O303" s="185"/>
      <c r="P303" s="186"/>
      <c r="Q303" s="186"/>
      <c r="R303" s="187"/>
      <c r="S303" s="187"/>
      <c r="T303" s="184"/>
      <c r="U303" s="184"/>
      <c r="V303" s="188"/>
      <c r="W303" s="189"/>
      <c r="X303" s="190"/>
      <c r="Y303" s="185"/>
      <c r="Z303" s="191"/>
      <c r="AA303" s="97"/>
      <c r="AB303" s="192"/>
    </row>
    <row r="304" spans="1:28">
      <c r="A304" s="116"/>
      <c r="B304" s="116"/>
      <c r="C304" s="116">
        <v>3</v>
      </c>
      <c r="D304" s="3"/>
      <c r="E304" s="208"/>
      <c r="F304" s="209"/>
      <c r="G304" s="209"/>
      <c r="H304" s="183"/>
      <c r="I304" s="183"/>
      <c r="J304" s="183"/>
      <c r="K304" s="183"/>
      <c r="L304" s="183"/>
      <c r="M304" s="184"/>
      <c r="N304" s="184"/>
      <c r="O304" s="185"/>
      <c r="P304" s="186"/>
      <c r="Q304" s="186"/>
      <c r="R304" s="187"/>
      <c r="S304" s="187"/>
      <c r="T304" s="184"/>
      <c r="U304" s="184"/>
      <c r="V304" s="188"/>
      <c r="W304" s="189"/>
      <c r="X304" s="190"/>
      <c r="Y304" s="185"/>
      <c r="Z304" s="191"/>
      <c r="AA304" s="97"/>
      <c r="AB304" s="192"/>
    </row>
    <row r="305" spans="1:28">
      <c r="A305" s="116"/>
      <c r="B305" s="116"/>
      <c r="C305" s="116">
        <v>3</v>
      </c>
      <c r="D305" s="3"/>
      <c r="E305" s="208"/>
      <c r="F305" s="209"/>
      <c r="G305" s="209"/>
      <c r="H305" s="183"/>
      <c r="I305" s="183"/>
      <c r="J305" s="183"/>
      <c r="K305" s="183"/>
      <c r="L305" s="183"/>
      <c r="M305" s="184"/>
      <c r="N305" s="184"/>
      <c r="O305" s="185"/>
      <c r="P305" s="186"/>
      <c r="Q305" s="186"/>
      <c r="R305" s="187"/>
      <c r="S305" s="187"/>
      <c r="T305" s="184"/>
      <c r="U305" s="184"/>
      <c r="V305" s="188"/>
      <c r="W305" s="189"/>
      <c r="X305" s="190"/>
      <c r="Y305" s="185"/>
      <c r="Z305" s="191"/>
      <c r="AA305" s="97"/>
      <c r="AB305" s="192"/>
    </row>
    <row r="306" spans="1:28">
      <c r="A306" s="116"/>
      <c r="B306" s="116"/>
      <c r="C306" s="116">
        <v>0</v>
      </c>
      <c r="D306" s="3"/>
      <c r="E306" s="208"/>
      <c r="F306" s="209"/>
      <c r="G306" s="209"/>
      <c r="H306" s="183"/>
      <c r="I306" s="183"/>
      <c r="J306" s="183"/>
      <c r="K306" s="183"/>
      <c r="L306" s="183"/>
      <c r="M306" s="184"/>
      <c r="N306" s="184"/>
      <c r="O306" s="185"/>
      <c r="P306" s="186"/>
      <c r="Q306" s="186"/>
      <c r="R306" s="187"/>
      <c r="S306" s="187"/>
      <c r="T306" s="184"/>
      <c r="U306" s="184"/>
      <c r="V306" s="188"/>
      <c r="W306" s="189"/>
      <c r="X306" s="190"/>
      <c r="Y306" s="185"/>
      <c r="Z306" s="191"/>
      <c r="AA306" s="97"/>
      <c r="AB306" s="192"/>
    </row>
    <row r="307" spans="1:28">
      <c r="A307" s="116"/>
      <c r="B307" s="116" t="s">
        <v>983</v>
      </c>
      <c r="C307" s="116">
        <v>2</v>
      </c>
      <c r="D307" s="3"/>
      <c r="E307" s="183"/>
      <c r="F307" s="209"/>
      <c r="G307" s="209"/>
      <c r="H307" s="183"/>
      <c r="I307" s="183"/>
      <c r="J307" s="183"/>
      <c r="K307" s="183"/>
      <c r="L307" s="183"/>
      <c r="M307" s="184"/>
      <c r="N307" s="184"/>
      <c r="O307" s="185"/>
      <c r="P307" s="186"/>
      <c r="Q307" s="186"/>
      <c r="R307" s="187"/>
      <c r="S307" s="187"/>
      <c r="T307" s="184"/>
      <c r="U307" s="184"/>
      <c r="V307" s="188"/>
      <c r="W307" s="189"/>
      <c r="X307" s="190"/>
      <c r="Y307" s="185"/>
      <c r="Z307" s="191"/>
      <c r="AA307" s="97"/>
      <c r="AB307" s="192"/>
    </row>
    <row r="308" spans="1:28">
      <c r="A308" s="116"/>
      <c r="B308" s="116"/>
      <c r="C308" s="116">
        <v>3</v>
      </c>
      <c r="D308" s="3"/>
      <c r="E308" s="208"/>
      <c r="F308" s="209"/>
      <c r="G308" s="209"/>
      <c r="H308" s="183"/>
      <c r="I308" s="183"/>
      <c r="J308" s="183"/>
      <c r="K308" s="183"/>
      <c r="L308" s="183"/>
      <c r="M308" s="184"/>
      <c r="N308" s="184"/>
      <c r="O308" s="185"/>
      <c r="P308" s="186"/>
      <c r="Q308" s="186"/>
      <c r="R308" s="187"/>
      <c r="S308" s="187"/>
      <c r="T308" s="184"/>
      <c r="U308" s="184"/>
      <c r="V308" s="188"/>
      <c r="W308" s="189"/>
      <c r="X308" s="190"/>
      <c r="Y308" s="185"/>
      <c r="Z308" s="191"/>
      <c r="AA308" s="97"/>
      <c r="AB308" s="192"/>
    </row>
    <row r="309" spans="1:28">
      <c r="A309" s="116"/>
      <c r="B309" s="116"/>
      <c r="C309" s="116">
        <v>3</v>
      </c>
      <c r="D309" s="3"/>
      <c r="E309" s="208"/>
      <c r="F309" s="209"/>
      <c r="G309" s="209"/>
      <c r="H309" s="183"/>
      <c r="I309" s="183"/>
      <c r="J309" s="183"/>
      <c r="K309" s="183"/>
      <c r="L309" s="183"/>
      <c r="M309" s="184"/>
      <c r="N309" s="184"/>
      <c r="O309" s="185"/>
      <c r="P309" s="186"/>
      <c r="Q309" s="186"/>
      <c r="R309" s="187"/>
      <c r="S309" s="187"/>
      <c r="T309" s="184"/>
      <c r="U309" s="184"/>
      <c r="V309" s="188"/>
      <c r="W309" s="189"/>
      <c r="X309" s="190"/>
      <c r="Y309" s="185"/>
      <c r="Z309" s="191"/>
      <c r="AA309" s="97"/>
      <c r="AB309" s="192"/>
    </row>
    <row r="310" spans="1:28">
      <c r="A310" s="116"/>
      <c r="B310" s="116"/>
      <c r="C310" s="116">
        <v>0</v>
      </c>
      <c r="D310" s="3"/>
      <c r="E310" s="208"/>
      <c r="F310" s="209"/>
      <c r="G310" s="209"/>
      <c r="H310" s="183"/>
      <c r="I310" s="183"/>
      <c r="J310" s="183"/>
      <c r="K310" s="183"/>
      <c r="L310" s="183"/>
      <c r="M310" s="184"/>
      <c r="N310" s="184"/>
      <c r="O310" s="185"/>
      <c r="P310" s="186"/>
      <c r="Q310" s="186"/>
      <c r="R310" s="187"/>
      <c r="S310" s="187"/>
      <c r="T310" s="184"/>
      <c r="U310" s="184"/>
      <c r="V310" s="188"/>
      <c r="W310" s="189"/>
      <c r="X310" s="190"/>
      <c r="Y310" s="185"/>
      <c r="Z310" s="191"/>
      <c r="AA310" s="97"/>
      <c r="AB310" s="192"/>
    </row>
    <row r="311" spans="1:28">
      <c r="A311" s="116"/>
      <c r="B311" s="116" t="s">
        <v>983</v>
      </c>
      <c r="C311" s="116">
        <v>2</v>
      </c>
      <c r="D311" s="3"/>
      <c r="E311" s="183"/>
      <c r="F311" s="209"/>
      <c r="G311" s="209"/>
      <c r="H311" s="183"/>
      <c r="I311" s="183"/>
      <c r="J311" s="183"/>
      <c r="K311" s="183"/>
      <c r="L311" s="183"/>
      <c r="M311" s="184"/>
      <c r="N311" s="184"/>
      <c r="O311" s="185"/>
      <c r="P311" s="186"/>
      <c r="Q311" s="186"/>
      <c r="R311" s="187"/>
      <c r="S311" s="187"/>
      <c r="T311" s="184"/>
      <c r="U311" s="184"/>
      <c r="V311" s="188"/>
      <c r="W311" s="189"/>
      <c r="X311" s="190"/>
      <c r="Y311" s="185"/>
      <c r="Z311" s="191"/>
      <c r="AA311" s="97"/>
      <c r="AB311" s="192"/>
    </row>
    <row r="312" spans="1:28">
      <c r="A312" s="116"/>
      <c r="B312" s="116"/>
      <c r="C312" s="116">
        <v>3</v>
      </c>
      <c r="D312" s="3"/>
      <c r="E312" s="208"/>
      <c r="F312" s="209"/>
      <c r="G312" s="209"/>
      <c r="H312" s="183"/>
      <c r="I312" s="183"/>
      <c r="J312" s="183"/>
      <c r="K312" s="183"/>
      <c r="L312" s="183"/>
      <c r="M312" s="184"/>
      <c r="N312" s="184"/>
      <c r="O312" s="185"/>
      <c r="P312" s="186"/>
      <c r="Q312" s="186"/>
      <c r="R312" s="187"/>
      <c r="S312" s="187"/>
      <c r="T312" s="184"/>
      <c r="U312" s="184"/>
      <c r="V312" s="188"/>
      <c r="W312" s="189"/>
      <c r="X312" s="190"/>
      <c r="Y312" s="185"/>
      <c r="Z312" s="191"/>
      <c r="AA312" s="97"/>
      <c r="AB312" s="192"/>
    </row>
    <row r="313" spans="1:28">
      <c r="A313" s="116"/>
      <c r="B313" s="116"/>
      <c r="C313" s="116">
        <v>3</v>
      </c>
      <c r="D313" s="3"/>
      <c r="E313" s="208"/>
      <c r="F313" s="209"/>
      <c r="G313" s="209"/>
      <c r="H313" s="183"/>
      <c r="I313" s="183"/>
      <c r="J313" s="183"/>
      <c r="K313" s="183"/>
      <c r="L313" s="183"/>
      <c r="M313" s="184"/>
      <c r="N313" s="184"/>
      <c r="O313" s="185"/>
      <c r="P313" s="186"/>
      <c r="Q313" s="186"/>
      <c r="R313" s="187"/>
      <c r="S313" s="187"/>
      <c r="T313" s="184"/>
      <c r="U313" s="184"/>
      <c r="V313" s="188"/>
      <c r="W313" s="189"/>
      <c r="X313" s="190"/>
      <c r="Y313" s="185"/>
      <c r="Z313" s="191"/>
      <c r="AA313" s="97"/>
      <c r="AB313" s="192"/>
    </row>
    <row r="314" spans="1:28">
      <c r="A314" s="116"/>
      <c r="B314" s="116"/>
      <c r="C314" s="116">
        <v>0</v>
      </c>
      <c r="D314" s="3"/>
      <c r="E314" s="208"/>
      <c r="F314" s="209"/>
      <c r="G314" s="209"/>
      <c r="H314" s="183"/>
      <c r="I314" s="183"/>
      <c r="J314" s="183"/>
      <c r="K314" s="183"/>
      <c r="L314" s="183"/>
      <c r="M314" s="184"/>
      <c r="N314" s="184"/>
      <c r="O314" s="185"/>
      <c r="P314" s="186"/>
      <c r="Q314" s="186"/>
      <c r="R314" s="187"/>
      <c r="S314" s="187"/>
      <c r="T314" s="184"/>
      <c r="U314" s="184"/>
      <c r="V314" s="188"/>
      <c r="W314" s="189"/>
      <c r="X314" s="190"/>
      <c r="Y314" s="185"/>
      <c r="Z314" s="191"/>
      <c r="AA314" s="97"/>
      <c r="AB314" s="192"/>
    </row>
    <row r="315" spans="1:28">
      <c r="A315" s="116"/>
      <c r="B315" s="116"/>
      <c r="C315" s="116">
        <v>0</v>
      </c>
      <c r="D315" s="3"/>
      <c r="E315" s="183"/>
      <c r="F315" s="183"/>
      <c r="G315" s="183"/>
      <c r="H315" s="183"/>
      <c r="I315" s="183"/>
      <c r="J315" s="183"/>
      <c r="K315" s="183"/>
      <c r="L315" s="183"/>
      <c r="M315" s="184"/>
      <c r="N315" s="184"/>
      <c r="O315" s="185"/>
      <c r="P315" s="186"/>
      <c r="Q315" s="186"/>
      <c r="R315" s="187"/>
      <c r="S315" s="187"/>
      <c r="T315" s="184"/>
      <c r="U315" s="184"/>
      <c r="V315" s="188"/>
      <c r="W315" s="189"/>
      <c r="X315" s="190"/>
      <c r="Y315" s="185"/>
      <c r="Z315" s="191"/>
      <c r="AA315" s="97"/>
      <c r="AB315" s="192"/>
    </row>
    <row r="316" spans="1:28">
      <c r="A316" s="116"/>
      <c r="B316" s="116" t="s">
        <v>983</v>
      </c>
      <c r="C316" s="116">
        <v>1</v>
      </c>
      <c r="D316" s="3"/>
      <c r="E316" s="207"/>
      <c r="F316" s="183"/>
      <c r="G316" s="183"/>
      <c r="H316" s="183"/>
      <c r="I316" s="183"/>
      <c r="J316" s="183"/>
      <c r="K316" s="183"/>
      <c r="L316" s="183"/>
      <c r="M316" s="184"/>
      <c r="N316" s="184"/>
      <c r="O316" s="185"/>
      <c r="P316" s="186"/>
      <c r="Q316" s="186"/>
      <c r="R316" s="187"/>
      <c r="S316" s="187"/>
      <c r="T316" s="184"/>
      <c r="U316" s="184"/>
      <c r="V316" s="188"/>
      <c r="W316" s="189"/>
      <c r="X316" s="190"/>
      <c r="Y316" s="185"/>
      <c r="Z316" s="191"/>
      <c r="AA316" s="97"/>
      <c r="AB316" s="192"/>
    </row>
    <row r="317" spans="1:28">
      <c r="A317" s="116"/>
      <c r="B317" s="116"/>
      <c r="C317" s="116">
        <v>2</v>
      </c>
      <c r="D317" s="3"/>
      <c r="E317" s="208"/>
      <c r="F317" s="209"/>
      <c r="G317" s="183"/>
      <c r="H317" s="183"/>
      <c r="I317" s="183"/>
      <c r="J317" s="183"/>
      <c r="K317" s="183"/>
      <c r="L317" s="183"/>
      <c r="M317" s="184"/>
      <c r="N317" s="184"/>
      <c r="O317" s="185"/>
      <c r="P317" s="186"/>
      <c r="Q317" s="186"/>
      <c r="R317" s="187"/>
      <c r="S317" s="187"/>
      <c r="T317" s="184"/>
      <c r="U317" s="184"/>
      <c r="V317" s="188"/>
      <c r="W317" s="189"/>
      <c r="X317" s="190"/>
      <c r="Y317" s="185"/>
      <c r="Z317" s="191"/>
      <c r="AA317" s="97"/>
      <c r="AB317" s="192"/>
    </row>
    <row r="318" spans="1:28">
      <c r="A318" s="116"/>
      <c r="B318" s="116"/>
      <c r="C318" s="116">
        <v>2</v>
      </c>
      <c r="D318" s="3"/>
      <c r="E318" s="183"/>
      <c r="F318" s="209"/>
      <c r="G318" s="183"/>
      <c r="H318" s="183"/>
      <c r="I318" s="183"/>
      <c r="J318" s="183"/>
      <c r="K318" s="183"/>
      <c r="L318" s="183"/>
      <c r="M318" s="184"/>
      <c r="N318" s="184"/>
      <c r="O318" s="185"/>
      <c r="P318" s="186"/>
      <c r="Q318" s="186"/>
      <c r="R318" s="187"/>
      <c r="S318" s="187"/>
      <c r="T318" s="184"/>
      <c r="U318" s="184"/>
      <c r="V318" s="188"/>
      <c r="W318" s="189"/>
      <c r="X318" s="190"/>
      <c r="Y318" s="185"/>
      <c r="Z318" s="191"/>
      <c r="AA318" s="97"/>
      <c r="AB318" s="192"/>
    </row>
    <row r="319" spans="1:28">
      <c r="A319" s="116"/>
      <c r="B319" s="116"/>
      <c r="C319" s="116">
        <v>2</v>
      </c>
      <c r="D319" s="3"/>
      <c r="E319" s="183"/>
      <c r="F319" s="209"/>
      <c r="G319" s="183"/>
      <c r="H319" s="183"/>
      <c r="I319" s="183"/>
      <c r="J319" s="183"/>
      <c r="K319" s="183"/>
      <c r="L319" s="183"/>
      <c r="M319" s="184"/>
      <c r="N319" s="184"/>
      <c r="O319" s="185"/>
      <c r="P319" s="186"/>
      <c r="Q319" s="186"/>
      <c r="R319" s="187"/>
      <c r="S319" s="187"/>
      <c r="T319" s="184"/>
      <c r="U319" s="184"/>
      <c r="V319" s="188"/>
      <c r="W319" s="189"/>
      <c r="X319" s="190"/>
      <c r="Y319" s="185"/>
      <c r="Z319" s="191"/>
      <c r="AA319" s="97"/>
      <c r="AB319" s="192"/>
    </row>
    <row r="320" spans="1:28">
      <c r="A320" s="116"/>
      <c r="B320" s="116"/>
      <c r="C320" s="116">
        <v>2</v>
      </c>
      <c r="D320" s="3"/>
      <c r="E320" s="183"/>
      <c r="F320" s="209"/>
      <c r="G320" s="183"/>
      <c r="H320" s="183"/>
      <c r="I320" s="183"/>
      <c r="J320" s="183"/>
      <c r="K320" s="183"/>
      <c r="L320" s="183"/>
      <c r="M320" s="184"/>
      <c r="N320" s="184"/>
      <c r="O320" s="185"/>
      <c r="P320" s="186"/>
      <c r="Q320" s="186"/>
      <c r="R320" s="187"/>
      <c r="S320" s="187"/>
      <c r="T320" s="184"/>
      <c r="U320" s="184"/>
      <c r="V320" s="188"/>
      <c r="W320" s="189"/>
      <c r="X320" s="190"/>
      <c r="Y320" s="185"/>
      <c r="Z320" s="191"/>
      <c r="AA320" s="97"/>
      <c r="AB320" s="192"/>
    </row>
    <row r="321" spans="1:28">
      <c r="A321" s="116"/>
      <c r="B321" s="116"/>
      <c r="C321" s="116">
        <v>2</v>
      </c>
      <c r="D321" s="3"/>
      <c r="E321" s="183"/>
      <c r="F321" s="209"/>
      <c r="G321" s="183"/>
      <c r="H321" s="183"/>
      <c r="I321" s="183"/>
      <c r="J321" s="183"/>
      <c r="K321" s="183"/>
      <c r="L321" s="183"/>
      <c r="M321" s="184"/>
      <c r="N321" s="184"/>
      <c r="O321" s="185"/>
      <c r="P321" s="186"/>
      <c r="Q321" s="186"/>
      <c r="R321" s="187"/>
      <c r="S321" s="187"/>
      <c r="T321" s="184"/>
      <c r="U321" s="184"/>
      <c r="V321" s="188"/>
      <c r="W321" s="189"/>
      <c r="X321" s="190"/>
      <c r="Y321" s="185"/>
      <c r="Z321" s="191"/>
      <c r="AA321" s="97"/>
      <c r="AB321" s="192"/>
    </row>
    <row r="322" spans="1:28">
      <c r="A322" s="116"/>
      <c r="B322" s="116"/>
      <c r="C322" s="116">
        <v>2</v>
      </c>
      <c r="D322" s="3"/>
      <c r="E322" s="183"/>
      <c r="F322" s="209"/>
      <c r="G322" s="183"/>
      <c r="H322" s="183"/>
      <c r="I322" s="183"/>
      <c r="J322" s="183"/>
      <c r="K322" s="183"/>
      <c r="L322" s="183"/>
      <c r="M322" s="184"/>
      <c r="N322" s="184"/>
      <c r="O322" s="185"/>
      <c r="P322" s="186"/>
      <c r="Q322" s="186"/>
      <c r="R322" s="187"/>
      <c r="S322" s="187"/>
      <c r="T322" s="184"/>
      <c r="U322" s="184"/>
      <c r="V322" s="188"/>
      <c r="W322" s="189"/>
      <c r="X322" s="190"/>
      <c r="Y322" s="185"/>
      <c r="Z322" s="191"/>
      <c r="AA322" s="97"/>
      <c r="AB322" s="192"/>
    </row>
    <row r="323" spans="1:28">
      <c r="A323" s="116"/>
      <c r="B323" s="116"/>
      <c r="C323" s="116">
        <v>2</v>
      </c>
      <c r="D323" s="3"/>
      <c r="E323" s="183"/>
      <c r="F323" s="209"/>
      <c r="G323" s="183"/>
      <c r="H323" s="183"/>
      <c r="I323" s="183"/>
      <c r="J323" s="183"/>
      <c r="K323" s="183"/>
      <c r="L323" s="183"/>
      <c r="M323" s="184"/>
      <c r="N323" s="184"/>
      <c r="O323" s="185"/>
      <c r="P323" s="186"/>
      <c r="Q323" s="186"/>
      <c r="R323" s="187"/>
      <c r="S323" s="187"/>
      <c r="T323" s="184"/>
      <c r="U323" s="184"/>
      <c r="V323" s="188"/>
      <c r="W323" s="189"/>
      <c r="X323" s="190"/>
      <c r="Y323" s="185"/>
      <c r="Z323" s="191"/>
      <c r="AA323" s="97"/>
      <c r="AB323" s="192"/>
    </row>
    <row r="324" spans="1:28">
      <c r="A324" s="116"/>
      <c r="B324" s="116"/>
      <c r="C324" s="116">
        <v>2</v>
      </c>
      <c r="D324" s="3"/>
      <c r="E324" s="183"/>
      <c r="F324" s="209"/>
      <c r="G324" s="183"/>
      <c r="H324" s="183"/>
      <c r="I324" s="183"/>
      <c r="J324" s="183"/>
      <c r="K324" s="183"/>
      <c r="L324" s="183"/>
      <c r="M324" s="184"/>
      <c r="N324" s="184"/>
      <c r="O324" s="185"/>
      <c r="P324" s="186"/>
      <c r="Q324" s="186"/>
      <c r="R324" s="187"/>
      <c r="S324" s="187"/>
      <c r="T324" s="184"/>
      <c r="U324" s="184"/>
      <c r="V324" s="188"/>
      <c r="W324" s="189"/>
      <c r="X324" s="190"/>
      <c r="Y324" s="185"/>
      <c r="Z324" s="191"/>
      <c r="AA324" s="97"/>
      <c r="AB324" s="192"/>
    </row>
    <row r="325" spans="1:28">
      <c r="A325" s="116"/>
      <c r="B325" s="116"/>
      <c r="C325" s="116">
        <v>2</v>
      </c>
      <c r="D325" s="3"/>
      <c r="E325" s="183"/>
      <c r="F325" s="209"/>
      <c r="G325" s="183"/>
      <c r="H325" s="183"/>
      <c r="I325" s="183"/>
      <c r="J325" s="183"/>
      <c r="K325" s="183"/>
      <c r="L325" s="183"/>
      <c r="M325" s="184"/>
      <c r="N325" s="184"/>
      <c r="O325" s="185"/>
      <c r="P325" s="186"/>
      <c r="Q325" s="186"/>
      <c r="R325" s="187"/>
      <c r="S325" s="187"/>
      <c r="T325" s="184"/>
      <c r="U325" s="184"/>
      <c r="V325" s="188"/>
      <c r="W325" s="189"/>
      <c r="X325" s="190"/>
      <c r="Y325" s="185"/>
      <c r="Z325" s="191"/>
      <c r="AA325" s="97"/>
      <c r="AB325" s="192"/>
    </row>
    <row r="326" spans="1:28">
      <c r="A326" s="116"/>
      <c r="B326" s="116"/>
      <c r="C326" s="116">
        <v>2</v>
      </c>
      <c r="D326" s="3"/>
      <c r="E326" s="183"/>
      <c r="F326" s="209"/>
      <c r="G326" s="183"/>
      <c r="H326" s="183"/>
      <c r="I326" s="183"/>
      <c r="J326" s="183"/>
      <c r="K326" s="183"/>
      <c r="L326" s="183"/>
      <c r="M326" s="184"/>
      <c r="N326" s="184"/>
      <c r="O326" s="185"/>
      <c r="P326" s="186"/>
      <c r="Q326" s="186"/>
      <c r="R326" s="187"/>
      <c r="S326" s="187"/>
      <c r="T326" s="184"/>
      <c r="U326" s="184"/>
      <c r="V326" s="188"/>
      <c r="W326" s="189"/>
      <c r="X326" s="190"/>
      <c r="Y326" s="185"/>
      <c r="Z326" s="191"/>
      <c r="AA326" s="97"/>
      <c r="AB326" s="192"/>
    </row>
    <row r="327" spans="1:28">
      <c r="A327" s="116"/>
      <c r="B327" s="116"/>
      <c r="C327" s="116">
        <v>2</v>
      </c>
      <c r="D327" s="3"/>
      <c r="E327" s="183"/>
      <c r="F327" s="209"/>
      <c r="G327" s="183"/>
      <c r="H327" s="183"/>
      <c r="I327" s="183"/>
      <c r="J327" s="183"/>
      <c r="K327" s="183"/>
      <c r="L327" s="183"/>
      <c r="M327" s="184"/>
      <c r="N327" s="184"/>
      <c r="O327" s="185"/>
      <c r="P327" s="186"/>
      <c r="Q327" s="186"/>
      <c r="R327" s="187"/>
      <c r="S327" s="187"/>
      <c r="T327" s="184"/>
      <c r="U327" s="184"/>
      <c r="V327" s="188"/>
      <c r="W327" s="189"/>
      <c r="X327" s="190"/>
      <c r="Y327" s="185"/>
      <c r="Z327" s="191"/>
      <c r="AA327" s="97"/>
      <c r="AB327" s="192"/>
    </row>
    <row r="328" spans="1:28">
      <c r="A328" s="116"/>
      <c r="B328" s="116"/>
      <c r="C328" s="116">
        <v>2</v>
      </c>
      <c r="D328" s="3"/>
      <c r="E328" s="183"/>
      <c r="F328" s="209"/>
      <c r="G328" s="183"/>
      <c r="H328" s="183"/>
      <c r="I328" s="183"/>
      <c r="J328" s="183"/>
      <c r="K328" s="183"/>
      <c r="L328" s="183"/>
      <c r="M328" s="184"/>
      <c r="N328" s="184"/>
      <c r="O328" s="185"/>
      <c r="P328" s="186"/>
      <c r="Q328" s="186"/>
      <c r="R328" s="187"/>
      <c r="S328" s="187"/>
      <c r="T328" s="184"/>
      <c r="U328" s="184"/>
      <c r="V328" s="188"/>
      <c r="W328" s="189"/>
      <c r="X328" s="190"/>
      <c r="Y328" s="185"/>
      <c r="Z328" s="191"/>
      <c r="AA328" s="97"/>
      <c r="AB328" s="192"/>
    </row>
    <row r="329" spans="1:28">
      <c r="A329" s="116"/>
      <c r="B329" s="116"/>
      <c r="C329" s="116">
        <v>2</v>
      </c>
      <c r="D329" s="3"/>
      <c r="E329" s="183"/>
      <c r="F329" s="209"/>
      <c r="G329" s="183"/>
      <c r="H329" s="183"/>
      <c r="I329" s="183"/>
      <c r="J329" s="183"/>
      <c r="K329" s="183"/>
      <c r="L329" s="183"/>
      <c r="M329" s="184"/>
      <c r="N329" s="184"/>
      <c r="O329" s="185"/>
      <c r="P329" s="186"/>
      <c r="Q329" s="186"/>
      <c r="R329" s="187"/>
      <c r="S329" s="187"/>
      <c r="T329" s="184"/>
      <c r="U329" s="184"/>
      <c r="V329" s="188"/>
      <c r="W329" s="189"/>
      <c r="X329" s="190"/>
      <c r="Y329" s="185"/>
      <c r="Z329" s="191"/>
      <c r="AA329" s="97"/>
      <c r="AB329" s="192"/>
    </row>
    <row r="330" spans="1:28">
      <c r="A330" s="116"/>
      <c r="B330" s="116"/>
      <c r="C330" s="116">
        <v>2</v>
      </c>
      <c r="D330" s="3"/>
      <c r="E330" s="183"/>
      <c r="F330" s="183"/>
      <c r="G330" s="183"/>
      <c r="H330" s="183"/>
      <c r="I330" s="183"/>
      <c r="J330" s="183"/>
      <c r="K330" s="183"/>
      <c r="L330" s="183"/>
      <c r="M330" s="184"/>
      <c r="N330" s="184"/>
      <c r="O330" s="185"/>
      <c r="P330" s="186"/>
      <c r="Q330" s="186"/>
      <c r="R330" s="187"/>
      <c r="S330" s="187"/>
      <c r="T330" s="184"/>
      <c r="U330" s="184"/>
      <c r="V330" s="188"/>
      <c r="W330" s="189"/>
      <c r="X330" s="190"/>
      <c r="Y330" s="185"/>
      <c r="Z330" s="191"/>
      <c r="AA330" s="97"/>
      <c r="AB330" s="192"/>
    </row>
    <row r="331" spans="1:28">
      <c r="A331" s="116"/>
      <c r="B331" s="116"/>
      <c r="C331" s="116">
        <v>2</v>
      </c>
      <c r="D331" s="3"/>
      <c r="E331" s="183"/>
      <c r="F331" s="183"/>
      <c r="G331" s="183"/>
      <c r="H331" s="183"/>
      <c r="I331" s="183"/>
      <c r="J331" s="183"/>
      <c r="K331" s="183"/>
      <c r="L331" s="183"/>
      <c r="M331" s="184"/>
      <c r="N331" s="184"/>
      <c r="O331" s="185"/>
      <c r="P331" s="186"/>
      <c r="Q331" s="186"/>
      <c r="R331" s="187"/>
      <c r="S331" s="187"/>
      <c r="T331" s="184"/>
      <c r="U331" s="184"/>
      <c r="V331" s="188"/>
      <c r="W331" s="189"/>
      <c r="X331" s="190"/>
      <c r="Y331" s="185"/>
      <c r="Z331" s="191"/>
      <c r="AA331" s="97"/>
      <c r="AB331" s="192"/>
    </row>
    <row r="332" spans="1:28">
      <c r="A332" s="116"/>
      <c r="B332" s="116"/>
      <c r="C332" s="116">
        <v>2</v>
      </c>
      <c r="D332" s="3"/>
      <c r="E332" s="183"/>
      <c r="F332" s="183"/>
      <c r="G332" s="183"/>
      <c r="H332" s="183"/>
      <c r="I332" s="183"/>
      <c r="J332" s="183"/>
      <c r="K332" s="183"/>
      <c r="L332" s="183"/>
      <c r="M332" s="184"/>
      <c r="N332" s="184"/>
      <c r="O332" s="185"/>
      <c r="P332" s="186"/>
      <c r="Q332" s="186"/>
      <c r="R332" s="187"/>
      <c r="S332" s="187"/>
      <c r="T332" s="184"/>
      <c r="U332" s="184"/>
      <c r="V332" s="188"/>
      <c r="W332" s="189"/>
      <c r="X332" s="190"/>
      <c r="Y332" s="185"/>
      <c r="Z332" s="191"/>
      <c r="AA332" s="97"/>
      <c r="AB332" s="192"/>
    </row>
    <row r="333" spans="1:28">
      <c r="A333" s="116"/>
      <c r="B333" s="116"/>
      <c r="C333" s="116">
        <v>2</v>
      </c>
      <c r="D333" s="3"/>
      <c r="E333" s="183"/>
      <c r="F333" s="183"/>
      <c r="G333" s="183"/>
      <c r="H333" s="183"/>
      <c r="I333" s="183"/>
      <c r="J333" s="183"/>
      <c r="K333" s="183"/>
      <c r="L333" s="183"/>
      <c r="M333" s="184"/>
      <c r="N333" s="184"/>
      <c r="O333" s="185"/>
      <c r="P333" s="186"/>
      <c r="Q333" s="186"/>
      <c r="R333" s="187"/>
      <c r="S333" s="187"/>
      <c r="T333" s="184"/>
      <c r="U333" s="184"/>
      <c r="V333" s="188"/>
      <c r="W333" s="189"/>
      <c r="X333" s="190"/>
      <c r="Y333" s="185"/>
      <c r="Z333" s="191"/>
      <c r="AA333" s="97"/>
      <c r="AB333" s="192"/>
    </row>
    <row r="334" spans="1:28">
      <c r="A334" s="193"/>
      <c r="B334" s="193"/>
      <c r="C334" s="193">
        <v>0</v>
      </c>
      <c r="D334" s="194"/>
      <c r="E334" s="195"/>
      <c r="F334" s="195"/>
      <c r="G334" s="195"/>
      <c r="H334" s="195"/>
      <c r="I334" s="195"/>
      <c r="J334" s="195"/>
      <c r="K334" s="195"/>
      <c r="L334" s="195"/>
      <c r="M334" s="196"/>
      <c r="N334" s="196"/>
      <c r="O334" s="197"/>
      <c r="P334" s="198"/>
      <c r="Q334" s="198"/>
      <c r="R334" s="199"/>
      <c r="S334" s="199"/>
      <c r="T334" s="196"/>
      <c r="U334" s="196"/>
      <c r="V334" s="200"/>
      <c r="W334" s="201"/>
      <c r="X334" s="202"/>
      <c r="Y334" s="197"/>
      <c r="Z334" s="203"/>
      <c r="AA334" s="204"/>
      <c r="AB334" s="205"/>
    </row>
    <row r="335" spans="1:28">
      <c r="A335" s="193"/>
      <c r="B335" s="193"/>
      <c r="C335" s="193"/>
      <c r="D335" s="194"/>
      <c r="E335" s="195"/>
      <c r="F335" s="195"/>
      <c r="G335" s="195"/>
      <c r="H335" s="195"/>
      <c r="I335" s="195"/>
      <c r="J335" s="195"/>
      <c r="K335" s="195"/>
      <c r="L335" s="195"/>
      <c r="M335" s="196"/>
      <c r="N335" s="196"/>
      <c r="O335" s="197"/>
      <c r="P335" s="198"/>
      <c r="Q335" s="198"/>
      <c r="R335" s="199"/>
      <c r="S335" s="199"/>
      <c r="T335" s="196"/>
      <c r="U335" s="196"/>
      <c r="V335" s="200"/>
      <c r="W335" s="201"/>
      <c r="X335" s="202"/>
      <c r="Y335" s="197"/>
      <c r="Z335" s="203"/>
      <c r="AA335" s="204"/>
      <c r="AB335" s="205"/>
    </row>
    <row r="336" spans="1:28">
      <c r="A336" s="116"/>
      <c r="B336" s="116"/>
      <c r="C336" s="116"/>
      <c r="D336" s="3"/>
      <c r="E336" s="183"/>
      <c r="F336" s="183"/>
      <c r="G336" s="183"/>
      <c r="H336" s="183"/>
      <c r="I336" s="183"/>
      <c r="J336" s="183"/>
      <c r="K336" s="183"/>
      <c r="L336" s="183"/>
      <c r="M336" s="184"/>
      <c r="N336" s="184"/>
      <c r="O336" s="185"/>
      <c r="P336" s="186"/>
      <c r="Q336" s="186"/>
      <c r="R336" s="187"/>
      <c r="S336" s="187"/>
      <c r="T336" s="184"/>
      <c r="U336" s="184"/>
      <c r="V336" s="188"/>
      <c r="W336" s="189"/>
      <c r="X336" s="190"/>
      <c r="Y336" s="185"/>
      <c r="Z336" s="191"/>
      <c r="AA336" s="97"/>
      <c r="AB336" s="192"/>
    </row>
    <row r="337" spans="1:28">
      <c r="A337" s="116"/>
      <c r="B337" s="116"/>
      <c r="C337" s="116"/>
      <c r="D337" s="3"/>
      <c r="E337" s="183"/>
      <c r="F337" s="183"/>
      <c r="G337" s="183"/>
      <c r="H337" s="183"/>
      <c r="I337" s="183"/>
      <c r="J337" s="183"/>
      <c r="K337" s="183"/>
      <c r="L337" s="183"/>
      <c r="M337" s="184"/>
      <c r="N337" s="184"/>
      <c r="O337" s="185"/>
      <c r="P337" s="186"/>
      <c r="Q337" s="186"/>
      <c r="R337" s="187"/>
      <c r="S337" s="187"/>
      <c r="T337" s="184"/>
      <c r="U337" s="184"/>
      <c r="V337" s="188"/>
      <c r="W337" s="189"/>
      <c r="X337" s="190"/>
      <c r="Y337" s="185"/>
      <c r="Z337" s="191"/>
      <c r="AA337" s="97"/>
      <c r="AB337" s="192"/>
    </row>
    <row r="338" spans="1:28">
      <c r="A338" s="116"/>
      <c r="B338" s="116"/>
      <c r="C338" s="116"/>
      <c r="D338" s="3"/>
      <c r="E338" s="183"/>
      <c r="F338" s="183"/>
      <c r="G338" s="183"/>
      <c r="H338" s="183"/>
      <c r="I338" s="183"/>
      <c r="J338" s="183"/>
      <c r="K338" s="183"/>
      <c r="L338" s="183"/>
      <c r="M338" s="184"/>
      <c r="N338" s="184"/>
      <c r="O338" s="185"/>
      <c r="P338" s="186"/>
      <c r="Q338" s="186"/>
      <c r="R338" s="187"/>
      <c r="S338" s="187"/>
      <c r="T338" s="184"/>
      <c r="U338" s="184"/>
      <c r="V338" s="188"/>
      <c r="W338" s="189"/>
      <c r="X338" s="190"/>
      <c r="Y338" s="185"/>
      <c r="Z338" s="191"/>
      <c r="AA338" s="97"/>
      <c r="AB338" s="192"/>
    </row>
    <row r="339" spans="1:28">
      <c r="A339" s="116"/>
      <c r="B339" s="116"/>
      <c r="C339" s="116"/>
      <c r="D339" s="3"/>
      <c r="E339" s="183"/>
      <c r="F339" s="183"/>
      <c r="G339" s="183"/>
      <c r="H339" s="183"/>
      <c r="I339" s="183"/>
      <c r="J339" s="183"/>
      <c r="K339" s="183"/>
      <c r="L339" s="183"/>
      <c r="M339" s="184"/>
      <c r="N339" s="184"/>
      <c r="O339" s="185"/>
      <c r="P339" s="186"/>
      <c r="Q339" s="186"/>
      <c r="R339" s="187"/>
      <c r="S339" s="187"/>
      <c r="T339" s="184"/>
      <c r="U339" s="184"/>
      <c r="V339" s="188"/>
      <c r="W339" s="189"/>
      <c r="X339" s="190"/>
      <c r="Y339" s="185"/>
      <c r="Z339" s="191"/>
      <c r="AA339" s="97"/>
      <c r="AB339" s="192"/>
    </row>
    <row r="340" spans="1:28">
      <c r="A340" s="116"/>
      <c r="B340" s="116"/>
      <c r="C340" s="116"/>
      <c r="D340" s="3"/>
      <c r="E340" s="183"/>
      <c r="F340" s="183"/>
      <c r="G340" s="183"/>
      <c r="H340" s="183"/>
      <c r="I340" s="183"/>
      <c r="J340" s="183"/>
      <c r="K340" s="183"/>
      <c r="L340" s="183"/>
      <c r="M340" s="184"/>
      <c r="N340" s="184"/>
      <c r="O340" s="185"/>
      <c r="P340" s="186"/>
      <c r="Q340" s="186"/>
      <c r="R340" s="187"/>
      <c r="S340" s="187"/>
      <c r="T340" s="184"/>
      <c r="U340" s="184"/>
      <c r="V340" s="188"/>
      <c r="W340" s="189"/>
      <c r="X340" s="190"/>
      <c r="Y340" s="185"/>
      <c r="Z340" s="191"/>
      <c r="AA340" s="97"/>
      <c r="AB340" s="192"/>
    </row>
    <row r="341" spans="1:28">
      <c r="A341" s="116"/>
      <c r="B341" s="116"/>
      <c r="C341" s="116"/>
      <c r="D341" s="3"/>
      <c r="E341" s="183"/>
      <c r="F341" s="183"/>
      <c r="G341" s="183"/>
      <c r="H341" s="183"/>
      <c r="I341" s="183"/>
      <c r="J341" s="183"/>
      <c r="K341" s="183"/>
      <c r="L341" s="183"/>
      <c r="M341" s="184"/>
      <c r="N341" s="184"/>
      <c r="O341" s="185"/>
      <c r="P341" s="186"/>
      <c r="Q341" s="186"/>
      <c r="R341" s="187"/>
      <c r="S341" s="187"/>
      <c r="T341" s="184"/>
      <c r="U341" s="184"/>
      <c r="V341" s="188"/>
      <c r="W341" s="189"/>
      <c r="X341" s="190"/>
      <c r="Y341" s="185"/>
      <c r="Z341" s="191"/>
      <c r="AA341" s="97"/>
      <c r="AB341" s="192"/>
    </row>
    <row r="342" spans="1:28">
      <c r="A342" s="116"/>
      <c r="B342" s="116"/>
      <c r="C342" s="116"/>
      <c r="D342" s="3"/>
      <c r="E342" s="183"/>
      <c r="F342" s="183"/>
      <c r="G342" s="183"/>
      <c r="H342" s="183"/>
      <c r="I342" s="183"/>
      <c r="J342" s="183"/>
      <c r="K342" s="183"/>
      <c r="L342" s="183"/>
      <c r="M342" s="184"/>
      <c r="N342" s="184"/>
      <c r="O342" s="185"/>
      <c r="P342" s="186"/>
      <c r="Q342" s="186"/>
      <c r="R342" s="187"/>
      <c r="S342" s="187"/>
      <c r="T342" s="184"/>
      <c r="U342" s="184"/>
      <c r="V342" s="188"/>
      <c r="W342" s="189"/>
      <c r="X342" s="190"/>
      <c r="Y342" s="185"/>
      <c r="Z342" s="191"/>
      <c r="AA342" s="97"/>
      <c r="AB342" s="192"/>
    </row>
    <row r="343" spans="1:28">
      <c r="A343" s="116"/>
      <c r="B343" s="116"/>
      <c r="C343" s="116"/>
      <c r="D343" s="3"/>
      <c r="E343" s="183"/>
      <c r="F343" s="183"/>
      <c r="G343" s="183"/>
      <c r="H343" s="183"/>
      <c r="I343" s="183"/>
      <c r="J343" s="183"/>
      <c r="K343" s="183"/>
      <c r="L343" s="183"/>
      <c r="M343" s="184"/>
      <c r="N343" s="184"/>
      <c r="O343" s="185"/>
      <c r="P343" s="186"/>
      <c r="Q343" s="186"/>
      <c r="R343" s="187"/>
      <c r="S343" s="187"/>
      <c r="T343" s="184"/>
      <c r="U343" s="184"/>
      <c r="V343" s="188"/>
      <c r="W343" s="189"/>
      <c r="X343" s="190"/>
      <c r="Y343" s="185"/>
      <c r="Z343" s="191"/>
      <c r="AA343" s="97"/>
      <c r="AB343" s="192"/>
    </row>
    <row r="344" spans="1:28">
      <c r="A344" s="116"/>
      <c r="B344" s="116"/>
      <c r="C344" s="116"/>
      <c r="D344" s="3"/>
      <c r="E344" s="183"/>
      <c r="F344" s="183"/>
      <c r="G344" s="183"/>
      <c r="H344" s="183"/>
      <c r="I344" s="183"/>
      <c r="J344" s="183"/>
      <c r="K344" s="183"/>
      <c r="L344" s="183"/>
      <c r="M344" s="184"/>
      <c r="N344" s="184"/>
      <c r="O344" s="185"/>
      <c r="P344" s="186"/>
      <c r="Q344" s="186"/>
      <c r="R344" s="187"/>
      <c r="S344" s="187"/>
      <c r="T344" s="184"/>
      <c r="U344" s="184"/>
      <c r="V344" s="188"/>
      <c r="W344" s="189"/>
      <c r="X344" s="190"/>
      <c r="Y344" s="185"/>
      <c r="Z344" s="191"/>
      <c r="AA344" s="97"/>
      <c r="AB344" s="192"/>
    </row>
    <row r="345" spans="1:28">
      <c r="A345" s="116"/>
      <c r="B345" s="116"/>
      <c r="C345" s="116"/>
      <c r="D345" s="3"/>
      <c r="E345" s="183"/>
      <c r="F345" s="183"/>
      <c r="G345" s="183"/>
      <c r="H345" s="183"/>
      <c r="I345" s="183"/>
      <c r="J345" s="183"/>
      <c r="K345" s="183"/>
      <c r="L345" s="183"/>
      <c r="M345" s="184"/>
      <c r="N345" s="184"/>
      <c r="O345" s="185"/>
      <c r="P345" s="186"/>
      <c r="Q345" s="186"/>
      <c r="R345" s="187"/>
      <c r="S345" s="187"/>
      <c r="T345" s="184"/>
      <c r="U345" s="184"/>
      <c r="V345" s="188"/>
      <c r="W345" s="189"/>
      <c r="X345" s="190"/>
      <c r="Y345" s="185"/>
      <c r="Z345" s="191"/>
      <c r="AA345" s="97"/>
      <c r="AB345" s="192"/>
    </row>
    <row r="346" spans="1:28">
      <c r="A346" s="116"/>
      <c r="B346" s="116"/>
      <c r="C346" s="116"/>
      <c r="D346" s="3"/>
      <c r="E346" s="183"/>
      <c r="F346" s="183"/>
      <c r="G346" s="183"/>
      <c r="H346" s="183"/>
      <c r="I346" s="183"/>
      <c r="J346" s="183"/>
      <c r="K346" s="183"/>
      <c r="L346" s="183"/>
      <c r="M346" s="184"/>
      <c r="N346" s="184"/>
      <c r="O346" s="185"/>
      <c r="P346" s="186"/>
      <c r="Q346" s="186"/>
      <c r="R346" s="187"/>
      <c r="S346" s="187"/>
      <c r="T346" s="184"/>
      <c r="U346" s="184"/>
      <c r="V346" s="188"/>
      <c r="W346" s="189"/>
      <c r="X346" s="190"/>
      <c r="Y346" s="185"/>
      <c r="Z346" s="191"/>
      <c r="AA346" s="97"/>
      <c r="AB346" s="192"/>
    </row>
    <row r="347" spans="1:28">
      <c r="A347" s="116"/>
      <c r="B347" s="116"/>
      <c r="C347" s="116"/>
      <c r="D347" s="3"/>
      <c r="E347" s="183"/>
      <c r="F347" s="183"/>
      <c r="G347" s="183"/>
      <c r="H347" s="183"/>
      <c r="I347" s="183"/>
      <c r="J347" s="183"/>
      <c r="K347" s="183"/>
      <c r="L347" s="183"/>
      <c r="M347" s="184"/>
      <c r="N347" s="184"/>
      <c r="O347" s="185"/>
      <c r="P347" s="186"/>
      <c r="Q347" s="186"/>
      <c r="R347" s="187"/>
      <c r="S347" s="187"/>
      <c r="T347" s="184"/>
      <c r="U347" s="184"/>
      <c r="V347" s="188"/>
      <c r="W347" s="189"/>
      <c r="X347" s="190"/>
      <c r="Y347" s="185"/>
      <c r="Z347" s="191"/>
      <c r="AA347" s="97"/>
      <c r="AB347" s="192"/>
    </row>
    <row r="348" spans="1:28">
      <c r="A348" s="116"/>
      <c r="B348" s="116"/>
      <c r="C348" s="116"/>
      <c r="D348" s="3"/>
      <c r="E348" s="183"/>
      <c r="F348" s="183"/>
      <c r="G348" s="183"/>
      <c r="H348" s="183"/>
      <c r="I348" s="183"/>
      <c r="J348" s="183"/>
      <c r="K348" s="183"/>
      <c r="L348" s="183"/>
      <c r="M348" s="184"/>
      <c r="N348" s="184"/>
      <c r="O348" s="185"/>
      <c r="P348" s="186"/>
      <c r="Q348" s="186"/>
      <c r="R348" s="187"/>
      <c r="S348" s="187"/>
      <c r="T348" s="184"/>
      <c r="U348" s="184"/>
      <c r="V348" s="188"/>
      <c r="W348" s="189"/>
      <c r="X348" s="190"/>
      <c r="Y348" s="185"/>
      <c r="Z348" s="191"/>
      <c r="AA348" s="97"/>
      <c r="AB348" s="192"/>
    </row>
    <row r="349" spans="1:28">
      <c r="A349" s="116"/>
      <c r="B349" s="116"/>
      <c r="C349" s="116"/>
      <c r="D349" s="3"/>
      <c r="E349" s="183"/>
      <c r="F349" s="183"/>
      <c r="G349" s="183"/>
      <c r="H349" s="183"/>
      <c r="I349" s="183"/>
      <c r="J349" s="183"/>
      <c r="K349" s="183"/>
      <c r="L349" s="183"/>
      <c r="M349" s="184"/>
      <c r="N349" s="184"/>
      <c r="O349" s="185"/>
      <c r="P349" s="186"/>
      <c r="Q349" s="186"/>
      <c r="R349" s="187"/>
      <c r="S349" s="187"/>
      <c r="T349" s="184"/>
      <c r="U349" s="184"/>
      <c r="V349" s="188"/>
      <c r="W349" s="189"/>
      <c r="X349" s="190"/>
      <c r="Y349" s="185"/>
      <c r="Z349" s="191"/>
      <c r="AA349" s="97"/>
      <c r="AB349" s="192"/>
    </row>
    <row r="350" spans="1:28">
      <c r="A350" s="116"/>
      <c r="B350" s="116"/>
      <c r="C350" s="116"/>
      <c r="D350" s="3"/>
      <c r="E350" s="183"/>
      <c r="F350" s="183"/>
      <c r="G350" s="183"/>
      <c r="H350" s="183"/>
      <c r="I350" s="183"/>
      <c r="J350" s="183"/>
      <c r="K350" s="183"/>
      <c r="L350" s="183"/>
      <c r="M350" s="184"/>
      <c r="N350" s="184"/>
      <c r="O350" s="185"/>
      <c r="P350" s="186"/>
      <c r="Q350" s="186"/>
      <c r="R350" s="187"/>
      <c r="S350" s="187"/>
      <c r="T350" s="184"/>
      <c r="U350" s="184"/>
      <c r="V350" s="188"/>
      <c r="W350" s="189"/>
      <c r="X350" s="190"/>
      <c r="Y350" s="185"/>
      <c r="Z350" s="191"/>
      <c r="AA350" s="97"/>
      <c r="AB350" s="192"/>
    </row>
    <row r="351" spans="1:28">
      <c r="A351" s="116"/>
      <c r="B351" s="116"/>
      <c r="C351" s="116"/>
      <c r="D351" s="3"/>
      <c r="E351" s="183"/>
      <c r="F351" s="183"/>
      <c r="G351" s="183"/>
      <c r="H351" s="183"/>
      <c r="I351" s="183"/>
      <c r="J351" s="183"/>
      <c r="K351" s="183"/>
      <c r="L351" s="183"/>
      <c r="M351" s="184"/>
      <c r="N351" s="184"/>
      <c r="O351" s="185"/>
      <c r="P351" s="186"/>
      <c r="Q351" s="186"/>
      <c r="R351" s="187"/>
      <c r="S351" s="187"/>
      <c r="T351" s="184"/>
      <c r="U351" s="184"/>
      <c r="V351" s="188"/>
      <c r="W351" s="189"/>
      <c r="X351" s="190"/>
      <c r="Y351" s="185"/>
      <c r="Z351" s="191"/>
      <c r="AA351" s="97"/>
      <c r="AB351" s="192"/>
    </row>
    <row r="352" spans="1:28">
      <c r="A352" s="116"/>
      <c r="B352" s="116"/>
      <c r="C352" s="116"/>
      <c r="D352" s="3"/>
      <c r="E352" s="183"/>
      <c r="F352" s="183"/>
      <c r="G352" s="183"/>
      <c r="H352" s="183"/>
      <c r="I352" s="183"/>
      <c r="J352" s="183"/>
      <c r="K352" s="183"/>
      <c r="L352" s="183"/>
      <c r="M352" s="184"/>
      <c r="N352" s="184"/>
      <c r="O352" s="185"/>
      <c r="P352" s="186"/>
      <c r="Q352" s="186"/>
      <c r="R352" s="187"/>
      <c r="S352" s="187"/>
      <c r="T352" s="184"/>
      <c r="U352" s="184"/>
      <c r="V352" s="188"/>
      <c r="W352" s="189"/>
      <c r="X352" s="190"/>
      <c r="Y352" s="185"/>
      <c r="Z352" s="191"/>
      <c r="AA352" s="97"/>
      <c r="AB352" s="192"/>
    </row>
    <row r="353" spans="1:28">
      <c r="A353" s="116"/>
      <c r="B353" s="116"/>
      <c r="C353" s="116"/>
      <c r="D353" s="3"/>
      <c r="E353" s="183"/>
      <c r="F353" s="183"/>
      <c r="G353" s="183"/>
      <c r="H353" s="183"/>
      <c r="I353" s="183"/>
      <c r="J353" s="183"/>
      <c r="K353" s="183"/>
      <c r="L353" s="183"/>
      <c r="M353" s="184"/>
      <c r="N353" s="184"/>
      <c r="O353" s="185"/>
      <c r="P353" s="186"/>
      <c r="Q353" s="186"/>
      <c r="R353" s="187"/>
      <c r="S353" s="187"/>
      <c r="T353" s="184"/>
      <c r="U353" s="184"/>
      <c r="V353" s="188"/>
      <c r="W353" s="189"/>
      <c r="X353" s="190"/>
      <c r="Y353" s="185"/>
      <c r="Z353" s="191"/>
      <c r="AA353" s="97"/>
      <c r="AB353" s="192"/>
    </row>
    <row r="354" spans="1:28">
      <c r="A354" s="116"/>
      <c r="B354" s="116"/>
      <c r="C354" s="116"/>
      <c r="D354" s="3"/>
      <c r="E354" s="183"/>
      <c r="F354" s="183"/>
      <c r="G354" s="183"/>
      <c r="H354" s="183"/>
      <c r="I354" s="183"/>
      <c r="J354" s="183"/>
      <c r="K354" s="183"/>
      <c r="L354" s="183"/>
      <c r="M354" s="184"/>
      <c r="N354" s="184"/>
      <c r="O354" s="185"/>
      <c r="P354" s="186"/>
      <c r="Q354" s="186"/>
      <c r="R354" s="187"/>
      <c r="S354" s="187"/>
      <c r="T354" s="184"/>
      <c r="U354" s="184"/>
      <c r="V354" s="188"/>
      <c r="W354" s="189"/>
      <c r="X354" s="190"/>
      <c r="Y354" s="185"/>
      <c r="Z354" s="191"/>
      <c r="AA354" s="97"/>
      <c r="AB354" s="192"/>
    </row>
    <row r="355" spans="1:28">
      <c r="A355" s="116"/>
      <c r="B355" s="116"/>
      <c r="C355" s="116"/>
      <c r="D355" s="3"/>
      <c r="E355" s="183"/>
      <c r="F355" s="183"/>
      <c r="G355" s="183"/>
      <c r="H355" s="183"/>
      <c r="I355" s="183"/>
      <c r="J355" s="183"/>
      <c r="K355" s="183"/>
      <c r="L355" s="183"/>
      <c r="M355" s="184"/>
      <c r="N355" s="184"/>
      <c r="O355" s="185"/>
      <c r="P355" s="186"/>
      <c r="Q355" s="186"/>
      <c r="R355" s="187"/>
      <c r="S355" s="187"/>
      <c r="T355" s="184"/>
      <c r="U355" s="184"/>
      <c r="V355" s="188"/>
      <c r="W355" s="189"/>
      <c r="X355" s="190"/>
      <c r="Y355" s="185"/>
      <c r="Z355" s="191"/>
      <c r="AA355" s="97"/>
      <c r="AB355" s="192"/>
    </row>
    <row r="356" spans="1:28">
      <c r="A356" s="116"/>
      <c r="B356" s="116"/>
      <c r="C356" s="116"/>
      <c r="D356" s="3"/>
      <c r="E356" s="183"/>
      <c r="F356" s="183"/>
      <c r="G356" s="183"/>
      <c r="H356" s="183"/>
      <c r="I356" s="183"/>
      <c r="J356" s="183"/>
      <c r="K356" s="183"/>
      <c r="L356" s="183"/>
      <c r="M356" s="184"/>
      <c r="N356" s="184"/>
      <c r="O356" s="185"/>
      <c r="P356" s="186"/>
      <c r="Q356" s="186"/>
      <c r="R356" s="187"/>
      <c r="S356" s="187"/>
      <c r="T356" s="184"/>
      <c r="U356" s="184"/>
      <c r="V356" s="188"/>
      <c r="W356" s="189"/>
      <c r="X356" s="190"/>
      <c r="Y356" s="185"/>
      <c r="Z356" s="191"/>
      <c r="AA356" s="97"/>
      <c r="AB356" s="192"/>
    </row>
    <row r="357" spans="1:28">
      <c r="A357" s="116"/>
      <c r="B357" s="116"/>
      <c r="C357" s="116"/>
      <c r="D357" s="3"/>
      <c r="E357" s="183"/>
      <c r="F357" s="183"/>
      <c r="G357" s="183"/>
      <c r="H357" s="183"/>
      <c r="I357" s="183"/>
      <c r="J357" s="183"/>
      <c r="K357" s="183"/>
      <c r="L357" s="183"/>
      <c r="M357" s="184"/>
      <c r="N357" s="184"/>
      <c r="O357" s="185"/>
      <c r="P357" s="186"/>
      <c r="Q357" s="186"/>
      <c r="R357" s="187"/>
      <c r="S357" s="187"/>
      <c r="T357" s="184"/>
      <c r="U357" s="184"/>
      <c r="V357" s="188"/>
      <c r="W357" s="189"/>
      <c r="X357" s="190"/>
      <c r="Y357" s="185"/>
      <c r="Z357" s="191"/>
      <c r="AA357" s="97"/>
      <c r="AB357" s="192"/>
    </row>
    <row r="358" spans="1:28">
      <c r="A358" s="116"/>
      <c r="B358" s="116"/>
      <c r="C358" s="116"/>
      <c r="D358" s="3"/>
      <c r="E358" s="183"/>
      <c r="F358" s="183"/>
      <c r="G358" s="183"/>
      <c r="H358" s="183"/>
      <c r="I358" s="183"/>
      <c r="J358" s="183"/>
      <c r="K358" s="183"/>
      <c r="L358" s="183"/>
      <c r="M358" s="184"/>
      <c r="N358" s="184"/>
      <c r="O358" s="185"/>
      <c r="P358" s="186"/>
      <c r="Q358" s="186"/>
      <c r="R358" s="187"/>
      <c r="S358" s="187"/>
      <c r="T358" s="184"/>
      <c r="U358" s="184"/>
      <c r="V358" s="188"/>
      <c r="W358" s="189"/>
      <c r="X358" s="190"/>
      <c r="Y358" s="185"/>
      <c r="Z358" s="191"/>
      <c r="AA358" s="97"/>
      <c r="AB358" s="192"/>
    </row>
    <row r="359" spans="1:28">
      <c r="A359" s="116"/>
      <c r="B359" s="116"/>
      <c r="C359" s="116"/>
      <c r="D359" s="3"/>
      <c r="E359" s="183"/>
      <c r="F359" s="183"/>
      <c r="G359" s="183"/>
      <c r="H359" s="183"/>
      <c r="I359" s="183"/>
      <c r="J359" s="183"/>
      <c r="K359" s="183"/>
      <c r="L359" s="183"/>
      <c r="M359" s="184"/>
      <c r="N359" s="184"/>
      <c r="O359" s="185"/>
      <c r="P359" s="186"/>
      <c r="Q359" s="186"/>
      <c r="R359" s="187"/>
      <c r="S359" s="187"/>
      <c r="T359" s="184"/>
      <c r="U359" s="184"/>
      <c r="V359" s="188"/>
      <c r="W359" s="189"/>
      <c r="X359" s="190"/>
      <c r="Y359" s="185"/>
      <c r="Z359" s="191"/>
      <c r="AA359" s="97"/>
      <c r="AB359" s="192"/>
    </row>
    <row r="360" spans="1:28">
      <c r="A360" s="116"/>
      <c r="B360" s="116"/>
      <c r="C360" s="116"/>
      <c r="D360" s="3"/>
      <c r="E360" s="183"/>
      <c r="F360" s="183"/>
      <c r="G360" s="183"/>
      <c r="H360" s="183"/>
      <c r="I360" s="183"/>
      <c r="J360" s="183"/>
      <c r="K360" s="183"/>
      <c r="L360" s="183"/>
      <c r="M360" s="184"/>
      <c r="N360" s="184"/>
      <c r="O360" s="185"/>
      <c r="P360" s="186"/>
      <c r="Q360" s="186"/>
      <c r="R360" s="187"/>
      <c r="S360" s="187"/>
      <c r="T360" s="184"/>
      <c r="U360" s="184"/>
      <c r="V360" s="188"/>
      <c r="W360" s="189"/>
      <c r="X360" s="190"/>
      <c r="Y360" s="185"/>
      <c r="Z360" s="191"/>
      <c r="AA360" s="97"/>
      <c r="AB360" s="192"/>
    </row>
    <row r="361" spans="1:28">
      <c r="A361" s="116"/>
      <c r="B361" s="116"/>
      <c r="C361" s="116"/>
      <c r="D361" s="3"/>
      <c r="E361" s="183"/>
      <c r="F361" s="183"/>
      <c r="G361" s="183"/>
      <c r="H361" s="183"/>
      <c r="I361" s="183"/>
      <c r="J361" s="183"/>
      <c r="K361" s="183"/>
      <c r="L361" s="183"/>
      <c r="M361" s="184"/>
      <c r="N361" s="184"/>
      <c r="O361" s="185"/>
      <c r="P361" s="186"/>
      <c r="Q361" s="186"/>
      <c r="R361" s="187"/>
      <c r="S361" s="187"/>
      <c r="T361" s="184"/>
      <c r="U361" s="184"/>
      <c r="V361" s="188"/>
      <c r="W361" s="189"/>
      <c r="X361" s="190"/>
      <c r="Y361" s="185"/>
      <c r="Z361" s="191"/>
      <c r="AA361" s="97"/>
      <c r="AB361" s="192"/>
    </row>
    <row r="362" spans="1:28">
      <c r="A362" s="116"/>
      <c r="B362" s="116"/>
      <c r="C362" s="116"/>
      <c r="D362" s="3"/>
      <c r="E362" s="183"/>
      <c r="F362" s="183"/>
      <c r="G362" s="183"/>
      <c r="H362" s="183"/>
      <c r="I362" s="183"/>
      <c r="J362" s="183"/>
      <c r="K362" s="183"/>
      <c r="L362" s="183"/>
      <c r="M362" s="184"/>
      <c r="N362" s="184"/>
      <c r="O362" s="185"/>
      <c r="P362" s="186"/>
      <c r="Q362" s="186"/>
      <c r="R362" s="187"/>
      <c r="S362" s="187"/>
      <c r="T362" s="184"/>
      <c r="U362" s="184"/>
      <c r="V362" s="188"/>
      <c r="W362" s="189"/>
      <c r="X362" s="190"/>
      <c r="Y362" s="185"/>
      <c r="Z362" s="191"/>
      <c r="AA362" s="97"/>
      <c r="AB362" s="192"/>
    </row>
    <row r="363" spans="1:28">
      <c r="A363" s="116"/>
      <c r="B363" s="116"/>
      <c r="C363" s="116"/>
      <c r="D363" s="3"/>
      <c r="E363" s="183"/>
      <c r="F363" s="183"/>
      <c r="G363" s="183"/>
      <c r="H363" s="183"/>
      <c r="I363" s="183"/>
      <c r="J363" s="183"/>
      <c r="K363" s="183"/>
      <c r="L363" s="183"/>
      <c r="M363" s="184"/>
      <c r="N363" s="184"/>
      <c r="O363" s="185"/>
      <c r="P363" s="186"/>
      <c r="Q363" s="186"/>
      <c r="R363" s="187"/>
      <c r="S363" s="187"/>
      <c r="T363" s="184"/>
      <c r="U363" s="184"/>
      <c r="V363" s="188"/>
      <c r="W363" s="189"/>
      <c r="X363" s="190"/>
      <c r="Y363" s="185"/>
      <c r="Z363" s="191"/>
      <c r="AA363" s="97"/>
      <c r="AB363" s="192"/>
    </row>
    <row r="364" spans="1:28">
      <c r="A364" s="116"/>
      <c r="B364" s="116"/>
      <c r="C364" s="116"/>
      <c r="D364" s="3"/>
      <c r="E364" s="183"/>
      <c r="F364" s="183"/>
      <c r="G364" s="183"/>
      <c r="H364" s="183"/>
      <c r="I364" s="183"/>
      <c r="J364" s="183"/>
      <c r="K364" s="183"/>
      <c r="L364" s="183"/>
      <c r="M364" s="184"/>
      <c r="N364" s="184"/>
      <c r="O364" s="185"/>
      <c r="P364" s="186"/>
      <c r="Q364" s="186"/>
      <c r="R364" s="187"/>
      <c r="S364" s="187"/>
      <c r="T364" s="184"/>
      <c r="U364" s="184"/>
      <c r="V364" s="188"/>
      <c r="W364" s="189"/>
      <c r="X364" s="190"/>
      <c r="Y364" s="185"/>
      <c r="Z364" s="191"/>
      <c r="AA364" s="97"/>
      <c r="AB364" s="192"/>
    </row>
    <row r="365" spans="1:28">
      <c r="A365" s="169"/>
      <c r="B365" s="169"/>
      <c r="C365" s="169"/>
      <c r="D365" s="170"/>
      <c r="E365" s="171"/>
      <c r="F365" s="171"/>
      <c r="G365" s="171"/>
      <c r="H365" s="171"/>
      <c r="I365" s="171"/>
      <c r="J365" s="171"/>
      <c r="K365" s="171"/>
      <c r="L365" s="171"/>
      <c r="M365" s="172"/>
      <c r="N365" s="172"/>
      <c r="O365" s="173"/>
      <c r="P365" s="174"/>
      <c r="Q365" s="174"/>
      <c r="R365" s="175"/>
      <c r="S365" s="175"/>
      <c r="T365" s="172"/>
      <c r="U365" s="172"/>
      <c r="V365" s="176"/>
      <c r="W365" s="177"/>
      <c r="X365" s="178"/>
      <c r="Y365" s="173"/>
      <c r="Z365" s="179"/>
      <c r="AA365" s="180"/>
      <c r="AB365" s="181"/>
    </row>
  </sheetData>
  <sheetProtection formatCells="0" formatColumns="0" formatRows="0" insertColumns="0" insertRows="0" insertHyperlinks="0" deleteColumns="0" deleteRows="0" sort="0" autoFilter="0" pivotTables="0"/>
  <dataConsolidate/>
  <mergeCells count="32">
    <mergeCell ref="AS3:AV3"/>
    <mergeCell ref="AW3:AZ3"/>
    <mergeCell ref="BA3:BD3"/>
    <mergeCell ref="BE3:BH3"/>
    <mergeCell ref="AC1:CA1"/>
    <mergeCell ref="AG3:AJ3"/>
    <mergeCell ref="AK3:AN3"/>
    <mergeCell ref="AO3:AR3"/>
    <mergeCell ref="AC3:AF3"/>
    <mergeCell ref="A3:A4"/>
    <mergeCell ref="B3:B4"/>
    <mergeCell ref="C3:C4"/>
    <mergeCell ref="D3:D4"/>
    <mergeCell ref="E3:K4"/>
    <mergeCell ref="D2:F2"/>
    <mergeCell ref="L3:L4"/>
    <mergeCell ref="M3:M4"/>
    <mergeCell ref="N3:N4"/>
    <mergeCell ref="Z3:Z4"/>
    <mergeCell ref="O3:O4"/>
    <mergeCell ref="P3:P4"/>
    <mergeCell ref="Q3:Q4"/>
    <mergeCell ref="R3:R4"/>
    <mergeCell ref="S3:S4"/>
    <mergeCell ref="Y3:Y4"/>
    <mergeCell ref="AB3:AB4"/>
    <mergeCell ref="T3:T4"/>
    <mergeCell ref="U3:U4"/>
    <mergeCell ref="V3:V4"/>
    <mergeCell ref="W3:W4"/>
    <mergeCell ref="X3:X4"/>
    <mergeCell ref="AA3:AA4"/>
  </mergeCells>
  <phoneticPr fontId="8" type="noConversion"/>
  <conditionalFormatting sqref="D5:AB66">
    <cfRule type="expression" dxfId="1" priority="2">
      <formula>($B5="G")</formula>
    </cfRule>
    <cfRule type="expression" dxfId="0" priority="1">
      <formula>($AB5=1)</formula>
    </cfRule>
  </conditionalFormatting>
  <hyperlinks>
    <hyperlink ref="AC1:CA1" r:id="rId1" display="http://xlworks.net/" xr:uid="{E8E3F8F2-5472-42BF-AFDC-9D4D60480FAA}"/>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activeCell="E5" sqref="E5"/>
      <selection pane="bottomLeft" activeCell="D31" sqref="D31"/>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1054</v>
      </c>
      <c r="B1" s="18"/>
      <c r="C1" s="18"/>
      <c r="D1" s="18"/>
      <c r="E1" s="18"/>
      <c r="F1" s="18"/>
      <c r="G1" s="18"/>
      <c r="H1" s="18"/>
      <c r="I1" s="18"/>
      <c r="J1" s="18"/>
      <c r="K1" s="18"/>
      <c r="L1" s="247"/>
      <c r="M1" s="248"/>
      <c r="N1" s="248"/>
      <c r="O1" s="19"/>
      <c r="P1" s="19"/>
      <c r="Q1" s="19"/>
    </row>
    <row r="2" spans="1:17" s="23" customFormat="1" ht="13.8">
      <c r="A2" s="21" t="s">
        <v>994</v>
      </c>
      <c r="B2" s="22"/>
    </row>
    <row r="3" spans="1:17" s="23" customFormat="1" ht="13.8">
      <c r="A3" s="21" t="s">
        <v>995</v>
      </c>
      <c r="B3" s="22"/>
    </row>
    <row r="4" spans="1:17" s="23" customFormat="1" ht="13.8">
      <c r="A4" s="249"/>
      <c r="B4" s="249"/>
      <c r="C4" s="24"/>
      <c r="D4" s="25"/>
      <c r="E4" s="25"/>
      <c r="F4" s="25"/>
    </row>
    <row r="5" spans="1:17" s="31" customFormat="1" ht="13.8">
      <c r="A5" s="26"/>
      <c r="B5" s="27"/>
      <c r="C5" s="28"/>
      <c r="D5" s="29"/>
      <c r="E5" s="30"/>
      <c r="F5" s="30"/>
      <c r="G5" s="30"/>
    </row>
    <row r="6" spans="1:17" s="31" customFormat="1" ht="13.8">
      <c r="A6" s="32" t="s">
        <v>996</v>
      </c>
      <c r="B6" s="33">
        <v>515</v>
      </c>
      <c r="C6" s="31" t="s">
        <v>0</v>
      </c>
      <c r="D6" s="246" t="s">
        <v>997</v>
      </c>
      <c r="E6" s="246"/>
      <c r="F6" s="246"/>
      <c r="G6" s="246"/>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998</v>
      </c>
      <c r="B9" s="33">
        <v>496</v>
      </c>
      <c r="C9" s="31" t="s">
        <v>0</v>
      </c>
      <c r="D9" s="245" t="s">
        <v>999</v>
      </c>
      <c r="E9" s="245"/>
      <c r="F9" s="245"/>
      <c r="G9" s="245"/>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993</v>
      </c>
      <c r="B12" s="33">
        <v>49.6</v>
      </c>
      <c r="C12" s="31" t="s">
        <v>0</v>
      </c>
      <c r="D12" s="245" t="s">
        <v>1036</v>
      </c>
      <c r="E12" s="245"/>
      <c r="F12" s="245"/>
      <c r="G12" s="245"/>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993</v>
      </c>
      <c r="B15" s="33"/>
      <c r="C15" s="31" t="s">
        <v>0</v>
      </c>
      <c r="D15" s="245" t="s">
        <v>1000</v>
      </c>
      <c r="E15" s="245"/>
      <c r="F15" s="245"/>
      <c r="G15" s="245"/>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1001</v>
      </c>
      <c r="B18" s="55">
        <v>0.96310679611650485</v>
      </c>
      <c r="D18" s="245" t="s">
        <v>1002</v>
      </c>
      <c r="E18" s="245"/>
      <c r="F18" s="245"/>
      <c r="G18" s="245"/>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1003</v>
      </c>
      <c r="B21" s="55">
        <v>9.631067961165049E-2</v>
      </c>
      <c r="D21" s="245" t="s">
        <v>1004</v>
      </c>
      <c r="E21" s="245"/>
      <c r="F21" s="245"/>
      <c r="G21" s="245"/>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1005</v>
      </c>
      <c r="B24" s="65">
        <f>ACTUAL_RATE-PLANNED_RATE</f>
        <v>-0.86679611650485433</v>
      </c>
      <c r="D24" s="246" t="s">
        <v>1006</v>
      </c>
      <c r="E24" s="246"/>
      <c r="F24" s="246"/>
      <c r="G24" s="246"/>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4"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O28"/>
  <sheetViews>
    <sheetView showGridLines="0" zoomScale="80" zoomScaleNormal="80" workbookViewId="0">
      <pane ySplit="1" topLeftCell="A2" activePane="bottomLeft" state="frozen"/>
      <selection pane="bottomLeft"/>
    </sheetView>
  </sheetViews>
  <sheetFormatPr defaultColWidth="9.09765625" defaultRowHeight="14.4"/>
  <cols>
    <col min="1" max="1" width="1.69921875" style="206" customWidth="1"/>
    <col min="2" max="3" width="10.59765625" style="206" bestFit="1" customWidth="1"/>
    <col min="4" max="16384" width="9.09765625" style="206"/>
  </cols>
  <sheetData>
    <row r="1" spans="2:15" ht="37.049999999999997" customHeight="1">
      <c r="B1" s="78" t="s">
        <v>1131</v>
      </c>
    </row>
    <row r="2" spans="2:15">
      <c r="B2" s="206" t="s">
        <v>1132</v>
      </c>
    </row>
    <row r="3" spans="2:15">
      <c r="B3" s="206" t="s">
        <v>1133</v>
      </c>
    </row>
    <row r="4" spans="2:15">
      <c r="B4" s="212">
        <v>21</v>
      </c>
      <c r="C4" s="206" t="s">
        <v>1134</v>
      </c>
    </row>
    <row r="6" spans="2:15" ht="28.8">
      <c r="B6" s="79" t="s">
        <v>1007</v>
      </c>
      <c r="C6" s="182" t="s">
        <v>1008</v>
      </c>
      <c r="D6" s="182" t="s">
        <v>1</v>
      </c>
      <c r="E6" s="182" t="s">
        <v>2</v>
      </c>
      <c r="F6" s="250" t="s">
        <v>1135</v>
      </c>
      <c r="G6" s="251"/>
      <c r="H6" s="251"/>
      <c r="I6" s="251"/>
      <c r="J6" s="251"/>
      <c r="K6" s="251"/>
      <c r="L6" s="251"/>
      <c r="M6" s="251"/>
      <c r="N6" s="251"/>
      <c r="O6" s="251"/>
    </row>
    <row r="7" spans="2:15">
      <c r="B7" s="214">
        <v>44389</v>
      </c>
      <c r="C7" s="214">
        <v>44395</v>
      </c>
      <c r="D7" s="215">
        <v>14</v>
      </c>
      <c r="E7" s="216">
        <f>D7/$B$4</f>
        <v>0.66666666666666663</v>
      </c>
      <c r="F7" s="217" t="str">
        <f t="shared" ref="F7:F27" si="0">REPT("|",IF(D7&gt;0,IF(D7/1&lt;1,1,D7/1)))</f>
        <v>||||||||||||||</v>
      </c>
      <c r="G7" s="215"/>
      <c r="H7" s="215"/>
      <c r="I7" s="215"/>
      <c r="J7" s="215"/>
      <c r="K7" s="215"/>
      <c r="L7" s="215"/>
      <c r="M7" s="215"/>
      <c r="N7" s="215"/>
      <c r="O7" s="215"/>
    </row>
    <row r="8" spans="2:15">
      <c r="B8" s="218">
        <v>44396</v>
      </c>
      <c r="C8" s="218">
        <v>44402</v>
      </c>
      <c r="D8" s="219">
        <v>15</v>
      </c>
      <c r="E8" s="220">
        <f t="shared" ref="E8:E27" si="1">D8/$B$4</f>
        <v>0.7142857142857143</v>
      </c>
      <c r="F8" s="221" t="str">
        <f t="shared" si="0"/>
        <v>|||||||||||||||</v>
      </c>
      <c r="G8" s="219"/>
      <c r="H8" s="219"/>
      <c r="I8" s="219"/>
      <c r="J8" s="219"/>
      <c r="K8" s="219"/>
      <c r="L8" s="219"/>
      <c r="M8" s="219"/>
      <c r="N8" s="219"/>
      <c r="O8" s="219"/>
    </row>
    <row r="9" spans="2:15">
      <c r="B9" s="218">
        <v>44403</v>
      </c>
      <c r="C9" s="218">
        <v>44409</v>
      </c>
      <c r="D9" s="219">
        <v>15</v>
      </c>
      <c r="E9" s="220">
        <f t="shared" si="1"/>
        <v>0.7142857142857143</v>
      </c>
      <c r="F9" s="221" t="str">
        <f t="shared" si="0"/>
        <v>|||||||||||||||</v>
      </c>
      <c r="G9" s="219"/>
      <c r="H9" s="219"/>
      <c r="I9" s="219"/>
      <c r="J9" s="219"/>
      <c r="K9" s="219"/>
      <c r="L9" s="219"/>
      <c r="M9" s="219"/>
      <c r="N9" s="219"/>
      <c r="O9" s="219"/>
    </row>
    <row r="10" spans="2:15">
      <c r="B10" s="218">
        <v>44410</v>
      </c>
      <c r="C10" s="218">
        <v>44416</v>
      </c>
      <c r="D10" s="219">
        <v>15</v>
      </c>
      <c r="E10" s="220">
        <f t="shared" si="1"/>
        <v>0.7142857142857143</v>
      </c>
      <c r="F10" s="221" t="str">
        <f t="shared" si="0"/>
        <v>|||||||||||||||</v>
      </c>
      <c r="G10" s="219"/>
      <c r="H10" s="219"/>
      <c r="I10" s="219"/>
      <c r="J10" s="219"/>
      <c r="K10" s="219"/>
      <c r="L10" s="219"/>
      <c r="M10" s="219"/>
      <c r="N10" s="219"/>
      <c r="O10" s="219"/>
    </row>
    <row r="11" spans="2:15">
      <c r="B11" s="218">
        <v>44417</v>
      </c>
      <c r="C11" s="218">
        <v>44423</v>
      </c>
      <c r="D11" s="219">
        <v>15</v>
      </c>
      <c r="E11" s="220">
        <f t="shared" si="1"/>
        <v>0.7142857142857143</v>
      </c>
      <c r="F11" s="221" t="str">
        <f t="shared" si="0"/>
        <v>|||||||||||||||</v>
      </c>
      <c r="G11" s="219"/>
      <c r="H11" s="219"/>
      <c r="I11" s="219"/>
      <c r="J11" s="219"/>
      <c r="K11" s="219"/>
      <c r="L11" s="219"/>
      <c r="M11" s="219"/>
      <c r="N11" s="219"/>
      <c r="O11" s="219"/>
    </row>
    <row r="12" spans="2:15">
      <c r="B12" s="218">
        <v>44424</v>
      </c>
      <c r="C12" s="218">
        <v>44430</v>
      </c>
      <c r="D12" s="219">
        <v>15</v>
      </c>
      <c r="E12" s="220">
        <f t="shared" si="1"/>
        <v>0.7142857142857143</v>
      </c>
      <c r="F12" s="221" t="str">
        <f t="shared" si="0"/>
        <v>|||||||||||||||</v>
      </c>
      <c r="G12" s="219"/>
      <c r="H12" s="219"/>
      <c r="I12" s="219"/>
      <c r="J12" s="219"/>
      <c r="K12" s="219"/>
      <c r="L12" s="219"/>
      <c r="M12" s="219"/>
      <c r="N12" s="219"/>
      <c r="O12" s="219"/>
    </row>
    <row r="13" spans="2:15">
      <c r="B13" s="218">
        <v>44431</v>
      </c>
      <c r="C13" s="218">
        <v>44437</v>
      </c>
      <c r="D13" s="219">
        <v>15</v>
      </c>
      <c r="E13" s="220">
        <f t="shared" si="1"/>
        <v>0.7142857142857143</v>
      </c>
      <c r="F13" s="221" t="str">
        <f t="shared" si="0"/>
        <v>|||||||||||||||</v>
      </c>
      <c r="G13" s="219"/>
      <c r="H13" s="219"/>
      <c r="I13" s="219"/>
      <c r="J13" s="219"/>
      <c r="K13" s="219"/>
      <c r="L13" s="219"/>
      <c r="M13" s="219"/>
      <c r="N13" s="219"/>
      <c r="O13" s="219"/>
    </row>
    <row r="14" spans="2:15">
      <c r="B14" s="218">
        <v>44438</v>
      </c>
      <c r="C14" s="218">
        <v>44444</v>
      </c>
      <c r="D14" s="219">
        <v>27</v>
      </c>
      <c r="E14" s="220">
        <f t="shared" si="1"/>
        <v>1.2857142857142858</v>
      </c>
      <c r="F14" s="221" t="str">
        <f t="shared" si="0"/>
        <v>|||||||||||||||||||||||||||</v>
      </c>
      <c r="G14" s="219"/>
      <c r="H14" s="219"/>
      <c r="I14" s="219"/>
      <c r="J14" s="219"/>
      <c r="K14" s="219"/>
      <c r="L14" s="219"/>
      <c r="M14" s="219"/>
      <c r="N14" s="219"/>
      <c r="O14" s="219"/>
    </row>
    <row r="15" spans="2:15">
      <c r="B15" s="218">
        <v>44445</v>
      </c>
      <c r="C15" s="218">
        <v>44451</v>
      </c>
      <c r="D15" s="219">
        <v>32</v>
      </c>
      <c r="E15" s="220">
        <f t="shared" si="1"/>
        <v>1.5238095238095237</v>
      </c>
      <c r="F15" s="221" t="str">
        <f t="shared" si="0"/>
        <v>||||||||||||||||||||||||||||||||</v>
      </c>
      <c r="G15" s="219"/>
      <c r="H15" s="219"/>
      <c r="I15" s="219"/>
      <c r="J15" s="219"/>
      <c r="K15" s="219"/>
      <c r="L15" s="219"/>
      <c r="M15" s="219"/>
      <c r="N15" s="219"/>
      <c r="O15" s="219"/>
    </row>
    <row r="16" spans="2:15">
      <c r="B16" s="218">
        <v>44452</v>
      </c>
      <c r="C16" s="218">
        <v>44458</v>
      </c>
      <c r="D16" s="219">
        <v>17</v>
      </c>
      <c r="E16" s="220">
        <f t="shared" si="1"/>
        <v>0.80952380952380953</v>
      </c>
      <c r="F16" s="221" t="str">
        <f t="shared" si="0"/>
        <v>|||||||||||||||||</v>
      </c>
      <c r="G16" s="219"/>
      <c r="H16" s="219"/>
      <c r="I16" s="219"/>
      <c r="J16" s="219"/>
      <c r="K16" s="219"/>
      <c r="L16" s="219"/>
      <c r="M16" s="219"/>
      <c r="N16" s="219"/>
      <c r="O16" s="219"/>
    </row>
    <row r="17" spans="2:15">
      <c r="B17" s="218">
        <v>44459</v>
      </c>
      <c r="C17" s="218">
        <v>44465</v>
      </c>
      <c r="D17" s="219">
        <v>25</v>
      </c>
      <c r="E17" s="220">
        <f t="shared" si="1"/>
        <v>1.1904761904761905</v>
      </c>
      <c r="F17" s="221" t="str">
        <f t="shared" si="0"/>
        <v>|||||||||||||||||||||||||</v>
      </c>
      <c r="G17" s="219"/>
      <c r="H17" s="219"/>
      <c r="I17" s="219"/>
      <c r="J17" s="219"/>
      <c r="K17" s="219"/>
      <c r="L17" s="219"/>
      <c r="M17" s="219"/>
      <c r="N17" s="219"/>
      <c r="O17" s="219"/>
    </row>
    <row r="18" spans="2:15">
      <c r="B18" s="218">
        <v>44466</v>
      </c>
      <c r="C18" s="218">
        <v>44472</v>
      </c>
      <c r="D18" s="219">
        <v>36</v>
      </c>
      <c r="E18" s="220">
        <f t="shared" si="1"/>
        <v>1.7142857142857142</v>
      </c>
      <c r="F18" s="221" t="str">
        <f t="shared" si="0"/>
        <v>||||||||||||||||||||||||||||||||||||</v>
      </c>
      <c r="G18" s="219"/>
      <c r="H18" s="219"/>
      <c r="I18" s="219"/>
      <c r="J18" s="219"/>
      <c r="K18" s="219"/>
      <c r="L18" s="219"/>
      <c r="M18" s="219"/>
      <c r="N18" s="219"/>
      <c r="O18" s="219"/>
    </row>
    <row r="19" spans="2:15">
      <c r="B19" s="218">
        <v>44473</v>
      </c>
      <c r="C19" s="218">
        <v>44479</v>
      </c>
      <c r="D19" s="219">
        <v>35</v>
      </c>
      <c r="E19" s="220">
        <f t="shared" si="1"/>
        <v>1.6666666666666667</v>
      </c>
      <c r="F19" s="221" t="str">
        <f t="shared" si="0"/>
        <v>|||||||||||||||||||||||||||||||||||</v>
      </c>
      <c r="G19" s="219"/>
      <c r="H19" s="219"/>
      <c r="I19" s="219"/>
      <c r="J19" s="219"/>
      <c r="K19" s="219"/>
      <c r="L19" s="219"/>
      <c r="M19" s="219"/>
      <c r="N19" s="219"/>
      <c r="O19" s="219"/>
    </row>
    <row r="20" spans="2:15">
      <c r="B20" s="218">
        <v>44480</v>
      </c>
      <c r="C20" s="218">
        <v>44486</v>
      </c>
      <c r="D20" s="219">
        <v>35</v>
      </c>
      <c r="E20" s="220">
        <f t="shared" si="1"/>
        <v>1.6666666666666667</v>
      </c>
      <c r="F20" s="221" t="str">
        <f t="shared" si="0"/>
        <v>|||||||||||||||||||||||||||||||||||</v>
      </c>
      <c r="G20" s="219"/>
      <c r="H20" s="219"/>
      <c r="I20" s="219"/>
      <c r="J20" s="219"/>
      <c r="K20" s="219"/>
      <c r="L20" s="219"/>
      <c r="M20" s="219"/>
      <c r="N20" s="219"/>
      <c r="O20" s="219"/>
    </row>
    <row r="21" spans="2:15">
      <c r="B21" s="218">
        <v>44487</v>
      </c>
      <c r="C21" s="218">
        <v>44493</v>
      </c>
      <c r="D21" s="219">
        <v>41</v>
      </c>
      <c r="E21" s="220">
        <f t="shared" si="1"/>
        <v>1.9523809523809523</v>
      </c>
      <c r="F21" s="221" t="str">
        <f t="shared" si="0"/>
        <v>|||||||||||||||||||||||||||||||||||||||||</v>
      </c>
      <c r="G21" s="219"/>
      <c r="H21" s="219"/>
      <c r="I21" s="219"/>
      <c r="J21" s="219"/>
      <c r="K21" s="219"/>
      <c r="L21" s="219"/>
      <c r="M21" s="219"/>
      <c r="N21" s="219"/>
      <c r="O21" s="219"/>
    </row>
    <row r="22" spans="2:15">
      <c r="B22" s="218">
        <v>44494</v>
      </c>
      <c r="C22" s="218">
        <v>44500</v>
      </c>
      <c r="D22" s="219">
        <v>21</v>
      </c>
      <c r="E22" s="220">
        <f t="shared" si="1"/>
        <v>1</v>
      </c>
      <c r="F22" s="221" t="str">
        <f t="shared" si="0"/>
        <v>|||||||||||||||||||||</v>
      </c>
      <c r="G22" s="219"/>
      <c r="H22" s="219"/>
      <c r="I22" s="219"/>
      <c r="J22" s="219"/>
      <c r="K22" s="219"/>
      <c r="L22" s="219"/>
      <c r="M22" s="219"/>
      <c r="N22" s="219"/>
      <c r="O22" s="219"/>
    </row>
    <row r="23" spans="2:15">
      <c r="B23" s="218">
        <v>44501</v>
      </c>
      <c r="C23" s="218">
        <v>44507</v>
      </c>
      <c r="D23" s="219">
        <v>22</v>
      </c>
      <c r="E23" s="220">
        <f t="shared" si="1"/>
        <v>1.0476190476190477</v>
      </c>
      <c r="F23" s="221" t="str">
        <f t="shared" si="0"/>
        <v>||||||||||||||||||||||</v>
      </c>
      <c r="G23" s="219"/>
      <c r="H23" s="219"/>
      <c r="I23" s="219"/>
      <c r="J23" s="219"/>
      <c r="K23" s="219"/>
      <c r="L23" s="219"/>
      <c r="M23" s="219"/>
      <c r="N23" s="219"/>
      <c r="O23" s="219"/>
    </row>
    <row r="24" spans="2:15">
      <c r="B24" s="218">
        <v>44508</v>
      </c>
      <c r="C24" s="218">
        <v>44514</v>
      </c>
      <c r="D24" s="219">
        <v>22</v>
      </c>
      <c r="E24" s="220">
        <f t="shared" si="1"/>
        <v>1.0476190476190477</v>
      </c>
      <c r="F24" s="221" t="str">
        <f t="shared" si="0"/>
        <v>||||||||||||||||||||||</v>
      </c>
      <c r="G24" s="219"/>
      <c r="H24" s="219"/>
      <c r="I24" s="219"/>
      <c r="J24" s="219"/>
      <c r="K24" s="219"/>
      <c r="L24" s="219"/>
      <c r="M24" s="219"/>
      <c r="N24" s="219"/>
      <c r="O24" s="219"/>
    </row>
    <row r="25" spans="2:15">
      <c r="B25" s="218">
        <v>44515</v>
      </c>
      <c r="C25" s="218">
        <v>44521</v>
      </c>
      <c r="D25" s="219">
        <v>62</v>
      </c>
      <c r="E25" s="220">
        <f t="shared" si="1"/>
        <v>2.9523809523809526</v>
      </c>
      <c r="F25" s="221" t="str">
        <f t="shared" si="0"/>
        <v>||||||||||||||||||||||||||||||||||||||||||||||||||||||||||||||</v>
      </c>
      <c r="G25" s="219"/>
      <c r="H25" s="219"/>
      <c r="I25" s="219"/>
      <c r="J25" s="219"/>
      <c r="K25" s="219"/>
      <c r="L25" s="219"/>
      <c r="M25" s="219"/>
      <c r="N25" s="219"/>
      <c r="O25" s="219"/>
    </row>
    <row r="26" spans="2:15">
      <c r="B26" s="218">
        <v>44522</v>
      </c>
      <c r="C26" s="218">
        <v>44528</v>
      </c>
      <c r="D26" s="219">
        <v>27</v>
      </c>
      <c r="E26" s="220">
        <f t="shared" si="1"/>
        <v>1.2857142857142858</v>
      </c>
      <c r="F26" s="221" t="str">
        <f t="shared" si="0"/>
        <v>|||||||||||||||||||||||||||</v>
      </c>
      <c r="G26" s="219"/>
      <c r="H26" s="219"/>
      <c r="I26" s="219"/>
      <c r="J26" s="219"/>
      <c r="K26" s="219"/>
      <c r="L26" s="219"/>
      <c r="M26" s="219"/>
      <c r="N26" s="219"/>
      <c r="O26" s="219"/>
    </row>
    <row r="27" spans="2:15">
      <c r="B27" s="218">
        <v>44529</v>
      </c>
      <c r="C27" s="218">
        <v>44535</v>
      </c>
      <c r="D27" s="219">
        <v>5</v>
      </c>
      <c r="E27" s="220">
        <f t="shared" si="1"/>
        <v>0.23809523809523808</v>
      </c>
      <c r="F27" s="221" t="str">
        <f t="shared" si="0"/>
        <v>|||||</v>
      </c>
      <c r="G27" s="219"/>
      <c r="H27" s="219"/>
      <c r="I27" s="219"/>
      <c r="J27" s="219"/>
      <c r="K27" s="219"/>
      <c r="L27" s="219"/>
      <c r="M27" s="219"/>
      <c r="N27" s="219"/>
      <c r="O27" s="219"/>
    </row>
    <row r="28" spans="2:15">
      <c r="C28" s="206" t="s">
        <v>3</v>
      </c>
      <c r="D28" s="206">
        <f>SUM(D7:D27)</f>
        <v>511</v>
      </c>
      <c r="E28" s="213">
        <f>D28/$B$4</f>
        <v>24.333333333333332</v>
      </c>
    </row>
  </sheetData>
  <dataConsolidate/>
  <mergeCells count="1">
    <mergeCell ref="F6:O6"/>
  </mergeCells>
  <phoneticPr fontId="2" type="noConversion"/>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1009</v>
      </c>
      <c r="B1" s="17"/>
      <c r="C1" s="17"/>
      <c r="D1" s="17"/>
      <c r="E1" s="17"/>
      <c r="F1" s="17"/>
      <c r="G1" s="17"/>
      <c r="H1" s="17"/>
    </row>
    <row r="2" spans="1:9" s="81" customFormat="1" ht="78.75" customHeight="1">
      <c r="A2" s="252" t="s">
        <v>1010</v>
      </c>
      <c r="B2" s="252"/>
      <c r="C2" s="252"/>
      <c r="D2" s="252"/>
      <c r="E2" s="252"/>
      <c r="F2" s="252"/>
      <c r="G2" s="252"/>
      <c r="H2" s="252"/>
    </row>
    <row r="3" spans="1:9" s="81" customFormat="1" ht="24.75" customHeight="1">
      <c r="A3" s="253" t="s">
        <v>1011</v>
      </c>
      <c r="B3" s="253"/>
      <c r="D3" s="253" t="s">
        <v>1012</v>
      </c>
      <c r="E3" s="253"/>
      <c r="G3" s="253" t="s">
        <v>1013</v>
      </c>
      <c r="H3" s="253"/>
    </row>
    <row r="4" spans="1:9" s="83" customFormat="1" ht="19.5" customHeight="1">
      <c r="A4" s="82" t="s">
        <v>1014</v>
      </c>
      <c r="B4" s="82" t="s">
        <v>1016</v>
      </c>
      <c r="D4" s="82" t="s">
        <v>1015</v>
      </c>
      <c r="E4" s="82" t="s">
        <v>1017</v>
      </c>
      <c r="G4" s="82" t="s">
        <v>1015</v>
      </c>
      <c r="H4" s="82" t="s">
        <v>1016</v>
      </c>
    </row>
    <row r="5" spans="1:9" ht="17.399999999999999">
      <c r="A5" s="118" t="s">
        <v>967</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968</v>
      </c>
      <c r="B6" s="119">
        <v>43146</v>
      </c>
      <c r="C6" s="86" t="str">
        <f t="shared" si="0"/>
        <v>(목)</v>
      </c>
      <c r="D6" s="84"/>
      <c r="E6" s="85"/>
      <c r="F6" s="86" t="str">
        <f t="shared" si="1"/>
        <v/>
      </c>
      <c r="G6" s="84"/>
      <c r="H6" s="85"/>
      <c r="I6" s="86" t="str">
        <f t="shared" si="2"/>
        <v/>
      </c>
    </row>
    <row r="7" spans="1:9" ht="17.399999999999999">
      <c r="A7" s="118" t="s">
        <v>969</v>
      </c>
      <c r="B7" s="119">
        <v>43147</v>
      </c>
      <c r="C7" s="86" t="str">
        <f t="shared" si="0"/>
        <v>(금)</v>
      </c>
      <c r="D7" s="84"/>
      <c r="E7" s="85"/>
      <c r="F7" s="86" t="str">
        <f t="shared" si="1"/>
        <v/>
      </c>
      <c r="G7" s="84"/>
      <c r="H7" s="85"/>
      <c r="I7" s="86" t="str">
        <f t="shared" si="2"/>
        <v/>
      </c>
    </row>
    <row r="8" spans="1:9" ht="17.399999999999999">
      <c r="A8" s="118" t="s">
        <v>970</v>
      </c>
      <c r="B8" s="119">
        <v>43160</v>
      </c>
      <c r="C8" s="86" t="str">
        <f t="shared" si="0"/>
        <v>(목)</v>
      </c>
      <c r="D8" s="84"/>
      <c r="E8" s="85"/>
      <c r="F8" s="86" t="str">
        <f t="shared" si="1"/>
        <v/>
      </c>
      <c r="G8" s="84"/>
      <c r="H8" s="85"/>
      <c r="I8" s="86" t="str">
        <f t="shared" si="2"/>
        <v/>
      </c>
    </row>
    <row r="9" spans="1:9" ht="17.399999999999999">
      <c r="A9" s="118" t="s">
        <v>889</v>
      </c>
      <c r="B9" s="119">
        <v>43227</v>
      </c>
      <c r="C9" s="86" t="str">
        <f t="shared" si="0"/>
        <v>(월)</v>
      </c>
      <c r="D9" s="84"/>
      <c r="E9" s="85"/>
      <c r="F9" s="86" t="str">
        <f t="shared" si="1"/>
        <v/>
      </c>
      <c r="G9" s="84"/>
      <c r="H9" s="85"/>
      <c r="I9" s="86" t="str">
        <f t="shared" si="2"/>
        <v/>
      </c>
    </row>
    <row r="10" spans="1:9" ht="17.399999999999999">
      <c r="A10" s="118" t="s">
        <v>890</v>
      </c>
      <c r="B10" s="119">
        <v>43242</v>
      </c>
      <c r="C10" s="86" t="str">
        <f t="shared" si="0"/>
        <v>(화)</v>
      </c>
      <c r="D10" s="84"/>
      <c r="E10" s="85"/>
      <c r="F10" s="86" t="str">
        <f t="shared" si="1"/>
        <v/>
      </c>
      <c r="G10" s="84"/>
      <c r="H10" s="85"/>
      <c r="I10" s="86" t="str">
        <f t="shared" si="2"/>
        <v/>
      </c>
    </row>
    <row r="11" spans="1:9" ht="17.399999999999999">
      <c r="A11" s="118" t="s">
        <v>891</v>
      </c>
      <c r="B11" s="119">
        <v>43257</v>
      </c>
      <c r="C11" s="86" t="str">
        <f t="shared" si="0"/>
        <v>(수)</v>
      </c>
      <c r="D11" s="84"/>
      <c r="E11" s="85"/>
      <c r="F11" s="86" t="str">
        <f t="shared" si="1"/>
        <v/>
      </c>
      <c r="G11" s="84"/>
      <c r="H11" s="85"/>
      <c r="I11" s="86" t="str">
        <f t="shared" si="2"/>
        <v/>
      </c>
    </row>
    <row r="12" spans="1:9" ht="17.399999999999999">
      <c r="A12" s="118" t="s">
        <v>892</v>
      </c>
      <c r="B12" s="119">
        <v>43327</v>
      </c>
      <c r="C12" s="86" t="str">
        <f t="shared" si="0"/>
        <v>(수)</v>
      </c>
      <c r="D12" s="84"/>
      <c r="E12" s="85"/>
      <c r="F12" s="86" t="str">
        <f t="shared" si="1"/>
        <v/>
      </c>
      <c r="G12" s="84"/>
      <c r="H12" s="85"/>
      <c r="I12" s="86" t="str">
        <f t="shared" si="2"/>
        <v/>
      </c>
    </row>
    <row r="13" spans="1:9" ht="17.399999999999999">
      <c r="A13" s="118" t="s">
        <v>893</v>
      </c>
      <c r="B13" s="119">
        <v>43367</v>
      </c>
      <c r="C13" s="86" t="str">
        <f t="shared" si="0"/>
        <v>(월)</v>
      </c>
      <c r="D13" s="84"/>
      <c r="E13" s="85"/>
      <c r="F13" s="86" t="str">
        <f t="shared" si="1"/>
        <v/>
      </c>
      <c r="G13" s="84"/>
      <c r="H13" s="85"/>
      <c r="I13" s="86" t="str">
        <f t="shared" si="2"/>
        <v/>
      </c>
    </row>
    <row r="14" spans="1:9" ht="17.399999999999999">
      <c r="A14" s="118" t="s">
        <v>894</v>
      </c>
      <c r="B14" s="119">
        <v>43368</v>
      </c>
      <c r="C14" s="86" t="str">
        <f t="shared" si="0"/>
        <v>(화)</v>
      </c>
      <c r="D14" s="84"/>
      <c r="E14" s="85"/>
      <c r="F14" s="86" t="str">
        <f t="shared" si="1"/>
        <v/>
      </c>
      <c r="G14" s="84"/>
      <c r="H14" s="85"/>
      <c r="I14" s="86" t="str">
        <f t="shared" si="2"/>
        <v/>
      </c>
    </row>
    <row r="15" spans="1:9" ht="17.399999999999999">
      <c r="A15" s="118" t="s">
        <v>895</v>
      </c>
      <c r="B15" s="119">
        <v>43369</v>
      </c>
      <c r="C15" s="86" t="str">
        <f t="shared" si="0"/>
        <v>(수)</v>
      </c>
      <c r="D15" s="84"/>
      <c r="E15" s="85"/>
      <c r="F15" s="86" t="str">
        <f t="shared" si="1"/>
        <v/>
      </c>
      <c r="G15" s="84"/>
      <c r="H15" s="85"/>
      <c r="I15" s="86" t="str">
        <f t="shared" si="2"/>
        <v/>
      </c>
    </row>
    <row r="16" spans="1:9" ht="17.399999999999999">
      <c r="A16" s="118" t="s">
        <v>896</v>
      </c>
      <c r="B16" s="119">
        <v>43376</v>
      </c>
      <c r="C16" s="86" t="str">
        <f t="shared" si="0"/>
        <v>(수)</v>
      </c>
      <c r="D16" s="84"/>
      <c r="E16" s="85"/>
      <c r="F16" s="86" t="str">
        <f t="shared" si="1"/>
        <v/>
      </c>
      <c r="G16" s="84"/>
      <c r="H16" s="85"/>
      <c r="I16" s="86" t="str">
        <f t="shared" si="2"/>
        <v/>
      </c>
    </row>
    <row r="17" spans="1:10" ht="17.399999999999999">
      <c r="A17" s="118" t="s">
        <v>897</v>
      </c>
      <c r="B17" s="119">
        <v>43382</v>
      </c>
      <c r="C17" s="86" t="str">
        <f t="shared" si="0"/>
        <v>(화)</v>
      </c>
      <c r="D17" s="84"/>
      <c r="E17" s="85"/>
      <c r="F17" s="86" t="str">
        <f t="shared" si="1"/>
        <v/>
      </c>
      <c r="G17" s="84"/>
      <c r="H17" s="85"/>
      <c r="I17" s="86" t="str">
        <f t="shared" si="2"/>
        <v/>
      </c>
    </row>
    <row r="18" spans="1:10" ht="17.399999999999999">
      <c r="A18" s="118" t="s">
        <v>898</v>
      </c>
      <c r="B18" s="119">
        <v>43459</v>
      </c>
      <c r="C18" s="86" t="str">
        <f t="shared" si="0"/>
        <v>(화)</v>
      </c>
      <c r="D18" s="84"/>
      <c r="E18" s="85"/>
      <c r="F18" s="86" t="str">
        <f t="shared" si="1"/>
        <v/>
      </c>
      <c r="G18" s="84"/>
      <c r="H18" s="85"/>
      <c r="I18" s="86" t="str">
        <f t="shared" si="2"/>
        <v/>
      </c>
    </row>
    <row r="19" spans="1:10" ht="17.399999999999999">
      <c r="A19" s="118" t="s">
        <v>971</v>
      </c>
      <c r="B19" s="119">
        <v>43466</v>
      </c>
      <c r="C19" s="86" t="str">
        <f t="shared" si="0"/>
        <v>(화)</v>
      </c>
      <c r="D19" s="84"/>
      <c r="E19" s="85"/>
      <c r="F19" s="86" t="str">
        <f t="shared" si="1"/>
        <v/>
      </c>
      <c r="G19" s="84"/>
      <c r="H19" s="85"/>
      <c r="I19" s="86" t="str">
        <f t="shared" si="2"/>
        <v/>
      </c>
      <c r="J19" s="87"/>
    </row>
    <row r="20" spans="1:10" ht="17.399999999999999">
      <c r="A20" s="118" t="s">
        <v>972</v>
      </c>
      <c r="B20" s="119">
        <v>43500</v>
      </c>
      <c r="C20" s="86" t="str">
        <f t="shared" si="0"/>
        <v>(월)</v>
      </c>
      <c r="D20" s="84"/>
      <c r="E20" s="85"/>
      <c r="F20" s="86" t="str">
        <f t="shared" si="1"/>
        <v/>
      </c>
      <c r="G20" s="84"/>
      <c r="H20" s="85"/>
      <c r="I20" s="86" t="str">
        <f t="shared" si="2"/>
        <v/>
      </c>
      <c r="J20" s="87"/>
    </row>
    <row r="21" spans="1:10" ht="17.399999999999999">
      <c r="A21" s="118" t="s">
        <v>973</v>
      </c>
      <c r="B21" s="119">
        <v>43501</v>
      </c>
      <c r="C21" s="86" t="str">
        <f t="shared" si="0"/>
        <v>(화)</v>
      </c>
      <c r="D21" s="84"/>
      <c r="E21" s="85"/>
      <c r="F21" s="86" t="str">
        <f t="shared" si="1"/>
        <v/>
      </c>
      <c r="G21" s="84"/>
      <c r="H21" s="85"/>
      <c r="I21" s="86" t="str">
        <f t="shared" si="2"/>
        <v/>
      </c>
    </row>
    <row r="22" spans="1:10" ht="17.399999999999999">
      <c r="A22" s="118" t="s">
        <v>972</v>
      </c>
      <c r="B22" s="119">
        <v>43502</v>
      </c>
      <c r="C22" s="86" t="str">
        <f t="shared" si="0"/>
        <v>(수)</v>
      </c>
      <c r="D22" s="84"/>
      <c r="E22" s="85"/>
      <c r="F22" s="86" t="str">
        <f t="shared" si="1"/>
        <v/>
      </c>
      <c r="G22" s="84"/>
      <c r="H22" s="85"/>
      <c r="I22" s="86" t="str">
        <f t="shared" si="2"/>
        <v/>
      </c>
    </row>
    <row r="23" spans="1:10" ht="17.399999999999999">
      <c r="A23" s="118" t="s">
        <v>974</v>
      </c>
      <c r="B23" s="119">
        <v>43525</v>
      </c>
      <c r="C23" s="86" t="str">
        <f t="shared" si="0"/>
        <v>(금)</v>
      </c>
      <c r="D23" s="84"/>
      <c r="E23" s="85"/>
      <c r="F23" s="86" t="str">
        <f t="shared" si="1"/>
        <v/>
      </c>
      <c r="G23" s="84"/>
      <c r="H23" s="85"/>
      <c r="I23" s="86" t="str">
        <f t="shared" si="2"/>
        <v/>
      </c>
    </row>
    <row r="24" spans="1:10" ht="17.399999999999999">
      <c r="A24" s="118" t="s">
        <v>975</v>
      </c>
      <c r="B24" s="119">
        <v>43591</v>
      </c>
      <c r="C24" s="86" t="str">
        <f t="shared" si="0"/>
        <v>(월)</v>
      </c>
      <c r="D24" s="84"/>
      <c r="E24" s="85"/>
      <c r="F24" s="86" t="str">
        <f t="shared" si="1"/>
        <v/>
      </c>
      <c r="G24" s="84"/>
      <c r="H24" s="85"/>
      <c r="I24" s="86" t="str">
        <f t="shared" si="2"/>
        <v/>
      </c>
    </row>
    <row r="25" spans="1:10" ht="17.399999999999999">
      <c r="A25" s="118" t="s">
        <v>976</v>
      </c>
      <c r="B25" s="119">
        <v>43622</v>
      </c>
      <c r="C25" s="86" t="str">
        <f t="shared" si="0"/>
        <v>(목)</v>
      </c>
      <c r="D25" s="84"/>
      <c r="E25" s="85"/>
      <c r="F25" s="86" t="str">
        <f t="shared" si="1"/>
        <v/>
      </c>
      <c r="G25" s="84"/>
      <c r="H25" s="85"/>
      <c r="I25" s="86" t="str">
        <f t="shared" si="2"/>
        <v/>
      </c>
    </row>
    <row r="26" spans="1:10" ht="17.399999999999999">
      <c r="A26" s="118" t="s">
        <v>977</v>
      </c>
      <c r="B26" s="119">
        <v>43692</v>
      </c>
      <c r="C26" s="86" t="str">
        <f t="shared" si="0"/>
        <v>(목)</v>
      </c>
      <c r="D26" s="84"/>
      <c r="E26" s="85"/>
      <c r="F26" s="86" t="str">
        <f t="shared" si="1"/>
        <v/>
      </c>
      <c r="G26" s="84"/>
      <c r="H26" s="85"/>
      <c r="I26" s="86" t="str">
        <f t="shared" si="2"/>
        <v/>
      </c>
    </row>
    <row r="27" spans="1:10" ht="17.399999999999999">
      <c r="A27" s="118" t="s">
        <v>978</v>
      </c>
      <c r="B27" s="119">
        <v>43720</v>
      </c>
      <c r="C27" s="86" t="str">
        <f t="shared" si="0"/>
        <v>(목)</v>
      </c>
      <c r="D27" s="84"/>
      <c r="E27" s="85"/>
      <c r="F27" s="86" t="str">
        <f t="shared" si="1"/>
        <v/>
      </c>
      <c r="G27" s="84"/>
      <c r="H27" s="85"/>
      <c r="I27" s="86" t="str">
        <f t="shared" si="2"/>
        <v/>
      </c>
    </row>
    <row r="28" spans="1:10" ht="17.399999999999999">
      <c r="A28" s="118" t="s">
        <v>979</v>
      </c>
      <c r="B28" s="119">
        <v>43721</v>
      </c>
      <c r="C28" s="86" t="str">
        <f t="shared" si="0"/>
        <v>(금)</v>
      </c>
      <c r="D28" s="84"/>
      <c r="E28" s="85"/>
      <c r="F28" s="86" t="str">
        <f t="shared" si="1"/>
        <v/>
      </c>
      <c r="G28" s="84"/>
      <c r="H28" s="85"/>
      <c r="I28" s="86" t="str">
        <f t="shared" si="2"/>
        <v/>
      </c>
    </row>
    <row r="29" spans="1:10" ht="17.399999999999999">
      <c r="A29" s="118" t="s">
        <v>980</v>
      </c>
      <c r="B29" s="119">
        <v>43741</v>
      </c>
      <c r="C29" s="86" t="str">
        <f t="shared" si="0"/>
        <v>(목)</v>
      </c>
      <c r="D29" s="84"/>
      <c r="E29" s="85"/>
      <c r="F29" s="86" t="str">
        <f t="shared" si="1"/>
        <v/>
      </c>
      <c r="G29" s="84"/>
      <c r="H29" s="85"/>
      <c r="I29" s="86" t="str">
        <f t="shared" si="2"/>
        <v/>
      </c>
    </row>
    <row r="30" spans="1:10" ht="17.399999999999999">
      <c r="A30" s="118" t="s">
        <v>981</v>
      </c>
      <c r="B30" s="119">
        <v>43747</v>
      </c>
      <c r="C30" s="86" t="str">
        <f t="shared" si="0"/>
        <v>(수)</v>
      </c>
      <c r="D30" s="84"/>
      <c r="E30" s="85"/>
      <c r="F30" s="86" t="str">
        <f t="shared" si="1"/>
        <v/>
      </c>
      <c r="G30" s="84"/>
      <c r="H30" s="85"/>
      <c r="I30" s="86" t="str">
        <f t="shared" si="2"/>
        <v/>
      </c>
    </row>
    <row r="31" spans="1:10" ht="17.399999999999999">
      <c r="A31" s="118" t="s">
        <v>982</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1018</v>
      </c>
      <c r="D305" s="86" t="s">
        <v>1018</v>
      </c>
      <c r="G305" s="86" t="s">
        <v>1018</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Max</cp:lastModifiedBy>
  <dcterms:created xsi:type="dcterms:W3CDTF">2018-02-18T09:45:14Z</dcterms:created>
  <dcterms:modified xsi:type="dcterms:W3CDTF">2021-11-23T08:43:35Z</dcterms:modified>
</cp:coreProperties>
</file>