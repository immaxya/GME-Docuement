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F:\13.프로젝트관리\"/>
    </mc:Choice>
  </mc:AlternateContent>
  <bookViews>
    <workbookView xWindow="0" yWindow="0" windowWidth="23040" windowHeight="9108"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Schedule!$M$3:$AB$58</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0" i="2" l="1"/>
  <c r="AC11"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AB2" i="2"/>
  <c r="D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<sst xmlns="http://schemas.openxmlformats.org/spreadsheetml/2006/main" count="1514" uniqueCount="1172">
  <si>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</si>
  <si>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</si>
  <si>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</si>
  <si>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</si>
  <si>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</si>
  <si>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</si>
  <si>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</si>
  <si>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</si>
  <si>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</si>
  <si>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</si>
  <si>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</si>
  <si>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</si>
  <si>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</si>
  <si>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</si>
  <si>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</si>
  <si>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</si>
  <si>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</si>
  <si>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</si>
  <si>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</si>
  <si>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</si>
  <si>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</si>
  <si>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</si>
  <si>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</si>
  <si>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</si>
  <si>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</si>
  <si>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</si>
  <si>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</si>
  <si>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</si>
  <si>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</si>
  <si>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</si>
  <si>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</si>
  <si>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</si>
  <si>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</si>
  <si>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</si>
  <si>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</si>
  <si>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</si>
  <si>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</si>
  <si>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</si>
  <si>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</si>
  <si>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</si>
  <si>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</si>
  <si>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</si>
  <si>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</si>
  <si>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</si>
  <si>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</si>
  <si>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</si>
  <si>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</si>
  <si>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</si>
  <si>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</si>
  <si>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</si>
  <si>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</si>
  <si>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</si>
  <si>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</si>
  <si>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</si>
  <si>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</si>
  <si>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</si>
  <si>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</si>
  <si>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</si>
  <si>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</si>
  <si>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</si>
  <si>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</si>
  <si>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</si>
  <si>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</si>
  <si>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</si>
  <si>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</si>
  <si>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</si>
  <si>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</si>
  <si>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</si>
  <si>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</si>
  <si>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</si>
  <si>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</si>
  <si>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</si>
  <si>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</si>
  <si>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</si>
  <si>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</si>
  <si>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</si>
  <si>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</si>
  <si>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</si>
  <si>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</si>
  <si>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</si>
  <si>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</si>
  <si>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</si>
  <si>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</si>
  <si>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</si>
  <si>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</si>
  <si>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</si>
  <si>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</si>
  <si>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</si>
  <si>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</si>
  <si>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</si>
  <si>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</si>
  <si>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</si>
  <si>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</si>
  <si>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</si>
  <si>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</si>
  <si>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</si>
  <si>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</si>
  <si>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</si>
  <si>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</si>
  <si>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</si>
  <si>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</si>
  <si>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</si>
  <si>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</si>
  <si>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</si>
  <si>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</si>
  <si>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</si>
  <si>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</si>
  <si>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</si>
  <si>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</si>
  <si>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</si>
  <si>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</si>
  <si>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</si>
  <si>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</si>
  <si>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</si>
  <si>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</si>
  <si>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</si>
  <si>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</si>
  <si>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</si>
  <si>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</si>
  <si>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</si>
  <si>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</si>
  <si>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</si>
  <si>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</si>
  <si>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</si>
  <si>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</si>
  <si>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</si>
  <si>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</si>
  <si>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</si>
  <si>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</si>
  <si>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</si>
  <si>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</si>
  <si>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</si>
  <si>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</si>
  <si>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</si>
  <si>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</si>
  <si>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</si>
  <si>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</si>
  <si>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</si>
  <si>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</si>
  <si>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</si>
  <si>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</si>
  <si>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</si>
  <si>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</si>
  <si>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</si>
  <si>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</si>
  <si>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</si>
  <si>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</si>
  <si>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</si>
  <si>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</si>
  <si>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</si>
  <si>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</si>
  <si>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</si>
  <si>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</si>
  <si>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</si>
  <si>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</si>
  <si>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</si>
  <si>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</si>
  <si>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</si>
  <si>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</si>
  <si>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</si>
  <si>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</si>
  <si>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</si>
  <si>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</si>
  <si>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</si>
  <si>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</si>
  <si>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</si>
  <si>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</si>
  <si>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</si>
  <si>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</si>
  <si>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</si>
  <si>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</si>
  <si>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</si>
  <si>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</si>
  <si>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</si>
  <si>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</si>
  <si>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</si>
  <si>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</si>
  <si>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</si>
  <si>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</si>
  <si>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</si>
  <si>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</si>
  <si>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</si>
  <si>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</si>
  <si>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</si>
  <si>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</si>
  <si>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</si>
  <si>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</si>
  <si>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</si>
  <si>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</si>
  <si>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</si>
  <si>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</si>
  <si>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</si>
  <si>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</si>
  <si>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</si>
  <si>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</si>
  <si>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</si>
  <si>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</si>
  <si>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</si>
  <si>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</si>
  <si>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</si>
  <si>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</si>
  <si>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</si>
  <si>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</si>
  <si>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</si>
  <si>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</si>
  <si>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</si>
  <si>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</si>
  <si>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</si>
  <si>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</si>
  <si>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</si>
  <si>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</si>
  <si>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</si>
  <si>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</si>
  <si>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</si>
  <si>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</si>
  <si>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</si>
  <si>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</si>
  <si>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</si>
  <si>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</si>
  <si>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</si>
  <si>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</si>
  <si>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</si>
  <si>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</si>
  <si>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</si>
  <si>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</si>
  <si>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</si>
  <si>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</si>
  <si>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</si>
  <si>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</si>
  <si>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</si>
  <si>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</si>
  <si>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</si>
  <si>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</si>
  <si>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</si>
  <si>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</si>
  <si>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</si>
  <si>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</si>
  <si>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</si>
  <si>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</si>
  <si>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</si>
  <si>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</si>
  <si>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</si>
  <si>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</si>
  <si>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</si>
  <si>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</si>
  <si>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</si>
  <si>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</si>
  <si>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</si>
  <si>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</si>
  <si>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</si>
  <si>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</si>
  <si>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</si>
  <si>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</si>
  <si>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</si>
  <si>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</si>
  <si>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</si>
  <si>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</si>
  <si>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</si>
  <si>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</si>
  <si>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</si>
  <si>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</si>
  <si>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</si>
  <si>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</si>
  <si>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</si>
  <si>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</si>
  <si>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</si>
  <si>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</si>
  <si>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</si>
  <si>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</si>
  <si>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</si>
  <si>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</si>
  <si>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</si>
  <si>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</si>
  <si>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</si>
  <si>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</si>
  <si>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</si>
  <si>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</si>
  <si>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</si>
  <si>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</si>
  <si>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</si>
  <si>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</si>
  <si>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</si>
  <si>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</si>
  <si>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</si>
  <si>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</si>
  <si>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</si>
  <si>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</si>
  <si>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</si>
  <si>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</si>
  <si>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</si>
  <si>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</si>
  <si>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</si>
  <si>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</si>
  <si>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</si>
  <si>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</si>
  <si>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</si>
  <si>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</si>
  <si>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</si>
  <si>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</si>
  <si>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</si>
  <si>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</si>
  <si>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</si>
  <si>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</si>
  <si>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</si>
  <si>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</si>
  <si>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</si>
  <si>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</si>
  <si>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</si>
  <si>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</si>
  <si>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</si>
  <si>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</si>
  <si>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</si>
  <si>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</si>
  <si>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</si>
  <si>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</si>
  <si>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</si>
  <si>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</si>
  <si>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</si>
  <si>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</si>
  <si>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</si>
  <si>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</si>
  <si>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</si>
  <si>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</si>
  <si>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</si>
  <si>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</si>
  <si>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</si>
  <si>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</si>
  <si>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</si>
  <si>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</si>
  <si>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</si>
  <si>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</si>
  <si>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</si>
  <si>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</si>
  <si>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</si>
  <si>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</si>
  <si>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</si>
  <si>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</si>
  <si>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</si>
  <si>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</si>
  <si>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</si>
  <si>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</si>
  <si>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</si>
  <si>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</si>
  <si>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</si>
  <si>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</si>
  <si>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</si>
  <si>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</si>
  <si>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</si>
  <si>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</si>
  <si>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</si>
  <si>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</si>
  <si>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</si>
  <si>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</si>
  <si>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</si>
  <si>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</si>
  <si>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</si>
  <si>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</si>
  <si>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</si>
  <si>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</si>
  <si>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</si>
  <si>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</si>
  <si>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</si>
  <si>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</si>
  <si>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</si>
  <si>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</si>
  <si>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</si>
  <si>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</si>
  <si>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</si>
  <si>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</si>
  <si>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</si>
  <si>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</si>
  <si>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</si>
  <si>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</si>
  <si>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</si>
  <si>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</si>
  <si>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</si>
  <si>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</si>
  <si>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</si>
  <si>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</si>
  <si>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</si>
  <si>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</si>
  <si>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</si>
  <si>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</si>
  <si>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</si>
  <si>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</si>
  <si>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</si>
  <si>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</si>
  <si>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</si>
  <si>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</si>
  <si>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</si>
  <si>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</si>
  <si>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</si>
  <si>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</si>
  <si>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</si>
  <si>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</si>
  <si>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</si>
  <si>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</si>
  <si>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</si>
  <si>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</si>
  <si>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</si>
  <si>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</si>
  <si>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</si>
  <si>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</si>
  <si>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</si>
  <si>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</si>
  <si>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</si>
  <si>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</si>
  <si>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</si>
  <si>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</si>
  <si>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</si>
  <si>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</si>
  <si>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</si>
  <si>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</si>
  <si>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</si>
  <si>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</si>
  <si>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</si>
  <si>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</si>
  <si>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</si>
  <si>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</si>
  <si>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</si>
  <si>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</si>
  <si>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</si>
  <si>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</si>
  <si>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</si>
  <si>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</si>
  <si>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</si>
  <si>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</si>
  <si>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</si>
  <si>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</si>
  <si>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</si>
  <si>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</si>
  <si>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</si>
  <si>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</si>
  <si>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</si>
  <si>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</si>
  <si>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</si>
  <si>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</si>
  <si>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</si>
  <si>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</si>
  <si>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</si>
  <si>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</si>
  <si>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</si>
  <si>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</si>
  <si>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</si>
  <si>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</si>
  <si>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</si>
  <si>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</si>
  <si>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</si>
  <si>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</si>
  <si>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</si>
  <si>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</si>
  <si>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</si>
  <si>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</si>
  <si>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</si>
  <si>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</si>
  <si>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</si>
  <si>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</si>
  <si>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</si>
  <si>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</si>
  <si>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</si>
  <si>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</si>
  <si>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</si>
  <si>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</si>
  <si>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</si>
  <si>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</si>
  <si>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</si>
  <si>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</si>
  <si>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</si>
  <si>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</si>
  <si>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</si>
  <si>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</si>
  <si>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</si>
  <si>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</si>
  <si>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</si>
  <si>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</si>
  <si>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</si>
  <si>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</si>
  <si>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</si>
  <si>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</si>
  <si>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</si>
  <si>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</si>
  <si>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</si>
  <si>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</si>
  <si>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</si>
  <si>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</si>
  <si>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</si>
  <si>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</si>
  <si>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</si>
  <si>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</si>
  <si>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</si>
  <si>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</si>
  <si>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</si>
  <si>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</si>
  <si>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</si>
  <si>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</si>
  <si>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</si>
  <si>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</si>
  <si>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</si>
  <si>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</si>
  <si>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</si>
  <si>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</si>
  <si>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</si>
  <si>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</si>
  <si>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</si>
  <si>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</si>
  <si>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</si>
  <si>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</si>
  <si>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</si>
  <si>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</si>
  <si>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</si>
  <si>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</si>
  <si>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</si>
  <si>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</si>
  <si>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</si>
  <si>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</si>
  <si>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</si>
  <si>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</si>
  <si>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</si>
  <si>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</si>
  <si>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</si>
  <si>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</si>
  <si>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</si>
  <si>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</si>
  <si>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</si>
  <si>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</si>
  <si>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</si>
  <si>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</si>
  <si>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</si>
  <si>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</si>
  <si>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</si>
  <si>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</si>
  <si>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</si>
  <si>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</si>
  <si>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</si>
  <si>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</si>
  <si>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</si>
  <si>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</si>
  <si>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</si>
  <si>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</si>
  <si>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</si>
  <si>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</si>
  <si>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</si>
  <si>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</si>
  <si>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</si>
  <si>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</si>
  <si>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</si>
  <si>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</si>
  <si>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</si>
  <si>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</si>
  <si>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</si>
  <si>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</si>
  <si>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</si>
  <si>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</si>
  <si>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</si>
  <si>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</si>
  <si>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</si>
  <si>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</si>
  <si>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</si>
  <si>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</si>
  <si>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</si>
  <si>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</si>
  <si>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</si>
  <si>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</si>
  <si>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</si>
  <si>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</si>
  <si>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</si>
  <si>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</si>
  <si>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</si>
  <si>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</si>
  <si>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</si>
  <si>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</si>
  <si>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</si>
  <si>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</si>
  <si>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</si>
  <si>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</si>
  <si>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</si>
  <si>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</si>
  <si>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</si>
  <si>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</si>
  <si>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</si>
  <si>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</si>
  <si>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</si>
  <si>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</si>
  <si>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</si>
  <si>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</si>
  <si>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</si>
  <si>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</si>
  <si>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</si>
  <si>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</si>
  <si>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</si>
  <si>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</si>
  <si>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</si>
  <si>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</si>
  <si>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</si>
  <si>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</si>
  <si>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</si>
  <si>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</si>
  <si>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</si>
  <si>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</si>
  <si>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</si>
  <si>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</si>
  <si>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</si>
  <si>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</si>
  <si>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</si>
  <si>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</si>
  <si>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</si>
  <si>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</si>
  <si>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</si>
  <si>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</si>
  <si>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</si>
  <si>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</si>
  <si>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</si>
  <si>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</si>
  <si>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</si>
  <si>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</si>
  <si>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</si>
  <si>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</si>
  <si>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</si>
  <si>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</si>
  <si>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</si>
  <si>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</si>
  <si>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</si>
  <si>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</si>
  <si>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</si>
  <si>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</si>
  <si>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</si>
  <si>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</si>
  <si>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</si>
  <si>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</si>
  <si>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</si>
  <si>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</si>
  <si>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</si>
  <si>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</si>
  <si>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</si>
  <si>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</si>
  <si>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</si>
  <si>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</si>
  <si>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</si>
  <si>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</si>
  <si>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</si>
  <si>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</si>
  <si>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</si>
  <si>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</si>
  <si>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</si>
  <si>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</si>
  <si>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</si>
  <si>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</si>
  <si>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</si>
  <si>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</si>
  <si>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</si>
  <si>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</si>
  <si>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</si>
  <si>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</si>
  <si>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</si>
  <si>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</si>
  <si>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</si>
  <si>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</si>
  <si>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</si>
  <si>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</si>
  <si>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</si>
  <si>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</si>
  <si>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</si>
  <si>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</si>
  <si>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</si>
  <si>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</si>
  <si>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</si>
  <si>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</si>
  <si>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</si>
  <si>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</si>
  <si>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</si>
  <si>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</si>
  <si>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</si>
  <si>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</si>
  <si>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</si>
  <si>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</si>
  <si>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</si>
  <si>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</si>
  <si>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</si>
  <si>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</si>
  <si>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</si>
  <si>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</si>
  <si>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</si>
  <si>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</si>
  <si>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</si>
  <si>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</si>
  <si>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</si>
  <si>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</si>
  <si>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</si>
  <si>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</si>
  <si>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</si>
  <si>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</si>
  <si>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</si>
  <si>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</si>
  <si>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</si>
  <si>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</si>
  <si>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</si>
  <si>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</si>
  <si>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</si>
  <si>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</si>
  <si>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</si>
  <si>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</si>
  <si>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</si>
  <si>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</si>
  <si>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</si>
  <si>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</si>
  <si>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</si>
  <si>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</si>
  <si>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</si>
  <si>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</si>
  <si>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</si>
  <si>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</si>
  <si>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</si>
  <si>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</si>
  <si>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</si>
  <si>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</si>
  <si>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</si>
  <si>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</si>
  <si>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</si>
  <si>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</si>
  <si>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</si>
  <si>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</si>
  <si>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</si>
  <si>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</si>
  <si>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</si>
  <si>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</si>
  <si>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</si>
  <si>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</si>
  <si>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</si>
  <si>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</si>
  <si>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</si>
  <si>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</si>
  <si>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</si>
  <si>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</si>
  <si>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</si>
  <si>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</si>
  <si>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</si>
  <si>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</si>
  <si>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</si>
  <si>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</si>
  <si>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</si>
  <si>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</si>
  <si>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</si>
  <si>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</si>
  <si>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</si>
  <si>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</si>
  <si>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</si>
  <si>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</si>
  <si>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</si>
  <si>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</si>
  <si>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</si>
  <si>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</si>
  <si>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</si>
  <si>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</si>
  <si>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</si>
  <si>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</si>
  <si>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</si>
  <si>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</si>
  <si>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</si>
  <si>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</si>
  <si>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</si>
  <si>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</si>
  <si>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</si>
  <si>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</si>
  <si>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</si>
  <si>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</si>
  <si>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</si>
  <si>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</si>
  <si>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</si>
  <si>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</si>
  <si>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</si>
  <si>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</si>
  <si>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</si>
  <si>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</si>
  <si>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</si>
  <si>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</si>
  <si>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</si>
  <si>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</si>
  <si>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</si>
  <si>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</si>
  <si>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</si>
  <si>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</si>
  <si>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</si>
  <si>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</si>
  <si>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</si>
  <si>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</si>
  <si>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</si>
  <si>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</si>
  <si>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</si>
  <si>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</si>
  <si>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</si>
  <si>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</si>
  <si>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</si>
  <si>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</si>
  <si>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</si>
  <si>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</si>
  <si>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</si>
  <si>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</si>
  <si>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</si>
  <si>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</si>
  <si>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</si>
  <si>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</si>
  <si>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</si>
  <si>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</si>
  <si>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</si>
  <si>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</si>
  <si>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</si>
  <si>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</si>
  <si>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</si>
  <si>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</si>
  <si>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</si>
  <si>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</si>
  <si>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</si>
  <si>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</si>
  <si>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</si>
  <si>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</si>
  <si>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</si>
  <si>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</si>
  <si>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</si>
  <si>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</si>
  <si>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</si>
  <si>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</si>
  <si>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</si>
  <si>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</si>
  <si>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</si>
  <si>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</si>
  <si>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</si>
  <si>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</si>
  <si>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</si>
  <si>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</si>
  <si>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</si>
  <si>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</si>
  <si>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</si>
  <si>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</si>
  <si>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</si>
  <si>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</si>
  <si>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</si>
  <si>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</si>
  <si>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</si>
  <si>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</si>
  <si>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</si>
  <si>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</si>
  <si>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</si>
  <si>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</si>
  <si>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</si>
  <si>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</si>
  <si>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</si>
  <si>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</si>
  <si>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</si>
  <si>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</si>
  <si>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</si>
  <si>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</si>
  <si>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</si>
  <si>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</si>
  <si>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</si>
  <si>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</si>
  <si>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</si>
  <si>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</si>
  <si>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</si>
  <si>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</si>
  <si>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</si>
  <si>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</si>
  <si>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</si>
  <si>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</si>
  <si>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</si>
  <si>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</si>
  <si>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</si>
  <si>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</si>
  <si>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</si>
  <si>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</si>
  <si>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</si>
  <si>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</si>
  <si>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</si>
  <si>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</si>
  <si>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</si>
  <si>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</si>
  <si>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</si>
  <si>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</si>
  <si>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</si>
  <si>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</si>
  <si>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</si>
  <si>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</si>
  <si>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</si>
  <si>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</si>
  <si>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</si>
  <si>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</si>
  <si>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</si>
  <si>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</si>
  <si>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</si>
  <si>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</si>
  <si>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</si>
  <si>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</si>
  <si>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</si>
  <si>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</si>
  <si>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</si>
  <si>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</si>
  <si>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</si>
  <si>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</si>
  <si>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</si>
  <si>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</si>
  <si>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</si>
  <si>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</si>
  <si>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</si>
  <si>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</si>
  <si>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</si>
  <si>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</si>
  <si>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</si>
  <si>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</si>
  <si>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</si>
  <si>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</si>
  <si>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</si>
  <si>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</si>
  <si>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</si>
  <si>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</si>
  <si>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</si>
  <si>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</si>
  <si>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</si>
  <si>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</si>
  <si>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</si>
  <si>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</si>
  <si>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</si>
  <si>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</si>
  <si>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</si>
  <si>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</si>
  <si>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</si>
  <si>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</si>
  <si>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</si>
  <si>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</si>
  <si>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</si>
  <si>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</si>
  <si>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</si>
  <si>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</si>
  <si>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</si>
  <si>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</si>
  <si>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</si>
  <si>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</si>
  <si>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</si>
  <si>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</si>
  <si>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</si>
  <si>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</si>
  <si>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</si>
  <si>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</si>
  <si>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</si>
  <si>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</si>
  <si>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</si>
  <si>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</si>
  <si>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</si>
  <si>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</si>
  <si>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</si>
  <si>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</si>
  <si>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</si>
  <si>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</si>
  <si>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</si>
  <si>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</si>
  <si>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</si>
  <si>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</si>
  <si>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</si>
  <si>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</si>
  <si>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</si>
  <si>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</si>
  <si>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</si>
  <si>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</si>
  <si>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</si>
  <si>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</si>
  <si>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</si>
  <si>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</si>
  <si>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</si>
  <si>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</si>
  <si>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</si>
  <si>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</si>
  <si>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</si>
  <si>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</si>
  <si>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</si>
  <si>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</si>
  <si>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</si>
  <si>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</si>
  <si>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</si>
  <si>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</si>
  <si>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</si>
  <si>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</si>
  <si>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</si>
  <si>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</si>
  <si>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</si>
  <si>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</si>
  <si>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</si>
  <si>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</si>
  <si>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</si>
  <si>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</si>
  <si>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</si>
  <si>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</si>
  <si>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</si>
  <si>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</si>
  <si>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</si>
  <si>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</si>
  <si>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</si>
  <si>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</si>
  <si>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</si>
  <si>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</si>
  <si>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</si>
  <si>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</si>
  <si>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분석</t>
  </si>
  <si>
    <t>설계</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</si>
  <si>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</si>
  <si>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</si>
  <si>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</si>
  <si>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</si>
  <si>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</si>
  <si>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</si>
  <si>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</si>
  <si>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</si>
  <si>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</si>
  <si>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</si>
  <si>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</si>
  <si>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</si>
  <si>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</si>
  <si>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</si>
  <si>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</si>
  <si>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</si>
  <si>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</si>
  <si>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</si>
  <si>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</si>
  <si>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</si>
  <si>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</si>
  <si>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</si>
  <si>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</si>
  <si>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</si>
  <si>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</si>
  <si>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</si>
  <si>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</si>
  <si>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</si>
  <si>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</si>
  <si>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</si>
  <si>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</si>
  <si>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</si>
  <si>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</si>
  <si>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</si>
  <si>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</si>
  <si>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</si>
  <si>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</si>
  <si>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</si>
  <si>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</si>
  <si>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</si>
  <si>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</si>
  <si>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</si>
  <si>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</si>
  <si>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</si>
  <si>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</si>
  <si>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</si>
  <si>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</si>
  <si>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</si>
  <si>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</si>
  <si>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</si>
  <si>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</si>
  <si>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</si>
  <si>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</si>
  <si>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</si>
  <si>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</si>
  <si>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</si>
  <si>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</si>
  <si>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</si>
  <si>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</si>
  <si>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</si>
  <si>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</si>
  <si>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</si>
  <si>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</si>
  <si>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</si>
  <si>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</si>
  <si>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</si>
  <si>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</si>
  <si>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</si>
  <si>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</si>
  <si>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</si>
  <si>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</si>
  <si>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</si>
  <si>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</si>
  <si>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</si>
  <si>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</si>
  <si>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</si>
  <si>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</si>
  <si>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</si>
  <si>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</si>
  <si>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</si>
  <si>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</si>
  <si>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</si>
  <si>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</si>
  <si>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</si>
  <si>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</si>
  <si>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</si>
  <si>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</si>
  <si>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</si>
  <si>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</si>
  <si>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</si>
  <si>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</si>
  <si>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</si>
  <si>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</si>
  <si>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</si>
  <si>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</si>
  <si>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</si>
  <si>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</si>
  <si>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</si>
  <si>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</si>
  <si>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</si>
  <si>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</si>
  <si>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</si>
  <si>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</si>
  <si>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</si>
  <si>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</si>
  <si>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</si>
  <si>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</si>
  <si>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</si>
  <si>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</si>
  <si>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</si>
  <si>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</si>
  <si>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</si>
  <si>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</si>
  <si>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</si>
  <si>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</si>
  <si>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</si>
  <si>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</si>
  <si>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</si>
  <si>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</si>
  <si>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</si>
  <si>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</si>
  <si>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</si>
  <si>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</si>
  <si>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</si>
  <si>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</si>
  <si>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</si>
  <si>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</si>
  <si>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</si>
  <si>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</si>
  <si>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</si>
  <si>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</si>
  <si>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</si>
  <si>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</si>
  <si>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DB설계</t>
  </si>
  <si>
    <t>3</t>
  </si>
  <si>
    <t>3.1</t>
  </si>
  <si>
    <t>GME 프로젝트</t>
    <phoneticPr fontId="2" type="noConversion"/>
  </si>
  <si>
    <t>TODAY</t>
    <phoneticPr fontId="2" type="noConversion"/>
  </si>
  <si>
    <t>DEFINED</t>
    <phoneticPr fontId="8" type="noConversion"/>
  </si>
  <si>
    <t>C:\Temp</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</si>
  <si>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</si>
  <si>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</si>
  <si>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</si>
  <si>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</si>
  <si>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</si>
  <si>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</si>
  <si>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</si>
  <si>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업무분석</t>
  </si>
  <si>
    <t>아키텍처 설계</t>
  </si>
  <si>
    <t>클래스 설계</t>
  </si>
  <si>
    <t>3.2</t>
  </si>
  <si>
    <t>3.3</t>
  </si>
  <si>
    <t>4</t>
  </si>
  <si>
    <t>테스트</t>
  </si>
  <si>
    <t>단위테스트</t>
  </si>
  <si>
    <t>통합테스트</t>
  </si>
  <si>
    <t>이슈해결</t>
  </si>
  <si>
    <t>배포</t>
  </si>
  <si>
    <t>5</t>
  </si>
  <si>
    <t>5.1</t>
  </si>
  <si>
    <t>5.2</t>
  </si>
  <si>
    <t>5.3</t>
  </si>
  <si>
    <t>6</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</si>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</sst>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5">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28</xdr:col>
      <xdr:colOff>82732</xdr:colOff>
      <xdr:row>3</xdr:row>
      <xdr:rowOff>59690</xdr:rowOff>
    </xdr:from>
    <xdr:to>
      <xdr:col>28</xdr:col>
      <xdr:colOff>82732</xdr:colOff>
      <xdr:row>22</xdr:row>
      <xdr:rowOff>0</xdr:rowOff>
    </xdr:to>
    <xdr:cxnSp macro="">
      <xdr:nvCxnSpPr>
        <xdr:cNvPr id="29" name="직선 화살표 연결선 28"/>
        <xdr:cNvCxnSpPr/>
      </xdr:nvCxnSpPr>
      <xdr:spPr>
        <a:xfrm>
          <a:off x="8632372" y="753110"/>
          <a:ext cx="0" cy="27444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10</xdr:row>
      <xdr:rowOff>19050</xdr:rowOff>
    </xdr:from>
    <xdr:to>
      <xdr:col>28</xdr:col>
      <xdr:colOff>103414</xdr:colOff>
      <xdr:row>10</xdr:row>
      <xdr:rowOff>133350</xdr:rowOff>
    </xdr:to>
    <xdr:sp macro="" textlink="">
      <xdr:nvSpPr>
        <xdr:cNvPr id="30" name="직사각형 29"/>
        <xdr:cNvSpPr/>
      </xdr:nvSpPr>
      <xdr:spPr>
        <a:xfrm>
          <a:off x="8611688" y="168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10</xdr:row>
      <xdr:rowOff>76200</xdr:rowOff>
    </xdr:from>
    <xdr:to>
      <xdr:col>28</xdr:col>
      <xdr:colOff>62048</xdr:colOff>
      <xdr:row>10</xdr:row>
      <xdr:rowOff>76200</xdr:rowOff>
    </xdr:to>
    <xdr:cxnSp macro="">
      <xdr:nvCxnSpPr>
        <xdr:cNvPr id="31" name="직선 화살표 연결선 30"/>
        <xdr:cNvCxnSpPr/>
      </xdr:nvCxnSpPr>
      <xdr:spPr>
        <a:xfrm>
          <a:off x="8611688"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9</xdr:row>
      <xdr:rowOff>19050</xdr:rowOff>
    </xdr:from>
    <xdr:to>
      <xdr:col>28</xdr:col>
      <xdr:colOff>103414</xdr:colOff>
      <xdr:row>9</xdr:row>
      <xdr:rowOff>133350</xdr:rowOff>
    </xdr:to>
    <xdr:sp macro="" textlink="">
      <xdr:nvSpPr>
        <xdr:cNvPr id="32" name="직사각형 31"/>
        <xdr:cNvSpPr/>
      </xdr:nvSpPr>
      <xdr:spPr>
        <a:xfrm>
          <a:off x="8611688" y="15354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9</xdr:row>
      <xdr:rowOff>76200</xdr:rowOff>
    </xdr:from>
    <xdr:to>
      <xdr:col>28</xdr:col>
      <xdr:colOff>62048</xdr:colOff>
      <xdr:row>9</xdr:row>
      <xdr:rowOff>76200</xdr:rowOff>
    </xdr:to>
    <xdr:cxnSp macro="">
      <xdr:nvCxnSpPr>
        <xdr:cNvPr id="33" name="직선 화살표 연결선 32"/>
        <xdr:cNvCxnSpPr/>
      </xdr:nvCxnSpPr>
      <xdr:spPr>
        <a:xfrm>
          <a:off x="861168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990</v>
      </c>
      <c r="C8" s="101" t="s">
        <v>1130</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1137</v>
      </c>
      <c r="D11" s="99" t="s">
        <v>26</v>
      </c>
      <c r="E11" s="108">
        <v>1</v>
      </c>
      <c r="F11" s="109" t="s">
        <v>27</v>
      </c>
      <c r="G11" s="110">
        <v>43650</v>
      </c>
      <c r="H11" s="109" t="s">
        <v>28</v>
      </c>
      <c r="I11" s="110">
        <v>43651</v>
      </c>
      <c r="J11" s="102" t="s">
        <v>418</v>
      </c>
      <c r="K11" s="102" t="s">
        <v>1131</v>
      </c>
      <c r="L11" s="102" t="s">
        <v>415</v>
      </c>
      <c r="M11" s="102">
        <v>1</v>
      </c>
      <c r="N11" s="107" t="s">
        <v>29</v>
      </c>
      <c r="O11" s="99">
        <v>0</v>
      </c>
      <c r="P11" s="99" t="s">
        <v>30</v>
      </c>
      <c r="Q11" s="107" t="s">
        <v>1138</v>
      </c>
      <c r="R11" s="102" t="s">
        <v>420</v>
      </c>
      <c r="S11" s="102">
        <v>2</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986</v>
      </c>
      <c r="AE12" s="102">
        <v>1</v>
      </c>
    </row>
    <row r="13" spans="1:64">
      <c r="A13" s="101" t="s">
        <v>402</v>
      </c>
      <c r="B13" s="107" t="s">
        <v>31</v>
      </c>
      <c r="C13" s="99">
        <v>1</v>
      </c>
      <c r="D13" s="107" t="s">
        <v>32</v>
      </c>
      <c r="E13" s="99" t="s">
        <v>1139</v>
      </c>
      <c r="F13" s="99" t="s">
        <v>33</v>
      </c>
      <c r="G13" s="109" t="s">
        <v>1140</v>
      </c>
      <c r="H13" s="109" t="s">
        <v>34</v>
      </c>
      <c r="I13" s="102" t="s">
        <v>1048</v>
      </c>
    </row>
    <row r="14" spans="1:64">
      <c r="A14" s="101" t="s">
        <v>403</v>
      </c>
      <c r="B14" s="108" t="s">
        <v>35</v>
      </c>
      <c r="C14" s="108" t="s">
        <v>1141</v>
      </c>
      <c r="D14" s="108" t="s">
        <v>36</v>
      </c>
      <c r="E14" s="108" t="s">
        <v>1142</v>
      </c>
      <c r="F14" s="108" t="s">
        <v>37</v>
      </c>
      <c r="G14" s="108" t="s">
        <v>1105</v>
      </c>
      <c r="H14" s="108" t="s">
        <v>38</v>
      </c>
      <c r="I14" s="108" t="b">
        <v>0</v>
      </c>
      <c r="J14" s="108" t="s">
        <v>39</v>
      </c>
      <c r="K14" s="108" t="s">
        <v>1117</v>
      </c>
      <c r="L14" s="108" t="s">
        <v>40</v>
      </c>
      <c r="M14" s="108" t="s">
        <v>1106</v>
      </c>
      <c r="N14" s="108" t="s">
        <v>41</v>
      </c>
      <c r="O14" s="108" t="s">
        <v>1105</v>
      </c>
      <c r="P14" s="108" t="s">
        <v>42</v>
      </c>
      <c r="Q14" s="108" t="b">
        <v>0</v>
      </c>
      <c r="R14" s="108" t="s">
        <v>43</v>
      </c>
      <c r="S14" s="108" t="s">
        <v>1143</v>
      </c>
      <c r="T14" s="108" t="s">
        <v>44</v>
      </c>
      <c r="U14" s="108" t="s">
        <v>1118</v>
      </c>
      <c r="V14" s="108" t="s">
        <v>45</v>
      </c>
      <c r="W14" s="108" t="s">
        <v>1105</v>
      </c>
      <c r="X14" s="108" t="s">
        <v>46</v>
      </c>
      <c r="Y14" s="108" t="b">
        <v>1</v>
      </c>
      <c r="Z14" s="108" t="s">
        <v>47</v>
      </c>
      <c r="AA14" s="108" t="s">
        <v>1107</v>
      </c>
      <c r="AB14" s="108" t="s">
        <v>48</v>
      </c>
      <c r="AC14" s="108" t="s">
        <v>1119</v>
      </c>
      <c r="AD14" s="108" t="s">
        <v>49</v>
      </c>
      <c r="AE14" s="108" t="s">
        <v>1144</v>
      </c>
      <c r="AF14" s="108" t="s">
        <v>50</v>
      </c>
      <c r="AG14" s="108" t="b">
        <v>1</v>
      </c>
      <c r="AH14" s="108" t="s">
        <v>51</v>
      </c>
      <c r="AI14" s="108" t="s">
        <v>1109</v>
      </c>
      <c r="AJ14" s="108" t="s">
        <v>52</v>
      </c>
      <c r="AK14" s="108" t="s">
        <v>1072</v>
      </c>
      <c r="AL14" s="108" t="s">
        <v>53</v>
      </c>
      <c r="AM14" s="108" t="s">
        <v>1145</v>
      </c>
      <c r="AN14" s="108" t="s">
        <v>54</v>
      </c>
      <c r="AO14" s="108" t="b">
        <v>0</v>
      </c>
      <c r="AP14" s="108" t="s">
        <v>55</v>
      </c>
      <c r="AQ14" s="108" t="s">
        <v>1070</v>
      </c>
      <c r="AR14" s="108" t="s">
        <v>56</v>
      </c>
      <c r="AS14" s="108" t="s">
        <v>1073</v>
      </c>
      <c r="AT14" s="108" t="s">
        <v>57</v>
      </c>
      <c r="AU14" s="108" t="s">
        <v>1110</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1075</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932</v>
      </c>
      <c r="B1" s="124" t="s">
        <v>933</v>
      </c>
      <c r="C1" s="125" t="s">
        <v>934</v>
      </c>
      <c r="D1" s="125" t="s">
        <v>67</v>
      </c>
      <c r="E1" s="125" t="s">
        <v>68</v>
      </c>
    </row>
    <row r="2" spans="1:5" ht="79.2">
      <c r="A2" s="126" t="s">
        <v>1146</v>
      </c>
      <c r="B2" s="139">
        <v>1</v>
      </c>
      <c r="D2" s="127" t="s">
        <v>935</v>
      </c>
      <c r="E2" s="140" t="s">
        <v>611</v>
      </c>
    </row>
    <row r="3" spans="1:5" ht="112.5" customHeight="1">
      <c r="A3" s="128">
        <v>450</v>
      </c>
      <c r="B3" s="139">
        <v>2</v>
      </c>
      <c r="D3" s="127" t="s">
        <v>537</v>
      </c>
      <c r="E3" s="140" t="s">
        <v>936</v>
      </c>
    </row>
    <row r="4" spans="1:5" ht="52.8">
      <c r="B4" s="139">
        <v>3</v>
      </c>
      <c r="D4" s="127" t="s">
        <v>937</v>
      </c>
      <c r="E4" s="140" t="s">
        <v>612</v>
      </c>
    </row>
    <row r="5" spans="1:5" ht="52.8">
      <c r="B5" s="139">
        <v>4</v>
      </c>
      <c r="D5" s="127" t="s">
        <v>938</v>
      </c>
      <c r="E5" s="140" t="s">
        <v>613</v>
      </c>
    </row>
    <row r="6" spans="1:5" ht="52.8">
      <c r="B6" s="139">
        <v>5</v>
      </c>
      <c r="D6" s="127" t="s">
        <v>939</v>
      </c>
      <c r="E6" s="140" t="s">
        <v>614</v>
      </c>
    </row>
    <row r="7" spans="1:5" ht="39.6">
      <c r="B7" s="139">
        <v>6</v>
      </c>
      <c r="D7" s="127" t="s">
        <v>940</v>
      </c>
      <c r="E7" s="140" t="s">
        <v>615</v>
      </c>
    </row>
    <row r="8" spans="1:5">
      <c r="B8" s="139">
        <v>7</v>
      </c>
      <c r="D8" s="127" t="s">
        <v>926</v>
      </c>
      <c r="E8" s="140" t="s">
        <v>941</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942</v>
      </c>
      <c r="D20" s="128" t="s">
        <v>943</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944</v>
      </c>
      <c r="D46" s="127" t="s">
        <v>945</v>
      </c>
      <c r="E46" s="166" t="s">
        <v>946</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947</v>
      </c>
      <c r="E61" s="128" t="s">
        <v>948</v>
      </c>
      <c r="F61" s="130"/>
    </row>
    <row r="62" spans="1:6" ht="14.4">
      <c r="B62" s="139">
        <v>154</v>
      </c>
      <c r="D62" s="127" t="s">
        <v>104</v>
      </c>
      <c r="E62" s="168" t="s">
        <v>930</v>
      </c>
    </row>
    <row r="63" spans="1:6" ht="14.4">
      <c r="B63" s="139">
        <v>155</v>
      </c>
      <c r="D63" s="127" t="s">
        <v>105</v>
      </c>
      <c r="E63" s="168" t="s">
        <v>949</v>
      </c>
    </row>
    <row r="64" spans="1:6">
      <c r="A64" s="131"/>
      <c r="B64" s="139">
        <v>156</v>
      </c>
      <c r="C64" s="138" t="s">
        <v>950</v>
      </c>
      <c r="D64" s="128" t="s">
        <v>951</v>
      </c>
      <c r="E64" s="128" t="s">
        <v>952</v>
      </c>
      <c r="F64" s="130"/>
    </row>
    <row r="65" spans="1:6">
      <c r="A65" s="131"/>
      <c r="B65" s="139">
        <v>157</v>
      </c>
      <c r="C65" s="138" t="s">
        <v>532</v>
      </c>
      <c r="D65" s="128" t="s">
        <v>953</v>
      </c>
      <c r="E65" s="128" t="s">
        <v>954</v>
      </c>
      <c r="F65" s="130"/>
    </row>
    <row r="66" spans="1:6">
      <c r="A66" s="131"/>
      <c r="B66" s="139">
        <v>158</v>
      </c>
      <c r="C66" s="138" t="s">
        <v>532</v>
      </c>
      <c r="D66" s="128" t="s">
        <v>955</v>
      </c>
      <c r="E66" s="128" t="s">
        <v>956</v>
      </c>
      <c r="F66" s="130"/>
    </row>
    <row r="67" spans="1:6">
      <c r="A67" s="131"/>
      <c r="B67" s="139">
        <v>159</v>
      </c>
      <c r="C67" s="138" t="s">
        <v>950</v>
      </c>
      <c r="D67" s="128" t="s">
        <v>927</v>
      </c>
      <c r="E67" s="128" t="s">
        <v>957</v>
      </c>
      <c r="F67" s="130"/>
    </row>
    <row r="68" spans="1:6">
      <c r="B68" s="139">
        <v>160</v>
      </c>
      <c r="D68" s="127" t="s">
        <v>106</v>
      </c>
      <c r="E68" s="140" t="s">
        <v>958</v>
      </c>
    </row>
    <row r="69" spans="1:6">
      <c r="B69" s="139">
        <v>161</v>
      </c>
      <c r="D69" s="127" t="s">
        <v>107</v>
      </c>
      <c r="E69" s="140" t="s">
        <v>959</v>
      </c>
    </row>
    <row r="70" spans="1:6">
      <c r="B70" s="139">
        <v>162</v>
      </c>
      <c r="D70" s="127" t="s">
        <v>960</v>
      </c>
      <c r="E70" s="140" t="s">
        <v>928</v>
      </c>
    </row>
    <row r="71" spans="1:6">
      <c r="B71" s="139">
        <v>163</v>
      </c>
      <c r="D71" s="127" t="s">
        <v>108</v>
      </c>
      <c r="E71" s="140" t="s">
        <v>961</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962</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1071</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963</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964</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965</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966</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967</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968</v>
      </c>
    </row>
    <row r="210" spans="2:5">
      <c r="B210" s="139">
        <v>302</v>
      </c>
      <c r="D210" s="127" t="s">
        <v>504</v>
      </c>
      <c r="E210" s="140" t="s">
        <v>969</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944</v>
      </c>
      <c r="D221" s="127" t="s">
        <v>970</v>
      </c>
      <c r="E221" s="166" t="s">
        <v>971</v>
      </c>
    </row>
    <row r="222" spans="2:5">
      <c r="B222" s="139">
        <v>314</v>
      </c>
      <c r="D222" s="127" t="s">
        <v>211</v>
      </c>
      <c r="E222" s="140" t="s">
        <v>972</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973</v>
      </c>
      <c r="E232" s="128" t="s">
        <v>540</v>
      </c>
      <c r="F232" s="130"/>
    </row>
    <row r="233" spans="1:6">
      <c r="A233" s="129"/>
      <c r="B233" s="139">
        <v>325</v>
      </c>
      <c r="C233" s="138" t="s">
        <v>532</v>
      </c>
      <c r="D233" s="128" t="s">
        <v>974</v>
      </c>
      <c r="E233" s="128" t="s">
        <v>923</v>
      </c>
      <c r="F233" s="130"/>
    </row>
    <row r="234" spans="1:6">
      <c r="A234" s="129"/>
      <c r="B234" s="139">
        <v>326</v>
      </c>
      <c r="C234" s="138" t="s">
        <v>942</v>
      </c>
      <c r="D234" s="128" t="s">
        <v>975</v>
      </c>
      <c r="E234" s="128" t="s">
        <v>976</v>
      </c>
      <c r="F234" s="130"/>
    </row>
    <row r="235" spans="1:6">
      <c r="B235" s="139">
        <v>327</v>
      </c>
      <c r="D235" s="127" t="s">
        <v>220</v>
      </c>
      <c r="E235" s="140" t="s">
        <v>584</v>
      </c>
    </row>
    <row r="236" spans="1:6" ht="14.4">
      <c r="B236" s="139">
        <v>328</v>
      </c>
      <c r="D236" s="127" t="s">
        <v>221</v>
      </c>
      <c r="E236" s="168" t="s">
        <v>929</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977</v>
      </c>
      <c r="E260" s="167" t="s">
        <v>978</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979</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944</v>
      </c>
      <c r="D336" s="134" t="s">
        <v>980</v>
      </c>
      <c r="E336" s="134" t="s">
        <v>981</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924</v>
      </c>
      <c r="E374" s="128" t="s">
        <v>982</v>
      </c>
      <c r="F374" s="130"/>
    </row>
    <row r="375" spans="1:6">
      <c r="A375" s="129"/>
      <c r="B375" s="139">
        <v>467</v>
      </c>
      <c r="C375" s="138" t="s">
        <v>532</v>
      </c>
      <c r="D375" s="128" t="s">
        <v>983</v>
      </c>
      <c r="E375" s="128" t="s">
        <v>925</v>
      </c>
      <c r="F375" s="130"/>
    </row>
    <row r="376" spans="1:6" ht="14.4">
      <c r="B376" s="139">
        <v>468</v>
      </c>
      <c r="D376" s="127" t="s">
        <v>341</v>
      </c>
      <c r="E376" s="168" t="s">
        <v>931</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984</v>
      </c>
      <c r="E408" s="134" t="s">
        <v>985</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987</v>
      </c>
      <c r="E435" s="140" t="s">
        <v>997</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988</v>
      </c>
      <c r="B2" s="94" t="s">
        <v>0</v>
      </c>
      <c r="C2" s="95" t="s">
        <v>991</v>
      </c>
      <c r="D2" s="95">
        <v>43375</v>
      </c>
      <c r="E2" s="96">
        <v>43376</v>
      </c>
      <c r="F2" s="95">
        <v>43375</v>
      </c>
      <c r="G2" s="95">
        <v>43379</v>
      </c>
      <c r="H2" s="92">
        <v>1</v>
      </c>
    </row>
    <row r="3" spans="1:8">
      <c r="A3" s="93" t="s">
        <v>449</v>
      </c>
      <c r="B3" s="94" t="s">
        <v>427</v>
      </c>
      <c r="C3" s="95" t="s">
        <v>991</v>
      </c>
      <c r="D3" s="95">
        <v>43379</v>
      </c>
      <c r="E3" s="96">
        <v>43385</v>
      </c>
      <c r="F3" s="95">
        <v>43375</v>
      </c>
      <c r="G3" s="95">
        <v>43379</v>
      </c>
      <c r="H3" s="92">
        <v>0</v>
      </c>
    </row>
    <row r="4" spans="1:8">
      <c r="A4" s="93" t="s">
        <v>449</v>
      </c>
      <c r="B4" s="94" t="s">
        <v>427</v>
      </c>
      <c r="C4" s="95" t="s">
        <v>989</v>
      </c>
      <c r="D4" s="95">
        <v>43379</v>
      </c>
      <c r="E4" s="96">
        <v>43385</v>
      </c>
      <c r="F4" s="95">
        <v>43375</v>
      </c>
      <c r="G4" s="95">
        <v>43379</v>
      </c>
      <c r="H4" s="92">
        <v>0</v>
      </c>
    </row>
    <row r="5" spans="1:8">
      <c r="A5" s="93" t="s">
        <v>449</v>
      </c>
      <c r="B5" s="94" t="s">
        <v>427</v>
      </c>
      <c r="C5" s="95" t="s">
        <v>1045</v>
      </c>
      <c r="D5" s="95">
        <v>43379</v>
      </c>
      <c r="E5" s="96">
        <v>43385</v>
      </c>
      <c r="F5" s="95">
        <v>43375</v>
      </c>
      <c r="G5" s="95">
        <v>43379</v>
      </c>
      <c r="H5" s="92">
        <v>0</v>
      </c>
    </row>
    <row r="6" spans="1:8">
      <c r="A6" s="93" t="s">
        <v>449</v>
      </c>
      <c r="B6" s="94" t="s">
        <v>427</v>
      </c>
      <c r="C6" s="95" t="s">
        <v>991</v>
      </c>
      <c r="D6" s="95">
        <v>43379</v>
      </c>
      <c r="E6" s="96">
        <v>43385</v>
      </c>
      <c r="F6" s="95">
        <v>43380</v>
      </c>
      <c r="G6" s="95">
        <v>43386</v>
      </c>
      <c r="H6" s="92">
        <v>1.3333333333333333</v>
      </c>
    </row>
    <row r="7" spans="1:8">
      <c r="A7" s="93" t="s">
        <v>449</v>
      </c>
      <c r="B7" s="94" t="s">
        <v>427</v>
      </c>
      <c r="C7" s="95" t="s">
        <v>989</v>
      </c>
      <c r="D7" s="95">
        <v>43379</v>
      </c>
      <c r="E7" s="96">
        <v>43385</v>
      </c>
      <c r="F7" s="95">
        <v>43380</v>
      </c>
      <c r="G7" s="95">
        <v>43386</v>
      </c>
      <c r="H7" s="92">
        <v>1.3333333333333333</v>
      </c>
    </row>
    <row r="8" spans="1:8">
      <c r="A8" s="93" t="s">
        <v>449</v>
      </c>
      <c r="B8" s="94" t="s">
        <v>427</v>
      </c>
      <c r="C8" s="95" t="s">
        <v>1045</v>
      </c>
      <c r="D8" s="95">
        <v>43379</v>
      </c>
      <c r="E8" s="96">
        <v>43385</v>
      </c>
      <c r="F8" s="95">
        <v>43380</v>
      </c>
      <c r="G8" s="95">
        <v>43386</v>
      </c>
      <c r="H8" s="92">
        <v>1.3333333333333333</v>
      </c>
    </row>
    <row r="9" spans="1:8">
      <c r="A9" s="93" t="s">
        <v>450</v>
      </c>
      <c r="B9" s="94" t="s">
        <v>438</v>
      </c>
      <c r="C9" s="95" t="s">
        <v>991</v>
      </c>
      <c r="D9" s="95">
        <v>43397</v>
      </c>
      <c r="E9" s="96">
        <v>43397</v>
      </c>
      <c r="F9" s="95">
        <v>43394</v>
      </c>
      <c r="G9" s="95">
        <v>43400</v>
      </c>
      <c r="H9" s="92">
        <v>1</v>
      </c>
    </row>
    <row r="10" spans="1:8">
      <c r="A10" s="93" t="s">
        <v>431</v>
      </c>
      <c r="B10" s="94" t="s">
        <v>439</v>
      </c>
      <c r="C10" s="95" t="s">
        <v>989</v>
      </c>
      <c r="D10" s="95">
        <v>43400</v>
      </c>
      <c r="E10" s="96">
        <v>43404</v>
      </c>
      <c r="F10" s="95">
        <v>43394</v>
      </c>
      <c r="G10" s="95">
        <v>43400</v>
      </c>
      <c r="H10" s="92">
        <v>0</v>
      </c>
    </row>
    <row r="11" spans="1:8">
      <c r="A11" s="93" t="s">
        <v>431</v>
      </c>
      <c r="B11" s="94" t="s">
        <v>439</v>
      </c>
      <c r="C11" s="95" t="s">
        <v>989</v>
      </c>
      <c r="D11" s="95">
        <v>43400</v>
      </c>
      <c r="E11" s="96">
        <v>43404</v>
      </c>
      <c r="F11" s="95">
        <v>43401</v>
      </c>
      <c r="G11" s="95">
        <v>43407</v>
      </c>
      <c r="H11" s="92">
        <v>3</v>
      </c>
    </row>
    <row r="12" spans="1:8">
      <c r="A12" s="93" t="s">
        <v>432</v>
      </c>
      <c r="B12" s="94" t="s">
        <v>440</v>
      </c>
      <c r="C12" s="95" t="s">
        <v>989</v>
      </c>
      <c r="D12" s="95">
        <v>43432</v>
      </c>
      <c r="E12" s="96">
        <v>43432</v>
      </c>
      <c r="F12" s="95">
        <v>43429</v>
      </c>
      <c r="G12" s="95">
        <v>43435</v>
      </c>
      <c r="H12" s="92">
        <v>1</v>
      </c>
    </row>
    <row r="13" spans="1:8">
      <c r="A13" s="93" t="s">
        <v>433</v>
      </c>
      <c r="B13" s="94" t="s">
        <v>441</v>
      </c>
      <c r="C13" s="95" t="s">
        <v>1093</v>
      </c>
      <c r="D13" s="95">
        <v>43468</v>
      </c>
      <c r="E13" s="96">
        <v>43493</v>
      </c>
      <c r="F13" s="95">
        <v>43464</v>
      </c>
      <c r="G13" s="95">
        <v>43470</v>
      </c>
      <c r="H13" s="92">
        <v>2</v>
      </c>
    </row>
    <row r="14" spans="1:8">
      <c r="A14" s="93" t="s">
        <v>433</v>
      </c>
      <c r="B14" s="94" t="s">
        <v>441</v>
      </c>
      <c r="C14" s="95" t="s">
        <v>1093</v>
      </c>
      <c r="D14" s="95">
        <v>43468</v>
      </c>
      <c r="E14" s="96">
        <v>43493</v>
      </c>
      <c r="F14" s="95">
        <v>43471</v>
      </c>
      <c r="G14" s="95">
        <v>43477</v>
      </c>
      <c r="H14" s="92">
        <v>5</v>
      </c>
    </row>
    <row r="15" spans="1:8">
      <c r="A15" s="93" t="s">
        <v>433</v>
      </c>
      <c r="B15" s="94" t="s">
        <v>441</v>
      </c>
      <c r="C15" s="95" t="s">
        <v>1093</v>
      </c>
      <c r="D15" s="95">
        <v>43468</v>
      </c>
      <c r="E15" s="96">
        <v>43493</v>
      </c>
      <c r="F15" s="95">
        <v>43478</v>
      </c>
      <c r="G15" s="95">
        <v>43484</v>
      </c>
      <c r="H15" s="92">
        <v>5</v>
      </c>
    </row>
    <row r="16" spans="1:8">
      <c r="A16" s="93" t="s">
        <v>433</v>
      </c>
      <c r="B16" s="94" t="s">
        <v>441</v>
      </c>
      <c r="C16" s="95" t="s">
        <v>1093</v>
      </c>
      <c r="D16" s="95">
        <v>43468</v>
      </c>
      <c r="E16" s="96">
        <v>43493</v>
      </c>
      <c r="F16" s="95">
        <v>43485</v>
      </c>
      <c r="G16" s="95">
        <v>43491</v>
      </c>
      <c r="H16" s="92">
        <v>5</v>
      </c>
    </row>
    <row r="17" spans="1:8">
      <c r="A17" s="93" t="s">
        <v>433</v>
      </c>
      <c r="B17" s="94" t="s">
        <v>441</v>
      </c>
      <c r="C17" s="95" t="s">
        <v>1093</v>
      </c>
      <c r="D17" s="95">
        <v>43468</v>
      </c>
      <c r="E17" s="96">
        <v>43493</v>
      </c>
      <c r="F17" s="95">
        <v>43492</v>
      </c>
      <c r="G17" s="95">
        <v>43498</v>
      </c>
      <c r="H17" s="92">
        <v>1</v>
      </c>
    </row>
    <row r="18" spans="1:8">
      <c r="A18" s="93" t="s">
        <v>434</v>
      </c>
      <c r="B18" s="94" t="s">
        <v>998</v>
      </c>
      <c r="C18" s="95" t="s">
        <v>1093</v>
      </c>
      <c r="D18" s="95">
        <v>43397</v>
      </c>
      <c r="E18" s="96">
        <v>43397</v>
      </c>
      <c r="F18" s="95">
        <v>43394</v>
      </c>
      <c r="G18" s="95">
        <v>43400</v>
      </c>
      <c r="H18" s="92">
        <v>1</v>
      </c>
    </row>
    <row r="19" spans="1:8">
      <c r="A19" s="93" t="s">
        <v>435</v>
      </c>
      <c r="B19" s="94" t="s">
        <v>442</v>
      </c>
      <c r="C19" s="95" t="s">
        <v>991</v>
      </c>
      <c r="D19" s="95">
        <v>43501</v>
      </c>
      <c r="E19" s="96">
        <v>43505</v>
      </c>
      <c r="F19" s="95">
        <v>43499</v>
      </c>
      <c r="G19" s="95">
        <v>43505</v>
      </c>
      <c r="H19" s="92">
        <v>2</v>
      </c>
    </row>
    <row r="20" spans="1:8">
      <c r="A20" s="93" t="s">
        <v>436</v>
      </c>
      <c r="B20" s="94" t="s">
        <v>443</v>
      </c>
      <c r="C20" s="95" t="s">
        <v>991</v>
      </c>
      <c r="D20" s="95">
        <v>43508</v>
      </c>
      <c r="E20" s="96">
        <v>43526</v>
      </c>
      <c r="F20" s="95">
        <v>43506</v>
      </c>
      <c r="G20" s="95">
        <v>43512</v>
      </c>
      <c r="H20" s="92">
        <v>4</v>
      </c>
    </row>
    <row r="21" spans="1:8">
      <c r="A21" s="93" t="s">
        <v>436</v>
      </c>
      <c r="B21" s="94" t="s">
        <v>443</v>
      </c>
      <c r="C21" s="95" t="s">
        <v>991</v>
      </c>
      <c r="D21" s="95">
        <v>43508</v>
      </c>
      <c r="E21" s="96">
        <v>43526</v>
      </c>
      <c r="F21" s="95">
        <v>43513</v>
      </c>
      <c r="G21" s="95">
        <v>43519</v>
      </c>
      <c r="H21" s="92">
        <v>5</v>
      </c>
    </row>
    <row r="22" spans="1:8">
      <c r="A22" s="93" t="s">
        <v>436</v>
      </c>
      <c r="B22" s="94" t="s">
        <v>443</v>
      </c>
      <c r="C22" s="95" t="s">
        <v>991</v>
      </c>
      <c r="D22" s="95">
        <v>43508</v>
      </c>
      <c r="E22" s="96">
        <v>43526</v>
      </c>
      <c r="F22" s="95">
        <v>43520</v>
      </c>
      <c r="G22" s="95">
        <v>43526</v>
      </c>
      <c r="H22" s="92">
        <v>4</v>
      </c>
    </row>
    <row r="23" spans="1:8">
      <c r="A23" s="93" t="s">
        <v>437</v>
      </c>
      <c r="B23" s="94" t="s">
        <v>444</v>
      </c>
      <c r="C23" s="95" t="s">
        <v>991</v>
      </c>
      <c r="D23" s="95">
        <v>43526</v>
      </c>
      <c r="E23" s="96">
        <v>43526</v>
      </c>
      <c r="F23" s="95">
        <v>43520</v>
      </c>
      <c r="G23" s="95">
        <v>43526</v>
      </c>
      <c r="H23" s="92">
        <v>0</v>
      </c>
    </row>
    <row r="24" spans="1:8">
      <c r="A24" s="93" t="s">
        <v>451</v>
      </c>
      <c r="B24" s="94" t="s">
        <v>445</v>
      </c>
      <c r="C24" s="95" t="s">
        <v>991</v>
      </c>
      <c r="D24" s="95">
        <v>43526</v>
      </c>
      <c r="E24" s="96">
        <v>43526</v>
      </c>
      <c r="F24" s="95">
        <v>43520</v>
      </c>
      <c r="G24" s="95">
        <v>43526</v>
      </c>
      <c r="H24" s="92">
        <v>0</v>
      </c>
    </row>
    <row r="25" spans="1:8">
      <c r="A25" s="93" t="s">
        <v>992</v>
      </c>
      <c r="B25" s="94" t="s">
        <v>446</v>
      </c>
      <c r="C25" s="95" t="s">
        <v>1046</v>
      </c>
      <c r="D25" s="95">
        <v>43379</v>
      </c>
      <c r="E25" s="96">
        <v>43397</v>
      </c>
      <c r="F25" s="95">
        <v>43375</v>
      </c>
      <c r="G25" s="95">
        <v>43379</v>
      </c>
      <c r="H25" s="92">
        <v>0</v>
      </c>
    </row>
    <row r="26" spans="1:8">
      <c r="A26" s="93" t="s">
        <v>992</v>
      </c>
      <c r="B26" s="94" t="s">
        <v>446</v>
      </c>
      <c r="C26" s="95" t="s">
        <v>1038</v>
      </c>
      <c r="D26" s="95">
        <v>43379</v>
      </c>
      <c r="E26" s="96">
        <v>43397</v>
      </c>
      <c r="F26" s="95">
        <v>43375</v>
      </c>
      <c r="G26" s="95">
        <v>43379</v>
      </c>
      <c r="H26" s="92">
        <v>0</v>
      </c>
    </row>
    <row r="27" spans="1:8">
      <c r="A27" s="93" t="s">
        <v>992</v>
      </c>
      <c r="B27" s="94" t="s">
        <v>446</v>
      </c>
      <c r="C27" s="95" t="s">
        <v>1047</v>
      </c>
      <c r="D27" s="95">
        <v>43379</v>
      </c>
      <c r="E27" s="96">
        <v>43397</v>
      </c>
      <c r="F27" s="95">
        <v>43375</v>
      </c>
      <c r="G27" s="95">
        <v>43379</v>
      </c>
      <c r="H27" s="92">
        <v>0</v>
      </c>
    </row>
    <row r="28" spans="1:8">
      <c r="A28" s="93" t="s">
        <v>992</v>
      </c>
      <c r="B28" s="94" t="s">
        <v>446</v>
      </c>
      <c r="C28" s="95" t="s">
        <v>1046</v>
      </c>
      <c r="D28" s="95">
        <v>43379</v>
      </c>
      <c r="E28" s="96">
        <v>43397</v>
      </c>
      <c r="F28" s="95">
        <v>43380</v>
      </c>
      <c r="G28" s="95">
        <v>43386</v>
      </c>
      <c r="H28" s="92">
        <v>1.3333333333333333</v>
      </c>
    </row>
    <row r="29" spans="1:8">
      <c r="A29" s="93" t="s">
        <v>992</v>
      </c>
      <c r="B29" s="94" t="s">
        <v>446</v>
      </c>
      <c r="C29" s="95" t="s">
        <v>1038</v>
      </c>
      <c r="D29" s="95">
        <v>43379</v>
      </c>
      <c r="E29" s="96">
        <v>43397</v>
      </c>
      <c r="F29" s="95">
        <v>43380</v>
      </c>
      <c r="G29" s="95">
        <v>43386</v>
      </c>
      <c r="H29" s="92">
        <v>1.3333333333333333</v>
      </c>
    </row>
    <row r="30" spans="1:8">
      <c r="A30" s="93" t="s">
        <v>992</v>
      </c>
      <c r="B30" s="94" t="s">
        <v>446</v>
      </c>
      <c r="C30" s="95" t="s">
        <v>1047</v>
      </c>
      <c r="D30" s="95">
        <v>43379</v>
      </c>
      <c r="E30" s="96">
        <v>43397</v>
      </c>
      <c r="F30" s="95">
        <v>43380</v>
      </c>
      <c r="G30" s="95">
        <v>43386</v>
      </c>
      <c r="H30" s="92">
        <v>1.3333333333333333</v>
      </c>
    </row>
    <row r="31" spans="1:8">
      <c r="A31" s="93" t="s">
        <v>992</v>
      </c>
      <c r="B31" s="94" t="s">
        <v>446</v>
      </c>
      <c r="C31" s="95" t="s">
        <v>1046</v>
      </c>
      <c r="D31" s="95">
        <v>43379</v>
      </c>
      <c r="E31" s="96">
        <v>43397</v>
      </c>
      <c r="F31" s="95">
        <v>43387</v>
      </c>
      <c r="G31" s="95">
        <v>43393</v>
      </c>
      <c r="H31" s="92">
        <v>1.6666666666666667</v>
      </c>
    </row>
    <row r="32" spans="1:8">
      <c r="A32" s="93" t="s">
        <v>992</v>
      </c>
      <c r="B32" s="94" t="s">
        <v>446</v>
      </c>
      <c r="C32" s="95" t="s">
        <v>1038</v>
      </c>
      <c r="D32" s="95">
        <v>43379</v>
      </c>
      <c r="E32" s="96">
        <v>43397</v>
      </c>
      <c r="F32" s="95">
        <v>43387</v>
      </c>
      <c r="G32" s="95">
        <v>43393</v>
      </c>
      <c r="H32" s="92">
        <v>1.6666666666666667</v>
      </c>
    </row>
    <row r="33" spans="1:8">
      <c r="A33" s="93" t="s">
        <v>992</v>
      </c>
      <c r="B33" s="94" t="s">
        <v>446</v>
      </c>
      <c r="C33" s="95" t="s">
        <v>1047</v>
      </c>
      <c r="D33" s="95">
        <v>43379</v>
      </c>
      <c r="E33" s="96">
        <v>43397</v>
      </c>
      <c r="F33" s="95">
        <v>43387</v>
      </c>
      <c r="G33" s="95">
        <v>43393</v>
      </c>
      <c r="H33" s="92">
        <v>1.6666666666666667</v>
      </c>
    </row>
    <row r="34" spans="1:8">
      <c r="A34" s="93" t="s">
        <v>992</v>
      </c>
      <c r="B34" s="94" t="s">
        <v>446</v>
      </c>
      <c r="C34" s="95" t="s">
        <v>1046</v>
      </c>
      <c r="D34" s="95">
        <v>43379</v>
      </c>
      <c r="E34" s="96">
        <v>43397</v>
      </c>
      <c r="F34" s="95">
        <v>43394</v>
      </c>
      <c r="G34" s="95">
        <v>43400</v>
      </c>
      <c r="H34" s="92">
        <v>1</v>
      </c>
    </row>
    <row r="35" spans="1:8">
      <c r="A35" s="93" t="s">
        <v>992</v>
      </c>
      <c r="B35" s="94" t="s">
        <v>446</v>
      </c>
      <c r="C35" s="95" t="s">
        <v>1038</v>
      </c>
      <c r="D35" s="95">
        <v>43379</v>
      </c>
      <c r="E35" s="96">
        <v>43397</v>
      </c>
      <c r="F35" s="95">
        <v>43394</v>
      </c>
      <c r="G35" s="95">
        <v>43400</v>
      </c>
      <c r="H35" s="92">
        <v>1</v>
      </c>
    </row>
    <row r="36" spans="1:8">
      <c r="A36" s="93" t="s">
        <v>992</v>
      </c>
      <c r="B36" s="94" t="s">
        <v>446</v>
      </c>
      <c r="C36" s="95" t="s">
        <v>1047</v>
      </c>
      <c r="D36" s="95">
        <v>43379</v>
      </c>
      <c r="E36" s="96">
        <v>43397</v>
      </c>
      <c r="F36" s="95">
        <v>43394</v>
      </c>
      <c r="G36" s="95">
        <v>43400</v>
      </c>
      <c r="H36" s="92">
        <v>1</v>
      </c>
    </row>
    <row r="37" spans="1:8">
      <c r="A37" s="93" t="s">
        <v>993</v>
      </c>
      <c r="B37" s="94" t="s">
        <v>447</v>
      </c>
      <c r="C37" s="95" t="s">
        <v>1038</v>
      </c>
      <c r="D37" s="95">
        <v>43385</v>
      </c>
      <c r="E37" s="96">
        <v>43396</v>
      </c>
      <c r="F37" s="95">
        <v>43380</v>
      </c>
      <c r="G37" s="95">
        <v>43386</v>
      </c>
      <c r="H37" s="92">
        <v>1</v>
      </c>
    </row>
    <row r="38" spans="1:8">
      <c r="A38" s="93" t="s">
        <v>993</v>
      </c>
      <c r="B38" s="94" t="s">
        <v>447</v>
      </c>
      <c r="C38" s="95" t="s">
        <v>1038</v>
      </c>
      <c r="D38" s="95">
        <v>43385</v>
      </c>
      <c r="E38" s="96">
        <v>43396</v>
      </c>
      <c r="F38" s="95">
        <v>43387</v>
      </c>
      <c r="G38" s="95">
        <v>43393</v>
      </c>
      <c r="H38" s="92">
        <v>5</v>
      </c>
    </row>
    <row r="39" spans="1:8">
      <c r="A39" s="93" t="s">
        <v>993</v>
      </c>
      <c r="B39" s="94" t="s">
        <v>447</v>
      </c>
      <c r="C39" s="95" t="s">
        <v>1038</v>
      </c>
      <c r="D39" s="95">
        <v>43385</v>
      </c>
      <c r="E39" s="96">
        <v>43396</v>
      </c>
      <c r="F39" s="95">
        <v>43394</v>
      </c>
      <c r="G39" s="95">
        <v>43400</v>
      </c>
      <c r="H39" s="92">
        <v>2</v>
      </c>
    </row>
    <row r="40" spans="1:8">
      <c r="A40" s="93" t="s">
        <v>994</v>
      </c>
      <c r="B40" s="94" t="s">
        <v>448</v>
      </c>
      <c r="C40" s="95" t="s">
        <v>1038</v>
      </c>
      <c r="D40" s="95">
        <v>43385</v>
      </c>
      <c r="E40" s="96">
        <v>43396</v>
      </c>
      <c r="F40" s="95">
        <v>43380</v>
      </c>
      <c r="G40" s="95">
        <v>43386</v>
      </c>
      <c r="H40" s="92">
        <v>1</v>
      </c>
    </row>
    <row r="41" spans="1:8">
      <c r="A41" s="93" t="s">
        <v>994</v>
      </c>
      <c r="B41" s="94" t="s">
        <v>448</v>
      </c>
      <c r="C41" s="95" t="s">
        <v>1038</v>
      </c>
      <c r="D41" s="95">
        <v>43385</v>
      </c>
      <c r="E41" s="96">
        <v>43396</v>
      </c>
      <c r="F41" s="95">
        <v>43387</v>
      </c>
      <c r="G41" s="95">
        <v>43393</v>
      </c>
      <c r="H41" s="92">
        <v>5</v>
      </c>
    </row>
    <row r="42" spans="1:8">
      <c r="A42" s="93" t="s">
        <v>994</v>
      </c>
      <c r="B42" s="94" t="s">
        <v>448</v>
      </c>
      <c r="C42" s="95" t="s">
        <v>1038</v>
      </c>
      <c r="D42" s="95">
        <v>43385</v>
      </c>
      <c r="E42" s="96">
        <v>43396</v>
      </c>
      <c r="F42" s="95">
        <v>43394</v>
      </c>
      <c r="G42" s="95">
        <v>43400</v>
      </c>
      <c r="H42" s="92">
        <v>2</v>
      </c>
    </row>
    <row r="43" spans="1:8">
      <c r="A43" s="93" t="s">
        <v>995</v>
      </c>
      <c r="B43" s="94" t="s">
        <v>1001</v>
      </c>
      <c r="C43" s="95" t="s">
        <v>1039</v>
      </c>
      <c r="D43" s="95">
        <v>43399</v>
      </c>
      <c r="E43" s="96">
        <v>43417</v>
      </c>
      <c r="F43" s="95">
        <v>43394</v>
      </c>
      <c r="G43" s="95">
        <v>43400</v>
      </c>
      <c r="H43" s="92">
        <v>1</v>
      </c>
    </row>
    <row r="44" spans="1:8">
      <c r="A44" s="93" t="s">
        <v>995</v>
      </c>
      <c r="B44" s="94" t="s">
        <v>1001</v>
      </c>
      <c r="C44" s="95" t="s">
        <v>1039</v>
      </c>
      <c r="D44" s="95">
        <v>43399</v>
      </c>
      <c r="E44" s="96">
        <v>43417</v>
      </c>
      <c r="F44" s="95">
        <v>43401</v>
      </c>
      <c r="G44" s="95">
        <v>43407</v>
      </c>
      <c r="H44" s="92">
        <v>5</v>
      </c>
    </row>
    <row r="45" spans="1:8">
      <c r="A45" s="93" t="s">
        <v>995</v>
      </c>
      <c r="B45" s="94" t="s">
        <v>1001</v>
      </c>
      <c r="C45" s="95" t="s">
        <v>1039</v>
      </c>
      <c r="D45" s="95">
        <v>43399</v>
      </c>
      <c r="E45" s="96">
        <v>43417</v>
      </c>
      <c r="F45" s="95">
        <v>43408</v>
      </c>
      <c r="G45" s="95">
        <v>43414</v>
      </c>
      <c r="H45" s="92">
        <v>5</v>
      </c>
    </row>
    <row r="46" spans="1:8">
      <c r="A46" s="93" t="s">
        <v>995</v>
      </c>
      <c r="B46" s="94" t="s">
        <v>1001</v>
      </c>
      <c r="C46" s="95" t="s">
        <v>1039</v>
      </c>
      <c r="D46" s="95">
        <v>43399</v>
      </c>
      <c r="E46" s="96">
        <v>43417</v>
      </c>
      <c r="F46" s="95">
        <v>43415</v>
      </c>
      <c r="G46" s="95">
        <v>43421</v>
      </c>
      <c r="H46" s="92">
        <v>2</v>
      </c>
    </row>
    <row r="47" spans="1:8">
      <c r="A47" s="93" t="s">
        <v>1002</v>
      </c>
      <c r="B47" s="94" t="s">
        <v>1003</v>
      </c>
      <c r="C47" s="95" t="s">
        <v>1040</v>
      </c>
      <c r="D47" s="95">
        <v>43406</v>
      </c>
      <c r="E47" s="96">
        <v>43417</v>
      </c>
      <c r="F47" s="95">
        <v>43401</v>
      </c>
      <c r="G47" s="95">
        <v>43407</v>
      </c>
      <c r="H47" s="92">
        <v>1</v>
      </c>
    </row>
    <row r="48" spans="1:8">
      <c r="A48" s="93" t="s">
        <v>1002</v>
      </c>
      <c r="B48" s="94" t="s">
        <v>1003</v>
      </c>
      <c r="C48" s="95" t="s">
        <v>1040</v>
      </c>
      <c r="D48" s="95">
        <v>43406</v>
      </c>
      <c r="E48" s="96">
        <v>43417</v>
      </c>
      <c r="F48" s="95">
        <v>43408</v>
      </c>
      <c r="G48" s="95">
        <v>43414</v>
      </c>
      <c r="H48" s="92">
        <v>5</v>
      </c>
    </row>
    <row r="49" spans="1:8">
      <c r="A49" s="93" t="s">
        <v>1002</v>
      </c>
      <c r="B49" s="94" t="s">
        <v>1003</v>
      </c>
      <c r="C49" s="95" t="s">
        <v>1040</v>
      </c>
      <c r="D49" s="95">
        <v>43406</v>
      </c>
      <c r="E49" s="96">
        <v>43417</v>
      </c>
      <c r="F49" s="95">
        <v>43415</v>
      </c>
      <c r="G49" s="95">
        <v>43421</v>
      </c>
      <c r="H49" s="92">
        <v>2</v>
      </c>
    </row>
    <row r="50" spans="1:8">
      <c r="A50" s="93" t="s">
        <v>1004</v>
      </c>
      <c r="B50" s="94" t="s">
        <v>1005</v>
      </c>
      <c r="C50" s="95" t="s">
        <v>1041</v>
      </c>
      <c r="D50" s="95">
        <v>43413</v>
      </c>
      <c r="E50" s="96">
        <v>43424</v>
      </c>
      <c r="F50" s="95">
        <v>43408</v>
      </c>
      <c r="G50" s="95">
        <v>43414</v>
      </c>
      <c r="H50" s="92">
        <v>1</v>
      </c>
    </row>
    <row r="51" spans="1:8">
      <c r="A51" s="93" t="s">
        <v>1004</v>
      </c>
      <c r="B51" s="94" t="s">
        <v>1005</v>
      </c>
      <c r="C51" s="95" t="s">
        <v>1041</v>
      </c>
      <c r="D51" s="95">
        <v>43413</v>
      </c>
      <c r="E51" s="96">
        <v>43424</v>
      </c>
      <c r="F51" s="95">
        <v>43415</v>
      </c>
      <c r="G51" s="95">
        <v>43421</v>
      </c>
      <c r="H51" s="92">
        <v>5</v>
      </c>
    </row>
    <row r="52" spans="1:8">
      <c r="A52" s="93" t="s">
        <v>1004</v>
      </c>
      <c r="B52" s="94" t="s">
        <v>1005</v>
      </c>
      <c r="C52" s="95" t="s">
        <v>1041</v>
      </c>
      <c r="D52" s="95">
        <v>43413</v>
      </c>
      <c r="E52" s="96">
        <v>43424</v>
      </c>
      <c r="F52" s="95">
        <v>43422</v>
      </c>
      <c r="G52" s="95">
        <v>43428</v>
      </c>
      <c r="H52" s="92">
        <v>2</v>
      </c>
    </row>
    <row r="53" spans="1:8">
      <c r="A53" s="93" t="s">
        <v>1006</v>
      </c>
      <c r="B53" s="94" t="s">
        <v>1007</v>
      </c>
      <c r="C53" s="95" t="s">
        <v>1042</v>
      </c>
      <c r="D53" s="95">
        <v>43413</v>
      </c>
      <c r="E53" s="96">
        <v>43431</v>
      </c>
      <c r="F53" s="95">
        <v>43408</v>
      </c>
      <c r="G53" s="95">
        <v>43414</v>
      </c>
      <c r="H53" s="92">
        <v>1</v>
      </c>
    </row>
    <row r="54" spans="1:8">
      <c r="A54" s="93" t="s">
        <v>1006</v>
      </c>
      <c r="B54" s="94" t="s">
        <v>1007</v>
      </c>
      <c r="C54" s="95" t="s">
        <v>1042</v>
      </c>
      <c r="D54" s="95">
        <v>43413</v>
      </c>
      <c r="E54" s="96">
        <v>43431</v>
      </c>
      <c r="F54" s="95">
        <v>43415</v>
      </c>
      <c r="G54" s="95">
        <v>43421</v>
      </c>
      <c r="H54" s="92">
        <v>5</v>
      </c>
    </row>
    <row r="55" spans="1:8">
      <c r="A55" s="93" t="s">
        <v>1006</v>
      </c>
      <c r="B55" s="94" t="s">
        <v>1007</v>
      </c>
      <c r="C55" s="95" t="s">
        <v>1042</v>
      </c>
      <c r="D55" s="95">
        <v>43413</v>
      </c>
      <c r="E55" s="96">
        <v>43431</v>
      </c>
      <c r="F55" s="95">
        <v>43422</v>
      </c>
      <c r="G55" s="95">
        <v>43428</v>
      </c>
      <c r="H55" s="92">
        <v>5</v>
      </c>
    </row>
    <row r="56" spans="1:8">
      <c r="A56" s="93" t="s">
        <v>1006</v>
      </c>
      <c r="B56" s="94" t="s">
        <v>1007</v>
      </c>
      <c r="C56" s="95" t="s">
        <v>1042</v>
      </c>
      <c r="D56" s="95">
        <v>43413</v>
      </c>
      <c r="E56" s="96">
        <v>43431</v>
      </c>
      <c r="F56" s="95">
        <v>43429</v>
      </c>
      <c r="G56" s="95">
        <v>43435</v>
      </c>
      <c r="H56" s="92">
        <v>2</v>
      </c>
    </row>
    <row r="57" spans="1:8">
      <c r="A57" s="93" t="s">
        <v>996</v>
      </c>
      <c r="B57" s="94" t="s">
        <v>1008</v>
      </c>
      <c r="C57" s="95" t="s">
        <v>1042</v>
      </c>
      <c r="D57" s="95">
        <v>43434</v>
      </c>
      <c r="E57" s="96">
        <v>43438</v>
      </c>
      <c r="F57" s="95">
        <v>43429</v>
      </c>
      <c r="G57" s="95">
        <v>43435</v>
      </c>
      <c r="H57" s="92">
        <v>1</v>
      </c>
    </row>
    <row r="58" spans="1:8">
      <c r="A58" s="93" t="s">
        <v>996</v>
      </c>
      <c r="B58" s="94" t="s">
        <v>1008</v>
      </c>
      <c r="C58" s="95" t="s">
        <v>1042</v>
      </c>
      <c r="D58" s="95">
        <v>43434</v>
      </c>
      <c r="E58" s="96">
        <v>43438</v>
      </c>
      <c r="F58" s="95">
        <v>43436</v>
      </c>
      <c r="G58" s="95">
        <v>43442</v>
      </c>
      <c r="H58" s="92">
        <v>2</v>
      </c>
    </row>
    <row r="59" spans="1:8">
      <c r="A59" s="93" t="s">
        <v>1009</v>
      </c>
      <c r="B59" s="94" t="s">
        <v>1010</v>
      </c>
      <c r="C59" s="95" t="s">
        <v>1042</v>
      </c>
      <c r="D59" s="95">
        <v>43434</v>
      </c>
      <c r="E59" s="96">
        <v>43438</v>
      </c>
      <c r="F59" s="95">
        <v>43429</v>
      </c>
      <c r="G59" s="95">
        <v>43435</v>
      </c>
      <c r="H59" s="92">
        <v>1</v>
      </c>
    </row>
    <row r="60" spans="1:8">
      <c r="A60" s="93" t="s">
        <v>1009</v>
      </c>
      <c r="B60" s="94" t="s">
        <v>1010</v>
      </c>
      <c r="C60" s="95" t="s">
        <v>1042</v>
      </c>
      <c r="D60" s="95">
        <v>43434</v>
      </c>
      <c r="E60" s="96">
        <v>43438</v>
      </c>
      <c r="F60" s="95">
        <v>43436</v>
      </c>
      <c r="G60" s="95">
        <v>43442</v>
      </c>
      <c r="H60" s="92">
        <v>2</v>
      </c>
    </row>
    <row r="61" spans="1:8">
      <c r="A61" s="93" t="s">
        <v>1011</v>
      </c>
      <c r="B61" s="94" t="s">
        <v>1012</v>
      </c>
      <c r="C61" s="95" t="s">
        <v>1043</v>
      </c>
      <c r="D61" s="95">
        <v>43434</v>
      </c>
      <c r="E61" s="96">
        <v>43438</v>
      </c>
      <c r="F61" s="95">
        <v>43429</v>
      </c>
      <c r="G61" s="95">
        <v>43435</v>
      </c>
      <c r="H61" s="92">
        <v>1</v>
      </c>
    </row>
    <row r="62" spans="1:8">
      <c r="A62" s="93" t="s">
        <v>1011</v>
      </c>
      <c r="B62" s="94" t="s">
        <v>1012</v>
      </c>
      <c r="C62" s="95" t="s">
        <v>1043</v>
      </c>
      <c r="D62" s="95">
        <v>43434</v>
      </c>
      <c r="E62" s="96">
        <v>43438</v>
      </c>
      <c r="F62" s="95">
        <v>43436</v>
      </c>
      <c r="G62" s="95">
        <v>43442</v>
      </c>
      <c r="H62" s="92">
        <v>2</v>
      </c>
    </row>
    <row r="63" spans="1:8">
      <c r="A63" s="93" t="s">
        <v>1013</v>
      </c>
      <c r="B63" s="94" t="s">
        <v>1014</v>
      </c>
      <c r="C63" s="95" t="s">
        <v>1044</v>
      </c>
      <c r="D63" s="95">
        <v>43441</v>
      </c>
      <c r="E63" s="96">
        <v>43445</v>
      </c>
      <c r="F63" s="95">
        <v>43436</v>
      </c>
      <c r="G63" s="95">
        <v>43442</v>
      </c>
      <c r="H63" s="92">
        <v>1</v>
      </c>
    </row>
    <row r="64" spans="1:8">
      <c r="A64" s="93" t="s">
        <v>1013</v>
      </c>
      <c r="B64" s="94" t="s">
        <v>1014</v>
      </c>
      <c r="C64" s="95" t="s">
        <v>1044</v>
      </c>
      <c r="D64" s="95">
        <v>43441</v>
      </c>
      <c r="E64" s="96">
        <v>43445</v>
      </c>
      <c r="F64" s="95">
        <v>43443</v>
      </c>
      <c r="G64" s="95">
        <v>43449</v>
      </c>
      <c r="H64" s="92">
        <v>2</v>
      </c>
    </row>
    <row r="65" spans="1:8">
      <c r="A65" s="93" t="s">
        <v>1015</v>
      </c>
      <c r="B65" s="94" t="s">
        <v>1016</v>
      </c>
      <c r="C65" s="95" t="s">
        <v>1044</v>
      </c>
      <c r="D65" s="95">
        <v>43441</v>
      </c>
      <c r="E65" s="96">
        <v>43452</v>
      </c>
      <c r="F65" s="95">
        <v>43436</v>
      </c>
      <c r="G65" s="95">
        <v>43442</v>
      </c>
      <c r="H65" s="92">
        <v>1</v>
      </c>
    </row>
    <row r="66" spans="1:8">
      <c r="A66" s="93" t="s">
        <v>1015</v>
      </c>
      <c r="B66" s="94" t="s">
        <v>1016</v>
      </c>
      <c r="C66" s="95" t="s">
        <v>1044</v>
      </c>
      <c r="D66" s="95">
        <v>43441</v>
      </c>
      <c r="E66" s="96">
        <v>43452</v>
      </c>
      <c r="F66" s="95">
        <v>43443</v>
      </c>
      <c r="G66" s="95">
        <v>43449</v>
      </c>
      <c r="H66" s="92">
        <v>5</v>
      </c>
    </row>
    <row r="67" spans="1:8">
      <c r="A67" s="93" t="s">
        <v>1015</v>
      </c>
      <c r="B67" s="94" t="s">
        <v>1016</v>
      </c>
      <c r="C67" s="95" t="s">
        <v>1044</v>
      </c>
      <c r="D67" s="95">
        <v>43441</v>
      </c>
      <c r="E67" s="96">
        <v>43452</v>
      </c>
      <c r="F67" s="95">
        <v>43450</v>
      </c>
      <c r="G67" s="95">
        <v>43456</v>
      </c>
      <c r="H67" s="92">
        <v>2</v>
      </c>
    </row>
    <row r="68" spans="1:8">
      <c r="A68" s="93" t="s">
        <v>1017</v>
      </c>
      <c r="B68" s="94" t="s">
        <v>1018</v>
      </c>
      <c r="C68" s="95" t="s">
        <v>1043</v>
      </c>
      <c r="D68" s="95">
        <v>43434</v>
      </c>
      <c r="E68" s="96">
        <v>43493</v>
      </c>
      <c r="F68" s="95">
        <v>43429</v>
      </c>
      <c r="G68" s="95">
        <v>43435</v>
      </c>
      <c r="H68" s="92">
        <v>0.5</v>
      </c>
    </row>
    <row r="69" spans="1:8">
      <c r="A69" s="93" t="s">
        <v>1017</v>
      </c>
      <c r="B69" s="94" t="s">
        <v>1018</v>
      </c>
      <c r="C69" s="95" t="s">
        <v>1044</v>
      </c>
      <c r="D69" s="95">
        <v>43434</v>
      </c>
      <c r="E69" s="96">
        <v>43493</v>
      </c>
      <c r="F69" s="95">
        <v>43429</v>
      </c>
      <c r="G69" s="95">
        <v>43435</v>
      </c>
      <c r="H69" s="92">
        <v>0.5</v>
      </c>
    </row>
    <row r="70" spans="1:8">
      <c r="A70" s="93" t="s">
        <v>1017</v>
      </c>
      <c r="B70" s="94" t="s">
        <v>1018</v>
      </c>
      <c r="C70" s="95" t="s">
        <v>1043</v>
      </c>
      <c r="D70" s="95">
        <v>43434</v>
      </c>
      <c r="E70" s="96">
        <v>43493</v>
      </c>
      <c r="F70" s="95">
        <v>43436</v>
      </c>
      <c r="G70" s="95">
        <v>43442</v>
      </c>
      <c r="H70" s="92">
        <v>2.5</v>
      </c>
    </row>
    <row r="71" spans="1:8">
      <c r="A71" s="93" t="s">
        <v>1017</v>
      </c>
      <c r="B71" s="94" t="s">
        <v>1018</v>
      </c>
      <c r="C71" s="95" t="s">
        <v>1044</v>
      </c>
      <c r="D71" s="95">
        <v>43434</v>
      </c>
      <c r="E71" s="96">
        <v>43493</v>
      </c>
      <c r="F71" s="95">
        <v>43436</v>
      </c>
      <c r="G71" s="95">
        <v>43442</v>
      </c>
      <c r="H71" s="92">
        <v>2.5</v>
      </c>
    </row>
    <row r="72" spans="1:8">
      <c r="A72" s="93" t="s">
        <v>1017</v>
      </c>
      <c r="B72" s="94" t="s">
        <v>1018</v>
      </c>
      <c r="C72" s="95" t="s">
        <v>1043</v>
      </c>
      <c r="D72" s="95">
        <v>43434</v>
      </c>
      <c r="E72" s="96">
        <v>43493</v>
      </c>
      <c r="F72" s="95">
        <v>43443</v>
      </c>
      <c r="G72" s="95">
        <v>43449</v>
      </c>
      <c r="H72" s="92">
        <v>2.5</v>
      </c>
    </row>
    <row r="73" spans="1:8">
      <c r="A73" s="93" t="s">
        <v>1017</v>
      </c>
      <c r="B73" s="94" t="s">
        <v>1018</v>
      </c>
      <c r="C73" s="95" t="s">
        <v>1044</v>
      </c>
      <c r="D73" s="95">
        <v>43434</v>
      </c>
      <c r="E73" s="96">
        <v>43493</v>
      </c>
      <c r="F73" s="95">
        <v>43443</v>
      </c>
      <c r="G73" s="95">
        <v>43449</v>
      </c>
      <c r="H73" s="92">
        <v>2.5</v>
      </c>
    </row>
    <row r="74" spans="1:8">
      <c r="A74" s="93" t="s">
        <v>1017</v>
      </c>
      <c r="B74" s="94" t="s">
        <v>1018</v>
      </c>
      <c r="C74" s="95" t="s">
        <v>1043</v>
      </c>
      <c r="D74" s="95">
        <v>43434</v>
      </c>
      <c r="E74" s="96">
        <v>43493</v>
      </c>
      <c r="F74" s="95">
        <v>43450</v>
      </c>
      <c r="G74" s="95">
        <v>43456</v>
      </c>
      <c r="H74" s="92">
        <v>2.5</v>
      </c>
    </row>
    <row r="75" spans="1:8">
      <c r="A75" s="93" t="s">
        <v>1017</v>
      </c>
      <c r="B75" s="94" t="s">
        <v>1018</v>
      </c>
      <c r="C75" s="95" t="s">
        <v>1044</v>
      </c>
      <c r="D75" s="95">
        <v>43434</v>
      </c>
      <c r="E75" s="96">
        <v>43493</v>
      </c>
      <c r="F75" s="95">
        <v>43450</v>
      </c>
      <c r="G75" s="95">
        <v>43456</v>
      </c>
      <c r="H75" s="92">
        <v>2.5</v>
      </c>
    </row>
    <row r="76" spans="1:8">
      <c r="A76" s="93" t="s">
        <v>1017</v>
      </c>
      <c r="B76" s="94" t="s">
        <v>1018</v>
      </c>
      <c r="C76" s="95" t="s">
        <v>1043</v>
      </c>
      <c r="D76" s="95">
        <v>43434</v>
      </c>
      <c r="E76" s="96">
        <v>43493</v>
      </c>
      <c r="F76" s="95">
        <v>43457</v>
      </c>
      <c r="G76" s="95">
        <v>43463</v>
      </c>
      <c r="H76" s="92">
        <v>2</v>
      </c>
    </row>
    <row r="77" spans="1:8">
      <c r="A77" s="93" t="s">
        <v>1017</v>
      </c>
      <c r="B77" s="94" t="s">
        <v>1018</v>
      </c>
      <c r="C77" s="95" t="s">
        <v>1044</v>
      </c>
      <c r="D77" s="95">
        <v>43434</v>
      </c>
      <c r="E77" s="96">
        <v>43493</v>
      </c>
      <c r="F77" s="95">
        <v>43457</v>
      </c>
      <c r="G77" s="95">
        <v>43463</v>
      </c>
      <c r="H77" s="92">
        <v>2</v>
      </c>
    </row>
    <row r="78" spans="1:8">
      <c r="A78" s="93" t="s">
        <v>1017</v>
      </c>
      <c r="B78" s="94" t="s">
        <v>1018</v>
      </c>
      <c r="C78" s="95" t="s">
        <v>1043</v>
      </c>
      <c r="D78" s="95">
        <v>43434</v>
      </c>
      <c r="E78" s="96">
        <v>43493</v>
      </c>
      <c r="F78" s="95">
        <v>43464</v>
      </c>
      <c r="G78" s="95">
        <v>43470</v>
      </c>
      <c r="H78" s="92">
        <v>2</v>
      </c>
    </row>
    <row r="79" spans="1:8">
      <c r="A79" s="93" t="s">
        <v>1017</v>
      </c>
      <c r="B79" s="94" t="s">
        <v>1018</v>
      </c>
      <c r="C79" s="95" t="s">
        <v>1044</v>
      </c>
      <c r="D79" s="95">
        <v>43434</v>
      </c>
      <c r="E79" s="96">
        <v>43493</v>
      </c>
      <c r="F79" s="95">
        <v>43464</v>
      </c>
      <c r="G79" s="95">
        <v>43470</v>
      </c>
      <c r="H79" s="92">
        <v>2</v>
      </c>
    </row>
    <row r="80" spans="1:8">
      <c r="A80" s="93" t="s">
        <v>1017</v>
      </c>
      <c r="B80" s="94" t="s">
        <v>1018</v>
      </c>
      <c r="C80" s="95" t="s">
        <v>1043</v>
      </c>
      <c r="D80" s="95">
        <v>43434</v>
      </c>
      <c r="E80" s="96">
        <v>43493</v>
      </c>
      <c r="F80" s="95">
        <v>43471</v>
      </c>
      <c r="G80" s="95">
        <v>43477</v>
      </c>
      <c r="H80" s="92">
        <v>2.5</v>
      </c>
    </row>
    <row r="81" spans="1:8">
      <c r="A81" s="93" t="s">
        <v>1017</v>
      </c>
      <c r="B81" s="94" t="s">
        <v>1018</v>
      </c>
      <c r="C81" s="95" t="s">
        <v>1044</v>
      </c>
      <c r="D81" s="95">
        <v>43434</v>
      </c>
      <c r="E81" s="96">
        <v>43493</v>
      </c>
      <c r="F81" s="95">
        <v>43471</v>
      </c>
      <c r="G81" s="95">
        <v>43477</v>
      </c>
      <c r="H81" s="92">
        <v>2.5</v>
      </c>
    </row>
    <row r="82" spans="1:8">
      <c r="A82" s="93" t="s">
        <v>1017</v>
      </c>
      <c r="B82" s="94" t="s">
        <v>1018</v>
      </c>
      <c r="C82" s="95" t="s">
        <v>1043</v>
      </c>
      <c r="D82" s="95">
        <v>43434</v>
      </c>
      <c r="E82" s="96">
        <v>43493</v>
      </c>
      <c r="F82" s="95">
        <v>43478</v>
      </c>
      <c r="G82" s="95">
        <v>43484</v>
      </c>
      <c r="H82" s="92">
        <v>2.5</v>
      </c>
    </row>
    <row r="83" spans="1:8">
      <c r="A83" s="93" t="s">
        <v>1017</v>
      </c>
      <c r="B83" s="94" t="s">
        <v>1018</v>
      </c>
      <c r="C83" s="95" t="s">
        <v>1044</v>
      </c>
      <c r="D83" s="95">
        <v>43434</v>
      </c>
      <c r="E83" s="96">
        <v>43493</v>
      </c>
      <c r="F83" s="95">
        <v>43478</v>
      </c>
      <c r="G83" s="95">
        <v>43484</v>
      </c>
      <c r="H83" s="92">
        <v>2.5</v>
      </c>
    </row>
    <row r="84" spans="1:8">
      <c r="A84" s="93" t="s">
        <v>1017</v>
      </c>
      <c r="B84" s="94" t="s">
        <v>1018</v>
      </c>
      <c r="C84" s="95" t="s">
        <v>1043</v>
      </c>
      <c r="D84" s="95">
        <v>43434</v>
      </c>
      <c r="E84" s="96">
        <v>43493</v>
      </c>
      <c r="F84" s="95">
        <v>43485</v>
      </c>
      <c r="G84" s="95">
        <v>43491</v>
      </c>
      <c r="H84" s="92">
        <v>2.5</v>
      </c>
    </row>
    <row r="85" spans="1:8">
      <c r="A85" s="93" t="s">
        <v>1017</v>
      </c>
      <c r="B85" s="94" t="s">
        <v>1018</v>
      </c>
      <c r="C85" s="95" t="s">
        <v>1044</v>
      </c>
      <c r="D85" s="95">
        <v>43434</v>
      </c>
      <c r="E85" s="96">
        <v>43493</v>
      </c>
      <c r="F85" s="95">
        <v>43485</v>
      </c>
      <c r="G85" s="95">
        <v>43491</v>
      </c>
      <c r="H85" s="92">
        <v>2.5</v>
      </c>
    </row>
    <row r="86" spans="1:8">
      <c r="A86" s="93" t="s">
        <v>1017</v>
      </c>
      <c r="B86" s="94" t="s">
        <v>1018</v>
      </c>
      <c r="C86" s="95" t="s">
        <v>1043</v>
      </c>
      <c r="D86" s="95">
        <v>43434</v>
      </c>
      <c r="E86" s="96">
        <v>43493</v>
      </c>
      <c r="F86" s="95">
        <v>43492</v>
      </c>
      <c r="G86" s="95">
        <v>43498</v>
      </c>
      <c r="H86" s="92">
        <v>0.5</v>
      </c>
    </row>
    <row r="87" spans="1:8">
      <c r="A87" s="93" t="s">
        <v>1017</v>
      </c>
      <c r="B87" s="94" t="s">
        <v>1018</v>
      </c>
      <c r="C87" s="95" t="s">
        <v>1044</v>
      </c>
      <c r="D87" s="95">
        <v>43434</v>
      </c>
      <c r="E87" s="96">
        <v>43493</v>
      </c>
      <c r="F87" s="95">
        <v>43492</v>
      </c>
      <c r="G87" s="95">
        <v>43498</v>
      </c>
      <c r="H87" s="92">
        <v>0.5</v>
      </c>
    </row>
    <row r="88" spans="1:8">
      <c r="A88" s="93" t="s">
        <v>1019</v>
      </c>
      <c r="B88" s="94" t="s">
        <v>1020</v>
      </c>
      <c r="C88" s="95" t="s">
        <v>1043</v>
      </c>
      <c r="D88" s="95">
        <v>43434</v>
      </c>
      <c r="E88" s="96">
        <v>43493</v>
      </c>
      <c r="F88" s="95">
        <v>43429</v>
      </c>
      <c r="G88" s="95">
        <v>43435</v>
      </c>
      <c r="H88" s="92">
        <v>1</v>
      </c>
    </row>
    <row r="89" spans="1:8">
      <c r="A89" s="93" t="s">
        <v>1019</v>
      </c>
      <c r="B89" s="94" t="s">
        <v>1020</v>
      </c>
      <c r="C89" s="95" t="s">
        <v>1043</v>
      </c>
      <c r="D89" s="95">
        <v>43434</v>
      </c>
      <c r="E89" s="96">
        <v>43493</v>
      </c>
      <c r="F89" s="95">
        <v>43436</v>
      </c>
      <c r="G89" s="95">
        <v>43442</v>
      </c>
      <c r="H89" s="92">
        <v>5</v>
      </c>
    </row>
    <row r="90" spans="1:8">
      <c r="A90" s="93" t="s">
        <v>1019</v>
      </c>
      <c r="B90" s="94" t="s">
        <v>1020</v>
      </c>
      <c r="C90" s="95" t="s">
        <v>1043</v>
      </c>
      <c r="D90" s="95">
        <v>43434</v>
      </c>
      <c r="E90" s="96">
        <v>43493</v>
      </c>
      <c r="F90" s="95">
        <v>43443</v>
      </c>
      <c r="G90" s="95">
        <v>43449</v>
      </c>
      <c r="H90" s="92">
        <v>5</v>
      </c>
    </row>
    <row r="91" spans="1:8">
      <c r="A91" s="93" t="s">
        <v>1019</v>
      </c>
      <c r="B91" s="94" t="s">
        <v>1020</v>
      </c>
      <c r="C91" s="95" t="s">
        <v>1043</v>
      </c>
      <c r="D91" s="95">
        <v>43434</v>
      </c>
      <c r="E91" s="96">
        <v>43493</v>
      </c>
      <c r="F91" s="95">
        <v>43450</v>
      </c>
      <c r="G91" s="95">
        <v>43456</v>
      </c>
      <c r="H91" s="92">
        <v>5</v>
      </c>
    </row>
    <row r="92" spans="1:8">
      <c r="A92" s="93" t="s">
        <v>1019</v>
      </c>
      <c r="B92" s="94" t="s">
        <v>1020</v>
      </c>
      <c r="C92" s="95" t="s">
        <v>1043</v>
      </c>
      <c r="D92" s="95">
        <v>43434</v>
      </c>
      <c r="E92" s="96">
        <v>43493</v>
      </c>
      <c r="F92" s="95">
        <v>43457</v>
      </c>
      <c r="G92" s="95">
        <v>43463</v>
      </c>
      <c r="H92" s="92">
        <v>4</v>
      </c>
    </row>
    <row r="93" spans="1:8">
      <c r="A93" s="93" t="s">
        <v>1019</v>
      </c>
      <c r="B93" s="94" t="s">
        <v>1020</v>
      </c>
      <c r="C93" s="95" t="s">
        <v>1043</v>
      </c>
      <c r="D93" s="95">
        <v>43434</v>
      </c>
      <c r="E93" s="96">
        <v>43493</v>
      </c>
      <c r="F93" s="95">
        <v>43464</v>
      </c>
      <c r="G93" s="95">
        <v>43470</v>
      </c>
      <c r="H93" s="92">
        <v>4</v>
      </c>
    </row>
    <row r="94" spans="1:8">
      <c r="A94" s="93" t="s">
        <v>1019</v>
      </c>
      <c r="B94" s="94" t="s">
        <v>1020</v>
      </c>
      <c r="C94" s="95" t="s">
        <v>1043</v>
      </c>
      <c r="D94" s="95">
        <v>43434</v>
      </c>
      <c r="E94" s="96">
        <v>43493</v>
      </c>
      <c r="F94" s="95">
        <v>43471</v>
      </c>
      <c r="G94" s="95">
        <v>43477</v>
      </c>
      <c r="H94" s="92">
        <v>5</v>
      </c>
    </row>
    <row r="95" spans="1:8">
      <c r="A95" s="93" t="s">
        <v>1019</v>
      </c>
      <c r="B95" s="94" t="s">
        <v>1020</v>
      </c>
      <c r="C95" s="95" t="s">
        <v>1043</v>
      </c>
      <c r="D95" s="95">
        <v>43434</v>
      </c>
      <c r="E95" s="96">
        <v>43493</v>
      </c>
      <c r="F95" s="95">
        <v>43478</v>
      </c>
      <c r="G95" s="95">
        <v>43484</v>
      </c>
      <c r="H95" s="92">
        <v>5</v>
      </c>
    </row>
    <row r="96" spans="1:8">
      <c r="A96" s="93" t="s">
        <v>1019</v>
      </c>
      <c r="B96" s="94" t="s">
        <v>1020</v>
      </c>
      <c r="C96" s="95" t="s">
        <v>1043</v>
      </c>
      <c r="D96" s="95">
        <v>43434</v>
      </c>
      <c r="E96" s="96">
        <v>43493</v>
      </c>
      <c r="F96" s="95">
        <v>43485</v>
      </c>
      <c r="G96" s="95">
        <v>43491</v>
      </c>
      <c r="H96" s="92">
        <v>5</v>
      </c>
    </row>
    <row r="97" spans="1:8">
      <c r="A97" s="93" t="s">
        <v>1019</v>
      </c>
      <c r="B97" s="94" t="s">
        <v>1020</v>
      </c>
      <c r="C97" s="95" t="s">
        <v>1043</v>
      </c>
      <c r="D97" s="95">
        <v>43434</v>
      </c>
      <c r="E97" s="96">
        <v>43493</v>
      </c>
      <c r="F97" s="95">
        <v>43492</v>
      </c>
      <c r="G97" s="95">
        <v>43498</v>
      </c>
      <c r="H97" s="92">
        <v>1</v>
      </c>
    </row>
    <row r="98" spans="1:8">
      <c r="A98" s="93" t="s">
        <v>1021</v>
      </c>
      <c r="B98" s="94" t="s">
        <v>1022</v>
      </c>
      <c r="C98" s="95" t="s">
        <v>1044</v>
      </c>
      <c r="D98" s="95">
        <v>43448</v>
      </c>
      <c r="E98" s="96">
        <v>43493</v>
      </c>
      <c r="F98" s="95">
        <v>43443</v>
      </c>
      <c r="G98" s="95">
        <v>43449</v>
      </c>
      <c r="H98" s="92">
        <v>1</v>
      </c>
    </row>
    <row r="99" spans="1:8">
      <c r="A99" s="93" t="s">
        <v>1021</v>
      </c>
      <c r="B99" s="94" t="s">
        <v>1022</v>
      </c>
      <c r="C99" s="95" t="s">
        <v>1044</v>
      </c>
      <c r="D99" s="95">
        <v>43448</v>
      </c>
      <c r="E99" s="96">
        <v>43493</v>
      </c>
      <c r="F99" s="95">
        <v>43450</v>
      </c>
      <c r="G99" s="95">
        <v>43456</v>
      </c>
      <c r="H99" s="92">
        <v>5</v>
      </c>
    </row>
    <row r="100" spans="1:8">
      <c r="A100" s="93" t="s">
        <v>1021</v>
      </c>
      <c r="B100" s="94" t="s">
        <v>1022</v>
      </c>
      <c r="C100" s="95" t="s">
        <v>1044</v>
      </c>
      <c r="D100" s="95">
        <v>43448</v>
      </c>
      <c r="E100" s="96">
        <v>43493</v>
      </c>
      <c r="F100" s="95">
        <v>43457</v>
      </c>
      <c r="G100" s="95">
        <v>43463</v>
      </c>
      <c r="H100" s="92">
        <v>4</v>
      </c>
    </row>
    <row r="101" spans="1:8">
      <c r="A101" s="93" t="s">
        <v>1021</v>
      </c>
      <c r="B101" s="94" t="s">
        <v>1022</v>
      </c>
      <c r="C101" s="95" t="s">
        <v>1044</v>
      </c>
      <c r="D101" s="95">
        <v>43448</v>
      </c>
      <c r="E101" s="96">
        <v>43493</v>
      </c>
      <c r="F101" s="95">
        <v>43464</v>
      </c>
      <c r="G101" s="95">
        <v>43470</v>
      </c>
      <c r="H101" s="92">
        <v>4</v>
      </c>
    </row>
    <row r="102" spans="1:8">
      <c r="A102" s="93" t="s">
        <v>1021</v>
      </c>
      <c r="B102" s="94" t="s">
        <v>1022</v>
      </c>
      <c r="C102" s="95" t="s">
        <v>1044</v>
      </c>
      <c r="D102" s="95">
        <v>43448</v>
      </c>
      <c r="E102" s="96">
        <v>43493</v>
      </c>
      <c r="F102" s="95">
        <v>43471</v>
      </c>
      <c r="G102" s="95">
        <v>43477</v>
      </c>
      <c r="H102" s="92">
        <v>5</v>
      </c>
    </row>
    <row r="103" spans="1:8">
      <c r="A103" s="93" t="s">
        <v>1021</v>
      </c>
      <c r="B103" s="94" t="s">
        <v>1022</v>
      </c>
      <c r="C103" s="95" t="s">
        <v>1044</v>
      </c>
      <c r="D103" s="95">
        <v>43448</v>
      </c>
      <c r="E103" s="96">
        <v>43493</v>
      </c>
      <c r="F103" s="95">
        <v>43478</v>
      </c>
      <c r="G103" s="95">
        <v>43484</v>
      </c>
      <c r="H103" s="92">
        <v>5</v>
      </c>
    </row>
    <row r="104" spans="1:8">
      <c r="A104" s="93" t="s">
        <v>1021</v>
      </c>
      <c r="B104" s="94" t="s">
        <v>1022</v>
      </c>
      <c r="C104" s="95" t="s">
        <v>1044</v>
      </c>
      <c r="D104" s="95">
        <v>43448</v>
      </c>
      <c r="E104" s="96">
        <v>43493</v>
      </c>
      <c r="F104" s="95">
        <v>43485</v>
      </c>
      <c r="G104" s="95">
        <v>43491</v>
      </c>
      <c r="H104" s="92">
        <v>5</v>
      </c>
    </row>
    <row r="105" spans="1:8">
      <c r="A105" s="93" t="s">
        <v>1021</v>
      </c>
      <c r="B105" s="94" t="s">
        <v>1022</v>
      </c>
      <c r="C105" s="95" t="s">
        <v>1044</v>
      </c>
      <c r="D105" s="95">
        <v>43448</v>
      </c>
      <c r="E105" s="96">
        <v>43493</v>
      </c>
      <c r="F105" s="95">
        <v>43492</v>
      </c>
      <c r="G105" s="95">
        <v>43498</v>
      </c>
      <c r="H105" s="92">
        <v>1</v>
      </c>
    </row>
    <row r="106" spans="1:8">
      <c r="A106" s="93" t="s">
        <v>1023</v>
      </c>
      <c r="B106" s="94" t="s">
        <v>1024</v>
      </c>
      <c r="C106" s="95" t="s">
        <v>1042</v>
      </c>
      <c r="D106" s="95">
        <v>43476</v>
      </c>
      <c r="E106" s="96">
        <v>43494</v>
      </c>
      <c r="F106" s="95">
        <v>43471</v>
      </c>
      <c r="G106" s="95">
        <v>43477</v>
      </c>
      <c r="H106" s="92">
        <v>1</v>
      </c>
    </row>
    <row r="107" spans="1:8">
      <c r="A107" s="93" t="s">
        <v>1023</v>
      </c>
      <c r="B107" s="94" t="s">
        <v>1024</v>
      </c>
      <c r="C107" s="95" t="s">
        <v>1042</v>
      </c>
      <c r="D107" s="95">
        <v>43476</v>
      </c>
      <c r="E107" s="96">
        <v>43494</v>
      </c>
      <c r="F107" s="95">
        <v>43478</v>
      </c>
      <c r="G107" s="95">
        <v>43484</v>
      </c>
      <c r="H107" s="92">
        <v>5</v>
      </c>
    </row>
    <row r="108" spans="1:8">
      <c r="A108" s="93" t="s">
        <v>1023</v>
      </c>
      <c r="B108" s="94" t="s">
        <v>1024</v>
      </c>
      <c r="C108" s="95" t="s">
        <v>1042</v>
      </c>
      <c r="D108" s="95">
        <v>43476</v>
      </c>
      <c r="E108" s="96">
        <v>43494</v>
      </c>
      <c r="F108" s="95">
        <v>43485</v>
      </c>
      <c r="G108" s="95">
        <v>43491</v>
      </c>
      <c r="H108" s="92">
        <v>5</v>
      </c>
    </row>
    <row r="109" spans="1:8">
      <c r="A109" s="93" t="s">
        <v>1023</v>
      </c>
      <c r="B109" s="94" t="s">
        <v>1024</v>
      </c>
      <c r="C109" s="95" t="s">
        <v>1042</v>
      </c>
      <c r="D109" s="95">
        <v>43476</v>
      </c>
      <c r="E109" s="96">
        <v>43494</v>
      </c>
      <c r="F109" s="95">
        <v>43492</v>
      </c>
      <c r="G109" s="95">
        <v>43498</v>
      </c>
      <c r="H109" s="92">
        <v>2</v>
      </c>
    </row>
    <row r="110" spans="1:8">
      <c r="A110" s="93" t="s">
        <v>1025</v>
      </c>
      <c r="B110" s="94" t="s">
        <v>1026</v>
      </c>
      <c r="C110" s="95" t="s">
        <v>1042</v>
      </c>
      <c r="D110" s="95">
        <v>43497</v>
      </c>
      <c r="E110" s="96">
        <v>43501</v>
      </c>
      <c r="F110" s="95">
        <v>43492</v>
      </c>
      <c r="G110" s="95">
        <v>43498</v>
      </c>
      <c r="H110" s="92">
        <v>1</v>
      </c>
    </row>
    <row r="111" spans="1:8">
      <c r="A111" s="93" t="s">
        <v>1025</v>
      </c>
      <c r="B111" s="94" t="s">
        <v>1026</v>
      </c>
      <c r="C111" s="95" t="s">
        <v>1042</v>
      </c>
      <c r="D111" s="95">
        <v>43497</v>
      </c>
      <c r="E111" s="96">
        <v>43501</v>
      </c>
      <c r="F111" s="95">
        <v>43499</v>
      </c>
      <c r="G111" s="95">
        <v>43505</v>
      </c>
      <c r="H111" s="92">
        <v>0</v>
      </c>
    </row>
    <row r="112" spans="1:8">
      <c r="A112" s="93" t="s">
        <v>1028</v>
      </c>
      <c r="B112" s="94" t="s">
        <v>1029</v>
      </c>
      <c r="C112" s="95" t="s">
        <v>1042</v>
      </c>
      <c r="D112" s="95">
        <v>43497</v>
      </c>
      <c r="E112" s="96">
        <v>43499</v>
      </c>
      <c r="F112" s="95">
        <v>43492</v>
      </c>
      <c r="G112" s="95">
        <v>43498</v>
      </c>
      <c r="H112" s="92">
        <v>1</v>
      </c>
    </row>
    <row r="113" spans="1:8">
      <c r="A113" s="93" t="s">
        <v>1028</v>
      </c>
      <c r="B113" s="94" t="s">
        <v>1029</v>
      </c>
      <c r="C113" s="95" t="s">
        <v>1042</v>
      </c>
      <c r="D113" s="95">
        <v>43497</v>
      </c>
      <c r="E113" s="96">
        <v>43499</v>
      </c>
      <c r="F113" s="95">
        <v>43499</v>
      </c>
      <c r="G113" s="95">
        <v>43505</v>
      </c>
      <c r="H113" s="92">
        <v>0</v>
      </c>
    </row>
    <row r="114" spans="1:8">
      <c r="A114" s="93" t="s">
        <v>1030</v>
      </c>
      <c r="B114" s="94" t="s">
        <v>1031</v>
      </c>
      <c r="C114" s="95" t="s">
        <v>1042</v>
      </c>
      <c r="D114" s="95">
        <v>43501</v>
      </c>
      <c r="E114" s="96">
        <v>43503</v>
      </c>
      <c r="F114" s="95">
        <v>43499</v>
      </c>
      <c r="G114" s="95">
        <v>43505</v>
      </c>
      <c r="H114" s="92">
        <v>0.5</v>
      </c>
    </row>
    <row r="115" spans="1:8">
      <c r="A115" s="93" t="s">
        <v>1030</v>
      </c>
      <c r="B115" s="94" t="s">
        <v>1031</v>
      </c>
      <c r="C115" s="95" t="s">
        <v>1041</v>
      </c>
      <c r="D115" s="95">
        <v>43501</v>
      </c>
      <c r="E115" s="96">
        <v>43503</v>
      </c>
      <c r="F115" s="95">
        <v>43499</v>
      </c>
      <c r="G115" s="95">
        <v>43505</v>
      </c>
      <c r="H115" s="92">
        <v>0.5</v>
      </c>
    </row>
    <row r="116" spans="1:8">
      <c r="A116" s="93" t="s">
        <v>1032</v>
      </c>
      <c r="B116" s="94" t="s">
        <v>1033</v>
      </c>
      <c r="C116" s="95" t="s">
        <v>1042</v>
      </c>
      <c r="D116" s="95">
        <v>43501</v>
      </c>
      <c r="E116" s="96">
        <v>43503</v>
      </c>
      <c r="F116" s="95">
        <v>43499</v>
      </c>
      <c r="G116" s="95">
        <v>43505</v>
      </c>
      <c r="H116" s="92">
        <v>0.5</v>
      </c>
    </row>
    <row r="117" spans="1:8">
      <c r="A117" s="93" t="s">
        <v>1032</v>
      </c>
      <c r="B117" s="94" t="s">
        <v>1033</v>
      </c>
      <c r="C117" s="95" t="s">
        <v>1043</v>
      </c>
      <c r="D117" s="95">
        <v>43501</v>
      </c>
      <c r="E117" s="96">
        <v>43503</v>
      </c>
      <c r="F117" s="95">
        <v>43499</v>
      </c>
      <c r="G117" s="95">
        <v>43505</v>
      </c>
      <c r="H117" s="92">
        <v>0.5</v>
      </c>
    </row>
    <row r="118" spans="1:8">
      <c r="A118" s="93" t="s">
        <v>1034</v>
      </c>
      <c r="B118" s="94" t="s">
        <v>1035</v>
      </c>
      <c r="C118" s="95" t="s">
        <v>1042</v>
      </c>
      <c r="D118" s="95">
        <v>43501</v>
      </c>
      <c r="E118" s="96">
        <v>43503</v>
      </c>
      <c r="F118" s="95">
        <v>43499</v>
      </c>
      <c r="G118" s="95">
        <v>43505</v>
      </c>
      <c r="H118" s="92">
        <v>0.5</v>
      </c>
    </row>
    <row r="119" spans="1:8">
      <c r="A119" s="93" t="s">
        <v>1034</v>
      </c>
      <c r="B119" s="94" t="s">
        <v>1035</v>
      </c>
      <c r="C119" s="95" t="s">
        <v>1043</v>
      </c>
      <c r="D119" s="95">
        <v>43501</v>
      </c>
      <c r="E119" s="96">
        <v>43503</v>
      </c>
      <c r="F119" s="95">
        <v>43499</v>
      </c>
      <c r="G119" s="95">
        <v>43505</v>
      </c>
      <c r="H119" s="92">
        <v>0.5</v>
      </c>
    </row>
    <row r="120" spans="1:8">
      <c r="A120" s="93" t="s">
        <v>1036</v>
      </c>
      <c r="B120" s="94" t="s">
        <v>1037</v>
      </c>
      <c r="C120" s="95" t="s">
        <v>1042</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13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35" width="1.8984375" style="114" customWidth="1"/>
    <col min="36" max="16384" width="10" style="114"/>
  </cols>
  <sheetData>
    <row r="1" spans="1:79" s="158" customFormat="1" ht="19.95" customHeight="1">
      <c r="A1" s="141"/>
      <c r="B1" s="151"/>
      <c r="C1" s="142"/>
      <c r="D1" s="143" t="str">
        <f ca="1">xlgantt.ProjectName()</f>
        <v>GME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2019-07-04~2019-07-05 [계획:50.00% 실적:0.00%]</v>
      </c>
      <c r="AC1" s="218" t="s">
        <v>1074</v>
      </c>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row>
    <row r="2" spans="1:79" s="158" customFormat="1" ht="15" customHeight="1">
      <c r="A2" s="159"/>
      <c r="B2" s="159"/>
      <c r="C2" s="160"/>
      <c r="D2" s="229"/>
      <c r="E2" s="229"/>
      <c r="F2" s="22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1090</v>
      </c>
    </row>
    <row r="3" spans="1:79" s="1" customFormat="1" ht="19.95" customHeight="1">
      <c r="A3" s="220" t="s">
        <v>1164</v>
      </c>
      <c r="B3" s="222" t="s">
        <v>1165</v>
      </c>
      <c r="C3" s="224" t="s">
        <v>1133</v>
      </c>
      <c r="D3" s="225" t="s">
        <v>1113</v>
      </c>
      <c r="E3" s="226" t="s">
        <v>1114</v>
      </c>
      <c r="F3" s="227"/>
      <c r="G3" s="227"/>
      <c r="H3" s="227"/>
      <c r="I3" s="227"/>
      <c r="J3" s="227"/>
      <c r="K3" s="228"/>
      <c r="L3" s="230" t="s">
        <v>1111</v>
      </c>
      <c r="M3" s="230" t="s">
        <v>1127</v>
      </c>
      <c r="N3" s="230" t="s">
        <v>1115</v>
      </c>
      <c r="O3" s="231" t="s">
        <v>1166</v>
      </c>
      <c r="P3" s="232" t="s">
        <v>1167</v>
      </c>
      <c r="Q3" s="232" t="s">
        <v>1168</v>
      </c>
      <c r="R3" s="232" t="s">
        <v>1128</v>
      </c>
      <c r="S3" s="232" t="s">
        <v>1169</v>
      </c>
      <c r="T3" s="234" t="s">
        <v>1170</v>
      </c>
      <c r="U3" s="234" t="s">
        <v>1112</v>
      </c>
      <c r="V3" s="235" t="s">
        <v>1171</v>
      </c>
      <c r="W3" s="236" t="s">
        <v>1116</v>
      </c>
      <c r="X3" s="237" t="s">
        <v>1104</v>
      </c>
      <c r="Y3" s="230" t="s">
        <v>1132</v>
      </c>
      <c r="Z3" s="222" t="s">
        <v>1125</v>
      </c>
      <c r="AA3" s="238" t="s">
        <v>1129</v>
      </c>
      <c r="AB3" s="233" t="s">
        <v>1108</v>
      </c>
      <c r="AC3" s="216">
        <v>43647</v>
      </c>
      <c r="AD3" s="217"/>
      <c r="AE3" s="217"/>
      <c r="AF3" s="219"/>
    </row>
    <row r="4" spans="1:79" s="2" customFormat="1" ht="4.95" customHeight="1">
      <c r="A4" s="221"/>
      <c r="B4" s="223"/>
      <c r="C4" s="220"/>
      <c r="D4" s="225"/>
      <c r="E4" s="226"/>
      <c r="F4" s="227"/>
      <c r="G4" s="227"/>
      <c r="H4" s="227"/>
      <c r="I4" s="227"/>
      <c r="J4" s="227"/>
      <c r="K4" s="228"/>
      <c r="L4" s="230"/>
      <c r="M4" s="230"/>
      <c r="N4" s="230"/>
      <c r="O4" s="231"/>
      <c r="P4" s="232"/>
      <c r="Q4" s="232"/>
      <c r="R4" s="232"/>
      <c r="S4" s="232"/>
      <c r="T4" s="230"/>
      <c r="U4" s="230"/>
      <c r="V4" s="235"/>
      <c r="W4" s="236"/>
      <c r="X4" s="237"/>
      <c r="Y4" s="230"/>
      <c r="Z4" s="222"/>
      <c r="AA4" s="238"/>
      <c r="AB4" s="233"/>
      <c r="AC4" s="112">
        <v>43647</v>
      </c>
      <c r="AD4" s="113"/>
      <c r="AE4" s="113"/>
      <c r="AF4" s="115"/>
      <c r="AG4" s="121"/>
      <c r="AH4" s="122"/>
      <c r="AI4" s="122"/>
    </row>
    <row r="5" spans="1:79">
      <c r="A5" s="116"/>
      <c r="B5" s="116"/>
      <c r="C5" s="116">
        <v>1</v>
      </c>
      <c r="D5" s="3" t="s">
        <v>1066</v>
      </c>
      <c r="E5" s="184" t="s">
        <v>538</v>
      </c>
      <c r="F5" s="184"/>
      <c r="G5" s="184"/>
      <c r="H5" s="184"/>
      <c r="I5" s="184"/>
      <c r="J5" s="184"/>
      <c r="K5" s="184"/>
      <c r="L5" s="184"/>
      <c r="M5" s="185"/>
      <c r="N5" s="185"/>
      <c r="O5" s="186"/>
      <c r="P5" s="187">
        <v>0</v>
      </c>
      <c r="Q5" s="187">
        <v>0</v>
      </c>
      <c r="R5" s="188">
        <v>0</v>
      </c>
      <c r="S5" s="188">
        <v>0</v>
      </c>
      <c r="T5" s="185"/>
      <c r="U5" s="185"/>
      <c r="V5" s="189">
        <v>0</v>
      </c>
      <c r="W5" s="190">
        <v>0</v>
      </c>
      <c r="X5" s="191"/>
      <c r="Y5" s="186"/>
      <c r="Z5" s="192"/>
      <c r="AA5" s="97">
        <v>0</v>
      </c>
      <c r="AB5" s="193">
        <v>0</v>
      </c>
      <c r="AC5" s="123"/>
      <c r="AD5" s="4"/>
      <c r="AE5" s="4"/>
      <c r="AF5" s="4"/>
      <c r="AG5" s="4"/>
      <c r="AH5" s="4"/>
      <c r="AI5" s="4"/>
    </row>
    <row r="6" spans="1:79">
      <c r="A6" s="116"/>
      <c r="B6" s="116" t="s">
        <v>1065</v>
      </c>
      <c r="C6" s="116">
        <v>1</v>
      </c>
      <c r="D6" s="3" t="s">
        <v>1067</v>
      </c>
      <c r="E6" s="246" t="s">
        <v>999</v>
      </c>
      <c r="F6" s="184"/>
      <c r="G6" s="184"/>
      <c r="H6" s="184"/>
      <c r="I6" s="184"/>
      <c r="J6" s="184"/>
      <c r="K6" s="184"/>
      <c r="L6" s="184"/>
      <c r="M6" s="185"/>
      <c r="N6" s="185"/>
      <c r="O6" s="186"/>
      <c r="P6" s="187">
        <v>0</v>
      </c>
      <c r="Q6" s="187">
        <v>0</v>
      </c>
      <c r="R6" s="188">
        <v>0</v>
      </c>
      <c r="S6" s="188">
        <v>0</v>
      </c>
      <c r="T6" s="185"/>
      <c r="U6" s="185"/>
      <c r="V6" s="189">
        <v>0</v>
      </c>
      <c r="W6" s="190">
        <v>0</v>
      </c>
      <c r="X6" s="191"/>
      <c r="Y6" s="186"/>
      <c r="Z6" s="192"/>
      <c r="AA6" s="97">
        <v>0</v>
      </c>
      <c r="AB6" s="193">
        <v>0</v>
      </c>
      <c r="AC6" s="123"/>
      <c r="AD6" s="4"/>
      <c r="AE6" s="4"/>
      <c r="AF6" s="4"/>
      <c r="AG6" s="4"/>
      <c r="AH6" s="4"/>
      <c r="AI6" s="4"/>
    </row>
    <row r="7" spans="1:79" outlineLevel="1">
      <c r="A7" s="116"/>
      <c r="B7" s="116"/>
      <c r="C7" s="116">
        <v>2</v>
      </c>
      <c r="D7" s="3" t="s">
        <v>1068</v>
      </c>
      <c r="E7" s="184"/>
      <c r="F7" s="246" t="s">
        <v>1148</v>
      </c>
      <c r="G7" s="184"/>
      <c r="H7" s="184"/>
      <c r="I7" s="184"/>
      <c r="J7" s="184"/>
      <c r="K7" s="184"/>
      <c r="L7" s="184"/>
      <c r="M7" s="185"/>
      <c r="N7" s="185"/>
      <c r="O7" s="186"/>
      <c r="P7" s="187">
        <v>0</v>
      </c>
      <c r="Q7" s="187">
        <v>0</v>
      </c>
      <c r="R7" s="188">
        <v>0</v>
      </c>
      <c r="S7" s="188">
        <v>0</v>
      </c>
      <c r="T7" s="185"/>
      <c r="U7" s="185"/>
      <c r="V7" s="189">
        <v>0</v>
      </c>
      <c r="W7" s="190">
        <v>0</v>
      </c>
      <c r="X7" s="191"/>
      <c r="Y7" s="186"/>
      <c r="Z7" s="192"/>
      <c r="AA7" s="97">
        <v>0</v>
      </c>
      <c r="AB7" s="193">
        <v>0</v>
      </c>
      <c r="AC7" s="123"/>
      <c r="AD7" s="4"/>
      <c r="AE7" s="4"/>
      <c r="AF7" s="4"/>
      <c r="AG7" s="4"/>
      <c r="AH7" s="4"/>
      <c r="AI7" s="4"/>
    </row>
    <row r="8" spans="1:79" outlineLevel="1">
      <c r="A8" s="116"/>
      <c r="B8" s="116"/>
      <c r="C8" s="116">
        <v>2</v>
      </c>
      <c r="D8" s="3" t="s">
        <v>1069</v>
      </c>
      <c r="E8" s="184"/>
      <c r="F8" s="246" t="s">
        <v>446</v>
      </c>
      <c r="G8" s="184"/>
      <c r="H8" s="184"/>
      <c r="I8" s="184"/>
      <c r="J8" s="184"/>
      <c r="K8" s="184"/>
      <c r="L8" s="184"/>
      <c r="M8" s="185"/>
      <c r="N8" s="185"/>
      <c r="O8" s="186"/>
      <c r="P8" s="187">
        <v>0</v>
      </c>
      <c r="Q8" s="187">
        <v>0</v>
      </c>
      <c r="R8" s="188">
        <v>0</v>
      </c>
      <c r="S8" s="188">
        <v>0</v>
      </c>
      <c r="T8" s="185"/>
      <c r="U8" s="185"/>
      <c r="V8" s="189">
        <v>0</v>
      </c>
      <c r="W8" s="190">
        <v>0</v>
      </c>
      <c r="X8" s="191"/>
      <c r="Y8" s="186"/>
      <c r="Z8" s="192"/>
      <c r="AA8" s="97">
        <v>0</v>
      </c>
      <c r="AB8" s="193">
        <v>0</v>
      </c>
      <c r="AC8" s="123"/>
      <c r="AD8" s="4"/>
      <c r="AE8" s="4"/>
      <c r="AF8" s="4"/>
      <c r="AG8" s="4"/>
      <c r="AH8" s="4"/>
      <c r="AI8" s="4"/>
    </row>
    <row r="9" spans="1:79" outlineLevel="1">
      <c r="A9" s="116"/>
      <c r="B9" s="116"/>
      <c r="C9" s="116">
        <v>0</v>
      </c>
      <c r="D9" s="3"/>
      <c r="E9" s="184"/>
      <c r="F9" s="246"/>
      <c r="G9" s="184"/>
      <c r="H9" s="184"/>
      <c r="I9" s="184"/>
      <c r="J9" s="184"/>
      <c r="K9" s="184"/>
      <c r="L9" s="184"/>
      <c r="M9" s="185"/>
      <c r="N9" s="185"/>
      <c r="O9" s="186"/>
      <c r="P9" s="187"/>
      <c r="Q9" s="187"/>
      <c r="R9" s="188">
        <v>0</v>
      </c>
      <c r="S9" s="188">
        <v>0</v>
      </c>
      <c r="T9" s="185"/>
      <c r="U9" s="185"/>
      <c r="V9" s="189"/>
      <c r="W9" s="190">
        <v>0</v>
      </c>
      <c r="X9" s="191"/>
      <c r="Y9" s="186"/>
      <c r="Z9" s="192"/>
      <c r="AA9" s="97"/>
      <c r="AB9" s="193"/>
      <c r="AC9" s="123"/>
      <c r="AD9" s="4"/>
      <c r="AE9" s="4"/>
      <c r="AF9" s="4"/>
      <c r="AG9" s="4"/>
      <c r="AH9" s="4"/>
      <c r="AI9" s="4"/>
    </row>
    <row r="10" spans="1:79">
      <c r="A10" s="116"/>
      <c r="B10" s="116" t="s">
        <v>1065</v>
      </c>
      <c r="C10" s="116">
        <v>1</v>
      </c>
      <c r="D10" s="3" t="s">
        <v>1135</v>
      </c>
      <c r="E10" s="246" t="s">
        <v>1000</v>
      </c>
      <c r="F10" s="184"/>
      <c r="G10" s="184"/>
      <c r="H10" s="184"/>
      <c r="I10" s="184"/>
      <c r="J10" s="184"/>
      <c r="K10" s="184"/>
      <c r="L10" s="184"/>
      <c r="M10" s="185">
        <v>43650</v>
      </c>
      <c r="N10" s="185">
        <v>43651</v>
      </c>
      <c r="O10" s="186"/>
      <c r="P10" s="187">
        <v>2</v>
      </c>
      <c r="Q10" s="187">
        <v>1</v>
      </c>
      <c r="R10" s="188">
        <v>2</v>
      </c>
      <c r="S10" s="188">
        <v>1</v>
      </c>
      <c r="T10" s="185"/>
      <c r="U10" s="185"/>
      <c r="V10" s="189">
        <v>0</v>
      </c>
      <c r="W10" s="190">
        <v>0</v>
      </c>
      <c r="X10" s="191"/>
      <c r="Y10" s="186"/>
      <c r="Z10" s="192"/>
      <c r="AA10" s="97">
        <v>0.5</v>
      </c>
      <c r="AB10" s="193">
        <v>0</v>
      </c>
      <c r="AC10" s="123" t="str">
        <f>"   " &amp; TEXT(AB10,"#0.00%") &amp; " " &amp; "설계" &amp; " " &amp; IF(M10="","",TEXT(M10,"M/D-")) &amp; IF(N10="","",TEXT(N10,"M/D")) &amp; " "</f>
        <v xml:space="preserve">   0.00% 설계 7/4-7/5 </v>
      </c>
      <c r="AD10" s="4"/>
      <c r="AE10" s="4"/>
      <c r="AF10" s="4"/>
      <c r="AG10" s="4"/>
      <c r="AH10" s="4"/>
      <c r="AI10" s="4"/>
    </row>
    <row r="11" spans="1:79" outlineLevel="1">
      <c r="A11" s="116"/>
      <c r="B11" s="116"/>
      <c r="C11" s="116">
        <v>2</v>
      </c>
      <c r="D11" s="3" t="s">
        <v>1136</v>
      </c>
      <c r="E11" s="184"/>
      <c r="F11" s="184" t="s">
        <v>1134</v>
      </c>
      <c r="G11" s="184"/>
      <c r="H11" s="184"/>
      <c r="I11" s="184"/>
      <c r="J11" s="184"/>
      <c r="K11" s="184"/>
      <c r="L11" s="184"/>
      <c r="M11" s="185">
        <v>43650</v>
      </c>
      <c r="N11" s="185">
        <v>43651</v>
      </c>
      <c r="O11" s="186"/>
      <c r="P11" s="187">
        <v>2</v>
      </c>
      <c r="Q11" s="187">
        <v>1</v>
      </c>
      <c r="R11" s="188">
        <v>2</v>
      </c>
      <c r="S11" s="188">
        <v>1</v>
      </c>
      <c r="T11" s="185"/>
      <c r="U11" s="185"/>
      <c r="V11" s="189"/>
      <c r="W11" s="190">
        <v>0</v>
      </c>
      <c r="X11" s="191">
        <v>1</v>
      </c>
      <c r="Y11" s="186"/>
      <c r="Z11" s="192"/>
      <c r="AA11" s="97">
        <v>0.5</v>
      </c>
      <c r="AB11" s="193">
        <v>0</v>
      </c>
      <c r="AC11" s="123" t="str">
        <f>"   " &amp; TEXT(AB11,"#0.00%") &amp; " " &amp; "DB설계" &amp; " " &amp; IF(M11="","",TEXT(M11,"M/D-")) &amp; IF(N11="","",TEXT(N11,"M/D")) &amp; " "</f>
        <v xml:space="preserve">   0.00% DB설계 7/4-7/5 </v>
      </c>
      <c r="AD11" s="4"/>
      <c r="AE11" s="4"/>
      <c r="AF11" s="4"/>
      <c r="AG11" s="4"/>
      <c r="AH11" s="4"/>
      <c r="AI11" s="4"/>
    </row>
    <row r="12" spans="1:79" outlineLevel="1">
      <c r="A12" s="116"/>
      <c r="B12" s="116"/>
      <c r="C12" s="116">
        <v>2</v>
      </c>
      <c r="D12" s="3" t="s">
        <v>1151</v>
      </c>
      <c r="E12" s="184"/>
      <c r="F12" s="184" t="s">
        <v>1149</v>
      </c>
      <c r="G12" s="184"/>
      <c r="H12" s="184"/>
      <c r="I12" s="184"/>
      <c r="J12" s="184"/>
      <c r="K12" s="184"/>
      <c r="L12" s="184"/>
      <c r="M12" s="185"/>
      <c r="N12" s="185"/>
      <c r="O12" s="186"/>
      <c r="P12" s="187">
        <v>0</v>
      </c>
      <c r="Q12" s="187">
        <v>0</v>
      </c>
      <c r="R12" s="188"/>
      <c r="S12" s="188"/>
      <c r="T12" s="185"/>
      <c r="U12" s="185"/>
      <c r="V12" s="189">
        <v>0</v>
      </c>
      <c r="W12" s="190"/>
      <c r="X12" s="191"/>
      <c r="Y12" s="186"/>
      <c r="Z12" s="192"/>
      <c r="AA12" s="97">
        <v>0</v>
      </c>
      <c r="AB12" s="193">
        <v>0</v>
      </c>
      <c r="AC12" s="123"/>
      <c r="AD12" s="4"/>
      <c r="AE12" s="4"/>
      <c r="AF12" s="4"/>
      <c r="AG12" s="4"/>
      <c r="AH12" s="4"/>
      <c r="AI12" s="4"/>
    </row>
    <row r="13" spans="1:79" outlineLevel="1">
      <c r="A13" s="116"/>
      <c r="B13" s="116"/>
      <c r="C13" s="116">
        <v>2</v>
      </c>
      <c r="D13" s="3" t="s">
        <v>1152</v>
      </c>
      <c r="E13" s="184"/>
      <c r="F13" s="184" t="s">
        <v>1150</v>
      </c>
      <c r="G13" s="184"/>
      <c r="H13" s="184"/>
      <c r="I13" s="184"/>
      <c r="J13" s="184"/>
      <c r="K13" s="184"/>
      <c r="L13" s="184"/>
      <c r="M13" s="185"/>
      <c r="N13" s="185"/>
      <c r="O13" s="186"/>
      <c r="P13" s="187">
        <v>0</v>
      </c>
      <c r="Q13" s="187">
        <v>0</v>
      </c>
      <c r="R13" s="188"/>
      <c r="S13" s="188"/>
      <c r="T13" s="185"/>
      <c r="U13" s="185"/>
      <c r="V13" s="189">
        <v>0</v>
      </c>
      <c r="W13" s="190"/>
      <c r="X13" s="191"/>
      <c r="Y13" s="186"/>
      <c r="Z13" s="192"/>
      <c r="AA13" s="97">
        <v>0</v>
      </c>
      <c r="AB13" s="193">
        <v>0</v>
      </c>
      <c r="AC13" s="123"/>
      <c r="AD13" s="4"/>
      <c r="AE13" s="4"/>
      <c r="AF13" s="4"/>
      <c r="AG13" s="4"/>
      <c r="AH13" s="4"/>
      <c r="AI13" s="4"/>
    </row>
    <row r="14" spans="1:79">
      <c r="A14" s="116"/>
      <c r="B14" s="116"/>
      <c r="C14" s="116">
        <v>1</v>
      </c>
      <c r="D14" s="3" t="s">
        <v>1153</v>
      </c>
      <c r="E14" s="246" t="s">
        <v>1027</v>
      </c>
      <c r="F14" s="184"/>
      <c r="G14" s="184"/>
      <c r="H14" s="184"/>
      <c r="I14" s="184"/>
      <c r="J14" s="184"/>
      <c r="K14" s="184"/>
      <c r="L14" s="184"/>
      <c r="M14" s="185"/>
      <c r="N14" s="185"/>
      <c r="O14" s="186"/>
      <c r="P14" s="187">
        <v>0</v>
      </c>
      <c r="Q14" s="187">
        <v>0</v>
      </c>
      <c r="R14" s="188"/>
      <c r="S14" s="188"/>
      <c r="T14" s="185"/>
      <c r="U14" s="185"/>
      <c r="V14" s="189">
        <v>0</v>
      </c>
      <c r="W14" s="190"/>
      <c r="X14" s="191"/>
      <c r="Y14" s="186"/>
      <c r="Z14" s="192"/>
      <c r="AA14" s="97">
        <v>0</v>
      </c>
      <c r="AB14" s="193">
        <v>0</v>
      </c>
      <c r="AC14" s="123"/>
      <c r="AD14" s="4"/>
      <c r="AE14" s="4"/>
      <c r="AF14" s="4"/>
      <c r="AG14" s="4"/>
      <c r="AH14" s="4"/>
      <c r="AI14" s="4"/>
    </row>
    <row r="15" spans="1:79">
      <c r="A15" s="116"/>
      <c r="B15" s="116"/>
      <c r="C15" s="116">
        <v>0</v>
      </c>
      <c r="D15" s="3"/>
      <c r="E15" s="184"/>
      <c r="F15" s="184"/>
      <c r="G15" s="184"/>
      <c r="H15" s="184"/>
      <c r="I15" s="184"/>
      <c r="J15" s="184"/>
      <c r="K15" s="184"/>
      <c r="L15" s="184"/>
      <c r="M15" s="185"/>
      <c r="N15" s="185"/>
      <c r="O15" s="186"/>
      <c r="P15" s="187"/>
      <c r="Q15" s="187"/>
      <c r="R15" s="188"/>
      <c r="S15" s="188"/>
      <c r="T15" s="185"/>
      <c r="U15" s="185"/>
      <c r="V15" s="189"/>
      <c r="W15" s="190"/>
      <c r="X15" s="191"/>
      <c r="Y15" s="186"/>
      <c r="Z15" s="192"/>
      <c r="AA15" s="97"/>
      <c r="AB15" s="193"/>
      <c r="AC15" s="123"/>
      <c r="AD15" s="4"/>
      <c r="AE15" s="4"/>
      <c r="AF15" s="4"/>
      <c r="AG15" s="4"/>
      <c r="AH15" s="4"/>
      <c r="AI15" s="4"/>
    </row>
    <row r="16" spans="1:79">
      <c r="A16" s="116"/>
      <c r="B16" s="116"/>
      <c r="C16" s="116">
        <v>0</v>
      </c>
      <c r="D16" s="3"/>
      <c r="E16" s="184"/>
      <c r="F16" s="184"/>
      <c r="G16" s="184"/>
      <c r="H16" s="184"/>
      <c r="I16" s="184"/>
      <c r="J16" s="184"/>
      <c r="K16" s="184"/>
      <c r="L16" s="184"/>
      <c r="M16" s="185"/>
      <c r="N16" s="185"/>
      <c r="O16" s="186"/>
      <c r="P16" s="187"/>
      <c r="Q16" s="187"/>
      <c r="R16" s="188"/>
      <c r="S16" s="188"/>
      <c r="T16" s="185"/>
      <c r="U16" s="185"/>
      <c r="V16" s="189"/>
      <c r="W16" s="190"/>
      <c r="X16" s="191"/>
      <c r="Y16" s="186"/>
      <c r="Z16" s="192"/>
      <c r="AA16" s="97"/>
      <c r="AB16" s="193"/>
      <c r="AC16" s="123"/>
      <c r="AD16" s="4"/>
      <c r="AE16" s="4"/>
      <c r="AF16" s="4"/>
      <c r="AG16" s="4"/>
      <c r="AH16" s="4"/>
      <c r="AI16" s="4"/>
    </row>
    <row r="17" spans="1:35">
      <c r="A17" s="116"/>
      <c r="B17" s="116" t="s">
        <v>1065</v>
      </c>
      <c r="C17" s="116">
        <v>1</v>
      </c>
      <c r="D17" s="3" t="s">
        <v>1159</v>
      </c>
      <c r="E17" s="246" t="s">
        <v>1154</v>
      </c>
      <c r="F17" s="184"/>
      <c r="G17" s="184"/>
      <c r="H17" s="184"/>
      <c r="I17" s="184"/>
      <c r="J17" s="184"/>
      <c r="K17" s="184"/>
      <c r="L17" s="184"/>
      <c r="M17" s="185"/>
      <c r="N17" s="185"/>
      <c r="O17" s="186"/>
      <c r="P17" s="187">
        <v>0</v>
      </c>
      <c r="Q17" s="187">
        <v>0</v>
      </c>
      <c r="R17" s="188"/>
      <c r="S17" s="188"/>
      <c r="T17" s="185"/>
      <c r="U17" s="185"/>
      <c r="V17" s="189">
        <v>0</v>
      </c>
      <c r="W17" s="190"/>
      <c r="X17" s="191"/>
      <c r="Y17" s="186"/>
      <c r="Z17" s="192"/>
      <c r="AA17" s="97">
        <v>0</v>
      </c>
      <c r="AB17" s="193">
        <v>0</v>
      </c>
      <c r="AC17" s="123"/>
      <c r="AD17" s="4"/>
      <c r="AE17" s="4"/>
      <c r="AF17" s="4"/>
      <c r="AG17" s="4"/>
      <c r="AH17" s="4"/>
      <c r="AI17" s="4"/>
    </row>
    <row r="18" spans="1:35" outlineLevel="1">
      <c r="A18" s="116"/>
      <c r="B18" s="116"/>
      <c r="C18" s="116">
        <v>2</v>
      </c>
      <c r="D18" s="3" t="s">
        <v>1160</v>
      </c>
      <c r="E18" s="247"/>
      <c r="F18" s="246" t="s">
        <v>1155</v>
      </c>
      <c r="G18" s="184"/>
      <c r="H18" s="184"/>
      <c r="I18" s="184"/>
      <c r="J18" s="184"/>
      <c r="K18" s="184"/>
      <c r="L18" s="184"/>
      <c r="M18" s="185"/>
      <c r="N18" s="185"/>
      <c r="O18" s="186"/>
      <c r="P18" s="187">
        <v>0</v>
      </c>
      <c r="Q18" s="187">
        <v>0</v>
      </c>
      <c r="R18" s="188"/>
      <c r="S18" s="188"/>
      <c r="T18" s="185"/>
      <c r="U18" s="185"/>
      <c r="V18" s="189">
        <v>0</v>
      </c>
      <c r="W18" s="190"/>
      <c r="X18" s="191"/>
      <c r="Y18" s="186"/>
      <c r="Z18" s="192"/>
      <c r="AA18" s="97">
        <v>0</v>
      </c>
      <c r="AB18" s="193">
        <v>0</v>
      </c>
      <c r="AC18" s="123"/>
      <c r="AD18" s="4"/>
      <c r="AE18" s="4"/>
      <c r="AF18" s="4"/>
      <c r="AG18" s="4"/>
      <c r="AH18" s="4"/>
      <c r="AI18" s="4"/>
    </row>
    <row r="19" spans="1:35" outlineLevel="1">
      <c r="A19" s="116"/>
      <c r="B19" s="116"/>
      <c r="C19" s="116">
        <v>2</v>
      </c>
      <c r="D19" s="3" t="s">
        <v>1161</v>
      </c>
      <c r="E19" s="247"/>
      <c r="F19" s="246" t="s">
        <v>1156</v>
      </c>
      <c r="G19" s="184"/>
      <c r="H19" s="184"/>
      <c r="I19" s="184"/>
      <c r="J19" s="184"/>
      <c r="K19" s="184"/>
      <c r="L19" s="184"/>
      <c r="M19" s="185"/>
      <c r="N19" s="185"/>
      <c r="O19" s="186"/>
      <c r="P19" s="187">
        <v>0</v>
      </c>
      <c r="Q19" s="187">
        <v>0</v>
      </c>
      <c r="R19" s="188"/>
      <c r="S19" s="188"/>
      <c r="T19" s="185"/>
      <c r="U19" s="185"/>
      <c r="V19" s="189">
        <v>0</v>
      </c>
      <c r="W19" s="190"/>
      <c r="X19" s="191"/>
      <c r="Y19" s="186"/>
      <c r="Z19" s="192"/>
      <c r="AA19" s="97">
        <v>0</v>
      </c>
      <c r="AB19" s="193">
        <v>0</v>
      </c>
      <c r="AC19" s="123"/>
      <c r="AD19" s="4"/>
      <c r="AE19" s="4"/>
      <c r="AF19" s="4"/>
      <c r="AG19" s="4"/>
      <c r="AH19" s="4"/>
      <c r="AI19" s="4"/>
    </row>
    <row r="20" spans="1:35" outlineLevel="1">
      <c r="A20" s="116"/>
      <c r="B20" s="116"/>
      <c r="C20" s="116">
        <v>2</v>
      </c>
      <c r="D20" s="3" t="s">
        <v>1162</v>
      </c>
      <c r="E20" s="247"/>
      <c r="F20" s="246" t="s">
        <v>1157</v>
      </c>
      <c r="G20" s="184"/>
      <c r="H20" s="184"/>
      <c r="I20" s="184"/>
      <c r="J20" s="184"/>
      <c r="K20" s="184"/>
      <c r="L20" s="184"/>
      <c r="M20" s="185"/>
      <c r="N20" s="185"/>
      <c r="O20" s="186"/>
      <c r="P20" s="187">
        <v>0</v>
      </c>
      <c r="Q20" s="187">
        <v>0</v>
      </c>
      <c r="R20" s="188"/>
      <c r="S20" s="188"/>
      <c r="T20" s="185"/>
      <c r="U20" s="185"/>
      <c r="V20" s="189">
        <v>0</v>
      </c>
      <c r="W20" s="190"/>
      <c r="X20" s="191"/>
      <c r="Y20" s="186"/>
      <c r="Z20" s="192"/>
      <c r="AA20" s="97">
        <v>0</v>
      </c>
      <c r="AB20" s="193">
        <v>0</v>
      </c>
      <c r="AC20" s="123"/>
      <c r="AD20" s="4"/>
      <c r="AE20" s="4"/>
      <c r="AF20" s="4"/>
      <c r="AG20" s="4"/>
      <c r="AH20" s="4"/>
      <c r="AI20" s="4"/>
    </row>
    <row r="21" spans="1:35" outlineLevel="1">
      <c r="A21" s="116"/>
      <c r="B21" s="116"/>
      <c r="C21" s="116">
        <v>0</v>
      </c>
      <c r="D21" s="3"/>
      <c r="E21" s="184"/>
      <c r="F21" s="184"/>
      <c r="G21" s="184"/>
      <c r="H21" s="184"/>
      <c r="I21" s="184"/>
      <c r="J21" s="184"/>
      <c r="K21" s="184"/>
      <c r="L21" s="184"/>
      <c r="M21" s="185"/>
      <c r="N21" s="185"/>
      <c r="O21" s="186"/>
      <c r="P21" s="187"/>
      <c r="Q21" s="187"/>
      <c r="R21" s="188"/>
      <c r="S21" s="188"/>
      <c r="T21" s="185"/>
      <c r="U21" s="185"/>
      <c r="V21" s="189"/>
      <c r="W21" s="190"/>
      <c r="X21" s="191"/>
      <c r="Y21" s="186"/>
      <c r="Z21" s="192"/>
      <c r="AA21" s="97"/>
      <c r="AB21" s="193"/>
      <c r="AC21" s="123"/>
      <c r="AD21" s="4"/>
      <c r="AE21" s="4"/>
      <c r="AF21" s="4"/>
      <c r="AG21" s="4"/>
      <c r="AH21" s="4"/>
      <c r="AI21" s="4"/>
    </row>
    <row r="22" spans="1:35">
      <c r="A22" s="116"/>
      <c r="B22" s="116"/>
      <c r="C22" s="116">
        <v>1</v>
      </c>
      <c r="D22" s="3" t="s">
        <v>1163</v>
      </c>
      <c r="E22" s="246" t="s">
        <v>1158</v>
      </c>
      <c r="F22" s="184"/>
      <c r="G22" s="184"/>
      <c r="H22" s="184"/>
      <c r="I22" s="184"/>
      <c r="J22" s="184"/>
      <c r="K22" s="184"/>
      <c r="L22" s="184"/>
      <c r="M22" s="185"/>
      <c r="N22" s="185"/>
      <c r="O22" s="186"/>
      <c r="P22" s="187">
        <v>0</v>
      </c>
      <c r="Q22" s="187">
        <v>0</v>
      </c>
      <c r="R22" s="188"/>
      <c r="S22" s="188"/>
      <c r="T22" s="185"/>
      <c r="U22" s="185"/>
      <c r="V22" s="189">
        <v>0</v>
      </c>
      <c r="W22" s="190"/>
      <c r="X22" s="191"/>
      <c r="Y22" s="186"/>
      <c r="Z22" s="192"/>
      <c r="AA22" s="97">
        <v>0</v>
      </c>
      <c r="AB22" s="193">
        <v>0</v>
      </c>
      <c r="AC22" s="123"/>
      <c r="AD22" s="4"/>
      <c r="AE22" s="4"/>
      <c r="AF22" s="4"/>
      <c r="AG22" s="4"/>
      <c r="AH22" s="4"/>
      <c r="AI22" s="4"/>
    </row>
    <row r="23" spans="1:35">
      <c r="A23" s="194"/>
      <c r="B23" s="194"/>
      <c r="C23" s="194">
        <v>3</v>
      </c>
      <c r="D23" s="195"/>
      <c r="E23" s="196"/>
      <c r="F23" s="196"/>
      <c r="G23" s="196"/>
      <c r="H23" s="196"/>
      <c r="I23" s="196"/>
      <c r="J23" s="196"/>
      <c r="K23" s="196"/>
      <c r="L23" s="196"/>
      <c r="M23" s="197"/>
      <c r="N23" s="197"/>
      <c r="O23" s="198"/>
      <c r="P23" s="199"/>
      <c r="Q23" s="199"/>
      <c r="R23" s="200"/>
      <c r="S23" s="200"/>
      <c r="T23" s="197"/>
      <c r="U23" s="197"/>
      <c r="V23" s="201"/>
      <c r="W23" s="202"/>
      <c r="X23" s="203"/>
      <c r="Y23" s="198"/>
      <c r="Z23" s="204"/>
      <c r="AA23" s="205"/>
      <c r="AB23" s="206"/>
      <c r="AC23" s="182"/>
      <c r="AD23" s="182"/>
      <c r="AE23" s="182"/>
      <c r="AF23" s="182"/>
      <c r="AG23" s="182"/>
      <c r="AH23" s="182"/>
      <c r="AI23" s="182"/>
    </row>
    <row r="24" spans="1:35">
      <c r="A24" s="116"/>
      <c r="B24" s="116" t="s">
        <v>1065</v>
      </c>
      <c r="C24" s="116">
        <v>1</v>
      </c>
      <c r="D24" s="3"/>
      <c r="E24" s="184"/>
      <c r="F24" s="184"/>
      <c r="G24" s="184"/>
      <c r="H24" s="184"/>
      <c r="I24" s="184"/>
      <c r="J24" s="184"/>
      <c r="K24" s="184"/>
      <c r="L24" s="184"/>
      <c r="M24" s="185"/>
      <c r="N24" s="185"/>
      <c r="O24" s="186"/>
      <c r="P24" s="187"/>
      <c r="Q24" s="187"/>
      <c r="R24" s="188"/>
      <c r="S24" s="188"/>
      <c r="T24" s="185"/>
      <c r="U24" s="185"/>
      <c r="V24" s="189"/>
      <c r="W24" s="190"/>
      <c r="X24" s="191"/>
      <c r="Y24" s="186"/>
      <c r="Z24" s="192"/>
      <c r="AA24" s="97"/>
      <c r="AB24" s="193"/>
    </row>
    <row r="25" spans="1:35">
      <c r="A25" s="116"/>
      <c r="B25" s="116" t="s">
        <v>1065</v>
      </c>
      <c r="C25" s="116">
        <v>2</v>
      </c>
      <c r="D25" s="3"/>
      <c r="E25" s="184"/>
      <c r="F25" s="184"/>
      <c r="G25" s="184"/>
      <c r="H25" s="184"/>
      <c r="I25" s="184"/>
      <c r="J25" s="184"/>
      <c r="K25" s="184"/>
      <c r="L25" s="184"/>
      <c r="M25" s="185"/>
      <c r="N25" s="185"/>
      <c r="O25" s="186"/>
      <c r="P25" s="187"/>
      <c r="Q25" s="187"/>
      <c r="R25" s="188"/>
      <c r="S25" s="188"/>
      <c r="T25" s="185"/>
      <c r="U25" s="185"/>
      <c r="V25" s="189"/>
      <c r="W25" s="190"/>
      <c r="X25" s="191"/>
      <c r="Y25" s="186"/>
      <c r="Z25" s="192"/>
      <c r="AA25" s="97"/>
      <c r="AB25" s="193"/>
    </row>
    <row r="26" spans="1:35">
      <c r="A26" s="116"/>
      <c r="B26" s="116"/>
      <c r="C26" s="116">
        <v>3</v>
      </c>
      <c r="D26" s="3"/>
      <c r="E26" s="184"/>
      <c r="F26" s="184"/>
      <c r="G26" s="184"/>
      <c r="H26" s="184"/>
      <c r="I26" s="184"/>
      <c r="J26" s="184"/>
      <c r="K26" s="184"/>
      <c r="L26" s="184"/>
      <c r="M26" s="185"/>
      <c r="N26" s="185"/>
      <c r="O26" s="186"/>
      <c r="P26" s="187"/>
      <c r="Q26" s="187"/>
      <c r="R26" s="188"/>
      <c r="S26" s="188"/>
      <c r="T26" s="185"/>
      <c r="U26" s="185"/>
      <c r="V26" s="189"/>
      <c r="W26" s="190"/>
      <c r="X26" s="191"/>
      <c r="Y26" s="186"/>
      <c r="Z26" s="192"/>
      <c r="AA26" s="97"/>
      <c r="AB26" s="193"/>
    </row>
    <row r="27" spans="1:35">
      <c r="A27" s="116"/>
      <c r="B27" s="116" t="s">
        <v>1065</v>
      </c>
      <c r="C27" s="116">
        <v>3</v>
      </c>
      <c r="D27" s="3"/>
      <c r="E27" s="184"/>
      <c r="F27" s="184"/>
      <c r="G27" s="184"/>
      <c r="H27" s="184"/>
      <c r="I27" s="184"/>
      <c r="J27" s="184"/>
      <c r="K27" s="184"/>
      <c r="L27" s="184"/>
      <c r="M27" s="185"/>
      <c r="N27" s="185"/>
      <c r="O27" s="186"/>
      <c r="P27" s="187"/>
      <c r="Q27" s="187"/>
      <c r="R27" s="188"/>
      <c r="S27" s="188"/>
      <c r="T27" s="185"/>
      <c r="U27" s="185"/>
      <c r="V27" s="189"/>
      <c r="W27" s="190"/>
      <c r="X27" s="191"/>
      <c r="Y27" s="186"/>
      <c r="Z27" s="192"/>
      <c r="AA27" s="97"/>
      <c r="AB27" s="193"/>
    </row>
    <row r="28" spans="1:35">
      <c r="A28" s="116"/>
      <c r="B28" s="116"/>
      <c r="C28" s="116">
        <v>4</v>
      </c>
      <c r="D28" s="3"/>
      <c r="E28" s="184"/>
      <c r="F28" s="184"/>
      <c r="G28" s="184"/>
      <c r="H28" s="184"/>
      <c r="I28" s="184"/>
      <c r="J28" s="184"/>
      <c r="K28" s="184"/>
      <c r="L28" s="184"/>
      <c r="M28" s="185"/>
      <c r="N28" s="185"/>
      <c r="O28" s="186"/>
      <c r="P28" s="187"/>
      <c r="Q28" s="187"/>
      <c r="R28" s="188"/>
      <c r="S28" s="188"/>
      <c r="T28" s="185"/>
      <c r="U28" s="185"/>
      <c r="V28" s="189"/>
      <c r="W28" s="190"/>
      <c r="X28" s="191"/>
      <c r="Y28" s="186"/>
      <c r="Z28" s="192"/>
      <c r="AA28" s="97"/>
      <c r="AB28" s="193"/>
    </row>
    <row r="29" spans="1:35">
      <c r="A29" s="116"/>
      <c r="B29" s="116"/>
      <c r="C29" s="116">
        <v>4</v>
      </c>
      <c r="D29" s="3"/>
      <c r="E29" s="184"/>
      <c r="F29" s="184"/>
      <c r="G29" s="184"/>
      <c r="H29" s="184"/>
      <c r="I29" s="184"/>
      <c r="J29" s="184"/>
      <c r="K29" s="184"/>
      <c r="L29" s="184"/>
      <c r="M29" s="185"/>
      <c r="N29" s="185"/>
      <c r="O29" s="186"/>
      <c r="P29" s="187"/>
      <c r="Q29" s="187"/>
      <c r="R29" s="188"/>
      <c r="S29" s="188"/>
      <c r="T29" s="185"/>
      <c r="U29" s="185"/>
      <c r="V29" s="189"/>
      <c r="W29" s="190"/>
      <c r="X29" s="191"/>
      <c r="Y29" s="186"/>
      <c r="Z29" s="192"/>
      <c r="AA29" s="97"/>
      <c r="AB29" s="193"/>
    </row>
    <row r="30" spans="1:35">
      <c r="A30" s="116"/>
      <c r="B30" s="116" t="s">
        <v>1065</v>
      </c>
      <c r="C30" s="116">
        <v>2</v>
      </c>
      <c r="D30" s="3"/>
      <c r="E30" s="184"/>
      <c r="F30" s="184"/>
      <c r="G30" s="184"/>
      <c r="H30" s="184"/>
      <c r="I30" s="184"/>
      <c r="J30" s="184"/>
      <c r="K30" s="184"/>
      <c r="L30" s="184"/>
      <c r="M30" s="185"/>
      <c r="N30" s="185"/>
      <c r="O30" s="186"/>
      <c r="P30" s="187"/>
      <c r="Q30" s="187"/>
      <c r="R30" s="188"/>
      <c r="S30" s="188"/>
      <c r="T30" s="185"/>
      <c r="U30" s="185"/>
      <c r="V30" s="189"/>
      <c r="W30" s="190"/>
      <c r="X30" s="191"/>
      <c r="Y30" s="186"/>
      <c r="Z30" s="192"/>
      <c r="AA30" s="97"/>
      <c r="AB30" s="193"/>
    </row>
    <row r="31" spans="1:35">
      <c r="A31" s="116"/>
      <c r="B31" s="116"/>
      <c r="C31" s="116">
        <v>3</v>
      </c>
      <c r="D31" s="3"/>
      <c r="E31" s="184"/>
      <c r="F31" s="184"/>
      <c r="G31" s="184"/>
      <c r="H31" s="184"/>
      <c r="I31" s="184"/>
      <c r="J31" s="184"/>
      <c r="K31" s="184"/>
      <c r="L31" s="184"/>
      <c r="M31" s="185"/>
      <c r="N31" s="185"/>
      <c r="O31" s="186"/>
      <c r="P31" s="187"/>
      <c r="Q31" s="187"/>
      <c r="R31" s="188"/>
      <c r="S31" s="188"/>
      <c r="T31" s="185"/>
      <c r="U31" s="185"/>
      <c r="V31" s="189"/>
      <c r="W31" s="190"/>
      <c r="X31" s="191"/>
      <c r="Y31" s="186"/>
      <c r="Z31" s="192"/>
      <c r="AA31" s="97"/>
      <c r="AB31" s="193"/>
    </row>
    <row r="32" spans="1:35">
      <c r="A32" s="116"/>
      <c r="B32" s="116" t="s">
        <v>1065</v>
      </c>
      <c r="C32" s="116">
        <v>3</v>
      </c>
      <c r="D32" s="3"/>
      <c r="E32" s="184"/>
      <c r="F32" s="184"/>
      <c r="G32" s="184"/>
      <c r="H32" s="184"/>
      <c r="I32" s="184"/>
      <c r="J32" s="184"/>
      <c r="K32" s="184"/>
      <c r="L32" s="184"/>
      <c r="M32" s="185"/>
      <c r="N32" s="185"/>
      <c r="O32" s="186"/>
      <c r="P32" s="187"/>
      <c r="Q32" s="187"/>
      <c r="R32" s="188"/>
      <c r="S32" s="188"/>
      <c r="T32" s="185"/>
      <c r="U32" s="185"/>
      <c r="V32" s="189"/>
      <c r="W32" s="190"/>
      <c r="X32" s="191"/>
      <c r="Y32" s="186"/>
      <c r="Z32" s="192"/>
      <c r="AA32" s="97"/>
      <c r="AB32" s="193"/>
    </row>
    <row r="33" spans="1:28">
      <c r="A33" s="116"/>
      <c r="B33" s="116"/>
      <c r="C33" s="116">
        <v>4</v>
      </c>
      <c r="D33" s="3"/>
      <c r="E33" s="184"/>
      <c r="F33" s="184"/>
      <c r="G33" s="184"/>
      <c r="H33" s="184"/>
      <c r="I33" s="184"/>
      <c r="J33" s="184"/>
      <c r="K33" s="184"/>
      <c r="L33" s="184"/>
      <c r="M33" s="185"/>
      <c r="N33" s="185"/>
      <c r="O33" s="186"/>
      <c r="P33" s="187"/>
      <c r="Q33" s="187"/>
      <c r="R33" s="188"/>
      <c r="S33" s="188"/>
      <c r="T33" s="185"/>
      <c r="U33" s="185"/>
      <c r="V33" s="189"/>
      <c r="W33" s="190"/>
      <c r="X33" s="191"/>
      <c r="Y33" s="186"/>
      <c r="Z33" s="192"/>
      <c r="AA33" s="97"/>
      <c r="AB33" s="193"/>
    </row>
    <row r="34" spans="1:28">
      <c r="A34" s="116"/>
      <c r="B34" s="116"/>
      <c r="C34" s="116">
        <v>4</v>
      </c>
      <c r="D34" s="3"/>
      <c r="E34" s="184"/>
      <c r="F34" s="184"/>
      <c r="G34" s="184"/>
      <c r="H34" s="184"/>
      <c r="I34" s="184"/>
      <c r="J34" s="184"/>
      <c r="K34" s="184"/>
      <c r="L34" s="184"/>
      <c r="M34" s="185"/>
      <c r="N34" s="185"/>
      <c r="O34" s="186"/>
      <c r="P34" s="187"/>
      <c r="Q34" s="187"/>
      <c r="R34" s="188"/>
      <c r="S34" s="188"/>
      <c r="T34" s="185"/>
      <c r="U34" s="185"/>
      <c r="V34" s="189"/>
      <c r="W34" s="190"/>
      <c r="X34" s="191"/>
      <c r="Y34" s="186"/>
      <c r="Z34" s="192"/>
      <c r="AA34" s="97"/>
      <c r="AB34" s="193"/>
    </row>
    <row r="35" spans="1:28">
      <c r="A35" s="116"/>
      <c r="B35" s="116"/>
      <c r="C35" s="116">
        <v>4</v>
      </c>
      <c r="D35" s="3"/>
      <c r="E35" s="184"/>
      <c r="F35" s="184"/>
      <c r="G35" s="184"/>
      <c r="H35" s="184"/>
      <c r="I35" s="184"/>
      <c r="J35" s="184"/>
      <c r="K35" s="184"/>
      <c r="L35" s="184"/>
      <c r="M35" s="185"/>
      <c r="N35" s="185"/>
      <c r="O35" s="186"/>
      <c r="P35" s="187"/>
      <c r="Q35" s="187"/>
      <c r="R35" s="188"/>
      <c r="S35" s="188"/>
      <c r="T35" s="185"/>
      <c r="U35" s="185"/>
      <c r="V35" s="189"/>
      <c r="W35" s="190"/>
      <c r="X35" s="191"/>
      <c r="Y35" s="186"/>
      <c r="Z35" s="192"/>
      <c r="AA35" s="97"/>
      <c r="AB35" s="193"/>
    </row>
    <row r="36" spans="1:28">
      <c r="A36" s="116"/>
      <c r="B36" s="116"/>
      <c r="C36" s="116">
        <v>3</v>
      </c>
      <c r="D36" s="3"/>
      <c r="E36" s="184"/>
      <c r="F36" s="184"/>
      <c r="G36" s="184"/>
      <c r="H36" s="184"/>
      <c r="I36" s="184"/>
      <c r="J36" s="184"/>
      <c r="K36" s="184"/>
      <c r="L36" s="184"/>
      <c r="M36" s="185"/>
      <c r="N36" s="185"/>
      <c r="O36" s="186"/>
      <c r="P36" s="187"/>
      <c r="Q36" s="187"/>
      <c r="R36" s="188"/>
      <c r="S36" s="188"/>
      <c r="T36" s="185"/>
      <c r="U36" s="185"/>
      <c r="V36" s="189"/>
      <c r="W36" s="190"/>
      <c r="X36" s="191"/>
      <c r="Y36" s="186"/>
      <c r="Z36" s="192"/>
      <c r="AA36" s="97"/>
      <c r="AB36" s="193"/>
    </row>
    <row r="37" spans="1:28">
      <c r="A37" s="116"/>
      <c r="B37" s="116" t="s">
        <v>1065</v>
      </c>
      <c r="C37" s="116">
        <v>2</v>
      </c>
      <c r="D37" s="3"/>
      <c r="E37" s="184"/>
      <c r="F37" s="184"/>
      <c r="G37" s="184"/>
      <c r="H37" s="184"/>
      <c r="I37" s="184"/>
      <c r="J37" s="184"/>
      <c r="K37" s="184"/>
      <c r="L37" s="184"/>
      <c r="M37" s="185"/>
      <c r="N37" s="185"/>
      <c r="O37" s="186"/>
      <c r="P37" s="187"/>
      <c r="Q37" s="187"/>
      <c r="R37" s="188"/>
      <c r="S37" s="188"/>
      <c r="T37" s="185"/>
      <c r="U37" s="185"/>
      <c r="V37" s="189"/>
      <c r="W37" s="190"/>
      <c r="X37" s="191"/>
      <c r="Y37" s="186"/>
      <c r="Z37" s="192"/>
      <c r="AA37" s="97"/>
      <c r="AB37" s="193"/>
    </row>
    <row r="38" spans="1:28">
      <c r="A38" s="116"/>
      <c r="B38" s="116" t="s">
        <v>1065</v>
      </c>
      <c r="C38" s="116">
        <v>3</v>
      </c>
      <c r="D38" s="3"/>
      <c r="E38" s="184"/>
      <c r="F38" s="184"/>
      <c r="G38" s="184"/>
      <c r="H38" s="184"/>
      <c r="I38" s="184"/>
      <c r="J38" s="184"/>
      <c r="K38" s="184"/>
      <c r="L38" s="184"/>
      <c r="M38" s="185"/>
      <c r="N38" s="185"/>
      <c r="O38" s="186"/>
      <c r="P38" s="187"/>
      <c r="Q38" s="187"/>
      <c r="R38" s="188"/>
      <c r="S38" s="188"/>
      <c r="T38" s="185"/>
      <c r="U38" s="185"/>
      <c r="V38" s="189"/>
      <c r="W38" s="190"/>
      <c r="X38" s="191"/>
      <c r="Y38" s="186"/>
      <c r="Z38" s="192"/>
      <c r="AA38" s="97"/>
      <c r="AB38" s="193"/>
    </row>
    <row r="39" spans="1:28">
      <c r="A39" s="116"/>
      <c r="B39" s="116"/>
      <c r="C39" s="116">
        <v>4</v>
      </c>
      <c r="D39" s="3"/>
      <c r="E39" s="184"/>
      <c r="F39" s="184"/>
      <c r="G39" s="184"/>
      <c r="H39" s="184"/>
      <c r="I39" s="184"/>
      <c r="J39" s="184"/>
      <c r="K39" s="184"/>
      <c r="L39" s="184"/>
      <c r="M39" s="185"/>
      <c r="N39" s="185"/>
      <c r="O39" s="186"/>
      <c r="P39" s="187"/>
      <c r="Q39" s="187"/>
      <c r="R39" s="188"/>
      <c r="S39" s="188"/>
      <c r="T39" s="185"/>
      <c r="U39" s="185"/>
      <c r="V39" s="189"/>
      <c r="W39" s="190"/>
      <c r="X39" s="191"/>
      <c r="Y39" s="186"/>
      <c r="Z39" s="192"/>
      <c r="AA39" s="97"/>
      <c r="AB39" s="193"/>
    </row>
    <row r="40" spans="1:28">
      <c r="A40" s="116"/>
      <c r="B40" s="116" t="s">
        <v>1065</v>
      </c>
      <c r="C40" s="116">
        <v>4</v>
      </c>
      <c r="D40" s="3"/>
      <c r="E40" s="184"/>
      <c r="F40" s="184"/>
      <c r="G40" s="184"/>
      <c r="H40" s="184"/>
      <c r="I40" s="184"/>
      <c r="J40" s="184"/>
      <c r="K40" s="184"/>
      <c r="L40" s="184"/>
      <c r="M40" s="185"/>
      <c r="N40" s="185"/>
      <c r="O40" s="186"/>
      <c r="P40" s="187"/>
      <c r="Q40" s="187"/>
      <c r="R40" s="188"/>
      <c r="S40" s="188"/>
      <c r="T40" s="185"/>
      <c r="U40" s="185"/>
      <c r="V40" s="189"/>
      <c r="W40" s="190"/>
      <c r="X40" s="191"/>
      <c r="Y40" s="186"/>
      <c r="Z40" s="192"/>
      <c r="AA40" s="97"/>
      <c r="AB40" s="193"/>
    </row>
    <row r="41" spans="1:28">
      <c r="A41" s="116"/>
      <c r="B41" s="116" t="s">
        <v>1065</v>
      </c>
      <c r="C41" s="116">
        <v>5</v>
      </c>
      <c r="D41" s="3"/>
      <c r="E41" s="184"/>
      <c r="F41" s="184"/>
      <c r="G41" s="184"/>
      <c r="H41" s="184"/>
      <c r="I41" s="184"/>
      <c r="J41" s="184"/>
      <c r="K41" s="184"/>
      <c r="L41" s="184"/>
      <c r="M41" s="185"/>
      <c r="N41" s="185"/>
      <c r="O41" s="186"/>
      <c r="P41" s="187"/>
      <c r="Q41" s="187"/>
      <c r="R41" s="188"/>
      <c r="S41" s="188"/>
      <c r="T41" s="185"/>
      <c r="U41" s="185"/>
      <c r="V41" s="189"/>
      <c r="W41" s="190"/>
      <c r="X41" s="191"/>
      <c r="Y41" s="186"/>
      <c r="Z41" s="192"/>
      <c r="AA41" s="97"/>
      <c r="AB41" s="193"/>
    </row>
    <row r="42" spans="1:28">
      <c r="A42" s="116"/>
      <c r="B42" s="116"/>
      <c r="C42" s="116">
        <v>6</v>
      </c>
      <c r="D42" s="3"/>
      <c r="E42" s="184"/>
      <c r="F42" s="184"/>
      <c r="G42" s="184"/>
      <c r="H42" s="184"/>
      <c r="I42" s="184"/>
      <c r="J42" s="184"/>
      <c r="K42" s="184"/>
      <c r="L42" s="184"/>
      <c r="M42" s="185"/>
      <c r="N42" s="185"/>
      <c r="O42" s="186"/>
      <c r="P42" s="187"/>
      <c r="Q42" s="187"/>
      <c r="R42" s="188"/>
      <c r="S42" s="188"/>
      <c r="T42" s="185"/>
      <c r="U42" s="185"/>
      <c r="V42" s="189"/>
      <c r="W42" s="190"/>
      <c r="X42" s="191"/>
      <c r="Y42" s="186"/>
      <c r="Z42" s="192"/>
      <c r="AA42" s="97"/>
      <c r="AB42" s="193"/>
    </row>
    <row r="43" spans="1:28">
      <c r="A43" s="116"/>
      <c r="B43" s="116"/>
      <c r="C43" s="116">
        <v>6</v>
      </c>
      <c r="D43" s="3"/>
      <c r="E43" s="184"/>
      <c r="F43" s="184"/>
      <c r="G43" s="184"/>
      <c r="H43" s="184"/>
      <c r="I43" s="184"/>
      <c r="J43" s="184"/>
      <c r="K43" s="184"/>
      <c r="L43" s="184"/>
      <c r="M43" s="185"/>
      <c r="N43" s="185"/>
      <c r="O43" s="186"/>
      <c r="P43" s="187"/>
      <c r="Q43" s="187"/>
      <c r="R43" s="188"/>
      <c r="S43" s="188"/>
      <c r="T43" s="185"/>
      <c r="U43" s="185"/>
      <c r="V43" s="189"/>
      <c r="W43" s="190"/>
      <c r="X43" s="191"/>
      <c r="Y43" s="186"/>
      <c r="Z43" s="192"/>
      <c r="AA43" s="97"/>
      <c r="AB43" s="193"/>
    </row>
    <row r="44" spans="1:28">
      <c r="A44" s="116"/>
      <c r="B44" s="116"/>
      <c r="C44" s="116">
        <v>6</v>
      </c>
      <c r="D44" s="3"/>
      <c r="E44" s="184"/>
      <c r="F44" s="184"/>
      <c r="G44" s="184"/>
      <c r="H44" s="184"/>
      <c r="I44" s="184"/>
      <c r="J44" s="184"/>
      <c r="K44" s="184"/>
      <c r="L44" s="184"/>
      <c r="M44" s="185"/>
      <c r="N44" s="185"/>
      <c r="O44" s="186"/>
      <c r="P44" s="187"/>
      <c r="Q44" s="187"/>
      <c r="R44" s="188"/>
      <c r="S44" s="188"/>
      <c r="T44" s="185"/>
      <c r="U44" s="185"/>
      <c r="V44" s="189"/>
      <c r="W44" s="190"/>
      <c r="X44" s="191"/>
      <c r="Y44" s="186"/>
      <c r="Z44" s="192"/>
      <c r="AA44" s="97"/>
      <c r="AB44" s="193"/>
    </row>
    <row r="45" spans="1:28">
      <c r="A45" s="116"/>
      <c r="B45" s="116"/>
      <c r="C45" s="116">
        <v>5</v>
      </c>
      <c r="D45" s="3"/>
      <c r="E45" s="184"/>
      <c r="F45" s="184"/>
      <c r="G45" s="184"/>
      <c r="H45" s="184"/>
      <c r="I45" s="184"/>
      <c r="J45" s="184"/>
      <c r="K45" s="184"/>
      <c r="L45" s="184"/>
      <c r="M45" s="185"/>
      <c r="N45" s="185"/>
      <c r="O45" s="186"/>
      <c r="P45" s="187"/>
      <c r="Q45" s="187"/>
      <c r="R45" s="188"/>
      <c r="S45" s="188"/>
      <c r="T45" s="185"/>
      <c r="U45" s="185"/>
      <c r="V45" s="189"/>
      <c r="W45" s="190"/>
      <c r="X45" s="191"/>
      <c r="Y45" s="186"/>
      <c r="Z45" s="192"/>
      <c r="AA45" s="97"/>
      <c r="AB45" s="193"/>
    </row>
    <row r="46" spans="1:28">
      <c r="A46" s="116"/>
      <c r="B46" s="116"/>
      <c r="C46" s="116">
        <v>5</v>
      </c>
      <c r="D46" s="3"/>
      <c r="E46" s="184"/>
      <c r="F46" s="184"/>
      <c r="G46" s="184"/>
      <c r="H46" s="184"/>
      <c r="I46" s="184"/>
      <c r="J46" s="184"/>
      <c r="K46" s="184"/>
      <c r="L46" s="184"/>
      <c r="M46" s="185"/>
      <c r="N46" s="185"/>
      <c r="O46" s="186"/>
      <c r="P46" s="187"/>
      <c r="Q46" s="187"/>
      <c r="R46" s="188"/>
      <c r="S46" s="188"/>
      <c r="T46" s="185"/>
      <c r="U46" s="185"/>
      <c r="V46" s="189"/>
      <c r="W46" s="190"/>
      <c r="X46" s="191"/>
      <c r="Y46" s="186"/>
      <c r="Z46" s="192"/>
      <c r="AA46" s="97"/>
      <c r="AB46" s="193"/>
    </row>
    <row r="47" spans="1:28">
      <c r="A47" s="116"/>
      <c r="B47" s="116"/>
      <c r="C47" s="116">
        <v>5</v>
      </c>
      <c r="D47" s="3"/>
      <c r="E47" s="184"/>
      <c r="F47" s="184"/>
      <c r="G47" s="184"/>
      <c r="H47" s="184"/>
      <c r="I47" s="184"/>
      <c r="J47" s="184"/>
      <c r="K47" s="184"/>
      <c r="L47" s="184"/>
      <c r="M47" s="185"/>
      <c r="N47" s="185"/>
      <c r="O47" s="186"/>
      <c r="P47" s="187"/>
      <c r="Q47" s="187"/>
      <c r="R47" s="188"/>
      <c r="S47" s="188"/>
      <c r="T47" s="185"/>
      <c r="U47" s="185"/>
      <c r="V47" s="189"/>
      <c r="W47" s="190"/>
      <c r="X47" s="191"/>
      <c r="Y47" s="186"/>
      <c r="Z47" s="192"/>
      <c r="AA47" s="97"/>
      <c r="AB47" s="193"/>
    </row>
    <row r="48" spans="1:28">
      <c r="A48" s="116"/>
      <c r="B48" s="116" t="s">
        <v>1065</v>
      </c>
      <c r="C48" s="116">
        <v>3</v>
      </c>
      <c r="D48" s="3"/>
      <c r="E48" s="184"/>
      <c r="F48" s="184"/>
      <c r="G48" s="184"/>
      <c r="H48" s="184"/>
      <c r="I48" s="184"/>
      <c r="J48" s="184"/>
      <c r="K48" s="184"/>
      <c r="L48" s="184"/>
      <c r="M48" s="185"/>
      <c r="N48" s="185"/>
      <c r="O48" s="186"/>
      <c r="P48" s="187"/>
      <c r="Q48" s="187"/>
      <c r="R48" s="188"/>
      <c r="S48" s="188"/>
      <c r="T48" s="185"/>
      <c r="U48" s="185"/>
      <c r="V48" s="189"/>
      <c r="W48" s="190"/>
      <c r="X48" s="191"/>
      <c r="Y48" s="186"/>
      <c r="Z48" s="192"/>
      <c r="AA48" s="97"/>
      <c r="AB48" s="193"/>
    </row>
    <row r="49" spans="1:28">
      <c r="A49" s="116"/>
      <c r="B49" s="116"/>
      <c r="C49" s="116">
        <v>4</v>
      </c>
      <c r="D49" s="3"/>
      <c r="E49" s="184"/>
      <c r="F49" s="184"/>
      <c r="G49" s="184"/>
      <c r="H49" s="184"/>
      <c r="I49" s="184"/>
      <c r="J49" s="184"/>
      <c r="K49" s="184"/>
      <c r="L49" s="184"/>
      <c r="M49" s="185"/>
      <c r="N49" s="185"/>
      <c r="O49" s="186"/>
      <c r="P49" s="187"/>
      <c r="Q49" s="187"/>
      <c r="R49" s="188"/>
      <c r="S49" s="188"/>
      <c r="T49" s="185"/>
      <c r="U49" s="185"/>
      <c r="V49" s="189"/>
      <c r="W49" s="190"/>
      <c r="X49" s="191"/>
      <c r="Y49" s="186"/>
      <c r="Z49" s="192"/>
      <c r="AA49" s="97"/>
      <c r="AB49" s="193"/>
    </row>
    <row r="50" spans="1:28">
      <c r="A50" s="116"/>
      <c r="B50" s="116"/>
      <c r="C50" s="116">
        <v>4</v>
      </c>
      <c r="D50" s="3"/>
      <c r="E50" s="184"/>
      <c r="F50" s="184"/>
      <c r="G50" s="184"/>
      <c r="H50" s="184"/>
      <c r="I50" s="184"/>
      <c r="J50" s="184"/>
      <c r="K50" s="184"/>
      <c r="L50" s="184"/>
      <c r="M50" s="185"/>
      <c r="N50" s="185"/>
      <c r="O50" s="186"/>
      <c r="P50" s="187"/>
      <c r="Q50" s="187"/>
      <c r="R50" s="188"/>
      <c r="S50" s="188"/>
      <c r="T50" s="185"/>
      <c r="U50" s="185"/>
      <c r="V50" s="189"/>
      <c r="W50" s="190"/>
      <c r="X50" s="191"/>
      <c r="Y50" s="186"/>
      <c r="Z50" s="192"/>
      <c r="AA50" s="97"/>
      <c r="AB50" s="193"/>
    </row>
    <row r="51" spans="1:28">
      <c r="A51" s="116"/>
      <c r="B51" s="116" t="s">
        <v>1065</v>
      </c>
      <c r="C51" s="116">
        <v>2</v>
      </c>
      <c r="D51" s="3"/>
      <c r="E51" s="184"/>
      <c r="F51" s="184"/>
      <c r="G51" s="184"/>
      <c r="H51" s="184"/>
      <c r="I51" s="184"/>
      <c r="J51" s="184"/>
      <c r="K51" s="184"/>
      <c r="L51" s="184"/>
      <c r="M51" s="185"/>
      <c r="N51" s="185"/>
      <c r="O51" s="186"/>
      <c r="P51" s="187"/>
      <c r="Q51" s="187"/>
      <c r="R51" s="188"/>
      <c r="S51" s="188"/>
      <c r="T51" s="185"/>
      <c r="U51" s="185"/>
      <c r="V51" s="189"/>
      <c r="W51" s="190"/>
      <c r="X51" s="191"/>
      <c r="Y51" s="186"/>
      <c r="Z51" s="192"/>
      <c r="AA51" s="97"/>
      <c r="AB51" s="193"/>
    </row>
    <row r="52" spans="1:28">
      <c r="A52" s="116"/>
      <c r="B52" s="116" t="s">
        <v>1065</v>
      </c>
      <c r="C52" s="116">
        <v>3</v>
      </c>
      <c r="D52" s="3"/>
      <c r="E52" s="184"/>
      <c r="F52" s="184"/>
      <c r="G52" s="184"/>
      <c r="H52" s="184"/>
      <c r="I52" s="184"/>
      <c r="J52" s="184"/>
      <c r="K52" s="184"/>
      <c r="L52" s="184"/>
      <c r="M52" s="185"/>
      <c r="N52" s="185"/>
      <c r="O52" s="186"/>
      <c r="P52" s="187"/>
      <c r="Q52" s="187"/>
      <c r="R52" s="188"/>
      <c r="S52" s="188"/>
      <c r="T52" s="185"/>
      <c r="U52" s="185"/>
      <c r="V52" s="189"/>
      <c r="W52" s="190"/>
      <c r="X52" s="191"/>
      <c r="Y52" s="186"/>
      <c r="Z52" s="192"/>
      <c r="AA52" s="97"/>
      <c r="AB52" s="193"/>
    </row>
    <row r="53" spans="1:28">
      <c r="A53" s="116"/>
      <c r="B53" s="116"/>
      <c r="C53" s="116">
        <v>4</v>
      </c>
      <c r="D53" s="3"/>
      <c r="E53" s="184"/>
      <c r="F53" s="184"/>
      <c r="G53" s="184"/>
      <c r="H53" s="184"/>
      <c r="I53" s="184"/>
      <c r="J53" s="184"/>
      <c r="K53" s="184"/>
      <c r="L53" s="184"/>
      <c r="M53" s="185"/>
      <c r="N53" s="185"/>
      <c r="O53" s="186"/>
      <c r="P53" s="187"/>
      <c r="Q53" s="187"/>
      <c r="R53" s="188"/>
      <c r="S53" s="188"/>
      <c r="T53" s="185"/>
      <c r="U53" s="185"/>
      <c r="V53" s="189"/>
      <c r="W53" s="190"/>
      <c r="X53" s="191"/>
      <c r="Y53" s="186"/>
      <c r="Z53" s="192"/>
      <c r="AA53" s="97"/>
      <c r="AB53" s="193"/>
    </row>
    <row r="54" spans="1:28">
      <c r="A54" s="116"/>
      <c r="B54" s="116" t="s">
        <v>1065</v>
      </c>
      <c r="C54" s="116">
        <v>3</v>
      </c>
      <c r="D54" s="3"/>
      <c r="E54" s="184"/>
      <c r="F54" s="184"/>
      <c r="G54" s="184"/>
      <c r="H54" s="184"/>
      <c r="I54" s="184"/>
      <c r="J54" s="184"/>
      <c r="K54" s="184"/>
      <c r="L54" s="184"/>
      <c r="M54" s="185"/>
      <c r="N54" s="185"/>
      <c r="O54" s="186"/>
      <c r="P54" s="187"/>
      <c r="Q54" s="187"/>
      <c r="R54" s="188"/>
      <c r="S54" s="188"/>
      <c r="T54" s="185"/>
      <c r="U54" s="185"/>
      <c r="V54" s="189"/>
      <c r="W54" s="190"/>
      <c r="X54" s="191"/>
      <c r="Y54" s="186"/>
      <c r="Z54" s="192"/>
      <c r="AA54" s="97"/>
      <c r="AB54" s="193"/>
    </row>
    <row r="55" spans="1:28">
      <c r="A55" s="116"/>
      <c r="B55" s="116"/>
      <c r="C55" s="116">
        <v>4</v>
      </c>
      <c r="D55" s="3"/>
      <c r="E55" s="184"/>
      <c r="F55" s="18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28">
      <c r="A56" s="116"/>
      <c r="B56" s="116"/>
      <c r="C56" s="116">
        <v>4</v>
      </c>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28">
      <c r="A57" s="116"/>
      <c r="B57" s="116"/>
      <c r="C57" s="116">
        <v>4</v>
      </c>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28">
      <c r="A58" s="116"/>
      <c r="B58" s="116"/>
      <c r="C58" s="116">
        <v>4</v>
      </c>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28">
      <c r="A59" s="194"/>
      <c r="B59" s="194"/>
      <c r="C59" s="194"/>
      <c r="D59" s="195"/>
      <c r="E59" s="196"/>
      <c r="F59" s="196"/>
      <c r="G59" s="196"/>
      <c r="H59" s="196"/>
      <c r="I59" s="196"/>
      <c r="J59" s="196"/>
      <c r="K59" s="196"/>
      <c r="L59" s="196"/>
      <c r="M59" s="197"/>
      <c r="N59" s="197"/>
      <c r="O59" s="198"/>
      <c r="P59" s="199"/>
      <c r="Q59" s="199"/>
      <c r="R59" s="200"/>
      <c r="S59" s="200"/>
      <c r="T59" s="197"/>
      <c r="U59" s="197"/>
      <c r="V59" s="201"/>
      <c r="W59" s="202"/>
      <c r="X59" s="203"/>
      <c r="Y59" s="198"/>
      <c r="Z59" s="204"/>
      <c r="AA59" s="205"/>
      <c r="AB59" s="206"/>
    </row>
    <row r="60" spans="1:28">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28">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28">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28">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28">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207"/>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69"/>
      <c r="B132" s="169"/>
      <c r="C132" s="169"/>
      <c r="D132" s="170"/>
      <c r="E132" s="171"/>
      <c r="F132" s="171"/>
      <c r="G132" s="171"/>
      <c r="H132" s="171"/>
      <c r="I132" s="171"/>
      <c r="J132" s="171"/>
      <c r="K132" s="171"/>
      <c r="L132" s="171"/>
      <c r="M132" s="172"/>
      <c r="N132" s="172"/>
      <c r="O132" s="173"/>
      <c r="P132" s="174"/>
      <c r="Q132" s="174"/>
      <c r="R132" s="175"/>
      <c r="S132" s="175"/>
      <c r="T132" s="172"/>
      <c r="U132" s="172"/>
      <c r="V132" s="176"/>
      <c r="W132" s="177"/>
      <c r="X132" s="178"/>
      <c r="Y132" s="173"/>
      <c r="Z132" s="179"/>
      <c r="AA132" s="180"/>
      <c r="AB132" s="181"/>
    </row>
  </sheetData>
  <sheetProtection formatCells="0" formatColumns="0" formatRows="0" insertColumns="0" insertRows="0" insertHyperlinks="0" deleteColumns="0" deleteRows="0" sort="0" autoFilter="0" pivotTables="0"/>
  <dataConsolidate/>
  <mergeCells count="25">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s>
  <phoneticPr fontId="8" type="noConversion"/>
  <conditionalFormatting sqref="D5:AB22">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1147</v>
      </c>
      <c r="B1" s="18"/>
      <c r="C1" s="18"/>
      <c r="D1" s="18"/>
      <c r="E1" s="18"/>
      <c r="F1" s="18"/>
      <c r="G1" s="18"/>
      <c r="H1" s="18"/>
      <c r="I1" s="18"/>
      <c r="J1" s="18"/>
      <c r="K1" s="18"/>
      <c r="L1" s="241"/>
      <c r="M1" s="242"/>
      <c r="N1" s="242"/>
      <c r="O1" s="19"/>
      <c r="P1" s="19"/>
      <c r="Q1" s="19"/>
    </row>
    <row r="2" spans="1:17" s="23" customFormat="1" ht="13.8">
      <c r="A2" s="21" t="s">
        <v>1077</v>
      </c>
      <c r="B2" s="22"/>
    </row>
    <row r="3" spans="1:17" s="23" customFormat="1" ht="13.8">
      <c r="A3" s="21" t="s">
        <v>1078</v>
      </c>
      <c r="B3" s="22"/>
    </row>
    <row r="4" spans="1:17" s="23" customFormat="1" ht="13.8">
      <c r="A4" s="243"/>
      <c r="B4" s="243"/>
      <c r="C4" s="24"/>
      <c r="D4" s="25"/>
      <c r="E4" s="25"/>
      <c r="F4" s="25"/>
    </row>
    <row r="5" spans="1:17" s="31" customFormat="1" ht="13.8">
      <c r="A5" s="26"/>
      <c r="B5" s="27"/>
      <c r="C5" s="28"/>
      <c r="D5" s="29"/>
      <c r="E5" s="30"/>
      <c r="F5" s="30"/>
      <c r="G5" s="30"/>
    </row>
    <row r="6" spans="1:17" s="31" customFormat="1" ht="13.8">
      <c r="A6" s="32" t="s">
        <v>1079</v>
      </c>
      <c r="B6" s="33">
        <v>2</v>
      </c>
      <c r="C6" s="31" t="s">
        <v>1</v>
      </c>
      <c r="D6" s="240" t="s">
        <v>1080</v>
      </c>
      <c r="E6" s="240"/>
      <c r="F6" s="240"/>
      <c r="G6" s="240"/>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1081</v>
      </c>
      <c r="B9" s="33">
        <v>1</v>
      </c>
      <c r="C9" s="31" t="s">
        <v>1</v>
      </c>
      <c r="D9" s="239" t="s">
        <v>1082</v>
      </c>
      <c r="E9" s="239"/>
      <c r="F9" s="239"/>
      <c r="G9" s="239"/>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1076</v>
      </c>
      <c r="B12" s="33">
        <v>0</v>
      </c>
      <c r="C12" s="31" t="s">
        <v>1</v>
      </c>
      <c r="D12" s="239" t="s">
        <v>1126</v>
      </c>
      <c r="E12" s="239"/>
      <c r="F12" s="239"/>
      <c r="G12" s="239"/>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1076</v>
      </c>
      <c r="B15" s="33"/>
      <c r="C15" s="31" t="s">
        <v>1</v>
      </c>
      <c r="D15" s="239" t="s">
        <v>1083</v>
      </c>
      <c r="E15" s="239"/>
      <c r="F15" s="239"/>
      <c r="G15" s="239"/>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1084</v>
      </c>
      <c r="B18" s="55">
        <v>0.5</v>
      </c>
      <c r="D18" s="239" t="s">
        <v>1085</v>
      </c>
      <c r="E18" s="239"/>
      <c r="F18" s="239"/>
      <c r="G18" s="239"/>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1086</v>
      </c>
      <c r="B21" s="55">
        <v>0</v>
      </c>
      <c r="D21" s="239" t="s">
        <v>1087</v>
      </c>
      <c r="E21" s="239"/>
      <c r="F21" s="239"/>
      <c r="G21" s="239"/>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1088</v>
      </c>
      <c r="B24" s="65">
        <f>ACTUAL_RATE-PLANNED_RATE</f>
        <v>-0.5</v>
      </c>
      <c r="D24" s="240" t="s">
        <v>1089</v>
      </c>
      <c r="E24" s="240"/>
      <c r="F24" s="240"/>
      <c r="G24" s="240"/>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1120</v>
      </c>
    </row>
    <row r="2" spans="2:6">
      <c r="B2" s="213" t="s">
        <v>1121</v>
      </c>
    </row>
    <row r="3" spans="2:6">
      <c r="B3" s="213" t="s">
        <v>1122</v>
      </c>
    </row>
    <row r="6" spans="2:6" ht="28.8">
      <c r="B6" s="79" t="s">
        <v>1091</v>
      </c>
      <c r="C6" s="183" t="s">
        <v>1092</v>
      </c>
      <c r="D6" s="183" t="s">
        <v>2</v>
      </c>
      <c r="E6" s="183" t="s">
        <v>1123</v>
      </c>
      <c r="F6" s="212" t="s">
        <v>1124</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1094</v>
      </c>
      <c r="B1" s="17"/>
      <c r="C1" s="17"/>
      <c r="D1" s="17"/>
      <c r="E1" s="17"/>
      <c r="F1" s="17"/>
      <c r="G1" s="17"/>
      <c r="H1" s="17"/>
    </row>
    <row r="2" spans="1:9" s="81" customFormat="1" ht="78.75" customHeight="1">
      <c r="A2" s="244" t="s">
        <v>1095</v>
      </c>
      <c r="B2" s="244"/>
      <c r="C2" s="244"/>
      <c r="D2" s="244"/>
      <c r="E2" s="244"/>
      <c r="F2" s="244"/>
      <c r="G2" s="244"/>
      <c r="H2" s="244"/>
    </row>
    <row r="3" spans="1:9" s="81" customFormat="1" ht="24.75" customHeight="1">
      <c r="A3" s="245" t="s">
        <v>1096</v>
      </c>
      <c r="B3" s="245"/>
      <c r="D3" s="245" t="s">
        <v>1097</v>
      </c>
      <c r="E3" s="245"/>
      <c r="G3" s="245" t="s">
        <v>1098</v>
      </c>
      <c r="H3" s="245"/>
    </row>
    <row r="4" spans="1:9" s="83" customFormat="1" ht="19.5" customHeight="1">
      <c r="A4" s="82" t="s">
        <v>1099</v>
      </c>
      <c r="B4" s="82" t="s">
        <v>1101</v>
      </c>
      <c r="D4" s="82" t="s">
        <v>1100</v>
      </c>
      <c r="E4" s="82" t="s">
        <v>1102</v>
      </c>
      <c r="G4" s="82" t="s">
        <v>1100</v>
      </c>
      <c r="H4" s="82" t="s">
        <v>1101</v>
      </c>
    </row>
    <row r="5" spans="1:9" ht="17.399999999999999">
      <c r="A5" s="118" t="s">
        <v>1049</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1050</v>
      </c>
      <c r="B6" s="119">
        <v>43146</v>
      </c>
      <c r="C6" s="86" t="str">
        <f t="shared" si="0"/>
        <v>(목)</v>
      </c>
      <c r="D6" s="84"/>
      <c r="E6" s="85"/>
      <c r="F6" s="86" t="str">
        <f t="shared" si="1"/>
        <v/>
      </c>
      <c r="G6" s="84"/>
      <c r="H6" s="85"/>
      <c r="I6" s="86" t="str">
        <f t="shared" si="2"/>
        <v/>
      </c>
    </row>
    <row r="7" spans="1:9" ht="17.399999999999999">
      <c r="A7" s="118" t="s">
        <v>1051</v>
      </c>
      <c r="B7" s="119">
        <v>43147</v>
      </c>
      <c r="C7" s="86" t="str">
        <f t="shared" si="0"/>
        <v>(금)</v>
      </c>
      <c r="D7" s="84"/>
      <c r="E7" s="85"/>
      <c r="F7" s="86" t="str">
        <f t="shared" si="1"/>
        <v/>
      </c>
      <c r="G7" s="84"/>
      <c r="H7" s="85"/>
      <c r="I7" s="86" t="str">
        <f t="shared" si="2"/>
        <v/>
      </c>
    </row>
    <row r="8" spans="1:9" ht="17.399999999999999">
      <c r="A8" s="118" t="s">
        <v>1052</v>
      </c>
      <c r="B8" s="119">
        <v>43160</v>
      </c>
      <c r="C8" s="86" t="str">
        <f t="shared" si="0"/>
        <v>(목)</v>
      </c>
      <c r="D8" s="84"/>
      <c r="E8" s="85"/>
      <c r="F8" s="86" t="str">
        <f t="shared" si="1"/>
        <v/>
      </c>
      <c r="G8" s="84"/>
      <c r="H8" s="85"/>
      <c r="I8" s="86" t="str">
        <f t="shared" si="2"/>
        <v/>
      </c>
    </row>
    <row r="9" spans="1:9" ht="17.399999999999999">
      <c r="A9" s="118" t="s">
        <v>913</v>
      </c>
      <c r="B9" s="119">
        <v>43227</v>
      </c>
      <c r="C9" s="86" t="str">
        <f t="shared" si="0"/>
        <v>(월)</v>
      </c>
      <c r="D9" s="84"/>
      <c r="E9" s="85"/>
      <c r="F9" s="86" t="str">
        <f t="shared" si="1"/>
        <v/>
      </c>
      <c r="G9" s="84"/>
      <c r="H9" s="85"/>
      <c r="I9" s="86" t="str">
        <f t="shared" si="2"/>
        <v/>
      </c>
    </row>
    <row r="10" spans="1:9" ht="17.399999999999999">
      <c r="A10" s="118" t="s">
        <v>914</v>
      </c>
      <c r="B10" s="119">
        <v>43242</v>
      </c>
      <c r="C10" s="86" t="str">
        <f t="shared" si="0"/>
        <v>(화)</v>
      </c>
      <c r="D10" s="84"/>
      <c r="E10" s="85"/>
      <c r="F10" s="86" t="str">
        <f t="shared" si="1"/>
        <v/>
      </c>
      <c r="G10" s="84"/>
      <c r="H10" s="85"/>
      <c r="I10" s="86" t="str">
        <f t="shared" si="2"/>
        <v/>
      </c>
    </row>
    <row r="11" spans="1:9" ht="17.399999999999999">
      <c r="A11" s="118" t="s">
        <v>915</v>
      </c>
      <c r="B11" s="119">
        <v>43257</v>
      </c>
      <c r="C11" s="86" t="str">
        <f t="shared" si="0"/>
        <v>(수)</v>
      </c>
      <c r="D11" s="84"/>
      <c r="E11" s="85"/>
      <c r="F11" s="86" t="str">
        <f t="shared" si="1"/>
        <v/>
      </c>
      <c r="G11" s="84"/>
      <c r="H11" s="85"/>
      <c r="I11" s="86" t="str">
        <f t="shared" si="2"/>
        <v/>
      </c>
    </row>
    <row r="12" spans="1:9" ht="17.399999999999999">
      <c r="A12" s="118" t="s">
        <v>916</v>
      </c>
      <c r="B12" s="119">
        <v>43327</v>
      </c>
      <c r="C12" s="86" t="str">
        <f t="shared" si="0"/>
        <v>(수)</v>
      </c>
      <c r="D12" s="84"/>
      <c r="E12" s="85"/>
      <c r="F12" s="86" t="str">
        <f t="shared" si="1"/>
        <v/>
      </c>
      <c r="G12" s="84"/>
      <c r="H12" s="85"/>
      <c r="I12" s="86" t="str">
        <f t="shared" si="2"/>
        <v/>
      </c>
    </row>
    <row r="13" spans="1:9" ht="17.399999999999999">
      <c r="A13" s="118" t="s">
        <v>917</v>
      </c>
      <c r="B13" s="119">
        <v>43367</v>
      </c>
      <c r="C13" s="86" t="str">
        <f t="shared" si="0"/>
        <v>(월)</v>
      </c>
      <c r="D13" s="84"/>
      <c r="E13" s="85"/>
      <c r="F13" s="86" t="str">
        <f t="shared" si="1"/>
        <v/>
      </c>
      <c r="G13" s="84"/>
      <c r="H13" s="85"/>
      <c r="I13" s="86" t="str">
        <f t="shared" si="2"/>
        <v/>
      </c>
    </row>
    <row r="14" spans="1:9" ht="17.399999999999999">
      <c r="A14" s="118" t="s">
        <v>918</v>
      </c>
      <c r="B14" s="119">
        <v>43368</v>
      </c>
      <c r="C14" s="86" t="str">
        <f t="shared" si="0"/>
        <v>(화)</v>
      </c>
      <c r="D14" s="84"/>
      <c r="E14" s="85"/>
      <c r="F14" s="86" t="str">
        <f t="shared" si="1"/>
        <v/>
      </c>
      <c r="G14" s="84"/>
      <c r="H14" s="85"/>
      <c r="I14" s="86" t="str">
        <f t="shared" si="2"/>
        <v/>
      </c>
    </row>
    <row r="15" spans="1:9" ht="17.399999999999999">
      <c r="A15" s="118" t="s">
        <v>919</v>
      </c>
      <c r="B15" s="119">
        <v>43369</v>
      </c>
      <c r="C15" s="86" t="str">
        <f t="shared" si="0"/>
        <v>(수)</v>
      </c>
      <c r="D15" s="84"/>
      <c r="E15" s="85"/>
      <c r="F15" s="86" t="str">
        <f t="shared" si="1"/>
        <v/>
      </c>
      <c r="G15" s="84"/>
      <c r="H15" s="85"/>
      <c r="I15" s="86" t="str">
        <f t="shared" si="2"/>
        <v/>
      </c>
    </row>
    <row r="16" spans="1:9" ht="17.399999999999999">
      <c r="A16" s="118" t="s">
        <v>920</v>
      </c>
      <c r="B16" s="119">
        <v>43376</v>
      </c>
      <c r="C16" s="86" t="str">
        <f t="shared" si="0"/>
        <v>(수)</v>
      </c>
      <c r="D16" s="84"/>
      <c r="E16" s="85"/>
      <c r="F16" s="86" t="str">
        <f t="shared" si="1"/>
        <v/>
      </c>
      <c r="G16" s="84"/>
      <c r="H16" s="85"/>
      <c r="I16" s="86" t="str">
        <f t="shared" si="2"/>
        <v/>
      </c>
    </row>
    <row r="17" spans="1:10" ht="17.399999999999999">
      <c r="A17" s="118" t="s">
        <v>921</v>
      </c>
      <c r="B17" s="119">
        <v>43382</v>
      </c>
      <c r="C17" s="86" t="str">
        <f t="shared" si="0"/>
        <v>(화)</v>
      </c>
      <c r="D17" s="84"/>
      <c r="E17" s="85"/>
      <c r="F17" s="86" t="str">
        <f t="shared" si="1"/>
        <v/>
      </c>
      <c r="G17" s="84"/>
      <c r="H17" s="85"/>
      <c r="I17" s="86" t="str">
        <f t="shared" si="2"/>
        <v/>
      </c>
    </row>
    <row r="18" spans="1:10" ht="17.399999999999999">
      <c r="A18" s="118" t="s">
        <v>922</v>
      </c>
      <c r="B18" s="119">
        <v>43459</v>
      </c>
      <c r="C18" s="86" t="str">
        <f t="shared" si="0"/>
        <v>(화)</v>
      </c>
      <c r="D18" s="84"/>
      <c r="E18" s="85"/>
      <c r="F18" s="86" t="str">
        <f t="shared" si="1"/>
        <v/>
      </c>
      <c r="G18" s="84"/>
      <c r="H18" s="85"/>
      <c r="I18" s="86" t="str">
        <f t="shared" si="2"/>
        <v/>
      </c>
    </row>
    <row r="19" spans="1:10" ht="17.399999999999999">
      <c r="A19" s="118" t="s">
        <v>1053</v>
      </c>
      <c r="B19" s="119">
        <v>43466</v>
      </c>
      <c r="C19" s="86" t="str">
        <f t="shared" si="0"/>
        <v>(화)</v>
      </c>
      <c r="D19" s="84"/>
      <c r="E19" s="85"/>
      <c r="F19" s="86" t="str">
        <f t="shared" si="1"/>
        <v/>
      </c>
      <c r="G19" s="84"/>
      <c r="H19" s="85"/>
      <c r="I19" s="86" t="str">
        <f t="shared" si="2"/>
        <v/>
      </c>
      <c r="J19" s="87"/>
    </row>
    <row r="20" spans="1:10" ht="17.399999999999999">
      <c r="A20" s="118" t="s">
        <v>1054</v>
      </c>
      <c r="B20" s="119">
        <v>43500</v>
      </c>
      <c r="C20" s="86" t="str">
        <f t="shared" si="0"/>
        <v>(월)</v>
      </c>
      <c r="D20" s="84"/>
      <c r="E20" s="85"/>
      <c r="F20" s="86" t="str">
        <f t="shared" si="1"/>
        <v/>
      </c>
      <c r="G20" s="84"/>
      <c r="H20" s="85"/>
      <c r="I20" s="86" t="str">
        <f t="shared" si="2"/>
        <v/>
      </c>
      <c r="J20" s="87"/>
    </row>
    <row r="21" spans="1:10" ht="17.399999999999999">
      <c r="A21" s="118" t="s">
        <v>1055</v>
      </c>
      <c r="B21" s="119">
        <v>43501</v>
      </c>
      <c r="C21" s="86" t="str">
        <f t="shared" si="0"/>
        <v>(화)</v>
      </c>
      <c r="D21" s="84"/>
      <c r="E21" s="85"/>
      <c r="F21" s="86" t="str">
        <f t="shared" si="1"/>
        <v/>
      </c>
      <c r="G21" s="84"/>
      <c r="H21" s="85"/>
      <c r="I21" s="86" t="str">
        <f t="shared" si="2"/>
        <v/>
      </c>
    </row>
    <row r="22" spans="1:10" ht="17.399999999999999">
      <c r="A22" s="118" t="s">
        <v>1054</v>
      </c>
      <c r="B22" s="119">
        <v>43502</v>
      </c>
      <c r="C22" s="86" t="str">
        <f t="shared" si="0"/>
        <v>(수)</v>
      </c>
      <c r="D22" s="84"/>
      <c r="E22" s="85"/>
      <c r="F22" s="86" t="str">
        <f t="shared" si="1"/>
        <v/>
      </c>
      <c r="G22" s="84"/>
      <c r="H22" s="85"/>
      <c r="I22" s="86" t="str">
        <f t="shared" si="2"/>
        <v/>
      </c>
    </row>
    <row r="23" spans="1:10" ht="17.399999999999999">
      <c r="A23" s="118" t="s">
        <v>1056</v>
      </c>
      <c r="B23" s="119">
        <v>43525</v>
      </c>
      <c r="C23" s="86" t="str">
        <f t="shared" si="0"/>
        <v>(금)</v>
      </c>
      <c r="D23" s="84"/>
      <c r="E23" s="85"/>
      <c r="F23" s="86" t="str">
        <f t="shared" si="1"/>
        <v/>
      </c>
      <c r="G23" s="84"/>
      <c r="H23" s="85"/>
      <c r="I23" s="86" t="str">
        <f t="shared" si="2"/>
        <v/>
      </c>
    </row>
    <row r="24" spans="1:10" ht="17.399999999999999">
      <c r="A24" s="118" t="s">
        <v>1057</v>
      </c>
      <c r="B24" s="119">
        <v>43591</v>
      </c>
      <c r="C24" s="86" t="str">
        <f t="shared" si="0"/>
        <v>(월)</v>
      </c>
      <c r="D24" s="84"/>
      <c r="E24" s="85"/>
      <c r="F24" s="86" t="str">
        <f t="shared" si="1"/>
        <v/>
      </c>
      <c r="G24" s="84"/>
      <c r="H24" s="85"/>
      <c r="I24" s="86" t="str">
        <f t="shared" si="2"/>
        <v/>
      </c>
    </row>
    <row r="25" spans="1:10" ht="17.399999999999999">
      <c r="A25" s="118" t="s">
        <v>1058</v>
      </c>
      <c r="B25" s="119">
        <v>43622</v>
      </c>
      <c r="C25" s="86" t="str">
        <f t="shared" si="0"/>
        <v>(목)</v>
      </c>
      <c r="D25" s="84"/>
      <c r="E25" s="85"/>
      <c r="F25" s="86" t="str">
        <f t="shared" si="1"/>
        <v/>
      </c>
      <c r="G25" s="84"/>
      <c r="H25" s="85"/>
      <c r="I25" s="86" t="str">
        <f t="shared" si="2"/>
        <v/>
      </c>
    </row>
    <row r="26" spans="1:10" ht="17.399999999999999">
      <c r="A26" s="118" t="s">
        <v>1059</v>
      </c>
      <c r="B26" s="119">
        <v>43692</v>
      </c>
      <c r="C26" s="86" t="str">
        <f t="shared" si="0"/>
        <v>(목)</v>
      </c>
      <c r="D26" s="84"/>
      <c r="E26" s="85"/>
      <c r="F26" s="86" t="str">
        <f t="shared" si="1"/>
        <v/>
      </c>
      <c r="G26" s="84"/>
      <c r="H26" s="85"/>
      <c r="I26" s="86" t="str">
        <f t="shared" si="2"/>
        <v/>
      </c>
    </row>
    <row r="27" spans="1:10" ht="17.399999999999999">
      <c r="A27" s="118" t="s">
        <v>1060</v>
      </c>
      <c r="B27" s="119">
        <v>43720</v>
      </c>
      <c r="C27" s="86" t="str">
        <f t="shared" si="0"/>
        <v>(목)</v>
      </c>
      <c r="D27" s="84"/>
      <c r="E27" s="85"/>
      <c r="F27" s="86" t="str">
        <f t="shared" si="1"/>
        <v/>
      </c>
      <c r="G27" s="84"/>
      <c r="H27" s="85"/>
      <c r="I27" s="86" t="str">
        <f t="shared" si="2"/>
        <v/>
      </c>
    </row>
    <row r="28" spans="1:10" ht="17.399999999999999">
      <c r="A28" s="118" t="s">
        <v>1061</v>
      </c>
      <c r="B28" s="119">
        <v>43721</v>
      </c>
      <c r="C28" s="86" t="str">
        <f t="shared" si="0"/>
        <v>(금)</v>
      </c>
      <c r="D28" s="84"/>
      <c r="E28" s="85"/>
      <c r="F28" s="86" t="str">
        <f t="shared" si="1"/>
        <v/>
      </c>
      <c r="G28" s="84"/>
      <c r="H28" s="85"/>
      <c r="I28" s="86" t="str">
        <f t="shared" si="2"/>
        <v/>
      </c>
    </row>
    <row r="29" spans="1:10" ht="17.399999999999999">
      <c r="A29" s="118" t="s">
        <v>1062</v>
      </c>
      <c r="B29" s="119">
        <v>43741</v>
      </c>
      <c r="C29" s="86" t="str">
        <f t="shared" si="0"/>
        <v>(목)</v>
      </c>
      <c r="D29" s="84"/>
      <c r="E29" s="85"/>
      <c r="F29" s="86" t="str">
        <f t="shared" si="1"/>
        <v/>
      </c>
      <c r="G29" s="84"/>
      <c r="H29" s="85"/>
      <c r="I29" s="86" t="str">
        <f t="shared" si="2"/>
        <v/>
      </c>
    </row>
    <row r="30" spans="1:10" ht="17.399999999999999">
      <c r="A30" s="118" t="s">
        <v>1063</v>
      </c>
      <c r="B30" s="119">
        <v>43747</v>
      </c>
      <c r="C30" s="86" t="str">
        <f t="shared" si="0"/>
        <v>(수)</v>
      </c>
      <c r="D30" s="84"/>
      <c r="E30" s="85"/>
      <c r="F30" s="86" t="str">
        <f t="shared" si="1"/>
        <v/>
      </c>
      <c r="G30" s="84"/>
      <c r="H30" s="85"/>
      <c r="I30" s="86" t="str">
        <f t="shared" si="2"/>
        <v/>
      </c>
    </row>
    <row r="31" spans="1:10" ht="17.399999999999999">
      <c r="A31" s="118" t="s">
        <v>1064</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1103</v>
      </c>
      <c r="D305" s="86" t="s">
        <v>1103</v>
      </c>
      <c r="G305" s="86" t="s">
        <v>1103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사용자</cp:lastModifiedBy>
  <dcterms:created xsi:type="dcterms:W3CDTF">2018-02-18T09:45:14Z</dcterms:created>
  <dcterms:modified xsi:type="dcterms:W3CDTF">2019-07-03T20:59:58Z</dcterms:modified>
</cp:coreProperties>
</file>