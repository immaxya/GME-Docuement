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D:\12.Document\01.Project\00. 스케쥴\01. 2019년\"/>
    </mc:Choice>
  </mc:AlternateContent>
  <xr:revisionPtr revIDLastSave="0" documentId="13_ncr:1_{1E5A654E-C918-421A-8BF8-0D71836699BC}" xr6:coauthVersionLast="45" xr6:coauthVersionMax="45" xr10:uidLastSave="{00000000-0000-0000-0000-000000000000}"/>
  <bookViews>
    <workbookView xWindow="-108" yWindow="-108" windowWidth="23256" windowHeight="12576"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K5" i="2" l="1"/>
  <c r="AI7" i="2"/>
  <c r="AI8" i="2"/>
  <c r="AJ9" i="2"/>
  <c r="AJ10" i="2"/>
  <c r="AK11" i="2"/>
  <c r="AL13" i="2"/>
  <c r="AL14" i="2"/>
  <c r="AL15" i="2"/>
  <c r="AL16" i="2"/>
  <c r="AL17" i="2"/>
  <c r="AL18" i="2"/>
  <c r="AL19" i="2"/>
  <c r="AL20" i="2"/>
  <c r="AJ22" i="2"/>
  <c r="AN22" i="2"/>
  <c r="AJ23" i="2"/>
  <c r="AL24" i="2"/>
  <c r="AL26" i="2"/>
  <c r="AM28" i="2"/>
  <c r="AN29" i="2"/>
  <c r="AL31" i="2"/>
  <c r="AL32" i="2"/>
  <c r="AL35" i="2"/>
  <c r="AM37" i="2"/>
  <c r="AN38" i="2"/>
  <c r="AM40" i="2"/>
  <c r="AM41" i="2"/>
  <c r="AM44" i="2"/>
  <c r="AM45" i="2"/>
  <c r="AN46" i="2"/>
  <c r="AO47" i="2"/>
  <c r="AN49" i="2"/>
  <c r="AS49" i="2"/>
  <c r="AQ51" i="2"/>
  <c r="AQ52" i="2"/>
  <c r="AN53" i="2"/>
  <c r="AR55" i="2"/>
  <c r="AS56" i="2"/>
  <c r="AO58" i="2"/>
  <c r="AU58" i="2"/>
  <c r="AO60" i="2"/>
  <c r="AU60" i="2"/>
  <c r="AM67" i="2"/>
  <c r="AQ67" i="2"/>
  <c r="AM68" i="2"/>
  <c r="AN69" i="2"/>
  <c r="AO70" i="2"/>
  <c r="AP73" i="2"/>
  <c r="AQ74" i="2"/>
  <c r="AL76" i="2"/>
  <c r="AL77" i="2"/>
  <c r="AM78" i="2"/>
  <c r="AM82" i="2"/>
  <c r="AN83" i="2"/>
  <c r="AN85" i="2"/>
  <c r="AQ85" i="2"/>
  <c r="AN86" i="2"/>
  <c r="AO88" i="2"/>
  <c r="AO89" i="2"/>
  <c r="AO90" i="2"/>
  <c r="AP91" i="2"/>
  <c r="AQ92" i="2"/>
  <c r="AM94" i="2"/>
  <c r="AR94" i="2"/>
  <c r="AM95" i="2"/>
  <c r="AN96" i="2"/>
  <c r="AO98" i="2"/>
  <c r="AP99" i="2"/>
  <c r="AQ100" i="2"/>
  <c r="AR101" i="2"/>
  <c r="AI103" i="2"/>
  <c r="AL103" i="2"/>
  <c r="AI104" i="2"/>
  <c r="AJ107" i="2"/>
  <c r="AK108" i="2"/>
  <c r="AQ121" i="2"/>
  <c r="AU121" i="2"/>
  <c r="AQ122" i="2"/>
  <c r="AR123" i="2"/>
  <c r="AS125" i="2"/>
  <c r="AS126" i="2"/>
  <c r="AT127" i="2"/>
  <c r="AT128" i="2"/>
  <c r="AR130" i="2"/>
  <c r="AU130" i="2"/>
  <c r="AR131" i="2"/>
  <c r="AS134" i="2"/>
  <c r="AS135" i="2"/>
  <c r="AT136" i="2"/>
  <c r="AU137" i="2"/>
  <c r="D29" i="4" l="1"/>
  <c r="E7" i="4"/>
  <c r="H121" i="8"/>
  <c r="D1" i="2"/>
  <c r="F7" i="4" l="1"/>
  <c r="E8" i="4"/>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2" i="2"/>
  <c r="AB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<sst xmlns="http://schemas.openxmlformats.org/spreadsheetml/2006/main" count="1854" uniqueCount="1326">
  <si>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</si>
  <si>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</si>
  <si>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</si>
  <si>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</si>
  <si>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</si>
  <si>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</si>
  <si>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</si>
  <si>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</si>
  <si>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</si>
  <si>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</si>
  <si>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</si>
  <si>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</si>
  <si>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</si>
  <si>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</si>
  <si>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</si>
  <si>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</si>
  <si>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</si>
  <si>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</si>
  <si>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</si>
  <si>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</si>
  <si>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</si>
  <si>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</si>
  <si>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</si>
  <si>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</si>
  <si>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</si>
  <si>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</si>
  <si>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</si>
  <si>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</si>
  <si>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</si>
  <si>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</si>
  <si>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</si>
  <si>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</si>
  <si>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</si>
  <si>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</si>
  <si>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</si>
  <si>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</si>
  <si>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</si>
  <si>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</si>
  <si>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</si>
  <si>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</si>
  <si>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</si>
  <si>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</si>
  <si>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</si>
  <si>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</si>
  <si>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</si>
  <si>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</si>
  <si>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</si>
  <si>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</si>
  <si>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</si>
  <si>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</si>
  <si>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</si>
  <si>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</si>
  <si>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</si>
  <si>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</si>
  <si>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</si>
  <si>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</si>
  <si>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</si>
  <si>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</si>
  <si>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</si>
  <si>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</si>
  <si>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</si>
  <si>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</si>
  <si>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</si>
  <si>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</si>
  <si>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</si>
  <si>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</si>
  <si>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</si>
  <si>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</si>
  <si>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</si>
  <si>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</si>
  <si>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</si>
  <si>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</si>
  <si>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</si>
  <si>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</si>
  <si>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</si>
  <si>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</si>
  <si>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</si>
  <si>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</si>
  <si>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</si>
  <si>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</si>
  <si>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</si>
  <si>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</si>
  <si>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</si>
  <si>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</si>
  <si>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</si>
  <si>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</si>
  <si>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</si>
  <si>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</si>
  <si>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</si>
  <si>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</si>
  <si>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</si>
  <si>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</si>
  <si>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</si>
  <si>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</si>
  <si>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</si>
  <si>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</si>
  <si>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</si>
  <si>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</si>
  <si>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</si>
  <si>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</si>
  <si>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</si>
  <si>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</si>
  <si>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</si>
  <si>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</si>
  <si>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</si>
  <si>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</si>
  <si>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</si>
  <si>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</si>
  <si>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</si>
  <si>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</si>
  <si>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</si>
  <si>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</si>
  <si>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</si>
  <si>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</si>
  <si>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</si>
  <si>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</si>
  <si>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</si>
  <si>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</si>
  <si>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</si>
  <si>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</si>
  <si>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</si>
  <si>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</si>
  <si>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</si>
  <si>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</si>
  <si>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</si>
  <si>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</si>
  <si>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</si>
  <si>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</si>
  <si>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</si>
  <si>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</si>
  <si>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</si>
  <si>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</si>
  <si>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</si>
  <si>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</si>
  <si>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</si>
  <si>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</si>
  <si>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</si>
  <si>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</si>
  <si>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</si>
  <si>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</si>
  <si>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</si>
  <si>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</si>
  <si>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</si>
  <si>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</si>
  <si>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</si>
  <si>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</si>
  <si>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</si>
  <si>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</si>
  <si>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</si>
  <si>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</si>
  <si>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</si>
  <si>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</si>
  <si>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</si>
  <si>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</si>
  <si>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</si>
  <si>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</si>
  <si>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</si>
  <si>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</si>
  <si>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</si>
  <si>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</si>
  <si>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</si>
  <si>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</si>
  <si>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</si>
  <si>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</si>
  <si>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</si>
  <si>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</si>
  <si>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</si>
  <si>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</si>
  <si>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</si>
  <si>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</si>
  <si>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</si>
  <si>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</si>
  <si>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</si>
  <si>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</si>
  <si>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</si>
  <si>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</si>
  <si>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</si>
  <si>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</si>
  <si>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</si>
  <si>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</si>
  <si>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</si>
  <si>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</si>
  <si>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</si>
  <si>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</si>
  <si>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</si>
  <si>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</si>
  <si>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</si>
  <si>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</si>
  <si>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</si>
  <si>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</si>
  <si>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</si>
  <si>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</si>
  <si>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</si>
  <si>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</si>
  <si>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</si>
  <si>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</si>
  <si>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</si>
  <si>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</si>
  <si>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</si>
  <si>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</si>
  <si>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</si>
  <si>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</si>
  <si>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</si>
  <si>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</si>
  <si>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</si>
  <si>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</si>
  <si>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</si>
  <si>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</si>
  <si>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</si>
  <si>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</si>
  <si>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</si>
  <si>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</si>
  <si>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</si>
  <si>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</si>
  <si>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</si>
  <si>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</si>
  <si>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</si>
  <si>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</si>
  <si>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</si>
  <si>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</si>
  <si>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</si>
  <si>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</si>
  <si>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</si>
  <si>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</si>
  <si>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</si>
  <si>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</si>
  <si>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</si>
  <si>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</si>
  <si>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</si>
  <si>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</si>
  <si>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</si>
  <si>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</si>
  <si>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</si>
  <si>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</si>
  <si>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</si>
  <si>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</si>
  <si>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</si>
  <si>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</si>
  <si>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</si>
  <si>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</si>
  <si>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</si>
  <si>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</si>
  <si>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</si>
  <si>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</si>
  <si>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</si>
  <si>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</si>
  <si>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</si>
  <si>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</si>
  <si>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</si>
  <si>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</si>
  <si>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</si>
  <si>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</si>
  <si>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</si>
  <si>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</si>
  <si>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</si>
  <si>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</si>
  <si>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</si>
  <si>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</si>
  <si>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</si>
  <si>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</si>
  <si>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</si>
  <si>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</si>
  <si>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</si>
  <si>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</si>
  <si>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</si>
  <si>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</si>
  <si>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</si>
  <si>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</si>
  <si>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</si>
  <si>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</si>
  <si>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</si>
  <si>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</si>
  <si>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</si>
  <si>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</si>
  <si>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</si>
  <si>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</si>
  <si>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</si>
  <si>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</si>
  <si>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</si>
  <si>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</si>
  <si>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</si>
  <si>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</si>
  <si>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</si>
  <si>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</si>
  <si>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</si>
  <si>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</si>
  <si>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</si>
  <si>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</si>
  <si>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</si>
  <si>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</si>
  <si>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</si>
  <si>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</si>
  <si>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</si>
  <si>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</si>
  <si>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</si>
  <si>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</si>
  <si>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</si>
  <si>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</si>
  <si>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</si>
  <si>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</si>
  <si>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</si>
  <si>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</si>
  <si>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</si>
  <si>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</si>
  <si>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</si>
  <si>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</si>
  <si>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</si>
  <si>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</si>
  <si>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</si>
  <si>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</si>
  <si>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</si>
  <si>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</si>
  <si>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</si>
  <si>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</si>
  <si>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</si>
  <si>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</si>
  <si>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</si>
  <si>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</si>
  <si>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</si>
  <si>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</si>
  <si>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</si>
  <si>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</si>
  <si>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</si>
  <si>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</si>
  <si>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</si>
  <si>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</si>
  <si>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</si>
  <si>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</si>
  <si>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</si>
  <si>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</si>
  <si>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</si>
  <si>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</si>
  <si>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</si>
  <si>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</si>
  <si>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</si>
  <si>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</si>
  <si>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</si>
  <si>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</si>
  <si>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</si>
  <si>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</si>
  <si>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</si>
  <si>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</si>
  <si>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</si>
  <si>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</si>
  <si>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</si>
  <si>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</si>
  <si>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</si>
  <si>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</si>
  <si>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</si>
  <si>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</si>
  <si>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</si>
  <si>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</si>
  <si>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</si>
  <si>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</si>
  <si>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</si>
  <si>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</si>
  <si>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</si>
  <si>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</si>
  <si>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</si>
  <si>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</si>
  <si>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</si>
  <si>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</si>
  <si>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</si>
  <si>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</si>
  <si>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</si>
  <si>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</si>
  <si>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</si>
  <si>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</si>
  <si>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</si>
  <si>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</si>
  <si>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</si>
  <si>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</si>
  <si>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</si>
  <si>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</si>
  <si>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</si>
  <si>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</si>
  <si>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</si>
  <si>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</si>
  <si>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</si>
  <si>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</si>
  <si>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</si>
  <si>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</si>
  <si>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</si>
  <si>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</si>
  <si>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</si>
  <si>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</si>
  <si>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</si>
  <si>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</si>
  <si>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</si>
  <si>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</si>
  <si>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</si>
  <si>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</si>
  <si>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</si>
  <si>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</si>
  <si>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</si>
  <si>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</si>
  <si>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</si>
  <si>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</si>
  <si>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</si>
  <si>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</si>
  <si>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</si>
  <si>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</si>
  <si>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</si>
  <si>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</si>
  <si>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</si>
  <si>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</si>
  <si>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</si>
  <si>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</si>
  <si>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</si>
  <si>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</si>
  <si>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</si>
  <si>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</si>
  <si>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</si>
  <si>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</si>
  <si>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</si>
  <si>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</si>
  <si>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</si>
  <si>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</si>
  <si>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</si>
  <si>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</si>
  <si>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</si>
  <si>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</si>
  <si>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</si>
  <si>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</si>
  <si>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</si>
  <si>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</si>
  <si>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</si>
  <si>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</si>
  <si>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</si>
  <si>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</si>
  <si>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</si>
  <si>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</si>
  <si>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</si>
  <si>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</si>
  <si>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</si>
  <si>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</si>
  <si>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</si>
  <si>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</si>
  <si>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</si>
  <si>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</si>
  <si>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</si>
  <si>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</si>
  <si>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</si>
  <si>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</si>
  <si>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</si>
  <si>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</si>
  <si>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</si>
  <si>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</si>
  <si>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</si>
  <si>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</si>
  <si>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</si>
  <si>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</si>
  <si>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</si>
  <si>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</si>
  <si>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</si>
  <si>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</si>
  <si>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</si>
  <si>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</si>
  <si>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</si>
  <si>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</si>
  <si>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</si>
  <si>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</si>
  <si>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</si>
  <si>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</si>
  <si>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</si>
  <si>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</si>
  <si>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</si>
  <si>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</si>
  <si>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</si>
  <si>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</si>
  <si>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</si>
  <si>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</si>
  <si>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</si>
  <si>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</si>
  <si>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</si>
  <si>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</si>
  <si>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</si>
  <si>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</si>
  <si>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</si>
  <si>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</si>
  <si>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</si>
  <si>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</si>
  <si>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</si>
  <si>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</si>
  <si>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</si>
  <si>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</si>
  <si>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</si>
  <si>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</si>
  <si>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</si>
  <si>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</si>
  <si>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</si>
  <si>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</si>
  <si>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</si>
  <si>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</si>
  <si>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</si>
  <si>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</si>
  <si>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</si>
  <si>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</si>
  <si>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</si>
  <si>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</si>
  <si>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</si>
  <si>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</si>
  <si>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</si>
  <si>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</si>
  <si>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</si>
  <si>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</si>
  <si>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</si>
  <si>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</si>
  <si>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</si>
  <si>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</si>
  <si>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</si>
  <si>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</si>
  <si>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</si>
  <si>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</si>
  <si>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</si>
  <si>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</si>
  <si>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</si>
  <si>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</si>
  <si>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</si>
  <si>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</si>
  <si>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</si>
  <si>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</si>
  <si>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</si>
  <si>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</si>
  <si>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</si>
  <si>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</si>
  <si>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</si>
  <si>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</si>
  <si>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</si>
  <si>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</si>
  <si>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</si>
  <si>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</si>
  <si>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</si>
  <si>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</si>
  <si>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</si>
  <si>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</si>
  <si>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</si>
  <si>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</si>
  <si>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</si>
  <si>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</si>
  <si>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</si>
  <si>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</si>
  <si>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</si>
  <si>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</si>
  <si>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</si>
  <si>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</si>
  <si>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</si>
  <si>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</si>
  <si>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</si>
  <si>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</si>
  <si>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</si>
  <si>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</si>
  <si>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</si>
  <si>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</si>
  <si>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</si>
  <si>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</si>
  <si>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</si>
  <si>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</si>
  <si>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</si>
  <si>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</si>
  <si>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</si>
  <si>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</si>
  <si>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</si>
  <si>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</si>
  <si>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</si>
  <si>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</si>
  <si>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</si>
  <si>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</si>
  <si>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</si>
  <si>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</si>
  <si>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</si>
  <si>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</si>
  <si>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</si>
  <si>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</si>
  <si>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</si>
  <si>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</si>
  <si>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</si>
  <si>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</si>
  <si>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</si>
  <si>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</si>
  <si>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</si>
  <si>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</si>
  <si>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</si>
  <si>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</si>
  <si>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</si>
  <si>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</si>
  <si>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</si>
  <si>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</si>
  <si>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</si>
  <si>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</si>
  <si>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</si>
  <si>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</si>
  <si>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</si>
  <si>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</si>
  <si>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</si>
  <si>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</si>
  <si>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</si>
  <si>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</si>
  <si>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</si>
  <si>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</si>
  <si>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</si>
  <si>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</si>
  <si>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</si>
  <si>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</si>
  <si>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</si>
  <si>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</si>
  <si>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</si>
  <si>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</si>
  <si>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</si>
  <si>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</si>
  <si>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</si>
  <si>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</si>
  <si>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</si>
  <si>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</si>
  <si>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</si>
  <si>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</si>
  <si>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</si>
  <si>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</si>
  <si>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</si>
  <si>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</si>
  <si>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</si>
  <si>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</si>
  <si>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</si>
  <si>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</si>
  <si>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</si>
  <si>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</si>
  <si>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</si>
  <si>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</si>
  <si>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</si>
  <si>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</si>
  <si>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</si>
  <si>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</si>
  <si>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</si>
  <si>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</si>
  <si>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</si>
  <si>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</si>
  <si>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</si>
  <si>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</si>
  <si>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</si>
  <si>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</si>
  <si>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</si>
  <si>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</si>
  <si>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</si>
  <si>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</si>
  <si>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</si>
  <si>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</si>
  <si>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</si>
  <si>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</si>
  <si>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</si>
  <si>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</si>
  <si>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</si>
  <si>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</si>
  <si>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</si>
  <si>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</si>
  <si>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</si>
  <si>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</si>
  <si>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</si>
  <si>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</si>
  <si>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</si>
  <si>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</si>
  <si>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</si>
  <si>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</si>
  <si>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</si>
  <si>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</si>
  <si>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</si>
  <si>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</si>
  <si>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</si>
  <si>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</si>
  <si>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</si>
  <si>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</si>
  <si>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</si>
  <si>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</si>
  <si>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</si>
  <si>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</si>
  <si>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</si>
  <si>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</si>
  <si>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</si>
  <si>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</si>
  <si>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</si>
  <si>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</si>
  <si>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</si>
  <si>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</si>
  <si>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</si>
  <si>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</si>
  <si>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</si>
  <si>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</si>
  <si>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</si>
  <si>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</si>
  <si>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</si>
  <si>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</si>
  <si>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</si>
  <si>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</si>
  <si>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</si>
  <si>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</si>
  <si>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</si>
  <si>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</si>
  <si>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</si>
  <si>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</si>
  <si>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</si>
  <si>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</si>
  <si>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</si>
  <si>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</si>
  <si>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</si>
  <si>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</si>
  <si>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</si>
  <si>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</si>
  <si>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</si>
  <si>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</si>
  <si>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</si>
  <si>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</si>
  <si>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</si>
  <si>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</si>
  <si>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</si>
  <si>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</si>
  <si>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</si>
  <si>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</si>
  <si>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</si>
  <si>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</si>
  <si>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</si>
  <si>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</si>
  <si>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</si>
  <si>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</si>
  <si>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</si>
  <si>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</si>
  <si>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</si>
  <si>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</si>
  <si>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</si>
  <si>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</si>
  <si>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</si>
  <si>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</si>
  <si>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</si>
  <si>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</si>
  <si>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</si>
  <si>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</si>
  <si>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</si>
  <si>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</si>
  <si>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</si>
  <si>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</si>
  <si>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</si>
  <si>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</si>
  <si>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</si>
  <si>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</si>
  <si>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</si>
  <si>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</si>
  <si>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</si>
  <si>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</si>
  <si>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</si>
  <si>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</si>
  <si>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</si>
  <si>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</si>
  <si>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</si>
  <si>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</si>
  <si>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</si>
  <si>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</si>
  <si>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</si>
  <si>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</si>
  <si>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</si>
  <si>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</si>
  <si>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</si>
  <si>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</si>
  <si>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</si>
  <si>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</si>
  <si>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</si>
  <si>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</si>
  <si>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</si>
  <si>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</si>
  <si>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</si>
  <si>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</si>
  <si>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</si>
  <si>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</si>
  <si>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</si>
  <si>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</si>
  <si>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</si>
  <si>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</si>
  <si>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</si>
  <si>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</si>
  <si>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</si>
  <si>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</si>
  <si>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</si>
  <si>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</si>
  <si>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</si>
  <si>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</si>
  <si>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</si>
  <si>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</si>
  <si>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</si>
  <si>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</si>
  <si>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</si>
  <si>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</si>
  <si>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</si>
  <si>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</si>
  <si>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</si>
  <si>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</si>
  <si>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</si>
  <si>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</si>
  <si>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</si>
  <si>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</si>
  <si>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</si>
  <si>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</si>
  <si>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</si>
  <si>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</si>
  <si>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</si>
  <si>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</si>
  <si>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</si>
  <si>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</si>
  <si>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</si>
  <si>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</si>
  <si>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</si>
  <si>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</si>
  <si>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</si>
  <si>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</si>
  <si>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</si>
  <si>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</si>
  <si>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</si>
  <si>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</si>
  <si>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</si>
  <si>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</si>
  <si>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</si>
  <si>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</si>
  <si>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</si>
  <si>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</si>
  <si>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</si>
  <si>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</si>
  <si>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</si>
  <si>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</si>
  <si>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</si>
  <si>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</si>
  <si>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</si>
  <si>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</si>
  <si>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</si>
  <si>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</si>
  <si>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</si>
  <si>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</si>
  <si>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</si>
  <si>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</si>
  <si>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</si>
  <si>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</si>
  <si>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</si>
  <si>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</si>
  <si>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</si>
  <si>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</si>
  <si>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</si>
  <si>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</si>
  <si>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</si>
  <si>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</si>
  <si>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</si>
  <si>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</si>
  <si>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</si>
  <si>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</si>
  <si>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</si>
  <si>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</si>
  <si>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</si>
  <si>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</si>
  <si>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</si>
  <si>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</si>
  <si>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</si>
  <si>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</si>
  <si>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</si>
  <si>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</si>
  <si>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</si>
  <si>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</si>
  <si>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</si>
  <si>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</si>
  <si>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</si>
  <si>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</si>
  <si>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</si>
  <si>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</si>
  <si>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</si>
  <si>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</si>
  <si>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</si>
  <si>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</si>
  <si>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</si>
  <si>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</si>
  <si>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</si>
  <si>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</si>
  <si>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</si>
  <si>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</si>
  <si>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</si>
  <si>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</si>
  <si>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</si>
  <si>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</si>
  <si>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</si>
  <si>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</si>
  <si>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</si>
  <si>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</si>
  <si>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</si>
  <si>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</si>
  <si>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</si>
  <si>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</si>
  <si>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</si>
  <si>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</si>
  <si>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</si>
  <si>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</si>
  <si>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</si>
  <si>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</si>
  <si>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</si>
  <si>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</si>
  <si>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</si>
  <si>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</si>
  <si>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</si>
  <si>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</si>
  <si>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</si>
  <si>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</si>
  <si>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</si>
  <si>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</si>
  <si>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</si>
  <si>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</si>
  <si>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</si>
  <si>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</si>
  <si>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</si>
  <si>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</si>
  <si>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</si>
  <si>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</si>
  <si>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</si>
  <si>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</si>
  <si>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</si>
  <si>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</si>
  <si>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</si>
  <si>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</si>
  <si>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</si>
  <si>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</si>
  <si>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</si>
  <si>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</si>
  <si>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</si>
  <si>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</si>
  <si>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</si>
  <si>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</si>
  <si>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</si>
  <si>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</si>
  <si>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</si>
  <si>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</si>
  <si>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</si>
  <si>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</si>
  <si>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</si>
  <si>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</si>
  <si>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</si>
  <si>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</si>
  <si>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</si>
  <si>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</si>
  <si>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</si>
  <si>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</si>
  <si>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</si>
  <si>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</si>
  <si>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</si>
  <si>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</si>
  <si>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</si>
  <si>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</si>
  <si>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</si>
  <si>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</si>
  <si>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</si>
  <si>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</si>
  <si>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</si>
  <si>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</si>
  <si>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</si>
  <si>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</si>
  <si>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</si>
  <si>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</si>
  <si>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</si>
  <si>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</si>
  <si>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</si>
  <si>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</si>
  <si>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</si>
  <si>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</si>
  <si>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</si>
  <si>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</si>
  <si>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</si>
  <si>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</si>
  <si>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</si>
  <si>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</si>
  <si>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</si>
  <si>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</si>
  <si>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</si>
  <si>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</si>
  <si>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</si>
  <si>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</si>
  <si>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</si>
  <si>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</si>
  <si>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</si>
  <si>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</si>
  <si>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</si>
  <si>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</si>
  <si>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</si>
  <si>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</si>
  <si>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</si>
  <si>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</si>
  <si>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</si>
  <si>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</si>
  <si>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</si>
  <si>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</si>
  <si>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</si>
  <si>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</si>
  <si>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</si>
  <si>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</si>
  <si>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</si>
  <si>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</si>
  <si>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</si>
  <si>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</si>
  <si>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</si>
  <si>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</si>
  <si>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</si>
  <si>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</si>
  <si>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</si>
  <si>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</si>
  <si>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</si>
  <si>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</si>
  <si>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</si>
  <si>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</si>
  <si>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</si>
  <si>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</si>
  <si>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</si>
  <si>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</si>
  <si>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</si>
  <si>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</si>
  <si>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</si>
  <si>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</si>
  <si>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</si>
  <si>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</si>
  <si>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</si>
  <si>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</si>
  <si>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</si>
  <si>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</si>
  <si>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</si>
  <si>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</si>
  <si>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</si>
  <si>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</si>
  <si>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</si>
  <si>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</si>
  <si>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</si>
  <si>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</si>
  <si>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</si>
  <si>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</si>
  <si>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</si>
  <si>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</si>
  <si>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</si>
  <si>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</si>
  <si>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</si>
  <si>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</si>
  <si>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</si>
  <si>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</si>
  <si>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</si>
  <si>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</si>
  <si>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</si>
  <si>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</si>
  <si>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</si>
  <si>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</si>
  <si>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</si>
  <si>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</si>
  <si>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</si>
  <si>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</si>
  <si>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</si>
  <si>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</si>
  <si>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</si>
  <si>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</si>
  <si>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</si>
  <si>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</si>
  <si>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</si>
  <si>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</si>
  <si>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</si>
  <si>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</si>
  <si>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</si>
  <si>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</si>
  <si>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</si>
  <si>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</si>
  <si>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</si>
  <si>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</si>
  <si>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</si>
  <si>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</si>
  <si>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</si>
  <si>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</si>
  <si>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</si>
  <si>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</si>
  <si>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</si>
  <si>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</si>
  <si>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</si>
  <si>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</si>
  <si>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</si>
  <si>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</si>
  <si>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</si>
  <si>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</si>
  <si>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</si>
  <si>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</si>
  <si>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</si>
  <si>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</si>
  <si>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</si>
  <si>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</si>
  <si>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</si>
  <si>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</si>
  <si>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</si>
  <si>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</si>
  <si>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</si>
  <si>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</si>
  <si>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</si>
  <si>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</si>
  <si>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</si>
  <si>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</si>
  <si>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</si>
  <si>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</si>
  <si>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</si>
  <si>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</si>
  <si>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</si>
  <si>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</si>
  <si>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</si>
  <si>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</si>
  <si>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</si>
  <si>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</si>
  <si>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</si>
  <si>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</si>
  <si>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</si>
  <si>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</si>
  <si>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</si>
  <si>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</si>
  <si>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</si>
  <si>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</si>
  <si>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</si>
  <si>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</si>
  <si>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</si>
  <si>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</si>
  <si>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</si>
  <si>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</si>
  <si>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</si>
  <si>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</si>
  <si>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</si>
  <si>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</si>
  <si>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</si>
  <si>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</si>
  <si>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</si>
  <si>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</si>
  <si>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</si>
  <si>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</si>
  <si>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</si>
  <si>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</si>
  <si>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</si>
  <si>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</si>
  <si>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</si>
  <si>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</si>
  <si>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</si>
  <si>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</si>
  <si>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</si>
  <si>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</si>
  <si>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</si>
  <si>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</si>
  <si>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</si>
  <si>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</si>
  <si>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</si>
  <si>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</si>
  <si>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</si>
  <si>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</si>
  <si>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</si>
  <si>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</si>
  <si>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</si>
  <si>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</si>
  <si>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</si>
  <si>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</si>
  <si>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</si>
  <si>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</si>
  <si>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</si>
  <si>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</si>
  <si>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</si>
  <si>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</si>
  <si>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</si>
  <si>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</si>
  <si>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</si>
  <si>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2.6</t>
  </si>
  <si>
    <t>2.7</t>
  </si>
  <si>
    <t>3.4</t>
  </si>
  <si>
    <t>3.5</t>
  </si>
  <si>
    <t>3.6</t>
  </si>
  <si>
    <t>3.7</t>
  </si>
  <si>
    <t>4.1</t>
  </si>
  <si>
    <t>4.2</t>
  </si>
  <si>
    <t>4.3</t>
  </si>
  <si>
    <t>4.4</t>
  </si>
  <si>
    <t>4.5</t>
  </si>
  <si>
    <t>4.6</t>
  </si>
  <si>
    <t>4.7</t>
  </si>
  <si>
    <t>5.4</t>
  </si>
  <si>
    <t>5.5</t>
  </si>
  <si>
    <t>5.6</t>
  </si>
  <si>
    <t>5.7</t>
  </si>
  <si>
    <t>Core</t>
  </si>
  <si>
    <t>Online</t>
  </si>
  <si>
    <t>API</t>
  </si>
  <si>
    <t>James,Preyea</t>
  </si>
  <si>
    <t>Test</t>
  </si>
  <si>
    <t>Publish</t>
  </si>
  <si>
    <t>1.1</t>
  </si>
  <si>
    <t>1.2</t>
  </si>
  <si>
    <t>1.3</t>
  </si>
  <si>
    <t>1.4</t>
  </si>
  <si>
    <t>1.5</t>
  </si>
  <si>
    <t>1.6</t>
  </si>
  <si>
    <t>6</t>
  </si>
  <si>
    <t>6.1</t>
  </si>
  <si>
    <t>6.2</t>
  </si>
  <si>
    <t>6.3</t>
  </si>
  <si>
    <t>6.4</t>
  </si>
  <si>
    <t>6.5</t>
  </si>
  <si>
    <t>6.6</t>
  </si>
  <si>
    <t>6.7</t>
  </si>
  <si>
    <t>Design</t>
  </si>
  <si>
    <t>iOS/Android</t>
  </si>
  <si>
    <t>7</t>
  </si>
  <si>
    <t>7.1</t>
  </si>
  <si>
    <t>7.2</t>
  </si>
  <si>
    <t>7.3</t>
  </si>
  <si>
    <t>7.4</t>
  </si>
  <si>
    <t>7.5</t>
  </si>
  <si>
    <t>7.6</t>
  </si>
  <si>
    <t>7.7</t>
  </si>
  <si>
    <t>8</t>
  </si>
  <si>
    <t>8.1</t>
  </si>
  <si>
    <t>8.2</t>
  </si>
  <si>
    <t>8.3</t>
  </si>
  <si>
    <t>8.4</t>
  </si>
  <si>
    <t>8.5</t>
  </si>
  <si>
    <t>8.6</t>
  </si>
  <si>
    <t>8.7</t>
  </si>
  <si>
    <t>9</t>
  </si>
  <si>
    <t>9.1</t>
  </si>
  <si>
    <t>9.2</t>
  </si>
  <si>
    <t>9.3</t>
  </si>
  <si>
    <t>9.4</t>
  </si>
  <si>
    <t>9.5</t>
  </si>
  <si>
    <t>9.6</t>
  </si>
  <si>
    <t>9.7</t>
  </si>
  <si>
    <t>Micro loan</t>
  </si>
  <si>
    <t>Reward/Coupon 2nd Phase</t>
  </si>
  <si>
    <t>10</t>
  </si>
  <si>
    <t>10.1</t>
  </si>
  <si>
    <t>10.2</t>
  </si>
  <si>
    <t>10.3</t>
  </si>
  <si>
    <t>10.4</t>
  </si>
  <si>
    <t>10.5</t>
  </si>
  <si>
    <t>10.6</t>
  </si>
  <si>
    <t>10.7</t>
  </si>
  <si>
    <t>11</t>
  </si>
  <si>
    <t>11.1</t>
  </si>
  <si>
    <t>11.2</t>
  </si>
  <si>
    <t>11.3</t>
  </si>
  <si>
    <t>11.4</t>
  </si>
  <si>
    <t>11.5</t>
  </si>
  <si>
    <t>11.6</t>
  </si>
  <si>
    <t>11.7</t>
  </si>
  <si>
    <t>Open-banking using KFTC</t>
  </si>
  <si>
    <t>Max,Dana</t>
  </si>
  <si>
    <t>Max</t>
  </si>
  <si>
    <t>Easy Remit</t>
  </si>
  <si>
    <t>Auto Remit</t>
  </si>
  <si>
    <t>Electronic finance license</t>
  </si>
  <si>
    <t>Make document</t>
  </si>
  <si>
    <t>Separation of Internal network(HR)</t>
  </si>
  <si>
    <t>DLP and Vaccine solution</t>
  </si>
  <si>
    <t>Development output document</t>
  </si>
  <si>
    <t>Powercall 2nd Phase</t>
  </si>
  <si>
    <t>Transaction details lookup using KFTC API</t>
  </si>
  <si>
    <t>12</t>
  </si>
  <si>
    <t>12.1</t>
  </si>
  <si>
    <t>12.2</t>
  </si>
  <si>
    <t>12.3</t>
  </si>
  <si>
    <t>12.4</t>
  </si>
  <si>
    <t>12.5</t>
  </si>
  <si>
    <t>12.6</t>
  </si>
  <si>
    <t>12.7</t>
  </si>
  <si>
    <t>Inbound Remittance(RIA)</t>
  </si>
  <si>
    <t>Max, Chris</t>
  </si>
  <si>
    <t>Chris</t>
  </si>
  <si>
    <t>Change member registration logic</t>
  </si>
  <si>
    <t>13</t>
  </si>
  <si>
    <t>13.1</t>
  </si>
  <si>
    <t>13.2</t>
  </si>
  <si>
    <t>13.3</t>
  </si>
  <si>
    <t>13.4</t>
  </si>
  <si>
    <t>13.5</t>
  </si>
  <si>
    <t>13.6</t>
  </si>
  <si>
    <t>13.7</t>
  </si>
  <si>
    <t>14</t>
  </si>
  <si>
    <t>14.1</t>
  </si>
  <si>
    <t>14.2</t>
  </si>
  <si>
    <t>14.3</t>
  </si>
  <si>
    <t>14.4</t>
  </si>
  <si>
    <t>14.5</t>
  </si>
  <si>
    <t>14.6</t>
  </si>
  <si>
    <t>14.7</t>
  </si>
  <si>
    <t>Development of KFTC account registration help page (Admin)</t>
  </si>
  <si>
    <t>Max,Pralhad</t>
  </si>
  <si>
    <t>Manoj,Max</t>
  </si>
  <si>
    <t>Deposit using open banking + KJ API</t>
  </si>
  <si>
    <t>Inbound Remittance</t>
  </si>
  <si>
    <t>Inbound Remittance(Kyodai, Wing)</t>
  </si>
  <si>
    <t>15</t>
  </si>
  <si>
    <t>15.1</t>
  </si>
  <si>
    <t>15.2</t>
  </si>
  <si>
    <t>15.3</t>
  </si>
  <si>
    <t>15.4</t>
  </si>
  <si>
    <t>15.5</t>
  </si>
  <si>
    <t>15.6</t>
  </si>
  <si>
    <t>15.7</t>
  </si>
  <si>
    <t>Push notification</t>
  </si>
  <si>
    <t>Max, Manoj</t>
  </si>
  <si>
    <t>Max, Pralhad</t>
  </si>
  <si>
    <t>16</t>
  </si>
  <si>
    <t>16.1</t>
  </si>
  <si>
    <t>16.2</t>
  </si>
  <si>
    <t>16.3</t>
  </si>
  <si>
    <t>16.4</t>
  </si>
  <si>
    <t>16.5</t>
  </si>
  <si>
    <t>16.6</t>
  </si>
  <si>
    <t>16.7</t>
  </si>
  <si>
    <t>16.8</t>
  </si>
  <si>
    <t>16.9</t>
  </si>
  <si>
    <t>Change voucher logic using KFTC auto-debit</t>
  </si>
  <si>
    <t>Scheduler</t>
  </si>
  <si>
    <t>Pralhad, Saroj</t>
  </si>
  <si>
    <t>Saroj</t>
  </si>
  <si>
    <t>Sheduler</t>
  </si>
  <si>
    <t>New Inbound API</t>
  </si>
  <si>
    <t>Setup and Guide</t>
  </si>
  <si>
    <t>New API</t>
  </si>
  <si>
    <t>Txn amount wise partner changing</t>
  </si>
  <si>
    <t>17</t>
  </si>
  <si>
    <t>17.1</t>
  </si>
  <si>
    <t>17.2</t>
  </si>
  <si>
    <t>17.3</t>
  </si>
  <si>
    <t>17.4</t>
  </si>
  <si>
    <t>17.5</t>
  </si>
  <si>
    <t>17.6</t>
  </si>
  <si>
    <t>17.7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</si>
</sst>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
      <left/>
      <right/>
      <top/>
      <bottom style="thin">
        <color theme="0"/>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9">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4" xfId="4" applyFont="1" applyFill="1" applyBorder="1" applyAlignment="1" applyProtection="1">
      <alignment vertical="top"/>
      <protection locked="0"/>
    </xf>
    <xf numFmtId="0" fontId="12" fillId="0" borderId="24" xfId="4" quotePrefix="1" applyFont="1" applyFill="1" applyBorder="1" applyAlignment="1" applyProtection="1">
      <alignment horizontal="right" vertical="top"/>
      <protection locked="0"/>
    </xf>
    <xf numFmtId="0" fontId="12" fillId="0" borderId="24" xfId="4" applyFont="1" applyFill="1" applyBorder="1" applyAlignment="1" applyProtection="1">
      <alignment horizontal="left" vertical="top"/>
      <protection locked="0"/>
    </xf>
    <xf numFmtId="14"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left" vertical="top"/>
      <protection locked="0"/>
    </xf>
    <xf numFmtId="176"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center" vertical="top"/>
      <protection locked="0"/>
    </xf>
    <xf numFmtId="177" fontId="12" fillId="0" borderId="24" xfId="4" applyNumberFormat="1" applyFont="1" applyFill="1" applyBorder="1" applyAlignment="1" applyProtection="1">
      <alignment horizontal="center" vertical="top"/>
      <protection locked="0"/>
    </xf>
    <xf numFmtId="1" fontId="12" fillId="0" borderId="24" xfId="4" applyNumberFormat="1" applyFont="1" applyFill="1" applyBorder="1" applyAlignment="1" applyProtection="1">
      <alignment horizontal="center" vertical="top"/>
      <protection locked="0"/>
    </xf>
    <xf numFmtId="179" fontId="12" fillId="0" borderId="24" xfId="4" applyNumberFormat="1" applyFont="1" applyFill="1" applyBorder="1" applyAlignment="1" applyProtection="1">
      <alignment horizontal="center" vertical="top"/>
      <protection locked="0"/>
    </xf>
    <xf numFmtId="14" fontId="12" fillId="0" borderId="24" xfId="4" applyNumberFormat="1" applyFont="1" applyFill="1" applyBorder="1" applyAlignment="1" applyProtection="1">
      <alignment horizontal="left" vertical="top"/>
      <protection locked="0"/>
    </xf>
    <xf numFmtId="10" fontId="12" fillId="0" borderId="24" xfId="6" applyNumberFormat="1" applyFont="1" applyFill="1" applyBorder="1" applyAlignment="1" applyProtection="1">
      <alignment horizontal="right" vertical="top" wrapText="1"/>
      <protection locked="0"/>
    </xf>
    <xf numFmtId="10" fontId="12" fillId="0" borderId="24"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5" xfId="4" applyNumberFormat="1" applyFont="1" applyBorder="1"/>
    <xf numFmtId="0" fontId="16" fillId="0" borderId="25"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5" xfId="6" applyNumberFormat="1" applyFont="1" applyBorder="1" applyAlignment="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12" fillId="0" borderId="26" xfId="4" applyFont="1" applyFill="1" applyBorder="1" applyAlignment="1" applyProtection="1">
      <alignment horizontal="left" vertical="center"/>
      <protection locked="0"/>
    </xf>
    <xf numFmtId="178" fontId="11" fillId="5" borderId="5" xfId="1" applyNumberFormat="1" applyFont="1" applyFill="1" applyBorder="1" applyAlignment="1">
      <alignment horizontal="left" vertical="center"/>
    </xf>
    <xf numFmtId="178" fontId="11" fillId="5" borderId="4" xfId="1" applyNumberFormat="1" applyFont="1" applyFill="1" applyBorder="1" applyAlignment="1">
      <alignment horizontal="left" vertical="center"/>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78" fontId="11" fillId="5" borderId="6" xfId="1" applyNumberFormat="1" applyFont="1" applyFill="1" applyBorder="1" applyAlignment="1">
      <alignment horizontal="left" vertical="center"/>
    </xf>
    <xf numFmtId="0" fontId="7" fillId="11" borderId="0" xfId="2"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3"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46</xdr:col>
      <xdr:colOff>30480</xdr:colOff>
      <xdr:row>156</xdr:row>
      <xdr:rowOff>30480</xdr:rowOff>
    </xdr:from>
    <xdr:to>
      <xdr:col>46</xdr:col>
      <xdr:colOff>71846</xdr:colOff>
      <xdr:row>156</xdr:row>
      <xdr:rowOff>144780</xdr:rowOff>
    </xdr:to>
    <xdr:sp macro="" textlink="">
      <xdr:nvSpPr>
        <xdr:cNvPr id="164" name="직사각형 163">
          <a:extLst>
            <a:ext uri="{FF2B5EF4-FFF2-40B4-BE49-F238E27FC236}">
              <a16:creationId xmlns:a16="http://schemas.microsoft.com/office/drawing/2014/main" id="{F9BE335E-2618-45FE-8E69-C776748E3532}"/>
            </a:ext>
          </a:extLst>
        </xdr:cNvPr>
        <xdr:cNvSpPr/>
      </xdr:nvSpPr>
      <xdr:spPr>
        <a:xfrm>
          <a:off x="11216787" y="21086152"/>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30480</xdr:colOff>
      <xdr:row>156</xdr:row>
      <xdr:rowOff>87630</xdr:rowOff>
    </xdr:from>
    <xdr:to>
      <xdr:col>46</xdr:col>
      <xdr:colOff>30480</xdr:colOff>
      <xdr:row>156</xdr:row>
      <xdr:rowOff>87630</xdr:rowOff>
    </xdr:to>
    <xdr:cxnSp macro="">
      <xdr:nvCxnSpPr>
        <xdr:cNvPr id="165" name="직선 화살표 연결선 164">
          <a:extLst>
            <a:ext uri="{FF2B5EF4-FFF2-40B4-BE49-F238E27FC236}">
              <a16:creationId xmlns:a16="http://schemas.microsoft.com/office/drawing/2014/main" id="{31DB48E3-76C0-4406-B00C-19693439B7B1}"/>
            </a:ext>
          </a:extLst>
        </xdr:cNvPr>
        <xdr:cNvCxnSpPr/>
      </xdr:nvCxnSpPr>
      <xdr:spPr>
        <a:xfrm>
          <a:off x="11216787" y="21149017"/>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28575</xdr:colOff>
      <xdr:row>155</xdr:row>
      <xdr:rowOff>30480</xdr:rowOff>
    </xdr:from>
    <xdr:to>
      <xdr:col>45</xdr:col>
      <xdr:colOff>131990</xdr:colOff>
      <xdr:row>155</xdr:row>
      <xdr:rowOff>144780</xdr:rowOff>
    </xdr:to>
    <xdr:sp macro="" textlink="">
      <xdr:nvSpPr>
        <xdr:cNvPr id="166" name="직사각형 165">
          <a:extLst>
            <a:ext uri="{FF2B5EF4-FFF2-40B4-BE49-F238E27FC236}">
              <a16:creationId xmlns:a16="http://schemas.microsoft.com/office/drawing/2014/main" id="{27A4C0FC-4371-4DE9-9751-FE955770D9E1}"/>
            </a:ext>
          </a:extLst>
        </xdr:cNvPr>
        <xdr:cNvSpPr/>
      </xdr:nvSpPr>
      <xdr:spPr>
        <a:xfrm>
          <a:off x="11068343" y="20932287"/>
          <a:ext cx="1091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28575</xdr:colOff>
      <xdr:row>155</xdr:row>
      <xdr:rowOff>87630</xdr:rowOff>
    </xdr:from>
    <xdr:to>
      <xdr:col>45</xdr:col>
      <xdr:colOff>28575</xdr:colOff>
      <xdr:row>155</xdr:row>
      <xdr:rowOff>87630</xdr:rowOff>
    </xdr:to>
    <xdr:cxnSp macro="">
      <xdr:nvCxnSpPr>
        <xdr:cNvPr id="167" name="직선 화살표 연결선 166">
          <a:extLst>
            <a:ext uri="{FF2B5EF4-FFF2-40B4-BE49-F238E27FC236}">
              <a16:creationId xmlns:a16="http://schemas.microsoft.com/office/drawing/2014/main" id="{4F9A3344-249E-4BE1-8F4A-65E29BA08767}"/>
            </a:ext>
          </a:extLst>
        </xdr:cNvPr>
        <xdr:cNvCxnSpPr/>
      </xdr:nvCxnSpPr>
      <xdr:spPr>
        <a:xfrm>
          <a:off x="11068343" y="20995152"/>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154</xdr:row>
      <xdr:rowOff>30480</xdr:rowOff>
    </xdr:from>
    <xdr:to>
      <xdr:col>44</xdr:col>
      <xdr:colOff>130084</xdr:colOff>
      <xdr:row>154</xdr:row>
      <xdr:rowOff>144780</xdr:rowOff>
    </xdr:to>
    <xdr:sp macro="" textlink="">
      <xdr:nvSpPr>
        <xdr:cNvPr id="168" name="직사각형 167">
          <a:extLst>
            <a:ext uri="{FF2B5EF4-FFF2-40B4-BE49-F238E27FC236}">
              <a16:creationId xmlns:a16="http://schemas.microsoft.com/office/drawing/2014/main" id="{1DAFB2C1-DCF6-44FA-AC05-1ECD85AAA5EC}"/>
            </a:ext>
          </a:extLst>
        </xdr:cNvPr>
        <xdr:cNvSpPr/>
      </xdr:nvSpPr>
      <xdr:spPr>
        <a:xfrm>
          <a:off x="10919900" y="20778421"/>
          <a:ext cx="1091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154</xdr:row>
      <xdr:rowOff>87630</xdr:rowOff>
    </xdr:from>
    <xdr:to>
      <xdr:col>44</xdr:col>
      <xdr:colOff>26670</xdr:colOff>
      <xdr:row>154</xdr:row>
      <xdr:rowOff>87630</xdr:rowOff>
    </xdr:to>
    <xdr:cxnSp macro="">
      <xdr:nvCxnSpPr>
        <xdr:cNvPr id="169" name="직선 화살표 연결선 168">
          <a:extLst>
            <a:ext uri="{FF2B5EF4-FFF2-40B4-BE49-F238E27FC236}">
              <a16:creationId xmlns:a16="http://schemas.microsoft.com/office/drawing/2014/main" id="{C7134856-F7BB-4F62-BC97-B91F668304C9}"/>
            </a:ext>
          </a:extLst>
        </xdr:cNvPr>
        <xdr:cNvCxnSpPr/>
      </xdr:nvCxnSpPr>
      <xdr:spPr>
        <a:xfrm>
          <a:off x="10919900" y="20841286"/>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153</xdr:row>
      <xdr:rowOff>30480</xdr:rowOff>
    </xdr:from>
    <xdr:to>
      <xdr:col>44</xdr:col>
      <xdr:colOff>130084</xdr:colOff>
      <xdr:row>153</xdr:row>
      <xdr:rowOff>144780</xdr:rowOff>
    </xdr:to>
    <xdr:sp macro="" textlink="">
      <xdr:nvSpPr>
        <xdr:cNvPr id="170" name="직사각형 169">
          <a:extLst>
            <a:ext uri="{FF2B5EF4-FFF2-40B4-BE49-F238E27FC236}">
              <a16:creationId xmlns:a16="http://schemas.microsoft.com/office/drawing/2014/main" id="{F8B73BF2-84ED-48A0-B9F5-5939ECBF5563}"/>
            </a:ext>
          </a:extLst>
        </xdr:cNvPr>
        <xdr:cNvSpPr/>
      </xdr:nvSpPr>
      <xdr:spPr>
        <a:xfrm>
          <a:off x="10919900" y="20624556"/>
          <a:ext cx="1091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153</xdr:row>
      <xdr:rowOff>87630</xdr:rowOff>
    </xdr:from>
    <xdr:to>
      <xdr:col>44</xdr:col>
      <xdr:colOff>26670</xdr:colOff>
      <xdr:row>153</xdr:row>
      <xdr:rowOff>87630</xdr:rowOff>
    </xdr:to>
    <xdr:cxnSp macro="">
      <xdr:nvCxnSpPr>
        <xdr:cNvPr id="171" name="직선 화살표 연결선 170">
          <a:extLst>
            <a:ext uri="{FF2B5EF4-FFF2-40B4-BE49-F238E27FC236}">
              <a16:creationId xmlns:a16="http://schemas.microsoft.com/office/drawing/2014/main" id="{1663535E-B209-4DC9-B482-129E0690397B}"/>
            </a:ext>
          </a:extLst>
        </xdr:cNvPr>
        <xdr:cNvCxnSpPr/>
      </xdr:nvCxnSpPr>
      <xdr:spPr>
        <a:xfrm>
          <a:off x="10919900" y="2068742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24765</xdr:colOff>
      <xdr:row>150</xdr:row>
      <xdr:rowOff>30480</xdr:rowOff>
    </xdr:from>
    <xdr:to>
      <xdr:col>43</xdr:col>
      <xdr:colOff>128179</xdr:colOff>
      <xdr:row>150</xdr:row>
      <xdr:rowOff>144780</xdr:rowOff>
    </xdr:to>
    <xdr:sp macro="" textlink="">
      <xdr:nvSpPr>
        <xdr:cNvPr id="172" name="직사각형 171">
          <a:extLst>
            <a:ext uri="{FF2B5EF4-FFF2-40B4-BE49-F238E27FC236}">
              <a16:creationId xmlns:a16="http://schemas.microsoft.com/office/drawing/2014/main" id="{49D1EC4A-29AD-4F76-8F78-CF67FF031B6D}"/>
            </a:ext>
          </a:extLst>
        </xdr:cNvPr>
        <xdr:cNvSpPr/>
      </xdr:nvSpPr>
      <xdr:spPr>
        <a:xfrm>
          <a:off x="10769551" y="20162960"/>
          <a:ext cx="1110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24765</xdr:colOff>
      <xdr:row>150</xdr:row>
      <xdr:rowOff>87630</xdr:rowOff>
    </xdr:from>
    <xdr:to>
      <xdr:col>43</xdr:col>
      <xdr:colOff>24765</xdr:colOff>
      <xdr:row>150</xdr:row>
      <xdr:rowOff>87630</xdr:rowOff>
    </xdr:to>
    <xdr:cxnSp macro="">
      <xdr:nvCxnSpPr>
        <xdr:cNvPr id="173" name="직선 화살표 연결선 172">
          <a:extLst>
            <a:ext uri="{FF2B5EF4-FFF2-40B4-BE49-F238E27FC236}">
              <a16:creationId xmlns:a16="http://schemas.microsoft.com/office/drawing/2014/main" id="{08C070B2-D84B-4EAF-977F-C2C04918CC5F}"/>
            </a:ext>
          </a:extLst>
        </xdr:cNvPr>
        <xdr:cNvCxnSpPr/>
      </xdr:nvCxnSpPr>
      <xdr:spPr>
        <a:xfrm>
          <a:off x="10769551" y="20225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30480</xdr:colOff>
      <xdr:row>136</xdr:row>
      <xdr:rowOff>30480</xdr:rowOff>
    </xdr:from>
    <xdr:to>
      <xdr:col>46</xdr:col>
      <xdr:colOff>71846</xdr:colOff>
      <xdr:row>136</xdr:row>
      <xdr:rowOff>144780</xdr:rowOff>
    </xdr:to>
    <xdr:sp macro="" textlink="">
      <xdr:nvSpPr>
        <xdr:cNvPr id="2" name="직사각형 1">
          <a:extLst>
            <a:ext uri="{FF2B5EF4-FFF2-40B4-BE49-F238E27FC236}">
              <a16:creationId xmlns:a16="http://schemas.microsoft.com/office/drawing/2014/main" id="{D59B9889-56BE-4DE5-8C30-3C8A09566339}"/>
            </a:ext>
          </a:extLst>
        </xdr:cNvPr>
        <xdr:cNvSpPr/>
      </xdr:nvSpPr>
      <xdr:spPr>
        <a:xfrm>
          <a:off x="11155680" y="20890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30480</xdr:colOff>
      <xdr:row>136</xdr:row>
      <xdr:rowOff>87630</xdr:rowOff>
    </xdr:from>
    <xdr:to>
      <xdr:col>46</xdr:col>
      <xdr:colOff>30480</xdr:colOff>
      <xdr:row>136</xdr:row>
      <xdr:rowOff>87630</xdr:rowOff>
    </xdr:to>
    <xdr:cxnSp macro="">
      <xdr:nvCxnSpPr>
        <xdr:cNvPr id="3" name="직선 화살표 연결선 2">
          <a:extLst>
            <a:ext uri="{FF2B5EF4-FFF2-40B4-BE49-F238E27FC236}">
              <a16:creationId xmlns:a16="http://schemas.microsoft.com/office/drawing/2014/main" id="{8616A9EF-8B1E-491B-BC00-D63A3CDDCD8A}"/>
            </a:ext>
          </a:extLst>
        </xdr:cNvPr>
        <xdr:cNvCxnSpPr/>
      </xdr:nvCxnSpPr>
      <xdr:spPr>
        <a:xfrm>
          <a:off x="11155680" y="2094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28575</xdr:colOff>
      <xdr:row>135</xdr:row>
      <xdr:rowOff>30480</xdr:rowOff>
    </xdr:from>
    <xdr:to>
      <xdr:col>45</xdr:col>
      <xdr:colOff>131990</xdr:colOff>
      <xdr:row>135</xdr:row>
      <xdr:rowOff>144780</xdr:rowOff>
    </xdr:to>
    <xdr:sp macro="" textlink="">
      <xdr:nvSpPr>
        <xdr:cNvPr id="4" name="직사각형 3">
          <a:extLst>
            <a:ext uri="{FF2B5EF4-FFF2-40B4-BE49-F238E27FC236}">
              <a16:creationId xmlns:a16="http://schemas.microsoft.com/office/drawing/2014/main" id="{AD1D558C-ADC6-4F8E-B29F-A358CA003818}"/>
            </a:ext>
          </a:extLst>
        </xdr:cNvPr>
        <xdr:cNvSpPr/>
      </xdr:nvSpPr>
      <xdr:spPr>
        <a:xfrm>
          <a:off x="11010900" y="207378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28575</xdr:colOff>
      <xdr:row>135</xdr:row>
      <xdr:rowOff>87630</xdr:rowOff>
    </xdr:from>
    <xdr:to>
      <xdr:col>45</xdr:col>
      <xdr:colOff>28575</xdr:colOff>
      <xdr:row>135</xdr:row>
      <xdr:rowOff>87630</xdr:rowOff>
    </xdr:to>
    <xdr:cxnSp macro="">
      <xdr:nvCxnSpPr>
        <xdr:cNvPr id="5" name="직선 화살표 연결선 4">
          <a:extLst>
            <a:ext uri="{FF2B5EF4-FFF2-40B4-BE49-F238E27FC236}">
              <a16:creationId xmlns:a16="http://schemas.microsoft.com/office/drawing/2014/main" id="{A4A84ED5-B85B-42C4-BAAF-6CE2A0BDB548}"/>
            </a:ext>
          </a:extLst>
        </xdr:cNvPr>
        <xdr:cNvCxnSpPr/>
      </xdr:nvCxnSpPr>
      <xdr:spPr>
        <a:xfrm>
          <a:off x="11010900" y="2079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134</xdr:row>
      <xdr:rowOff>30480</xdr:rowOff>
    </xdr:from>
    <xdr:to>
      <xdr:col>44</xdr:col>
      <xdr:colOff>130084</xdr:colOff>
      <xdr:row>134</xdr:row>
      <xdr:rowOff>144780</xdr:rowOff>
    </xdr:to>
    <xdr:sp macro="" textlink="">
      <xdr:nvSpPr>
        <xdr:cNvPr id="6" name="직사각형 5">
          <a:extLst>
            <a:ext uri="{FF2B5EF4-FFF2-40B4-BE49-F238E27FC236}">
              <a16:creationId xmlns:a16="http://schemas.microsoft.com/office/drawing/2014/main" id="{2D7CC518-4FAE-4A72-ABA9-FC15CEB7C86D}"/>
            </a:ext>
          </a:extLst>
        </xdr:cNvPr>
        <xdr:cNvSpPr/>
      </xdr:nvSpPr>
      <xdr:spPr>
        <a:xfrm>
          <a:off x="10866120" y="20585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134</xdr:row>
      <xdr:rowOff>87630</xdr:rowOff>
    </xdr:from>
    <xdr:to>
      <xdr:col>44</xdr:col>
      <xdr:colOff>26670</xdr:colOff>
      <xdr:row>134</xdr:row>
      <xdr:rowOff>87630</xdr:rowOff>
    </xdr:to>
    <xdr:cxnSp macro="">
      <xdr:nvCxnSpPr>
        <xdr:cNvPr id="7" name="직선 화살표 연결선 6">
          <a:extLst>
            <a:ext uri="{FF2B5EF4-FFF2-40B4-BE49-F238E27FC236}">
              <a16:creationId xmlns:a16="http://schemas.microsoft.com/office/drawing/2014/main" id="{7C093D0C-7F0D-467D-ACA3-2FE7EC29A695}"/>
            </a:ext>
          </a:extLst>
        </xdr:cNvPr>
        <xdr:cNvCxnSpPr/>
      </xdr:nvCxnSpPr>
      <xdr:spPr>
        <a:xfrm>
          <a:off x="10866120" y="2064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133</xdr:row>
      <xdr:rowOff>30480</xdr:rowOff>
    </xdr:from>
    <xdr:to>
      <xdr:col>44</xdr:col>
      <xdr:colOff>130084</xdr:colOff>
      <xdr:row>133</xdr:row>
      <xdr:rowOff>144780</xdr:rowOff>
    </xdr:to>
    <xdr:sp macro="" textlink="">
      <xdr:nvSpPr>
        <xdr:cNvPr id="8" name="직사각형 7">
          <a:extLst>
            <a:ext uri="{FF2B5EF4-FFF2-40B4-BE49-F238E27FC236}">
              <a16:creationId xmlns:a16="http://schemas.microsoft.com/office/drawing/2014/main" id="{5D63B711-C107-4FBA-9FEB-896BDFECB140}"/>
            </a:ext>
          </a:extLst>
        </xdr:cNvPr>
        <xdr:cNvSpPr/>
      </xdr:nvSpPr>
      <xdr:spPr>
        <a:xfrm>
          <a:off x="10866120" y="20433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133</xdr:row>
      <xdr:rowOff>87630</xdr:rowOff>
    </xdr:from>
    <xdr:to>
      <xdr:col>44</xdr:col>
      <xdr:colOff>26670</xdr:colOff>
      <xdr:row>133</xdr:row>
      <xdr:rowOff>87630</xdr:rowOff>
    </xdr:to>
    <xdr:cxnSp macro="">
      <xdr:nvCxnSpPr>
        <xdr:cNvPr id="9" name="직선 화살표 연결선 8">
          <a:extLst>
            <a:ext uri="{FF2B5EF4-FFF2-40B4-BE49-F238E27FC236}">
              <a16:creationId xmlns:a16="http://schemas.microsoft.com/office/drawing/2014/main" id="{20F6EE93-A489-494A-BA7D-1B37CA5B5E61}"/>
            </a:ext>
          </a:extLst>
        </xdr:cNvPr>
        <xdr:cNvCxnSpPr/>
      </xdr:nvCxnSpPr>
      <xdr:spPr>
        <a:xfrm>
          <a:off x="10866120" y="2049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24765</xdr:colOff>
      <xdr:row>130</xdr:row>
      <xdr:rowOff>30480</xdr:rowOff>
    </xdr:from>
    <xdr:to>
      <xdr:col>43</xdr:col>
      <xdr:colOff>128179</xdr:colOff>
      <xdr:row>130</xdr:row>
      <xdr:rowOff>144780</xdr:rowOff>
    </xdr:to>
    <xdr:sp macro="" textlink="">
      <xdr:nvSpPr>
        <xdr:cNvPr id="10" name="직사각형 9">
          <a:extLst>
            <a:ext uri="{FF2B5EF4-FFF2-40B4-BE49-F238E27FC236}">
              <a16:creationId xmlns:a16="http://schemas.microsoft.com/office/drawing/2014/main" id="{A19FE3B9-8739-4C3E-9733-0732EB0B8B40}"/>
            </a:ext>
          </a:extLst>
        </xdr:cNvPr>
        <xdr:cNvSpPr/>
      </xdr:nvSpPr>
      <xdr:spPr>
        <a:xfrm>
          <a:off x="10721340" y="19975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24765</xdr:colOff>
      <xdr:row>130</xdr:row>
      <xdr:rowOff>87630</xdr:rowOff>
    </xdr:from>
    <xdr:to>
      <xdr:col>43</xdr:col>
      <xdr:colOff>24765</xdr:colOff>
      <xdr:row>130</xdr:row>
      <xdr:rowOff>87630</xdr:rowOff>
    </xdr:to>
    <xdr:cxnSp macro="">
      <xdr:nvCxnSpPr>
        <xdr:cNvPr id="11" name="직선 화살표 연결선 10">
          <a:extLst>
            <a:ext uri="{FF2B5EF4-FFF2-40B4-BE49-F238E27FC236}">
              <a16:creationId xmlns:a16="http://schemas.microsoft.com/office/drawing/2014/main" id="{B66AE781-949B-4BC8-A78E-A8146AD11BCF}"/>
            </a:ext>
          </a:extLst>
        </xdr:cNvPr>
        <xdr:cNvCxnSpPr/>
      </xdr:nvCxnSpPr>
      <xdr:spPr>
        <a:xfrm>
          <a:off x="10721340" y="2003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24765</xdr:colOff>
      <xdr:row>129</xdr:row>
      <xdr:rowOff>30480</xdr:rowOff>
    </xdr:from>
    <xdr:to>
      <xdr:col>46</xdr:col>
      <xdr:colOff>71846</xdr:colOff>
      <xdr:row>129</xdr:row>
      <xdr:rowOff>144780</xdr:rowOff>
    </xdr:to>
    <xdr:sp macro="" textlink="">
      <xdr:nvSpPr>
        <xdr:cNvPr id="12" name="직사각형 11">
          <a:extLst>
            <a:ext uri="{FF2B5EF4-FFF2-40B4-BE49-F238E27FC236}">
              <a16:creationId xmlns:a16="http://schemas.microsoft.com/office/drawing/2014/main" id="{E8CFFCB9-2B24-4170-8479-DAFBE159E550}"/>
            </a:ext>
          </a:extLst>
        </xdr:cNvPr>
        <xdr:cNvSpPr/>
      </xdr:nvSpPr>
      <xdr:spPr>
        <a:xfrm>
          <a:off x="10721340" y="19823430"/>
          <a:ext cx="4757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24765</xdr:colOff>
      <xdr:row>129</xdr:row>
      <xdr:rowOff>87630</xdr:rowOff>
    </xdr:from>
    <xdr:to>
      <xdr:col>43</xdr:col>
      <xdr:colOff>24765</xdr:colOff>
      <xdr:row>129</xdr:row>
      <xdr:rowOff>87630</xdr:rowOff>
    </xdr:to>
    <xdr:cxnSp macro="">
      <xdr:nvCxnSpPr>
        <xdr:cNvPr id="13" name="직선 화살표 연결선 12">
          <a:extLst>
            <a:ext uri="{FF2B5EF4-FFF2-40B4-BE49-F238E27FC236}">
              <a16:creationId xmlns:a16="http://schemas.microsoft.com/office/drawing/2014/main" id="{FDD73BF8-B1B1-4845-BB91-B4CF6604B488}"/>
            </a:ext>
          </a:extLst>
        </xdr:cNvPr>
        <xdr:cNvCxnSpPr/>
      </xdr:nvCxnSpPr>
      <xdr:spPr>
        <a:xfrm>
          <a:off x="10721340" y="1988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90624</xdr:colOff>
      <xdr:row>127</xdr:row>
      <xdr:rowOff>30480</xdr:rowOff>
    </xdr:from>
    <xdr:to>
      <xdr:col>46</xdr:col>
      <xdr:colOff>71846</xdr:colOff>
      <xdr:row>127</xdr:row>
      <xdr:rowOff>144780</xdr:rowOff>
    </xdr:to>
    <xdr:sp macro="" textlink="">
      <xdr:nvSpPr>
        <xdr:cNvPr id="14" name="직사각형 13">
          <a:extLst>
            <a:ext uri="{FF2B5EF4-FFF2-40B4-BE49-F238E27FC236}">
              <a16:creationId xmlns:a16="http://schemas.microsoft.com/office/drawing/2014/main" id="{A960AB5A-510B-4993-AAA8-35E3B577C096}"/>
            </a:ext>
          </a:extLst>
        </xdr:cNvPr>
        <xdr:cNvSpPr/>
      </xdr:nvSpPr>
      <xdr:spPr>
        <a:xfrm>
          <a:off x="11072949" y="19518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90624</xdr:colOff>
      <xdr:row>127</xdr:row>
      <xdr:rowOff>87630</xdr:rowOff>
    </xdr:from>
    <xdr:to>
      <xdr:col>45</xdr:col>
      <xdr:colOff>90624</xdr:colOff>
      <xdr:row>127</xdr:row>
      <xdr:rowOff>87630</xdr:rowOff>
    </xdr:to>
    <xdr:cxnSp macro="">
      <xdr:nvCxnSpPr>
        <xdr:cNvPr id="15" name="직선 화살표 연결선 14">
          <a:extLst>
            <a:ext uri="{FF2B5EF4-FFF2-40B4-BE49-F238E27FC236}">
              <a16:creationId xmlns:a16="http://schemas.microsoft.com/office/drawing/2014/main" id="{1BB0B3E0-8482-4EE5-8869-9E31053D8858}"/>
            </a:ext>
          </a:extLst>
        </xdr:cNvPr>
        <xdr:cNvCxnSpPr/>
      </xdr:nvCxnSpPr>
      <xdr:spPr>
        <a:xfrm>
          <a:off x="11072949" y="1957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28575</xdr:colOff>
      <xdr:row>126</xdr:row>
      <xdr:rowOff>30480</xdr:rowOff>
    </xdr:from>
    <xdr:to>
      <xdr:col>45</xdr:col>
      <xdr:colOff>69941</xdr:colOff>
      <xdr:row>126</xdr:row>
      <xdr:rowOff>144780</xdr:rowOff>
    </xdr:to>
    <xdr:sp macro="" textlink="">
      <xdr:nvSpPr>
        <xdr:cNvPr id="16" name="직사각형 15">
          <a:extLst>
            <a:ext uri="{FF2B5EF4-FFF2-40B4-BE49-F238E27FC236}">
              <a16:creationId xmlns:a16="http://schemas.microsoft.com/office/drawing/2014/main" id="{832C07D8-B635-495D-AFE1-C30C7A677DCE}"/>
            </a:ext>
          </a:extLst>
        </xdr:cNvPr>
        <xdr:cNvSpPr/>
      </xdr:nvSpPr>
      <xdr:spPr>
        <a:xfrm>
          <a:off x="11010900" y="19366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28575</xdr:colOff>
      <xdr:row>126</xdr:row>
      <xdr:rowOff>87630</xdr:rowOff>
    </xdr:from>
    <xdr:to>
      <xdr:col>45</xdr:col>
      <xdr:colOff>28575</xdr:colOff>
      <xdr:row>126</xdr:row>
      <xdr:rowOff>87630</xdr:rowOff>
    </xdr:to>
    <xdr:cxnSp macro="">
      <xdr:nvCxnSpPr>
        <xdr:cNvPr id="17" name="직선 화살표 연결선 16">
          <a:extLst>
            <a:ext uri="{FF2B5EF4-FFF2-40B4-BE49-F238E27FC236}">
              <a16:creationId xmlns:a16="http://schemas.microsoft.com/office/drawing/2014/main" id="{B9FEA808-64E8-4700-86CC-D6146D7F73AC}"/>
            </a:ext>
          </a:extLst>
        </xdr:cNvPr>
        <xdr:cNvCxnSpPr/>
      </xdr:nvCxnSpPr>
      <xdr:spPr>
        <a:xfrm>
          <a:off x="11010900" y="1942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125</xdr:row>
      <xdr:rowOff>30480</xdr:rowOff>
    </xdr:from>
    <xdr:to>
      <xdr:col>44</xdr:col>
      <xdr:colOff>130084</xdr:colOff>
      <xdr:row>125</xdr:row>
      <xdr:rowOff>144780</xdr:rowOff>
    </xdr:to>
    <xdr:sp macro="" textlink="">
      <xdr:nvSpPr>
        <xdr:cNvPr id="18" name="직사각형 17">
          <a:extLst>
            <a:ext uri="{FF2B5EF4-FFF2-40B4-BE49-F238E27FC236}">
              <a16:creationId xmlns:a16="http://schemas.microsoft.com/office/drawing/2014/main" id="{1ED7C1D8-9ED5-4448-80D2-456C8760F0AF}"/>
            </a:ext>
          </a:extLst>
        </xdr:cNvPr>
        <xdr:cNvSpPr/>
      </xdr:nvSpPr>
      <xdr:spPr>
        <a:xfrm>
          <a:off x="10866120" y="19213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125</xdr:row>
      <xdr:rowOff>87630</xdr:rowOff>
    </xdr:from>
    <xdr:to>
      <xdr:col>44</xdr:col>
      <xdr:colOff>26670</xdr:colOff>
      <xdr:row>125</xdr:row>
      <xdr:rowOff>87630</xdr:rowOff>
    </xdr:to>
    <xdr:cxnSp macro="">
      <xdr:nvCxnSpPr>
        <xdr:cNvPr id="19" name="직선 화살표 연결선 18">
          <a:extLst>
            <a:ext uri="{FF2B5EF4-FFF2-40B4-BE49-F238E27FC236}">
              <a16:creationId xmlns:a16="http://schemas.microsoft.com/office/drawing/2014/main" id="{A39E48AF-0416-4EBA-B90C-E520C9180628}"/>
            </a:ext>
          </a:extLst>
        </xdr:cNvPr>
        <xdr:cNvCxnSpPr/>
      </xdr:nvCxnSpPr>
      <xdr:spPr>
        <a:xfrm>
          <a:off x="10866120" y="1927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124</xdr:row>
      <xdr:rowOff>30480</xdr:rowOff>
    </xdr:from>
    <xdr:to>
      <xdr:col>44</xdr:col>
      <xdr:colOff>130084</xdr:colOff>
      <xdr:row>124</xdr:row>
      <xdr:rowOff>144780</xdr:rowOff>
    </xdr:to>
    <xdr:sp macro="" textlink="">
      <xdr:nvSpPr>
        <xdr:cNvPr id="20" name="직사각형 19">
          <a:extLst>
            <a:ext uri="{FF2B5EF4-FFF2-40B4-BE49-F238E27FC236}">
              <a16:creationId xmlns:a16="http://schemas.microsoft.com/office/drawing/2014/main" id="{895BE272-C256-4F1E-BF3E-025CE9185909}"/>
            </a:ext>
          </a:extLst>
        </xdr:cNvPr>
        <xdr:cNvSpPr/>
      </xdr:nvSpPr>
      <xdr:spPr>
        <a:xfrm>
          <a:off x="10866120" y="19061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124</xdr:row>
      <xdr:rowOff>87630</xdr:rowOff>
    </xdr:from>
    <xdr:to>
      <xdr:col>44</xdr:col>
      <xdr:colOff>26670</xdr:colOff>
      <xdr:row>124</xdr:row>
      <xdr:rowOff>87630</xdr:rowOff>
    </xdr:to>
    <xdr:cxnSp macro="">
      <xdr:nvCxnSpPr>
        <xdr:cNvPr id="21" name="직선 화살표 연결선 20">
          <a:extLst>
            <a:ext uri="{FF2B5EF4-FFF2-40B4-BE49-F238E27FC236}">
              <a16:creationId xmlns:a16="http://schemas.microsoft.com/office/drawing/2014/main" id="{0B6D1B15-1A17-47E3-892C-E851696E269D}"/>
            </a:ext>
          </a:extLst>
        </xdr:cNvPr>
        <xdr:cNvCxnSpPr/>
      </xdr:nvCxnSpPr>
      <xdr:spPr>
        <a:xfrm>
          <a:off x="10866120" y="1911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24765</xdr:colOff>
      <xdr:row>122</xdr:row>
      <xdr:rowOff>30480</xdr:rowOff>
    </xdr:from>
    <xdr:to>
      <xdr:col>43</xdr:col>
      <xdr:colOff>128179</xdr:colOff>
      <xdr:row>122</xdr:row>
      <xdr:rowOff>144780</xdr:rowOff>
    </xdr:to>
    <xdr:sp macro="" textlink="">
      <xdr:nvSpPr>
        <xdr:cNvPr id="22" name="직사각형 21">
          <a:extLst>
            <a:ext uri="{FF2B5EF4-FFF2-40B4-BE49-F238E27FC236}">
              <a16:creationId xmlns:a16="http://schemas.microsoft.com/office/drawing/2014/main" id="{7C22AF7B-576D-4342-B530-F959CCD75BA1}"/>
            </a:ext>
          </a:extLst>
        </xdr:cNvPr>
        <xdr:cNvSpPr/>
      </xdr:nvSpPr>
      <xdr:spPr>
        <a:xfrm>
          <a:off x="10721340" y="1875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24765</xdr:colOff>
      <xdr:row>122</xdr:row>
      <xdr:rowOff>87630</xdr:rowOff>
    </xdr:from>
    <xdr:to>
      <xdr:col>43</xdr:col>
      <xdr:colOff>24765</xdr:colOff>
      <xdr:row>122</xdr:row>
      <xdr:rowOff>87630</xdr:rowOff>
    </xdr:to>
    <xdr:cxnSp macro="">
      <xdr:nvCxnSpPr>
        <xdr:cNvPr id="23" name="직선 화살표 연결선 22">
          <a:extLst>
            <a:ext uri="{FF2B5EF4-FFF2-40B4-BE49-F238E27FC236}">
              <a16:creationId xmlns:a16="http://schemas.microsoft.com/office/drawing/2014/main" id="{8F05F91C-39FE-4D74-A480-2985C5C53C1F}"/>
            </a:ext>
          </a:extLst>
        </xdr:cNvPr>
        <xdr:cNvCxnSpPr/>
      </xdr:nvCxnSpPr>
      <xdr:spPr>
        <a:xfrm>
          <a:off x="10721340" y="1881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121</xdr:row>
      <xdr:rowOff>30480</xdr:rowOff>
    </xdr:from>
    <xdr:to>
      <xdr:col>42</xdr:col>
      <xdr:colOff>126274</xdr:colOff>
      <xdr:row>121</xdr:row>
      <xdr:rowOff>144780</xdr:rowOff>
    </xdr:to>
    <xdr:sp macro="" textlink="">
      <xdr:nvSpPr>
        <xdr:cNvPr id="24" name="직사각형 23">
          <a:extLst>
            <a:ext uri="{FF2B5EF4-FFF2-40B4-BE49-F238E27FC236}">
              <a16:creationId xmlns:a16="http://schemas.microsoft.com/office/drawing/2014/main" id="{661B2903-6A34-416E-803F-1AE0AEB63F8B}"/>
            </a:ext>
          </a:extLst>
        </xdr:cNvPr>
        <xdr:cNvSpPr/>
      </xdr:nvSpPr>
      <xdr:spPr>
        <a:xfrm>
          <a:off x="10576560" y="18604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121</xdr:row>
      <xdr:rowOff>87630</xdr:rowOff>
    </xdr:from>
    <xdr:to>
      <xdr:col>42</xdr:col>
      <xdr:colOff>22860</xdr:colOff>
      <xdr:row>121</xdr:row>
      <xdr:rowOff>87630</xdr:rowOff>
    </xdr:to>
    <xdr:cxnSp macro="">
      <xdr:nvCxnSpPr>
        <xdr:cNvPr id="25" name="직선 화살표 연결선 24">
          <a:extLst>
            <a:ext uri="{FF2B5EF4-FFF2-40B4-BE49-F238E27FC236}">
              <a16:creationId xmlns:a16="http://schemas.microsoft.com/office/drawing/2014/main" id="{604AB362-6B1E-49FF-9478-C050A5CB5E81}"/>
            </a:ext>
          </a:extLst>
        </xdr:cNvPr>
        <xdr:cNvCxnSpPr/>
      </xdr:nvCxnSpPr>
      <xdr:spPr>
        <a:xfrm>
          <a:off x="10576560" y="1866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120</xdr:row>
      <xdr:rowOff>30480</xdr:rowOff>
    </xdr:from>
    <xdr:to>
      <xdr:col>46</xdr:col>
      <xdr:colOff>71846</xdr:colOff>
      <xdr:row>120</xdr:row>
      <xdr:rowOff>144780</xdr:rowOff>
    </xdr:to>
    <xdr:sp macro="" textlink="">
      <xdr:nvSpPr>
        <xdr:cNvPr id="26" name="직사각형 25">
          <a:extLst>
            <a:ext uri="{FF2B5EF4-FFF2-40B4-BE49-F238E27FC236}">
              <a16:creationId xmlns:a16="http://schemas.microsoft.com/office/drawing/2014/main" id="{5B95CA6E-DEC1-4076-9CF7-C45EFBE77275}"/>
            </a:ext>
          </a:extLst>
        </xdr:cNvPr>
        <xdr:cNvSpPr/>
      </xdr:nvSpPr>
      <xdr:spPr>
        <a:xfrm>
          <a:off x="10576560" y="18451830"/>
          <a:ext cx="62048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120</xdr:row>
      <xdr:rowOff>87630</xdr:rowOff>
    </xdr:from>
    <xdr:to>
      <xdr:col>42</xdr:col>
      <xdr:colOff>22860</xdr:colOff>
      <xdr:row>120</xdr:row>
      <xdr:rowOff>87630</xdr:rowOff>
    </xdr:to>
    <xdr:cxnSp macro="">
      <xdr:nvCxnSpPr>
        <xdr:cNvPr id="27" name="직선 화살표 연결선 26">
          <a:extLst>
            <a:ext uri="{FF2B5EF4-FFF2-40B4-BE49-F238E27FC236}">
              <a16:creationId xmlns:a16="http://schemas.microsoft.com/office/drawing/2014/main" id="{429B1D8C-D184-4230-A204-417C93DD43CE}"/>
            </a:ext>
          </a:extLst>
        </xdr:cNvPr>
        <xdr:cNvCxnSpPr/>
      </xdr:nvCxnSpPr>
      <xdr:spPr>
        <a:xfrm>
          <a:off x="10576560" y="1850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11430</xdr:colOff>
      <xdr:row>107</xdr:row>
      <xdr:rowOff>30480</xdr:rowOff>
    </xdr:from>
    <xdr:to>
      <xdr:col>37</xdr:col>
      <xdr:colOff>96066</xdr:colOff>
      <xdr:row>107</xdr:row>
      <xdr:rowOff>144780</xdr:rowOff>
    </xdr:to>
    <xdr:sp macro="" textlink="">
      <xdr:nvSpPr>
        <xdr:cNvPr id="28" name="직사각형 27">
          <a:extLst>
            <a:ext uri="{FF2B5EF4-FFF2-40B4-BE49-F238E27FC236}">
              <a16:creationId xmlns:a16="http://schemas.microsoft.com/office/drawing/2014/main" id="{42D965CC-6C2B-456F-89A3-C01DDC8784A6}"/>
            </a:ext>
          </a:extLst>
        </xdr:cNvPr>
        <xdr:cNvSpPr/>
      </xdr:nvSpPr>
      <xdr:spPr>
        <a:xfrm>
          <a:off x="9707880" y="1647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11430</xdr:colOff>
      <xdr:row>107</xdr:row>
      <xdr:rowOff>87630</xdr:rowOff>
    </xdr:from>
    <xdr:to>
      <xdr:col>36</xdr:col>
      <xdr:colOff>11430</xdr:colOff>
      <xdr:row>107</xdr:row>
      <xdr:rowOff>87630</xdr:rowOff>
    </xdr:to>
    <xdr:cxnSp macro="">
      <xdr:nvCxnSpPr>
        <xdr:cNvPr id="29" name="직선 화살표 연결선 28">
          <a:extLst>
            <a:ext uri="{FF2B5EF4-FFF2-40B4-BE49-F238E27FC236}">
              <a16:creationId xmlns:a16="http://schemas.microsoft.com/office/drawing/2014/main" id="{B6873C75-49C0-4107-B0EF-8099754653E3}"/>
            </a:ext>
          </a:extLst>
        </xdr:cNvPr>
        <xdr:cNvCxnSpPr/>
      </xdr:nvCxnSpPr>
      <xdr:spPr>
        <a:xfrm>
          <a:off x="9707880" y="1652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106</xdr:row>
      <xdr:rowOff>30480</xdr:rowOff>
    </xdr:from>
    <xdr:to>
      <xdr:col>37</xdr:col>
      <xdr:colOff>96066</xdr:colOff>
      <xdr:row>106</xdr:row>
      <xdr:rowOff>144780</xdr:rowOff>
    </xdr:to>
    <xdr:sp macro="" textlink="">
      <xdr:nvSpPr>
        <xdr:cNvPr id="30" name="직사각형 29">
          <a:extLst>
            <a:ext uri="{FF2B5EF4-FFF2-40B4-BE49-F238E27FC236}">
              <a16:creationId xmlns:a16="http://schemas.microsoft.com/office/drawing/2014/main" id="{FD95C4B6-09CD-4499-8482-4C004CD9D9EB}"/>
            </a:ext>
          </a:extLst>
        </xdr:cNvPr>
        <xdr:cNvSpPr/>
      </xdr:nvSpPr>
      <xdr:spPr>
        <a:xfrm>
          <a:off x="9563100" y="16318230"/>
          <a:ext cx="372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106</xdr:row>
      <xdr:rowOff>87630</xdr:rowOff>
    </xdr:from>
    <xdr:to>
      <xdr:col>35</xdr:col>
      <xdr:colOff>9525</xdr:colOff>
      <xdr:row>106</xdr:row>
      <xdr:rowOff>87630</xdr:rowOff>
    </xdr:to>
    <xdr:cxnSp macro="">
      <xdr:nvCxnSpPr>
        <xdr:cNvPr id="31" name="직선 화살표 연결선 30">
          <a:extLst>
            <a:ext uri="{FF2B5EF4-FFF2-40B4-BE49-F238E27FC236}">
              <a16:creationId xmlns:a16="http://schemas.microsoft.com/office/drawing/2014/main" id="{EBD5AFAC-CF8A-47DB-924D-6953667757B9}"/>
            </a:ext>
          </a:extLst>
        </xdr:cNvPr>
        <xdr:cNvCxnSpPr/>
      </xdr:nvCxnSpPr>
      <xdr:spPr>
        <a:xfrm>
          <a:off x="9563100" y="1637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103</xdr:row>
      <xdr:rowOff>30480</xdr:rowOff>
    </xdr:from>
    <xdr:to>
      <xdr:col>34</xdr:col>
      <xdr:colOff>111034</xdr:colOff>
      <xdr:row>103</xdr:row>
      <xdr:rowOff>144780</xdr:rowOff>
    </xdr:to>
    <xdr:sp macro="" textlink="">
      <xdr:nvSpPr>
        <xdr:cNvPr id="32" name="직사각형 31">
          <a:extLst>
            <a:ext uri="{FF2B5EF4-FFF2-40B4-BE49-F238E27FC236}">
              <a16:creationId xmlns:a16="http://schemas.microsoft.com/office/drawing/2014/main" id="{C84A1525-9E37-452A-8C2C-A5C0E8113687}"/>
            </a:ext>
          </a:extLst>
        </xdr:cNvPr>
        <xdr:cNvSpPr/>
      </xdr:nvSpPr>
      <xdr:spPr>
        <a:xfrm>
          <a:off x="9418320" y="15861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103</xdr:row>
      <xdr:rowOff>87630</xdr:rowOff>
    </xdr:from>
    <xdr:to>
      <xdr:col>34</xdr:col>
      <xdr:colOff>7620</xdr:colOff>
      <xdr:row>103</xdr:row>
      <xdr:rowOff>87630</xdr:rowOff>
    </xdr:to>
    <xdr:cxnSp macro="">
      <xdr:nvCxnSpPr>
        <xdr:cNvPr id="33" name="직선 화살표 연결선 32">
          <a:extLst>
            <a:ext uri="{FF2B5EF4-FFF2-40B4-BE49-F238E27FC236}">
              <a16:creationId xmlns:a16="http://schemas.microsoft.com/office/drawing/2014/main" id="{EA2BE30B-8B21-4B9A-AE86-7A1733DB85E7}"/>
            </a:ext>
          </a:extLst>
        </xdr:cNvPr>
        <xdr:cNvCxnSpPr/>
      </xdr:nvCxnSpPr>
      <xdr:spPr>
        <a:xfrm>
          <a:off x="9418320"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102</xdr:row>
      <xdr:rowOff>30480</xdr:rowOff>
    </xdr:from>
    <xdr:to>
      <xdr:col>37</xdr:col>
      <xdr:colOff>96066</xdr:colOff>
      <xdr:row>102</xdr:row>
      <xdr:rowOff>144780</xdr:rowOff>
    </xdr:to>
    <xdr:sp macro="" textlink="">
      <xdr:nvSpPr>
        <xdr:cNvPr id="34" name="직사각형 33">
          <a:extLst>
            <a:ext uri="{FF2B5EF4-FFF2-40B4-BE49-F238E27FC236}">
              <a16:creationId xmlns:a16="http://schemas.microsoft.com/office/drawing/2014/main" id="{25A8C3CD-4E8C-45A8-BAB1-70308828D62D}"/>
            </a:ext>
          </a:extLst>
        </xdr:cNvPr>
        <xdr:cNvSpPr/>
      </xdr:nvSpPr>
      <xdr:spPr>
        <a:xfrm>
          <a:off x="9418320" y="15708630"/>
          <a:ext cx="5170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102</xdr:row>
      <xdr:rowOff>87630</xdr:rowOff>
    </xdr:from>
    <xdr:to>
      <xdr:col>34</xdr:col>
      <xdr:colOff>7620</xdr:colOff>
      <xdr:row>102</xdr:row>
      <xdr:rowOff>87630</xdr:rowOff>
    </xdr:to>
    <xdr:cxnSp macro="">
      <xdr:nvCxnSpPr>
        <xdr:cNvPr id="35" name="직선 화살표 연결선 34">
          <a:extLst>
            <a:ext uri="{FF2B5EF4-FFF2-40B4-BE49-F238E27FC236}">
              <a16:creationId xmlns:a16="http://schemas.microsoft.com/office/drawing/2014/main" id="{5B82CB2F-4A5E-4B9D-9362-A6487027F867}"/>
            </a:ext>
          </a:extLst>
        </xdr:cNvPr>
        <xdr:cNvCxnSpPr/>
      </xdr:nvCxnSpPr>
      <xdr:spPr>
        <a:xfrm>
          <a:off x="9418320" y="1576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24765</xdr:colOff>
      <xdr:row>100</xdr:row>
      <xdr:rowOff>30480</xdr:rowOff>
    </xdr:from>
    <xdr:to>
      <xdr:col>43</xdr:col>
      <xdr:colOff>128179</xdr:colOff>
      <xdr:row>100</xdr:row>
      <xdr:rowOff>144780</xdr:rowOff>
    </xdr:to>
    <xdr:sp macro="" textlink="">
      <xdr:nvSpPr>
        <xdr:cNvPr id="36" name="직사각형 35">
          <a:extLst>
            <a:ext uri="{FF2B5EF4-FFF2-40B4-BE49-F238E27FC236}">
              <a16:creationId xmlns:a16="http://schemas.microsoft.com/office/drawing/2014/main" id="{5A52570B-8926-4364-A413-574AB240AC8B}"/>
            </a:ext>
          </a:extLst>
        </xdr:cNvPr>
        <xdr:cNvSpPr/>
      </xdr:nvSpPr>
      <xdr:spPr>
        <a:xfrm>
          <a:off x="10721340" y="15403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24765</xdr:colOff>
      <xdr:row>100</xdr:row>
      <xdr:rowOff>87630</xdr:rowOff>
    </xdr:from>
    <xdr:to>
      <xdr:col>43</xdr:col>
      <xdr:colOff>24765</xdr:colOff>
      <xdr:row>100</xdr:row>
      <xdr:rowOff>87630</xdr:rowOff>
    </xdr:to>
    <xdr:cxnSp macro="">
      <xdr:nvCxnSpPr>
        <xdr:cNvPr id="37" name="직선 화살표 연결선 36">
          <a:extLst>
            <a:ext uri="{FF2B5EF4-FFF2-40B4-BE49-F238E27FC236}">
              <a16:creationId xmlns:a16="http://schemas.microsoft.com/office/drawing/2014/main" id="{54094582-BE39-46BB-8E67-9A447B2A581B}"/>
            </a:ext>
          </a:extLst>
        </xdr:cNvPr>
        <xdr:cNvCxnSpPr/>
      </xdr:nvCxnSpPr>
      <xdr:spPr>
        <a:xfrm>
          <a:off x="10721340"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99</xdr:row>
      <xdr:rowOff>30480</xdr:rowOff>
    </xdr:from>
    <xdr:to>
      <xdr:col>42</xdr:col>
      <xdr:colOff>126274</xdr:colOff>
      <xdr:row>99</xdr:row>
      <xdr:rowOff>144780</xdr:rowOff>
    </xdr:to>
    <xdr:sp macro="" textlink="">
      <xdr:nvSpPr>
        <xdr:cNvPr id="38" name="직사각형 37">
          <a:extLst>
            <a:ext uri="{FF2B5EF4-FFF2-40B4-BE49-F238E27FC236}">
              <a16:creationId xmlns:a16="http://schemas.microsoft.com/office/drawing/2014/main" id="{DC136BD5-4357-402D-B0C8-718C6EFF1A1C}"/>
            </a:ext>
          </a:extLst>
        </xdr:cNvPr>
        <xdr:cNvSpPr/>
      </xdr:nvSpPr>
      <xdr:spPr>
        <a:xfrm>
          <a:off x="10576560" y="15251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99</xdr:row>
      <xdr:rowOff>87630</xdr:rowOff>
    </xdr:from>
    <xdr:to>
      <xdr:col>42</xdr:col>
      <xdr:colOff>22860</xdr:colOff>
      <xdr:row>99</xdr:row>
      <xdr:rowOff>87630</xdr:rowOff>
    </xdr:to>
    <xdr:cxnSp macro="">
      <xdr:nvCxnSpPr>
        <xdr:cNvPr id="39" name="직선 화살표 연결선 38">
          <a:extLst>
            <a:ext uri="{FF2B5EF4-FFF2-40B4-BE49-F238E27FC236}">
              <a16:creationId xmlns:a16="http://schemas.microsoft.com/office/drawing/2014/main" id="{AADEE3CA-B8FB-45F7-959C-E733AD07C3EB}"/>
            </a:ext>
          </a:extLst>
        </xdr:cNvPr>
        <xdr:cNvCxnSpPr/>
      </xdr:nvCxnSpPr>
      <xdr:spPr>
        <a:xfrm>
          <a:off x="10576560"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62321</xdr:colOff>
      <xdr:row>98</xdr:row>
      <xdr:rowOff>30480</xdr:rowOff>
    </xdr:from>
    <xdr:to>
      <xdr:col>41</xdr:col>
      <xdr:colOff>124369</xdr:colOff>
      <xdr:row>98</xdr:row>
      <xdr:rowOff>144780</xdr:rowOff>
    </xdr:to>
    <xdr:sp macro="" textlink="">
      <xdr:nvSpPr>
        <xdr:cNvPr id="40" name="직사각형 39">
          <a:extLst>
            <a:ext uri="{FF2B5EF4-FFF2-40B4-BE49-F238E27FC236}">
              <a16:creationId xmlns:a16="http://schemas.microsoft.com/office/drawing/2014/main" id="{3C1CF7AE-C0CC-4FBA-86C8-D91296B6BCFA}"/>
            </a:ext>
          </a:extLst>
        </xdr:cNvPr>
        <xdr:cNvSpPr/>
      </xdr:nvSpPr>
      <xdr:spPr>
        <a:xfrm>
          <a:off x="10473146" y="15099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62321</xdr:colOff>
      <xdr:row>98</xdr:row>
      <xdr:rowOff>87630</xdr:rowOff>
    </xdr:from>
    <xdr:to>
      <xdr:col>41</xdr:col>
      <xdr:colOff>62321</xdr:colOff>
      <xdr:row>98</xdr:row>
      <xdr:rowOff>87630</xdr:rowOff>
    </xdr:to>
    <xdr:cxnSp macro="">
      <xdr:nvCxnSpPr>
        <xdr:cNvPr id="41" name="직선 화살표 연결선 40">
          <a:extLst>
            <a:ext uri="{FF2B5EF4-FFF2-40B4-BE49-F238E27FC236}">
              <a16:creationId xmlns:a16="http://schemas.microsoft.com/office/drawing/2014/main" id="{738247F8-00E4-4103-9442-2D167C23AD32}"/>
            </a:ext>
          </a:extLst>
        </xdr:cNvPr>
        <xdr:cNvCxnSpPr/>
      </xdr:nvCxnSpPr>
      <xdr:spPr>
        <a:xfrm>
          <a:off x="10473146" y="1515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97</xdr:row>
      <xdr:rowOff>30480</xdr:rowOff>
    </xdr:from>
    <xdr:to>
      <xdr:col>40</xdr:col>
      <xdr:colOff>122465</xdr:colOff>
      <xdr:row>97</xdr:row>
      <xdr:rowOff>144780</xdr:rowOff>
    </xdr:to>
    <xdr:sp macro="" textlink="">
      <xdr:nvSpPr>
        <xdr:cNvPr id="42" name="직사각형 41">
          <a:extLst>
            <a:ext uri="{FF2B5EF4-FFF2-40B4-BE49-F238E27FC236}">
              <a16:creationId xmlns:a16="http://schemas.microsoft.com/office/drawing/2014/main" id="{85AD3512-DD17-45AF-96AE-09BBB3FDF61D}"/>
            </a:ext>
          </a:extLst>
        </xdr:cNvPr>
        <xdr:cNvSpPr/>
      </xdr:nvSpPr>
      <xdr:spPr>
        <a:xfrm>
          <a:off x="10287000" y="149466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97</xdr:row>
      <xdr:rowOff>87630</xdr:rowOff>
    </xdr:from>
    <xdr:to>
      <xdr:col>40</xdr:col>
      <xdr:colOff>19050</xdr:colOff>
      <xdr:row>97</xdr:row>
      <xdr:rowOff>87630</xdr:rowOff>
    </xdr:to>
    <xdr:cxnSp macro="">
      <xdr:nvCxnSpPr>
        <xdr:cNvPr id="43" name="직선 화살표 연결선 42">
          <a:extLst>
            <a:ext uri="{FF2B5EF4-FFF2-40B4-BE49-F238E27FC236}">
              <a16:creationId xmlns:a16="http://schemas.microsoft.com/office/drawing/2014/main" id="{19A5AF8E-AB13-457B-8895-7FC81C2187D7}"/>
            </a:ext>
          </a:extLst>
        </xdr:cNvPr>
        <xdr:cNvCxnSpPr/>
      </xdr:nvCxnSpPr>
      <xdr:spPr>
        <a:xfrm>
          <a:off x="10287000" y="1500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95</xdr:row>
      <xdr:rowOff>30480</xdr:rowOff>
    </xdr:from>
    <xdr:to>
      <xdr:col>39</xdr:col>
      <xdr:colOff>120559</xdr:colOff>
      <xdr:row>95</xdr:row>
      <xdr:rowOff>144780</xdr:rowOff>
    </xdr:to>
    <xdr:sp macro="" textlink="">
      <xdr:nvSpPr>
        <xdr:cNvPr id="44" name="직사각형 43">
          <a:extLst>
            <a:ext uri="{FF2B5EF4-FFF2-40B4-BE49-F238E27FC236}">
              <a16:creationId xmlns:a16="http://schemas.microsoft.com/office/drawing/2014/main" id="{FB2EB617-25FA-4E7F-8640-0CBA0C240431}"/>
            </a:ext>
          </a:extLst>
        </xdr:cNvPr>
        <xdr:cNvSpPr/>
      </xdr:nvSpPr>
      <xdr:spPr>
        <a:xfrm>
          <a:off x="10142220" y="1464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95</xdr:row>
      <xdr:rowOff>87630</xdr:rowOff>
    </xdr:from>
    <xdr:to>
      <xdr:col>39</xdr:col>
      <xdr:colOff>17145</xdr:colOff>
      <xdr:row>95</xdr:row>
      <xdr:rowOff>87630</xdr:rowOff>
    </xdr:to>
    <xdr:cxnSp macro="">
      <xdr:nvCxnSpPr>
        <xdr:cNvPr id="45" name="직선 화살표 연결선 44">
          <a:extLst>
            <a:ext uri="{FF2B5EF4-FFF2-40B4-BE49-F238E27FC236}">
              <a16:creationId xmlns:a16="http://schemas.microsoft.com/office/drawing/2014/main" id="{D4860327-E48D-4AFD-AD06-C77DBB7F704A}"/>
            </a:ext>
          </a:extLst>
        </xdr:cNvPr>
        <xdr:cNvCxnSpPr/>
      </xdr:nvCxnSpPr>
      <xdr:spPr>
        <a:xfrm>
          <a:off x="10142220"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94</xdr:row>
      <xdr:rowOff>30480</xdr:rowOff>
    </xdr:from>
    <xdr:to>
      <xdr:col>38</xdr:col>
      <xdr:colOff>118654</xdr:colOff>
      <xdr:row>94</xdr:row>
      <xdr:rowOff>144780</xdr:rowOff>
    </xdr:to>
    <xdr:sp macro="" textlink="">
      <xdr:nvSpPr>
        <xdr:cNvPr id="46" name="직사각형 45">
          <a:extLst>
            <a:ext uri="{FF2B5EF4-FFF2-40B4-BE49-F238E27FC236}">
              <a16:creationId xmlns:a16="http://schemas.microsoft.com/office/drawing/2014/main" id="{2A957315-B0CD-46B1-81F4-6B53BD332336}"/>
            </a:ext>
          </a:extLst>
        </xdr:cNvPr>
        <xdr:cNvSpPr/>
      </xdr:nvSpPr>
      <xdr:spPr>
        <a:xfrm>
          <a:off x="9997440" y="1448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94</xdr:row>
      <xdr:rowOff>87630</xdr:rowOff>
    </xdr:from>
    <xdr:to>
      <xdr:col>38</xdr:col>
      <xdr:colOff>15240</xdr:colOff>
      <xdr:row>94</xdr:row>
      <xdr:rowOff>87630</xdr:rowOff>
    </xdr:to>
    <xdr:cxnSp macro="">
      <xdr:nvCxnSpPr>
        <xdr:cNvPr id="47" name="직선 화살표 연결선 46">
          <a:extLst>
            <a:ext uri="{FF2B5EF4-FFF2-40B4-BE49-F238E27FC236}">
              <a16:creationId xmlns:a16="http://schemas.microsoft.com/office/drawing/2014/main" id="{32D829A3-98FA-4A19-8EC1-9E2265637388}"/>
            </a:ext>
          </a:extLst>
        </xdr:cNvPr>
        <xdr:cNvCxnSpPr/>
      </xdr:nvCxnSpPr>
      <xdr:spPr>
        <a:xfrm>
          <a:off x="9997440"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93</xdr:row>
      <xdr:rowOff>30480</xdr:rowOff>
    </xdr:from>
    <xdr:to>
      <xdr:col>43</xdr:col>
      <xdr:colOff>128179</xdr:colOff>
      <xdr:row>93</xdr:row>
      <xdr:rowOff>144780</xdr:rowOff>
    </xdr:to>
    <xdr:sp macro="" textlink="">
      <xdr:nvSpPr>
        <xdr:cNvPr id="48" name="직사각형 47">
          <a:extLst>
            <a:ext uri="{FF2B5EF4-FFF2-40B4-BE49-F238E27FC236}">
              <a16:creationId xmlns:a16="http://schemas.microsoft.com/office/drawing/2014/main" id="{CA0181BB-4866-4C85-9050-2408FF72D0F3}"/>
            </a:ext>
          </a:extLst>
        </xdr:cNvPr>
        <xdr:cNvSpPr/>
      </xdr:nvSpPr>
      <xdr:spPr>
        <a:xfrm>
          <a:off x="9997440" y="14337030"/>
          <a:ext cx="8273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93</xdr:row>
      <xdr:rowOff>87630</xdr:rowOff>
    </xdr:from>
    <xdr:to>
      <xdr:col>38</xdr:col>
      <xdr:colOff>15240</xdr:colOff>
      <xdr:row>93</xdr:row>
      <xdr:rowOff>87630</xdr:rowOff>
    </xdr:to>
    <xdr:cxnSp macro="">
      <xdr:nvCxnSpPr>
        <xdr:cNvPr id="49" name="직선 화살표 연결선 48">
          <a:extLst>
            <a:ext uri="{FF2B5EF4-FFF2-40B4-BE49-F238E27FC236}">
              <a16:creationId xmlns:a16="http://schemas.microsoft.com/office/drawing/2014/main" id="{21905A5C-EFB5-492F-9829-96F5130DECFE}"/>
            </a:ext>
          </a:extLst>
        </xdr:cNvPr>
        <xdr:cNvCxnSpPr/>
      </xdr:nvCxnSpPr>
      <xdr:spPr>
        <a:xfrm>
          <a:off x="9997440"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91</xdr:row>
      <xdr:rowOff>30480</xdr:rowOff>
    </xdr:from>
    <xdr:to>
      <xdr:col>42</xdr:col>
      <xdr:colOff>126274</xdr:colOff>
      <xdr:row>91</xdr:row>
      <xdr:rowOff>144780</xdr:rowOff>
    </xdr:to>
    <xdr:sp macro="" textlink="">
      <xdr:nvSpPr>
        <xdr:cNvPr id="50" name="직사각형 49">
          <a:extLst>
            <a:ext uri="{FF2B5EF4-FFF2-40B4-BE49-F238E27FC236}">
              <a16:creationId xmlns:a16="http://schemas.microsoft.com/office/drawing/2014/main" id="{9D204472-05CB-4988-AF80-2CC303CDD952}"/>
            </a:ext>
          </a:extLst>
        </xdr:cNvPr>
        <xdr:cNvSpPr/>
      </xdr:nvSpPr>
      <xdr:spPr>
        <a:xfrm>
          <a:off x="10576560" y="14032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91</xdr:row>
      <xdr:rowOff>87630</xdr:rowOff>
    </xdr:from>
    <xdr:to>
      <xdr:col>42</xdr:col>
      <xdr:colOff>22860</xdr:colOff>
      <xdr:row>91</xdr:row>
      <xdr:rowOff>87630</xdr:rowOff>
    </xdr:to>
    <xdr:cxnSp macro="">
      <xdr:nvCxnSpPr>
        <xdr:cNvPr id="51" name="직선 화살표 연결선 50">
          <a:extLst>
            <a:ext uri="{FF2B5EF4-FFF2-40B4-BE49-F238E27FC236}">
              <a16:creationId xmlns:a16="http://schemas.microsoft.com/office/drawing/2014/main" id="{C84C681E-2CA5-4963-A3F2-9305A87BF01C}"/>
            </a:ext>
          </a:extLst>
        </xdr:cNvPr>
        <xdr:cNvCxnSpPr/>
      </xdr:nvCxnSpPr>
      <xdr:spPr>
        <a:xfrm>
          <a:off x="10576560"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62321</xdr:colOff>
      <xdr:row>90</xdr:row>
      <xdr:rowOff>30480</xdr:rowOff>
    </xdr:from>
    <xdr:to>
      <xdr:col>41</xdr:col>
      <xdr:colOff>124369</xdr:colOff>
      <xdr:row>90</xdr:row>
      <xdr:rowOff>144780</xdr:rowOff>
    </xdr:to>
    <xdr:sp macro="" textlink="">
      <xdr:nvSpPr>
        <xdr:cNvPr id="52" name="직사각형 51">
          <a:extLst>
            <a:ext uri="{FF2B5EF4-FFF2-40B4-BE49-F238E27FC236}">
              <a16:creationId xmlns:a16="http://schemas.microsoft.com/office/drawing/2014/main" id="{992DFD61-1672-4F8A-93FA-AD885CFE3938}"/>
            </a:ext>
          </a:extLst>
        </xdr:cNvPr>
        <xdr:cNvSpPr/>
      </xdr:nvSpPr>
      <xdr:spPr>
        <a:xfrm>
          <a:off x="10473146" y="1387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62321</xdr:colOff>
      <xdr:row>90</xdr:row>
      <xdr:rowOff>87630</xdr:rowOff>
    </xdr:from>
    <xdr:to>
      <xdr:col>41</xdr:col>
      <xdr:colOff>62321</xdr:colOff>
      <xdr:row>90</xdr:row>
      <xdr:rowOff>87630</xdr:rowOff>
    </xdr:to>
    <xdr:cxnSp macro="">
      <xdr:nvCxnSpPr>
        <xdr:cNvPr id="53" name="직선 화살표 연결선 52">
          <a:extLst>
            <a:ext uri="{FF2B5EF4-FFF2-40B4-BE49-F238E27FC236}">
              <a16:creationId xmlns:a16="http://schemas.microsoft.com/office/drawing/2014/main" id="{F41527AA-4A4C-4FC1-A892-77B95FEC12CB}"/>
            </a:ext>
          </a:extLst>
        </xdr:cNvPr>
        <xdr:cNvCxnSpPr/>
      </xdr:nvCxnSpPr>
      <xdr:spPr>
        <a:xfrm>
          <a:off x="10473146"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81099</xdr:colOff>
      <xdr:row>89</xdr:row>
      <xdr:rowOff>30480</xdr:rowOff>
    </xdr:from>
    <xdr:to>
      <xdr:col>41</xdr:col>
      <xdr:colOff>62321</xdr:colOff>
      <xdr:row>89</xdr:row>
      <xdr:rowOff>144780</xdr:rowOff>
    </xdr:to>
    <xdr:sp macro="" textlink="">
      <xdr:nvSpPr>
        <xdr:cNvPr id="54" name="직사각형 53">
          <a:extLst>
            <a:ext uri="{FF2B5EF4-FFF2-40B4-BE49-F238E27FC236}">
              <a16:creationId xmlns:a16="http://schemas.microsoft.com/office/drawing/2014/main" id="{6D5A6FDC-FCC5-471F-B355-DF1511C3476F}"/>
            </a:ext>
          </a:extLst>
        </xdr:cNvPr>
        <xdr:cNvSpPr/>
      </xdr:nvSpPr>
      <xdr:spPr>
        <a:xfrm>
          <a:off x="10349049" y="13727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81099</xdr:colOff>
      <xdr:row>89</xdr:row>
      <xdr:rowOff>87630</xdr:rowOff>
    </xdr:from>
    <xdr:to>
      <xdr:col>40</xdr:col>
      <xdr:colOff>81099</xdr:colOff>
      <xdr:row>89</xdr:row>
      <xdr:rowOff>87630</xdr:rowOff>
    </xdr:to>
    <xdr:cxnSp macro="">
      <xdr:nvCxnSpPr>
        <xdr:cNvPr id="55" name="직선 화살표 연결선 54">
          <a:extLst>
            <a:ext uri="{FF2B5EF4-FFF2-40B4-BE49-F238E27FC236}">
              <a16:creationId xmlns:a16="http://schemas.microsoft.com/office/drawing/2014/main" id="{1F121B1A-344B-4826-9DB5-4AE092BF76AD}"/>
            </a:ext>
          </a:extLst>
        </xdr:cNvPr>
        <xdr:cNvCxnSpPr/>
      </xdr:nvCxnSpPr>
      <xdr:spPr>
        <a:xfrm>
          <a:off x="10349049"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81099</xdr:colOff>
      <xdr:row>88</xdr:row>
      <xdr:rowOff>30480</xdr:rowOff>
    </xdr:from>
    <xdr:to>
      <xdr:col>40</xdr:col>
      <xdr:colOff>122465</xdr:colOff>
      <xdr:row>88</xdr:row>
      <xdr:rowOff>144780</xdr:rowOff>
    </xdr:to>
    <xdr:sp macro="" textlink="">
      <xdr:nvSpPr>
        <xdr:cNvPr id="56" name="직사각형 55">
          <a:extLst>
            <a:ext uri="{FF2B5EF4-FFF2-40B4-BE49-F238E27FC236}">
              <a16:creationId xmlns:a16="http://schemas.microsoft.com/office/drawing/2014/main" id="{3EB575CE-2EDF-42F4-A718-02998923217D}"/>
            </a:ext>
          </a:extLst>
        </xdr:cNvPr>
        <xdr:cNvSpPr/>
      </xdr:nvSpPr>
      <xdr:spPr>
        <a:xfrm>
          <a:off x="10349049" y="13575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81099</xdr:colOff>
      <xdr:row>88</xdr:row>
      <xdr:rowOff>87630</xdr:rowOff>
    </xdr:from>
    <xdr:to>
      <xdr:col>40</xdr:col>
      <xdr:colOff>81099</xdr:colOff>
      <xdr:row>88</xdr:row>
      <xdr:rowOff>87630</xdr:rowOff>
    </xdr:to>
    <xdr:cxnSp macro="">
      <xdr:nvCxnSpPr>
        <xdr:cNvPr id="57" name="직선 화살표 연결선 56">
          <a:extLst>
            <a:ext uri="{FF2B5EF4-FFF2-40B4-BE49-F238E27FC236}">
              <a16:creationId xmlns:a16="http://schemas.microsoft.com/office/drawing/2014/main" id="{E3EE4352-AE1C-4081-9508-6F90C7AF70C2}"/>
            </a:ext>
          </a:extLst>
        </xdr:cNvPr>
        <xdr:cNvCxnSpPr/>
      </xdr:nvCxnSpPr>
      <xdr:spPr>
        <a:xfrm>
          <a:off x="10349049"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87</xdr:row>
      <xdr:rowOff>30480</xdr:rowOff>
    </xdr:from>
    <xdr:to>
      <xdr:col>40</xdr:col>
      <xdr:colOff>81099</xdr:colOff>
      <xdr:row>87</xdr:row>
      <xdr:rowOff>144780</xdr:rowOff>
    </xdr:to>
    <xdr:sp macro="" textlink="">
      <xdr:nvSpPr>
        <xdr:cNvPr id="58" name="직사각형 57">
          <a:extLst>
            <a:ext uri="{FF2B5EF4-FFF2-40B4-BE49-F238E27FC236}">
              <a16:creationId xmlns:a16="http://schemas.microsoft.com/office/drawing/2014/main" id="{2DFBD9B5-BDCD-4B29-91D9-EA234D2C336E}"/>
            </a:ext>
          </a:extLst>
        </xdr:cNvPr>
        <xdr:cNvSpPr/>
      </xdr:nvSpPr>
      <xdr:spPr>
        <a:xfrm>
          <a:off x="10287000" y="13422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87</xdr:row>
      <xdr:rowOff>87630</xdr:rowOff>
    </xdr:from>
    <xdr:to>
      <xdr:col>40</xdr:col>
      <xdr:colOff>19050</xdr:colOff>
      <xdr:row>87</xdr:row>
      <xdr:rowOff>87630</xdr:rowOff>
    </xdr:to>
    <xdr:cxnSp macro="">
      <xdr:nvCxnSpPr>
        <xdr:cNvPr id="59" name="직선 화살표 연결선 58">
          <a:extLst>
            <a:ext uri="{FF2B5EF4-FFF2-40B4-BE49-F238E27FC236}">
              <a16:creationId xmlns:a16="http://schemas.microsoft.com/office/drawing/2014/main" id="{3EF6C7AB-D2A3-42A2-98EF-5D9C5C7DF5EA}"/>
            </a:ext>
          </a:extLst>
        </xdr:cNvPr>
        <xdr:cNvCxnSpPr/>
      </xdr:nvCxnSpPr>
      <xdr:spPr>
        <a:xfrm>
          <a:off x="10287000"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85</xdr:row>
      <xdr:rowOff>30480</xdr:rowOff>
    </xdr:from>
    <xdr:to>
      <xdr:col>39</xdr:col>
      <xdr:colOff>120559</xdr:colOff>
      <xdr:row>85</xdr:row>
      <xdr:rowOff>144780</xdr:rowOff>
    </xdr:to>
    <xdr:sp macro="" textlink="">
      <xdr:nvSpPr>
        <xdr:cNvPr id="60" name="직사각형 59">
          <a:extLst>
            <a:ext uri="{FF2B5EF4-FFF2-40B4-BE49-F238E27FC236}">
              <a16:creationId xmlns:a16="http://schemas.microsoft.com/office/drawing/2014/main" id="{D381CF6F-5E65-4B90-BD41-441A270E7059}"/>
            </a:ext>
          </a:extLst>
        </xdr:cNvPr>
        <xdr:cNvSpPr/>
      </xdr:nvSpPr>
      <xdr:spPr>
        <a:xfrm>
          <a:off x="10142220" y="13117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85</xdr:row>
      <xdr:rowOff>87630</xdr:rowOff>
    </xdr:from>
    <xdr:to>
      <xdr:col>39</xdr:col>
      <xdr:colOff>17145</xdr:colOff>
      <xdr:row>85</xdr:row>
      <xdr:rowOff>87630</xdr:rowOff>
    </xdr:to>
    <xdr:cxnSp macro="">
      <xdr:nvCxnSpPr>
        <xdr:cNvPr id="61" name="직선 화살표 연결선 60">
          <a:extLst>
            <a:ext uri="{FF2B5EF4-FFF2-40B4-BE49-F238E27FC236}">
              <a16:creationId xmlns:a16="http://schemas.microsoft.com/office/drawing/2014/main" id="{EF75BCEC-C11B-4B50-8835-42CB78B83965}"/>
            </a:ext>
          </a:extLst>
        </xdr:cNvPr>
        <xdr:cNvCxnSpPr/>
      </xdr:nvCxnSpPr>
      <xdr:spPr>
        <a:xfrm>
          <a:off x="10142220"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84</xdr:row>
      <xdr:rowOff>30480</xdr:rowOff>
    </xdr:from>
    <xdr:to>
      <xdr:col>42</xdr:col>
      <xdr:colOff>126274</xdr:colOff>
      <xdr:row>84</xdr:row>
      <xdr:rowOff>144780</xdr:rowOff>
    </xdr:to>
    <xdr:sp macro="" textlink="">
      <xdr:nvSpPr>
        <xdr:cNvPr id="62" name="직사각형 61">
          <a:extLst>
            <a:ext uri="{FF2B5EF4-FFF2-40B4-BE49-F238E27FC236}">
              <a16:creationId xmlns:a16="http://schemas.microsoft.com/office/drawing/2014/main" id="{161B48EE-F932-4BAA-818C-4F033D08F423}"/>
            </a:ext>
          </a:extLst>
        </xdr:cNvPr>
        <xdr:cNvSpPr/>
      </xdr:nvSpPr>
      <xdr:spPr>
        <a:xfrm>
          <a:off x="10142220" y="129654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84</xdr:row>
      <xdr:rowOff>87630</xdr:rowOff>
    </xdr:from>
    <xdr:to>
      <xdr:col>39</xdr:col>
      <xdr:colOff>17145</xdr:colOff>
      <xdr:row>84</xdr:row>
      <xdr:rowOff>87630</xdr:rowOff>
    </xdr:to>
    <xdr:cxnSp macro="">
      <xdr:nvCxnSpPr>
        <xdr:cNvPr id="63" name="직선 화살표 연결선 62">
          <a:extLst>
            <a:ext uri="{FF2B5EF4-FFF2-40B4-BE49-F238E27FC236}">
              <a16:creationId xmlns:a16="http://schemas.microsoft.com/office/drawing/2014/main" id="{91E95D97-D4E4-4AE5-9EF7-32D346C90352}"/>
            </a:ext>
          </a:extLst>
        </xdr:cNvPr>
        <xdr:cNvCxnSpPr/>
      </xdr:nvCxnSpPr>
      <xdr:spPr>
        <a:xfrm>
          <a:off x="10142220" y="1302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58510</xdr:colOff>
      <xdr:row>82</xdr:row>
      <xdr:rowOff>30480</xdr:rowOff>
    </xdr:from>
    <xdr:to>
      <xdr:col>39</xdr:col>
      <xdr:colOff>120559</xdr:colOff>
      <xdr:row>82</xdr:row>
      <xdr:rowOff>144780</xdr:rowOff>
    </xdr:to>
    <xdr:sp macro="" textlink="">
      <xdr:nvSpPr>
        <xdr:cNvPr id="128" name="직사각형 127">
          <a:extLst>
            <a:ext uri="{FF2B5EF4-FFF2-40B4-BE49-F238E27FC236}">
              <a16:creationId xmlns:a16="http://schemas.microsoft.com/office/drawing/2014/main" id="{E82F44E1-97B2-49B6-9E3F-0229C50D49E8}"/>
            </a:ext>
          </a:extLst>
        </xdr:cNvPr>
        <xdr:cNvSpPr/>
      </xdr:nvSpPr>
      <xdr:spPr>
        <a:xfrm>
          <a:off x="10183585" y="12660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58510</xdr:colOff>
      <xdr:row>82</xdr:row>
      <xdr:rowOff>87630</xdr:rowOff>
    </xdr:from>
    <xdr:to>
      <xdr:col>39</xdr:col>
      <xdr:colOff>58510</xdr:colOff>
      <xdr:row>82</xdr:row>
      <xdr:rowOff>87630</xdr:rowOff>
    </xdr:to>
    <xdr:cxnSp macro="">
      <xdr:nvCxnSpPr>
        <xdr:cNvPr id="129" name="직선 화살표 연결선 128">
          <a:extLst>
            <a:ext uri="{FF2B5EF4-FFF2-40B4-BE49-F238E27FC236}">
              <a16:creationId xmlns:a16="http://schemas.microsoft.com/office/drawing/2014/main" id="{646F22A5-985F-4BEB-8B1A-B2E6DD28F41B}"/>
            </a:ext>
          </a:extLst>
        </xdr:cNvPr>
        <xdr:cNvCxnSpPr/>
      </xdr:nvCxnSpPr>
      <xdr:spPr>
        <a:xfrm>
          <a:off x="10183585"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77288</xdr:colOff>
      <xdr:row>81</xdr:row>
      <xdr:rowOff>30480</xdr:rowOff>
    </xdr:from>
    <xdr:to>
      <xdr:col>39</xdr:col>
      <xdr:colOff>58510</xdr:colOff>
      <xdr:row>81</xdr:row>
      <xdr:rowOff>144780</xdr:rowOff>
    </xdr:to>
    <xdr:sp macro="" textlink="">
      <xdr:nvSpPr>
        <xdr:cNvPr id="130" name="직사각형 129">
          <a:extLst>
            <a:ext uri="{FF2B5EF4-FFF2-40B4-BE49-F238E27FC236}">
              <a16:creationId xmlns:a16="http://schemas.microsoft.com/office/drawing/2014/main" id="{8FAE3BB8-5B38-42DF-A190-7F9560F07E42}"/>
            </a:ext>
          </a:extLst>
        </xdr:cNvPr>
        <xdr:cNvSpPr/>
      </xdr:nvSpPr>
      <xdr:spPr>
        <a:xfrm>
          <a:off x="10059488" y="12508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77288</xdr:colOff>
      <xdr:row>81</xdr:row>
      <xdr:rowOff>87630</xdr:rowOff>
    </xdr:from>
    <xdr:to>
      <xdr:col>38</xdr:col>
      <xdr:colOff>77288</xdr:colOff>
      <xdr:row>81</xdr:row>
      <xdr:rowOff>87630</xdr:rowOff>
    </xdr:to>
    <xdr:cxnSp macro="">
      <xdr:nvCxnSpPr>
        <xdr:cNvPr id="131" name="직선 화살표 연결선 130">
          <a:extLst>
            <a:ext uri="{FF2B5EF4-FFF2-40B4-BE49-F238E27FC236}">
              <a16:creationId xmlns:a16="http://schemas.microsoft.com/office/drawing/2014/main" id="{AA9FFD8C-686F-4CD1-973D-4B08AAE1CEFB}"/>
            </a:ext>
          </a:extLst>
        </xdr:cNvPr>
        <xdr:cNvCxnSpPr/>
      </xdr:nvCxnSpPr>
      <xdr:spPr>
        <a:xfrm>
          <a:off x="10059488"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77</xdr:row>
      <xdr:rowOff>30480</xdr:rowOff>
    </xdr:from>
    <xdr:to>
      <xdr:col>38</xdr:col>
      <xdr:colOff>77288</xdr:colOff>
      <xdr:row>77</xdr:row>
      <xdr:rowOff>144780</xdr:rowOff>
    </xdr:to>
    <xdr:sp macro="" textlink="">
      <xdr:nvSpPr>
        <xdr:cNvPr id="132" name="직사각형 131">
          <a:extLst>
            <a:ext uri="{FF2B5EF4-FFF2-40B4-BE49-F238E27FC236}">
              <a16:creationId xmlns:a16="http://schemas.microsoft.com/office/drawing/2014/main" id="{E5C4CDFF-7F49-4A0B-8B1A-7B1490768586}"/>
            </a:ext>
          </a:extLst>
        </xdr:cNvPr>
        <xdr:cNvSpPr/>
      </xdr:nvSpPr>
      <xdr:spPr>
        <a:xfrm>
          <a:off x="9997440" y="1189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77</xdr:row>
      <xdr:rowOff>87630</xdr:rowOff>
    </xdr:from>
    <xdr:to>
      <xdr:col>38</xdr:col>
      <xdr:colOff>15240</xdr:colOff>
      <xdr:row>77</xdr:row>
      <xdr:rowOff>87630</xdr:rowOff>
    </xdr:to>
    <xdr:cxnSp macro="">
      <xdr:nvCxnSpPr>
        <xdr:cNvPr id="133" name="직선 화살표 연결선 132">
          <a:extLst>
            <a:ext uri="{FF2B5EF4-FFF2-40B4-BE49-F238E27FC236}">
              <a16:creationId xmlns:a16="http://schemas.microsoft.com/office/drawing/2014/main" id="{6369A65A-8668-4C82-B190-1A5834D2386A}"/>
            </a:ext>
          </a:extLst>
        </xdr:cNvPr>
        <xdr:cNvCxnSpPr/>
      </xdr:nvCxnSpPr>
      <xdr:spPr>
        <a:xfrm>
          <a:off x="9997440"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76</xdr:row>
      <xdr:rowOff>30480</xdr:rowOff>
    </xdr:from>
    <xdr:to>
      <xdr:col>37</xdr:col>
      <xdr:colOff>116749</xdr:colOff>
      <xdr:row>76</xdr:row>
      <xdr:rowOff>144780</xdr:rowOff>
    </xdr:to>
    <xdr:sp macro="" textlink="">
      <xdr:nvSpPr>
        <xdr:cNvPr id="134" name="직사각형 133">
          <a:extLst>
            <a:ext uri="{FF2B5EF4-FFF2-40B4-BE49-F238E27FC236}">
              <a16:creationId xmlns:a16="http://schemas.microsoft.com/office/drawing/2014/main" id="{9E9E0A46-DB4E-443A-9E61-0F697CAED7F9}"/>
            </a:ext>
          </a:extLst>
        </xdr:cNvPr>
        <xdr:cNvSpPr/>
      </xdr:nvSpPr>
      <xdr:spPr>
        <a:xfrm>
          <a:off x="9852660" y="11746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76</xdr:row>
      <xdr:rowOff>87630</xdr:rowOff>
    </xdr:from>
    <xdr:to>
      <xdr:col>37</xdr:col>
      <xdr:colOff>13335</xdr:colOff>
      <xdr:row>76</xdr:row>
      <xdr:rowOff>87630</xdr:rowOff>
    </xdr:to>
    <xdr:cxnSp macro="">
      <xdr:nvCxnSpPr>
        <xdr:cNvPr id="135" name="직선 화살표 연결선 134">
          <a:extLst>
            <a:ext uri="{FF2B5EF4-FFF2-40B4-BE49-F238E27FC236}">
              <a16:creationId xmlns:a16="http://schemas.microsoft.com/office/drawing/2014/main" id="{CF94AFC8-6BFE-47D7-AD95-108459679248}"/>
            </a:ext>
          </a:extLst>
        </xdr:cNvPr>
        <xdr:cNvCxnSpPr/>
      </xdr:nvCxnSpPr>
      <xdr:spPr>
        <a:xfrm>
          <a:off x="9852660"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75</xdr:row>
      <xdr:rowOff>30480</xdr:rowOff>
    </xdr:from>
    <xdr:to>
      <xdr:col>39</xdr:col>
      <xdr:colOff>120559</xdr:colOff>
      <xdr:row>75</xdr:row>
      <xdr:rowOff>144780</xdr:rowOff>
    </xdr:to>
    <xdr:sp macro="" textlink="">
      <xdr:nvSpPr>
        <xdr:cNvPr id="136" name="직사각형 135">
          <a:extLst>
            <a:ext uri="{FF2B5EF4-FFF2-40B4-BE49-F238E27FC236}">
              <a16:creationId xmlns:a16="http://schemas.microsoft.com/office/drawing/2014/main" id="{7364232F-A6CF-4029-8DCD-C9EAA8742BE8}"/>
            </a:ext>
          </a:extLst>
        </xdr:cNvPr>
        <xdr:cNvSpPr/>
      </xdr:nvSpPr>
      <xdr:spPr>
        <a:xfrm>
          <a:off x="9852660" y="115938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75</xdr:row>
      <xdr:rowOff>87630</xdr:rowOff>
    </xdr:from>
    <xdr:to>
      <xdr:col>37</xdr:col>
      <xdr:colOff>13335</xdr:colOff>
      <xdr:row>75</xdr:row>
      <xdr:rowOff>87630</xdr:rowOff>
    </xdr:to>
    <xdr:cxnSp macro="">
      <xdr:nvCxnSpPr>
        <xdr:cNvPr id="137" name="직선 화살표 연결선 136">
          <a:extLst>
            <a:ext uri="{FF2B5EF4-FFF2-40B4-BE49-F238E27FC236}">
              <a16:creationId xmlns:a16="http://schemas.microsoft.com/office/drawing/2014/main" id="{EEC2D924-6D51-4947-B886-EB4F4DD3443A}"/>
            </a:ext>
          </a:extLst>
        </xdr:cNvPr>
        <xdr:cNvCxnSpPr/>
      </xdr:nvCxnSpPr>
      <xdr:spPr>
        <a:xfrm>
          <a:off x="9852660"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73</xdr:row>
      <xdr:rowOff>30480</xdr:rowOff>
    </xdr:from>
    <xdr:to>
      <xdr:col>42</xdr:col>
      <xdr:colOff>126274</xdr:colOff>
      <xdr:row>73</xdr:row>
      <xdr:rowOff>144780</xdr:rowOff>
    </xdr:to>
    <xdr:sp macro="" textlink="">
      <xdr:nvSpPr>
        <xdr:cNvPr id="138" name="직사각형 137">
          <a:extLst>
            <a:ext uri="{FF2B5EF4-FFF2-40B4-BE49-F238E27FC236}">
              <a16:creationId xmlns:a16="http://schemas.microsoft.com/office/drawing/2014/main" id="{056704DB-77C5-460F-A257-3E32F72072DF}"/>
            </a:ext>
          </a:extLst>
        </xdr:cNvPr>
        <xdr:cNvSpPr/>
      </xdr:nvSpPr>
      <xdr:spPr>
        <a:xfrm>
          <a:off x="10576560" y="11289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73</xdr:row>
      <xdr:rowOff>87630</xdr:rowOff>
    </xdr:from>
    <xdr:to>
      <xdr:col>42</xdr:col>
      <xdr:colOff>22860</xdr:colOff>
      <xdr:row>73</xdr:row>
      <xdr:rowOff>87630</xdr:rowOff>
    </xdr:to>
    <xdr:cxnSp macro="">
      <xdr:nvCxnSpPr>
        <xdr:cNvPr id="139" name="직선 화살표 연결선 138">
          <a:extLst>
            <a:ext uri="{FF2B5EF4-FFF2-40B4-BE49-F238E27FC236}">
              <a16:creationId xmlns:a16="http://schemas.microsoft.com/office/drawing/2014/main" id="{A4EB534E-E31D-4A5B-B49E-CE5B466D9D44}"/>
            </a:ext>
          </a:extLst>
        </xdr:cNvPr>
        <xdr:cNvCxnSpPr/>
      </xdr:nvCxnSpPr>
      <xdr:spPr>
        <a:xfrm>
          <a:off x="10576560"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20955</xdr:colOff>
      <xdr:row>72</xdr:row>
      <xdr:rowOff>30480</xdr:rowOff>
    </xdr:from>
    <xdr:to>
      <xdr:col>41</xdr:col>
      <xdr:colOff>124369</xdr:colOff>
      <xdr:row>72</xdr:row>
      <xdr:rowOff>144780</xdr:rowOff>
    </xdr:to>
    <xdr:sp macro="" textlink="">
      <xdr:nvSpPr>
        <xdr:cNvPr id="140" name="직사각형 139">
          <a:extLst>
            <a:ext uri="{FF2B5EF4-FFF2-40B4-BE49-F238E27FC236}">
              <a16:creationId xmlns:a16="http://schemas.microsoft.com/office/drawing/2014/main" id="{76CF009B-C997-4212-941A-433E0AF3A8D3}"/>
            </a:ext>
          </a:extLst>
        </xdr:cNvPr>
        <xdr:cNvSpPr/>
      </xdr:nvSpPr>
      <xdr:spPr>
        <a:xfrm>
          <a:off x="10431780" y="1113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20955</xdr:colOff>
      <xdr:row>72</xdr:row>
      <xdr:rowOff>87630</xdr:rowOff>
    </xdr:from>
    <xdr:to>
      <xdr:col>41</xdr:col>
      <xdr:colOff>20955</xdr:colOff>
      <xdr:row>72</xdr:row>
      <xdr:rowOff>87630</xdr:rowOff>
    </xdr:to>
    <xdr:cxnSp macro="">
      <xdr:nvCxnSpPr>
        <xdr:cNvPr id="141" name="직선 화살표 연결선 140">
          <a:extLst>
            <a:ext uri="{FF2B5EF4-FFF2-40B4-BE49-F238E27FC236}">
              <a16:creationId xmlns:a16="http://schemas.microsoft.com/office/drawing/2014/main" id="{93CF5063-AB63-410C-BBFD-A2B8D5031474}"/>
            </a:ext>
          </a:extLst>
        </xdr:cNvPr>
        <xdr:cNvCxnSpPr/>
      </xdr:nvCxnSpPr>
      <xdr:spPr>
        <a:xfrm>
          <a:off x="10431780"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69</xdr:row>
      <xdr:rowOff>30480</xdr:rowOff>
    </xdr:from>
    <xdr:to>
      <xdr:col>40</xdr:col>
      <xdr:colOff>122465</xdr:colOff>
      <xdr:row>69</xdr:row>
      <xdr:rowOff>144780</xdr:rowOff>
    </xdr:to>
    <xdr:sp macro="" textlink="">
      <xdr:nvSpPr>
        <xdr:cNvPr id="142" name="직사각형 141">
          <a:extLst>
            <a:ext uri="{FF2B5EF4-FFF2-40B4-BE49-F238E27FC236}">
              <a16:creationId xmlns:a16="http://schemas.microsoft.com/office/drawing/2014/main" id="{CB069409-214E-45A1-ADEB-51588E12D796}"/>
            </a:ext>
          </a:extLst>
        </xdr:cNvPr>
        <xdr:cNvSpPr/>
      </xdr:nvSpPr>
      <xdr:spPr>
        <a:xfrm>
          <a:off x="10287000" y="10679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69</xdr:row>
      <xdr:rowOff>87630</xdr:rowOff>
    </xdr:from>
    <xdr:to>
      <xdr:col>40</xdr:col>
      <xdr:colOff>19050</xdr:colOff>
      <xdr:row>69</xdr:row>
      <xdr:rowOff>87630</xdr:rowOff>
    </xdr:to>
    <xdr:cxnSp macro="">
      <xdr:nvCxnSpPr>
        <xdr:cNvPr id="143" name="직선 화살표 연결선 142">
          <a:extLst>
            <a:ext uri="{FF2B5EF4-FFF2-40B4-BE49-F238E27FC236}">
              <a16:creationId xmlns:a16="http://schemas.microsoft.com/office/drawing/2014/main" id="{898FA6A7-062B-417A-8C84-82B467902C75}"/>
            </a:ext>
          </a:extLst>
        </xdr:cNvPr>
        <xdr:cNvCxnSpPr/>
      </xdr:nvCxnSpPr>
      <xdr:spPr>
        <a:xfrm>
          <a:off x="10287000"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68</xdr:row>
      <xdr:rowOff>30480</xdr:rowOff>
    </xdr:from>
    <xdr:to>
      <xdr:col>39</xdr:col>
      <xdr:colOff>120559</xdr:colOff>
      <xdr:row>68</xdr:row>
      <xdr:rowOff>144780</xdr:rowOff>
    </xdr:to>
    <xdr:sp macro="" textlink="">
      <xdr:nvSpPr>
        <xdr:cNvPr id="144" name="직사각형 143">
          <a:extLst>
            <a:ext uri="{FF2B5EF4-FFF2-40B4-BE49-F238E27FC236}">
              <a16:creationId xmlns:a16="http://schemas.microsoft.com/office/drawing/2014/main" id="{D7D7982E-5111-4869-9BA7-7092FFD34793}"/>
            </a:ext>
          </a:extLst>
        </xdr:cNvPr>
        <xdr:cNvSpPr/>
      </xdr:nvSpPr>
      <xdr:spPr>
        <a:xfrm>
          <a:off x="10142220" y="10527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68</xdr:row>
      <xdr:rowOff>87630</xdr:rowOff>
    </xdr:from>
    <xdr:to>
      <xdr:col>39</xdr:col>
      <xdr:colOff>17145</xdr:colOff>
      <xdr:row>68</xdr:row>
      <xdr:rowOff>87630</xdr:rowOff>
    </xdr:to>
    <xdr:cxnSp macro="">
      <xdr:nvCxnSpPr>
        <xdr:cNvPr id="145" name="직선 화살표 연결선 144">
          <a:extLst>
            <a:ext uri="{FF2B5EF4-FFF2-40B4-BE49-F238E27FC236}">
              <a16:creationId xmlns:a16="http://schemas.microsoft.com/office/drawing/2014/main" id="{DD38B877-A832-4D2C-BB2E-EFB66C460CF3}"/>
            </a:ext>
          </a:extLst>
        </xdr:cNvPr>
        <xdr:cNvCxnSpPr/>
      </xdr:nvCxnSpPr>
      <xdr:spPr>
        <a:xfrm>
          <a:off x="10142220"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67</xdr:row>
      <xdr:rowOff>30480</xdr:rowOff>
    </xdr:from>
    <xdr:to>
      <xdr:col>38</xdr:col>
      <xdr:colOff>118654</xdr:colOff>
      <xdr:row>67</xdr:row>
      <xdr:rowOff>144780</xdr:rowOff>
    </xdr:to>
    <xdr:sp macro="" textlink="">
      <xdr:nvSpPr>
        <xdr:cNvPr id="146" name="직사각형 145">
          <a:extLst>
            <a:ext uri="{FF2B5EF4-FFF2-40B4-BE49-F238E27FC236}">
              <a16:creationId xmlns:a16="http://schemas.microsoft.com/office/drawing/2014/main" id="{37BE8770-4EDA-4FBA-B21F-E1925160A92C}"/>
            </a:ext>
          </a:extLst>
        </xdr:cNvPr>
        <xdr:cNvSpPr/>
      </xdr:nvSpPr>
      <xdr:spPr>
        <a:xfrm>
          <a:off x="9997440" y="10374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67</xdr:row>
      <xdr:rowOff>87630</xdr:rowOff>
    </xdr:from>
    <xdr:to>
      <xdr:col>38</xdr:col>
      <xdr:colOff>15240</xdr:colOff>
      <xdr:row>67</xdr:row>
      <xdr:rowOff>87630</xdr:rowOff>
    </xdr:to>
    <xdr:cxnSp macro="">
      <xdr:nvCxnSpPr>
        <xdr:cNvPr id="147" name="직선 화살표 연결선 146">
          <a:extLst>
            <a:ext uri="{FF2B5EF4-FFF2-40B4-BE49-F238E27FC236}">
              <a16:creationId xmlns:a16="http://schemas.microsoft.com/office/drawing/2014/main" id="{DA6DCBB7-3F6C-4AEA-82AA-E561ADDC9CCA}"/>
            </a:ext>
          </a:extLst>
        </xdr:cNvPr>
        <xdr:cNvCxnSpPr/>
      </xdr:nvCxnSpPr>
      <xdr:spPr>
        <a:xfrm>
          <a:off x="9997440"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66</xdr:row>
      <xdr:rowOff>30480</xdr:rowOff>
    </xdr:from>
    <xdr:to>
      <xdr:col>42</xdr:col>
      <xdr:colOff>126274</xdr:colOff>
      <xdr:row>66</xdr:row>
      <xdr:rowOff>144780</xdr:rowOff>
    </xdr:to>
    <xdr:sp macro="" textlink="">
      <xdr:nvSpPr>
        <xdr:cNvPr id="148" name="직사각형 147">
          <a:extLst>
            <a:ext uri="{FF2B5EF4-FFF2-40B4-BE49-F238E27FC236}">
              <a16:creationId xmlns:a16="http://schemas.microsoft.com/office/drawing/2014/main" id="{562670B8-352B-4AF3-B210-E5ED8964813D}"/>
            </a:ext>
          </a:extLst>
        </xdr:cNvPr>
        <xdr:cNvSpPr/>
      </xdr:nvSpPr>
      <xdr:spPr>
        <a:xfrm>
          <a:off x="9997440" y="10222230"/>
          <a:ext cx="6825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66</xdr:row>
      <xdr:rowOff>87630</xdr:rowOff>
    </xdr:from>
    <xdr:to>
      <xdr:col>38</xdr:col>
      <xdr:colOff>15240</xdr:colOff>
      <xdr:row>66</xdr:row>
      <xdr:rowOff>87630</xdr:rowOff>
    </xdr:to>
    <xdr:cxnSp macro="">
      <xdr:nvCxnSpPr>
        <xdr:cNvPr id="149" name="직선 화살표 연결선 148">
          <a:extLst>
            <a:ext uri="{FF2B5EF4-FFF2-40B4-BE49-F238E27FC236}">
              <a16:creationId xmlns:a16="http://schemas.microsoft.com/office/drawing/2014/main" id="{83510FEB-006A-4BD7-9F49-D107EDB8FC50}"/>
            </a:ext>
          </a:extLst>
        </xdr:cNvPr>
        <xdr:cNvCxnSpPr/>
      </xdr:nvCxnSpPr>
      <xdr:spPr>
        <a:xfrm>
          <a:off x="9997440"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59</xdr:row>
      <xdr:rowOff>30480</xdr:rowOff>
    </xdr:from>
    <xdr:to>
      <xdr:col>46</xdr:col>
      <xdr:colOff>71846</xdr:colOff>
      <xdr:row>59</xdr:row>
      <xdr:rowOff>144780</xdr:rowOff>
    </xdr:to>
    <xdr:sp macro="" textlink="">
      <xdr:nvSpPr>
        <xdr:cNvPr id="150" name="직사각형 149">
          <a:extLst>
            <a:ext uri="{FF2B5EF4-FFF2-40B4-BE49-F238E27FC236}">
              <a16:creationId xmlns:a16="http://schemas.microsoft.com/office/drawing/2014/main" id="{FDBF75D5-36CA-4B03-A8F5-DA39AE82524F}"/>
            </a:ext>
          </a:extLst>
        </xdr:cNvPr>
        <xdr:cNvSpPr/>
      </xdr:nvSpPr>
      <xdr:spPr>
        <a:xfrm>
          <a:off x="10287000" y="9155430"/>
          <a:ext cx="91004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59</xdr:row>
      <xdr:rowOff>87630</xdr:rowOff>
    </xdr:from>
    <xdr:to>
      <xdr:col>40</xdr:col>
      <xdr:colOff>19050</xdr:colOff>
      <xdr:row>59</xdr:row>
      <xdr:rowOff>87630</xdr:rowOff>
    </xdr:to>
    <xdr:cxnSp macro="">
      <xdr:nvCxnSpPr>
        <xdr:cNvPr id="151" name="직선 화살표 연결선 150">
          <a:extLst>
            <a:ext uri="{FF2B5EF4-FFF2-40B4-BE49-F238E27FC236}">
              <a16:creationId xmlns:a16="http://schemas.microsoft.com/office/drawing/2014/main" id="{940123A1-084B-46CB-914D-3BBF9AD56034}"/>
            </a:ext>
          </a:extLst>
        </xdr:cNvPr>
        <xdr:cNvCxnSpPr/>
      </xdr:nvCxnSpPr>
      <xdr:spPr>
        <a:xfrm>
          <a:off x="10287000"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57</xdr:row>
      <xdr:rowOff>30480</xdr:rowOff>
    </xdr:from>
    <xdr:to>
      <xdr:col>46</xdr:col>
      <xdr:colOff>71846</xdr:colOff>
      <xdr:row>57</xdr:row>
      <xdr:rowOff>144780</xdr:rowOff>
    </xdr:to>
    <xdr:sp macro="" textlink="">
      <xdr:nvSpPr>
        <xdr:cNvPr id="152" name="직사각형 151">
          <a:extLst>
            <a:ext uri="{FF2B5EF4-FFF2-40B4-BE49-F238E27FC236}">
              <a16:creationId xmlns:a16="http://schemas.microsoft.com/office/drawing/2014/main" id="{1BF6845F-7AAE-4772-B099-72E789E214E2}"/>
            </a:ext>
          </a:extLst>
        </xdr:cNvPr>
        <xdr:cNvSpPr/>
      </xdr:nvSpPr>
      <xdr:spPr>
        <a:xfrm>
          <a:off x="10287000" y="885063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57</xdr:row>
      <xdr:rowOff>87630</xdr:rowOff>
    </xdr:from>
    <xdr:to>
      <xdr:col>40</xdr:col>
      <xdr:colOff>19050</xdr:colOff>
      <xdr:row>57</xdr:row>
      <xdr:rowOff>87630</xdr:rowOff>
    </xdr:to>
    <xdr:cxnSp macro="">
      <xdr:nvCxnSpPr>
        <xdr:cNvPr id="153" name="직선 화살표 연결선 152">
          <a:extLst>
            <a:ext uri="{FF2B5EF4-FFF2-40B4-BE49-F238E27FC236}">
              <a16:creationId xmlns:a16="http://schemas.microsoft.com/office/drawing/2014/main" id="{4322AF36-4F80-4EBF-8CE5-2C3206E7B0C2}"/>
            </a:ext>
          </a:extLst>
        </xdr:cNvPr>
        <xdr:cNvCxnSpPr/>
      </xdr:nvCxnSpPr>
      <xdr:spPr>
        <a:xfrm>
          <a:off x="10287000"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26670</xdr:colOff>
      <xdr:row>55</xdr:row>
      <xdr:rowOff>30480</xdr:rowOff>
    </xdr:from>
    <xdr:to>
      <xdr:col>44</xdr:col>
      <xdr:colOff>130084</xdr:colOff>
      <xdr:row>55</xdr:row>
      <xdr:rowOff>144780</xdr:rowOff>
    </xdr:to>
    <xdr:sp macro="" textlink="">
      <xdr:nvSpPr>
        <xdr:cNvPr id="154" name="직사각형 153">
          <a:extLst>
            <a:ext uri="{FF2B5EF4-FFF2-40B4-BE49-F238E27FC236}">
              <a16:creationId xmlns:a16="http://schemas.microsoft.com/office/drawing/2014/main" id="{C876E3A7-1CD7-4FE5-8818-71F12A33F605}"/>
            </a:ext>
          </a:extLst>
        </xdr:cNvPr>
        <xdr:cNvSpPr/>
      </xdr:nvSpPr>
      <xdr:spPr>
        <a:xfrm>
          <a:off x="10866120" y="8545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26670</xdr:colOff>
      <xdr:row>55</xdr:row>
      <xdr:rowOff>87630</xdr:rowOff>
    </xdr:from>
    <xdr:to>
      <xdr:col>44</xdr:col>
      <xdr:colOff>26670</xdr:colOff>
      <xdr:row>55</xdr:row>
      <xdr:rowOff>87630</xdr:rowOff>
    </xdr:to>
    <xdr:cxnSp macro="">
      <xdr:nvCxnSpPr>
        <xdr:cNvPr id="155" name="직선 화살표 연결선 154">
          <a:extLst>
            <a:ext uri="{FF2B5EF4-FFF2-40B4-BE49-F238E27FC236}">
              <a16:creationId xmlns:a16="http://schemas.microsoft.com/office/drawing/2014/main" id="{D1C48E9B-3C9D-4340-834B-E515B04EBECB}"/>
            </a:ext>
          </a:extLst>
        </xdr:cNvPr>
        <xdr:cNvCxnSpPr/>
      </xdr:nvCxnSpPr>
      <xdr:spPr>
        <a:xfrm>
          <a:off x="10866120"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24765</xdr:colOff>
      <xdr:row>54</xdr:row>
      <xdr:rowOff>30480</xdr:rowOff>
    </xdr:from>
    <xdr:to>
      <xdr:col>43</xdr:col>
      <xdr:colOff>128179</xdr:colOff>
      <xdr:row>54</xdr:row>
      <xdr:rowOff>144780</xdr:rowOff>
    </xdr:to>
    <xdr:sp macro="" textlink="">
      <xdr:nvSpPr>
        <xdr:cNvPr id="156" name="직사각형 155">
          <a:extLst>
            <a:ext uri="{FF2B5EF4-FFF2-40B4-BE49-F238E27FC236}">
              <a16:creationId xmlns:a16="http://schemas.microsoft.com/office/drawing/2014/main" id="{C4B1C4F8-FFDD-4DBE-BA56-DA50B3312148}"/>
            </a:ext>
          </a:extLst>
        </xdr:cNvPr>
        <xdr:cNvSpPr/>
      </xdr:nvSpPr>
      <xdr:spPr>
        <a:xfrm>
          <a:off x="10721340" y="8393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24765</xdr:colOff>
      <xdr:row>54</xdr:row>
      <xdr:rowOff>87630</xdr:rowOff>
    </xdr:from>
    <xdr:to>
      <xdr:col>43</xdr:col>
      <xdr:colOff>24765</xdr:colOff>
      <xdr:row>54</xdr:row>
      <xdr:rowOff>87630</xdr:rowOff>
    </xdr:to>
    <xdr:cxnSp macro="">
      <xdr:nvCxnSpPr>
        <xdr:cNvPr id="157" name="직선 화살표 연결선 156">
          <a:extLst>
            <a:ext uri="{FF2B5EF4-FFF2-40B4-BE49-F238E27FC236}">
              <a16:creationId xmlns:a16="http://schemas.microsoft.com/office/drawing/2014/main" id="{46748920-3A41-4116-90E6-E2169C65B925}"/>
            </a:ext>
          </a:extLst>
        </xdr:cNvPr>
        <xdr:cNvCxnSpPr/>
      </xdr:nvCxnSpPr>
      <xdr:spPr>
        <a:xfrm>
          <a:off x="10721340"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52</xdr:row>
      <xdr:rowOff>30480</xdr:rowOff>
    </xdr:from>
    <xdr:to>
      <xdr:col>41</xdr:col>
      <xdr:colOff>124369</xdr:colOff>
      <xdr:row>52</xdr:row>
      <xdr:rowOff>144780</xdr:rowOff>
    </xdr:to>
    <xdr:sp macro="" textlink="">
      <xdr:nvSpPr>
        <xdr:cNvPr id="158" name="직사각형 157">
          <a:extLst>
            <a:ext uri="{FF2B5EF4-FFF2-40B4-BE49-F238E27FC236}">
              <a16:creationId xmlns:a16="http://schemas.microsoft.com/office/drawing/2014/main" id="{334BDEAF-7CDC-45F3-A890-7A9333DA194A}"/>
            </a:ext>
          </a:extLst>
        </xdr:cNvPr>
        <xdr:cNvSpPr/>
      </xdr:nvSpPr>
      <xdr:spPr>
        <a:xfrm>
          <a:off x="10142220" y="80886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52</xdr:row>
      <xdr:rowOff>87630</xdr:rowOff>
    </xdr:from>
    <xdr:to>
      <xdr:col>39</xdr:col>
      <xdr:colOff>17145</xdr:colOff>
      <xdr:row>52</xdr:row>
      <xdr:rowOff>87630</xdr:rowOff>
    </xdr:to>
    <xdr:cxnSp macro="">
      <xdr:nvCxnSpPr>
        <xdr:cNvPr id="159" name="직선 화살표 연결선 158">
          <a:extLst>
            <a:ext uri="{FF2B5EF4-FFF2-40B4-BE49-F238E27FC236}">
              <a16:creationId xmlns:a16="http://schemas.microsoft.com/office/drawing/2014/main" id="{F52E9F68-DF57-44F1-B09A-EE53BB7C4F44}"/>
            </a:ext>
          </a:extLst>
        </xdr:cNvPr>
        <xdr:cNvCxnSpPr/>
      </xdr:nvCxnSpPr>
      <xdr:spPr>
        <a:xfrm>
          <a:off x="10142220"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51</xdr:row>
      <xdr:rowOff>30480</xdr:rowOff>
    </xdr:from>
    <xdr:to>
      <xdr:col>42</xdr:col>
      <xdr:colOff>126274</xdr:colOff>
      <xdr:row>51</xdr:row>
      <xdr:rowOff>144780</xdr:rowOff>
    </xdr:to>
    <xdr:sp macro="" textlink="">
      <xdr:nvSpPr>
        <xdr:cNvPr id="160" name="직사각형 159">
          <a:extLst>
            <a:ext uri="{FF2B5EF4-FFF2-40B4-BE49-F238E27FC236}">
              <a16:creationId xmlns:a16="http://schemas.microsoft.com/office/drawing/2014/main" id="{6461C3DE-17FC-4E0E-8CED-3D45C792B0E3}"/>
            </a:ext>
          </a:extLst>
        </xdr:cNvPr>
        <xdr:cNvSpPr/>
      </xdr:nvSpPr>
      <xdr:spPr>
        <a:xfrm>
          <a:off x="10576560" y="7936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51</xdr:row>
      <xdr:rowOff>87630</xdr:rowOff>
    </xdr:from>
    <xdr:to>
      <xdr:col>42</xdr:col>
      <xdr:colOff>22860</xdr:colOff>
      <xdr:row>51</xdr:row>
      <xdr:rowOff>87630</xdr:rowOff>
    </xdr:to>
    <xdr:cxnSp macro="">
      <xdr:nvCxnSpPr>
        <xdr:cNvPr id="161" name="직선 화살표 연결선 160">
          <a:extLst>
            <a:ext uri="{FF2B5EF4-FFF2-40B4-BE49-F238E27FC236}">
              <a16:creationId xmlns:a16="http://schemas.microsoft.com/office/drawing/2014/main" id="{EF2BF066-029D-46AA-9B50-5ECEBDEFE7F8}"/>
            </a:ext>
          </a:extLst>
        </xdr:cNvPr>
        <xdr:cNvCxnSpPr/>
      </xdr:nvCxnSpPr>
      <xdr:spPr>
        <a:xfrm>
          <a:off x="10576560"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22860</xdr:colOff>
      <xdr:row>50</xdr:row>
      <xdr:rowOff>30480</xdr:rowOff>
    </xdr:from>
    <xdr:to>
      <xdr:col>42</xdr:col>
      <xdr:colOff>126274</xdr:colOff>
      <xdr:row>50</xdr:row>
      <xdr:rowOff>144780</xdr:rowOff>
    </xdr:to>
    <xdr:sp macro="" textlink="">
      <xdr:nvSpPr>
        <xdr:cNvPr id="162" name="직사각형 161">
          <a:extLst>
            <a:ext uri="{FF2B5EF4-FFF2-40B4-BE49-F238E27FC236}">
              <a16:creationId xmlns:a16="http://schemas.microsoft.com/office/drawing/2014/main" id="{750E9359-1BE3-41E0-8624-4800BB603F03}"/>
            </a:ext>
          </a:extLst>
        </xdr:cNvPr>
        <xdr:cNvSpPr/>
      </xdr:nvSpPr>
      <xdr:spPr>
        <a:xfrm>
          <a:off x="10576560" y="7783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22860</xdr:colOff>
      <xdr:row>50</xdr:row>
      <xdr:rowOff>87630</xdr:rowOff>
    </xdr:from>
    <xdr:to>
      <xdr:col>42</xdr:col>
      <xdr:colOff>22860</xdr:colOff>
      <xdr:row>50</xdr:row>
      <xdr:rowOff>87630</xdr:rowOff>
    </xdr:to>
    <xdr:cxnSp macro="">
      <xdr:nvCxnSpPr>
        <xdr:cNvPr id="163" name="직선 화살표 연결선 162">
          <a:extLst>
            <a:ext uri="{FF2B5EF4-FFF2-40B4-BE49-F238E27FC236}">
              <a16:creationId xmlns:a16="http://schemas.microsoft.com/office/drawing/2014/main" id="{88667B07-01C9-4298-A52E-34B96D466F1E}"/>
            </a:ext>
          </a:extLst>
        </xdr:cNvPr>
        <xdr:cNvCxnSpPr/>
      </xdr:nvCxnSpPr>
      <xdr:spPr>
        <a:xfrm>
          <a:off x="10576560"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48</xdr:row>
      <xdr:rowOff>30480</xdr:rowOff>
    </xdr:from>
    <xdr:to>
      <xdr:col>44</xdr:col>
      <xdr:colOff>130084</xdr:colOff>
      <xdr:row>48</xdr:row>
      <xdr:rowOff>144780</xdr:rowOff>
    </xdr:to>
    <xdr:sp macro="" textlink="">
      <xdr:nvSpPr>
        <xdr:cNvPr id="176" name="직사각형 175">
          <a:extLst>
            <a:ext uri="{FF2B5EF4-FFF2-40B4-BE49-F238E27FC236}">
              <a16:creationId xmlns:a16="http://schemas.microsoft.com/office/drawing/2014/main" id="{7D124245-E997-4081-B22A-890199CBCEF3}"/>
            </a:ext>
          </a:extLst>
        </xdr:cNvPr>
        <xdr:cNvSpPr/>
      </xdr:nvSpPr>
      <xdr:spPr>
        <a:xfrm>
          <a:off x="10142220" y="7479030"/>
          <a:ext cx="8273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48</xdr:row>
      <xdr:rowOff>87630</xdr:rowOff>
    </xdr:from>
    <xdr:to>
      <xdr:col>39</xdr:col>
      <xdr:colOff>17145</xdr:colOff>
      <xdr:row>48</xdr:row>
      <xdr:rowOff>87630</xdr:rowOff>
    </xdr:to>
    <xdr:cxnSp macro="">
      <xdr:nvCxnSpPr>
        <xdr:cNvPr id="177" name="직선 화살표 연결선 176">
          <a:extLst>
            <a:ext uri="{FF2B5EF4-FFF2-40B4-BE49-F238E27FC236}">
              <a16:creationId xmlns:a16="http://schemas.microsoft.com/office/drawing/2014/main" id="{FA14457F-EEAF-41C6-B4AC-62C281E81B79}"/>
            </a:ext>
          </a:extLst>
        </xdr:cNvPr>
        <xdr:cNvCxnSpPr/>
      </xdr:nvCxnSpPr>
      <xdr:spPr>
        <a:xfrm>
          <a:off x="10142220"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19050</xdr:colOff>
      <xdr:row>46</xdr:row>
      <xdr:rowOff>30480</xdr:rowOff>
    </xdr:from>
    <xdr:to>
      <xdr:col>40</xdr:col>
      <xdr:colOff>122465</xdr:colOff>
      <xdr:row>46</xdr:row>
      <xdr:rowOff>144780</xdr:rowOff>
    </xdr:to>
    <xdr:sp macro="" textlink="">
      <xdr:nvSpPr>
        <xdr:cNvPr id="178" name="직사각형 177">
          <a:extLst>
            <a:ext uri="{FF2B5EF4-FFF2-40B4-BE49-F238E27FC236}">
              <a16:creationId xmlns:a16="http://schemas.microsoft.com/office/drawing/2014/main" id="{52F02C37-2A2A-46C8-8CF6-E742554B2918}"/>
            </a:ext>
          </a:extLst>
        </xdr:cNvPr>
        <xdr:cNvSpPr/>
      </xdr:nvSpPr>
      <xdr:spPr>
        <a:xfrm>
          <a:off x="10287000" y="71742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19050</xdr:colOff>
      <xdr:row>46</xdr:row>
      <xdr:rowOff>87630</xdr:rowOff>
    </xdr:from>
    <xdr:to>
      <xdr:col>40</xdr:col>
      <xdr:colOff>19050</xdr:colOff>
      <xdr:row>46</xdr:row>
      <xdr:rowOff>87630</xdr:rowOff>
    </xdr:to>
    <xdr:cxnSp macro="">
      <xdr:nvCxnSpPr>
        <xdr:cNvPr id="179" name="직선 화살표 연결선 178">
          <a:extLst>
            <a:ext uri="{FF2B5EF4-FFF2-40B4-BE49-F238E27FC236}">
              <a16:creationId xmlns:a16="http://schemas.microsoft.com/office/drawing/2014/main" id="{05D09B05-E4B1-492A-A2BD-25F53C60C597}"/>
            </a:ext>
          </a:extLst>
        </xdr:cNvPr>
        <xdr:cNvCxnSpPr/>
      </xdr:nvCxnSpPr>
      <xdr:spPr>
        <a:xfrm>
          <a:off x="10287000"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45</xdr:row>
      <xdr:rowOff>30480</xdr:rowOff>
    </xdr:from>
    <xdr:to>
      <xdr:col>39</xdr:col>
      <xdr:colOff>120559</xdr:colOff>
      <xdr:row>45</xdr:row>
      <xdr:rowOff>144780</xdr:rowOff>
    </xdr:to>
    <xdr:sp macro="" textlink="">
      <xdr:nvSpPr>
        <xdr:cNvPr id="180" name="직사각형 179">
          <a:extLst>
            <a:ext uri="{FF2B5EF4-FFF2-40B4-BE49-F238E27FC236}">
              <a16:creationId xmlns:a16="http://schemas.microsoft.com/office/drawing/2014/main" id="{89153BA2-7039-4C3C-BA64-8C1D2CC36475}"/>
            </a:ext>
          </a:extLst>
        </xdr:cNvPr>
        <xdr:cNvSpPr/>
      </xdr:nvSpPr>
      <xdr:spPr>
        <a:xfrm>
          <a:off x="10142220" y="702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45</xdr:row>
      <xdr:rowOff>87630</xdr:rowOff>
    </xdr:from>
    <xdr:to>
      <xdr:col>39</xdr:col>
      <xdr:colOff>17145</xdr:colOff>
      <xdr:row>45</xdr:row>
      <xdr:rowOff>87630</xdr:rowOff>
    </xdr:to>
    <xdr:cxnSp macro="">
      <xdr:nvCxnSpPr>
        <xdr:cNvPr id="181" name="직선 화살표 연결선 180">
          <a:extLst>
            <a:ext uri="{FF2B5EF4-FFF2-40B4-BE49-F238E27FC236}">
              <a16:creationId xmlns:a16="http://schemas.microsoft.com/office/drawing/2014/main" id="{B690D2BC-923D-4015-A9AB-45BF9B6BCA4B}"/>
            </a:ext>
          </a:extLst>
        </xdr:cNvPr>
        <xdr:cNvCxnSpPr/>
      </xdr:nvCxnSpPr>
      <xdr:spPr>
        <a:xfrm>
          <a:off x="10142220"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44</xdr:row>
      <xdr:rowOff>30480</xdr:rowOff>
    </xdr:from>
    <xdr:to>
      <xdr:col>38</xdr:col>
      <xdr:colOff>118654</xdr:colOff>
      <xdr:row>44</xdr:row>
      <xdr:rowOff>144780</xdr:rowOff>
    </xdr:to>
    <xdr:sp macro="" textlink="">
      <xdr:nvSpPr>
        <xdr:cNvPr id="182" name="직사각형 181">
          <a:extLst>
            <a:ext uri="{FF2B5EF4-FFF2-40B4-BE49-F238E27FC236}">
              <a16:creationId xmlns:a16="http://schemas.microsoft.com/office/drawing/2014/main" id="{14839958-E969-4977-9E14-39E9988AC103}"/>
            </a:ext>
          </a:extLst>
        </xdr:cNvPr>
        <xdr:cNvSpPr/>
      </xdr:nvSpPr>
      <xdr:spPr>
        <a:xfrm>
          <a:off x="9997440" y="686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44</xdr:row>
      <xdr:rowOff>87630</xdr:rowOff>
    </xdr:from>
    <xdr:to>
      <xdr:col>38</xdr:col>
      <xdr:colOff>15240</xdr:colOff>
      <xdr:row>44</xdr:row>
      <xdr:rowOff>87630</xdr:rowOff>
    </xdr:to>
    <xdr:cxnSp macro="">
      <xdr:nvCxnSpPr>
        <xdr:cNvPr id="183" name="직선 화살표 연결선 182">
          <a:extLst>
            <a:ext uri="{FF2B5EF4-FFF2-40B4-BE49-F238E27FC236}">
              <a16:creationId xmlns:a16="http://schemas.microsoft.com/office/drawing/2014/main" id="{DFA8E2F4-EF59-4C0D-951D-BC19755A2D5C}"/>
            </a:ext>
          </a:extLst>
        </xdr:cNvPr>
        <xdr:cNvCxnSpPr/>
      </xdr:nvCxnSpPr>
      <xdr:spPr>
        <a:xfrm>
          <a:off x="9997440"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43</xdr:row>
      <xdr:rowOff>30480</xdr:rowOff>
    </xdr:from>
    <xdr:to>
      <xdr:col>38</xdr:col>
      <xdr:colOff>118654</xdr:colOff>
      <xdr:row>43</xdr:row>
      <xdr:rowOff>144780</xdr:rowOff>
    </xdr:to>
    <xdr:sp macro="" textlink="">
      <xdr:nvSpPr>
        <xdr:cNvPr id="184" name="직사각형 183">
          <a:extLst>
            <a:ext uri="{FF2B5EF4-FFF2-40B4-BE49-F238E27FC236}">
              <a16:creationId xmlns:a16="http://schemas.microsoft.com/office/drawing/2014/main" id="{407C9575-5656-44FD-926E-58EAA3EF6C49}"/>
            </a:ext>
          </a:extLst>
        </xdr:cNvPr>
        <xdr:cNvSpPr/>
      </xdr:nvSpPr>
      <xdr:spPr>
        <a:xfrm>
          <a:off x="9997440" y="6717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43</xdr:row>
      <xdr:rowOff>87630</xdr:rowOff>
    </xdr:from>
    <xdr:to>
      <xdr:col>38</xdr:col>
      <xdr:colOff>15240</xdr:colOff>
      <xdr:row>43</xdr:row>
      <xdr:rowOff>87630</xdr:rowOff>
    </xdr:to>
    <xdr:cxnSp macro="">
      <xdr:nvCxnSpPr>
        <xdr:cNvPr id="185" name="직선 화살표 연결선 184">
          <a:extLst>
            <a:ext uri="{FF2B5EF4-FFF2-40B4-BE49-F238E27FC236}">
              <a16:creationId xmlns:a16="http://schemas.microsoft.com/office/drawing/2014/main" id="{854CEA54-8BA0-4FE7-BE40-15A5157C8C64}"/>
            </a:ext>
          </a:extLst>
        </xdr:cNvPr>
        <xdr:cNvCxnSpPr/>
      </xdr:nvCxnSpPr>
      <xdr:spPr>
        <a:xfrm>
          <a:off x="9997440"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40</xdr:row>
      <xdr:rowOff>30480</xdr:rowOff>
    </xdr:from>
    <xdr:to>
      <xdr:col>38</xdr:col>
      <xdr:colOff>118654</xdr:colOff>
      <xdr:row>40</xdr:row>
      <xdr:rowOff>144780</xdr:rowOff>
    </xdr:to>
    <xdr:sp macro="" textlink="">
      <xdr:nvSpPr>
        <xdr:cNvPr id="186" name="직사각형 185">
          <a:extLst>
            <a:ext uri="{FF2B5EF4-FFF2-40B4-BE49-F238E27FC236}">
              <a16:creationId xmlns:a16="http://schemas.microsoft.com/office/drawing/2014/main" id="{66A51632-4D47-4736-9060-D65536DDBFFD}"/>
            </a:ext>
          </a:extLst>
        </xdr:cNvPr>
        <xdr:cNvSpPr/>
      </xdr:nvSpPr>
      <xdr:spPr>
        <a:xfrm>
          <a:off x="9997440" y="6259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40</xdr:row>
      <xdr:rowOff>87630</xdr:rowOff>
    </xdr:from>
    <xdr:to>
      <xdr:col>38</xdr:col>
      <xdr:colOff>15240</xdr:colOff>
      <xdr:row>40</xdr:row>
      <xdr:rowOff>87630</xdr:rowOff>
    </xdr:to>
    <xdr:cxnSp macro="">
      <xdr:nvCxnSpPr>
        <xdr:cNvPr id="187" name="직선 화살표 연결선 186">
          <a:extLst>
            <a:ext uri="{FF2B5EF4-FFF2-40B4-BE49-F238E27FC236}">
              <a16:creationId xmlns:a16="http://schemas.microsoft.com/office/drawing/2014/main" id="{10CBF5CF-E4E5-4B87-B452-7F3E6E04223D}"/>
            </a:ext>
          </a:extLst>
        </xdr:cNvPr>
        <xdr:cNvCxnSpPr/>
      </xdr:nvCxnSpPr>
      <xdr:spPr>
        <a:xfrm>
          <a:off x="9997440"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39</xdr:row>
      <xdr:rowOff>30480</xdr:rowOff>
    </xdr:from>
    <xdr:to>
      <xdr:col>40</xdr:col>
      <xdr:colOff>122465</xdr:colOff>
      <xdr:row>39</xdr:row>
      <xdr:rowOff>144780</xdr:rowOff>
    </xdr:to>
    <xdr:sp macro="" textlink="">
      <xdr:nvSpPr>
        <xdr:cNvPr id="188" name="직사각형 187">
          <a:extLst>
            <a:ext uri="{FF2B5EF4-FFF2-40B4-BE49-F238E27FC236}">
              <a16:creationId xmlns:a16="http://schemas.microsoft.com/office/drawing/2014/main" id="{AEE50C83-4F02-432B-B6FF-21A82564A3CC}"/>
            </a:ext>
          </a:extLst>
        </xdr:cNvPr>
        <xdr:cNvSpPr/>
      </xdr:nvSpPr>
      <xdr:spPr>
        <a:xfrm>
          <a:off x="9997440" y="6107430"/>
          <a:ext cx="392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39</xdr:row>
      <xdr:rowOff>87630</xdr:rowOff>
    </xdr:from>
    <xdr:to>
      <xdr:col>38</xdr:col>
      <xdr:colOff>15240</xdr:colOff>
      <xdr:row>39</xdr:row>
      <xdr:rowOff>87630</xdr:rowOff>
    </xdr:to>
    <xdr:cxnSp macro="">
      <xdr:nvCxnSpPr>
        <xdr:cNvPr id="189" name="직선 화살표 연결선 188">
          <a:extLst>
            <a:ext uri="{FF2B5EF4-FFF2-40B4-BE49-F238E27FC236}">
              <a16:creationId xmlns:a16="http://schemas.microsoft.com/office/drawing/2014/main" id="{E8566497-5A32-4ACC-9737-57D35C009F65}"/>
            </a:ext>
          </a:extLst>
        </xdr:cNvPr>
        <xdr:cNvCxnSpPr/>
      </xdr:nvCxnSpPr>
      <xdr:spPr>
        <a:xfrm>
          <a:off x="9997440"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37828</xdr:colOff>
      <xdr:row>37</xdr:row>
      <xdr:rowOff>30480</xdr:rowOff>
    </xdr:from>
    <xdr:to>
      <xdr:col>39</xdr:col>
      <xdr:colOff>120559</xdr:colOff>
      <xdr:row>37</xdr:row>
      <xdr:rowOff>144780</xdr:rowOff>
    </xdr:to>
    <xdr:sp macro="" textlink="">
      <xdr:nvSpPr>
        <xdr:cNvPr id="190" name="직사각형 189">
          <a:extLst>
            <a:ext uri="{FF2B5EF4-FFF2-40B4-BE49-F238E27FC236}">
              <a16:creationId xmlns:a16="http://schemas.microsoft.com/office/drawing/2014/main" id="{91422B30-4B10-4DD1-B49B-C39F089FFB60}"/>
            </a:ext>
          </a:extLst>
        </xdr:cNvPr>
        <xdr:cNvSpPr/>
      </xdr:nvSpPr>
      <xdr:spPr>
        <a:xfrm>
          <a:off x="10162903" y="580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37828</xdr:colOff>
      <xdr:row>37</xdr:row>
      <xdr:rowOff>87630</xdr:rowOff>
    </xdr:from>
    <xdr:to>
      <xdr:col>39</xdr:col>
      <xdr:colOff>37828</xdr:colOff>
      <xdr:row>37</xdr:row>
      <xdr:rowOff>87630</xdr:rowOff>
    </xdr:to>
    <xdr:cxnSp macro="">
      <xdr:nvCxnSpPr>
        <xdr:cNvPr id="191" name="직선 화살표 연결선 190">
          <a:extLst>
            <a:ext uri="{FF2B5EF4-FFF2-40B4-BE49-F238E27FC236}">
              <a16:creationId xmlns:a16="http://schemas.microsoft.com/office/drawing/2014/main" id="{72CB80A8-30DA-43F3-AFEF-32638D790A3C}"/>
            </a:ext>
          </a:extLst>
        </xdr:cNvPr>
        <xdr:cNvCxnSpPr/>
      </xdr:nvCxnSpPr>
      <xdr:spPr>
        <a:xfrm>
          <a:off x="1016290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77288</xdr:colOff>
      <xdr:row>36</xdr:row>
      <xdr:rowOff>30480</xdr:rowOff>
    </xdr:from>
    <xdr:to>
      <xdr:col>39</xdr:col>
      <xdr:colOff>37828</xdr:colOff>
      <xdr:row>36</xdr:row>
      <xdr:rowOff>144780</xdr:rowOff>
    </xdr:to>
    <xdr:sp macro="" textlink="">
      <xdr:nvSpPr>
        <xdr:cNvPr id="9600" name="직사각형 9599">
          <a:extLst>
            <a:ext uri="{FF2B5EF4-FFF2-40B4-BE49-F238E27FC236}">
              <a16:creationId xmlns:a16="http://schemas.microsoft.com/office/drawing/2014/main" id="{AABC0899-6672-4296-84E0-100AAFADEA10}"/>
            </a:ext>
          </a:extLst>
        </xdr:cNvPr>
        <xdr:cNvSpPr/>
      </xdr:nvSpPr>
      <xdr:spPr>
        <a:xfrm>
          <a:off x="10059488" y="56502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77288</xdr:colOff>
      <xdr:row>36</xdr:row>
      <xdr:rowOff>87630</xdr:rowOff>
    </xdr:from>
    <xdr:to>
      <xdr:col>38</xdr:col>
      <xdr:colOff>77288</xdr:colOff>
      <xdr:row>36</xdr:row>
      <xdr:rowOff>87630</xdr:rowOff>
    </xdr:to>
    <xdr:cxnSp macro="">
      <xdr:nvCxnSpPr>
        <xdr:cNvPr id="9601" name="직선 화살표 연결선 9600">
          <a:extLst>
            <a:ext uri="{FF2B5EF4-FFF2-40B4-BE49-F238E27FC236}">
              <a16:creationId xmlns:a16="http://schemas.microsoft.com/office/drawing/2014/main" id="{90DF86BD-3AD4-43D8-97BA-ACA1786B44A6}"/>
            </a:ext>
          </a:extLst>
        </xdr:cNvPr>
        <xdr:cNvCxnSpPr/>
      </xdr:nvCxnSpPr>
      <xdr:spPr>
        <a:xfrm>
          <a:off x="10059488"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96066</xdr:colOff>
      <xdr:row>34</xdr:row>
      <xdr:rowOff>30480</xdr:rowOff>
    </xdr:from>
    <xdr:to>
      <xdr:col>38</xdr:col>
      <xdr:colOff>77288</xdr:colOff>
      <xdr:row>34</xdr:row>
      <xdr:rowOff>144780</xdr:rowOff>
    </xdr:to>
    <xdr:sp macro="" textlink="">
      <xdr:nvSpPr>
        <xdr:cNvPr id="9602" name="직사각형 9601">
          <a:extLst>
            <a:ext uri="{FF2B5EF4-FFF2-40B4-BE49-F238E27FC236}">
              <a16:creationId xmlns:a16="http://schemas.microsoft.com/office/drawing/2014/main" id="{AF8C26C4-F422-4994-911B-5662B8ADA58A}"/>
            </a:ext>
          </a:extLst>
        </xdr:cNvPr>
        <xdr:cNvSpPr/>
      </xdr:nvSpPr>
      <xdr:spPr>
        <a:xfrm>
          <a:off x="9935391" y="53454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96066</xdr:colOff>
      <xdr:row>34</xdr:row>
      <xdr:rowOff>87630</xdr:rowOff>
    </xdr:from>
    <xdr:to>
      <xdr:col>37</xdr:col>
      <xdr:colOff>96066</xdr:colOff>
      <xdr:row>34</xdr:row>
      <xdr:rowOff>87630</xdr:rowOff>
    </xdr:to>
    <xdr:cxnSp macro="">
      <xdr:nvCxnSpPr>
        <xdr:cNvPr id="9603" name="직선 화살표 연결선 9602">
          <a:extLst>
            <a:ext uri="{FF2B5EF4-FFF2-40B4-BE49-F238E27FC236}">
              <a16:creationId xmlns:a16="http://schemas.microsoft.com/office/drawing/2014/main" id="{CFA34732-F5AA-4CB5-8ECC-161ACAE2EA70}"/>
            </a:ext>
          </a:extLst>
        </xdr:cNvPr>
        <xdr:cNvCxnSpPr/>
      </xdr:nvCxnSpPr>
      <xdr:spPr>
        <a:xfrm>
          <a:off x="9935391"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31</xdr:row>
      <xdr:rowOff>30480</xdr:rowOff>
    </xdr:from>
    <xdr:to>
      <xdr:col>37</xdr:col>
      <xdr:colOff>96066</xdr:colOff>
      <xdr:row>31</xdr:row>
      <xdr:rowOff>144780</xdr:rowOff>
    </xdr:to>
    <xdr:sp macro="" textlink="">
      <xdr:nvSpPr>
        <xdr:cNvPr id="9604" name="직사각형 9603">
          <a:extLst>
            <a:ext uri="{FF2B5EF4-FFF2-40B4-BE49-F238E27FC236}">
              <a16:creationId xmlns:a16="http://schemas.microsoft.com/office/drawing/2014/main" id="{FFC9F387-6FEC-488A-9BC2-6326DC03D1AB}"/>
            </a:ext>
          </a:extLst>
        </xdr:cNvPr>
        <xdr:cNvSpPr/>
      </xdr:nvSpPr>
      <xdr:spPr>
        <a:xfrm>
          <a:off x="9852660" y="4888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31</xdr:row>
      <xdr:rowOff>87630</xdr:rowOff>
    </xdr:from>
    <xdr:to>
      <xdr:col>37</xdr:col>
      <xdr:colOff>13335</xdr:colOff>
      <xdr:row>31</xdr:row>
      <xdr:rowOff>87630</xdr:rowOff>
    </xdr:to>
    <xdr:cxnSp macro="">
      <xdr:nvCxnSpPr>
        <xdr:cNvPr id="9605" name="직선 화살표 연결선 9604">
          <a:extLst>
            <a:ext uri="{FF2B5EF4-FFF2-40B4-BE49-F238E27FC236}">
              <a16:creationId xmlns:a16="http://schemas.microsoft.com/office/drawing/2014/main" id="{27212046-1EBB-4D24-8FCD-944DCBEB700C}"/>
            </a:ext>
          </a:extLst>
        </xdr:cNvPr>
        <xdr:cNvCxnSpPr/>
      </xdr:nvCxnSpPr>
      <xdr:spPr>
        <a:xfrm>
          <a:off x="9852660"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30</xdr:row>
      <xdr:rowOff>30480</xdr:rowOff>
    </xdr:from>
    <xdr:to>
      <xdr:col>39</xdr:col>
      <xdr:colOff>120559</xdr:colOff>
      <xdr:row>30</xdr:row>
      <xdr:rowOff>144780</xdr:rowOff>
    </xdr:to>
    <xdr:sp macro="" textlink="">
      <xdr:nvSpPr>
        <xdr:cNvPr id="9606" name="직사각형 9605">
          <a:extLst>
            <a:ext uri="{FF2B5EF4-FFF2-40B4-BE49-F238E27FC236}">
              <a16:creationId xmlns:a16="http://schemas.microsoft.com/office/drawing/2014/main" id="{F5421F52-9E07-4E52-9D5C-B7AF284FE90E}"/>
            </a:ext>
          </a:extLst>
        </xdr:cNvPr>
        <xdr:cNvSpPr/>
      </xdr:nvSpPr>
      <xdr:spPr>
        <a:xfrm>
          <a:off x="9852660" y="47358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30</xdr:row>
      <xdr:rowOff>87630</xdr:rowOff>
    </xdr:from>
    <xdr:to>
      <xdr:col>37</xdr:col>
      <xdr:colOff>13335</xdr:colOff>
      <xdr:row>30</xdr:row>
      <xdr:rowOff>87630</xdr:rowOff>
    </xdr:to>
    <xdr:cxnSp macro="">
      <xdr:nvCxnSpPr>
        <xdr:cNvPr id="9607" name="직선 화살표 연결선 9606">
          <a:extLst>
            <a:ext uri="{FF2B5EF4-FFF2-40B4-BE49-F238E27FC236}">
              <a16:creationId xmlns:a16="http://schemas.microsoft.com/office/drawing/2014/main" id="{AD1E2557-C1E9-49FC-98CB-19681BC70587}"/>
            </a:ext>
          </a:extLst>
        </xdr:cNvPr>
        <xdr:cNvCxnSpPr/>
      </xdr:nvCxnSpPr>
      <xdr:spPr>
        <a:xfrm>
          <a:off x="9852660"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17145</xdr:colOff>
      <xdr:row>28</xdr:row>
      <xdr:rowOff>30480</xdr:rowOff>
    </xdr:from>
    <xdr:to>
      <xdr:col>39</xdr:col>
      <xdr:colOff>120559</xdr:colOff>
      <xdr:row>28</xdr:row>
      <xdr:rowOff>144780</xdr:rowOff>
    </xdr:to>
    <xdr:sp macro="" textlink="">
      <xdr:nvSpPr>
        <xdr:cNvPr id="9608" name="직사각형 9607">
          <a:extLst>
            <a:ext uri="{FF2B5EF4-FFF2-40B4-BE49-F238E27FC236}">
              <a16:creationId xmlns:a16="http://schemas.microsoft.com/office/drawing/2014/main" id="{61D0BBA1-F9C9-4694-8CD4-478236D7627B}"/>
            </a:ext>
          </a:extLst>
        </xdr:cNvPr>
        <xdr:cNvSpPr/>
      </xdr:nvSpPr>
      <xdr:spPr>
        <a:xfrm>
          <a:off x="10142220" y="4431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17145</xdr:colOff>
      <xdr:row>28</xdr:row>
      <xdr:rowOff>87630</xdr:rowOff>
    </xdr:from>
    <xdr:to>
      <xdr:col>39</xdr:col>
      <xdr:colOff>17145</xdr:colOff>
      <xdr:row>28</xdr:row>
      <xdr:rowOff>87630</xdr:rowOff>
    </xdr:to>
    <xdr:cxnSp macro="">
      <xdr:nvCxnSpPr>
        <xdr:cNvPr id="9609" name="직선 화살표 연결선 9608">
          <a:extLst>
            <a:ext uri="{FF2B5EF4-FFF2-40B4-BE49-F238E27FC236}">
              <a16:creationId xmlns:a16="http://schemas.microsoft.com/office/drawing/2014/main" id="{10A5A276-ADAF-4296-B3F9-FD247C488689}"/>
            </a:ext>
          </a:extLst>
        </xdr:cNvPr>
        <xdr:cNvCxnSpPr/>
      </xdr:nvCxnSpPr>
      <xdr:spPr>
        <a:xfrm>
          <a:off x="10142220"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15240</xdr:colOff>
      <xdr:row>27</xdr:row>
      <xdr:rowOff>30480</xdr:rowOff>
    </xdr:from>
    <xdr:to>
      <xdr:col>38</xdr:col>
      <xdr:colOff>118654</xdr:colOff>
      <xdr:row>27</xdr:row>
      <xdr:rowOff>144780</xdr:rowOff>
    </xdr:to>
    <xdr:sp macro="" textlink="">
      <xdr:nvSpPr>
        <xdr:cNvPr id="9610" name="직사각형 9609">
          <a:extLst>
            <a:ext uri="{FF2B5EF4-FFF2-40B4-BE49-F238E27FC236}">
              <a16:creationId xmlns:a16="http://schemas.microsoft.com/office/drawing/2014/main" id="{CE31DFF0-74A5-4DA9-AB96-6E7BDDE4C83F}"/>
            </a:ext>
          </a:extLst>
        </xdr:cNvPr>
        <xdr:cNvSpPr/>
      </xdr:nvSpPr>
      <xdr:spPr>
        <a:xfrm>
          <a:off x="9997440" y="4278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15240</xdr:colOff>
      <xdr:row>27</xdr:row>
      <xdr:rowOff>87630</xdr:rowOff>
    </xdr:from>
    <xdr:to>
      <xdr:col>38</xdr:col>
      <xdr:colOff>15240</xdr:colOff>
      <xdr:row>27</xdr:row>
      <xdr:rowOff>87630</xdr:rowOff>
    </xdr:to>
    <xdr:cxnSp macro="">
      <xdr:nvCxnSpPr>
        <xdr:cNvPr id="9611" name="직선 화살표 연결선 9610">
          <a:extLst>
            <a:ext uri="{FF2B5EF4-FFF2-40B4-BE49-F238E27FC236}">
              <a16:creationId xmlns:a16="http://schemas.microsoft.com/office/drawing/2014/main" id="{5862D440-3DE1-4401-8208-63BF8CC1976D}"/>
            </a:ext>
          </a:extLst>
        </xdr:cNvPr>
        <xdr:cNvCxnSpPr/>
      </xdr:nvCxnSpPr>
      <xdr:spPr>
        <a:xfrm>
          <a:off x="9997440"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25</xdr:row>
      <xdr:rowOff>30480</xdr:rowOff>
    </xdr:from>
    <xdr:to>
      <xdr:col>38</xdr:col>
      <xdr:colOff>35923</xdr:colOff>
      <xdr:row>25</xdr:row>
      <xdr:rowOff>144780</xdr:rowOff>
    </xdr:to>
    <xdr:sp macro="" textlink="">
      <xdr:nvSpPr>
        <xdr:cNvPr id="9612" name="직사각형 9611">
          <a:extLst>
            <a:ext uri="{FF2B5EF4-FFF2-40B4-BE49-F238E27FC236}">
              <a16:creationId xmlns:a16="http://schemas.microsoft.com/office/drawing/2014/main" id="{A4F4C830-7F31-4127-94CC-299F518AAEE8}"/>
            </a:ext>
          </a:extLst>
        </xdr:cNvPr>
        <xdr:cNvSpPr/>
      </xdr:nvSpPr>
      <xdr:spPr>
        <a:xfrm>
          <a:off x="9852660" y="39738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25</xdr:row>
      <xdr:rowOff>87630</xdr:rowOff>
    </xdr:from>
    <xdr:to>
      <xdr:col>37</xdr:col>
      <xdr:colOff>13335</xdr:colOff>
      <xdr:row>25</xdr:row>
      <xdr:rowOff>87630</xdr:rowOff>
    </xdr:to>
    <xdr:cxnSp macro="">
      <xdr:nvCxnSpPr>
        <xdr:cNvPr id="9613" name="직선 화살표 연결선 9612">
          <a:extLst>
            <a:ext uri="{FF2B5EF4-FFF2-40B4-BE49-F238E27FC236}">
              <a16:creationId xmlns:a16="http://schemas.microsoft.com/office/drawing/2014/main" id="{CBDABFED-3993-4331-AB52-AD3EC0447147}"/>
            </a:ext>
          </a:extLst>
        </xdr:cNvPr>
        <xdr:cNvCxnSpPr/>
      </xdr:nvCxnSpPr>
      <xdr:spPr>
        <a:xfrm>
          <a:off x="9852660"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23</xdr:row>
      <xdr:rowOff>30480</xdr:rowOff>
    </xdr:from>
    <xdr:to>
      <xdr:col>38</xdr:col>
      <xdr:colOff>35923</xdr:colOff>
      <xdr:row>23</xdr:row>
      <xdr:rowOff>144780</xdr:rowOff>
    </xdr:to>
    <xdr:sp macro="" textlink="">
      <xdr:nvSpPr>
        <xdr:cNvPr id="9614" name="직사각형 9613">
          <a:extLst>
            <a:ext uri="{FF2B5EF4-FFF2-40B4-BE49-F238E27FC236}">
              <a16:creationId xmlns:a16="http://schemas.microsoft.com/office/drawing/2014/main" id="{52EADCD0-16FE-4A7E-B63A-734D161EE74D}"/>
            </a:ext>
          </a:extLst>
        </xdr:cNvPr>
        <xdr:cNvSpPr/>
      </xdr:nvSpPr>
      <xdr:spPr>
        <a:xfrm>
          <a:off x="9852660" y="3669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23</xdr:row>
      <xdr:rowOff>87630</xdr:rowOff>
    </xdr:from>
    <xdr:to>
      <xdr:col>37</xdr:col>
      <xdr:colOff>13335</xdr:colOff>
      <xdr:row>23</xdr:row>
      <xdr:rowOff>87630</xdr:rowOff>
    </xdr:to>
    <xdr:cxnSp macro="">
      <xdr:nvCxnSpPr>
        <xdr:cNvPr id="9615" name="직선 화살표 연결선 9614">
          <a:extLst>
            <a:ext uri="{FF2B5EF4-FFF2-40B4-BE49-F238E27FC236}">
              <a16:creationId xmlns:a16="http://schemas.microsoft.com/office/drawing/2014/main" id="{58AD9AD8-A875-4EE6-9C56-0DFBBEA828C6}"/>
            </a:ext>
          </a:extLst>
        </xdr:cNvPr>
        <xdr:cNvCxnSpPr/>
      </xdr:nvCxnSpPr>
      <xdr:spPr>
        <a:xfrm>
          <a:off x="985266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22</xdr:row>
      <xdr:rowOff>30480</xdr:rowOff>
    </xdr:from>
    <xdr:to>
      <xdr:col>35</xdr:col>
      <xdr:colOff>112940</xdr:colOff>
      <xdr:row>22</xdr:row>
      <xdr:rowOff>144780</xdr:rowOff>
    </xdr:to>
    <xdr:sp macro="" textlink="">
      <xdr:nvSpPr>
        <xdr:cNvPr id="9778" name="직사각형 9777">
          <a:extLst>
            <a:ext uri="{FF2B5EF4-FFF2-40B4-BE49-F238E27FC236}">
              <a16:creationId xmlns:a16="http://schemas.microsoft.com/office/drawing/2014/main" id="{8B71D5E8-CEB6-4C8D-B987-60F2B935802A}"/>
            </a:ext>
          </a:extLst>
        </xdr:cNvPr>
        <xdr:cNvSpPr/>
      </xdr:nvSpPr>
      <xdr:spPr>
        <a:xfrm>
          <a:off x="9563100" y="35166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22</xdr:row>
      <xdr:rowOff>87630</xdr:rowOff>
    </xdr:from>
    <xdr:to>
      <xdr:col>35</xdr:col>
      <xdr:colOff>9525</xdr:colOff>
      <xdr:row>22</xdr:row>
      <xdr:rowOff>87630</xdr:rowOff>
    </xdr:to>
    <xdr:cxnSp macro="">
      <xdr:nvCxnSpPr>
        <xdr:cNvPr id="9779" name="직선 화살표 연결선 9778">
          <a:extLst>
            <a:ext uri="{FF2B5EF4-FFF2-40B4-BE49-F238E27FC236}">
              <a16:creationId xmlns:a16="http://schemas.microsoft.com/office/drawing/2014/main" id="{668E08AA-1B11-4D6E-9946-ED7BAC2FB6D4}"/>
            </a:ext>
          </a:extLst>
        </xdr:cNvPr>
        <xdr:cNvCxnSpPr/>
      </xdr:nvCxnSpPr>
      <xdr:spPr>
        <a:xfrm>
          <a:off x="956310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21</xdr:row>
      <xdr:rowOff>30480</xdr:rowOff>
    </xdr:from>
    <xdr:to>
      <xdr:col>39</xdr:col>
      <xdr:colOff>120559</xdr:colOff>
      <xdr:row>21</xdr:row>
      <xdr:rowOff>144780</xdr:rowOff>
    </xdr:to>
    <xdr:sp macro="" textlink="">
      <xdr:nvSpPr>
        <xdr:cNvPr id="9780" name="직사각형 9779">
          <a:extLst>
            <a:ext uri="{FF2B5EF4-FFF2-40B4-BE49-F238E27FC236}">
              <a16:creationId xmlns:a16="http://schemas.microsoft.com/office/drawing/2014/main" id="{40CE64FD-994C-4131-8411-74DA3B3DB55B}"/>
            </a:ext>
          </a:extLst>
        </xdr:cNvPr>
        <xdr:cNvSpPr/>
      </xdr:nvSpPr>
      <xdr:spPr>
        <a:xfrm>
          <a:off x="9563100" y="3364230"/>
          <a:ext cx="6825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21</xdr:row>
      <xdr:rowOff>87630</xdr:rowOff>
    </xdr:from>
    <xdr:to>
      <xdr:col>35</xdr:col>
      <xdr:colOff>9525</xdr:colOff>
      <xdr:row>21</xdr:row>
      <xdr:rowOff>87630</xdr:rowOff>
    </xdr:to>
    <xdr:cxnSp macro="">
      <xdr:nvCxnSpPr>
        <xdr:cNvPr id="9781" name="직선 화살표 연결선 9780">
          <a:extLst>
            <a:ext uri="{FF2B5EF4-FFF2-40B4-BE49-F238E27FC236}">
              <a16:creationId xmlns:a16="http://schemas.microsoft.com/office/drawing/2014/main" id="{92DC9CF0-A823-4CCA-8B18-188E26C7DC90}"/>
            </a:ext>
          </a:extLst>
        </xdr:cNvPr>
        <xdr:cNvCxnSpPr/>
      </xdr:nvCxnSpPr>
      <xdr:spPr>
        <a:xfrm>
          <a:off x="9563100"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96066</xdr:colOff>
      <xdr:row>19</xdr:row>
      <xdr:rowOff>30480</xdr:rowOff>
    </xdr:from>
    <xdr:to>
      <xdr:col>37</xdr:col>
      <xdr:colOff>116749</xdr:colOff>
      <xdr:row>19</xdr:row>
      <xdr:rowOff>144780</xdr:rowOff>
    </xdr:to>
    <xdr:sp macro="" textlink="">
      <xdr:nvSpPr>
        <xdr:cNvPr id="9782" name="직사각형 9781">
          <a:extLst>
            <a:ext uri="{FF2B5EF4-FFF2-40B4-BE49-F238E27FC236}">
              <a16:creationId xmlns:a16="http://schemas.microsoft.com/office/drawing/2014/main" id="{92D70288-0F3C-45CC-95EA-99E80608820B}"/>
            </a:ext>
          </a:extLst>
        </xdr:cNvPr>
        <xdr:cNvSpPr/>
      </xdr:nvSpPr>
      <xdr:spPr>
        <a:xfrm>
          <a:off x="9935391" y="3059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96066</xdr:colOff>
      <xdr:row>19</xdr:row>
      <xdr:rowOff>87630</xdr:rowOff>
    </xdr:from>
    <xdr:to>
      <xdr:col>37</xdr:col>
      <xdr:colOff>96066</xdr:colOff>
      <xdr:row>19</xdr:row>
      <xdr:rowOff>87630</xdr:rowOff>
    </xdr:to>
    <xdr:cxnSp macro="">
      <xdr:nvCxnSpPr>
        <xdr:cNvPr id="9783" name="직선 화살표 연결선 9782">
          <a:extLst>
            <a:ext uri="{FF2B5EF4-FFF2-40B4-BE49-F238E27FC236}">
              <a16:creationId xmlns:a16="http://schemas.microsoft.com/office/drawing/2014/main" id="{02C419CB-2505-4027-BA56-1E1E7AA6BA31}"/>
            </a:ext>
          </a:extLst>
        </xdr:cNvPr>
        <xdr:cNvCxnSpPr/>
      </xdr:nvCxnSpPr>
      <xdr:spPr>
        <a:xfrm>
          <a:off x="9935391"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96066</xdr:colOff>
      <xdr:row>18</xdr:row>
      <xdr:rowOff>30480</xdr:rowOff>
    </xdr:from>
    <xdr:to>
      <xdr:col>37</xdr:col>
      <xdr:colOff>116749</xdr:colOff>
      <xdr:row>18</xdr:row>
      <xdr:rowOff>144780</xdr:rowOff>
    </xdr:to>
    <xdr:sp macro="" textlink="">
      <xdr:nvSpPr>
        <xdr:cNvPr id="9784" name="직사각형 9783">
          <a:extLst>
            <a:ext uri="{FF2B5EF4-FFF2-40B4-BE49-F238E27FC236}">
              <a16:creationId xmlns:a16="http://schemas.microsoft.com/office/drawing/2014/main" id="{1582A2B3-9A99-47E0-BBC3-B6407C924DD3}"/>
            </a:ext>
          </a:extLst>
        </xdr:cNvPr>
        <xdr:cNvSpPr/>
      </xdr:nvSpPr>
      <xdr:spPr>
        <a:xfrm>
          <a:off x="9935391" y="2907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96066</xdr:colOff>
      <xdr:row>18</xdr:row>
      <xdr:rowOff>87630</xdr:rowOff>
    </xdr:from>
    <xdr:to>
      <xdr:col>37</xdr:col>
      <xdr:colOff>96066</xdr:colOff>
      <xdr:row>18</xdr:row>
      <xdr:rowOff>87630</xdr:rowOff>
    </xdr:to>
    <xdr:cxnSp macro="">
      <xdr:nvCxnSpPr>
        <xdr:cNvPr id="9785" name="직선 화살표 연결선 9784">
          <a:extLst>
            <a:ext uri="{FF2B5EF4-FFF2-40B4-BE49-F238E27FC236}">
              <a16:creationId xmlns:a16="http://schemas.microsoft.com/office/drawing/2014/main" id="{6697DBEB-4ECE-41E2-B03F-1E3387A009D0}"/>
            </a:ext>
          </a:extLst>
        </xdr:cNvPr>
        <xdr:cNvCxnSpPr/>
      </xdr:nvCxnSpPr>
      <xdr:spPr>
        <a:xfrm>
          <a:off x="9935391"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54701</xdr:colOff>
      <xdr:row>17</xdr:row>
      <xdr:rowOff>30480</xdr:rowOff>
    </xdr:from>
    <xdr:to>
      <xdr:col>37</xdr:col>
      <xdr:colOff>116749</xdr:colOff>
      <xdr:row>17</xdr:row>
      <xdr:rowOff>144780</xdr:rowOff>
    </xdr:to>
    <xdr:sp macro="" textlink="">
      <xdr:nvSpPr>
        <xdr:cNvPr id="9786" name="직사각형 9785">
          <a:extLst>
            <a:ext uri="{FF2B5EF4-FFF2-40B4-BE49-F238E27FC236}">
              <a16:creationId xmlns:a16="http://schemas.microsoft.com/office/drawing/2014/main" id="{04E81198-F9C1-48A4-99FC-BA140FEBF3EA}"/>
            </a:ext>
          </a:extLst>
        </xdr:cNvPr>
        <xdr:cNvSpPr/>
      </xdr:nvSpPr>
      <xdr:spPr>
        <a:xfrm>
          <a:off x="9894026" y="275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54701</xdr:colOff>
      <xdr:row>17</xdr:row>
      <xdr:rowOff>87630</xdr:rowOff>
    </xdr:from>
    <xdr:to>
      <xdr:col>37</xdr:col>
      <xdr:colOff>54701</xdr:colOff>
      <xdr:row>17</xdr:row>
      <xdr:rowOff>87630</xdr:rowOff>
    </xdr:to>
    <xdr:cxnSp macro="">
      <xdr:nvCxnSpPr>
        <xdr:cNvPr id="9787" name="직선 화살표 연결선 9786">
          <a:extLst>
            <a:ext uri="{FF2B5EF4-FFF2-40B4-BE49-F238E27FC236}">
              <a16:creationId xmlns:a16="http://schemas.microsoft.com/office/drawing/2014/main" id="{C0731B17-2399-452F-96A8-05E4B42F65EA}"/>
            </a:ext>
          </a:extLst>
        </xdr:cNvPr>
        <xdr:cNvCxnSpPr/>
      </xdr:nvCxnSpPr>
      <xdr:spPr>
        <a:xfrm>
          <a:off x="9894026"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16</xdr:row>
      <xdr:rowOff>30480</xdr:rowOff>
    </xdr:from>
    <xdr:to>
      <xdr:col>37</xdr:col>
      <xdr:colOff>54701</xdr:colOff>
      <xdr:row>16</xdr:row>
      <xdr:rowOff>144780</xdr:rowOff>
    </xdr:to>
    <xdr:sp macro="" textlink="">
      <xdr:nvSpPr>
        <xdr:cNvPr id="9788" name="직사각형 9787">
          <a:extLst>
            <a:ext uri="{FF2B5EF4-FFF2-40B4-BE49-F238E27FC236}">
              <a16:creationId xmlns:a16="http://schemas.microsoft.com/office/drawing/2014/main" id="{9B10EE73-FC55-4507-A78D-3F6B6D573AF8}"/>
            </a:ext>
          </a:extLst>
        </xdr:cNvPr>
        <xdr:cNvSpPr/>
      </xdr:nvSpPr>
      <xdr:spPr>
        <a:xfrm>
          <a:off x="9852660" y="2602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16</xdr:row>
      <xdr:rowOff>87630</xdr:rowOff>
    </xdr:from>
    <xdr:to>
      <xdr:col>37</xdr:col>
      <xdr:colOff>13335</xdr:colOff>
      <xdr:row>16</xdr:row>
      <xdr:rowOff>87630</xdr:rowOff>
    </xdr:to>
    <xdr:cxnSp macro="">
      <xdr:nvCxnSpPr>
        <xdr:cNvPr id="9789" name="직선 화살표 연결선 9788">
          <a:extLst>
            <a:ext uri="{FF2B5EF4-FFF2-40B4-BE49-F238E27FC236}">
              <a16:creationId xmlns:a16="http://schemas.microsoft.com/office/drawing/2014/main" id="{C53C680B-EB1F-49AE-BB9B-6BC3CDA7B8D1}"/>
            </a:ext>
          </a:extLst>
        </xdr:cNvPr>
        <xdr:cNvCxnSpPr/>
      </xdr:nvCxnSpPr>
      <xdr:spPr>
        <a:xfrm>
          <a:off x="9852660"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15</xdr:row>
      <xdr:rowOff>30480</xdr:rowOff>
    </xdr:from>
    <xdr:to>
      <xdr:col>37</xdr:col>
      <xdr:colOff>54701</xdr:colOff>
      <xdr:row>15</xdr:row>
      <xdr:rowOff>144780</xdr:rowOff>
    </xdr:to>
    <xdr:sp macro="" textlink="">
      <xdr:nvSpPr>
        <xdr:cNvPr id="9790" name="직사각형 9789">
          <a:extLst>
            <a:ext uri="{FF2B5EF4-FFF2-40B4-BE49-F238E27FC236}">
              <a16:creationId xmlns:a16="http://schemas.microsoft.com/office/drawing/2014/main" id="{8B5D26E2-7A50-41BF-899C-BFB3C58D576A}"/>
            </a:ext>
          </a:extLst>
        </xdr:cNvPr>
        <xdr:cNvSpPr/>
      </xdr:nvSpPr>
      <xdr:spPr>
        <a:xfrm>
          <a:off x="9852660" y="2449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15</xdr:row>
      <xdr:rowOff>87630</xdr:rowOff>
    </xdr:from>
    <xdr:to>
      <xdr:col>37</xdr:col>
      <xdr:colOff>13335</xdr:colOff>
      <xdr:row>15</xdr:row>
      <xdr:rowOff>87630</xdr:rowOff>
    </xdr:to>
    <xdr:cxnSp macro="">
      <xdr:nvCxnSpPr>
        <xdr:cNvPr id="9791" name="직선 화살표 연결선 9790">
          <a:extLst>
            <a:ext uri="{FF2B5EF4-FFF2-40B4-BE49-F238E27FC236}">
              <a16:creationId xmlns:a16="http://schemas.microsoft.com/office/drawing/2014/main" id="{0B0F2A2E-3FD1-4B67-B1E3-D2C3C82BB82C}"/>
            </a:ext>
          </a:extLst>
        </xdr:cNvPr>
        <xdr:cNvCxnSpPr/>
      </xdr:nvCxnSpPr>
      <xdr:spPr>
        <a:xfrm>
          <a:off x="985266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54701</xdr:colOff>
      <xdr:row>14</xdr:row>
      <xdr:rowOff>30480</xdr:rowOff>
    </xdr:from>
    <xdr:to>
      <xdr:col>37</xdr:col>
      <xdr:colOff>116749</xdr:colOff>
      <xdr:row>14</xdr:row>
      <xdr:rowOff>144780</xdr:rowOff>
    </xdr:to>
    <xdr:sp macro="" textlink="">
      <xdr:nvSpPr>
        <xdr:cNvPr id="9792" name="직사각형 9791">
          <a:extLst>
            <a:ext uri="{FF2B5EF4-FFF2-40B4-BE49-F238E27FC236}">
              <a16:creationId xmlns:a16="http://schemas.microsoft.com/office/drawing/2014/main" id="{DF975D40-CB5A-41A5-B01A-8CD2A999BE5C}"/>
            </a:ext>
          </a:extLst>
        </xdr:cNvPr>
        <xdr:cNvSpPr/>
      </xdr:nvSpPr>
      <xdr:spPr>
        <a:xfrm>
          <a:off x="9894026" y="2297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54701</xdr:colOff>
      <xdr:row>14</xdr:row>
      <xdr:rowOff>87630</xdr:rowOff>
    </xdr:from>
    <xdr:to>
      <xdr:col>37</xdr:col>
      <xdr:colOff>54701</xdr:colOff>
      <xdr:row>14</xdr:row>
      <xdr:rowOff>87630</xdr:rowOff>
    </xdr:to>
    <xdr:cxnSp macro="">
      <xdr:nvCxnSpPr>
        <xdr:cNvPr id="9793" name="직선 화살표 연결선 9792">
          <a:extLst>
            <a:ext uri="{FF2B5EF4-FFF2-40B4-BE49-F238E27FC236}">
              <a16:creationId xmlns:a16="http://schemas.microsoft.com/office/drawing/2014/main" id="{B9E1BE1F-0989-4DE9-AF33-6E2675B2D896}"/>
            </a:ext>
          </a:extLst>
        </xdr:cNvPr>
        <xdr:cNvCxnSpPr/>
      </xdr:nvCxnSpPr>
      <xdr:spPr>
        <a:xfrm>
          <a:off x="9894026"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13</xdr:row>
      <xdr:rowOff>30480</xdr:rowOff>
    </xdr:from>
    <xdr:to>
      <xdr:col>37</xdr:col>
      <xdr:colOff>34018</xdr:colOff>
      <xdr:row>13</xdr:row>
      <xdr:rowOff>144780</xdr:rowOff>
    </xdr:to>
    <xdr:sp macro="" textlink="">
      <xdr:nvSpPr>
        <xdr:cNvPr id="9794" name="직사각형 9793">
          <a:extLst>
            <a:ext uri="{FF2B5EF4-FFF2-40B4-BE49-F238E27FC236}">
              <a16:creationId xmlns:a16="http://schemas.microsoft.com/office/drawing/2014/main" id="{82AE9E52-A814-44E5-8532-9C706DB85D88}"/>
            </a:ext>
          </a:extLst>
        </xdr:cNvPr>
        <xdr:cNvSpPr/>
      </xdr:nvSpPr>
      <xdr:spPr>
        <a:xfrm>
          <a:off x="9852660"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13</xdr:row>
      <xdr:rowOff>87630</xdr:rowOff>
    </xdr:from>
    <xdr:to>
      <xdr:col>37</xdr:col>
      <xdr:colOff>13335</xdr:colOff>
      <xdr:row>13</xdr:row>
      <xdr:rowOff>87630</xdr:rowOff>
    </xdr:to>
    <xdr:cxnSp macro="">
      <xdr:nvCxnSpPr>
        <xdr:cNvPr id="9795" name="직선 화살표 연결선 9794">
          <a:extLst>
            <a:ext uri="{FF2B5EF4-FFF2-40B4-BE49-F238E27FC236}">
              <a16:creationId xmlns:a16="http://schemas.microsoft.com/office/drawing/2014/main" id="{678B18B0-C616-44C8-8763-2E3FBD601269}"/>
            </a:ext>
          </a:extLst>
        </xdr:cNvPr>
        <xdr:cNvCxnSpPr/>
      </xdr:nvCxnSpPr>
      <xdr:spPr>
        <a:xfrm>
          <a:off x="9852660"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13335</xdr:colOff>
      <xdr:row>12</xdr:row>
      <xdr:rowOff>30480</xdr:rowOff>
    </xdr:from>
    <xdr:to>
      <xdr:col>37</xdr:col>
      <xdr:colOff>116749</xdr:colOff>
      <xdr:row>12</xdr:row>
      <xdr:rowOff>144780</xdr:rowOff>
    </xdr:to>
    <xdr:sp macro="" textlink="">
      <xdr:nvSpPr>
        <xdr:cNvPr id="9796" name="직사각형 9795">
          <a:extLst>
            <a:ext uri="{FF2B5EF4-FFF2-40B4-BE49-F238E27FC236}">
              <a16:creationId xmlns:a16="http://schemas.microsoft.com/office/drawing/2014/main" id="{E9E40044-2A72-44F3-BCE3-E4B69C8DBA50}"/>
            </a:ext>
          </a:extLst>
        </xdr:cNvPr>
        <xdr:cNvSpPr/>
      </xdr:nvSpPr>
      <xdr:spPr>
        <a:xfrm>
          <a:off x="9852660" y="1992630"/>
          <a:ext cx="1034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13335</xdr:colOff>
      <xdr:row>12</xdr:row>
      <xdr:rowOff>87630</xdr:rowOff>
    </xdr:from>
    <xdr:to>
      <xdr:col>37</xdr:col>
      <xdr:colOff>13335</xdr:colOff>
      <xdr:row>12</xdr:row>
      <xdr:rowOff>87630</xdr:rowOff>
    </xdr:to>
    <xdr:cxnSp macro="">
      <xdr:nvCxnSpPr>
        <xdr:cNvPr id="9797" name="직선 화살표 연결선 9796">
          <a:extLst>
            <a:ext uri="{FF2B5EF4-FFF2-40B4-BE49-F238E27FC236}">
              <a16:creationId xmlns:a16="http://schemas.microsoft.com/office/drawing/2014/main" id="{6C8A8ADE-5639-40F3-9088-4C7B9E495DED}"/>
            </a:ext>
          </a:extLst>
        </xdr:cNvPr>
        <xdr:cNvCxnSpPr/>
      </xdr:nvCxnSpPr>
      <xdr:spPr>
        <a:xfrm>
          <a:off x="9852660"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11430</xdr:colOff>
      <xdr:row>10</xdr:row>
      <xdr:rowOff>30480</xdr:rowOff>
    </xdr:from>
    <xdr:to>
      <xdr:col>36</xdr:col>
      <xdr:colOff>73478</xdr:colOff>
      <xdr:row>10</xdr:row>
      <xdr:rowOff>144780</xdr:rowOff>
    </xdr:to>
    <xdr:sp macro="" textlink="">
      <xdr:nvSpPr>
        <xdr:cNvPr id="9798" name="직사각형 9797">
          <a:extLst>
            <a:ext uri="{FF2B5EF4-FFF2-40B4-BE49-F238E27FC236}">
              <a16:creationId xmlns:a16="http://schemas.microsoft.com/office/drawing/2014/main" id="{11E00CAF-83BD-48CA-B36E-AB6D44B004DE}"/>
            </a:ext>
          </a:extLst>
        </xdr:cNvPr>
        <xdr:cNvSpPr/>
      </xdr:nvSpPr>
      <xdr:spPr>
        <a:xfrm>
          <a:off x="9707880" y="1687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11430</xdr:colOff>
      <xdr:row>10</xdr:row>
      <xdr:rowOff>87630</xdr:rowOff>
    </xdr:from>
    <xdr:to>
      <xdr:col>36</xdr:col>
      <xdr:colOff>73478</xdr:colOff>
      <xdr:row>10</xdr:row>
      <xdr:rowOff>87630</xdr:rowOff>
    </xdr:to>
    <xdr:cxnSp macro="">
      <xdr:nvCxnSpPr>
        <xdr:cNvPr id="9799" name="직선 화살표 연결선 9798">
          <a:extLst>
            <a:ext uri="{FF2B5EF4-FFF2-40B4-BE49-F238E27FC236}">
              <a16:creationId xmlns:a16="http://schemas.microsoft.com/office/drawing/2014/main" id="{B074D7D3-C09C-4FD9-871E-C56FF659142C}"/>
            </a:ext>
          </a:extLst>
        </xdr:cNvPr>
        <xdr:cNvCxnSpPr/>
      </xdr:nvCxnSpPr>
      <xdr:spPr>
        <a:xfrm>
          <a:off x="9707880" y="1744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9</xdr:row>
      <xdr:rowOff>30480</xdr:rowOff>
    </xdr:from>
    <xdr:to>
      <xdr:col>35</xdr:col>
      <xdr:colOff>112940</xdr:colOff>
      <xdr:row>9</xdr:row>
      <xdr:rowOff>144780</xdr:rowOff>
    </xdr:to>
    <xdr:sp macro="" textlink="">
      <xdr:nvSpPr>
        <xdr:cNvPr id="9800" name="직사각형 9799">
          <a:extLst>
            <a:ext uri="{FF2B5EF4-FFF2-40B4-BE49-F238E27FC236}">
              <a16:creationId xmlns:a16="http://schemas.microsoft.com/office/drawing/2014/main" id="{2C793A2D-A14A-48F1-8958-FB76FE7CB985}"/>
            </a:ext>
          </a:extLst>
        </xdr:cNvPr>
        <xdr:cNvSpPr/>
      </xdr:nvSpPr>
      <xdr:spPr>
        <a:xfrm>
          <a:off x="9563100" y="1535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9</xdr:row>
      <xdr:rowOff>87630</xdr:rowOff>
    </xdr:from>
    <xdr:to>
      <xdr:col>35</xdr:col>
      <xdr:colOff>112940</xdr:colOff>
      <xdr:row>9</xdr:row>
      <xdr:rowOff>87630</xdr:rowOff>
    </xdr:to>
    <xdr:cxnSp macro="">
      <xdr:nvCxnSpPr>
        <xdr:cNvPr id="9801" name="직선 화살표 연결선 9800">
          <a:extLst>
            <a:ext uri="{FF2B5EF4-FFF2-40B4-BE49-F238E27FC236}">
              <a16:creationId xmlns:a16="http://schemas.microsoft.com/office/drawing/2014/main" id="{6320EB0A-F0E7-4991-9CEA-D92AF4173774}"/>
            </a:ext>
          </a:extLst>
        </xdr:cNvPr>
        <xdr:cNvCxnSpPr/>
      </xdr:nvCxnSpPr>
      <xdr:spPr>
        <a:xfrm>
          <a:off x="9563100" y="1592580"/>
          <a:ext cx="1034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8</xdr:row>
      <xdr:rowOff>30480</xdr:rowOff>
    </xdr:from>
    <xdr:to>
      <xdr:col>35</xdr:col>
      <xdr:colOff>50891</xdr:colOff>
      <xdr:row>8</xdr:row>
      <xdr:rowOff>144780</xdr:rowOff>
    </xdr:to>
    <xdr:sp macro="" textlink="">
      <xdr:nvSpPr>
        <xdr:cNvPr id="9802" name="직사각형 9801">
          <a:extLst>
            <a:ext uri="{FF2B5EF4-FFF2-40B4-BE49-F238E27FC236}">
              <a16:creationId xmlns:a16="http://schemas.microsoft.com/office/drawing/2014/main" id="{9566DAD6-51B6-48FC-9F39-21185D44DA0E}"/>
            </a:ext>
          </a:extLst>
        </xdr:cNvPr>
        <xdr:cNvSpPr/>
      </xdr:nvSpPr>
      <xdr:spPr>
        <a:xfrm>
          <a:off x="9563100" y="1383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8</xdr:row>
      <xdr:rowOff>87630</xdr:rowOff>
    </xdr:from>
    <xdr:to>
      <xdr:col>35</xdr:col>
      <xdr:colOff>50891</xdr:colOff>
      <xdr:row>8</xdr:row>
      <xdr:rowOff>87630</xdr:rowOff>
    </xdr:to>
    <xdr:cxnSp macro="">
      <xdr:nvCxnSpPr>
        <xdr:cNvPr id="9803" name="직선 화살표 연결선 9802">
          <a:extLst>
            <a:ext uri="{FF2B5EF4-FFF2-40B4-BE49-F238E27FC236}">
              <a16:creationId xmlns:a16="http://schemas.microsoft.com/office/drawing/2014/main" id="{36421940-80B5-4360-B38E-9DAFAAAF10CF}"/>
            </a:ext>
          </a:extLst>
        </xdr:cNvPr>
        <xdr:cNvCxnSpPr/>
      </xdr:nvCxnSpPr>
      <xdr:spPr>
        <a:xfrm>
          <a:off x="9563100" y="1440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7</xdr:row>
      <xdr:rowOff>30480</xdr:rowOff>
    </xdr:from>
    <xdr:to>
      <xdr:col>34</xdr:col>
      <xdr:colOff>111034</xdr:colOff>
      <xdr:row>7</xdr:row>
      <xdr:rowOff>144780</xdr:rowOff>
    </xdr:to>
    <xdr:sp macro="" textlink="">
      <xdr:nvSpPr>
        <xdr:cNvPr id="9804" name="직사각형 9803">
          <a:extLst>
            <a:ext uri="{FF2B5EF4-FFF2-40B4-BE49-F238E27FC236}">
              <a16:creationId xmlns:a16="http://schemas.microsoft.com/office/drawing/2014/main" id="{7266D677-AEA5-4580-B536-543D646AB2BF}"/>
            </a:ext>
          </a:extLst>
        </xdr:cNvPr>
        <xdr:cNvSpPr/>
      </xdr:nvSpPr>
      <xdr:spPr>
        <a:xfrm>
          <a:off x="9418320" y="1230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7</xdr:row>
      <xdr:rowOff>87630</xdr:rowOff>
    </xdr:from>
    <xdr:to>
      <xdr:col>34</xdr:col>
      <xdr:colOff>111034</xdr:colOff>
      <xdr:row>7</xdr:row>
      <xdr:rowOff>87630</xdr:rowOff>
    </xdr:to>
    <xdr:cxnSp macro="">
      <xdr:nvCxnSpPr>
        <xdr:cNvPr id="9805" name="직선 화살표 연결선 9804">
          <a:extLst>
            <a:ext uri="{FF2B5EF4-FFF2-40B4-BE49-F238E27FC236}">
              <a16:creationId xmlns:a16="http://schemas.microsoft.com/office/drawing/2014/main" id="{73446B29-2772-4303-A5E6-2532E28989C7}"/>
            </a:ext>
          </a:extLst>
        </xdr:cNvPr>
        <xdr:cNvCxnSpPr/>
      </xdr:nvCxnSpPr>
      <xdr:spPr>
        <a:xfrm>
          <a:off x="9418320" y="12877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6</xdr:row>
      <xdr:rowOff>30480</xdr:rowOff>
    </xdr:from>
    <xdr:to>
      <xdr:col>34</xdr:col>
      <xdr:colOff>111034</xdr:colOff>
      <xdr:row>6</xdr:row>
      <xdr:rowOff>144780</xdr:rowOff>
    </xdr:to>
    <xdr:sp macro="" textlink="">
      <xdr:nvSpPr>
        <xdr:cNvPr id="9806" name="직사각형 9805">
          <a:extLst>
            <a:ext uri="{FF2B5EF4-FFF2-40B4-BE49-F238E27FC236}">
              <a16:creationId xmlns:a16="http://schemas.microsoft.com/office/drawing/2014/main" id="{6CC7081B-2239-4EBF-B4C6-63467EAC2B6C}"/>
            </a:ext>
          </a:extLst>
        </xdr:cNvPr>
        <xdr:cNvSpPr/>
      </xdr:nvSpPr>
      <xdr:spPr>
        <a:xfrm>
          <a:off x="9418320" y="1078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6</xdr:row>
      <xdr:rowOff>87630</xdr:rowOff>
    </xdr:from>
    <xdr:to>
      <xdr:col>34</xdr:col>
      <xdr:colOff>111034</xdr:colOff>
      <xdr:row>6</xdr:row>
      <xdr:rowOff>87630</xdr:rowOff>
    </xdr:to>
    <xdr:cxnSp macro="">
      <xdr:nvCxnSpPr>
        <xdr:cNvPr id="9807" name="직선 화살표 연결선 9806">
          <a:extLst>
            <a:ext uri="{FF2B5EF4-FFF2-40B4-BE49-F238E27FC236}">
              <a16:creationId xmlns:a16="http://schemas.microsoft.com/office/drawing/2014/main" id="{6BDCB560-D09E-449C-A1A3-9957143FC21A}"/>
            </a:ext>
          </a:extLst>
        </xdr:cNvPr>
        <xdr:cNvCxnSpPr/>
      </xdr:nvCxnSpPr>
      <xdr:spPr>
        <a:xfrm>
          <a:off x="9418320" y="1135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7620</xdr:colOff>
      <xdr:row>4</xdr:row>
      <xdr:rowOff>30480</xdr:rowOff>
    </xdr:from>
    <xdr:to>
      <xdr:col>36</xdr:col>
      <xdr:colOff>73478</xdr:colOff>
      <xdr:row>4</xdr:row>
      <xdr:rowOff>144780</xdr:rowOff>
    </xdr:to>
    <xdr:sp macro="" textlink="">
      <xdr:nvSpPr>
        <xdr:cNvPr id="9808" name="직사각형 9807">
          <a:extLst>
            <a:ext uri="{FF2B5EF4-FFF2-40B4-BE49-F238E27FC236}">
              <a16:creationId xmlns:a16="http://schemas.microsoft.com/office/drawing/2014/main" id="{A32BB172-7676-454C-8EDF-CB8ECE776BC6}"/>
            </a:ext>
          </a:extLst>
        </xdr:cNvPr>
        <xdr:cNvSpPr/>
      </xdr:nvSpPr>
      <xdr:spPr>
        <a:xfrm>
          <a:off x="9418320" y="773430"/>
          <a:ext cx="3516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7620</xdr:colOff>
      <xdr:row>4</xdr:row>
      <xdr:rowOff>87630</xdr:rowOff>
    </xdr:from>
    <xdr:to>
      <xdr:col>36</xdr:col>
      <xdr:colOff>73478</xdr:colOff>
      <xdr:row>4</xdr:row>
      <xdr:rowOff>87630</xdr:rowOff>
    </xdr:to>
    <xdr:cxnSp macro="">
      <xdr:nvCxnSpPr>
        <xdr:cNvPr id="9809" name="직선 화살표 연결선 9808">
          <a:extLst>
            <a:ext uri="{FF2B5EF4-FFF2-40B4-BE49-F238E27FC236}">
              <a16:creationId xmlns:a16="http://schemas.microsoft.com/office/drawing/2014/main" id="{BF3F3A32-9F0D-4584-AFE5-7C23C7C790AC}"/>
            </a:ext>
          </a:extLst>
        </xdr:cNvPr>
        <xdr:cNvCxnSpPr/>
      </xdr:nvCxnSpPr>
      <xdr:spPr>
        <a:xfrm>
          <a:off x="9418320" y="830580"/>
          <a:ext cx="3516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1124</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1154</v>
      </c>
      <c r="D11" s="99" t="s">
        <v>26</v>
      </c>
      <c r="E11" s="108">
        <v>1</v>
      </c>
      <c r="F11" s="109" t="s">
        <v>27</v>
      </c>
      <c r="G11" s="110">
        <v>43709</v>
      </c>
      <c r="H11" s="109" t="s">
        <v>28</v>
      </c>
      <c r="I11" s="110">
        <v>43830</v>
      </c>
      <c r="J11" s="102" t="s">
        <v>418</v>
      </c>
      <c r="K11" s="102" t="s">
        <v>1125</v>
      </c>
      <c r="L11" s="102" t="s">
        <v>415</v>
      </c>
      <c r="M11" s="102">
        <v>0</v>
      </c>
      <c r="N11" s="107" t="s">
        <v>29</v>
      </c>
      <c r="O11" s="99">
        <v>0</v>
      </c>
      <c r="P11" s="99" t="s">
        <v>30</v>
      </c>
      <c r="Q11" s="107" t="s">
        <v>1130</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1</v>
      </c>
      <c r="D13" s="107" t="s">
        <v>32</v>
      </c>
      <c r="E13" s="99" t="s">
        <v>1131</v>
      </c>
      <c r="F13" s="99" t="s">
        <v>33</v>
      </c>
      <c r="G13" s="109" t="s">
        <v>1155</v>
      </c>
      <c r="H13" s="109" t="s">
        <v>34</v>
      </c>
      <c r="I13" s="102" t="s">
        <v>1044</v>
      </c>
    </row>
    <row r="14" spans="1:64">
      <c r="A14" s="101" t="s">
        <v>403</v>
      </c>
      <c r="B14" s="108" t="s">
        <v>35</v>
      </c>
      <c r="C14" s="108" t="s">
        <v>1132</v>
      </c>
      <c r="D14" s="108" t="s">
        <v>36</v>
      </c>
      <c r="E14" s="108" t="s">
        <v>1133</v>
      </c>
      <c r="F14" s="108" t="s">
        <v>37</v>
      </c>
      <c r="G14" s="108" t="s">
        <v>1099</v>
      </c>
      <c r="H14" s="108" t="s">
        <v>38</v>
      </c>
      <c r="I14" s="108" t="b">
        <v>0</v>
      </c>
      <c r="J14" s="108" t="s">
        <v>39</v>
      </c>
      <c r="K14" s="108" t="s">
        <v>1111</v>
      </c>
      <c r="L14" s="108" t="s">
        <v>40</v>
      </c>
      <c r="M14" s="108" t="s">
        <v>1100</v>
      </c>
      <c r="N14" s="108" t="s">
        <v>41</v>
      </c>
      <c r="O14" s="108" t="s">
        <v>1099</v>
      </c>
      <c r="P14" s="108" t="s">
        <v>42</v>
      </c>
      <c r="Q14" s="108" t="b">
        <v>0</v>
      </c>
      <c r="R14" s="108" t="s">
        <v>43</v>
      </c>
      <c r="S14" s="108" t="s">
        <v>1134</v>
      </c>
      <c r="T14" s="108" t="s">
        <v>44</v>
      </c>
      <c r="U14" s="108" t="s">
        <v>1112</v>
      </c>
      <c r="V14" s="108" t="s">
        <v>45</v>
      </c>
      <c r="W14" s="108" t="s">
        <v>1099</v>
      </c>
      <c r="X14" s="108" t="s">
        <v>46</v>
      </c>
      <c r="Y14" s="108" t="b">
        <v>1</v>
      </c>
      <c r="Z14" s="108" t="s">
        <v>47</v>
      </c>
      <c r="AA14" s="108" t="s">
        <v>1101</v>
      </c>
      <c r="AB14" s="108" t="s">
        <v>48</v>
      </c>
      <c r="AC14" s="108" t="s">
        <v>1113</v>
      </c>
      <c r="AD14" s="108" t="s">
        <v>49</v>
      </c>
      <c r="AE14" s="108" t="s">
        <v>1135</v>
      </c>
      <c r="AF14" s="108" t="s">
        <v>50</v>
      </c>
      <c r="AG14" s="108" t="b">
        <v>1</v>
      </c>
      <c r="AH14" s="108" t="s">
        <v>51</v>
      </c>
      <c r="AI14" s="108" t="s">
        <v>1103</v>
      </c>
      <c r="AJ14" s="108" t="s">
        <v>52</v>
      </c>
      <c r="AK14" s="108" t="s">
        <v>1068</v>
      </c>
      <c r="AL14" s="108" t="s">
        <v>53</v>
      </c>
      <c r="AM14" s="108" t="s">
        <v>1136</v>
      </c>
      <c r="AN14" s="108" t="s">
        <v>54</v>
      </c>
      <c r="AO14" s="108" t="b">
        <v>0</v>
      </c>
      <c r="AP14" s="108" t="s">
        <v>55</v>
      </c>
      <c r="AQ14" s="108" t="s">
        <v>1066</v>
      </c>
      <c r="AR14" s="108" t="s">
        <v>56</v>
      </c>
      <c r="AS14" s="108" t="s">
        <v>1069</v>
      </c>
      <c r="AT14" s="108" t="s">
        <v>57</v>
      </c>
      <c r="AU14" s="108" t="s">
        <v>1104</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1137</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6"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8" t="s">
        <v>929</v>
      </c>
    </row>
    <row r="63" spans="1:6" ht="14.4">
      <c r="B63" s="139">
        <v>155</v>
      </c>
      <c r="D63" s="127" t="s">
        <v>105</v>
      </c>
      <c r="E63" s="168"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1067</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6"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8"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7"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8"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1041</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1041</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1087</v>
      </c>
      <c r="D13" s="95">
        <v>43468</v>
      </c>
      <c r="E13" s="96">
        <v>43493</v>
      </c>
      <c r="F13" s="95">
        <v>43464</v>
      </c>
      <c r="G13" s="95">
        <v>43470</v>
      </c>
      <c r="H13" s="92">
        <v>2</v>
      </c>
    </row>
    <row r="14" spans="1:8">
      <c r="A14" s="93" t="s">
        <v>433</v>
      </c>
      <c r="B14" s="94" t="s">
        <v>441</v>
      </c>
      <c r="C14" s="95" t="s">
        <v>1087</v>
      </c>
      <c r="D14" s="95">
        <v>43468</v>
      </c>
      <c r="E14" s="96">
        <v>43493</v>
      </c>
      <c r="F14" s="95">
        <v>43471</v>
      </c>
      <c r="G14" s="95">
        <v>43477</v>
      </c>
      <c r="H14" s="92">
        <v>5</v>
      </c>
    </row>
    <row r="15" spans="1:8">
      <c r="A15" s="93" t="s">
        <v>433</v>
      </c>
      <c r="B15" s="94" t="s">
        <v>441</v>
      </c>
      <c r="C15" s="95" t="s">
        <v>1087</v>
      </c>
      <c r="D15" s="95">
        <v>43468</v>
      </c>
      <c r="E15" s="96">
        <v>43493</v>
      </c>
      <c r="F15" s="95">
        <v>43478</v>
      </c>
      <c r="G15" s="95">
        <v>43484</v>
      </c>
      <c r="H15" s="92">
        <v>5</v>
      </c>
    </row>
    <row r="16" spans="1:8">
      <c r="A16" s="93" t="s">
        <v>433</v>
      </c>
      <c r="B16" s="94" t="s">
        <v>441</v>
      </c>
      <c r="C16" s="95" t="s">
        <v>1087</v>
      </c>
      <c r="D16" s="95">
        <v>43468</v>
      </c>
      <c r="E16" s="96">
        <v>43493</v>
      </c>
      <c r="F16" s="95">
        <v>43485</v>
      </c>
      <c r="G16" s="95">
        <v>43491</v>
      </c>
      <c r="H16" s="92">
        <v>5</v>
      </c>
    </row>
    <row r="17" spans="1:8">
      <c r="A17" s="93" t="s">
        <v>433</v>
      </c>
      <c r="B17" s="94" t="s">
        <v>441</v>
      </c>
      <c r="C17" s="95" t="s">
        <v>1087</v>
      </c>
      <c r="D17" s="95">
        <v>43468</v>
      </c>
      <c r="E17" s="96">
        <v>43493</v>
      </c>
      <c r="F17" s="95">
        <v>43492</v>
      </c>
      <c r="G17" s="95">
        <v>43498</v>
      </c>
      <c r="H17" s="92">
        <v>1</v>
      </c>
    </row>
    <row r="18" spans="1:8">
      <c r="A18" s="93" t="s">
        <v>434</v>
      </c>
      <c r="B18" s="94" t="s">
        <v>997</v>
      </c>
      <c r="C18" s="95" t="s">
        <v>1087</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1042</v>
      </c>
      <c r="D25" s="95">
        <v>43379</v>
      </c>
      <c r="E25" s="96">
        <v>43397</v>
      </c>
      <c r="F25" s="95">
        <v>43375</v>
      </c>
      <c r="G25" s="95">
        <v>43379</v>
      </c>
      <c r="H25" s="92">
        <v>0</v>
      </c>
    </row>
    <row r="26" spans="1:8">
      <c r="A26" s="93" t="s">
        <v>991</v>
      </c>
      <c r="B26" s="94" t="s">
        <v>446</v>
      </c>
      <c r="C26" s="95" t="s">
        <v>1034</v>
      </c>
      <c r="D26" s="95">
        <v>43379</v>
      </c>
      <c r="E26" s="96">
        <v>43397</v>
      </c>
      <c r="F26" s="95">
        <v>43375</v>
      </c>
      <c r="G26" s="95">
        <v>43379</v>
      </c>
      <c r="H26" s="92">
        <v>0</v>
      </c>
    </row>
    <row r="27" spans="1:8">
      <c r="A27" s="93" t="s">
        <v>991</v>
      </c>
      <c r="B27" s="94" t="s">
        <v>446</v>
      </c>
      <c r="C27" s="95" t="s">
        <v>1043</v>
      </c>
      <c r="D27" s="95">
        <v>43379</v>
      </c>
      <c r="E27" s="96">
        <v>43397</v>
      </c>
      <c r="F27" s="95">
        <v>43375</v>
      </c>
      <c r="G27" s="95">
        <v>43379</v>
      </c>
      <c r="H27" s="92">
        <v>0</v>
      </c>
    </row>
    <row r="28" spans="1:8">
      <c r="A28" s="93" t="s">
        <v>991</v>
      </c>
      <c r="B28" s="94" t="s">
        <v>446</v>
      </c>
      <c r="C28" s="95" t="s">
        <v>1042</v>
      </c>
      <c r="D28" s="95">
        <v>43379</v>
      </c>
      <c r="E28" s="96">
        <v>43397</v>
      </c>
      <c r="F28" s="95">
        <v>43380</v>
      </c>
      <c r="G28" s="95">
        <v>43386</v>
      </c>
      <c r="H28" s="92">
        <v>1.3333333333333333</v>
      </c>
    </row>
    <row r="29" spans="1:8">
      <c r="A29" s="93" t="s">
        <v>991</v>
      </c>
      <c r="B29" s="94" t="s">
        <v>446</v>
      </c>
      <c r="C29" s="95" t="s">
        <v>1034</v>
      </c>
      <c r="D29" s="95">
        <v>43379</v>
      </c>
      <c r="E29" s="96">
        <v>43397</v>
      </c>
      <c r="F29" s="95">
        <v>43380</v>
      </c>
      <c r="G29" s="95">
        <v>43386</v>
      </c>
      <c r="H29" s="92">
        <v>1.3333333333333333</v>
      </c>
    </row>
    <row r="30" spans="1:8">
      <c r="A30" s="93" t="s">
        <v>991</v>
      </c>
      <c r="B30" s="94" t="s">
        <v>446</v>
      </c>
      <c r="C30" s="95" t="s">
        <v>1043</v>
      </c>
      <c r="D30" s="95">
        <v>43379</v>
      </c>
      <c r="E30" s="96">
        <v>43397</v>
      </c>
      <c r="F30" s="95">
        <v>43380</v>
      </c>
      <c r="G30" s="95">
        <v>43386</v>
      </c>
      <c r="H30" s="92">
        <v>1.3333333333333333</v>
      </c>
    </row>
    <row r="31" spans="1:8">
      <c r="A31" s="93" t="s">
        <v>991</v>
      </c>
      <c r="B31" s="94" t="s">
        <v>446</v>
      </c>
      <c r="C31" s="95" t="s">
        <v>1042</v>
      </c>
      <c r="D31" s="95">
        <v>43379</v>
      </c>
      <c r="E31" s="96">
        <v>43397</v>
      </c>
      <c r="F31" s="95">
        <v>43387</v>
      </c>
      <c r="G31" s="95">
        <v>43393</v>
      </c>
      <c r="H31" s="92">
        <v>1.6666666666666667</v>
      </c>
    </row>
    <row r="32" spans="1:8">
      <c r="A32" s="93" t="s">
        <v>991</v>
      </c>
      <c r="B32" s="94" t="s">
        <v>446</v>
      </c>
      <c r="C32" s="95" t="s">
        <v>1034</v>
      </c>
      <c r="D32" s="95">
        <v>43379</v>
      </c>
      <c r="E32" s="96">
        <v>43397</v>
      </c>
      <c r="F32" s="95">
        <v>43387</v>
      </c>
      <c r="G32" s="95">
        <v>43393</v>
      </c>
      <c r="H32" s="92">
        <v>1.6666666666666667</v>
      </c>
    </row>
    <row r="33" spans="1:8">
      <c r="A33" s="93" t="s">
        <v>991</v>
      </c>
      <c r="B33" s="94" t="s">
        <v>446</v>
      </c>
      <c r="C33" s="95" t="s">
        <v>1043</v>
      </c>
      <c r="D33" s="95">
        <v>43379</v>
      </c>
      <c r="E33" s="96">
        <v>43397</v>
      </c>
      <c r="F33" s="95">
        <v>43387</v>
      </c>
      <c r="G33" s="95">
        <v>43393</v>
      </c>
      <c r="H33" s="92">
        <v>1.6666666666666667</v>
      </c>
    </row>
    <row r="34" spans="1:8">
      <c r="A34" s="93" t="s">
        <v>991</v>
      </c>
      <c r="B34" s="94" t="s">
        <v>446</v>
      </c>
      <c r="C34" s="95" t="s">
        <v>1042</v>
      </c>
      <c r="D34" s="95">
        <v>43379</v>
      </c>
      <c r="E34" s="96">
        <v>43397</v>
      </c>
      <c r="F34" s="95">
        <v>43394</v>
      </c>
      <c r="G34" s="95">
        <v>43400</v>
      </c>
      <c r="H34" s="92">
        <v>1</v>
      </c>
    </row>
    <row r="35" spans="1:8">
      <c r="A35" s="93" t="s">
        <v>991</v>
      </c>
      <c r="B35" s="94" t="s">
        <v>446</v>
      </c>
      <c r="C35" s="95" t="s">
        <v>1034</v>
      </c>
      <c r="D35" s="95">
        <v>43379</v>
      </c>
      <c r="E35" s="96">
        <v>43397</v>
      </c>
      <c r="F35" s="95">
        <v>43394</v>
      </c>
      <c r="G35" s="95">
        <v>43400</v>
      </c>
      <c r="H35" s="92">
        <v>1</v>
      </c>
    </row>
    <row r="36" spans="1:8">
      <c r="A36" s="93" t="s">
        <v>991</v>
      </c>
      <c r="B36" s="94" t="s">
        <v>446</v>
      </c>
      <c r="C36" s="95" t="s">
        <v>1043</v>
      </c>
      <c r="D36" s="95">
        <v>43379</v>
      </c>
      <c r="E36" s="96">
        <v>43397</v>
      </c>
      <c r="F36" s="95">
        <v>43394</v>
      </c>
      <c r="G36" s="95">
        <v>43400</v>
      </c>
      <c r="H36" s="92">
        <v>1</v>
      </c>
    </row>
    <row r="37" spans="1:8">
      <c r="A37" s="93" t="s">
        <v>992</v>
      </c>
      <c r="B37" s="94" t="s">
        <v>447</v>
      </c>
      <c r="C37" s="95" t="s">
        <v>1034</v>
      </c>
      <c r="D37" s="95">
        <v>43385</v>
      </c>
      <c r="E37" s="96">
        <v>43396</v>
      </c>
      <c r="F37" s="95">
        <v>43380</v>
      </c>
      <c r="G37" s="95">
        <v>43386</v>
      </c>
      <c r="H37" s="92">
        <v>1</v>
      </c>
    </row>
    <row r="38" spans="1:8">
      <c r="A38" s="93" t="s">
        <v>992</v>
      </c>
      <c r="B38" s="94" t="s">
        <v>447</v>
      </c>
      <c r="C38" s="95" t="s">
        <v>1034</v>
      </c>
      <c r="D38" s="95">
        <v>43385</v>
      </c>
      <c r="E38" s="96">
        <v>43396</v>
      </c>
      <c r="F38" s="95">
        <v>43387</v>
      </c>
      <c r="G38" s="95">
        <v>43393</v>
      </c>
      <c r="H38" s="92">
        <v>5</v>
      </c>
    </row>
    <row r="39" spans="1:8">
      <c r="A39" s="93" t="s">
        <v>992</v>
      </c>
      <c r="B39" s="94" t="s">
        <v>447</v>
      </c>
      <c r="C39" s="95" t="s">
        <v>1034</v>
      </c>
      <c r="D39" s="95">
        <v>43385</v>
      </c>
      <c r="E39" s="96">
        <v>43396</v>
      </c>
      <c r="F39" s="95">
        <v>43394</v>
      </c>
      <c r="G39" s="95">
        <v>43400</v>
      </c>
      <c r="H39" s="92">
        <v>2</v>
      </c>
    </row>
    <row r="40" spans="1:8">
      <c r="A40" s="93" t="s">
        <v>993</v>
      </c>
      <c r="B40" s="94" t="s">
        <v>448</v>
      </c>
      <c r="C40" s="95" t="s">
        <v>1034</v>
      </c>
      <c r="D40" s="95">
        <v>43385</v>
      </c>
      <c r="E40" s="96">
        <v>43396</v>
      </c>
      <c r="F40" s="95">
        <v>43380</v>
      </c>
      <c r="G40" s="95">
        <v>43386</v>
      </c>
      <c r="H40" s="92">
        <v>1</v>
      </c>
    </row>
    <row r="41" spans="1:8">
      <c r="A41" s="93" t="s">
        <v>993</v>
      </c>
      <c r="B41" s="94" t="s">
        <v>448</v>
      </c>
      <c r="C41" s="95" t="s">
        <v>1034</v>
      </c>
      <c r="D41" s="95">
        <v>43385</v>
      </c>
      <c r="E41" s="96">
        <v>43396</v>
      </c>
      <c r="F41" s="95">
        <v>43387</v>
      </c>
      <c r="G41" s="95">
        <v>43393</v>
      </c>
      <c r="H41" s="92">
        <v>5</v>
      </c>
    </row>
    <row r="42" spans="1:8">
      <c r="A42" s="93" t="s">
        <v>993</v>
      </c>
      <c r="B42" s="94" t="s">
        <v>448</v>
      </c>
      <c r="C42" s="95" t="s">
        <v>1034</v>
      </c>
      <c r="D42" s="95">
        <v>43385</v>
      </c>
      <c r="E42" s="96">
        <v>43396</v>
      </c>
      <c r="F42" s="95">
        <v>43394</v>
      </c>
      <c r="G42" s="95">
        <v>43400</v>
      </c>
      <c r="H42" s="92">
        <v>2</v>
      </c>
    </row>
    <row r="43" spans="1:8">
      <c r="A43" s="93" t="s">
        <v>994</v>
      </c>
      <c r="B43" s="94" t="s">
        <v>998</v>
      </c>
      <c r="C43" s="95" t="s">
        <v>1035</v>
      </c>
      <c r="D43" s="95">
        <v>43399</v>
      </c>
      <c r="E43" s="96">
        <v>43417</v>
      </c>
      <c r="F43" s="95">
        <v>43394</v>
      </c>
      <c r="G43" s="95">
        <v>43400</v>
      </c>
      <c r="H43" s="92">
        <v>1</v>
      </c>
    </row>
    <row r="44" spans="1:8">
      <c r="A44" s="93" t="s">
        <v>994</v>
      </c>
      <c r="B44" s="94" t="s">
        <v>998</v>
      </c>
      <c r="C44" s="95" t="s">
        <v>1035</v>
      </c>
      <c r="D44" s="95">
        <v>43399</v>
      </c>
      <c r="E44" s="96">
        <v>43417</v>
      </c>
      <c r="F44" s="95">
        <v>43401</v>
      </c>
      <c r="G44" s="95">
        <v>43407</v>
      </c>
      <c r="H44" s="92">
        <v>5</v>
      </c>
    </row>
    <row r="45" spans="1:8">
      <c r="A45" s="93" t="s">
        <v>994</v>
      </c>
      <c r="B45" s="94" t="s">
        <v>998</v>
      </c>
      <c r="C45" s="95" t="s">
        <v>1035</v>
      </c>
      <c r="D45" s="95">
        <v>43399</v>
      </c>
      <c r="E45" s="96">
        <v>43417</v>
      </c>
      <c r="F45" s="95">
        <v>43408</v>
      </c>
      <c r="G45" s="95">
        <v>43414</v>
      </c>
      <c r="H45" s="92">
        <v>5</v>
      </c>
    </row>
    <row r="46" spans="1:8">
      <c r="A46" s="93" t="s">
        <v>994</v>
      </c>
      <c r="B46" s="94" t="s">
        <v>998</v>
      </c>
      <c r="C46" s="95" t="s">
        <v>1035</v>
      </c>
      <c r="D46" s="95">
        <v>43399</v>
      </c>
      <c r="E46" s="96">
        <v>43417</v>
      </c>
      <c r="F46" s="95">
        <v>43415</v>
      </c>
      <c r="G46" s="95">
        <v>43421</v>
      </c>
      <c r="H46" s="92">
        <v>2</v>
      </c>
    </row>
    <row r="47" spans="1:8">
      <c r="A47" s="93" t="s">
        <v>999</v>
      </c>
      <c r="B47" s="94" t="s">
        <v>1000</v>
      </c>
      <c r="C47" s="95" t="s">
        <v>1036</v>
      </c>
      <c r="D47" s="95">
        <v>43406</v>
      </c>
      <c r="E47" s="96">
        <v>43417</v>
      </c>
      <c r="F47" s="95">
        <v>43401</v>
      </c>
      <c r="G47" s="95">
        <v>43407</v>
      </c>
      <c r="H47" s="92">
        <v>1</v>
      </c>
    </row>
    <row r="48" spans="1:8">
      <c r="A48" s="93" t="s">
        <v>999</v>
      </c>
      <c r="B48" s="94" t="s">
        <v>1000</v>
      </c>
      <c r="C48" s="95" t="s">
        <v>1036</v>
      </c>
      <c r="D48" s="95">
        <v>43406</v>
      </c>
      <c r="E48" s="96">
        <v>43417</v>
      </c>
      <c r="F48" s="95">
        <v>43408</v>
      </c>
      <c r="G48" s="95">
        <v>43414</v>
      </c>
      <c r="H48" s="92">
        <v>5</v>
      </c>
    </row>
    <row r="49" spans="1:8">
      <c r="A49" s="93" t="s">
        <v>999</v>
      </c>
      <c r="B49" s="94" t="s">
        <v>1000</v>
      </c>
      <c r="C49" s="95" t="s">
        <v>1036</v>
      </c>
      <c r="D49" s="95">
        <v>43406</v>
      </c>
      <c r="E49" s="96">
        <v>43417</v>
      </c>
      <c r="F49" s="95">
        <v>43415</v>
      </c>
      <c r="G49" s="95">
        <v>43421</v>
      </c>
      <c r="H49" s="92">
        <v>2</v>
      </c>
    </row>
    <row r="50" spans="1:8">
      <c r="A50" s="93" t="s">
        <v>1001</v>
      </c>
      <c r="B50" s="94" t="s">
        <v>1002</v>
      </c>
      <c r="C50" s="95" t="s">
        <v>1037</v>
      </c>
      <c r="D50" s="95">
        <v>43413</v>
      </c>
      <c r="E50" s="96">
        <v>43424</v>
      </c>
      <c r="F50" s="95">
        <v>43408</v>
      </c>
      <c r="G50" s="95">
        <v>43414</v>
      </c>
      <c r="H50" s="92">
        <v>1</v>
      </c>
    </row>
    <row r="51" spans="1:8">
      <c r="A51" s="93" t="s">
        <v>1001</v>
      </c>
      <c r="B51" s="94" t="s">
        <v>1002</v>
      </c>
      <c r="C51" s="95" t="s">
        <v>1037</v>
      </c>
      <c r="D51" s="95">
        <v>43413</v>
      </c>
      <c r="E51" s="96">
        <v>43424</v>
      </c>
      <c r="F51" s="95">
        <v>43415</v>
      </c>
      <c r="G51" s="95">
        <v>43421</v>
      </c>
      <c r="H51" s="92">
        <v>5</v>
      </c>
    </row>
    <row r="52" spans="1:8">
      <c r="A52" s="93" t="s">
        <v>1001</v>
      </c>
      <c r="B52" s="94" t="s">
        <v>1002</v>
      </c>
      <c r="C52" s="95" t="s">
        <v>1037</v>
      </c>
      <c r="D52" s="95">
        <v>43413</v>
      </c>
      <c r="E52" s="96">
        <v>43424</v>
      </c>
      <c r="F52" s="95">
        <v>43422</v>
      </c>
      <c r="G52" s="95">
        <v>43428</v>
      </c>
      <c r="H52" s="92">
        <v>2</v>
      </c>
    </row>
    <row r="53" spans="1:8">
      <c r="A53" s="93" t="s">
        <v>1003</v>
      </c>
      <c r="B53" s="94" t="s">
        <v>1004</v>
      </c>
      <c r="C53" s="95" t="s">
        <v>1038</v>
      </c>
      <c r="D53" s="95">
        <v>43413</v>
      </c>
      <c r="E53" s="96">
        <v>43431</v>
      </c>
      <c r="F53" s="95">
        <v>43408</v>
      </c>
      <c r="G53" s="95">
        <v>43414</v>
      </c>
      <c r="H53" s="92">
        <v>1</v>
      </c>
    </row>
    <row r="54" spans="1:8">
      <c r="A54" s="93" t="s">
        <v>1003</v>
      </c>
      <c r="B54" s="94" t="s">
        <v>1004</v>
      </c>
      <c r="C54" s="95" t="s">
        <v>1038</v>
      </c>
      <c r="D54" s="95">
        <v>43413</v>
      </c>
      <c r="E54" s="96">
        <v>43431</v>
      </c>
      <c r="F54" s="95">
        <v>43415</v>
      </c>
      <c r="G54" s="95">
        <v>43421</v>
      </c>
      <c r="H54" s="92">
        <v>5</v>
      </c>
    </row>
    <row r="55" spans="1:8">
      <c r="A55" s="93" t="s">
        <v>1003</v>
      </c>
      <c r="B55" s="94" t="s">
        <v>1004</v>
      </c>
      <c r="C55" s="95" t="s">
        <v>1038</v>
      </c>
      <c r="D55" s="95">
        <v>43413</v>
      </c>
      <c r="E55" s="96">
        <v>43431</v>
      </c>
      <c r="F55" s="95">
        <v>43422</v>
      </c>
      <c r="G55" s="95">
        <v>43428</v>
      </c>
      <c r="H55" s="92">
        <v>5</v>
      </c>
    </row>
    <row r="56" spans="1:8">
      <c r="A56" s="93" t="s">
        <v>1003</v>
      </c>
      <c r="B56" s="94" t="s">
        <v>1004</v>
      </c>
      <c r="C56" s="95" t="s">
        <v>1038</v>
      </c>
      <c r="D56" s="95">
        <v>43413</v>
      </c>
      <c r="E56" s="96">
        <v>43431</v>
      </c>
      <c r="F56" s="95">
        <v>43429</v>
      </c>
      <c r="G56" s="95">
        <v>43435</v>
      </c>
      <c r="H56" s="92">
        <v>2</v>
      </c>
    </row>
    <row r="57" spans="1:8">
      <c r="A57" s="93" t="s">
        <v>995</v>
      </c>
      <c r="B57" s="94" t="s">
        <v>1005</v>
      </c>
      <c r="C57" s="95" t="s">
        <v>1038</v>
      </c>
      <c r="D57" s="95">
        <v>43434</v>
      </c>
      <c r="E57" s="96">
        <v>43438</v>
      </c>
      <c r="F57" s="95">
        <v>43429</v>
      </c>
      <c r="G57" s="95">
        <v>43435</v>
      </c>
      <c r="H57" s="92">
        <v>1</v>
      </c>
    </row>
    <row r="58" spans="1:8">
      <c r="A58" s="93" t="s">
        <v>995</v>
      </c>
      <c r="B58" s="94" t="s">
        <v>1005</v>
      </c>
      <c r="C58" s="95" t="s">
        <v>1038</v>
      </c>
      <c r="D58" s="95">
        <v>43434</v>
      </c>
      <c r="E58" s="96">
        <v>43438</v>
      </c>
      <c r="F58" s="95">
        <v>43436</v>
      </c>
      <c r="G58" s="95">
        <v>43442</v>
      </c>
      <c r="H58" s="92">
        <v>2</v>
      </c>
    </row>
    <row r="59" spans="1:8">
      <c r="A59" s="93" t="s">
        <v>1006</v>
      </c>
      <c r="B59" s="94" t="s">
        <v>1007</v>
      </c>
      <c r="C59" s="95" t="s">
        <v>1038</v>
      </c>
      <c r="D59" s="95">
        <v>43434</v>
      </c>
      <c r="E59" s="96">
        <v>43438</v>
      </c>
      <c r="F59" s="95">
        <v>43429</v>
      </c>
      <c r="G59" s="95">
        <v>43435</v>
      </c>
      <c r="H59" s="92">
        <v>1</v>
      </c>
    </row>
    <row r="60" spans="1:8">
      <c r="A60" s="93" t="s">
        <v>1006</v>
      </c>
      <c r="B60" s="94" t="s">
        <v>1007</v>
      </c>
      <c r="C60" s="95" t="s">
        <v>1038</v>
      </c>
      <c r="D60" s="95">
        <v>43434</v>
      </c>
      <c r="E60" s="96">
        <v>43438</v>
      </c>
      <c r="F60" s="95">
        <v>43436</v>
      </c>
      <c r="G60" s="95">
        <v>43442</v>
      </c>
      <c r="H60" s="92">
        <v>2</v>
      </c>
    </row>
    <row r="61" spans="1:8">
      <c r="A61" s="93" t="s">
        <v>1008</v>
      </c>
      <c r="B61" s="94" t="s">
        <v>1009</v>
      </c>
      <c r="C61" s="95" t="s">
        <v>1039</v>
      </c>
      <c r="D61" s="95">
        <v>43434</v>
      </c>
      <c r="E61" s="96">
        <v>43438</v>
      </c>
      <c r="F61" s="95">
        <v>43429</v>
      </c>
      <c r="G61" s="95">
        <v>43435</v>
      </c>
      <c r="H61" s="92">
        <v>1</v>
      </c>
    </row>
    <row r="62" spans="1:8">
      <c r="A62" s="93" t="s">
        <v>1008</v>
      </c>
      <c r="B62" s="94" t="s">
        <v>1009</v>
      </c>
      <c r="C62" s="95" t="s">
        <v>1039</v>
      </c>
      <c r="D62" s="95">
        <v>43434</v>
      </c>
      <c r="E62" s="96">
        <v>43438</v>
      </c>
      <c r="F62" s="95">
        <v>43436</v>
      </c>
      <c r="G62" s="95">
        <v>43442</v>
      </c>
      <c r="H62" s="92">
        <v>2</v>
      </c>
    </row>
    <row r="63" spans="1:8">
      <c r="A63" s="93" t="s">
        <v>1010</v>
      </c>
      <c r="B63" s="94" t="s">
        <v>1011</v>
      </c>
      <c r="C63" s="95" t="s">
        <v>1040</v>
      </c>
      <c r="D63" s="95">
        <v>43441</v>
      </c>
      <c r="E63" s="96">
        <v>43445</v>
      </c>
      <c r="F63" s="95">
        <v>43436</v>
      </c>
      <c r="G63" s="95">
        <v>43442</v>
      </c>
      <c r="H63" s="92">
        <v>1</v>
      </c>
    </row>
    <row r="64" spans="1:8">
      <c r="A64" s="93" t="s">
        <v>1010</v>
      </c>
      <c r="B64" s="94" t="s">
        <v>1011</v>
      </c>
      <c r="C64" s="95" t="s">
        <v>1040</v>
      </c>
      <c r="D64" s="95">
        <v>43441</v>
      </c>
      <c r="E64" s="96">
        <v>43445</v>
      </c>
      <c r="F64" s="95">
        <v>43443</v>
      </c>
      <c r="G64" s="95">
        <v>43449</v>
      </c>
      <c r="H64" s="92">
        <v>2</v>
      </c>
    </row>
    <row r="65" spans="1:8">
      <c r="A65" s="93" t="s">
        <v>1012</v>
      </c>
      <c r="B65" s="94" t="s">
        <v>1013</v>
      </c>
      <c r="C65" s="95" t="s">
        <v>1040</v>
      </c>
      <c r="D65" s="95">
        <v>43441</v>
      </c>
      <c r="E65" s="96">
        <v>43452</v>
      </c>
      <c r="F65" s="95">
        <v>43436</v>
      </c>
      <c r="G65" s="95">
        <v>43442</v>
      </c>
      <c r="H65" s="92">
        <v>1</v>
      </c>
    </row>
    <row r="66" spans="1:8">
      <c r="A66" s="93" t="s">
        <v>1012</v>
      </c>
      <c r="B66" s="94" t="s">
        <v>1013</v>
      </c>
      <c r="C66" s="95" t="s">
        <v>1040</v>
      </c>
      <c r="D66" s="95">
        <v>43441</v>
      </c>
      <c r="E66" s="96">
        <v>43452</v>
      </c>
      <c r="F66" s="95">
        <v>43443</v>
      </c>
      <c r="G66" s="95">
        <v>43449</v>
      </c>
      <c r="H66" s="92">
        <v>5</v>
      </c>
    </row>
    <row r="67" spans="1:8">
      <c r="A67" s="93" t="s">
        <v>1012</v>
      </c>
      <c r="B67" s="94" t="s">
        <v>1013</v>
      </c>
      <c r="C67" s="95" t="s">
        <v>1040</v>
      </c>
      <c r="D67" s="95">
        <v>43441</v>
      </c>
      <c r="E67" s="96">
        <v>43452</v>
      </c>
      <c r="F67" s="95">
        <v>43450</v>
      </c>
      <c r="G67" s="95">
        <v>43456</v>
      </c>
      <c r="H67" s="92">
        <v>2</v>
      </c>
    </row>
    <row r="68" spans="1:8">
      <c r="A68" s="93" t="s">
        <v>1014</v>
      </c>
      <c r="B68" s="94" t="s">
        <v>1015</v>
      </c>
      <c r="C68" s="95" t="s">
        <v>1039</v>
      </c>
      <c r="D68" s="95">
        <v>43434</v>
      </c>
      <c r="E68" s="96">
        <v>43493</v>
      </c>
      <c r="F68" s="95">
        <v>43429</v>
      </c>
      <c r="G68" s="95">
        <v>43435</v>
      </c>
      <c r="H68" s="92">
        <v>0.5</v>
      </c>
    </row>
    <row r="69" spans="1:8">
      <c r="A69" s="93" t="s">
        <v>1014</v>
      </c>
      <c r="B69" s="94" t="s">
        <v>1015</v>
      </c>
      <c r="C69" s="95" t="s">
        <v>1040</v>
      </c>
      <c r="D69" s="95">
        <v>43434</v>
      </c>
      <c r="E69" s="96">
        <v>43493</v>
      </c>
      <c r="F69" s="95">
        <v>43429</v>
      </c>
      <c r="G69" s="95">
        <v>43435</v>
      </c>
      <c r="H69" s="92">
        <v>0.5</v>
      </c>
    </row>
    <row r="70" spans="1:8">
      <c r="A70" s="93" t="s">
        <v>1014</v>
      </c>
      <c r="B70" s="94" t="s">
        <v>1015</v>
      </c>
      <c r="C70" s="95" t="s">
        <v>1039</v>
      </c>
      <c r="D70" s="95">
        <v>43434</v>
      </c>
      <c r="E70" s="96">
        <v>43493</v>
      </c>
      <c r="F70" s="95">
        <v>43436</v>
      </c>
      <c r="G70" s="95">
        <v>43442</v>
      </c>
      <c r="H70" s="92">
        <v>2.5</v>
      </c>
    </row>
    <row r="71" spans="1:8">
      <c r="A71" s="93" t="s">
        <v>1014</v>
      </c>
      <c r="B71" s="94" t="s">
        <v>1015</v>
      </c>
      <c r="C71" s="95" t="s">
        <v>1040</v>
      </c>
      <c r="D71" s="95">
        <v>43434</v>
      </c>
      <c r="E71" s="96">
        <v>43493</v>
      </c>
      <c r="F71" s="95">
        <v>43436</v>
      </c>
      <c r="G71" s="95">
        <v>43442</v>
      </c>
      <c r="H71" s="92">
        <v>2.5</v>
      </c>
    </row>
    <row r="72" spans="1:8">
      <c r="A72" s="93" t="s">
        <v>1014</v>
      </c>
      <c r="B72" s="94" t="s">
        <v>1015</v>
      </c>
      <c r="C72" s="95" t="s">
        <v>1039</v>
      </c>
      <c r="D72" s="95">
        <v>43434</v>
      </c>
      <c r="E72" s="96">
        <v>43493</v>
      </c>
      <c r="F72" s="95">
        <v>43443</v>
      </c>
      <c r="G72" s="95">
        <v>43449</v>
      </c>
      <c r="H72" s="92">
        <v>2.5</v>
      </c>
    </row>
    <row r="73" spans="1:8">
      <c r="A73" s="93" t="s">
        <v>1014</v>
      </c>
      <c r="B73" s="94" t="s">
        <v>1015</v>
      </c>
      <c r="C73" s="95" t="s">
        <v>1040</v>
      </c>
      <c r="D73" s="95">
        <v>43434</v>
      </c>
      <c r="E73" s="96">
        <v>43493</v>
      </c>
      <c r="F73" s="95">
        <v>43443</v>
      </c>
      <c r="G73" s="95">
        <v>43449</v>
      </c>
      <c r="H73" s="92">
        <v>2.5</v>
      </c>
    </row>
    <row r="74" spans="1:8">
      <c r="A74" s="93" t="s">
        <v>1014</v>
      </c>
      <c r="B74" s="94" t="s">
        <v>1015</v>
      </c>
      <c r="C74" s="95" t="s">
        <v>1039</v>
      </c>
      <c r="D74" s="95">
        <v>43434</v>
      </c>
      <c r="E74" s="96">
        <v>43493</v>
      </c>
      <c r="F74" s="95">
        <v>43450</v>
      </c>
      <c r="G74" s="95">
        <v>43456</v>
      </c>
      <c r="H74" s="92">
        <v>2.5</v>
      </c>
    </row>
    <row r="75" spans="1:8">
      <c r="A75" s="93" t="s">
        <v>1014</v>
      </c>
      <c r="B75" s="94" t="s">
        <v>1015</v>
      </c>
      <c r="C75" s="95" t="s">
        <v>1040</v>
      </c>
      <c r="D75" s="95">
        <v>43434</v>
      </c>
      <c r="E75" s="96">
        <v>43493</v>
      </c>
      <c r="F75" s="95">
        <v>43450</v>
      </c>
      <c r="G75" s="95">
        <v>43456</v>
      </c>
      <c r="H75" s="92">
        <v>2.5</v>
      </c>
    </row>
    <row r="76" spans="1:8">
      <c r="A76" s="93" t="s">
        <v>1014</v>
      </c>
      <c r="B76" s="94" t="s">
        <v>1015</v>
      </c>
      <c r="C76" s="95" t="s">
        <v>1039</v>
      </c>
      <c r="D76" s="95">
        <v>43434</v>
      </c>
      <c r="E76" s="96">
        <v>43493</v>
      </c>
      <c r="F76" s="95">
        <v>43457</v>
      </c>
      <c r="G76" s="95">
        <v>43463</v>
      </c>
      <c r="H76" s="92">
        <v>2</v>
      </c>
    </row>
    <row r="77" spans="1:8">
      <c r="A77" s="93" t="s">
        <v>1014</v>
      </c>
      <c r="B77" s="94" t="s">
        <v>1015</v>
      </c>
      <c r="C77" s="95" t="s">
        <v>1040</v>
      </c>
      <c r="D77" s="95">
        <v>43434</v>
      </c>
      <c r="E77" s="96">
        <v>43493</v>
      </c>
      <c r="F77" s="95">
        <v>43457</v>
      </c>
      <c r="G77" s="95">
        <v>43463</v>
      </c>
      <c r="H77" s="92">
        <v>2</v>
      </c>
    </row>
    <row r="78" spans="1:8">
      <c r="A78" s="93" t="s">
        <v>1014</v>
      </c>
      <c r="B78" s="94" t="s">
        <v>1015</v>
      </c>
      <c r="C78" s="95" t="s">
        <v>1039</v>
      </c>
      <c r="D78" s="95">
        <v>43434</v>
      </c>
      <c r="E78" s="96">
        <v>43493</v>
      </c>
      <c r="F78" s="95">
        <v>43464</v>
      </c>
      <c r="G78" s="95">
        <v>43470</v>
      </c>
      <c r="H78" s="92">
        <v>2</v>
      </c>
    </row>
    <row r="79" spans="1:8">
      <c r="A79" s="93" t="s">
        <v>1014</v>
      </c>
      <c r="B79" s="94" t="s">
        <v>1015</v>
      </c>
      <c r="C79" s="95" t="s">
        <v>1040</v>
      </c>
      <c r="D79" s="95">
        <v>43434</v>
      </c>
      <c r="E79" s="96">
        <v>43493</v>
      </c>
      <c r="F79" s="95">
        <v>43464</v>
      </c>
      <c r="G79" s="95">
        <v>43470</v>
      </c>
      <c r="H79" s="92">
        <v>2</v>
      </c>
    </row>
    <row r="80" spans="1:8">
      <c r="A80" s="93" t="s">
        <v>1014</v>
      </c>
      <c r="B80" s="94" t="s">
        <v>1015</v>
      </c>
      <c r="C80" s="95" t="s">
        <v>1039</v>
      </c>
      <c r="D80" s="95">
        <v>43434</v>
      </c>
      <c r="E80" s="96">
        <v>43493</v>
      </c>
      <c r="F80" s="95">
        <v>43471</v>
      </c>
      <c r="G80" s="95">
        <v>43477</v>
      </c>
      <c r="H80" s="92">
        <v>2.5</v>
      </c>
    </row>
    <row r="81" spans="1:8">
      <c r="A81" s="93" t="s">
        <v>1014</v>
      </c>
      <c r="B81" s="94" t="s">
        <v>1015</v>
      </c>
      <c r="C81" s="95" t="s">
        <v>1040</v>
      </c>
      <c r="D81" s="95">
        <v>43434</v>
      </c>
      <c r="E81" s="96">
        <v>43493</v>
      </c>
      <c r="F81" s="95">
        <v>43471</v>
      </c>
      <c r="G81" s="95">
        <v>43477</v>
      </c>
      <c r="H81" s="92">
        <v>2.5</v>
      </c>
    </row>
    <row r="82" spans="1:8">
      <c r="A82" s="93" t="s">
        <v>1014</v>
      </c>
      <c r="B82" s="94" t="s">
        <v>1015</v>
      </c>
      <c r="C82" s="95" t="s">
        <v>1039</v>
      </c>
      <c r="D82" s="95">
        <v>43434</v>
      </c>
      <c r="E82" s="96">
        <v>43493</v>
      </c>
      <c r="F82" s="95">
        <v>43478</v>
      </c>
      <c r="G82" s="95">
        <v>43484</v>
      </c>
      <c r="H82" s="92">
        <v>2.5</v>
      </c>
    </row>
    <row r="83" spans="1:8">
      <c r="A83" s="93" t="s">
        <v>1014</v>
      </c>
      <c r="B83" s="94" t="s">
        <v>1015</v>
      </c>
      <c r="C83" s="95" t="s">
        <v>1040</v>
      </c>
      <c r="D83" s="95">
        <v>43434</v>
      </c>
      <c r="E83" s="96">
        <v>43493</v>
      </c>
      <c r="F83" s="95">
        <v>43478</v>
      </c>
      <c r="G83" s="95">
        <v>43484</v>
      </c>
      <c r="H83" s="92">
        <v>2.5</v>
      </c>
    </row>
    <row r="84" spans="1:8">
      <c r="A84" s="93" t="s">
        <v>1014</v>
      </c>
      <c r="B84" s="94" t="s">
        <v>1015</v>
      </c>
      <c r="C84" s="95" t="s">
        <v>1039</v>
      </c>
      <c r="D84" s="95">
        <v>43434</v>
      </c>
      <c r="E84" s="96">
        <v>43493</v>
      </c>
      <c r="F84" s="95">
        <v>43485</v>
      </c>
      <c r="G84" s="95">
        <v>43491</v>
      </c>
      <c r="H84" s="92">
        <v>2.5</v>
      </c>
    </row>
    <row r="85" spans="1:8">
      <c r="A85" s="93" t="s">
        <v>1014</v>
      </c>
      <c r="B85" s="94" t="s">
        <v>1015</v>
      </c>
      <c r="C85" s="95" t="s">
        <v>1040</v>
      </c>
      <c r="D85" s="95">
        <v>43434</v>
      </c>
      <c r="E85" s="96">
        <v>43493</v>
      </c>
      <c r="F85" s="95">
        <v>43485</v>
      </c>
      <c r="G85" s="95">
        <v>43491</v>
      </c>
      <c r="H85" s="92">
        <v>2.5</v>
      </c>
    </row>
    <row r="86" spans="1:8">
      <c r="A86" s="93" t="s">
        <v>1014</v>
      </c>
      <c r="B86" s="94" t="s">
        <v>1015</v>
      </c>
      <c r="C86" s="95" t="s">
        <v>1039</v>
      </c>
      <c r="D86" s="95">
        <v>43434</v>
      </c>
      <c r="E86" s="96">
        <v>43493</v>
      </c>
      <c r="F86" s="95">
        <v>43492</v>
      </c>
      <c r="G86" s="95">
        <v>43498</v>
      </c>
      <c r="H86" s="92">
        <v>0.5</v>
      </c>
    </row>
    <row r="87" spans="1:8">
      <c r="A87" s="93" t="s">
        <v>1014</v>
      </c>
      <c r="B87" s="94" t="s">
        <v>1015</v>
      </c>
      <c r="C87" s="95" t="s">
        <v>1040</v>
      </c>
      <c r="D87" s="95">
        <v>43434</v>
      </c>
      <c r="E87" s="96">
        <v>43493</v>
      </c>
      <c r="F87" s="95">
        <v>43492</v>
      </c>
      <c r="G87" s="95">
        <v>43498</v>
      </c>
      <c r="H87" s="92">
        <v>0.5</v>
      </c>
    </row>
    <row r="88" spans="1:8">
      <c r="A88" s="93" t="s">
        <v>1016</v>
      </c>
      <c r="B88" s="94" t="s">
        <v>1017</v>
      </c>
      <c r="C88" s="95" t="s">
        <v>1039</v>
      </c>
      <c r="D88" s="95">
        <v>43434</v>
      </c>
      <c r="E88" s="96">
        <v>43493</v>
      </c>
      <c r="F88" s="95">
        <v>43429</v>
      </c>
      <c r="G88" s="95">
        <v>43435</v>
      </c>
      <c r="H88" s="92">
        <v>1</v>
      </c>
    </row>
    <row r="89" spans="1:8">
      <c r="A89" s="93" t="s">
        <v>1016</v>
      </c>
      <c r="B89" s="94" t="s">
        <v>1017</v>
      </c>
      <c r="C89" s="95" t="s">
        <v>1039</v>
      </c>
      <c r="D89" s="95">
        <v>43434</v>
      </c>
      <c r="E89" s="96">
        <v>43493</v>
      </c>
      <c r="F89" s="95">
        <v>43436</v>
      </c>
      <c r="G89" s="95">
        <v>43442</v>
      </c>
      <c r="H89" s="92">
        <v>5</v>
      </c>
    </row>
    <row r="90" spans="1:8">
      <c r="A90" s="93" t="s">
        <v>1016</v>
      </c>
      <c r="B90" s="94" t="s">
        <v>1017</v>
      </c>
      <c r="C90" s="95" t="s">
        <v>1039</v>
      </c>
      <c r="D90" s="95">
        <v>43434</v>
      </c>
      <c r="E90" s="96">
        <v>43493</v>
      </c>
      <c r="F90" s="95">
        <v>43443</v>
      </c>
      <c r="G90" s="95">
        <v>43449</v>
      </c>
      <c r="H90" s="92">
        <v>5</v>
      </c>
    </row>
    <row r="91" spans="1:8">
      <c r="A91" s="93" t="s">
        <v>1016</v>
      </c>
      <c r="B91" s="94" t="s">
        <v>1017</v>
      </c>
      <c r="C91" s="95" t="s">
        <v>1039</v>
      </c>
      <c r="D91" s="95">
        <v>43434</v>
      </c>
      <c r="E91" s="96">
        <v>43493</v>
      </c>
      <c r="F91" s="95">
        <v>43450</v>
      </c>
      <c r="G91" s="95">
        <v>43456</v>
      </c>
      <c r="H91" s="92">
        <v>5</v>
      </c>
    </row>
    <row r="92" spans="1:8">
      <c r="A92" s="93" t="s">
        <v>1016</v>
      </c>
      <c r="B92" s="94" t="s">
        <v>1017</v>
      </c>
      <c r="C92" s="95" t="s">
        <v>1039</v>
      </c>
      <c r="D92" s="95">
        <v>43434</v>
      </c>
      <c r="E92" s="96">
        <v>43493</v>
      </c>
      <c r="F92" s="95">
        <v>43457</v>
      </c>
      <c r="G92" s="95">
        <v>43463</v>
      </c>
      <c r="H92" s="92">
        <v>4</v>
      </c>
    </row>
    <row r="93" spans="1:8">
      <c r="A93" s="93" t="s">
        <v>1016</v>
      </c>
      <c r="B93" s="94" t="s">
        <v>1017</v>
      </c>
      <c r="C93" s="95" t="s">
        <v>1039</v>
      </c>
      <c r="D93" s="95">
        <v>43434</v>
      </c>
      <c r="E93" s="96">
        <v>43493</v>
      </c>
      <c r="F93" s="95">
        <v>43464</v>
      </c>
      <c r="G93" s="95">
        <v>43470</v>
      </c>
      <c r="H93" s="92">
        <v>4</v>
      </c>
    </row>
    <row r="94" spans="1:8">
      <c r="A94" s="93" t="s">
        <v>1016</v>
      </c>
      <c r="B94" s="94" t="s">
        <v>1017</v>
      </c>
      <c r="C94" s="95" t="s">
        <v>1039</v>
      </c>
      <c r="D94" s="95">
        <v>43434</v>
      </c>
      <c r="E94" s="96">
        <v>43493</v>
      </c>
      <c r="F94" s="95">
        <v>43471</v>
      </c>
      <c r="G94" s="95">
        <v>43477</v>
      </c>
      <c r="H94" s="92">
        <v>5</v>
      </c>
    </row>
    <row r="95" spans="1:8">
      <c r="A95" s="93" t="s">
        <v>1016</v>
      </c>
      <c r="B95" s="94" t="s">
        <v>1017</v>
      </c>
      <c r="C95" s="95" t="s">
        <v>1039</v>
      </c>
      <c r="D95" s="95">
        <v>43434</v>
      </c>
      <c r="E95" s="96">
        <v>43493</v>
      </c>
      <c r="F95" s="95">
        <v>43478</v>
      </c>
      <c r="G95" s="95">
        <v>43484</v>
      </c>
      <c r="H95" s="92">
        <v>5</v>
      </c>
    </row>
    <row r="96" spans="1:8">
      <c r="A96" s="93" t="s">
        <v>1016</v>
      </c>
      <c r="B96" s="94" t="s">
        <v>1017</v>
      </c>
      <c r="C96" s="95" t="s">
        <v>1039</v>
      </c>
      <c r="D96" s="95">
        <v>43434</v>
      </c>
      <c r="E96" s="96">
        <v>43493</v>
      </c>
      <c r="F96" s="95">
        <v>43485</v>
      </c>
      <c r="G96" s="95">
        <v>43491</v>
      </c>
      <c r="H96" s="92">
        <v>5</v>
      </c>
    </row>
    <row r="97" spans="1:8">
      <c r="A97" s="93" t="s">
        <v>1016</v>
      </c>
      <c r="B97" s="94" t="s">
        <v>1017</v>
      </c>
      <c r="C97" s="95" t="s">
        <v>1039</v>
      </c>
      <c r="D97" s="95">
        <v>43434</v>
      </c>
      <c r="E97" s="96">
        <v>43493</v>
      </c>
      <c r="F97" s="95">
        <v>43492</v>
      </c>
      <c r="G97" s="95">
        <v>43498</v>
      </c>
      <c r="H97" s="92">
        <v>1</v>
      </c>
    </row>
    <row r="98" spans="1:8">
      <c r="A98" s="93" t="s">
        <v>1018</v>
      </c>
      <c r="B98" s="94" t="s">
        <v>1019</v>
      </c>
      <c r="C98" s="95" t="s">
        <v>1040</v>
      </c>
      <c r="D98" s="95">
        <v>43448</v>
      </c>
      <c r="E98" s="96">
        <v>43493</v>
      </c>
      <c r="F98" s="95">
        <v>43443</v>
      </c>
      <c r="G98" s="95">
        <v>43449</v>
      </c>
      <c r="H98" s="92">
        <v>1</v>
      </c>
    </row>
    <row r="99" spans="1:8">
      <c r="A99" s="93" t="s">
        <v>1018</v>
      </c>
      <c r="B99" s="94" t="s">
        <v>1019</v>
      </c>
      <c r="C99" s="95" t="s">
        <v>1040</v>
      </c>
      <c r="D99" s="95">
        <v>43448</v>
      </c>
      <c r="E99" s="96">
        <v>43493</v>
      </c>
      <c r="F99" s="95">
        <v>43450</v>
      </c>
      <c r="G99" s="95">
        <v>43456</v>
      </c>
      <c r="H99" s="92">
        <v>5</v>
      </c>
    </row>
    <row r="100" spans="1:8">
      <c r="A100" s="93" t="s">
        <v>1018</v>
      </c>
      <c r="B100" s="94" t="s">
        <v>1019</v>
      </c>
      <c r="C100" s="95" t="s">
        <v>1040</v>
      </c>
      <c r="D100" s="95">
        <v>43448</v>
      </c>
      <c r="E100" s="96">
        <v>43493</v>
      </c>
      <c r="F100" s="95">
        <v>43457</v>
      </c>
      <c r="G100" s="95">
        <v>43463</v>
      </c>
      <c r="H100" s="92">
        <v>4</v>
      </c>
    </row>
    <row r="101" spans="1:8">
      <c r="A101" s="93" t="s">
        <v>1018</v>
      </c>
      <c r="B101" s="94" t="s">
        <v>1019</v>
      </c>
      <c r="C101" s="95" t="s">
        <v>1040</v>
      </c>
      <c r="D101" s="95">
        <v>43448</v>
      </c>
      <c r="E101" s="96">
        <v>43493</v>
      </c>
      <c r="F101" s="95">
        <v>43464</v>
      </c>
      <c r="G101" s="95">
        <v>43470</v>
      </c>
      <c r="H101" s="92">
        <v>4</v>
      </c>
    </row>
    <row r="102" spans="1:8">
      <c r="A102" s="93" t="s">
        <v>1018</v>
      </c>
      <c r="B102" s="94" t="s">
        <v>1019</v>
      </c>
      <c r="C102" s="95" t="s">
        <v>1040</v>
      </c>
      <c r="D102" s="95">
        <v>43448</v>
      </c>
      <c r="E102" s="96">
        <v>43493</v>
      </c>
      <c r="F102" s="95">
        <v>43471</v>
      </c>
      <c r="G102" s="95">
        <v>43477</v>
      </c>
      <c r="H102" s="92">
        <v>5</v>
      </c>
    </row>
    <row r="103" spans="1:8">
      <c r="A103" s="93" t="s">
        <v>1018</v>
      </c>
      <c r="B103" s="94" t="s">
        <v>1019</v>
      </c>
      <c r="C103" s="95" t="s">
        <v>1040</v>
      </c>
      <c r="D103" s="95">
        <v>43448</v>
      </c>
      <c r="E103" s="96">
        <v>43493</v>
      </c>
      <c r="F103" s="95">
        <v>43478</v>
      </c>
      <c r="G103" s="95">
        <v>43484</v>
      </c>
      <c r="H103" s="92">
        <v>5</v>
      </c>
    </row>
    <row r="104" spans="1:8">
      <c r="A104" s="93" t="s">
        <v>1018</v>
      </c>
      <c r="B104" s="94" t="s">
        <v>1019</v>
      </c>
      <c r="C104" s="95" t="s">
        <v>1040</v>
      </c>
      <c r="D104" s="95">
        <v>43448</v>
      </c>
      <c r="E104" s="96">
        <v>43493</v>
      </c>
      <c r="F104" s="95">
        <v>43485</v>
      </c>
      <c r="G104" s="95">
        <v>43491</v>
      </c>
      <c r="H104" s="92">
        <v>5</v>
      </c>
    </row>
    <row r="105" spans="1:8">
      <c r="A105" s="93" t="s">
        <v>1018</v>
      </c>
      <c r="B105" s="94" t="s">
        <v>1019</v>
      </c>
      <c r="C105" s="95" t="s">
        <v>1040</v>
      </c>
      <c r="D105" s="95">
        <v>43448</v>
      </c>
      <c r="E105" s="96">
        <v>43493</v>
      </c>
      <c r="F105" s="95">
        <v>43492</v>
      </c>
      <c r="G105" s="95">
        <v>43498</v>
      </c>
      <c r="H105" s="92">
        <v>1</v>
      </c>
    </row>
    <row r="106" spans="1:8">
      <c r="A106" s="93" t="s">
        <v>1020</v>
      </c>
      <c r="B106" s="94" t="s">
        <v>1021</v>
      </c>
      <c r="C106" s="95" t="s">
        <v>1038</v>
      </c>
      <c r="D106" s="95">
        <v>43476</v>
      </c>
      <c r="E106" s="96">
        <v>43494</v>
      </c>
      <c r="F106" s="95">
        <v>43471</v>
      </c>
      <c r="G106" s="95">
        <v>43477</v>
      </c>
      <c r="H106" s="92">
        <v>1</v>
      </c>
    </row>
    <row r="107" spans="1:8">
      <c r="A107" s="93" t="s">
        <v>1020</v>
      </c>
      <c r="B107" s="94" t="s">
        <v>1021</v>
      </c>
      <c r="C107" s="95" t="s">
        <v>1038</v>
      </c>
      <c r="D107" s="95">
        <v>43476</v>
      </c>
      <c r="E107" s="96">
        <v>43494</v>
      </c>
      <c r="F107" s="95">
        <v>43478</v>
      </c>
      <c r="G107" s="95">
        <v>43484</v>
      </c>
      <c r="H107" s="92">
        <v>5</v>
      </c>
    </row>
    <row r="108" spans="1:8">
      <c r="A108" s="93" t="s">
        <v>1020</v>
      </c>
      <c r="B108" s="94" t="s">
        <v>1021</v>
      </c>
      <c r="C108" s="95" t="s">
        <v>1038</v>
      </c>
      <c r="D108" s="95">
        <v>43476</v>
      </c>
      <c r="E108" s="96">
        <v>43494</v>
      </c>
      <c r="F108" s="95">
        <v>43485</v>
      </c>
      <c r="G108" s="95">
        <v>43491</v>
      </c>
      <c r="H108" s="92">
        <v>5</v>
      </c>
    </row>
    <row r="109" spans="1:8">
      <c r="A109" s="93" t="s">
        <v>1020</v>
      </c>
      <c r="B109" s="94" t="s">
        <v>1021</v>
      </c>
      <c r="C109" s="95" t="s">
        <v>1038</v>
      </c>
      <c r="D109" s="95">
        <v>43476</v>
      </c>
      <c r="E109" s="96">
        <v>43494</v>
      </c>
      <c r="F109" s="95">
        <v>43492</v>
      </c>
      <c r="G109" s="95">
        <v>43498</v>
      </c>
      <c r="H109" s="92">
        <v>2</v>
      </c>
    </row>
    <row r="110" spans="1:8">
      <c r="A110" s="93" t="s">
        <v>1022</v>
      </c>
      <c r="B110" s="94" t="s">
        <v>1023</v>
      </c>
      <c r="C110" s="95" t="s">
        <v>1038</v>
      </c>
      <c r="D110" s="95">
        <v>43497</v>
      </c>
      <c r="E110" s="96">
        <v>43501</v>
      </c>
      <c r="F110" s="95">
        <v>43492</v>
      </c>
      <c r="G110" s="95">
        <v>43498</v>
      </c>
      <c r="H110" s="92">
        <v>1</v>
      </c>
    </row>
    <row r="111" spans="1:8">
      <c r="A111" s="93" t="s">
        <v>1022</v>
      </c>
      <c r="B111" s="94" t="s">
        <v>1023</v>
      </c>
      <c r="C111" s="95" t="s">
        <v>1038</v>
      </c>
      <c r="D111" s="95">
        <v>43497</v>
      </c>
      <c r="E111" s="96">
        <v>43501</v>
      </c>
      <c r="F111" s="95">
        <v>43499</v>
      </c>
      <c r="G111" s="95">
        <v>43505</v>
      </c>
      <c r="H111" s="92">
        <v>0</v>
      </c>
    </row>
    <row r="112" spans="1:8">
      <c r="A112" s="93" t="s">
        <v>1024</v>
      </c>
      <c r="B112" s="94" t="s">
        <v>1025</v>
      </c>
      <c r="C112" s="95" t="s">
        <v>1038</v>
      </c>
      <c r="D112" s="95">
        <v>43497</v>
      </c>
      <c r="E112" s="96">
        <v>43499</v>
      </c>
      <c r="F112" s="95">
        <v>43492</v>
      </c>
      <c r="G112" s="95">
        <v>43498</v>
      </c>
      <c r="H112" s="92">
        <v>1</v>
      </c>
    </row>
    <row r="113" spans="1:8">
      <c r="A113" s="93" t="s">
        <v>1024</v>
      </c>
      <c r="B113" s="94" t="s">
        <v>1025</v>
      </c>
      <c r="C113" s="95" t="s">
        <v>1038</v>
      </c>
      <c r="D113" s="95">
        <v>43497</v>
      </c>
      <c r="E113" s="96">
        <v>43499</v>
      </c>
      <c r="F113" s="95">
        <v>43499</v>
      </c>
      <c r="G113" s="95">
        <v>43505</v>
      </c>
      <c r="H113" s="92">
        <v>0</v>
      </c>
    </row>
    <row r="114" spans="1:8">
      <c r="A114" s="93" t="s">
        <v>1026</v>
      </c>
      <c r="B114" s="94" t="s">
        <v>1027</v>
      </c>
      <c r="C114" s="95" t="s">
        <v>1038</v>
      </c>
      <c r="D114" s="95">
        <v>43501</v>
      </c>
      <c r="E114" s="96">
        <v>43503</v>
      </c>
      <c r="F114" s="95">
        <v>43499</v>
      </c>
      <c r="G114" s="95">
        <v>43505</v>
      </c>
      <c r="H114" s="92">
        <v>0.5</v>
      </c>
    </row>
    <row r="115" spans="1:8">
      <c r="A115" s="93" t="s">
        <v>1026</v>
      </c>
      <c r="B115" s="94" t="s">
        <v>1027</v>
      </c>
      <c r="C115" s="95" t="s">
        <v>1037</v>
      </c>
      <c r="D115" s="95">
        <v>43501</v>
      </c>
      <c r="E115" s="96">
        <v>43503</v>
      </c>
      <c r="F115" s="95">
        <v>43499</v>
      </c>
      <c r="G115" s="95">
        <v>43505</v>
      </c>
      <c r="H115" s="92">
        <v>0.5</v>
      </c>
    </row>
    <row r="116" spans="1:8">
      <c r="A116" s="93" t="s">
        <v>1028</v>
      </c>
      <c r="B116" s="94" t="s">
        <v>1029</v>
      </c>
      <c r="C116" s="95" t="s">
        <v>1038</v>
      </c>
      <c r="D116" s="95">
        <v>43501</v>
      </c>
      <c r="E116" s="96">
        <v>43503</v>
      </c>
      <c r="F116" s="95">
        <v>43499</v>
      </c>
      <c r="G116" s="95">
        <v>43505</v>
      </c>
      <c r="H116" s="92">
        <v>0.5</v>
      </c>
    </row>
    <row r="117" spans="1:8">
      <c r="A117" s="93" t="s">
        <v>1028</v>
      </c>
      <c r="B117" s="94" t="s">
        <v>1029</v>
      </c>
      <c r="C117" s="95" t="s">
        <v>1039</v>
      </c>
      <c r="D117" s="95">
        <v>43501</v>
      </c>
      <c r="E117" s="96">
        <v>43503</v>
      </c>
      <c r="F117" s="95">
        <v>43499</v>
      </c>
      <c r="G117" s="95">
        <v>43505</v>
      </c>
      <c r="H117" s="92">
        <v>0.5</v>
      </c>
    </row>
    <row r="118" spans="1:8">
      <c r="A118" s="93" t="s">
        <v>1030</v>
      </c>
      <c r="B118" s="94" t="s">
        <v>1031</v>
      </c>
      <c r="C118" s="95" t="s">
        <v>1038</v>
      </c>
      <c r="D118" s="95">
        <v>43501</v>
      </c>
      <c r="E118" s="96">
        <v>43503</v>
      </c>
      <c r="F118" s="95">
        <v>43499</v>
      </c>
      <c r="G118" s="95">
        <v>43505</v>
      </c>
      <c r="H118" s="92">
        <v>0.5</v>
      </c>
    </row>
    <row r="119" spans="1:8">
      <c r="A119" s="93" t="s">
        <v>1030</v>
      </c>
      <c r="B119" s="94" t="s">
        <v>1031</v>
      </c>
      <c r="C119" s="95" t="s">
        <v>1039</v>
      </c>
      <c r="D119" s="95">
        <v>43501</v>
      </c>
      <c r="E119" s="96">
        <v>43503</v>
      </c>
      <c r="F119" s="95">
        <v>43499</v>
      </c>
      <c r="G119" s="95">
        <v>43505</v>
      </c>
      <c r="H119" s="92">
        <v>0.5</v>
      </c>
    </row>
    <row r="120" spans="1:8">
      <c r="A120" s="93" t="s">
        <v>1032</v>
      </c>
      <c r="B120" s="94" t="s">
        <v>1033</v>
      </c>
      <c r="C120" s="95" t="s">
        <v>1038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FE401"/>
  <sheetViews>
    <sheetView tabSelected="1" zoomScale="130" zoomScaleNormal="130" zoomScalePageLayoutView="55" workbookViewId="0">
      <pane ySplit="4" topLeftCell="A17" activePane="bottomLeft" state="frozen"/>
      <selection activeCell="E5" sqref="E5"/>
      <selection pane="bottomLeft" activeCell="K26" sqref="K26"/>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61" width="1.8984375" style="114" customWidth="1"/>
    <col min="162" max="16384" width="10" style="114"/>
  </cols>
  <sheetData>
    <row r="1" spans="1:161"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2019-09-01~2019-12-31 [계획:17.99% 실적:5.49%]</v>
      </c>
      <c r="AC1" s="230" t="s">
        <v>1156</v>
      </c>
      <c r="AD1" s="230"/>
      <c r="AE1" s="230"/>
      <c r="AF1" s="230"/>
      <c r="AG1" s="230"/>
      <c r="AH1" s="230"/>
      <c r="AI1" s="230"/>
      <c r="AJ1" s="230"/>
      <c r="AK1" s="230"/>
      <c r="AL1" s="230"/>
      <c r="AM1" s="230"/>
      <c r="AN1" s="230"/>
      <c r="AO1" s="230"/>
      <c r="AP1" s="230"/>
      <c r="AQ1" s="230"/>
      <c r="AR1" s="230"/>
      <c r="AS1" s="230"/>
      <c r="AT1" s="230"/>
      <c r="AU1" s="230"/>
      <c r="AV1" s="230"/>
      <c r="AW1" s="230"/>
      <c r="AX1" s="230"/>
      <c r="AY1" s="230"/>
      <c r="AZ1" s="230"/>
      <c r="BA1" s="230"/>
      <c r="BB1" s="230"/>
      <c r="BC1" s="230"/>
      <c r="BD1" s="230"/>
      <c r="BE1" s="230"/>
      <c r="BF1" s="230"/>
      <c r="BG1" s="230"/>
      <c r="BH1" s="230"/>
      <c r="BI1" s="230"/>
      <c r="BJ1" s="230"/>
      <c r="BK1" s="230"/>
      <c r="BL1" s="230"/>
      <c r="BM1" s="230"/>
      <c r="BN1" s="230"/>
      <c r="BO1" s="230"/>
      <c r="BP1" s="230"/>
      <c r="BQ1" s="230"/>
      <c r="BR1" s="230"/>
      <c r="BS1" s="230"/>
      <c r="BT1" s="230"/>
      <c r="BU1" s="230"/>
      <c r="BV1" s="230"/>
      <c r="BW1" s="230"/>
      <c r="BX1" s="230"/>
      <c r="BY1" s="230"/>
      <c r="BZ1" s="230"/>
      <c r="CA1" s="230"/>
    </row>
    <row r="2" spans="1:161" s="158" customFormat="1" ht="15" customHeight="1">
      <c r="A2" s="159"/>
      <c r="B2" s="159"/>
      <c r="C2" s="160"/>
      <c r="D2" s="240"/>
      <c r="E2" s="240"/>
      <c r="F2" s="240"/>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1157</v>
      </c>
    </row>
    <row r="3" spans="1:161" s="1" customFormat="1" ht="19.95" customHeight="1">
      <c r="A3" s="231" t="s">
        <v>1146</v>
      </c>
      <c r="B3" s="233" t="s">
        <v>1147</v>
      </c>
      <c r="C3" s="235" t="s">
        <v>1127</v>
      </c>
      <c r="D3" s="236" t="s">
        <v>1107</v>
      </c>
      <c r="E3" s="237" t="s">
        <v>1108</v>
      </c>
      <c r="F3" s="238"/>
      <c r="G3" s="238"/>
      <c r="H3" s="238"/>
      <c r="I3" s="238"/>
      <c r="J3" s="238"/>
      <c r="K3" s="239"/>
      <c r="L3" s="222" t="s">
        <v>1105</v>
      </c>
      <c r="M3" s="222" t="s">
        <v>1121</v>
      </c>
      <c r="N3" s="222" t="s">
        <v>1109</v>
      </c>
      <c r="O3" s="241" t="s">
        <v>1148</v>
      </c>
      <c r="P3" s="221" t="s">
        <v>1149</v>
      </c>
      <c r="Q3" s="221" t="s">
        <v>1150</v>
      </c>
      <c r="R3" s="221" t="s">
        <v>1122</v>
      </c>
      <c r="S3" s="221" t="s">
        <v>1151</v>
      </c>
      <c r="T3" s="224" t="s">
        <v>1152</v>
      </c>
      <c r="U3" s="224" t="s">
        <v>1106</v>
      </c>
      <c r="V3" s="225" t="s">
        <v>1153</v>
      </c>
      <c r="W3" s="226" t="s">
        <v>1110</v>
      </c>
      <c r="X3" s="227" t="s">
        <v>1098</v>
      </c>
      <c r="Y3" s="222" t="s">
        <v>1126</v>
      </c>
      <c r="Z3" s="233" t="s">
        <v>1119</v>
      </c>
      <c r="AA3" s="228" t="s">
        <v>1123</v>
      </c>
      <c r="AB3" s="223" t="s">
        <v>1102</v>
      </c>
      <c r="AC3" s="220">
        <v>43703</v>
      </c>
      <c r="AD3" s="219"/>
      <c r="AE3" s="219"/>
      <c r="AF3" s="219"/>
      <c r="AG3" s="219">
        <v>43731</v>
      </c>
      <c r="AH3" s="219"/>
      <c r="AI3" s="219"/>
      <c r="AJ3" s="219"/>
      <c r="AK3" s="219">
        <v>43759</v>
      </c>
      <c r="AL3" s="219"/>
      <c r="AM3" s="219"/>
      <c r="AN3" s="219"/>
      <c r="AO3" s="219">
        <v>43787</v>
      </c>
      <c r="AP3" s="219"/>
      <c r="AQ3" s="219"/>
      <c r="AR3" s="219"/>
      <c r="AS3" s="219">
        <v>43815</v>
      </c>
      <c r="AT3" s="219"/>
      <c r="AU3" s="219"/>
      <c r="AV3" s="229"/>
    </row>
    <row r="4" spans="1:161" s="2" customFormat="1" ht="4.95" customHeight="1">
      <c r="A4" s="232"/>
      <c r="B4" s="234"/>
      <c r="C4" s="231"/>
      <c r="D4" s="236"/>
      <c r="E4" s="237"/>
      <c r="F4" s="238"/>
      <c r="G4" s="238"/>
      <c r="H4" s="238"/>
      <c r="I4" s="238"/>
      <c r="J4" s="238"/>
      <c r="K4" s="239"/>
      <c r="L4" s="222"/>
      <c r="M4" s="222"/>
      <c r="N4" s="222"/>
      <c r="O4" s="241"/>
      <c r="P4" s="221"/>
      <c r="Q4" s="221"/>
      <c r="R4" s="221"/>
      <c r="S4" s="221"/>
      <c r="T4" s="222"/>
      <c r="U4" s="222"/>
      <c r="V4" s="225"/>
      <c r="W4" s="226"/>
      <c r="X4" s="227"/>
      <c r="Y4" s="222"/>
      <c r="Z4" s="233"/>
      <c r="AA4" s="228"/>
      <c r="AB4" s="223"/>
      <c r="AC4" s="112">
        <v>43703</v>
      </c>
      <c r="AD4" s="113">
        <v>43710</v>
      </c>
      <c r="AE4" s="113">
        <v>43717</v>
      </c>
      <c r="AF4" s="113">
        <v>43724</v>
      </c>
      <c r="AG4" s="113">
        <v>43731</v>
      </c>
      <c r="AH4" s="113">
        <v>43738</v>
      </c>
      <c r="AI4" s="113">
        <v>43745</v>
      </c>
      <c r="AJ4" s="113">
        <v>43752</v>
      </c>
      <c r="AK4" s="113">
        <v>43759</v>
      </c>
      <c r="AL4" s="113">
        <v>43766</v>
      </c>
      <c r="AM4" s="113">
        <v>43773</v>
      </c>
      <c r="AN4" s="113">
        <v>43780</v>
      </c>
      <c r="AO4" s="113">
        <v>43787</v>
      </c>
      <c r="AP4" s="113">
        <v>43794</v>
      </c>
      <c r="AQ4" s="113">
        <v>43801</v>
      </c>
      <c r="AR4" s="113">
        <v>43808</v>
      </c>
      <c r="AS4" s="113">
        <v>43815</v>
      </c>
      <c r="AT4" s="113">
        <v>43822</v>
      </c>
      <c r="AU4" s="113">
        <v>43829</v>
      </c>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row>
    <row r="5" spans="1:161">
      <c r="A5" s="116"/>
      <c r="B5" s="116" t="s">
        <v>1061</v>
      </c>
      <c r="C5" s="116">
        <v>1</v>
      </c>
      <c r="D5" s="3" t="s">
        <v>1062</v>
      </c>
      <c r="E5" s="217" t="s">
        <v>1242</v>
      </c>
      <c r="F5" s="183"/>
      <c r="G5" s="183"/>
      <c r="H5" s="183"/>
      <c r="I5" s="183"/>
      <c r="J5" s="183"/>
      <c r="K5" s="183"/>
      <c r="L5" s="183"/>
      <c r="M5" s="184">
        <v>43745</v>
      </c>
      <c r="N5" s="184">
        <v>43761</v>
      </c>
      <c r="O5" s="185"/>
      <c r="P5" s="186">
        <v>18</v>
      </c>
      <c r="Q5" s="186">
        <v>18</v>
      </c>
      <c r="R5" s="187">
        <v>12</v>
      </c>
      <c r="S5" s="187">
        <v>12</v>
      </c>
      <c r="T5" s="184"/>
      <c r="U5" s="184"/>
      <c r="V5" s="188">
        <v>0</v>
      </c>
      <c r="W5" s="189">
        <v>0</v>
      </c>
      <c r="X5" s="190"/>
      <c r="Y5" s="185"/>
      <c r="Z5" s="191"/>
      <c r="AA5" s="97">
        <v>1</v>
      </c>
      <c r="AB5" s="192">
        <v>1</v>
      </c>
      <c r="AC5" s="123"/>
      <c r="AD5" s="4"/>
      <c r="AE5" s="4"/>
      <c r="AF5" s="4"/>
      <c r="AG5" s="4"/>
      <c r="AH5" s="4"/>
      <c r="AI5" s="4"/>
      <c r="AJ5" s="4"/>
      <c r="AK5" s="4" t="str">
        <f>"   " &amp; TEXT(AB5,"#0.00%") &amp; " " &amp; "Open-banking using KFTC" &amp; " " &amp; IF(M5="","",TEXT(M5,"M/D-")) &amp; IF(N5="","",TEXT(N5,"M/D")) &amp; " "</f>
        <v xml:space="preserve">   100.00% Open-banking using KFTC 10/7-10/23 </v>
      </c>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row>
    <row r="6" spans="1:161" outlineLevel="1">
      <c r="A6" s="116"/>
      <c r="B6" s="116"/>
      <c r="C6" s="116">
        <v>2</v>
      </c>
      <c r="D6" s="3" t="s">
        <v>1184</v>
      </c>
      <c r="E6" s="183"/>
      <c r="F6" s="183" t="s">
        <v>1178</v>
      </c>
      <c r="G6" s="183"/>
      <c r="H6" s="183"/>
      <c r="I6" s="183"/>
      <c r="J6" s="183"/>
      <c r="K6" s="183"/>
      <c r="L6" s="183"/>
      <c r="M6" s="184"/>
      <c r="N6" s="184"/>
      <c r="O6" s="185"/>
      <c r="P6" s="186">
        <v>0</v>
      </c>
      <c r="Q6" s="186">
        <v>0</v>
      </c>
      <c r="R6" s="187">
        <v>0</v>
      </c>
      <c r="S6" s="187">
        <v>0</v>
      </c>
      <c r="T6" s="184"/>
      <c r="U6" s="184"/>
      <c r="V6" s="188">
        <v>0</v>
      </c>
      <c r="W6" s="189">
        <v>0</v>
      </c>
      <c r="X6" s="190">
        <v>1</v>
      </c>
      <c r="Y6" s="185"/>
      <c r="Z6" s="191"/>
      <c r="AA6" s="97">
        <v>0</v>
      </c>
      <c r="AB6" s="192">
        <v>0</v>
      </c>
      <c r="AC6" s="123"/>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row>
    <row r="7" spans="1:161" outlineLevel="1">
      <c r="A7" s="116"/>
      <c r="B7" s="116"/>
      <c r="C7" s="116">
        <v>2</v>
      </c>
      <c r="D7" s="3" t="s">
        <v>1185</v>
      </c>
      <c r="E7" s="183"/>
      <c r="F7" s="183" t="s">
        <v>1179</v>
      </c>
      <c r="G7" s="183"/>
      <c r="H7" s="183"/>
      <c r="I7" s="183"/>
      <c r="J7" s="183"/>
      <c r="K7" s="183"/>
      <c r="L7" s="183"/>
      <c r="M7" s="184">
        <v>43745</v>
      </c>
      <c r="N7" s="184">
        <v>43749</v>
      </c>
      <c r="O7" s="185"/>
      <c r="P7" s="186">
        <v>4</v>
      </c>
      <c r="Q7" s="186">
        <v>4</v>
      </c>
      <c r="R7" s="187">
        <v>4</v>
      </c>
      <c r="S7" s="187">
        <v>4</v>
      </c>
      <c r="T7" s="184"/>
      <c r="U7" s="184"/>
      <c r="V7" s="188"/>
      <c r="W7" s="189">
        <v>0</v>
      </c>
      <c r="X7" s="190">
        <v>1</v>
      </c>
      <c r="Y7" s="185" t="s">
        <v>1243</v>
      </c>
      <c r="Z7" s="191"/>
      <c r="AA7" s="97">
        <v>1</v>
      </c>
      <c r="AB7" s="192">
        <v>1</v>
      </c>
      <c r="AC7" s="123"/>
      <c r="AD7" s="4"/>
      <c r="AE7" s="4"/>
      <c r="AF7" s="4"/>
      <c r="AG7" s="4"/>
      <c r="AH7" s="4"/>
      <c r="AI7" s="4" t="str">
        <f>"     " &amp; TEXT(AB7,"#0.00%") &amp; " " &amp; "Online" &amp; "(Max,Dana)" &amp; " " &amp; IF(M7="","",TEXT(M7,"M/D-")) &amp; IF(N7="","",TEXT(N7,"M/D")) &amp; " "</f>
        <v xml:space="preserve">     100.00% Online(Max,Dana) 10/7-10/11 </v>
      </c>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row>
    <row r="8" spans="1:161" outlineLevel="1">
      <c r="A8" s="116"/>
      <c r="B8" s="116"/>
      <c r="C8" s="116">
        <v>2</v>
      </c>
      <c r="D8" s="3" t="s">
        <v>1186</v>
      </c>
      <c r="E8" s="183"/>
      <c r="F8" s="183" t="s">
        <v>1180</v>
      </c>
      <c r="G8" s="183"/>
      <c r="H8" s="183"/>
      <c r="I8" s="183"/>
      <c r="J8" s="183"/>
      <c r="K8" s="183"/>
      <c r="L8" s="183"/>
      <c r="M8" s="184">
        <v>43745</v>
      </c>
      <c r="N8" s="184">
        <v>43749</v>
      </c>
      <c r="O8" s="185"/>
      <c r="P8" s="186">
        <v>4</v>
      </c>
      <c r="Q8" s="186">
        <v>4</v>
      </c>
      <c r="R8" s="187">
        <v>4</v>
      </c>
      <c r="S8" s="187">
        <v>4</v>
      </c>
      <c r="T8" s="184"/>
      <c r="U8" s="184"/>
      <c r="V8" s="188"/>
      <c r="W8" s="189">
        <v>0</v>
      </c>
      <c r="X8" s="190">
        <v>1</v>
      </c>
      <c r="Y8" s="185" t="s">
        <v>1243</v>
      </c>
      <c r="Z8" s="191"/>
      <c r="AA8" s="97">
        <v>1</v>
      </c>
      <c r="AB8" s="192">
        <v>1</v>
      </c>
      <c r="AC8" s="123"/>
      <c r="AD8" s="4"/>
      <c r="AE8" s="4"/>
      <c r="AF8" s="4"/>
      <c r="AG8" s="4"/>
      <c r="AH8" s="4"/>
      <c r="AI8" s="4" t="str">
        <f>"     " &amp; TEXT(AB8,"#0.00%") &amp; " " &amp; "API" &amp; "(Max,Dana)" &amp; " " &amp; IF(M8="","",TEXT(M8,"M/D-")) &amp; IF(N8="","",TEXT(N8,"M/D")) &amp; " "</f>
        <v xml:space="preserve">     100.00% API(Max,Dana) 10/7-10/11 </v>
      </c>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row>
    <row r="9" spans="1:161" outlineLevel="1">
      <c r="A9" s="116"/>
      <c r="B9" s="116"/>
      <c r="C9" s="116">
        <v>2</v>
      </c>
      <c r="D9" s="3" t="s">
        <v>1187</v>
      </c>
      <c r="E9" s="183"/>
      <c r="F9" s="183" t="s">
        <v>1199</v>
      </c>
      <c r="G9" s="183"/>
      <c r="H9" s="183"/>
      <c r="I9" s="183"/>
      <c r="J9" s="183"/>
      <c r="K9" s="183"/>
      <c r="L9" s="183"/>
      <c r="M9" s="184">
        <v>43752</v>
      </c>
      <c r="N9" s="184">
        <v>43753</v>
      </c>
      <c r="O9" s="185"/>
      <c r="P9" s="186">
        <v>2</v>
      </c>
      <c r="Q9" s="186">
        <v>2</v>
      </c>
      <c r="R9" s="187">
        <v>2</v>
      </c>
      <c r="S9" s="187">
        <v>2</v>
      </c>
      <c r="T9" s="184"/>
      <c r="U9" s="184"/>
      <c r="V9" s="188"/>
      <c r="W9" s="189">
        <v>0</v>
      </c>
      <c r="X9" s="190">
        <v>1</v>
      </c>
      <c r="Y9" s="185" t="s">
        <v>1181</v>
      </c>
      <c r="Z9" s="191"/>
      <c r="AA9" s="97">
        <v>1</v>
      </c>
      <c r="AB9" s="192">
        <v>1</v>
      </c>
      <c r="AC9" s="123"/>
      <c r="AD9" s="4"/>
      <c r="AE9" s="4"/>
      <c r="AF9" s="4"/>
      <c r="AG9" s="4"/>
      <c r="AH9" s="4"/>
      <c r="AI9" s="4"/>
      <c r="AJ9" s="4" t="str">
        <f>"  " &amp; TEXT(AB9,"#0.00%") &amp; " " &amp; "iOS/Android" &amp; "(James,Preyea)" &amp; " " &amp; IF(M9="","",TEXT(M9,"M/D-")) &amp; IF(N9="","",TEXT(N9,"M/D")) &amp; " "</f>
        <v xml:space="preserve">  100.00% iOS/Android(James,Preyea) 10/14-10/15 </v>
      </c>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row>
    <row r="10" spans="1:161" outlineLevel="1">
      <c r="A10" s="116"/>
      <c r="B10" s="116"/>
      <c r="C10" s="116">
        <v>2</v>
      </c>
      <c r="D10" s="3" t="s">
        <v>1188</v>
      </c>
      <c r="E10" s="183"/>
      <c r="F10" s="183" t="s">
        <v>1182</v>
      </c>
      <c r="G10" s="183"/>
      <c r="H10" s="183"/>
      <c r="I10" s="183"/>
      <c r="J10" s="183"/>
      <c r="K10" s="183"/>
      <c r="L10" s="183"/>
      <c r="M10" s="184">
        <v>43752</v>
      </c>
      <c r="N10" s="184">
        <v>43756</v>
      </c>
      <c r="O10" s="185"/>
      <c r="P10" s="186">
        <v>5</v>
      </c>
      <c r="Q10" s="186">
        <v>5</v>
      </c>
      <c r="R10" s="187">
        <v>5</v>
      </c>
      <c r="S10" s="187">
        <v>5</v>
      </c>
      <c r="T10" s="184"/>
      <c r="U10" s="184"/>
      <c r="V10" s="188"/>
      <c r="W10" s="189">
        <v>0</v>
      </c>
      <c r="X10" s="190">
        <v>1</v>
      </c>
      <c r="Y10" s="185" t="s">
        <v>1243</v>
      </c>
      <c r="Z10" s="191"/>
      <c r="AA10" s="97">
        <v>1</v>
      </c>
      <c r="AB10" s="192">
        <v>1</v>
      </c>
      <c r="AC10" s="123"/>
      <c r="AD10" s="4"/>
      <c r="AE10" s="4"/>
      <c r="AF10" s="4"/>
      <c r="AG10" s="4"/>
      <c r="AH10" s="4"/>
      <c r="AI10" s="4"/>
      <c r="AJ10" s="4" t="str">
        <f>"     " &amp; TEXT(AB10,"#0.00%") &amp; " " &amp; "Test" &amp; "(Max,Dana)" &amp; " " &amp; IF(M10="","",TEXT(M10,"M/D-")) &amp; IF(N10="","",TEXT(N10,"M/D")) &amp; " "</f>
        <v xml:space="preserve">     100.00% Test(Max,Dana) 10/14-10/18 </v>
      </c>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row>
    <row r="11" spans="1:161" outlineLevel="1">
      <c r="A11" s="116"/>
      <c r="B11" s="116"/>
      <c r="C11" s="116">
        <v>2</v>
      </c>
      <c r="D11" s="3" t="s">
        <v>1189</v>
      </c>
      <c r="E11" s="183"/>
      <c r="F11" s="183" t="s">
        <v>1183</v>
      </c>
      <c r="G11" s="183"/>
      <c r="H11" s="183"/>
      <c r="I11" s="183"/>
      <c r="J11" s="183"/>
      <c r="K11" s="183"/>
      <c r="L11" s="183"/>
      <c r="M11" s="184">
        <v>43759</v>
      </c>
      <c r="N11" s="184">
        <v>43761</v>
      </c>
      <c r="O11" s="185"/>
      <c r="P11" s="186">
        <v>3</v>
      </c>
      <c r="Q11" s="186">
        <v>3</v>
      </c>
      <c r="R11" s="187">
        <v>3</v>
      </c>
      <c r="S11" s="187">
        <v>3</v>
      </c>
      <c r="T11" s="184"/>
      <c r="U11" s="184"/>
      <c r="V11" s="188"/>
      <c r="W11" s="189">
        <v>0</v>
      </c>
      <c r="X11" s="190">
        <v>1</v>
      </c>
      <c r="Y11" s="185" t="s">
        <v>1244</v>
      </c>
      <c r="Z11" s="191"/>
      <c r="AA11" s="97">
        <v>1</v>
      </c>
      <c r="AB11" s="192">
        <v>1</v>
      </c>
      <c r="AC11" s="123"/>
      <c r="AD11" s="4"/>
      <c r="AE11" s="4"/>
      <c r="AF11" s="4"/>
      <c r="AG11" s="4"/>
      <c r="AH11" s="4"/>
      <c r="AI11" s="4"/>
      <c r="AJ11" s="4"/>
      <c r="AK11" s="4" t="str">
        <f>"   " &amp; TEXT(AB11,"#0.00%") &amp; " " &amp; "Publish" &amp; "(Max)" &amp; " " &amp; IF(M11="","",TEXT(M11,"M/D-")) &amp; IF(N11="","",TEXT(N11,"M/D")) &amp; " "</f>
        <v xml:space="preserve">   100.00% Publish(Max) 10/21-10/23 </v>
      </c>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row>
    <row r="12" spans="1:161" outlineLevel="1">
      <c r="A12" s="116"/>
      <c r="B12" s="116"/>
      <c r="C12" s="116">
        <v>0</v>
      </c>
      <c r="D12" s="3"/>
      <c r="E12" s="183"/>
      <c r="F12" s="183"/>
      <c r="G12" s="183"/>
      <c r="H12" s="183"/>
      <c r="I12" s="183"/>
      <c r="J12" s="183"/>
      <c r="K12" s="183"/>
      <c r="L12" s="183"/>
      <c r="M12" s="184"/>
      <c r="N12" s="184"/>
      <c r="O12" s="185"/>
      <c r="P12" s="186"/>
      <c r="Q12" s="186"/>
      <c r="R12" s="187">
        <v>0</v>
      </c>
      <c r="S12" s="187">
        <v>0</v>
      </c>
      <c r="T12" s="184"/>
      <c r="U12" s="184"/>
      <c r="V12" s="188"/>
      <c r="W12" s="189">
        <v>0</v>
      </c>
      <c r="X12" s="190"/>
      <c r="Y12" s="185"/>
      <c r="Z12" s="191"/>
      <c r="AA12" s="97"/>
      <c r="AB12" s="192"/>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row>
    <row r="13" spans="1:161">
      <c r="A13" s="116"/>
      <c r="B13" s="116" t="s">
        <v>1061</v>
      </c>
      <c r="C13" s="116">
        <v>1</v>
      </c>
      <c r="D13" s="3" t="s">
        <v>1063</v>
      </c>
      <c r="E13" s="217" t="s">
        <v>1309</v>
      </c>
      <c r="F13" s="183"/>
      <c r="G13" s="183"/>
      <c r="H13" s="183"/>
      <c r="I13" s="183"/>
      <c r="J13" s="183"/>
      <c r="K13" s="183"/>
      <c r="L13" s="183"/>
      <c r="M13" s="184">
        <v>43766</v>
      </c>
      <c r="N13" s="184">
        <v>43770</v>
      </c>
      <c r="O13" s="185"/>
      <c r="P13" s="186">
        <v>13</v>
      </c>
      <c r="Q13" s="186">
        <v>5</v>
      </c>
      <c r="R13" s="187">
        <v>5</v>
      </c>
      <c r="S13" s="187">
        <v>2</v>
      </c>
      <c r="T13" s="184"/>
      <c r="U13" s="184"/>
      <c r="V13" s="188">
        <v>0</v>
      </c>
      <c r="W13" s="189">
        <v>0</v>
      </c>
      <c r="X13" s="190"/>
      <c r="Y13" s="185"/>
      <c r="Z13" s="191"/>
      <c r="AA13" s="97">
        <v>0.38461538461538464</v>
      </c>
      <c r="AB13" s="192">
        <v>0</v>
      </c>
      <c r="AC13" s="123"/>
      <c r="AD13" s="4"/>
      <c r="AE13" s="4"/>
      <c r="AF13" s="4"/>
      <c r="AG13" s="4"/>
      <c r="AH13" s="4"/>
      <c r="AI13" s="4"/>
      <c r="AJ13" s="4"/>
      <c r="AK13" s="4"/>
      <c r="AL13" s="4" t="str">
        <f>"" &amp; TEXT(AB13,"#0.00%") &amp; " " &amp; "Change voucher logic using KFTC auto-debit" &amp; " " &amp; IF(M13="","",TEXT(M13,"M/D-")) &amp; IF(N13="","",TEXT(N13,"M/D")) &amp; " "</f>
        <v xml:space="preserve">0.00% Change voucher logic using KFTC auto-debit 10/28-11/1 </v>
      </c>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row>
    <row r="14" spans="1:161" outlineLevel="1">
      <c r="A14" s="116"/>
      <c r="B14" s="116"/>
      <c r="C14" s="116">
        <v>2</v>
      </c>
      <c r="D14" s="3" t="s">
        <v>1064</v>
      </c>
      <c r="E14" s="183"/>
      <c r="F14" s="183" t="s">
        <v>1198</v>
      </c>
      <c r="G14" s="183"/>
      <c r="H14" s="183"/>
      <c r="I14" s="183"/>
      <c r="J14" s="183"/>
      <c r="K14" s="183"/>
      <c r="L14" s="183"/>
      <c r="M14" s="184">
        <v>43766</v>
      </c>
      <c r="N14" s="184">
        <v>43766</v>
      </c>
      <c r="O14" s="185"/>
      <c r="P14" s="186">
        <v>1</v>
      </c>
      <c r="Q14" s="186">
        <v>1</v>
      </c>
      <c r="R14" s="187">
        <v>1</v>
      </c>
      <c r="S14" s="187">
        <v>1</v>
      </c>
      <c r="T14" s="184"/>
      <c r="U14" s="184"/>
      <c r="V14" s="188"/>
      <c r="W14" s="189">
        <v>0</v>
      </c>
      <c r="X14" s="190">
        <v>1</v>
      </c>
      <c r="Y14" s="185" t="s">
        <v>1311</v>
      </c>
      <c r="Z14" s="191"/>
      <c r="AA14" s="97">
        <v>1</v>
      </c>
      <c r="AB14" s="192">
        <v>1</v>
      </c>
      <c r="AC14" s="123"/>
      <c r="AD14" s="4"/>
      <c r="AE14" s="4"/>
      <c r="AF14" s="4"/>
      <c r="AG14" s="4"/>
      <c r="AH14" s="4"/>
      <c r="AI14" s="4"/>
      <c r="AJ14" s="4"/>
      <c r="AK14" s="4"/>
      <c r="AL14" s="4" t="str">
        <f>"" &amp; TEXT(AB14,"#0.00%") &amp; " " &amp; "Design" &amp; "(Pralhad, Saroj)" &amp; " " &amp; IF(M14="","",TEXT(M14,"M/D-")) &amp; IF(N14="","",TEXT(N14,"M/D")) &amp; " "</f>
        <v xml:space="preserve">100.00% Design(Pralhad, Saroj) 10/28-10/28 </v>
      </c>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row>
    <row r="15" spans="1:161" outlineLevel="1">
      <c r="A15" s="116"/>
      <c r="B15" s="116"/>
      <c r="C15" s="116">
        <v>2</v>
      </c>
      <c r="D15" s="3" t="s">
        <v>1065</v>
      </c>
      <c r="E15" s="183"/>
      <c r="F15" s="183" t="s">
        <v>1178</v>
      </c>
      <c r="G15" s="183"/>
      <c r="H15" s="183"/>
      <c r="I15" s="183"/>
      <c r="J15" s="183"/>
      <c r="K15" s="183"/>
      <c r="L15" s="183"/>
      <c r="M15" s="184">
        <v>43768</v>
      </c>
      <c r="N15" s="184">
        <v>43770</v>
      </c>
      <c r="O15" s="185"/>
      <c r="P15" s="186">
        <v>3</v>
      </c>
      <c r="Q15" s="186">
        <v>0</v>
      </c>
      <c r="R15" s="187">
        <v>3</v>
      </c>
      <c r="S15" s="187">
        <v>0</v>
      </c>
      <c r="T15" s="184"/>
      <c r="U15" s="184"/>
      <c r="V15" s="188"/>
      <c r="W15" s="189">
        <v>0</v>
      </c>
      <c r="X15" s="190">
        <v>1</v>
      </c>
      <c r="Y15" s="185" t="s">
        <v>1311</v>
      </c>
      <c r="Z15" s="191"/>
      <c r="AA15" s="97">
        <v>0</v>
      </c>
      <c r="AB15" s="192">
        <v>1</v>
      </c>
      <c r="AC15" s="123"/>
      <c r="AD15" s="4"/>
      <c r="AE15" s="4"/>
      <c r="AF15" s="4"/>
      <c r="AG15" s="4"/>
      <c r="AH15" s="4"/>
      <c r="AI15" s="4"/>
      <c r="AJ15" s="4"/>
      <c r="AK15" s="4"/>
      <c r="AL15" s="4" t="str">
        <f>"  " &amp; TEXT(AB15,"#0.00%") &amp; " " &amp; "Core" &amp; "(Pralhad, Saroj)" &amp; " " &amp; IF(M15="","",TEXT(M15,"M/D-")) &amp; IF(N15="","",TEXT(N15,"M/D")) &amp; " "</f>
        <v xml:space="preserve">  100.00% Core(Pralhad, Saroj) 10/30-11/1 </v>
      </c>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row>
    <row r="16" spans="1:161" outlineLevel="1">
      <c r="A16" s="116"/>
      <c r="B16" s="116"/>
      <c r="C16" s="116">
        <v>2</v>
      </c>
      <c r="D16" s="3" t="s">
        <v>1158</v>
      </c>
      <c r="E16" s="183"/>
      <c r="F16" s="183" t="s">
        <v>1179</v>
      </c>
      <c r="G16" s="183"/>
      <c r="H16" s="183"/>
      <c r="I16" s="183"/>
      <c r="J16" s="183"/>
      <c r="K16" s="183"/>
      <c r="L16" s="183"/>
      <c r="M16" s="184">
        <v>43766</v>
      </c>
      <c r="N16" s="184">
        <v>43767</v>
      </c>
      <c r="O16" s="185"/>
      <c r="P16" s="186">
        <v>2</v>
      </c>
      <c r="Q16" s="186">
        <v>2</v>
      </c>
      <c r="R16" s="187">
        <v>2</v>
      </c>
      <c r="S16" s="187">
        <v>2</v>
      </c>
      <c r="T16" s="184"/>
      <c r="U16" s="184"/>
      <c r="V16" s="188"/>
      <c r="W16" s="189">
        <v>0</v>
      </c>
      <c r="X16" s="190">
        <v>1</v>
      </c>
      <c r="Y16" s="185" t="s">
        <v>1311</v>
      </c>
      <c r="Z16" s="191"/>
      <c r="AA16" s="97">
        <v>1</v>
      </c>
      <c r="AB16" s="192">
        <v>1</v>
      </c>
      <c r="AC16" s="123"/>
      <c r="AD16" s="4"/>
      <c r="AE16" s="4"/>
      <c r="AF16" s="4"/>
      <c r="AG16" s="4"/>
      <c r="AH16" s="4"/>
      <c r="AI16" s="4"/>
      <c r="AJ16" s="4"/>
      <c r="AK16" s="4"/>
      <c r="AL16" s="4" t="str">
        <f>"" &amp; TEXT(AB16,"#0.00%") &amp; " " &amp; "Online" &amp; "(Pralhad, Saroj)" &amp; " " &amp; IF(M16="","",TEXT(M16,"M/D-")) &amp; IF(N16="","",TEXT(N16,"M/D")) &amp; " "</f>
        <v xml:space="preserve">100.00% Online(Pralhad, Saroj) 10/28-10/29 </v>
      </c>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row>
    <row r="17" spans="1:161" outlineLevel="1">
      <c r="A17" s="116"/>
      <c r="B17" s="116"/>
      <c r="C17" s="116">
        <v>2</v>
      </c>
      <c r="D17" s="3" t="s">
        <v>1159</v>
      </c>
      <c r="E17" s="183"/>
      <c r="F17" s="183" t="s">
        <v>1180</v>
      </c>
      <c r="G17" s="183"/>
      <c r="H17" s="183"/>
      <c r="I17" s="183"/>
      <c r="J17" s="183"/>
      <c r="K17" s="183"/>
      <c r="L17" s="183"/>
      <c r="M17" s="184">
        <v>43766</v>
      </c>
      <c r="N17" s="184">
        <v>43767</v>
      </c>
      <c r="O17" s="185"/>
      <c r="P17" s="186">
        <v>2</v>
      </c>
      <c r="Q17" s="186">
        <v>2</v>
      </c>
      <c r="R17" s="187">
        <v>2</v>
      </c>
      <c r="S17" s="187">
        <v>2</v>
      </c>
      <c r="T17" s="184"/>
      <c r="U17" s="184"/>
      <c r="V17" s="188"/>
      <c r="W17" s="189">
        <v>0</v>
      </c>
      <c r="X17" s="190">
        <v>1</v>
      </c>
      <c r="Y17" s="185" t="s">
        <v>1311</v>
      </c>
      <c r="Z17" s="191"/>
      <c r="AA17" s="97">
        <v>1</v>
      </c>
      <c r="AB17" s="192">
        <v>1</v>
      </c>
      <c r="AC17" s="123"/>
      <c r="AD17" s="4"/>
      <c r="AE17" s="4"/>
      <c r="AF17" s="4"/>
      <c r="AG17" s="4"/>
      <c r="AH17" s="4"/>
      <c r="AI17" s="4"/>
      <c r="AJ17" s="4"/>
      <c r="AK17" s="4"/>
      <c r="AL17" s="4" t="str">
        <f>"" &amp; TEXT(AB17,"#0.00%") &amp; " " &amp; "API" &amp; "(Pralhad, Saroj)" &amp; " " &amp; IF(M17="","",TEXT(M17,"M/D-")) &amp; IF(N17="","",TEXT(N17,"M/D")) &amp; " "</f>
        <v xml:space="preserve">100.00% API(Pralhad, Saroj) 10/28-10/29 </v>
      </c>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row>
    <row r="18" spans="1:161" outlineLevel="1">
      <c r="A18" s="116"/>
      <c r="B18" s="116"/>
      <c r="C18" s="116">
        <v>2</v>
      </c>
      <c r="D18" s="3" t="s">
        <v>1160</v>
      </c>
      <c r="E18" s="183"/>
      <c r="F18" s="183" t="s">
        <v>1310</v>
      </c>
      <c r="G18" s="183"/>
      <c r="H18" s="183"/>
      <c r="I18" s="183"/>
      <c r="J18" s="183"/>
      <c r="K18" s="183"/>
      <c r="L18" s="183"/>
      <c r="M18" s="184">
        <v>43768</v>
      </c>
      <c r="N18" s="184">
        <v>43770</v>
      </c>
      <c r="O18" s="185"/>
      <c r="P18" s="186">
        <v>3</v>
      </c>
      <c r="Q18" s="186">
        <v>0</v>
      </c>
      <c r="R18" s="187">
        <v>3</v>
      </c>
      <c r="S18" s="187">
        <v>0</v>
      </c>
      <c r="T18" s="184"/>
      <c r="U18" s="184"/>
      <c r="V18" s="188"/>
      <c r="W18" s="189">
        <v>0</v>
      </c>
      <c r="X18" s="190">
        <v>1</v>
      </c>
      <c r="Y18" s="185" t="s">
        <v>1311</v>
      </c>
      <c r="Z18" s="191"/>
      <c r="AA18" s="97">
        <v>0</v>
      </c>
      <c r="AB18" s="192">
        <v>1</v>
      </c>
      <c r="AC18" s="123"/>
      <c r="AD18" s="4"/>
      <c r="AE18" s="4"/>
      <c r="AF18" s="4"/>
      <c r="AG18" s="4"/>
      <c r="AH18" s="4"/>
      <c r="AI18" s="4"/>
      <c r="AJ18" s="4"/>
      <c r="AK18" s="4"/>
      <c r="AL18" s="4" t="str">
        <f>"  " &amp; TEXT(AB18,"#0.00%") &amp; " " &amp; "Scheduler" &amp; "(Pralhad, Saroj)" &amp; " " &amp; IF(M18="","",TEXT(M18,"M/D-")) &amp; IF(N18="","",TEXT(N18,"M/D")) &amp; " "</f>
        <v xml:space="preserve">  100.00% Scheduler(Pralhad, Saroj) 10/30-11/1 </v>
      </c>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row>
    <row r="19" spans="1:161" outlineLevel="1">
      <c r="A19" s="116"/>
      <c r="B19" s="116"/>
      <c r="C19" s="116">
        <v>2</v>
      </c>
      <c r="D19" s="3" t="s">
        <v>1161</v>
      </c>
      <c r="E19" s="183"/>
      <c r="F19" s="183" t="s">
        <v>1182</v>
      </c>
      <c r="G19" s="183"/>
      <c r="H19" s="183"/>
      <c r="I19" s="183"/>
      <c r="J19" s="183"/>
      <c r="K19" s="183"/>
      <c r="L19" s="183"/>
      <c r="M19" s="184">
        <v>43770</v>
      </c>
      <c r="N19" s="184">
        <v>43770</v>
      </c>
      <c r="O19" s="185"/>
      <c r="P19" s="186">
        <v>1</v>
      </c>
      <c r="Q19" s="186">
        <v>0</v>
      </c>
      <c r="R19" s="187">
        <v>1</v>
      </c>
      <c r="S19" s="187">
        <v>0</v>
      </c>
      <c r="T19" s="184"/>
      <c r="U19" s="184"/>
      <c r="V19" s="188"/>
      <c r="W19" s="189">
        <v>0</v>
      </c>
      <c r="X19" s="190">
        <v>1</v>
      </c>
      <c r="Y19" s="185" t="s">
        <v>1283</v>
      </c>
      <c r="Z19" s="191"/>
      <c r="AA19" s="97">
        <v>0</v>
      </c>
      <c r="AB19" s="192">
        <v>1</v>
      </c>
      <c r="AC19" s="123"/>
      <c r="AD19" s="4"/>
      <c r="AE19" s="4"/>
      <c r="AF19" s="4"/>
      <c r="AG19" s="4"/>
      <c r="AH19" s="4"/>
      <c r="AI19" s="4"/>
      <c r="AJ19" s="4"/>
      <c r="AK19" s="4"/>
      <c r="AL19" s="4" t="str">
        <f>"    " &amp; TEXT(AB19,"#0.00%") &amp; " " &amp; "Test" &amp; "(Max,Pralhad)" &amp; " " &amp; IF(M19="","",TEXT(M19,"M/D-")) &amp; IF(N19="","",TEXT(N19,"M/D")) &amp; " "</f>
        <v xml:space="preserve">    100.00% Test(Max,Pralhad) 11/1-11/1 </v>
      </c>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row>
    <row r="20" spans="1:161" outlineLevel="1">
      <c r="A20" s="116"/>
      <c r="B20" s="116"/>
      <c r="C20" s="116">
        <v>2</v>
      </c>
      <c r="D20" s="3" t="s">
        <v>1162</v>
      </c>
      <c r="E20" s="183"/>
      <c r="F20" s="183" t="s">
        <v>1183</v>
      </c>
      <c r="G20" s="183"/>
      <c r="H20" s="183"/>
      <c r="I20" s="183"/>
      <c r="J20" s="183"/>
      <c r="K20" s="183"/>
      <c r="L20" s="183"/>
      <c r="M20" s="184">
        <v>43770</v>
      </c>
      <c r="N20" s="184">
        <v>43770</v>
      </c>
      <c r="O20" s="185"/>
      <c r="P20" s="186">
        <v>1</v>
      </c>
      <c r="Q20" s="186">
        <v>0</v>
      </c>
      <c r="R20" s="187">
        <v>1</v>
      </c>
      <c r="S20" s="187">
        <v>0</v>
      </c>
      <c r="T20" s="184"/>
      <c r="U20" s="184"/>
      <c r="V20" s="188"/>
      <c r="W20" s="189">
        <v>0</v>
      </c>
      <c r="X20" s="190">
        <v>1</v>
      </c>
      <c r="Y20" s="185" t="s">
        <v>1283</v>
      </c>
      <c r="Z20" s="191"/>
      <c r="AA20" s="97">
        <v>0</v>
      </c>
      <c r="AB20" s="192">
        <v>1</v>
      </c>
      <c r="AC20" s="123"/>
      <c r="AD20" s="4"/>
      <c r="AE20" s="4"/>
      <c r="AF20" s="4"/>
      <c r="AG20" s="4"/>
      <c r="AH20" s="4"/>
      <c r="AI20" s="4"/>
      <c r="AJ20" s="4"/>
      <c r="AK20" s="4"/>
      <c r="AL20" s="4" t="str">
        <f>"    " &amp; TEXT(AB20,"#0.00%") &amp; " " &amp; "Publish" &amp; "(Max,Pralhad)" &amp; " " &amp; IF(M20="","",TEXT(M20,"M/D-")) &amp; IF(N20="","",TEXT(N20,"M/D")) &amp; " "</f>
        <v xml:space="preserve">    100.00% Publish(Max,Pralhad) 11/1-11/1 </v>
      </c>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row>
    <row r="21" spans="1:161" outlineLevel="1">
      <c r="A21" s="116"/>
      <c r="B21" s="116"/>
      <c r="C21" s="116">
        <v>0</v>
      </c>
      <c r="D21" s="3"/>
      <c r="E21" s="183"/>
      <c r="F21" s="183"/>
      <c r="G21" s="183"/>
      <c r="H21" s="183"/>
      <c r="I21" s="183"/>
      <c r="J21" s="183"/>
      <c r="K21" s="183"/>
      <c r="L21" s="183"/>
      <c r="M21" s="184"/>
      <c r="N21" s="184"/>
      <c r="O21" s="185"/>
      <c r="P21" s="186"/>
      <c r="Q21" s="186"/>
      <c r="R21" s="187">
        <v>0</v>
      </c>
      <c r="S21" s="187">
        <v>0</v>
      </c>
      <c r="T21" s="184"/>
      <c r="U21" s="184"/>
      <c r="V21" s="188"/>
      <c r="W21" s="189">
        <v>0</v>
      </c>
      <c r="X21" s="190"/>
      <c r="Y21" s="185"/>
      <c r="Z21" s="191"/>
      <c r="AA21" s="97"/>
      <c r="AB21" s="192"/>
      <c r="AC21" s="123"/>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row>
    <row r="22" spans="1:161">
      <c r="A22" s="116"/>
      <c r="B22" s="116" t="s">
        <v>1061</v>
      </c>
      <c r="C22" s="116">
        <v>1</v>
      </c>
      <c r="D22" s="3" t="s">
        <v>1128</v>
      </c>
      <c r="E22" s="217" t="s">
        <v>1245</v>
      </c>
      <c r="F22" s="183"/>
      <c r="G22" s="183"/>
      <c r="H22" s="183"/>
      <c r="I22" s="183"/>
      <c r="J22" s="183"/>
      <c r="K22" s="183"/>
      <c r="L22" s="183"/>
      <c r="M22" s="184">
        <v>43752</v>
      </c>
      <c r="N22" s="184">
        <v>43784</v>
      </c>
      <c r="O22" s="185"/>
      <c r="P22" s="186">
        <v>27</v>
      </c>
      <c r="Q22" s="186">
        <v>9</v>
      </c>
      <c r="R22" s="187">
        <v>25</v>
      </c>
      <c r="S22" s="187">
        <v>12</v>
      </c>
      <c r="T22" s="184"/>
      <c r="U22" s="184"/>
      <c r="V22" s="188">
        <v>0</v>
      </c>
      <c r="W22" s="189">
        <v>0</v>
      </c>
      <c r="X22" s="190"/>
      <c r="Y22" s="185"/>
      <c r="Z22" s="191"/>
      <c r="AA22" s="97">
        <v>0.33333333333333331</v>
      </c>
      <c r="AB22" s="192">
        <v>0</v>
      </c>
      <c r="AC22" s="123"/>
      <c r="AD22" s="4"/>
      <c r="AE22" s="4"/>
      <c r="AF22" s="4"/>
      <c r="AG22" s="4"/>
      <c r="AH22" s="4"/>
      <c r="AI22" s="4"/>
      <c r="AJ22" s="4" t="str">
        <f>"" &amp; TEXT(AB22,"#0.00%") &amp; " "</f>
        <v xml:space="preserve">0.00% </v>
      </c>
      <c r="AK22" s="4"/>
      <c r="AL22" s="4"/>
      <c r="AM22" s="4"/>
      <c r="AN22" s="4" t="str">
        <f>"     " &amp; "Easy Remit" &amp; " " &amp; IF(M22="","",TEXT(M22,"M/D-")) &amp; IF(N22="","",TEXT(N22,"M/D")) &amp; " "</f>
        <v xml:space="preserve">     Easy Remit 10/14-11/15 </v>
      </c>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row>
    <row r="23" spans="1:161" outlineLevel="1">
      <c r="A23" s="116"/>
      <c r="B23" s="116"/>
      <c r="C23" s="116">
        <v>2</v>
      </c>
      <c r="D23" s="3" t="s">
        <v>1129</v>
      </c>
      <c r="E23" s="183"/>
      <c r="F23" s="183" t="s">
        <v>1198</v>
      </c>
      <c r="G23" s="183"/>
      <c r="H23" s="183"/>
      <c r="I23" s="183"/>
      <c r="J23" s="183"/>
      <c r="K23" s="183"/>
      <c r="L23" s="183"/>
      <c r="M23" s="184">
        <v>43752</v>
      </c>
      <c r="N23" s="184">
        <v>43756</v>
      </c>
      <c r="O23" s="185"/>
      <c r="P23" s="186">
        <v>5</v>
      </c>
      <c r="Q23" s="186">
        <v>5</v>
      </c>
      <c r="R23" s="187">
        <v>5</v>
      </c>
      <c r="S23" s="187">
        <v>5</v>
      </c>
      <c r="T23" s="184"/>
      <c r="U23" s="184"/>
      <c r="V23" s="188"/>
      <c r="W23" s="189">
        <v>0</v>
      </c>
      <c r="X23" s="190">
        <v>1</v>
      </c>
      <c r="Y23" s="185" t="s">
        <v>1244</v>
      </c>
      <c r="Z23" s="191"/>
      <c r="AA23" s="97">
        <v>1</v>
      </c>
      <c r="AB23" s="192">
        <v>0</v>
      </c>
      <c r="AC23" s="123"/>
      <c r="AD23" s="4"/>
      <c r="AE23" s="4"/>
      <c r="AF23" s="4"/>
      <c r="AG23" s="4"/>
      <c r="AH23" s="4"/>
      <c r="AI23" s="4"/>
      <c r="AJ23" s="4" t="str">
        <f>"" &amp; TEXT(AB23,"#0.00%") &amp; " " &amp; "Design" &amp; "(Max)" &amp; " " &amp; IF(M23="","",TEXT(M23,"M/D-")) &amp; IF(N23="","",TEXT(N23,"M/D")) &amp; " "</f>
        <v xml:space="preserve">0.00% Design(Max) 10/14-10/18 </v>
      </c>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row>
    <row r="24" spans="1:161" outlineLevel="1">
      <c r="A24" s="116"/>
      <c r="B24" s="116"/>
      <c r="C24" s="116">
        <v>2</v>
      </c>
      <c r="D24" s="3" t="s">
        <v>1139</v>
      </c>
      <c r="E24" s="183"/>
      <c r="F24" s="183" t="s">
        <v>1178</v>
      </c>
      <c r="G24" s="183"/>
      <c r="H24" s="183"/>
      <c r="I24" s="183"/>
      <c r="J24" s="183"/>
      <c r="K24" s="183"/>
      <c r="L24" s="183"/>
      <c r="M24" s="184">
        <v>43766</v>
      </c>
      <c r="N24" s="184">
        <v>43773</v>
      </c>
      <c r="O24" s="185"/>
      <c r="P24" s="186">
        <v>6</v>
      </c>
      <c r="Q24" s="186">
        <v>2</v>
      </c>
      <c r="R24" s="187">
        <v>6</v>
      </c>
      <c r="S24" s="187">
        <v>2</v>
      </c>
      <c r="T24" s="184"/>
      <c r="U24" s="184"/>
      <c r="V24" s="188"/>
      <c r="W24" s="189">
        <v>0</v>
      </c>
      <c r="X24" s="190">
        <v>1</v>
      </c>
      <c r="Y24" s="185" t="s">
        <v>1284</v>
      </c>
      <c r="Z24" s="191"/>
      <c r="AA24" s="97">
        <v>0.33333333333333331</v>
      </c>
      <c r="AB24" s="192">
        <v>0</v>
      </c>
      <c r="AC24" s="123"/>
      <c r="AD24" s="4"/>
      <c r="AE24" s="4"/>
      <c r="AF24" s="4"/>
      <c r="AG24" s="4"/>
      <c r="AH24" s="4"/>
      <c r="AI24" s="4"/>
      <c r="AJ24" s="4"/>
      <c r="AK24" s="4"/>
      <c r="AL24" s="4" t="str">
        <f>"" &amp; TEXT(AB24,"#0.00%") &amp; " " &amp; "Core" &amp; "(Manoj,Max)" &amp; " " &amp; IF(M24="","",TEXT(M24,"M/D-")) &amp; IF(N24="","",TEXT(N24,"M/D")) &amp; " "</f>
        <v xml:space="preserve">0.00% Core(Manoj,Max) 10/28-11/4 </v>
      </c>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row>
    <row r="25" spans="1:161" outlineLevel="1">
      <c r="A25" s="116"/>
      <c r="B25" s="116"/>
      <c r="C25" s="116">
        <v>2</v>
      </c>
      <c r="D25" s="3" t="s">
        <v>1140</v>
      </c>
      <c r="E25" s="183"/>
      <c r="F25" s="183" t="s">
        <v>1179</v>
      </c>
      <c r="G25" s="183"/>
      <c r="H25" s="183"/>
      <c r="I25" s="183"/>
      <c r="J25" s="183"/>
      <c r="K25" s="183"/>
      <c r="L25" s="183"/>
      <c r="M25" s="184"/>
      <c r="N25" s="184"/>
      <c r="O25" s="185"/>
      <c r="P25" s="186">
        <v>0</v>
      </c>
      <c r="Q25" s="186">
        <v>0</v>
      </c>
      <c r="R25" s="187">
        <v>0</v>
      </c>
      <c r="S25" s="187">
        <v>0</v>
      </c>
      <c r="T25" s="184"/>
      <c r="U25" s="184"/>
      <c r="V25" s="188">
        <v>0</v>
      </c>
      <c r="W25" s="189">
        <v>0</v>
      </c>
      <c r="X25" s="190"/>
      <c r="Y25" s="185"/>
      <c r="Z25" s="191"/>
      <c r="AA25" s="97">
        <v>0</v>
      </c>
      <c r="AB25" s="192">
        <v>0</v>
      </c>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row>
    <row r="26" spans="1:161" outlineLevel="1">
      <c r="A26" s="116"/>
      <c r="B26" s="116"/>
      <c r="C26" s="116">
        <v>2</v>
      </c>
      <c r="D26" s="3" t="s">
        <v>1163</v>
      </c>
      <c r="E26" s="183"/>
      <c r="F26" s="183" t="s">
        <v>1180</v>
      </c>
      <c r="G26" s="183"/>
      <c r="H26" s="183"/>
      <c r="I26" s="183"/>
      <c r="J26" s="183"/>
      <c r="K26" s="183"/>
      <c r="L26" s="183"/>
      <c r="M26" s="184">
        <v>43766</v>
      </c>
      <c r="N26" s="184">
        <v>43773</v>
      </c>
      <c r="O26" s="185"/>
      <c r="P26" s="186">
        <v>6</v>
      </c>
      <c r="Q26" s="186">
        <v>2</v>
      </c>
      <c r="R26" s="187">
        <v>6</v>
      </c>
      <c r="S26" s="187">
        <v>2</v>
      </c>
      <c r="T26" s="184"/>
      <c r="U26" s="184"/>
      <c r="V26" s="188"/>
      <c r="W26" s="189">
        <v>0</v>
      </c>
      <c r="X26" s="190">
        <v>1</v>
      </c>
      <c r="Y26" s="185" t="s">
        <v>1284</v>
      </c>
      <c r="Z26" s="191"/>
      <c r="AA26" s="97">
        <v>0.33333333333333331</v>
      </c>
      <c r="AB26" s="192">
        <v>0</v>
      </c>
      <c r="AC26" s="123"/>
      <c r="AD26" s="4"/>
      <c r="AE26" s="4"/>
      <c r="AF26" s="4"/>
      <c r="AG26" s="4"/>
      <c r="AH26" s="4"/>
      <c r="AI26" s="4"/>
      <c r="AJ26" s="4"/>
      <c r="AK26" s="4"/>
      <c r="AL26" s="4" t="str">
        <f>"" &amp; TEXT(AB26,"#0.00%") &amp; " " &amp; "API" &amp; "(Manoj,Max)" &amp; " " &amp; IF(M26="","",TEXT(M26,"M/D-")) &amp; IF(N26="","",TEXT(N26,"M/D")) &amp; " "</f>
        <v xml:space="preserve">0.00% API(Manoj,Max) 10/28-11/4 </v>
      </c>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row>
    <row r="27" spans="1:161" outlineLevel="1">
      <c r="A27" s="116"/>
      <c r="B27" s="116"/>
      <c r="C27" s="116">
        <v>2</v>
      </c>
      <c r="D27" s="3" t="s">
        <v>1164</v>
      </c>
      <c r="E27" s="183"/>
      <c r="F27" s="183" t="s">
        <v>1199</v>
      </c>
      <c r="G27" s="183"/>
      <c r="H27" s="183"/>
      <c r="I27" s="183"/>
      <c r="J27" s="183"/>
      <c r="K27" s="183"/>
      <c r="L27" s="183"/>
      <c r="M27" s="184"/>
      <c r="N27" s="184"/>
      <c r="O27" s="185"/>
      <c r="P27" s="186">
        <v>0</v>
      </c>
      <c r="Q27" s="186">
        <v>0</v>
      </c>
      <c r="R27" s="187">
        <v>0</v>
      </c>
      <c r="S27" s="187">
        <v>0</v>
      </c>
      <c r="T27" s="184"/>
      <c r="U27" s="184"/>
      <c r="V27" s="188">
        <v>0</v>
      </c>
      <c r="W27" s="189">
        <v>0</v>
      </c>
      <c r="X27" s="190">
        <v>1</v>
      </c>
      <c r="Y27" s="185"/>
      <c r="Z27" s="191"/>
      <c r="AA27" s="97">
        <v>0</v>
      </c>
      <c r="AB27" s="192">
        <v>0</v>
      </c>
      <c r="AC27" s="123"/>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row>
    <row r="28" spans="1:161" outlineLevel="1">
      <c r="A28" s="116"/>
      <c r="B28" s="116"/>
      <c r="C28" s="116">
        <v>2</v>
      </c>
      <c r="D28" s="3" t="s">
        <v>1165</v>
      </c>
      <c r="E28" s="183"/>
      <c r="F28" s="183" t="s">
        <v>1182</v>
      </c>
      <c r="G28" s="183"/>
      <c r="H28" s="183"/>
      <c r="I28" s="183"/>
      <c r="J28" s="183"/>
      <c r="K28" s="183"/>
      <c r="L28" s="183"/>
      <c r="M28" s="184">
        <v>43773</v>
      </c>
      <c r="N28" s="184">
        <v>43777</v>
      </c>
      <c r="O28" s="185"/>
      <c r="P28" s="186">
        <v>5</v>
      </c>
      <c r="Q28" s="186">
        <v>0</v>
      </c>
      <c r="R28" s="187">
        <v>5</v>
      </c>
      <c r="S28" s="187">
        <v>0</v>
      </c>
      <c r="T28" s="184"/>
      <c r="U28" s="184"/>
      <c r="V28" s="188"/>
      <c r="W28" s="189">
        <v>0</v>
      </c>
      <c r="X28" s="190">
        <v>1</v>
      </c>
      <c r="Y28" s="185" t="s">
        <v>1283</v>
      </c>
      <c r="Z28" s="191"/>
      <c r="AA28" s="97">
        <v>0</v>
      </c>
      <c r="AB28" s="192">
        <v>0</v>
      </c>
      <c r="AC28" s="123"/>
      <c r="AD28" s="4"/>
      <c r="AE28" s="4"/>
      <c r="AF28" s="4"/>
      <c r="AG28" s="4"/>
      <c r="AH28" s="4"/>
      <c r="AI28" s="4"/>
      <c r="AJ28" s="4"/>
      <c r="AK28" s="4"/>
      <c r="AL28" s="4"/>
      <c r="AM28" s="4" t="str">
        <f>"" &amp; TEXT(AB28,"#0.00%") &amp; " " &amp; "Test" &amp; "(Max,Pralhad)" &amp; " " &amp; IF(M28="","",TEXT(M28,"M/D-")) &amp; IF(N28="","",TEXT(N28,"M/D")) &amp; " "</f>
        <v xml:space="preserve">0.00% Test(Max,Pralhad) 11/4-11/8 </v>
      </c>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row>
    <row r="29" spans="1:161" outlineLevel="1">
      <c r="A29" s="116"/>
      <c r="B29" s="116"/>
      <c r="C29" s="116">
        <v>2</v>
      </c>
      <c r="D29" s="3" t="s">
        <v>1166</v>
      </c>
      <c r="E29" s="183"/>
      <c r="F29" s="183" t="s">
        <v>1183</v>
      </c>
      <c r="G29" s="183"/>
      <c r="H29" s="183"/>
      <c r="I29" s="183"/>
      <c r="J29" s="183"/>
      <c r="K29" s="183"/>
      <c r="L29" s="183"/>
      <c r="M29" s="184">
        <v>43780</v>
      </c>
      <c r="N29" s="184">
        <v>43784</v>
      </c>
      <c r="O29" s="185"/>
      <c r="P29" s="186">
        <v>5</v>
      </c>
      <c r="Q29" s="186">
        <v>0</v>
      </c>
      <c r="R29" s="187">
        <v>5</v>
      </c>
      <c r="S29" s="187">
        <v>0</v>
      </c>
      <c r="T29" s="184"/>
      <c r="U29" s="184"/>
      <c r="V29" s="188"/>
      <c r="W29" s="189">
        <v>0</v>
      </c>
      <c r="X29" s="190">
        <v>1</v>
      </c>
      <c r="Y29" s="185" t="s">
        <v>1283</v>
      </c>
      <c r="Z29" s="191"/>
      <c r="AA29" s="97">
        <v>0</v>
      </c>
      <c r="AB29" s="192">
        <v>0</v>
      </c>
      <c r="AC29" s="123"/>
      <c r="AD29" s="4"/>
      <c r="AE29" s="4"/>
      <c r="AF29" s="4"/>
      <c r="AG29" s="4"/>
      <c r="AH29" s="4"/>
      <c r="AI29" s="4"/>
      <c r="AJ29" s="4"/>
      <c r="AK29" s="4"/>
      <c r="AL29" s="4"/>
      <c r="AM29" s="4"/>
      <c r="AN29" s="4" t="str">
        <f>"" &amp; TEXT(AB29,"#0.00%") &amp; " " &amp; "Publish" &amp; "(Max,Pralhad)" &amp; " " &amp; IF(M29="","",TEXT(M29,"M/D-")) &amp; IF(N29="","",TEXT(N29,"M/D")) &amp; " "</f>
        <v xml:space="preserve">0.00% Publish(Max,Pralhad) 11/11-11/15 </v>
      </c>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row>
    <row r="30" spans="1:161" outlineLevel="1">
      <c r="A30" s="116"/>
      <c r="B30" s="116"/>
      <c r="C30" s="116">
        <v>0</v>
      </c>
      <c r="D30" s="3"/>
      <c r="E30" s="183"/>
      <c r="F30" s="183"/>
      <c r="G30" s="183"/>
      <c r="H30" s="183"/>
      <c r="I30" s="183"/>
      <c r="J30" s="183"/>
      <c r="K30" s="183"/>
      <c r="L30" s="183"/>
      <c r="M30" s="184"/>
      <c r="N30" s="184"/>
      <c r="O30" s="185"/>
      <c r="P30" s="186"/>
      <c r="Q30" s="186"/>
      <c r="R30" s="187">
        <v>0</v>
      </c>
      <c r="S30" s="187">
        <v>0</v>
      </c>
      <c r="T30" s="184"/>
      <c r="U30" s="184"/>
      <c r="V30" s="188"/>
      <c r="W30" s="189">
        <v>0</v>
      </c>
      <c r="X30" s="190"/>
      <c r="Y30" s="185"/>
      <c r="Z30" s="191"/>
      <c r="AA30" s="97"/>
      <c r="AB30" s="192"/>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row>
    <row r="31" spans="1:161">
      <c r="A31" s="116"/>
      <c r="B31" s="116" t="s">
        <v>1061</v>
      </c>
      <c r="C31" s="116">
        <v>1</v>
      </c>
      <c r="D31" s="3" t="s">
        <v>1141</v>
      </c>
      <c r="E31" s="183" t="s">
        <v>1285</v>
      </c>
      <c r="F31" s="183"/>
      <c r="G31" s="183"/>
      <c r="H31" s="183"/>
      <c r="I31" s="183"/>
      <c r="J31" s="183"/>
      <c r="K31" s="183"/>
      <c r="L31" s="183"/>
      <c r="M31" s="184">
        <v>43766</v>
      </c>
      <c r="N31" s="184">
        <v>43784</v>
      </c>
      <c r="O31" s="185"/>
      <c r="P31" s="186">
        <v>15</v>
      </c>
      <c r="Q31" s="186">
        <v>2</v>
      </c>
      <c r="R31" s="187">
        <v>15</v>
      </c>
      <c r="S31" s="187">
        <v>2</v>
      </c>
      <c r="T31" s="184"/>
      <c r="U31" s="184"/>
      <c r="V31" s="188">
        <v>0</v>
      </c>
      <c r="W31" s="189">
        <v>0</v>
      </c>
      <c r="X31" s="190"/>
      <c r="Y31" s="185"/>
      <c r="Z31" s="191"/>
      <c r="AA31" s="97">
        <v>0.13333333333333333</v>
      </c>
      <c r="AB31" s="192">
        <v>0</v>
      </c>
      <c r="AC31" s="123"/>
      <c r="AD31" s="4"/>
      <c r="AE31" s="4"/>
      <c r="AF31" s="4"/>
      <c r="AG31" s="4"/>
      <c r="AH31" s="4"/>
      <c r="AI31" s="4"/>
      <c r="AJ31" s="4"/>
      <c r="AK31" s="4"/>
      <c r="AL31" s="4" t="str">
        <f>"" &amp; TEXT(AB31,"#0.00%") &amp; " " &amp; "Deposit using open banking + KJ API" &amp; " " &amp; IF(M31="","",TEXT(M31,"M/D-")) &amp; IF(N31="","",TEXT(N31,"M/D")) &amp; " "</f>
        <v xml:space="preserve">0.00% Deposit using open banking + KJ API 10/28-11/15 </v>
      </c>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row>
    <row r="32" spans="1:161" outlineLevel="1">
      <c r="A32" s="116"/>
      <c r="B32" s="116"/>
      <c r="C32" s="116">
        <v>2</v>
      </c>
      <c r="D32" s="3" t="s">
        <v>1167</v>
      </c>
      <c r="E32" s="183"/>
      <c r="F32" s="183" t="s">
        <v>1198</v>
      </c>
      <c r="G32" s="183"/>
      <c r="H32" s="183"/>
      <c r="I32" s="183"/>
      <c r="J32" s="183"/>
      <c r="K32" s="183"/>
      <c r="L32" s="183"/>
      <c r="M32" s="184">
        <v>43766</v>
      </c>
      <c r="N32" s="184">
        <v>43769</v>
      </c>
      <c r="O32" s="185"/>
      <c r="P32" s="186">
        <v>4</v>
      </c>
      <c r="Q32" s="186">
        <v>2</v>
      </c>
      <c r="R32" s="187">
        <v>4</v>
      </c>
      <c r="S32" s="187">
        <v>2</v>
      </c>
      <c r="T32" s="184"/>
      <c r="U32" s="184"/>
      <c r="V32" s="188"/>
      <c r="W32" s="189">
        <v>0</v>
      </c>
      <c r="X32" s="190">
        <v>1</v>
      </c>
      <c r="Y32" s="185" t="s">
        <v>1244</v>
      </c>
      <c r="Z32" s="191"/>
      <c r="AA32" s="97">
        <v>0.5</v>
      </c>
      <c r="AB32" s="192">
        <v>0</v>
      </c>
      <c r="AC32" s="123"/>
      <c r="AD32" s="4"/>
      <c r="AE32" s="4"/>
      <c r="AF32" s="4"/>
      <c r="AG32" s="4"/>
      <c r="AH32" s="4"/>
      <c r="AI32" s="4"/>
      <c r="AJ32" s="4"/>
      <c r="AK32" s="4"/>
      <c r="AL32" s="4" t="str">
        <f>"" &amp; TEXT(AB32,"#0.00%") &amp; " " &amp; "Design" &amp; "(Max)" &amp; " " &amp; IF(M32="","",TEXT(M32,"M/D-")) &amp; IF(N32="","",TEXT(N32,"M/D")) &amp; " "</f>
        <v xml:space="preserve">0.00% Design(Max) 10/28-10/31 </v>
      </c>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row>
    <row r="33" spans="1:161" outlineLevel="1">
      <c r="A33" s="116"/>
      <c r="B33" s="116"/>
      <c r="C33" s="116">
        <v>2</v>
      </c>
      <c r="D33" s="3" t="s">
        <v>1168</v>
      </c>
      <c r="E33" s="183"/>
      <c r="F33" s="183" t="s">
        <v>1178</v>
      </c>
      <c r="G33" s="183"/>
      <c r="H33" s="183"/>
      <c r="I33" s="183"/>
      <c r="J33" s="183"/>
      <c r="K33" s="183"/>
      <c r="L33" s="183"/>
      <c r="M33" s="184"/>
      <c r="N33" s="184"/>
      <c r="O33" s="185"/>
      <c r="P33" s="186">
        <v>0</v>
      </c>
      <c r="Q33" s="186">
        <v>0</v>
      </c>
      <c r="R33" s="187">
        <v>0</v>
      </c>
      <c r="S33" s="187">
        <v>0</v>
      </c>
      <c r="T33" s="184"/>
      <c r="U33" s="184"/>
      <c r="V33" s="188">
        <v>0</v>
      </c>
      <c r="W33" s="189">
        <v>0</v>
      </c>
      <c r="X33" s="190"/>
      <c r="Y33" s="185"/>
      <c r="Z33" s="191"/>
      <c r="AA33" s="97">
        <v>0</v>
      </c>
      <c r="AB33" s="192">
        <v>0</v>
      </c>
      <c r="AC33" s="123"/>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row>
    <row r="34" spans="1:161" outlineLevel="1">
      <c r="A34" s="116"/>
      <c r="B34" s="116"/>
      <c r="C34" s="116">
        <v>2</v>
      </c>
      <c r="D34" s="3" t="s">
        <v>1169</v>
      </c>
      <c r="E34" s="183"/>
      <c r="F34" s="183" t="s">
        <v>1179</v>
      </c>
      <c r="G34" s="183"/>
      <c r="H34" s="183"/>
      <c r="I34" s="183"/>
      <c r="J34" s="183"/>
      <c r="K34" s="183"/>
      <c r="L34" s="183"/>
      <c r="M34" s="184"/>
      <c r="N34" s="184"/>
      <c r="O34" s="185"/>
      <c r="P34" s="186">
        <v>0</v>
      </c>
      <c r="Q34" s="186">
        <v>0</v>
      </c>
      <c r="R34" s="187">
        <v>0</v>
      </c>
      <c r="S34" s="187">
        <v>0</v>
      </c>
      <c r="T34" s="184"/>
      <c r="U34" s="184"/>
      <c r="V34" s="188">
        <v>0</v>
      </c>
      <c r="W34" s="189">
        <v>0</v>
      </c>
      <c r="X34" s="190"/>
      <c r="Y34" s="185"/>
      <c r="Z34" s="191"/>
      <c r="AA34" s="97">
        <v>0</v>
      </c>
      <c r="AB34" s="192">
        <v>0</v>
      </c>
      <c r="AC34" s="123"/>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row>
    <row r="35" spans="1:161" outlineLevel="1">
      <c r="A35" s="116"/>
      <c r="B35" s="116"/>
      <c r="C35" s="116">
        <v>2</v>
      </c>
      <c r="D35" s="3" t="s">
        <v>1170</v>
      </c>
      <c r="E35" s="183"/>
      <c r="F35" s="183" t="s">
        <v>1180</v>
      </c>
      <c r="G35" s="183"/>
      <c r="H35" s="183"/>
      <c r="I35" s="183"/>
      <c r="J35" s="183"/>
      <c r="K35" s="183"/>
      <c r="L35" s="183"/>
      <c r="M35" s="184">
        <v>43770</v>
      </c>
      <c r="N35" s="184">
        <v>43775</v>
      </c>
      <c r="O35" s="185"/>
      <c r="P35" s="186">
        <v>4</v>
      </c>
      <c r="Q35" s="186">
        <v>0</v>
      </c>
      <c r="R35" s="187">
        <v>4</v>
      </c>
      <c r="S35" s="187">
        <v>0</v>
      </c>
      <c r="T35" s="184"/>
      <c r="U35" s="184"/>
      <c r="V35" s="188"/>
      <c r="W35" s="189">
        <v>0</v>
      </c>
      <c r="X35" s="190">
        <v>1</v>
      </c>
      <c r="Y35" s="185" t="s">
        <v>1284</v>
      </c>
      <c r="Z35" s="191"/>
      <c r="AA35" s="97">
        <v>0</v>
      </c>
      <c r="AB35" s="192">
        <v>0</v>
      </c>
      <c r="AC35" s="123"/>
      <c r="AD35" s="4"/>
      <c r="AE35" s="4"/>
      <c r="AF35" s="4"/>
      <c r="AG35" s="4"/>
      <c r="AH35" s="4"/>
      <c r="AI35" s="4"/>
      <c r="AJ35" s="4"/>
      <c r="AK35" s="4"/>
      <c r="AL35" s="4" t="str">
        <f>"    " &amp; TEXT(AB35,"#0.00%") &amp; " " &amp; "API" &amp; "(Manoj,Max)" &amp; " " &amp; IF(M35="","",TEXT(M35,"M/D-")) &amp; IF(N35="","",TEXT(N35,"M/D")) &amp; " "</f>
        <v xml:space="preserve">    0.00% API(Manoj,Max) 11/1-11/6 </v>
      </c>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row>
    <row r="36" spans="1:161" outlineLevel="1">
      <c r="A36" s="116"/>
      <c r="B36" s="116"/>
      <c r="C36" s="116">
        <v>2</v>
      </c>
      <c r="D36" s="3" t="s">
        <v>1171</v>
      </c>
      <c r="E36" s="183"/>
      <c r="F36" s="183" t="s">
        <v>1199</v>
      </c>
      <c r="G36" s="183"/>
      <c r="H36" s="183"/>
      <c r="I36" s="183"/>
      <c r="J36" s="183"/>
      <c r="K36" s="183"/>
      <c r="L36" s="183"/>
      <c r="M36" s="184"/>
      <c r="N36" s="184"/>
      <c r="O36" s="185"/>
      <c r="P36" s="186">
        <v>0</v>
      </c>
      <c r="Q36" s="186">
        <v>0</v>
      </c>
      <c r="R36" s="187">
        <v>0</v>
      </c>
      <c r="S36" s="187">
        <v>0</v>
      </c>
      <c r="T36" s="184"/>
      <c r="U36" s="184"/>
      <c r="V36" s="188">
        <v>0</v>
      </c>
      <c r="W36" s="189">
        <v>0</v>
      </c>
      <c r="X36" s="190"/>
      <c r="Y36" s="185"/>
      <c r="Z36" s="191"/>
      <c r="AA36" s="97">
        <v>0</v>
      </c>
      <c r="AB36" s="192">
        <v>0</v>
      </c>
      <c r="AC36" s="123"/>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row>
    <row r="37" spans="1:161" outlineLevel="1">
      <c r="A37" s="116"/>
      <c r="B37" s="116"/>
      <c r="C37" s="116">
        <v>2</v>
      </c>
      <c r="D37" s="3" t="s">
        <v>1172</v>
      </c>
      <c r="E37" s="183"/>
      <c r="F37" s="183" t="s">
        <v>1182</v>
      </c>
      <c r="G37" s="183"/>
      <c r="H37" s="183"/>
      <c r="I37" s="183"/>
      <c r="J37" s="183"/>
      <c r="K37" s="183"/>
      <c r="L37" s="183"/>
      <c r="M37" s="184">
        <v>43776</v>
      </c>
      <c r="N37" s="184">
        <v>43780</v>
      </c>
      <c r="O37" s="185"/>
      <c r="P37" s="186">
        <v>3</v>
      </c>
      <c r="Q37" s="186">
        <v>0</v>
      </c>
      <c r="R37" s="187">
        <v>3</v>
      </c>
      <c r="S37" s="187">
        <v>0</v>
      </c>
      <c r="T37" s="184"/>
      <c r="U37" s="184"/>
      <c r="V37" s="188"/>
      <c r="W37" s="189">
        <v>0</v>
      </c>
      <c r="X37" s="190">
        <v>1</v>
      </c>
      <c r="Y37" s="185" t="s">
        <v>1298</v>
      </c>
      <c r="Z37" s="191"/>
      <c r="AA37" s="97">
        <v>0</v>
      </c>
      <c r="AB37" s="192">
        <v>0</v>
      </c>
      <c r="AC37" s="123"/>
      <c r="AD37" s="4"/>
      <c r="AE37" s="4"/>
      <c r="AF37" s="4"/>
      <c r="AG37" s="4"/>
      <c r="AH37" s="4"/>
      <c r="AI37" s="4"/>
      <c r="AJ37" s="4"/>
      <c r="AK37" s="4"/>
      <c r="AL37" s="4"/>
      <c r="AM37" s="4" t="str">
        <f>"   " &amp; TEXT(AB37,"#0.00%") &amp; " " &amp; "Test" &amp; "(Max, Pralhad)" &amp; " " &amp; IF(M37="","",TEXT(M37,"M/D-")) &amp; IF(N37="","",TEXT(N37,"M/D")) &amp; " "</f>
        <v xml:space="preserve">   0.00% Test(Max, Pralhad) 11/7-11/11 </v>
      </c>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row>
    <row r="38" spans="1:161" outlineLevel="1">
      <c r="A38" s="116"/>
      <c r="B38" s="116"/>
      <c r="C38" s="116">
        <v>2</v>
      </c>
      <c r="D38" s="3" t="s">
        <v>1173</v>
      </c>
      <c r="E38" s="183"/>
      <c r="F38" s="183" t="s">
        <v>1183</v>
      </c>
      <c r="G38" s="183"/>
      <c r="H38" s="183"/>
      <c r="I38" s="183"/>
      <c r="J38" s="183"/>
      <c r="K38" s="183"/>
      <c r="L38" s="183"/>
      <c r="M38" s="184">
        <v>43781</v>
      </c>
      <c r="N38" s="184">
        <v>43784</v>
      </c>
      <c r="O38" s="185"/>
      <c r="P38" s="186">
        <v>4</v>
      </c>
      <c r="Q38" s="186">
        <v>0</v>
      </c>
      <c r="R38" s="187">
        <v>4</v>
      </c>
      <c r="S38" s="187">
        <v>0</v>
      </c>
      <c r="T38" s="184"/>
      <c r="U38" s="184"/>
      <c r="V38" s="188"/>
      <c r="W38" s="189">
        <v>0</v>
      </c>
      <c r="X38" s="190">
        <v>1</v>
      </c>
      <c r="Y38" s="185" t="s">
        <v>1298</v>
      </c>
      <c r="Z38" s="191"/>
      <c r="AA38" s="97">
        <v>0</v>
      </c>
      <c r="AB38" s="192">
        <v>0</v>
      </c>
      <c r="AC38" s="123"/>
      <c r="AD38" s="4"/>
      <c r="AE38" s="4"/>
      <c r="AF38" s="4"/>
      <c r="AG38" s="4"/>
      <c r="AH38" s="4"/>
      <c r="AI38" s="4"/>
      <c r="AJ38" s="4"/>
      <c r="AK38" s="4"/>
      <c r="AL38" s="4"/>
      <c r="AM38" s="4"/>
      <c r="AN38" s="4" t="str">
        <f>" " &amp; TEXT(AB38,"#0.00%") &amp; " " &amp; "Publish" &amp; "(Max, Pralhad)" &amp; " " &amp; IF(M38="","",TEXT(M38,"M/D-")) &amp; IF(N38="","",TEXT(N38,"M/D")) &amp; " "</f>
        <v xml:space="preserve"> 0.00% Publish(Max, Pralhad) 11/12-11/15 </v>
      </c>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row>
    <row r="39" spans="1:161" outlineLevel="1">
      <c r="A39" s="116"/>
      <c r="B39" s="116"/>
      <c r="C39" s="116">
        <v>0</v>
      </c>
      <c r="D39" s="3"/>
      <c r="E39" s="183"/>
      <c r="F39" s="183"/>
      <c r="G39" s="183"/>
      <c r="H39" s="183"/>
      <c r="I39" s="183"/>
      <c r="J39" s="183"/>
      <c r="K39" s="183"/>
      <c r="L39" s="183"/>
      <c r="M39" s="184"/>
      <c r="N39" s="184"/>
      <c r="O39" s="185"/>
      <c r="P39" s="186"/>
      <c r="Q39" s="186"/>
      <c r="R39" s="187">
        <v>0</v>
      </c>
      <c r="S39" s="187">
        <v>0</v>
      </c>
      <c r="T39" s="184"/>
      <c r="U39" s="184"/>
      <c r="V39" s="188"/>
      <c r="W39" s="189">
        <v>0</v>
      </c>
      <c r="X39" s="190"/>
      <c r="Y39" s="185"/>
      <c r="Z39" s="191"/>
      <c r="AA39" s="97"/>
      <c r="AB39" s="192"/>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row>
    <row r="40" spans="1:161">
      <c r="A40" s="116"/>
      <c r="B40" s="116" t="s">
        <v>1061</v>
      </c>
      <c r="C40" s="116">
        <v>1</v>
      </c>
      <c r="D40" s="3" t="s">
        <v>1142</v>
      </c>
      <c r="E40" s="183" t="s">
        <v>1286</v>
      </c>
      <c r="F40" s="183"/>
      <c r="G40" s="183"/>
      <c r="H40" s="183"/>
      <c r="I40" s="183"/>
      <c r="J40" s="183"/>
      <c r="K40" s="183"/>
      <c r="L40" s="183"/>
      <c r="M40" s="184">
        <v>43773</v>
      </c>
      <c r="N40" s="184">
        <v>43791</v>
      </c>
      <c r="O40" s="185"/>
      <c r="P40" s="186">
        <v>25</v>
      </c>
      <c r="Q40" s="186">
        <v>0</v>
      </c>
      <c r="R40" s="187">
        <v>15</v>
      </c>
      <c r="S40" s="187">
        <v>0</v>
      </c>
      <c r="T40" s="184"/>
      <c r="U40" s="184"/>
      <c r="V40" s="188">
        <v>0</v>
      </c>
      <c r="W40" s="189">
        <v>0</v>
      </c>
      <c r="X40" s="190"/>
      <c r="Y40" s="185"/>
      <c r="Z40" s="191"/>
      <c r="AA40" s="97">
        <v>0</v>
      </c>
      <c r="AB40" s="192">
        <v>0</v>
      </c>
      <c r="AC40" s="123"/>
      <c r="AD40" s="4"/>
      <c r="AE40" s="4"/>
      <c r="AF40" s="4"/>
      <c r="AG40" s="4"/>
      <c r="AH40" s="4"/>
      <c r="AI40" s="4"/>
      <c r="AJ40" s="4"/>
      <c r="AK40" s="4"/>
      <c r="AL40" s="4"/>
      <c r="AM40" s="4" t="str">
        <f>"" &amp; TEXT(AB40,"#0.00%") &amp; " " &amp; "Inbound Remittance" &amp; " " &amp; IF(M40="","",TEXT(M40,"M/D-")) &amp; IF(N40="","",TEXT(N40,"M/D")) &amp; " "</f>
        <v xml:space="preserve">0.00% Inbound Remittance 11/4-11/22 </v>
      </c>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row>
    <row r="41" spans="1:161" outlineLevel="1">
      <c r="A41" s="116"/>
      <c r="B41" s="116"/>
      <c r="C41" s="116">
        <v>2</v>
      </c>
      <c r="D41" s="3" t="s">
        <v>1143</v>
      </c>
      <c r="E41" s="183"/>
      <c r="F41" s="183" t="s">
        <v>1198</v>
      </c>
      <c r="G41" s="183"/>
      <c r="H41" s="183"/>
      <c r="I41" s="183"/>
      <c r="J41" s="183"/>
      <c r="K41" s="183"/>
      <c r="L41" s="183"/>
      <c r="M41" s="184">
        <v>43773</v>
      </c>
      <c r="N41" s="184">
        <v>43777</v>
      </c>
      <c r="O41" s="185"/>
      <c r="P41" s="186">
        <v>5</v>
      </c>
      <c r="Q41" s="186">
        <v>0</v>
      </c>
      <c r="R41" s="187">
        <v>5</v>
      </c>
      <c r="S41" s="187">
        <v>0</v>
      </c>
      <c r="T41" s="184"/>
      <c r="U41" s="184"/>
      <c r="V41" s="188"/>
      <c r="W41" s="189">
        <v>0</v>
      </c>
      <c r="X41" s="190">
        <v>1</v>
      </c>
      <c r="Y41" s="185" t="s">
        <v>1283</v>
      </c>
      <c r="Z41" s="191"/>
      <c r="AA41" s="97">
        <v>0</v>
      </c>
      <c r="AB41" s="192">
        <v>0</v>
      </c>
      <c r="AC41" s="123"/>
      <c r="AD41" s="4"/>
      <c r="AE41" s="4"/>
      <c r="AF41" s="4"/>
      <c r="AG41" s="4"/>
      <c r="AH41" s="4"/>
      <c r="AI41" s="4"/>
      <c r="AJ41" s="4"/>
      <c r="AK41" s="4"/>
      <c r="AL41" s="4"/>
      <c r="AM41" s="4" t="str">
        <f>"" &amp; TEXT(AB41,"#0.00%") &amp; " " &amp; "Design" &amp; "(Max,Pralhad)" &amp; " " &amp; IF(M41="","",TEXT(M41,"M/D-")) &amp; IF(N41="","",TEXT(N41,"M/D")) &amp; " "</f>
        <v xml:space="preserve">0.00% Design(Max,Pralhad) 11/4-11/8 </v>
      </c>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row>
    <row r="42" spans="1:161" outlineLevel="1">
      <c r="A42" s="116"/>
      <c r="B42" s="116"/>
      <c r="C42" s="116">
        <v>2</v>
      </c>
      <c r="D42" s="3" t="s">
        <v>1144</v>
      </c>
      <c r="E42" s="183"/>
      <c r="F42" s="183" t="s">
        <v>1178</v>
      </c>
      <c r="G42" s="183"/>
      <c r="H42" s="183"/>
      <c r="I42" s="183"/>
      <c r="J42" s="183"/>
      <c r="K42" s="183"/>
      <c r="L42" s="183"/>
      <c r="M42" s="184"/>
      <c r="N42" s="184"/>
      <c r="O42" s="185"/>
      <c r="P42" s="186">
        <v>0</v>
      </c>
      <c r="Q42" s="186">
        <v>0</v>
      </c>
      <c r="R42" s="187">
        <v>0</v>
      </c>
      <c r="S42" s="187">
        <v>0</v>
      </c>
      <c r="T42" s="184"/>
      <c r="U42" s="184"/>
      <c r="V42" s="188">
        <v>0</v>
      </c>
      <c r="W42" s="189">
        <v>0</v>
      </c>
      <c r="X42" s="190"/>
      <c r="Y42" s="185"/>
      <c r="Z42" s="191"/>
      <c r="AA42" s="97">
        <v>0</v>
      </c>
      <c r="AB42" s="192">
        <v>0</v>
      </c>
      <c r="AC42" s="123"/>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row>
    <row r="43" spans="1:161" outlineLevel="1">
      <c r="A43" s="116"/>
      <c r="B43" s="116"/>
      <c r="C43" s="116">
        <v>2</v>
      </c>
      <c r="D43" s="3" t="s">
        <v>1145</v>
      </c>
      <c r="E43" s="183"/>
      <c r="F43" s="183" t="s">
        <v>1179</v>
      </c>
      <c r="G43" s="183"/>
      <c r="H43" s="183"/>
      <c r="I43" s="183"/>
      <c r="J43" s="183"/>
      <c r="K43" s="183"/>
      <c r="L43" s="183"/>
      <c r="M43" s="184"/>
      <c r="N43" s="184"/>
      <c r="O43" s="185"/>
      <c r="P43" s="186">
        <v>0</v>
      </c>
      <c r="Q43" s="186">
        <v>0</v>
      </c>
      <c r="R43" s="187">
        <v>0</v>
      </c>
      <c r="S43" s="187">
        <v>0</v>
      </c>
      <c r="T43" s="184"/>
      <c r="U43" s="184"/>
      <c r="V43" s="188">
        <v>0</v>
      </c>
      <c r="W43" s="189">
        <v>0</v>
      </c>
      <c r="X43" s="190"/>
      <c r="Y43" s="185"/>
      <c r="Z43" s="191"/>
      <c r="AA43" s="97">
        <v>0</v>
      </c>
      <c r="AB43" s="192">
        <v>0</v>
      </c>
      <c r="AC43" s="123"/>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row>
    <row r="44" spans="1:161" outlineLevel="1">
      <c r="A44" s="116"/>
      <c r="B44" s="116"/>
      <c r="C44" s="116">
        <v>2</v>
      </c>
      <c r="D44" s="3" t="s">
        <v>1174</v>
      </c>
      <c r="E44" s="183"/>
      <c r="F44" s="183" t="s">
        <v>1180</v>
      </c>
      <c r="G44" s="183"/>
      <c r="H44" s="183"/>
      <c r="I44" s="183"/>
      <c r="J44" s="183"/>
      <c r="K44" s="183"/>
      <c r="L44" s="183"/>
      <c r="M44" s="184">
        <v>43773</v>
      </c>
      <c r="N44" s="184">
        <v>43777</v>
      </c>
      <c r="O44" s="185"/>
      <c r="P44" s="186">
        <v>5</v>
      </c>
      <c r="Q44" s="186">
        <v>0</v>
      </c>
      <c r="R44" s="187">
        <v>5</v>
      </c>
      <c r="S44" s="187">
        <v>0</v>
      </c>
      <c r="T44" s="184"/>
      <c r="U44" s="184"/>
      <c r="V44" s="188"/>
      <c r="W44" s="189">
        <v>0</v>
      </c>
      <c r="X44" s="190">
        <v>1</v>
      </c>
      <c r="Y44" s="185" t="s">
        <v>1312</v>
      </c>
      <c r="Z44" s="191"/>
      <c r="AA44" s="97">
        <v>0</v>
      </c>
      <c r="AB44" s="192">
        <v>0</v>
      </c>
      <c r="AC44" s="123"/>
      <c r="AD44" s="4"/>
      <c r="AE44" s="4"/>
      <c r="AF44" s="4"/>
      <c r="AG44" s="4"/>
      <c r="AH44" s="4"/>
      <c r="AI44" s="4"/>
      <c r="AJ44" s="4"/>
      <c r="AK44" s="4"/>
      <c r="AL44" s="4"/>
      <c r="AM44" s="4" t="str">
        <f>"" &amp; TEXT(AB44,"#0.00%") &amp; " " &amp; "API" &amp; "(Saroj)" &amp; " " &amp; IF(M44="","",TEXT(M44,"M/D-")) &amp; IF(N44="","",TEXT(N44,"M/D")) &amp; " "</f>
        <v xml:space="preserve">0.00% API(Saroj) 11/4-11/8 </v>
      </c>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row>
    <row r="45" spans="1:161" outlineLevel="1">
      <c r="A45" s="116"/>
      <c r="B45" s="116"/>
      <c r="C45" s="116">
        <v>2</v>
      </c>
      <c r="D45" s="3" t="s">
        <v>1175</v>
      </c>
      <c r="E45" s="183"/>
      <c r="F45" s="183" t="s">
        <v>1199</v>
      </c>
      <c r="G45" s="183"/>
      <c r="H45" s="183"/>
      <c r="I45" s="183"/>
      <c r="J45" s="183"/>
      <c r="K45" s="183"/>
      <c r="L45" s="183"/>
      <c r="M45" s="184">
        <v>43773</v>
      </c>
      <c r="N45" s="184">
        <v>43777</v>
      </c>
      <c r="O45" s="185"/>
      <c r="P45" s="186">
        <v>5</v>
      </c>
      <c r="Q45" s="186">
        <v>0</v>
      </c>
      <c r="R45" s="187">
        <v>5</v>
      </c>
      <c r="S45" s="187">
        <v>0</v>
      </c>
      <c r="T45" s="184"/>
      <c r="U45" s="184"/>
      <c r="V45" s="188"/>
      <c r="W45" s="189">
        <v>0</v>
      </c>
      <c r="X45" s="190">
        <v>1</v>
      </c>
      <c r="Y45" s="185" t="s">
        <v>1181</v>
      </c>
      <c r="Z45" s="191"/>
      <c r="AA45" s="97">
        <v>0</v>
      </c>
      <c r="AB45" s="192">
        <v>0</v>
      </c>
      <c r="AC45" s="123"/>
      <c r="AD45" s="4"/>
      <c r="AE45" s="4"/>
      <c r="AF45" s="4"/>
      <c r="AG45" s="4"/>
      <c r="AH45" s="4"/>
      <c r="AI45" s="4"/>
      <c r="AJ45" s="4"/>
      <c r="AK45" s="4"/>
      <c r="AL45" s="4"/>
      <c r="AM45" s="4" t="str">
        <f>"" &amp; TEXT(AB45,"#0.00%") &amp; " " &amp; "iOS/Android" &amp; "(James,Preyea)" &amp; " " &amp; IF(M45="","",TEXT(M45,"M/D-")) &amp; IF(N45="","",TEXT(N45,"M/D")) &amp; " "</f>
        <v xml:space="preserve">0.00% iOS/Android(James,Preyea) 11/4-11/8 </v>
      </c>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row>
    <row r="46" spans="1:161" outlineLevel="1">
      <c r="A46" s="116"/>
      <c r="B46" s="116"/>
      <c r="C46" s="116">
        <v>2</v>
      </c>
      <c r="D46" s="3" t="s">
        <v>1176</v>
      </c>
      <c r="E46" s="183"/>
      <c r="F46" s="183" t="s">
        <v>1182</v>
      </c>
      <c r="G46" s="183"/>
      <c r="H46" s="183"/>
      <c r="I46" s="183"/>
      <c r="J46" s="183"/>
      <c r="K46" s="183"/>
      <c r="L46" s="183"/>
      <c r="M46" s="184">
        <v>43780</v>
      </c>
      <c r="N46" s="184">
        <v>43784</v>
      </c>
      <c r="O46" s="185"/>
      <c r="P46" s="186">
        <v>5</v>
      </c>
      <c r="Q46" s="186">
        <v>0</v>
      </c>
      <c r="R46" s="187">
        <v>5</v>
      </c>
      <c r="S46" s="187">
        <v>0</v>
      </c>
      <c r="T46" s="184"/>
      <c r="U46" s="184"/>
      <c r="V46" s="188"/>
      <c r="W46" s="189">
        <v>0</v>
      </c>
      <c r="X46" s="190">
        <v>1</v>
      </c>
      <c r="Y46" s="185" t="s">
        <v>1298</v>
      </c>
      <c r="Z46" s="191"/>
      <c r="AA46" s="97">
        <v>0</v>
      </c>
      <c r="AB46" s="192">
        <v>0</v>
      </c>
      <c r="AC46" s="123"/>
      <c r="AD46" s="4"/>
      <c r="AE46" s="4"/>
      <c r="AF46" s="4"/>
      <c r="AG46" s="4"/>
      <c r="AH46" s="4"/>
      <c r="AI46" s="4"/>
      <c r="AJ46" s="4"/>
      <c r="AK46" s="4"/>
      <c r="AL46" s="4"/>
      <c r="AM46" s="4"/>
      <c r="AN46" s="4" t="str">
        <f>"" &amp; TEXT(AB46,"#0.00%") &amp; " " &amp; "Test" &amp; "(Max, Pralhad)" &amp; " " &amp; IF(M46="","",TEXT(M46,"M/D-")) &amp; IF(N46="","",TEXT(N46,"M/D")) &amp; " "</f>
        <v xml:space="preserve">0.00% Test(Max, Pralhad) 11/11-11/15 </v>
      </c>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row>
    <row r="47" spans="1:161" outlineLevel="1">
      <c r="A47" s="116"/>
      <c r="B47" s="116"/>
      <c r="C47" s="116">
        <v>2</v>
      </c>
      <c r="D47" s="3" t="s">
        <v>1177</v>
      </c>
      <c r="E47" s="183"/>
      <c r="F47" s="183" t="s">
        <v>1183</v>
      </c>
      <c r="G47" s="183"/>
      <c r="H47" s="183"/>
      <c r="I47" s="183"/>
      <c r="J47" s="183"/>
      <c r="K47" s="183"/>
      <c r="L47" s="183"/>
      <c r="M47" s="184">
        <v>43787</v>
      </c>
      <c r="N47" s="184">
        <v>43791</v>
      </c>
      <c r="O47" s="185"/>
      <c r="P47" s="186">
        <v>5</v>
      </c>
      <c r="Q47" s="186">
        <v>0</v>
      </c>
      <c r="R47" s="187">
        <v>5</v>
      </c>
      <c r="S47" s="187">
        <v>0</v>
      </c>
      <c r="T47" s="184"/>
      <c r="U47" s="184"/>
      <c r="V47" s="188"/>
      <c r="W47" s="189">
        <v>0</v>
      </c>
      <c r="X47" s="190">
        <v>1</v>
      </c>
      <c r="Y47" s="185" t="s">
        <v>1298</v>
      </c>
      <c r="Z47" s="191"/>
      <c r="AA47" s="97">
        <v>0</v>
      </c>
      <c r="AB47" s="192">
        <v>0</v>
      </c>
      <c r="AC47" s="123"/>
      <c r="AD47" s="4"/>
      <c r="AE47" s="4"/>
      <c r="AF47" s="4"/>
      <c r="AG47" s="4"/>
      <c r="AH47" s="4"/>
      <c r="AI47" s="4"/>
      <c r="AJ47" s="4"/>
      <c r="AK47" s="4"/>
      <c r="AL47" s="4"/>
      <c r="AM47" s="4"/>
      <c r="AN47" s="4"/>
      <c r="AO47" s="4" t="str">
        <f>"" &amp; TEXT(AB47,"#0.00%") &amp; " " &amp; "Publish" &amp; "(Max, Pralhad)" &amp; " " &amp; IF(M47="","",TEXT(M47,"M/D-")) &amp; IF(N47="","",TEXT(N47,"M/D")) &amp; " "</f>
        <v xml:space="preserve">0.00% Publish(Max, Pralhad) 11/18-11/22 </v>
      </c>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row>
    <row r="48" spans="1:161" outlineLevel="1">
      <c r="A48" s="116"/>
      <c r="B48" s="116"/>
      <c r="C48" s="116">
        <v>0</v>
      </c>
      <c r="D48" s="3"/>
      <c r="E48" s="183"/>
      <c r="F48" s="183"/>
      <c r="G48" s="183"/>
      <c r="H48" s="183"/>
      <c r="I48" s="183"/>
      <c r="J48" s="183"/>
      <c r="K48" s="183"/>
      <c r="L48" s="183"/>
      <c r="M48" s="184"/>
      <c r="N48" s="184"/>
      <c r="O48" s="185"/>
      <c r="P48" s="186"/>
      <c r="Q48" s="186"/>
      <c r="R48" s="187">
        <v>0</v>
      </c>
      <c r="S48" s="187">
        <v>0</v>
      </c>
      <c r="T48" s="184"/>
      <c r="U48" s="184"/>
      <c r="V48" s="188"/>
      <c r="W48" s="189">
        <v>0</v>
      </c>
      <c r="X48" s="190"/>
      <c r="Y48" s="185"/>
      <c r="Z48" s="191"/>
      <c r="AA48" s="97"/>
      <c r="AB48" s="192"/>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row>
    <row r="49" spans="1:161">
      <c r="A49" s="116"/>
      <c r="B49" s="116" t="s">
        <v>1061</v>
      </c>
      <c r="C49" s="116">
        <v>1</v>
      </c>
      <c r="D49" s="3" t="s">
        <v>1190</v>
      </c>
      <c r="E49" s="183" t="s">
        <v>1262</v>
      </c>
      <c r="F49" s="183"/>
      <c r="G49" s="183"/>
      <c r="H49" s="183"/>
      <c r="I49" s="183"/>
      <c r="J49" s="183"/>
      <c r="K49" s="183"/>
      <c r="L49" s="183"/>
      <c r="M49" s="184">
        <v>43780</v>
      </c>
      <c r="N49" s="184">
        <v>43819</v>
      </c>
      <c r="O49" s="185"/>
      <c r="P49" s="186">
        <v>35</v>
      </c>
      <c r="Q49" s="186">
        <v>0</v>
      </c>
      <c r="R49" s="187">
        <v>30</v>
      </c>
      <c r="S49" s="187">
        <v>0</v>
      </c>
      <c r="T49" s="184"/>
      <c r="U49" s="184"/>
      <c r="V49" s="188">
        <v>0</v>
      </c>
      <c r="W49" s="189">
        <v>0</v>
      </c>
      <c r="X49" s="190"/>
      <c r="Y49" s="185"/>
      <c r="Z49" s="191"/>
      <c r="AA49" s="97">
        <v>0</v>
      </c>
      <c r="AB49" s="192">
        <v>0</v>
      </c>
      <c r="AC49" s="123"/>
      <c r="AD49" s="4"/>
      <c r="AE49" s="4"/>
      <c r="AF49" s="4"/>
      <c r="AG49" s="4"/>
      <c r="AH49" s="4"/>
      <c r="AI49" s="4"/>
      <c r="AJ49" s="4"/>
      <c r="AK49" s="4"/>
      <c r="AL49" s="4"/>
      <c r="AM49" s="4"/>
      <c r="AN49" s="4" t="str">
        <f>"" &amp; TEXT(AB49,"#0.00%") &amp; " "</f>
        <v xml:space="preserve">0.00% </v>
      </c>
      <c r="AO49" s="4"/>
      <c r="AP49" s="4"/>
      <c r="AQ49" s="4"/>
      <c r="AR49" s="4"/>
      <c r="AS49" s="4" t="str">
        <f>"     " &amp; "Inbound Remittance(RIA)" &amp; " " &amp; IF(M49="","",TEXT(M49,"M/D-")) &amp; IF(N49="","",TEXT(N49,"M/D")) &amp; " "</f>
        <v xml:space="preserve">     Inbound Remittance(RIA) 11/11-12/20 </v>
      </c>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row>
    <row r="50" spans="1:161" outlineLevel="1">
      <c r="A50" s="116"/>
      <c r="B50" s="116"/>
      <c r="C50" s="116">
        <v>2</v>
      </c>
      <c r="D50" s="3" t="s">
        <v>1191</v>
      </c>
      <c r="E50" s="183"/>
      <c r="F50" s="183" t="s">
        <v>1198</v>
      </c>
      <c r="G50" s="183"/>
      <c r="H50" s="183"/>
      <c r="I50" s="183"/>
      <c r="J50" s="183"/>
      <c r="K50" s="183"/>
      <c r="L50" s="183"/>
      <c r="M50" s="184"/>
      <c r="N50" s="184"/>
      <c r="O50" s="185"/>
      <c r="P50" s="186">
        <v>0</v>
      </c>
      <c r="Q50" s="186">
        <v>0</v>
      </c>
      <c r="R50" s="187">
        <v>0</v>
      </c>
      <c r="S50" s="187">
        <v>0</v>
      </c>
      <c r="T50" s="184"/>
      <c r="U50" s="184"/>
      <c r="V50" s="188">
        <v>0</v>
      </c>
      <c r="W50" s="189">
        <v>0</v>
      </c>
      <c r="X50" s="190">
        <v>1</v>
      </c>
      <c r="Y50" s="185"/>
      <c r="Z50" s="191"/>
      <c r="AA50" s="97">
        <v>0</v>
      </c>
      <c r="AB50" s="192">
        <v>0</v>
      </c>
      <c r="AC50" s="123"/>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row>
    <row r="51" spans="1:161" outlineLevel="1">
      <c r="A51" s="116"/>
      <c r="B51" s="116"/>
      <c r="C51" s="116">
        <v>2</v>
      </c>
      <c r="D51" s="3" t="s">
        <v>1192</v>
      </c>
      <c r="E51" s="183"/>
      <c r="F51" s="183" t="s">
        <v>1178</v>
      </c>
      <c r="G51" s="183"/>
      <c r="H51" s="183"/>
      <c r="I51" s="183"/>
      <c r="J51" s="183"/>
      <c r="K51" s="183"/>
      <c r="L51" s="183"/>
      <c r="M51" s="184">
        <v>43801</v>
      </c>
      <c r="N51" s="184">
        <v>43805</v>
      </c>
      <c r="O51" s="185"/>
      <c r="P51" s="186">
        <v>5</v>
      </c>
      <c r="Q51" s="186">
        <v>0</v>
      </c>
      <c r="R51" s="187">
        <v>5</v>
      </c>
      <c r="S51" s="187">
        <v>0</v>
      </c>
      <c r="T51" s="184"/>
      <c r="U51" s="184"/>
      <c r="V51" s="188"/>
      <c r="W51" s="189">
        <v>0</v>
      </c>
      <c r="X51" s="190">
        <v>1</v>
      </c>
      <c r="Y51" s="185" t="s">
        <v>1312</v>
      </c>
      <c r="Z51" s="191"/>
      <c r="AA51" s="97">
        <v>0</v>
      </c>
      <c r="AB51" s="192">
        <v>0</v>
      </c>
      <c r="AC51" s="123"/>
      <c r="AD51" s="4"/>
      <c r="AE51" s="4"/>
      <c r="AF51" s="4"/>
      <c r="AG51" s="4"/>
      <c r="AH51" s="4"/>
      <c r="AI51" s="4"/>
      <c r="AJ51" s="4"/>
      <c r="AK51" s="4"/>
      <c r="AL51" s="4"/>
      <c r="AM51" s="4"/>
      <c r="AN51" s="4"/>
      <c r="AO51" s="4"/>
      <c r="AP51" s="4"/>
      <c r="AQ51" s="4" t="str">
        <f>"" &amp; TEXT(AB51,"#0.00%") &amp; " " &amp; "Core" &amp; "(Saroj)" &amp; " " &amp; IF(M51="","",TEXT(M51,"M/D-")) &amp; IF(N51="","",TEXT(N51,"M/D")) &amp; " "</f>
        <v xml:space="preserve">0.00% Core(Saroj) 12/2-12/6 </v>
      </c>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row>
    <row r="52" spans="1:161" outlineLevel="1">
      <c r="A52" s="116"/>
      <c r="B52" s="116"/>
      <c r="C52" s="116">
        <v>2</v>
      </c>
      <c r="D52" s="3" t="s">
        <v>1193</v>
      </c>
      <c r="E52" s="183"/>
      <c r="F52" s="183" t="s">
        <v>1313</v>
      </c>
      <c r="G52" s="183"/>
      <c r="H52" s="183"/>
      <c r="I52" s="183"/>
      <c r="J52" s="183"/>
      <c r="K52" s="183"/>
      <c r="L52" s="183"/>
      <c r="M52" s="184">
        <v>43801</v>
      </c>
      <c r="N52" s="184">
        <v>43805</v>
      </c>
      <c r="O52" s="185"/>
      <c r="P52" s="186">
        <v>5</v>
      </c>
      <c r="Q52" s="186">
        <v>0</v>
      </c>
      <c r="R52" s="187">
        <v>5</v>
      </c>
      <c r="S52" s="187">
        <v>0</v>
      </c>
      <c r="T52" s="184"/>
      <c r="U52" s="184"/>
      <c r="V52" s="188"/>
      <c r="W52" s="189">
        <v>0</v>
      </c>
      <c r="X52" s="190">
        <v>1</v>
      </c>
      <c r="Y52" s="185" t="s">
        <v>1312</v>
      </c>
      <c r="Z52" s="191"/>
      <c r="AA52" s="97">
        <v>0</v>
      </c>
      <c r="AB52" s="192">
        <v>0</v>
      </c>
      <c r="AC52" s="123"/>
      <c r="AD52" s="4"/>
      <c r="AE52" s="4"/>
      <c r="AF52" s="4"/>
      <c r="AG52" s="4"/>
      <c r="AH52" s="4"/>
      <c r="AI52" s="4"/>
      <c r="AJ52" s="4"/>
      <c r="AK52" s="4"/>
      <c r="AL52" s="4"/>
      <c r="AM52" s="4"/>
      <c r="AN52" s="4"/>
      <c r="AO52" s="4"/>
      <c r="AP52" s="4"/>
      <c r="AQ52" s="4" t="str">
        <f>"" &amp; TEXT(AB52,"#0.00%") &amp; " " &amp; "Sheduler" &amp; "(Saroj)" &amp; " " &amp; IF(M52="","",TEXT(M52,"M/D-")) &amp; IF(N52="","",TEXT(N52,"M/D")) &amp; " "</f>
        <v xml:space="preserve">0.00% Sheduler(Saroj) 12/2-12/6 </v>
      </c>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row>
    <row r="53" spans="1:161" outlineLevel="1">
      <c r="A53" s="116"/>
      <c r="B53" s="116"/>
      <c r="C53" s="116">
        <v>2</v>
      </c>
      <c r="D53" s="3" t="s">
        <v>1194</v>
      </c>
      <c r="E53" s="183"/>
      <c r="F53" s="183" t="s">
        <v>1314</v>
      </c>
      <c r="G53" s="183"/>
      <c r="H53" s="183"/>
      <c r="I53" s="183"/>
      <c r="J53" s="183"/>
      <c r="K53" s="183"/>
      <c r="L53" s="183"/>
      <c r="M53" s="184">
        <v>43780</v>
      </c>
      <c r="N53" s="184">
        <v>43798</v>
      </c>
      <c r="O53" s="185"/>
      <c r="P53" s="186">
        <v>15</v>
      </c>
      <c r="Q53" s="186">
        <v>0</v>
      </c>
      <c r="R53" s="187">
        <v>15</v>
      </c>
      <c r="S53" s="187">
        <v>0</v>
      </c>
      <c r="T53" s="184"/>
      <c r="U53" s="184"/>
      <c r="V53" s="188"/>
      <c r="W53" s="189">
        <v>0</v>
      </c>
      <c r="X53" s="190">
        <v>1</v>
      </c>
      <c r="Y53" s="185" t="s">
        <v>1312</v>
      </c>
      <c r="Z53" s="191"/>
      <c r="AA53" s="97">
        <v>0</v>
      </c>
      <c r="AB53" s="192">
        <v>0</v>
      </c>
      <c r="AC53" s="123"/>
      <c r="AD53" s="4"/>
      <c r="AE53" s="4"/>
      <c r="AF53" s="4"/>
      <c r="AG53" s="4"/>
      <c r="AH53" s="4"/>
      <c r="AI53" s="4"/>
      <c r="AJ53" s="4"/>
      <c r="AK53" s="4"/>
      <c r="AL53" s="4"/>
      <c r="AM53" s="4"/>
      <c r="AN53" s="4" t="str">
        <f>"" &amp; TEXT(AB53,"#0.00%") &amp; " " &amp; "New Inbound API" &amp; "(Saroj)" &amp; " " &amp; IF(M53="","",TEXT(M53,"M/D-")) &amp; IF(N53="","",TEXT(N53,"M/D")) &amp; " "</f>
        <v xml:space="preserve">0.00% New Inbound API(Saroj) 11/11-11/29 </v>
      </c>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row>
    <row r="54" spans="1:161" outlineLevel="1">
      <c r="A54" s="116"/>
      <c r="B54" s="116"/>
      <c r="C54" s="116">
        <v>2</v>
      </c>
      <c r="D54" s="3" t="s">
        <v>1195</v>
      </c>
      <c r="E54" s="183"/>
      <c r="F54" s="183" t="s">
        <v>1199</v>
      </c>
      <c r="G54" s="183"/>
      <c r="H54" s="183"/>
      <c r="I54" s="183"/>
      <c r="J54" s="183"/>
      <c r="K54" s="183"/>
      <c r="L54" s="183"/>
      <c r="M54" s="184"/>
      <c r="N54" s="184"/>
      <c r="O54" s="185"/>
      <c r="P54" s="186">
        <v>0</v>
      </c>
      <c r="Q54" s="186">
        <v>0</v>
      </c>
      <c r="R54" s="187">
        <v>0</v>
      </c>
      <c r="S54" s="187">
        <v>0</v>
      </c>
      <c r="T54" s="184"/>
      <c r="U54" s="184"/>
      <c r="V54" s="188">
        <v>0</v>
      </c>
      <c r="W54" s="189">
        <v>0</v>
      </c>
      <c r="X54" s="190"/>
      <c r="Y54" s="185"/>
      <c r="Z54" s="191"/>
      <c r="AA54" s="97">
        <v>0</v>
      </c>
      <c r="AB54" s="192">
        <v>0</v>
      </c>
      <c r="AC54" s="123"/>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row>
    <row r="55" spans="1:161" outlineLevel="1">
      <c r="A55" s="116"/>
      <c r="B55" s="116"/>
      <c r="C55" s="116">
        <v>2</v>
      </c>
      <c r="D55" s="3" t="s">
        <v>1196</v>
      </c>
      <c r="E55" s="183"/>
      <c r="F55" s="183" t="s">
        <v>1182</v>
      </c>
      <c r="G55" s="183"/>
      <c r="H55" s="183"/>
      <c r="I55" s="183"/>
      <c r="J55" s="183"/>
      <c r="K55" s="183"/>
      <c r="L55" s="183"/>
      <c r="M55" s="184">
        <v>43808</v>
      </c>
      <c r="N55" s="184">
        <v>43812</v>
      </c>
      <c r="O55" s="185"/>
      <c r="P55" s="186">
        <v>5</v>
      </c>
      <c r="Q55" s="186">
        <v>0</v>
      </c>
      <c r="R55" s="187">
        <v>5</v>
      </c>
      <c r="S55" s="187">
        <v>0</v>
      </c>
      <c r="T55" s="184"/>
      <c r="U55" s="184"/>
      <c r="V55" s="188"/>
      <c r="W55" s="189">
        <v>0</v>
      </c>
      <c r="X55" s="190">
        <v>1</v>
      </c>
      <c r="Y55" s="185" t="s">
        <v>1298</v>
      </c>
      <c r="Z55" s="191"/>
      <c r="AA55" s="97">
        <v>0</v>
      </c>
      <c r="AB55" s="192">
        <v>0</v>
      </c>
      <c r="AC55" s="123"/>
      <c r="AD55" s="4"/>
      <c r="AE55" s="4"/>
      <c r="AF55" s="4"/>
      <c r="AG55" s="4"/>
      <c r="AH55" s="4"/>
      <c r="AI55" s="4"/>
      <c r="AJ55" s="4"/>
      <c r="AK55" s="4"/>
      <c r="AL55" s="4"/>
      <c r="AM55" s="4"/>
      <c r="AN55" s="4"/>
      <c r="AO55" s="4"/>
      <c r="AP55" s="4"/>
      <c r="AQ55" s="4"/>
      <c r="AR55" s="4" t="str">
        <f>"" &amp; TEXT(AB55,"#0.00%") &amp; " " &amp; "Test" &amp; "(Max, Pralhad)" &amp; " " &amp; IF(M55="","",TEXT(M55,"M/D-")) &amp; IF(N55="","",TEXT(N55,"M/D")) &amp; " "</f>
        <v xml:space="preserve">0.00% Test(Max, Pralhad) 12/9-12/13 </v>
      </c>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row>
    <row r="56" spans="1:161" outlineLevel="1">
      <c r="A56" s="116"/>
      <c r="B56" s="116"/>
      <c r="C56" s="116">
        <v>2</v>
      </c>
      <c r="D56" s="3" t="s">
        <v>1197</v>
      </c>
      <c r="E56" s="183"/>
      <c r="F56" s="183" t="s">
        <v>1183</v>
      </c>
      <c r="G56" s="183"/>
      <c r="H56" s="183"/>
      <c r="I56" s="183"/>
      <c r="J56" s="183"/>
      <c r="K56" s="183"/>
      <c r="L56" s="183"/>
      <c r="M56" s="184">
        <v>43815</v>
      </c>
      <c r="N56" s="184">
        <v>43819</v>
      </c>
      <c r="O56" s="185"/>
      <c r="P56" s="186">
        <v>5</v>
      </c>
      <c r="Q56" s="186">
        <v>0</v>
      </c>
      <c r="R56" s="187">
        <v>5</v>
      </c>
      <c r="S56" s="187">
        <v>0</v>
      </c>
      <c r="T56" s="184"/>
      <c r="U56" s="184"/>
      <c r="V56" s="188"/>
      <c r="W56" s="189">
        <v>0</v>
      </c>
      <c r="X56" s="190">
        <v>1</v>
      </c>
      <c r="Y56" s="185" t="s">
        <v>1298</v>
      </c>
      <c r="Z56" s="191"/>
      <c r="AA56" s="97">
        <v>0</v>
      </c>
      <c r="AB56" s="192">
        <v>0</v>
      </c>
      <c r="AC56" s="123"/>
      <c r="AD56" s="4"/>
      <c r="AE56" s="4"/>
      <c r="AF56" s="4"/>
      <c r="AG56" s="4"/>
      <c r="AH56" s="4"/>
      <c r="AI56" s="4"/>
      <c r="AJ56" s="4"/>
      <c r="AK56" s="4"/>
      <c r="AL56" s="4"/>
      <c r="AM56" s="4"/>
      <c r="AN56" s="4"/>
      <c r="AO56" s="4"/>
      <c r="AP56" s="4"/>
      <c r="AQ56" s="4"/>
      <c r="AR56" s="4"/>
      <c r="AS56" s="4" t="str">
        <f>"" &amp; TEXT(AB56,"#0.00%") &amp; " " &amp; "Publish" &amp; "(Max, Pralhad)" &amp; " " &amp; IF(M56="","",TEXT(M56,"M/D-")) &amp; IF(N56="","",TEXT(N56,"M/D")) &amp; " "</f>
        <v xml:space="preserve">0.00% Publish(Max, Pralhad) 12/16-12/20 </v>
      </c>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row>
    <row r="57" spans="1:161" outlineLevel="1">
      <c r="A57" s="116"/>
      <c r="B57" s="116"/>
      <c r="C57" s="116">
        <v>0</v>
      </c>
      <c r="D57" s="3"/>
      <c r="E57" s="183"/>
      <c r="F57" s="183"/>
      <c r="G57" s="183"/>
      <c r="H57" s="183"/>
      <c r="I57" s="183"/>
      <c r="J57" s="183"/>
      <c r="K57" s="183"/>
      <c r="L57" s="183"/>
      <c r="M57" s="184"/>
      <c r="N57" s="184"/>
      <c r="O57" s="185"/>
      <c r="P57" s="186"/>
      <c r="Q57" s="186"/>
      <c r="R57" s="187">
        <v>0</v>
      </c>
      <c r="S57" s="187">
        <v>0</v>
      </c>
      <c r="T57" s="184"/>
      <c r="U57" s="184"/>
      <c r="V57" s="188"/>
      <c r="W57" s="189">
        <v>0</v>
      </c>
      <c r="X57" s="190"/>
      <c r="Y57" s="185"/>
      <c r="Z57" s="191"/>
      <c r="AA57" s="97"/>
      <c r="AB57" s="192"/>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row>
    <row r="58" spans="1:161">
      <c r="A58" s="116"/>
      <c r="B58" s="116" t="s">
        <v>1061</v>
      </c>
      <c r="C58" s="116">
        <v>1</v>
      </c>
      <c r="D58" s="3" t="s">
        <v>1200</v>
      </c>
      <c r="E58" s="183" t="s">
        <v>1287</v>
      </c>
      <c r="F58" s="183"/>
      <c r="G58" s="183"/>
      <c r="H58" s="183"/>
      <c r="I58" s="183"/>
      <c r="J58" s="183"/>
      <c r="K58" s="183"/>
      <c r="L58" s="183"/>
      <c r="M58" s="184">
        <v>43787</v>
      </c>
      <c r="N58" s="184">
        <v>43830</v>
      </c>
      <c r="O58" s="185"/>
      <c r="P58" s="186">
        <v>31</v>
      </c>
      <c r="Q58" s="186">
        <v>0</v>
      </c>
      <c r="R58" s="187">
        <v>31</v>
      </c>
      <c r="S58" s="187">
        <v>0</v>
      </c>
      <c r="T58" s="184"/>
      <c r="U58" s="184"/>
      <c r="V58" s="188">
        <v>0</v>
      </c>
      <c r="W58" s="189">
        <v>0</v>
      </c>
      <c r="X58" s="190"/>
      <c r="Y58" s="185"/>
      <c r="Z58" s="191"/>
      <c r="AA58" s="97">
        <v>0</v>
      </c>
      <c r="AB58" s="192">
        <v>0</v>
      </c>
      <c r="AC58" s="123"/>
      <c r="AD58" s="4"/>
      <c r="AE58" s="4"/>
      <c r="AF58" s="4"/>
      <c r="AG58" s="4"/>
      <c r="AH58" s="4"/>
      <c r="AI58" s="4"/>
      <c r="AJ58" s="4"/>
      <c r="AK58" s="4"/>
      <c r="AL58" s="4"/>
      <c r="AM58" s="4"/>
      <c r="AN58" s="4"/>
      <c r="AO58" s="4" t="str">
        <f>"" &amp; TEXT(AB58,"#0.00%") &amp; " "</f>
        <v xml:space="preserve">0.00% </v>
      </c>
      <c r="AP58" s="4"/>
      <c r="AQ58" s="4"/>
      <c r="AR58" s="4"/>
      <c r="AS58" s="4"/>
      <c r="AT58" s="4"/>
      <c r="AU58" s="4" t="str">
        <f>"  " &amp; "Inbound Remittance(Kyodai, Wing)" &amp; " " &amp; IF(M58="","",TEXT(M58,"M/D-")) &amp; IF(N58="","",TEXT(N58,"M/D")) &amp; " "</f>
        <v xml:space="preserve">  Inbound Remittance(Kyodai, Wing) 11/18-12/31 </v>
      </c>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row>
    <row r="59" spans="1:161" outlineLevel="1">
      <c r="A59" s="116"/>
      <c r="B59" s="116"/>
      <c r="C59" s="116">
        <v>2</v>
      </c>
      <c r="D59" s="3" t="s">
        <v>1201</v>
      </c>
      <c r="E59" s="183"/>
      <c r="F59" s="183" t="s">
        <v>1198</v>
      </c>
      <c r="G59" s="183"/>
      <c r="H59" s="183"/>
      <c r="I59" s="183"/>
      <c r="J59" s="183"/>
      <c r="K59" s="183"/>
      <c r="L59" s="183"/>
      <c r="M59" s="184"/>
      <c r="N59" s="184"/>
      <c r="O59" s="185"/>
      <c r="P59" s="186">
        <v>0</v>
      </c>
      <c r="Q59" s="186">
        <v>0</v>
      </c>
      <c r="R59" s="187">
        <v>0</v>
      </c>
      <c r="S59" s="187">
        <v>0</v>
      </c>
      <c r="T59" s="184"/>
      <c r="U59" s="184"/>
      <c r="V59" s="188">
        <v>0</v>
      </c>
      <c r="W59" s="189">
        <v>0</v>
      </c>
      <c r="X59" s="190">
        <v>1</v>
      </c>
      <c r="Y59" s="185"/>
      <c r="Z59" s="191"/>
      <c r="AA59" s="97">
        <v>0</v>
      </c>
      <c r="AB59" s="192">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row>
    <row r="60" spans="1:161" outlineLevel="1">
      <c r="A60" s="116"/>
      <c r="B60" s="116"/>
      <c r="C60" s="116">
        <v>2</v>
      </c>
      <c r="D60" s="3" t="s">
        <v>1202</v>
      </c>
      <c r="E60" s="183"/>
      <c r="F60" s="183" t="s">
        <v>1315</v>
      </c>
      <c r="G60" s="183"/>
      <c r="H60" s="183"/>
      <c r="I60" s="183"/>
      <c r="J60" s="183"/>
      <c r="K60" s="183"/>
      <c r="L60" s="183"/>
      <c r="M60" s="184">
        <v>43787</v>
      </c>
      <c r="N60" s="184">
        <v>43830</v>
      </c>
      <c r="O60" s="185"/>
      <c r="P60" s="186">
        <v>31</v>
      </c>
      <c r="Q60" s="186">
        <v>0</v>
      </c>
      <c r="R60" s="187">
        <v>31</v>
      </c>
      <c r="S60" s="187">
        <v>0</v>
      </c>
      <c r="T60" s="184"/>
      <c r="U60" s="184"/>
      <c r="V60" s="188"/>
      <c r="W60" s="189">
        <v>0</v>
      </c>
      <c r="X60" s="190">
        <v>1</v>
      </c>
      <c r="Y60" s="185"/>
      <c r="Z60" s="191"/>
      <c r="AA60" s="97">
        <v>0</v>
      </c>
      <c r="AB60" s="192">
        <v>0</v>
      </c>
      <c r="AC60" s="123"/>
      <c r="AD60" s="4"/>
      <c r="AE60" s="4"/>
      <c r="AF60" s="4"/>
      <c r="AG60" s="4"/>
      <c r="AH60" s="4"/>
      <c r="AI60" s="4"/>
      <c r="AJ60" s="4"/>
      <c r="AK60" s="4"/>
      <c r="AL60" s="4"/>
      <c r="AM60" s="4"/>
      <c r="AN60" s="4"/>
      <c r="AO60" s="4" t="str">
        <f>"" &amp; TEXT(AB60,"#0.00%") &amp; " "</f>
        <v xml:space="preserve">0.00% </v>
      </c>
      <c r="AP60" s="4"/>
      <c r="AQ60" s="4"/>
      <c r="AR60" s="4"/>
      <c r="AS60" s="4"/>
      <c r="AT60" s="4"/>
      <c r="AU60" s="4" t="str">
        <f>"  " &amp; "Setup and Guide" &amp; " " &amp; IF(M60="","",TEXT(M60,"M/D-")) &amp; IF(N60="","",TEXT(N60,"M/D")) &amp; " "</f>
        <v xml:space="preserve">  Setup and Guide 11/18-12/31 </v>
      </c>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row>
    <row r="61" spans="1:161" outlineLevel="1">
      <c r="A61" s="116"/>
      <c r="B61" s="116"/>
      <c r="C61" s="116">
        <v>2</v>
      </c>
      <c r="D61" s="3" t="s">
        <v>1203</v>
      </c>
      <c r="E61" s="183"/>
      <c r="F61" s="183" t="s">
        <v>1179</v>
      </c>
      <c r="G61" s="183"/>
      <c r="H61" s="183"/>
      <c r="I61" s="183"/>
      <c r="J61" s="183"/>
      <c r="K61" s="183"/>
      <c r="L61" s="183"/>
      <c r="M61" s="184"/>
      <c r="N61" s="184"/>
      <c r="O61" s="185"/>
      <c r="P61" s="186">
        <v>0</v>
      </c>
      <c r="Q61" s="186">
        <v>0</v>
      </c>
      <c r="R61" s="187">
        <v>0</v>
      </c>
      <c r="S61" s="187">
        <v>0</v>
      </c>
      <c r="T61" s="184"/>
      <c r="U61" s="184"/>
      <c r="V61" s="188">
        <v>0</v>
      </c>
      <c r="W61" s="189">
        <v>0</v>
      </c>
      <c r="X61" s="190"/>
      <c r="Y61" s="185"/>
      <c r="Z61" s="191"/>
      <c r="AA61" s="97">
        <v>0</v>
      </c>
      <c r="AB61" s="192">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row>
    <row r="62" spans="1:161" outlineLevel="1">
      <c r="A62" s="116"/>
      <c r="B62" s="116"/>
      <c r="C62" s="116">
        <v>2</v>
      </c>
      <c r="D62" s="3" t="s">
        <v>1204</v>
      </c>
      <c r="E62" s="183"/>
      <c r="F62" s="183" t="s">
        <v>1180</v>
      </c>
      <c r="G62" s="183"/>
      <c r="H62" s="183"/>
      <c r="I62" s="183"/>
      <c r="J62" s="183"/>
      <c r="K62" s="183"/>
      <c r="L62" s="183"/>
      <c r="M62" s="184"/>
      <c r="N62" s="184"/>
      <c r="O62" s="185"/>
      <c r="P62" s="186">
        <v>0</v>
      </c>
      <c r="Q62" s="186">
        <v>0</v>
      </c>
      <c r="R62" s="187">
        <v>0</v>
      </c>
      <c r="S62" s="187">
        <v>0</v>
      </c>
      <c r="T62" s="184"/>
      <c r="U62" s="184"/>
      <c r="V62" s="188">
        <v>0</v>
      </c>
      <c r="W62" s="189">
        <v>0</v>
      </c>
      <c r="X62" s="190"/>
      <c r="Y62" s="185"/>
      <c r="Z62" s="191"/>
      <c r="AA62" s="97">
        <v>0</v>
      </c>
      <c r="AB62" s="192">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row>
    <row r="63" spans="1:161" outlineLevel="1">
      <c r="A63" s="116"/>
      <c r="B63" s="116"/>
      <c r="C63" s="116">
        <v>2</v>
      </c>
      <c r="D63" s="3" t="s">
        <v>1205</v>
      </c>
      <c r="E63" s="183"/>
      <c r="F63" s="183" t="s">
        <v>1199</v>
      </c>
      <c r="G63" s="183"/>
      <c r="H63" s="183"/>
      <c r="I63" s="183"/>
      <c r="J63" s="183"/>
      <c r="K63" s="183"/>
      <c r="L63" s="183"/>
      <c r="M63" s="184"/>
      <c r="N63" s="184"/>
      <c r="O63" s="185"/>
      <c r="P63" s="186">
        <v>0</v>
      </c>
      <c r="Q63" s="186">
        <v>0</v>
      </c>
      <c r="R63" s="187">
        <v>0</v>
      </c>
      <c r="S63" s="187">
        <v>0</v>
      </c>
      <c r="T63" s="184"/>
      <c r="U63" s="184"/>
      <c r="V63" s="188">
        <v>0</v>
      </c>
      <c r="W63" s="189">
        <v>0</v>
      </c>
      <c r="X63" s="190"/>
      <c r="Y63" s="185"/>
      <c r="Z63" s="191"/>
      <c r="AA63" s="97">
        <v>0</v>
      </c>
      <c r="AB63" s="19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row>
    <row r="64" spans="1:161" outlineLevel="1">
      <c r="A64" s="116"/>
      <c r="B64" s="116"/>
      <c r="C64" s="116">
        <v>2</v>
      </c>
      <c r="D64" s="3" t="s">
        <v>1206</v>
      </c>
      <c r="E64" s="183"/>
      <c r="F64" s="183" t="s">
        <v>1182</v>
      </c>
      <c r="G64" s="183"/>
      <c r="H64" s="183"/>
      <c r="I64" s="183"/>
      <c r="J64" s="183"/>
      <c r="K64" s="183"/>
      <c r="L64" s="183"/>
      <c r="M64" s="184"/>
      <c r="N64" s="184"/>
      <c r="O64" s="185"/>
      <c r="P64" s="186">
        <v>0</v>
      </c>
      <c r="Q64" s="186">
        <v>0</v>
      </c>
      <c r="R64" s="187">
        <v>0</v>
      </c>
      <c r="S64" s="187">
        <v>0</v>
      </c>
      <c r="T64" s="184"/>
      <c r="U64" s="184"/>
      <c r="V64" s="188">
        <v>0</v>
      </c>
      <c r="W64" s="189">
        <v>0</v>
      </c>
      <c r="X64" s="190"/>
      <c r="Y64" s="185"/>
      <c r="Z64" s="191"/>
      <c r="AA64" s="97">
        <v>0</v>
      </c>
      <c r="AB64" s="192">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row>
    <row r="65" spans="1:161" outlineLevel="1">
      <c r="A65" s="116"/>
      <c r="B65" s="116"/>
      <c r="C65" s="116">
        <v>2</v>
      </c>
      <c r="D65" s="3" t="s">
        <v>1207</v>
      </c>
      <c r="E65" s="183"/>
      <c r="F65" s="183" t="s">
        <v>1183</v>
      </c>
      <c r="G65" s="183"/>
      <c r="H65" s="183"/>
      <c r="I65" s="183"/>
      <c r="J65" s="183"/>
      <c r="K65" s="183"/>
      <c r="L65" s="183"/>
      <c r="M65" s="184"/>
      <c r="N65" s="184"/>
      <c r="O65" s="185"/>
      <c r="P65" s="186">
        <v>0</v>
      </c>
      <c r="Q65" s="186">
        <v>0</v>
      </c>
      <c r="R65" s="187">
        <v>0</v>
      </c>
      <c r="S65" s="187">
        <v>0</v>
      </c>
      <c r="T65" s="184"/>
      <c r="U65" s="184"/>
      <c r="V65" s="188">
        <v>0</v>
      </c>
      <c r="W65" s="189">
        <v>0</v>
      </c>
      <c r="X65" s="190"/>
      <c r="Y65" s="185"/>
      <c r="Z65" s="191"/>
      <c r="AA65" s="97">
        <v>0</v>
      </c>
      <c r="AB65" s="192">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row>
    <row r="66" spans="1:161" outlineLevel="1">
      <c r="A66" s="116"/>
      <c r="B66" s="116"/>
      <c r="C66" s="116">
        <v>0</v>
      </c>
      <c r="D66" s="3"/>
      <c r="E66" s="183"/>
      <c r="F66" s="183"/>
      <c r="G66" s="183"/>
      <c r="H66" s="183"/>
      <c r="I66" s="183"/>
      <c r="J66" s="183"/>
      <c r="K66" s="183"/>
      <c r="L66" s="183"/>
      <c r="M66" s="184"/>
      <c r="N66" s="184"/>
      <c r="O66" s="185"/>
      <c r="P66" s="186"/>
      <c r="Q66" s="186"/>
      <c r="R66" s="187">
        <v>0</v>
      </c>
      <c r="S66" s="187">
        <v>0</v>
      </c>
      <c r="T66" s="184"/>
      <c r="U66" s="184"/>
      <c r="V66" s="188"/>
      <c r="W66" s="189">
        <v>0</v>
      </c>
      <c r="X66" s="190"/>
      <c r="Y66" s="185"/>
      <c r="Z66" s="191"/>
      <c r="AA66" s="97"/>
      <c r="AB66" s="192"/>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row>
    <row r="67" spans="1:161">
      <c r="A67" s="116"/>
      <c r="B67" s="116" t="s">
        <v>1061</v>
      </c>
      <c r="C67" s="116">
        <v>1</v>
      </c>
      <c r="D67" s="3" t="s">
        <v>1208</v>
      </c>
      <c r="E67" s="217" t="s">
        <v>1246</v>
      </c>
      <c r="F67" s="183"/>
      <c r="G67" s="183"/>
      <c r="H67" s="183"/>
      <c r="I67" s="183"/>
      <c r="J67" s="183"/>
      <c r="K67" s="183"/>
      <c r="L67" s="183"/>
      <c r="M67" s="184">
        <v>43773</v>
      </c>
      <c r="N67" s="184">
        <v>43805</v>
      </c>
      <c r="O67" s="185"/>
      <c r="P67" s="186">
        <v>25</v>
      </c>
      <c r="Q67" s="186">
        <v>0</v>
      </c>
      <c r="R67" s="187">
        <v>25</v>
      </c>
      <c r="S67" s="187">
        <v>0</v>
      </c>
      <c r="T67" s="184"/>
      <c r="U67" s="184"/>
      <c r="V67" s="188">
        <v>0</v>
      </c>
      <c r="W67" s="189">
        <v>0</v>
      </c>
      <c r="X67" s="190"/>
      <c r="Y67" s="185"/>
      <c r="Z67" s="191"/>
      <c r="AA67" s="97">
        <v>0</v>
      </c>
      <c r="AB67" s="192">
        <v>0</v>
      </c>
      <c r="AC67" s="123"/>
      <c r="AD67" s="4"/>
      <c r="AE67" s="4"/>
      <c r="AF67" s="4"/>
      <c r="AG67" s="4"/>
      <c r="AH67" s="4"/>
      <c r="AI67" s="4"/>
      <c r="AJ67" s="4"/>
      <c r="AK67" s="4"/>
      <c r="AL67" s="4"/>
      <c r="AM67" s="4" t="str">
        <f>"" &amp; TEXT(AB67,"#0.00%") &amp; " "</f>
        <v xml:space="preserve">0.00% </v>
      </c>
      <c r="AN67" s="4"/>
      <c r="AO67" s="4"/>
      <c r="AP67" s="4"/>
      <c r="AQ67" s="4" t="str">
        <f>"     " &amp; "Auto Remit" &amp; " " &amp; IF(M67="","",TEXT(M67,"M/D-")) &amp; IF(N67="","",TEXT(N67,"M/D")) &amp; " "</f>
        <v xml:space="preserve">     Auto Remit 11/4-12/6 </v>
      </c>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row>
    <row r="68" spans="1:161" outlineLevel="1">
      <c r="A68" s="116"/>
      <c r="B68" s="116"/>
      <c r="C68" s="116">
        <v>2</v>
      </c>
      <c r="D68" s="3" t="s">
        <v>1209</v>
      </c>
      <c r="E68" s="183"/>
      <c r="F68" s="183" t="s">
        <v>1198</v>
      </c>
      <c r="G68" s="183"/>
      <c r="H68" s="183"/>
      <c r="I68" s="183"/>
      <c r="J68" s="183"/>
      <c r="K68" s="183"/>
      <c r="L68" s="183"/>
      <c r="M68" s="184">
        <v>43773</v>
      </c>
      <c r="N68" s="184">
        <v>43777</v>
      </c>
      <c r="O68" s="185"/>
      <c r="P68" s="186">
        <v>5</v>
      </c>
      <c r="Q68" s="186">
        <v>0</v>
      </c>
      <c r="R68" s="187">
        <v>5</v>
      </c>
      <c r="S68" s="187">
        <v>0</v>
      </c>
      <c r="T68" s="184"/>
      <c r="U68" s="184"/>
      <c r="V68" s="188"/>
      <c r="W68" s="189">
        <v>0</v>
      </c>
      <c r="X68" s="190">
        <v>1</v>
      </c>
      <c r="Y68" s="185" t="s">
        <v>1244</v>
      </c>
      <c r="Z68" s="191"/>
      <c r="AA68" s="97">
        <v>0</v>
      </c>
      <c r="AB68" s="192">
        <v>0</v>
      </c>
      <c r="AC68" s="123"/>
      <c r="AD68" s="4"/>
      <c r="AE68" s="4"/>
      <c r="AF68" s="4"/>
      <c r="AG68" s="4"/>
      <c r="AH68" s="4"/>
      <c r="AI68" s="4"/>
      <c r="AJ68" s="4"/>
      <c r="AK68" s="4"/>
      <c r="AL68" s="4"/>
      <c r="AM68" s="4" t="str">
        <f>"" &amp; TEXT(AB68,"#0.00%") &amp; " " &amp; "Design" &amp; "(Max)" &amp; " " &amp; IF(M68="","",TEXT(M68,"M/D-")) &amp; IF(N68="","",TEXT(N68,"M/D")) &amp; " "</f>
        <v xml:space="preserve">0.00% Design(Max) 11/4-11/8 </v>
      </c>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row>
    <row r="69" spans="1:161" outlineLevel="1">
      <c r="A69" s="116"/>
      <c r="B69" s="116"/>
      <c r="C69" s="116">
        <v>2</v>
      </c>
      <c r="D69" s="3" t="s">
        <v>1210</v>
      </c>
      <c r="E69" s="183"/>
      <c r="F69" s="183" t="s">
        <v>1178</v>
      </c>
      <c r="G69" s="183"/>
      <c r="H69" s="183"/>
      <c r="I69" s="183"/>
      <c r="J69" s="183"/>
      <c r="K69" s="183"/>
      <c r="L69" s="183"/>
      <c r="M69" s="184">
        <v>43780</v>
      </c>
      <c r="N69" s="184">
        <v>43784</v>
      </c>
      <c r="O69" s="185"/>
      <c r="P69" s="186">
        <v>5</v>
      </c>
      <c r="Q69" s="186">
        <v>0</v>
      </c>
      <c r="R69" s="187">
        <v>5</v>
      </c>
      <c r="S69" s="187">
        <v>0</v>
      </c>
      <c r="T69" s="184"/>
      <c r="U69" s="184"/>
      <c r="V69" s="188"/>
      <c r="W69" s="189">
        <v>0</v>
      </c>
      <c r="X69" s="190">
        <v>1</v>
      </c>
      <c r="Y69" s="185" t="s">
        <v>1297</v>
      </c>
      <c r="Z69" s="191"/>
      <c r="AA69" s="97">
        <v>0</v>
      </c>
      <c r="AB69" s="192">
        <v>0</v>
      </c>
      <c r="AC69" s="123"/>
      <c r="AD69" s="4"/>
      <c r="AE69" s="4"/>
      <c r="AF69" s="4"/>
      <c r="AG69" s="4"/>
      <c r="AH69" s="4"/>
      <c r="AI69" s="4"/>
      <c r="AJ69" s="4"/>
      <c r="AK69" s="4"/>
      <c r="AL69" s="4"/>
      <c r="AM69" s="4"/>
      <c r="AN69" s="4" t="str">
        <f>"" &amp; TEXT(AB69,"#0.00%") &amp; " " &amp; "Core" &amp; "(Max, Manoj)" &amp; " " &amp; IF(M69="","",TEXT(M69,"M/D-")) &amp; IF(N69="","",TEXT(N69,"M/D")) &amp; " "</f>
        <v xml:space="preserve">0.00% Core(Max, Manoj) 11/11-11/15 </v>
      </c>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row>
    <row r="70" spans="1:161" outlineLevel="1">
      <c r="A70" s="116"/>
      <c r="B70" s="116"/>
      <c r="C70" s="116">
        <v>2</v>
      </c>
      <c r="D70" s="3" t="s">
        <v>1211</v>
      </c>
      <c r="E70" s="183"/>
      <c r="F70" s="183" t="s">
        <v>1310</v>
      </c>
      <c r="G70" s="183"/>
      <c r="H70" s="183"/>
      <c r="I70" s="183"/>
      <c r="J70" s="183"/>
      <c r="K70" s="183"/>
      <c r="L70" s="183"/>
      <c r="M70" s="184">
        <v>43787</v>
      </c>
      <c r="N70" s="184">
        <v>43791</v>
      </c>
      <c r="O70" s="185"/>
      <c r="P70" s="186">
        <v>5</v>
      </c>
      <c r="Q70" s="186">
        <v>0</v>
      </c>
      <c r="R70" s="187">
        <v>5</v>
      </c>
      <c r="S70" s="187">
        <v>0</v>
      </c>
      <c r="T70" s="184"/>
      <c r="U70" s="184"/>
      <c r="V70" s="188"/>
      <c r="W70" s="189">
        <v>0</v>
      </c>
      <c r="X70" s="190">
        <v>1</v>
      </c>
      <c r="Y70" s="185"/>
      <c r="Z70" s="191"/>
      <c r="AA70" s="97">
        <v>0</v>
      </c>
      <c r="AB70" s="192">
        <v>0</v>
      </c>
      <c r="AC70" s="123"/>
      <c r="AD70" s="4"/>
      <c r="AE70" s="4"/>
      <c r="AF70" s="4"/>
      <c r="AG70" s="4"/>
      <c r="AH70" s="4"/>
      <c r="AI70" s="4"/>
      <c r="AJ70" s="4"/>
      <c r="AK70" s="4"/>
      <c r="AL70" s="4"/>
      <c r="AM70" s="4"/>
      <c r="AN70" s="4"/>
      <c r="AO70" s="4" t="str">
        <f>"" &amp; TEXT(AB70,"#0.00%") &amp; " " &amp; "Scheduler" &amp; " " &amp; IF(M70="","",TEXT(M70,"M/D-")) &amp; IF(N70="","",TEXT(N70,"M/D")) &amp; " "</f>
        <v xml:space="preserve">0.00% Scheduler 11/18-11/22 </v>
      </c>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row>
    <row r="71" spans="1:161" outlineLevel="1">
      <c r="A71" s="116"/>
      <c r="B71" s="116"/>
      <c r="C71" s="116">
        <v>2</v>
      </c>
      <c r="D71" s="3" t="s">
        <v>1212</v>
      </c>
      <c r="E71" s="183"/>
      <c r="F71" s="183" t="s">
        <v>1180</v>
      </c>
      <c r="G71" s="183"/>
      <c r="H71" s="183"/>
      <c r="I71" s="183"/>
      <c r="J71" s="183"/>
      <c r="K71" s="183"/>
      <c r="L71" s="183"/>
      <c r="M71" s="184"/>
      <c r="N71" s="184"/>
      <c r="O71" s="185"/>
      <c r="P71" s="186">
        <v>0</v>
      </c>
      <c r="Q71" s="186">
        <v>0</v>
      </c>
      <c r="R71" s="187">
        <v>0</v>
      </c>
      <c r="S71" s="187">
        <v>0</v>
      </c>
      <c r="T71" s="184"/>
      <c r="U71" s="184"/>
      <c r="V71" s="188">
        <v>0</v>
      </c>
      <c r="W71" s="189">
        <v>0</v>
      </c>
      <c r="X71" s="190">
        <v>1</v>
      </c>
      <c r="Y71" s="185"/>
      <c r="Z71" s="191"/>
      <c r="AA71" s="97">
        <v>0</v>
      </c>
      <c r="AB71" s="192">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row>
    <row r="72" spans="1:161" outlineLevel="1">
      <c r="A72" s="116"/>
      <c r="B72" s="116"/>
      <c r="C72" s="116">
        <v>2</v>
      </c>
      <c r="D72" s="3" t="s">
        <v>1213</v>
      </c>
      <c r="E72" s="183"/>
      <c r="F72" s="183" t="s">
        <v>1199</v>
      </c>
      <c r="G72" s="183"/>
      <c r="H72" s="183"/>
      <c r="I72" s="183"/>
      <c r="J72" s="183"/>
      <c r="K72" s="183"/>
      <c r="L72" s="183"/>
      <c r="M72" s="184"/>
      <c r="N72" s="184"/>
      <c r="O72" s="185"/>
      <c r="P72" s="186">
        <v>0</v>
      </c>
      <c r="Q72" s="186">
        <v>0</v>
      </c>
      <c r="R72" s="187">
        <v>0</v>
      </c>
      <c r="S72" s="187">
        <v>0</v>
      </c>
      <c r="T72" s="184"/>
      <c r="U72" s="184"/>
      <c r="V72" s="188">
        <v>0</v>
      </c>
      <c r="W72" s="189">
        <v>0</v>
      </c>
      <c r="X72" s="190">
        <v>1</v>
      </c>
      <c r="Y72" s="185"/>
      <c r="Z72" s="191"/>
      <c r="AA72" s="97">
        <v>0</v>
      </c>
      <c r="AB72" s="192">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row>
    <row r="73" spans="1:161" outlineLevel="1">
      <c r="A73" s="116"/>
      <c r="B73" s="116"/>
      <c r="C73" s="116">
        <v>2</v>
      </c>
      <c r="D73" s="3" t="s">
        <v>1214</v>
      </c>
      <c r="E73" s="183"/>
      <c r="F73" s="183" t="s">
        <v>1182</v>
      </c>
      <c r="G73" s="183"/>
      <c r="H73" s="183"/>
      <c r="I73" s="183"/>
      <c r="J73" s="183"/>
      <c r="K73" s="183"/>
      <c r="L73" s="183"/>
      <c r="M73" s="184">
        <v>43794</v>
      </c>
      <c r="N73" s="184">
        <v>43798</v>
      </c>
      <c r="O73" s="185"/>
      <c r="P73" s="186">
        <v>5</v>
      </c>
      <c r="Q73" s="186">
        <v>0</v>
      </c>
      <c r="R73" s="187">
        <v>5</v>
      </c>
      <c r="S73" s="187">
        <v>0</v>
      </c>
      <c r="T73" s="184"/>
      <c r="U73" s="184"/>
      <c r="V73" s="188"/>
      <c r="W73" s="189">
        <v>0</v>
      </c>
      <c r="X73" s="190">
        <v>1</v>
      </c>
      <c r="Y73" s="185" t="s">
        <v>1298</v>
      </c>
      <c r="Z73" s="191"/>
      <c r="AA73" s="97">
        <v>0</v>
      </c>
      <c r="AB73" s="192">
        <v>0</v>
      </c>
      <c r="AC73" s="123"/>
      <c r="AD73" s="4"/>
      <c r="AE73" s="4"/>
      <c r="AF73" s="4"/>
      <c r="AG73" s="4"/>
      <c r="AH73" s="4"/>
      <c r="AI73" s="4"/>
      <c r="AJ73" s="4"/>
      <c r="AK73" s="4"/>
      <c r="AL73" s="4"/>
      <c r="AM73" s="4"/>
      <c r="AN73" s="4"/>
      <c r="AO73" s="4"/>
      <c r="AP73" s="4" t="str">
        <f>"" &amp; TEXT(AB73,"#0.00%") &amp; " " &amp; "Test" &amp; "(Max, Pralhad)" &amp; " " &amp; IF(M73="","",TEXT(M73,"M/D-")) &amp; IF(N73="","",TEXT(N73,"M/D")) &amp; " "</f>
        <v xml:space="preserve">0.00% Test(Max, Pralhad) 11/25-11/29 </v>
      </c>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row>
    <row r="74" spans="1:161" outlineLevel="1">
      <c r="A74" s="116"/>
      <c r="B74" s="116"/>
      <c r="C74" s="116">
        <v>2</v>
      </c>
      <c r="D74" s="3" t="s">
        <v>1215</v>
      </c>
      <c r="E74" s="183"/>
      <c r="F74" s="183" t="s">
        <v>1183</v>
      </c>
      <c r="G74" s="183"/>
      <c r="H74" s="183"/>
      <c r="I74" s="183"/>
      <c r="J74" s="183"/>
      <c r="K74" s="183"/>
      <c r="L74" s="183"/>
      <c r="M74" s="184">
        <v>43801</v>
      </c>
      <c r="N74" s="184">
        <v>43805</v>
      </c>
      <c r="O74" s="185"/>
      <c r="P74" s="186">
        <v>5</v>
      </c>
      <c r="Q74" s="186">
        <v>0</v>
      </c>
      <c r="R74" s="187">
        <v>5</v>
      </c>
      <c r="S74" s="187">
        <v>0</v>
      </c>
      <c r="T74" s="184"/>
      <c r="U74" s="184"/>
      <c r="V74" s="188"/>
      <c r="W74" s="189">
        <v>0</v>
      </c>
      <c r="X74" s="190">
        <v>1</v>
      </c>
      <c r="Y74" s="185" t="s">
        <v>1298</v>
      </c>
      <c r="Z74" s="191"/>
      <c r="AA74" s="97">
        <v>0</v>
      </c>
      <c r="AB74" s="192">
        <v>0</v>
      </c>
      <c r="AC74" s="123"/>
      <c r="AD74" s="4"/>
      <c r="AE74" s="4"/>
      <c r="AF74" s="4"/>
      <c r="AG74" s="4"/>
      <c r="AH74" s="4"/>
      <c r="AI74" s="4"/>
      <c r="AJ74" s="4"/>
      <c r="AK74" s="4"/>
      <c r="AL74" s="4"/>
      <c r="AM74" s="4"/>
      <c r="AN74" s="4"/>
      <c r="AO74" s="4"/>
      <c r="AP74" s="4"/>
      <c r="AQ74" s="4" t="str">
        <f>"" &amp; TEXT(AB74,"#0.00%") &amp; " " &amp; "Publish" &amp; "(Max, Pralhad)" &amp; " " &amp; IF(M74="","",TEXT(M74,"M/D-")) &amp; IF(N74="","",TEXT(N74,"M/D")) &amp; " "</f>
        <v xml:space="preserve">0.00% Publish(Max, Pralhad) 12/2-12/6 </v>
      </c>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row>
    <row r="75" spans="1:161" outlineLevel="1">
      <c r="A75" s="116"/>
      <c r="B75" s="116"/>
      <c r="C75" s="116">
        <v>0</v>
      </c>
      <c r="D75" s="3"/>
      <c r="E75" s="183"/>
      <c r="F75" s="183"/>
      <c r="G75" s="183"/>
      <c r="H75" s="183"/>
      <c r="I75" s="183"/>
      <c r="J75" s="183"/>
      <c r="K75" s="183"/>
      <c r="L75" s="183"/>
      <c r="M75" s="184"/>
      <c r="N75" s="184"/>
      <c r="O75" s="185"/>
      <c r="P75" s="186"/>
      <c r="Q75" s="186"/>
      <c r="R75" s="187">
        <v>0</v>
      </c>
      <c r="S75" s="187">
        <v>0</v>
      </c>
      <c r="T75" s="184"/>
      <c r="U75" s="184"/>
      <c r="V75" s="188"/>
      <c r="W75" s="189">
        <v>0</v>
      </c>
      <c r="X75" s="190"/>
      <c r="Y75" s="185"/>
      <c r="Z75" s="191"/>
      <c r="AA75" s="97"/>
      <c r="AB75" s="192"/>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row>
    <row r="76" spans="1:161">
      <c r="A76" s="116"/>
      <c r="B76" s="116" t="s">
        <v>1061</v>
      </c>
      <c r="C76" s="116">
        <v>1</v>
      </c>
      <c r="D76" s="3" t="s">
        <v>1216</v>
      </c>
      <c r="E76" s="183" t="s">
        <v>1282</v>
      </c>
      <c r="F76" s="183"/>
      <c r="G76" s="183"/>
      <c r="H76" s="183"/>
      <c r="I76" s="183"/>
      <c r="J76" s="183"/>
      <c r="K76" s="183"/>
      <c r="L76" s="183"/>
      <c r="M76" s="184">
        <v>43766</v>
      </c>
      <c r="N76" s="184">
        <v>43784</v>
      </c>
      <c r="O76" s="185"/>
      <c r="P76" s="186">
        <v>15</v>
      </c>
      <c r="Q76" s="186">
        <v>2</v>
      </c>
      <c r="R76" s="187">
        <v>15</v>
      </c>
      <c r="S76" s="187">
        <v>2</v>
      </c>
      <c r="T76" s="184"/>
      <c r="U76" s="184"/>
      <c r="V76" s="188">
        <v>0</v>
      </c>
      <c r="W76" s="189">
        <v>0</v>
      </c>
      <c r="X76" s="190"/>
      <c r="Y76" s="185"/>
      <c r="Z76" s="191"/>
      <c r="AA76" s="97">
        <v>0.13333333333333333</v>
      </c>
      <c r="AB76" s="192">
        <v>0</v>
      </c>
      <c r="AC76" s="123"/>
      <c r="AD76" s="4"/>
      <c r="AE76" s="4"/>
      <c r="AF76" s="4"/>
      <c r="AG76" s="4"/>
      <c r="AH76" s="4"/>
      <c r="AI76" s="4"/>
      <c r="AJ76" s="4"/>
      <c r="AK76" s="4"/>
      <c r="AL76" s="4" t="str">
        <f>"" &amp; TEXT(AB76,"#0.00%") &amp; " " &amp; "Development of KFTC account registration help page (Admin)" &amp; " " &amp; IF(M76="","",TEXT(M76,"M/D-")) &amp; IF(N76="","",TEXT(N76,"M/D")) &amp; " "</f>
        <v xml:space="preserve">0.00% Development of KFTC account registration help page (Admin) 10/28-11/15 </v>
      </c>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row>
    <row r="77" spans="1:161" outlineLevel="1">
      <c r="A77" s="116"/>
      <c r="B77" s="116"/>
      <c r="C77" s="116">
        <v>2</v>
      </c>
      <c r="D77" s="3" t="s">
        <v>1217</v>
      </c>
      <c r="E77" s="183"/>
      <c r="F77" s="183" t="s">
        <v>1198</v>
      </c>
      <c r="G77" s="183"/>
      <c r="H77" s="183"/>
      <c r="I77" s="183"/>
      <c r="J77" s="183"/>
      <c r="K77" s="183"/>
      <c r="L77" s="183"/>
      <c r="M77" s="184">
        <v>43766</v>
      </c>
      <c r="N77" s="184">
        <v>43770</v>
      </c>
      <c r="O77" s="185"/>
      <c r="P77" s="186">
        <v>5</v>
      </c>
      <c r="Q77" s="186">
        <v>2</v>
      </c>
      <c r="R77" s="187">
        <v>5</v>
      </c>
      <c r="S77" s="187">
        <v>2</v>
      </c>
      <c r="T77" s="184"/>
      <c r="U77" s="184"/>
      <c r="V77" s="188"/>
      <c r="W77" s="189">
        <v>0</v>
      </c>
      <c r="X77" s="190">
        <v>1</v>
      </c>
      <c r="Y77" s="185"/>
      <c r="Z77" s="191"/>
      <c r="AA77" s="97">
        <v>0.4</v>
      </c>
      <c r="AB77" s="192">
        <v>0</v>
      </c>
      <c r="AC77" s="123"/>
      <c r="AD77" s="4"/>
      <c r="AE77" s="4"/>
      <c r="AF77" s="4"/>
      <c r="AG77" s="4"/>
      <c r="AH77" s="4"/>
      <c r="AI77" s="4"/>
      <c r="AJ77" s="4"/>
      <c r="AK77" s="4"/>
      <c r="AL77" s="4" t="str">
        <f>"" &amp; TEXT(AB77,"#0.00%") &amp; " " &amp; "Design" &amp; " " &amp; IF(M77="","",TEXT(M77,"M/D-")) &amp; IF(N77="","",TEXT(N77,"M/D")) &amp; " "</f>
        <v xml:space="preserve">0.00% Design 10/28-11/1 </v>
      </c>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row>
    <row r="78" spans="1:161" outlineLevel="1">
      <c r="A78" s="116"/>
      <c r="B78" s="116"/>
      <c r="C78" s="116">
        <v>2</v>
      </c>
      <c r="D78" s="3" t="s">
        <v>1218</v>
      </c>
      <c r="E78" s="183"/>
      <c r="F78" s="183" t="s">
        <v>1178</v>
      </c>
      <c r="G78" s="183"/>
      <c r="H78" s="183"/>
      <c r="I78" s="183"/>
      <c r="J78" s="183"/>
      <c r="K78" s="183"/>
      <c r="L78" s="183"/>
      <c r="M78" s="184">
        <v>43773</v>
      </c>
      <c r="N78" s="184">
        <v>43775</v>
      </c>
      <c r="O78" s="185"/>
      <c r="P78" s="186">
        <v>3</v>
      </c>
      <c r="Q78" s="186">
        <v>0</v>
      </c>
      <c r="R78" s="187">
        <v>3</v>
      </c>
      <c r="S78" s="187">
        <v>0</v>
      </c>
      <c r="T78" s="184"/>
      <c r="U78" s="184"/>
      <c r="V78" s="188"/>
      <c r="W78" s="189">
        <v>0</v>
      </c>
      <c r="X78" s="190">
        <v>1</v>
      </c>
      <c r="Y78" s="185" t="s">
        <v>1264</v>
      </c>
      <c r="Z78" s="191"/>
      <c r="AA78" s="97">
        <v>0</v>
      </c>
      <c r="AB78" s="192">
        <v>0</v>
      </c>
      <c r="AC78" s="123"/>
      <c r="AD78" s="4"/>
      <c r="AE78" s="4"/>
      <c r="AF78" s="4"/>
      <c r="AG78" s="4"/>
      <c r="AH78" s="4"/>
      <c r="AI78" s="4"/>
      <c r="AJ78" s="4"/>
      <c r="AK78" s="4"/>
      <c r="AL78" s="4"/>
      <c r="AM78" s="4" t="str">
        <f>"" &amp; TEXT(AB78,"#0.00%") &amp; " " &amp; "Core" &amp; "(Chris)" &amp; " " &amp; IF(M78="","",TEXT(M78,"M/D-")) &amp; IF(N78="","",TEXT(N78,"M/D")) &amp; " "</f>
        <v xml:space="preserve">0.00% Core(Chris) 11/4-11/6 </v>
      </c>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row>
    <row r="79" spans="1:161" outlineLevel="1">
      <c r="A79" s="116"/>
      <c r="B79" s="116"/>
      <c r="C79" s="116">
        <v>2</v>
      </c>
      <c r="D79" s="3" t="s">
        <v>1219</v>
      </c>
      <c r="E79" s="183"/>
      <c r="F79" s="183" t="s">
        <v>1179</v>
      </c>
      <c r="G79" s="183"/>
      <c r="H79" s="183"/>
      <c r="I79" s="183"/>
      <c r="J79" s="183"/>
      <c r="K79" s="183"/>
      <c r="L79" s="183"/>
      <c r="M79" s="184"/>
      <c r="N79" s="184"/>
      <c r="O79" s="185"/>
      <c r="P79" s="186">
        <v>0</v>
      </c>
      <c r="Q79" s="186">
        <v>0</v>
      </c>
      <c r="R79" s="187">
        <v>0</v>
      </c>
      <c r="S79" s="187">
        <v>0</v>
      </c>
      <c r="T79" s="184"/>
      <c r="U79" s="184"/>
      <c r="V79" s="188">
        <v>0</v>
      </c>
      <c r="W79" s="189">
        <v>0</v>
      </c>
      <c r="X79" s="190"/>
      <c r="Y79" s="185"/>
      <c r="Z79" s="191"/>
      <c r="AA79" s="97">
        <v>0</v>
      </c>
      <c r="AB79" s="192">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row>
    <row r="80" spans="1:161" outlineLevel="1">
      <c r="A80" s="116"/>
      <c r="B80" s="116"/>
      <c r="C80" s="116">
        <v>2</v>
      </c>
      <c r="D80" s="3" t="s">
        <v>1220</v>
      </c>
      <c r="E80" s="183"/>
      <c r="F80" s="183" t="s">
        <v>1180</v>
      </c>
      <c r="G80" s="183"/>
      <c r="H80" s="183"/>
      <c r="I80" s="183"/>
      <c r="J80" s="183"/>
      <c r="K80" s="183"/>
      <c r="L80" s="183"/>
      <c r="M80" s="184"/>
      <c r="N80" s="184"/>
      <c r="O80" s="185"/>
      <c r="P80" s="186">
        <v>0</v>
      </c>
      <c r="Q80" s="186">
        <v>0</v>
      </c>
      <c r="R80" s="187">
        <v>0</v>
      </c>
      <c r="S80" s="187">
        <v>0</v>
      </c>
      <c r="T80" s="184"/>
      <c r="U80" s="184"/>
      <c r="V80" s="188">
        <v>0</v>
      </c>
      <c r="W80" s="189">
        <v>0</v>
      </c>
      <c r="X80" s="190"/>
      <c r="Y80" s="185"/>
      <c r="Z80" s="191"/>
      <c r="AA80" s="97">
        <v>0</v>
      </c>
      <c r="AB80" s="192">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row>
    <row r="81" spans="1:161" outlineLevel="1">
      <c r="A81" s="116"/>
      <c r="B81" s="116"/>
      <c r="C81" s="116">
        <v>2</v>
      </c>
      <c r="D81" s="3" t="s">
        <v>1221</v>
      </c>
      <c r="E81" s="183"/>
      <c r="F81" s="183" t="s">
        <v>1199</v>
      </c>
      <c r="G81" s="183"/>
      <c r="H81" s="183"/>
      <c r="I81" s="183"/>
      <c r="J81" s="183"/>
      <c r="K81" s="183"/>
      <c r="L81" s="183"/>
      <c r="M81" s="184"/>
      <c r="N81" s="184"/>
      <c r="O81" s="185"/>
      <c r="P81" s="186">
        <v>0</v>
      </c>
      <c r="Q81" s="186">
        <v>0</v>
      </c>
      <c r="R81" s="187">
        <v>0</v>
      </c>
      <c r="S81" s="187">
        <v>0</v>
      </c>
      <c r="T81" s="184"/>
      <c r="U81" s="184"/>
      <c r="V81" s="188">
        <v>0</v>
      </c>
      <c r="W81" s="189">
        <v>0</v>
      </c>
      <c r="X81" s="190"/>
      <c r="Y81" s="185"/>
      <c r="Z81" s="191"/>
      <c r="AA81" s="97">
        <v>0</v>
      </c>
      <c r="AB81" s="192">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row>
    <row r="82" spans="1:161" outlineLevel="1">
      <c r="A82" s="116"/>
      <c r="B82" s="116"/>
      <c r="C82" s="116">
        <v>2</v>
      </c>
      <c r="D82" s="3" t="s">
        <v>1222</v>
      </c>
      <c r="E82" s="183"/>
      <c r="F82" s="183" t="s">
        <v>1182</v>
      </c>
      <c r="G82" s="183"/>
      <c r="H82" s="183"/>
      <c r="I82" s="183"/>
      <c r="J82" s="183"/>
      <c r="K82" s="183"/>
      <c r="L82" s="183"/>
      <c r="M82" s="184">
        <v>43776</v>
      </c>
      <c r="N82" s="184">
        <v>43781</v>
      </c>
      <c r="O82" s="185"/>
      <c r="P82" s="186">
        <v>4</v>
      </c>
      <c r="Q82" s="186">
        <v>0</v>
      </c>
      <c r="R82" s="187">
        <v>4</v>
      </c>
      <c r="S82" s="187">
        <v>0</v>
      </c>
      <c r="T82" s="184"/>
      <c r="U82" s="184"/>
      <c r="V82" s="188"/>
      <c r="W82" s="189">
        <v>0</v>
      </c>
      <c r="X82" s="190">
        <v>1</v>
      </c>
      <c r="Y82" s="185" t="s">
        <v>1283</v>
      </c>
      <c r="Z82" s="191"/>
      <c r="AA82" s="97">
        <v>0</v>
      </c>
      <c r="AB82" s="192">
        <v>0</v>
      </c>
      <c r="AC82" s="123"/>
      <c r="AD82" s="4"/>
      <c r="AE82" s="4"/>
      <c r="AF82" s="4"/>
      <c r="AG82" s="4"/>
      <c r="AH82" s="4"/>
      <c r="AI82" s="4"/>
      <c r="AJ82" s="4"/>
      <c r="AK82" s="4"/>
      <c r="AL82" s="4"/>
      <c r="AM82" s="4" t="str">
        <f>"   " &amp; TEXT(AB82,"#0.00%") &amp; " " &amp; "Test" &amp; "(Max,Pralhad)" &amp; " " &amp; IF(M82="","",TEXT(M82,"M/D-")) &amp; IF(N82="","",TEXT(N82,"M/D")) &amp; " "</f>
        <v xml:space="preserve">   0.00% Test(Max,Pralhad) 11/7-11/12 </v>
      </c>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row>
    <row r="83" spans="1:161" outlineLevel="1">
      <c r="A83" s="116"/>
      <c r="B83" s="116"/>
      <c r="C83" s="116">
        <v>2</v>
      </c>
      <c r="D83" s="3" t="s">
        <v>1223</v>
      </c>
      <c r="E83" s="183"/>
      <c r="F83" s="183" t="s">
        <v>1183</v>
      </c>
      <c r="G83" s="183"/>
      <c r="H83" s="183"/>
      <c r="I83" s="183"/>
      <c r="J83" s="183"/>
      <c r="K83" s="183"/>
      <c r="L83" s="183"/>
      <c r="M83" s="184">
        <v>43782</v>
      </c>
      <c r="N83" s="184">
        <v>43784</v>
      </c>
      <c r="O83" s="185"/>
      <c r="P83" s="186">
        <v>3</v>
      </c>
      <c r="Q83" s="186">
        <v>0</v>
      </c>
      <c r="R83" s="187">
        <v>3</v>
      </c>
      <c r="S83" s="187">
        <v>0</v>
      </c>
      <c r="T83" s="184"/>
      <c r="U83" s="184"/>
      <c r="V83" s="188"/>
      <c r="W83" s="189">
        <v>0</v>
      </c>
      <c r="X83" s="190">
        <v>1</v>
      </c>
      <c r="Y83" s="185" t="s">
        <v>1283</v>
      </c>
      <c r="Z83" s="191"/>
      <c r="AA83" s="97">
        <v>0</v>
      </c>
      <c r="AB83" s="192">
        <v>0</v>
      </c>
      <c r="AC83" s="123"/>
      <c r="AD83" s="4"/>
      <c r="AE83" s="4"/>
      <c r="AF83" s="4"/>
      <c r="AG83" s="4"/>
      <c r="AH83" s="4"/>
      <c r="AI83" s="4"/>
      <c r="AJ83" s="4"/>
      <c r="AK83" s="4"/>
      <c r="AL83" s="4"/>
      <c r="AM83" s="4"/>
      <c r="AN83" s="4" t="str">
        <f>"  " &amp; TEXT(AB83,"#0.00%") &amp; " " &amp; "Publish" &amp; "(Max,Pralhad)" &amp; " " &amp; IF(M83="","",TEXT(M83,"M/D-")) &amp; IF(N83="","",TEXT(N83,"M/D")) &amp; " "</f>
        <v xml:space="preserve">  0.00% Publish(Max,Pralhad) 11/13-11/15 </v>
      </c>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row>
    <row r="84" spans="1:161" outlineLevel="1">
      <c r="A84" s="116"/>
      <c r="B84" s="116"/>
      <c r="C84" s="116">
        <v>0</v>
      </c>
      <c r="D84" s="3"/>
      <c r="E84" s="183"/>
      <c r="F84" s="183"/>
      <c r="G84" s="183"/>
      <c r="H84" s="183"/>
      <c r="I84" s="183"/>
      <c r="J84" s="183"/>
      <c r="K84" s="183"/>
      <c r="L84" s="183"/>
      <c r="M84" s="184"/>
      <c r="N84" s="184"/>
      <c r="O84" s="185"/>
      <c r="P84" s="186"/>
      <c r="Q84" s="186"/>
      <c r="R84" s="187">
        <v>0</v>
      </c>
      <c r="S84" s="187">
        <v>0</v>
      </c>
      <c r="T84" s="184"/>
      <c r="U84" s="184"/>
      <c r="V84" s="188"/>
      <c r="W84" s="189">
        <v>0</v>
      </c>
      <c r="X84" s="190"/>
      <c r="Y84" s="185"/>
      <c r="Z84" s="191"/>
      <c r="AA84" s="97"/>
      <c r="AB84" s="192"/>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row>
    <row r="85" spans="1:161">
      <c r="A85" s="116"/>
      <c r="B85" s="116" t="s">
        <v>1061</v>
      </c>
      <c r="C85" s="116">
        <v>1</v>
      </c>
      <c r="D85" s="3" t="s">
        <v>1226</v>
      </c>
      <c r="E85" s="183" t="s">
        <v>1253</v>
      </c>
      <c r="F85" s="183"/>
      <c r="G85" s="183"/>
      <c r="H85" s="183"/>
      <c r="I85" s="183"/>
      <c r="J85" s="183"/>
      <c r="K85" s="183"/>
      <c r="L85" s="183"/>
      <c r="M85" s="184">
        <v>43780</v>
      </c>
      <c r="N85" s="184">
        <v>43805</v>
      </c>
      <c r="O85" s="185"/>
      <c r="P85" s="186">
        <v>22</v>
      </c>
      <c r="Q85" s="186">
        <v>0</v>
      </c>
      <c r="R85" s="187">
        <v>20</v>
      </c>
      <c r="S85" s="187">
        <v>0</v>
      </c>
      <c r="T85" s="184"/>
      <c r="U85" s="184"/>
      <c r="V85" s="188">
        <v>0</v>
      </c>
      <c r="W85" s="189">
        <v>0</v>
      </c>
      <c r="X85" s="190"/>
      <c r="Y85" s="185"/>
      <c r="Z85" s="191"/>
      <c r="AA85" s="97">
        <v>0</v>
      </c>
      <c r="AB85" s="192">
        <v>0</v>
      </c>
      <c r="AC85" s="123"/>
      <c r="AD85" s="4"/>
      <c r="AE85" s="4"/>
      <c r="AF85" s="4"/>
      <c r="AG85" s="4"/>
      <c r="AH85" s="4"/>
      <c r="AI85" s="4"/>
      <c r="AJ85" s="4"/>
      <c r="AK85" s="4"/>
      <c r="AL85" s="4"/>
      <c r="AM85" s="4"/>
      <c r="AN85" s="4" t="str">
        <f>"" &amp; TEXT(AB85,"#0.00%") &amp; " "</f>
        <v xml:space="preserve">0.00% </v>
      </c>
      <c r="AO85" s="4"/>
      <c r="AP85" s="4"/>
      <c r="AQ85" s="4" t="str">
        <f>"     " &amp; "Transaction details lookup using KFTC API" &amp; " " &amp; IF(M85="","",TEXT(M85,"M/D-")) &amp; IF(N85="","",TEXT(N85,"M/D")) &amp; " "</f>
        <v xml:space="preserve">     Transaction details lookup using KFTC API 11/11-12/6 </v>
      </c>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row>
    <row r="86" spans="1:161" outlineLevel="1">
      <c r="A86" s="116"/>
      <c r="B86" s="116"/>
      <c r="C86" s="116">
        <v>2</v>
      </c>
      <c r="D86" s="3" t="s">
        <v>1227</v>
      </c>
      <c r="E86" s="183"/>
      <c r="F86" s="183" t="s">
        <v>1198</v>
      </c>
      <c r="G86" s="183"/>
      <c r="H86" s="183"/>
      <c r="I86" s="183"/>
      <c r="J86" s="183"/>
      <c r="K86" s="183"/>
      <c r="L86" s="183"/>
      <c r="M86" s="184">
        <v>43780</v>
      </c>
      <c r="N86" s="184">
        <v>43784</v>
      </c>
      <c r="O86" s="185"/>
      <c r="P86" s="186">
        <v>5</v>
      </c>
      <c r="Q86" s="186">
        <v>0</v>
      </c>
      <c r="R86" s="187">
        <v>5</v>
      </c>
      <c r="S86" s="187">
        <v>0</v>
      </c>
      <c r="T86" s="184"/>
      <c r="U86" s="184"/>
      <c r="V86" s="188"/>
      <c r="W86" s="189">
        <v>0</v>
      </c>
      <c r="X86" s="190">
        <v>1</v>
      </c>
      <c r="Y86" s="185" t="s">
        <v>1244</v>
      </c>
      <c r="Z86" s="191"/>
      <c r="AA86" s="97">
        <v>0</v>
      </c>
      <c r="AB86" s="192">
        <v>0</v>
      </c>
      <c r="AC86" s="123"/>
      <c r="AD86" s="4"/>
      <c r="AE86" s="4"/>
      <c r="AF86" s="4"/>
      <c r="AG86" s="4"/>
      <c r="AH86" s="4"/>
      <c r="AI86" s="4"/>
      <c r="AJ86" s="4"/>
      <c r="AK86" s="4"/>
      <c r="AL86" s="4"/>
      <c r="AM86" s="4"/>
      <c r="AN86" s="4" t="str">
        <f>"" &amp; TEXT(AB86,"#0.00%") &amp; " " &amp; "Design" &amp; "(Max)" &amp; " " &amp; IF(M86="","",TEXT(M86,"M/D-")) &amp; IF(N86="","",TEXT(N86,"M/D")) &amp; " "</f>
        <v xml:space="preserve">0.00% Design(Max) 11/11-11/15 </v>
      </c>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row>
    <row r="87" spans="1:161" outlineLevel="1">
      <c r="A87" s="116"/>
      <c r="B87" s="116"/>
      <c r="C87" s="116">
        <v>2</v>
      </c>
      <c r="D87" s="3" t="s">
        <v>1228</v>
      </c>
      <c r="E87" s="183"/>
      <c r="F87" s="183" t="s">
        <v>1178</v>
      </c>
      <c r="G87" s="183"/>
      <c r="H87" s="183"/>
      <c r="I87" s="183"/>
      <c r="J87" s="183"/>
      <c r="K87" s="183"/>
      <c r="L87" s="183"/>
      <c r="M87" s="184"/>
      <c r="N87" s="184"/>
      <c r="O87" s="185"/>
      <c r="P87" s="186">
        <v>0</v>
      </c>
      <c r="Q87" s="186">
        <v>0</v>
      </c>
      <c r="R87" s="187">
        <v>0</v>
      </c>
      <c r="S87" s="187">
        <v>0</v>
      </c>
      <c r="T87" s="184"/>
      <c r="U87" s="184"/>
      <c r="V87" s="188">
        <v>0</v>
      </c>
      <c r="W87" s="189">
        <v>0</v>
      </c>
      <c r="X87" s="190"/>
      <c r="Y87" s="185"/>
      <c r="Z87" s="191"/>
      <c r="AA87" s="97">
        <v>0</v>
      </c>
      <c r="AB87" s="192">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row>
    <row r="88" spans="1:161" outlineLevel="1">
      <c r="A88" s="116"/>
      <c r="B88" s="116"/>
      <c r="C88" s="116">
        <v>2</v>
      </c>
      <c r="D88" s="3" t="s">
        <v>1229</v>
      </c>
      <c r="E88" s="183"/>
      <c r="F88" s="183" t="s">
        <v>1179</v>
      </c>
      <c r="G88" s="183"/>
      <c r="H88" s="183"/>
      <c r="I88" s="183"/>
      <c r="J88" s="183"/>
      <c r="K88" s="183"/>
      <c r="L88" s="183"/>
      <c r="M88" s="184">
        <v>43787</v>
      </c>
      <c r="N88" s="184">
        <v>43789</v>
      </c>
      <c r="O88" s="185"/>
      <c r="P88" s="186">
        <v>3</v>
      </c>
      <c r="Q88" s="186">
        <v>0</v>
      </c>
      <c r="R88" s="187">
        <v>3</v>
      </c>
      <c r="S88" s="187">
        <v>0</v>
      </c>
      <c r="T88" s="184"/>
      <c r="U88" s="184"/>
      <c r="V88" s="188"/>
      <c r="W88" s="189">
        <v>0</v>
      </c>
      <c r="X88" s="190">
        <v>1</v>
      </c>
      <c r="Y88" s="185" t="s">
        <v>1284</v>
      </c>
      <c r="Z88" s="191"/>
      <c r="AA88" s="97">
        <v>0</v>
      </c>
      <c r="AB88" s="192">
        <v>0</v>
      </c>
      <c r="AC88" s="123"/>
      <c r="AD88" s="4"/>
      <c r="AE88" s="4"/>
      <c r="AF88" s="4"/>
      <c r="AG88" s="4"/>
      <c r="AH88" s="4"/>
      <c r="AI88" s="4"/>
      <c r="AJ88" s="4"/>
      <c r="AK88" s="4"/>
      <c r="AL88" s="4"/>
      <c r="AM88" s="4"/>
      <c r="AN88" s="4"/>
      <c r="AO88" s="4" t="str">
        <f>"" &amp; TEXT(AB88,"#0.00%") &amp; " " &amp; "Online" &amp; "(Manoj,Max)" &amp; " " &amp; IF(M88="","",TEXT(M88,"M/D-")) &amp; IF(N88="","",TEXT(N88,"M/D")) &amp; " "</f>
        <v xml:space="preserve">0.00% Online(Manoj,Max) 11/18-11/20 </v>
      </c>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row>
    <row r="89" spans="1:161" outlineLevel="1">
      <c r="A89" s="116"/>
      <c r="B89" s="116"/>
      <c r="C89" s="116">
        <v>2</v>
      </c>
      <c r="D89" s="3" t="s">
        <v>1230</v>
      </c>
      <c r="E89" s="183"/>
      <c r="F89" s="183" t="s">
        <v>1180</v>
      </c>
      <c r="G89" s="183"/>
      <c r="H89" s="183"/>
      <c r="I89" s="183"/>
      <c r="J89" s="183"/>
      <c r="K89" s="183"/>
      <c r="L89" s="183"/>
      <c r="M89" s="184">
        <v>43790</v>
      </c>
      <c r="N89" s="184">
        <v>43791</v>
      </c>
      <c r="O89" s="185"/>
      <c r="P89" s="186">
        <v>2</v>
      </c>
      <c r="Q89" s="186">
        <v>0</v>
      </c>
      <c r="R89" s="187">
        <v>2</v>
      </c>
      <c r="S89" s="187">
        <v>0</v>
      </c>
      <c r="T89" s="184"/>
      <c r="U89" s="184"/>
      <c r="V89" s="188"/>
      <c r="W89" s="189">
        <v>0</v>
      </c>
      <c r="X89" s="190">
        <v>1</v>
      </c>
      <c r="Y89" s="185" t="s">
        <v>1284</v>
      </c>
      <c r="Z89" s="191"/>
      <c r="AA89" s="97">
        <v>0</v>
      </c>
      <c r="AB89" s="192">
        <v>0</v>
      </c>
      <c r="AC89" s="123"/>
      <c r="AD89" s="4"/>
      <c r="AE89" s="4"/>
      <c r="AF89" s="4"/>
      <c r="AG89" s="4"/>
      <c r="AH89" s="4"/>
      <c r="AI89" s="4"/>
      <c r="AJ89" s="4"/>
      <c r="AK89" s="4"/>
      <c r="AL89" s="4"/>
      <c r="AM89" s="4"/>
      <c r="AN89" s="4"/>
      <c r="AO89" s="4" t="str">
        <f>"   " &amp; TEXT(AB89,"#0.00%") &amp; " " &amp; "API" &amp; "(Manoj,Max)" &amp; " " &amp; IF(M89="","",TEXT(M89,"M/D-")) &amp; IF(N89="","",TEXT(N89,"M/D")) &amp; " "</f>
        <v xml:space="preserve">   0.00% API(Manoj,Max) 11/21-11/22 </v>
      </c>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row>
    <row r="90" spans="1:161" outlineLevel="1">
      <c r="A90" s="116"/>
      <c r="B90" s="116"/>
      <c r="C90" s="116">
        <v>2</v>
      </c>
      <c r="D90" s="3" t="s">
        <v>1231</v>
      </c>
      <c r="E90" s="183"/>
      <c r="F90" s="183" t="s">
        <v>1199</v>
      </c>
      <c r="G90" s="183"/>
      <c r="H90" s="183"/>
      <c r="I90" s="183"/>
      <c r="J90" s="183"/>
      <c r="K90" s="183"/>
      <c r="L90" s="183"/>
      <c r="M90" s="184">
        <v>43790</v>
      </c>
      <c r="N90" s="184">
        <v>43795</v>
      </c>
      <c r="O90" s="185"/>
      <c r="P90" s="186">
        <v>4</v>
      </c>
      <c r="Q90" s="186">
        <v>0</v>
      </c>
      <c r="R90" s="187">
        <v>4</v>
      </c>
      <c r="S90" s="187">
        <v>0</v>
      </c>
      <c r="T90" s="184"/>
      <c r="U90" s="184"/>
      <c r="V90" s="188"/>
      <c r="W90" s="189">
        <v>0</v>
      </c>
      <c r="X90" s="190">
        <v>1</v>
      </c>
      <c r="Y90" s="185" t="s">
        <v>1181</v>
      </c>
      <c r="Z90" s="191"/>
      <c r="AA90" s="97">
        <v>0</v>
      </c>
      <c r="AB90" s="192">
        <v>0</v>
      </c>
      <c r="AC90" s="123"/>
      <c r="AD90" s="4"/>
      <c r="AE90" s="4"/>
      <c r="AF90" s="4"/>
      <c r="AG90" s="4"/>
      <c r="AH90" s="4"/>
      <c r="AI90" s="4"/>
      <c r="AJ90" s="4"/>
      <c r="AK90" s="4"/>
      <c r="AL90" s="4"/>
      <c r="AM90" s="4"/>
      <c r="AN90" s="4"/>
      <c r="AO90" s="4" t="str">
        <f>"   " &amp; TEXT(AB90,"#0.00%") &amp; " " &amp; "iOS/Android" &amp; "(James,Preyea)" &amp; " " &amp; IF(M90="","",TEXT(M90,"M/D-")) &amp; IF(N90="","",TEXT(N90,"M/D")) &amp; " "</f>
        <v xml:space="preserve">   0.00% iOS/Android(James,Preyea) 11/21-11/26 </v>
      </c>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row>
    <row r="91" spans="1:161" outlineLevel="1">
      <c r="A91" s="116"/>
      <c r="B91" s="116"/>
      <c r="C91" s="116">
        <v>2</v>
      </c>
      <c r="D91" s="3" t="s">
        <v>1232</v>
      </c>
      <c r="E91" s="183"/>
      <c r="F91" s="183" t="s">
        <v>1182</v>
      </c>
      <c r="G91" s="183"/>
      <c r="H91" s="183"/>
      <c r="I91" s="183"/>
      <c r="J91" s="183"/>
      <c r="K91" s="183"/>
      <c r="L91" s="183"/>
      <c r="M91" s="184">
        <v>43796</v>
      </c>
      <c r="N91" s="184">
        <v>43798</v>
      </c>
      <c r="O91" s="185"/>
      <c r="P91" s="186">
        <v>3</v>
      </c>
      <c r="Q91" s="186">
        <v>0</v>
      </c>
      <c r="R91" s="187">
        <v>3</v>
      </c>
      <c r="S91" s="187">
        <v>0</v>
      </c>
      <c r="T91" s="184"/>
      <c r="U91" s="184"/>
      <c r="V91" s="188"/>
      <c r="W91" s="189">
        <v>0</v>
      </c>
      <c r="X91" s="190">
        <v>1</v>
      </c>
      <c r="Y91" s="185" t="s">
        <v>1298</v>
      </c>
      <c r="Z91" s="191"/>
      <c r="AA91" s="97">
        <v>0</v>
      </c>
      <c r="AB91" s="192">
        <v>0</v>
      </c>
      <c r="AC91" s="123"/>
      <c r="AD91" s="4"/>
      <c r="AE91" s="4"/>
      <c r="AF91" s="4"/>
      <c r="AG91" s="4"/>
      <c r="AH91" s="4"/>
      <c r="AI91" s="4"/>
      <c r="AJ91" s="4"/>
      <c r="AK91" s="4"/>
      <c r="AL91" s="4"/>
      <c r="AM91" s="4"/>
      <c r="AN91" s="4"/>
      <c r="AO91" s="4"/>
      <c r="AP91" s="4" t="str">
        <f>"  " &amp; TEXT(AB91,"#0.00%") &amp; " " &amp; "Test" &amp; "(Max, Pralhad)" &amp; " " &amp; IF(M91="","",TEXT(M91,"M/D-")) &amp; IF(N91="","",TEXT(N91,"M/D")) &amp; " "</f>
        <v xml:space="preserve">  0.00% Test(Max, Pralhad) 11/27-11/29 </v>
      </c>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row>
    <row r="92" spans="1:161" outlineLevel="1">
      <c r="A92" s="116"/>
      <c r="B92" s="116"/>
      <c r="C92" s="116">
        <v>2</v>
      </c>
      <c r="D92" s="3" t="s">
        <v>1233</v>
      </c>
      <c r="E92" s="183"/>
      <c r="F92" s="183" t="s">
        <v>1183</v>
      </c>
      <c r="G92" s="183"/>
      <c r="H92" s="183"/>
      <c r="I92" s="183"/>
      <c r="J92" s="183"/>
      <c r="K92" s="183"/>
      <c r="L92" s="183"/>
      <c r="M92" s="184">
        <v>43801</v>
      </c>
      <c r="N92" s="184">
        <v>43805</v>
      </c>
      <c r="O92" s="185"/>
      <c r="P92" s="186">
        <v>5</v>
      </c>
      <c r="Q92" s="186">
        <v>0</v>
      </c>
      <c r="R92" s="187">
        <v>5</v>
      </c>
      <c r="S92" s="187">
        <v>0</v>
      </c>
      <c r="T92" s="184"/>
      <c r="U92" s="184"/>
      <c r="V92" s="188"/>
      <c r="W92" s="189">
        <v>0</v>
      </c>
      <c r="X92" s="190">
        <v>1</v>
      </c>
      <c r="Y92" s="185" t="s">
        <v>1298</v>
      </c>
      <c r="Z92" s="191"/>
      <c r="AA92" s="97">
        <v>0</v>
      </c>
      <c r="AB92" s="192">
        <v>0</v>
      </c>
      <c r="AC92" s="123"/>
      <c r="AD92" s="4"/>
      <c r="AE92" s="4"/>
      <c r="AF92" s="4"/>
      <c r="AG92" s="4"/>
      <c r="AH92" s="4"/>
      <c r="AI92" s="4"/>
      <c r="AJ92" s="4"/>
      <c r="AK92" s="4"/>
      <c r="AL92" s="4"/>
      <c r="AM92" s="4"/>
      <c r="AN92" s="4"/>
      <c r="AO92" s="4"/>
      <c r="AP92" s="4"/>
      <c r="AQ92" s="4" t="str">
        <f>"" &amp; TEXT(AB92,"#0.00%") &amp; " " &amp; "Publish" &amp; "(Max, Pralhad)" &amp; " " &amp; IF(M92="","",TEXT(M92,"M/D-")) &amp; IF(N92="","",TEXT(N92,"M/D")) &amp; " "</f>
        <v xml:space="preserve">0.00% Publish(Max, Pralhad) 12/2-12/6 </v>
      </c>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row>
    <row r="93" spans="1:161" outlineLevel="1">
      <c r="A93" s="116"/>
      <c r="B93" s="116"/>
      <c r="C93" s="116">
        <v>0</v>
      </c>
      <c r="D93" s="3"/>
      <c r="E93" s="183"/>
      <c r="F93" s="183"/>
      <c r="G93" s="183"/>
      <c r="H93" s="183"/>
      <c r="I93" s="183"/>
      <c r="J93" s="183"/>
      <c r="K93" s="183"/>
      <c r="L93" s="183"/>
      <c r="M93" s="184"/>
      <c r="N93" s="184"/>
      <c r="O93" s="185"/>
      <c r="P93" s="186"/>
      <c r="Q93" s="186"/>
      <c r="R93" s="187">
        <v>0</v>
      </c>
      <c r="S93" s="187">
        <v>0</v>
      </c>
      <c r="T93" s="184"/>
      <c r="U93" s="184"/>
      <c r="V93" s="188"/>
      <c r="W93" s="189">
        <v>0</v>
      </c>
      <c r="X93" s="190"/>
      <c r="Y93" s="185"/>
      <c r="Z93" s="191"/>
      <c r="AA93" s="97"/>
      <c r="AB93" s="192"/>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row>
    <row r="94" spans="1:161">
      <c r="A94" s="116"/>
      <c r="B94" s="116" t="s">
        <v>1061</v>
      </c>
      <c r="C94" s="116">
        <v>1</v>
      </c>
      <c r="D94" s="3" t="s">
        <v>1234</v>
      </c>
      <c r="E94" s="183" t="s">
        <v>1225</v>
      </c>
      <c r="F94" s="183"/>
      <c r="G94" s="183"/>
      <c r="H94" s="183"/>
      <c r="I94" s="183"/>
      <c r="J94" s="183"/>
      <c r="K94" s="183"/>
      <c r="L94" s="183"/>
      <c r="M94" s="184">
        <v>43773</v>
      </c>
      <c r="N94" s="184">
        <v>43812</v>
      </c>
      <c r="O94" s="185"/>
      <c r="P94" s="186">
        <v>28</v>
      </c>
      <c r="Q94" s="186">
        <v>0</v>
      </c>
      <c r="R94" s="187">
        <v>30</v>
      </c>
      <c r="S94" s="187">
        <v>0</v>
      </c>
      <c r="T94" s="184"/>
      <c r="U94" s="184"/>
      <c r="V94" s="188">
        <v>0</v>
      </c>
      <c r="W94" s="189">
        <v>0</v>
      </c>
      <c r="X94" s="190"/>
      <c r="Y94" s="185"/>
      <c r="Z94" s="191"/>
      <c r="AA94" s="97">
        <v>0</v>
      </c>
      <c r="AB94" s="192">
        <v>0</v>
      </c>
      <c r="AC94" s="123"/>
      <c r="AD94" s="4"/>
      <c r="AE94" s="4"/>
      <c r="AF94" s="4"/>
      <c r="AG94" s="4"/>
      <c r="AH94" s="4"/>
      <c r="AI94" s="4"/>
      <c r="AJ94" s="4"/>
      <c r="AK94" s="4"/>
      <c r="AL94" s="4"/>
      <c r="AM94" s="4" t="str">
        <f>"" &amp; TEXT(AB94,"#0.00%") &amp; " "</f>
        <v xml:space="preserve">0.00% </v>
      </c>
      <c r="AN94" s="4"/>
      <c r="AO94" s="4"/>
      <c r="AP94" s="4"/>
      <c r="AQ94" s="4"/>
      <c r="AR94" s="4" t="str">
        <f>"     " &amp; "Reward/Coupon 2nd Phase" &amp; " " &amp; IF(M94="","",TEXT(M94,"M/D-")) &amp; IF(N94="","",TEXT(N94,"M/D")) &amp; " "</f>
        <v xml:space="preserve">     Reward/Coupon 2nd Phase 11/4-12/13 </v>
      </c>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row>
    <row r="95" spans="1:161" outlineLevel="1">
      <c r="A95" s="116"/>
      <c r="B95" s="116"/>
      <c r="C95" s="116">
        <v>2</v>
      </c>
      <c r="D95" s="3" t="s">
        <v>1235</v>
      </c>
      <c r="E95" s="183"/>
      <c r="F95" s="183" t="s">
        <v>1198</v>
      </c>
      <c r="G95" s="183"/>
      <c r="H95" s="183"/>
      <c r="I95" s="183"/>
      <c r="J95" s="183"/>
      <c r="K95" s="183"/>
      <c r="L95" s="183"/>
      <c r="M95" s="184">
        <v>43773</v>
      </c>
      <c r="N95" s="184">
        <v>43777</v>
      </c>
      <c r="O95" s="185"/>
      <c r="P95" s="186">
        <v>5</v>
      </c>
      <c r="Q95" s="186">
        <v>0</v>
      </c>
      <c r="R95" s="187">
        <v>5</v>
      </c>
      <c r="S95" s="187">
        <v>0</v>
      </c>
      <c r="T95" s="184"/>
      <c r="U95" s="184"/>
      <c r="V95" s="188"/>
      <c r="W95" s="189">
        <v>0</v>
      </c>
      <c r="X95" s="190">
        <v>1</v>
      </c>
      <c r="Y95" s="185"/>
      <c r="Z95" s="191"/>
      <c r="AA95" s="97">
        <v>0</v>
      </c>
      <c r="AB95" s="192">
        <v>0</v>
      </c>
      <c r="AC95" s="123"/>
      <c r="AD95" s="4"/>
      <c r="AE95" s="4"/>
      <c r="AF95" s="4"/>
      <c r="AG95" s="4"/>
      <c r="AH95" s="4"/>
      <c r="AI95" s="4"/>
      <c r="AJ95" s="4"/>
      <c r="AK95" s="4"/>
      <c r="AL95" s="4"/>
      <c r="AM95" s="4" t="str">
        <f>"" &amp; TEXT(AB95,"#0.00%") &amp; " " &amp; "Design" &amp; " " &amp; IF(M95="","",TEXT(M95,"M/D-")) &amp; IF(N95="","",TEXT(N95,"M/D")) &amp; " "</f>
        <v xml:space="preserve">0.00% Design 11/4-11/8 </v>
      </c>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row>
    <row r="96" spans="1:161" outlineLevel="1">
      <c r="A96" s="116"/>
      <c r="B96" s="116"/>
      <c r="C96" s="116">
        <v>2</v>
      </c>
      <c r="D96" s="3" t="s">
        <v>1236</v>
      </c>
      <c r="E96" s="183"/>
      <c r="F96" s="183" t="s">
        <v>1178</v>
      </c>
      <c r="G96" s="183"/>
      <c r="H96" s="183"/>
      <c r="I96" s="183"/>
      <c r="J96" s="183"/>
      <c r="K96" s="183"/>
      <c r="L96" s="183"/>
      <c r="M96" s="184">
        <v>43780</v>
      </c>
      <c r="N96" s="184">
        <v>43784</v>
      </c>
      <c r="O96" s="185"/>
      <c r="P96" s="186">
        <v>5</v>
      </c>
      <c r="Q96" s="186">
        <v>0</v>
      </c>
      <c r="R96" s="187">
        <v>5</v>
      </c>
      <c r="S96" s="187">
        <v>0</v>
      </c>
      <c r="T96" s="184"/>
      <c r="U96" s="184"/>
      <c r="V96" s="188"/>
      <c r="W96" s="189">
        <v>0</v>
      </c>
      <c r="X96" s="190">
        <v>1</v>
      </c>
      <c r="Y96" s="185" t="s">
        <v>1264</v>
      </c>
      <c r="Z96" s="191"/>
      <c r="AA96" s="97">
        <v>0</v>
      </c>
      <c r="AB96" s="192">
        <v>0</v>
      </c>
      <c r="AC96" s="123"/>
      <c r="AD96" s="4"/>
      <c r="AE96" s="4"/>
      <c r="AF96" s="4"/>
      <c r="AG96" s="4"/>
      <c r="AH96" s="4"/>
      <c r="AI96" s="4"/>
      <c r="AJ96" s="4"/>
      <c r="AK96" s="4"/>
      <c r="AL96" s="4"/>
      <c r="AM96" s="4"/>
      <c r="AN96" s="4" t="str">
        <f>"" &amp; TEXT(AB96,"#0.00%") &amp; " " &amp; "Core" &amp; "(Chris)" &amp; " " &amp; IF(M96="","",TEXT(M96,"M/D-")) &amp; IF(N96="","",TEXT(N96,"M/D")) &amp; " "</f>
        <v xml:space="preserve">0.00% Core(Chris) 11/11-11/15 </v>
      </c>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row>
    <row r="97" spans="1:161" outlineLevel="1">
      <c r="A97" s="116"/>
      <c r="B97" s="116"/>
      <c r="C97" s="116">
        <v>2</v>
      </c>
      <c r="D97" s="3" t="s">
        <v>1237</v>
      </c>
      <c r="E97" s="183"/>
      <c r="F97" s="183" t="s">
        <v>1179</v>
      </c>
      <c r="G97" s="183"/>
      <c r="H97" s="183"/>
      <c r="I97" s="183"/>
      <c r="J97" s="183"/>
      <c r="K97" s="183"/>
      <c r="L97" s="183"/>
      <c r="M97" s="184"/>
      <c r="N97" s="184"/>
      <c r="O97" s="185"/>
      <c r="P97" s="186">
        <v>0</v>
      </c>
      <c r="Q97" s="186">
        <v>0</v>
      </c>
      <c r="R97" s="187">
        <v>0</v>
      </c>
      <c r="S97" s="187">
        <v>0</v>
      </c>
      <c r="T97" s="184"/>
      <c r="U97" s="184"/>
      <c r="V97" s="188">
        <v>0</v>
      </c>
      <c r="W97" s="189">
        <v>0</v>
      </c>
      <c r="X97" s="190"/>
      <c r="Y97" s="185"/>
      <c r="Z97" s="191"/>
      <c r="AA97" s="97">
        <v>0</v>
      </c>
      <c r="AB97" s="192">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row>
    <row r="98" spans="1:161" outlineLevel="1">
      <c r="A98" s="116"/>
      <c r="B98" s="116"/>
      <c r="C98" s="116">
        <v>2</v>
      </c>
      <c r="D98" s="3" t="s">
        <v>1238</v>
      </c>
      <c r="E98" s="183"/>
      <c r="F98" s="183" t="s">
        <v>1180</v>
      </c>
      <c r="G98" s="183"/>
      <c r="H98" s="183"/>
      <c r="I98" s="183"/>
      <c r="J98" s="183"/>
      <c r="K98" s="183"/>
      <c r="L98" s="183"/>
      <c r="M98" s="184">
        <v>43787</v>
      </c>
      <c r="N98" s="184">
        <v>43791</v>
      </c>
      <c r="O98" s="185"/>
      <c r="P98" s="186">
        <v>5</v>
      </c>
      <c r="Q98" s="186">
        <v>0</v>
      </c>
      <c r="R98" s="187">
        <v>5</v>
      </c>
      <c r="S98" s="187">
        <v>0</v>
      </c>
      <c r="T98" s="184"/>
      <c r="U98" s="184"/>
      <c r="V98" s="188"/>
      <c r="W98" s="189">
        <v>0</v>
      </c>
      <c r="X98" s="190">
        <v>1</v>
      </c>
      <c r="Y98" s="185" t="s">
        <v>1264</v>
      </c>
      <c r="Z98" s="191"/>
      <c r="AA98" s="97">
        <v>0</v>
      </c>
      <c r="AB98" s="192">
        <v>0</v>
      </c>
      <c r="AC98" s="123"/>
      <c r="AD98" s="4"/>
      <c r="AE98" s="4"/>
      <c r="AF98" s="4"/>
      <c r="AG98" s="4"/>
      <c r="AH98" s="4"/>
      <c r="AI98" s="4"/>
      <c r="AJ98" s="4"/>
      <c r="AK98" s="4"/>
      <c r="AL98" s="4"/>
      <c r="AM98" s="4"/>
      <c r="AN98" s="4"/>
      <c r="AO98" s="4" t="str">
        <f>"" &amp; TEXT(AB98,"#0.00%") &amp; " " &amp; "API" &amp; "(Chris)" &amp; " " &amp; IF(M98="","",TEXT(M98,"M/D-")) &amp; IF(N98="","",TEXT(N98,"M/D")) &amp; " "</f>
        <v xml:space="preserve">0.00% API(Chris) 11/18-11/22 </v>
      </c>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row>
    <row r="99" spans="1:161" outlineLevel="1">
      <c r="A99" s="116"/>
      <c r="B99" s="116"/>
      <c r="C99" s="116">
        <v>2</v>
      </c>
      <c r="D99" s="3" t="s">
        <v>1239</v>
      </c>
      <c r="E99" s="183"/>
      <c r="F99" s="183" t="s">
        <v>1199</v>
      </c>
      <c r="G99" s="183"/>
      <c r="H99" s="183"/>
      <c r="I99" s="183"/>
      <c r="J99" s="183"/>
      <c r="K99" s="183"/>
      <c r="L99" s="183"/>
      <c r="M99" s="184">
        <v>43796</v>
      </c>
      <c r="N99" s="184">
        <v>43798</v>
      </c>
      <c r="O99" s="185"/>
      <c r="P99" s="186">
        <v>3</v>
      </c>
      <c r="Q99" s="186">
        <v>0</v>
      </c>
      <c r="R99" s="187">
        <v>3</v>
      </c>
      <c r="S99" s="187">
        <v>0</v>
      </c>
      <c r="T99" s="184"/>
      <c r="U99" s="184"/>
      <c r="V99" s="188"/>
      <c r="W99" s="189">
        <v>0</v>
      </c>
      <c r="X99" s="190">
        <v>1</v>
      </c>
      <c r="Y99" s="185" t="s">
        <v>1181</v>
      </c>
      <c r="Z99" s="191"/>
      <c r="AA99" s="97">
        <v>0</v>
      </c>
      <c r="AB99" s="192">
        <v>0</v>
      </c>
      <c r="AC99" s="123"/>
      <c r="AD99" s="4"/>
      <c r="AE99" s="4"/>
      <c r="AF99" s="4"/>
      <c r="AG99" s="4"/>
      <c r="AH99" s="4"/>
      <c r="AI99" s="4"/>
      <c r="AJ99" s="4"/>
      <c r="AK99" s="4"/>
      <c r="AL99" s="4"/>
      <c r="AM99" s="4"/>
      <c r="AN99" s="4"/>
      <c r="AO99" s="4"/>
      <c r="AP99" s="4" t="str">
        <f>"  " &amp; TEXT(AB99,"#0.00%") &amp; " " &amp; "iOS/Android" &amp; "(James,Preyea)" &amp; " " &amp; IF(M99="","",TEXT(M99,"M/D-")) &amp; IF(N99="","",TEXT(N99,"M/D")) &amp; " "</f>
        <v xml:space="preserve">  0.00% iOS/Android(James,Preyea) 11/27-11/29 </v>
      </c>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row>
    <row r="100" spans="1:161" outlineLevel="1">
      <c r="A100" s="116"/>
      <c r="B100" s="116"/>
      <c r="C100" s="116">
        <v>2</v>
      </c>
      <c r="D100" s="3" t="s">
        <v>1240</v>
      </c>
      <c r="E100" s="183"/>
      <c r="F100" s="183" t="s">
        <v>1182</v>
      </c>
      <c r="G100" s="183"/>
      <c r="H100" s="183"/>
      <c r="I100" s="183"/>
      <c r="J100" s="183"/>
      <c r="K100" s="183"/>
      <c r="L100" s="183"/>
      <c r="M100" s="184">
        <v>43801</v>
      </c>
      <c r="N100" s="184">
        <v>43805</v>
      </c>
      <c r="O100" s="185"/>
      <c r="P100" s="186">
        <v>5</v>
      </c>
      <c r="Q100" s="186">
        <v>0</v>
      </c>
      <c r="R100" s="187">
        <v>5</v>
      </c>
      <c r="S100" s="187">
        <v>0</v>
      </c>
      <c r="T100" s="184"/>
      <c r="U100" s="184"/>
      <c r="V100" s="188"/>
      <c r="W100" s="189">
        <v>0</v>
      </c>
      <c r="X100" s="190">
        <v>1</v>
      </c>
      <c r="Y100" s="185" t="s">
        <v>1298</v>
      </c>
      <c r="Z100" s="191"/>
      <c r="AA100" s="97">
        <v>0</v>
      </c>
      <c r="AB100" s="192">
        <v>0</v>
      </c>
      <c r="AC100" s="123"/>
      <c r="AD100" s="4"/>
      <c r="AE100" s="4"/>
      <c r="AF100" s="4"/>
      <c r="AG100" s="4"/>
      <c r="AH100" s="4"/>
      <c r="AI100" s="4"/>
      <c r="AJ100" s="4"/>
      <c r="AK100" s="4"/>
      <c r="AL100" s="4"/>
      <c r="AM100" s="4"/>
      <c r="AN100" s="4"/>
      <c r="AO100" s="4"/>
      <c r="AP100" s="4"/>
      <c r="AQ100" s="4" t="str">
        <f>"" &amp; TEXT(AB100,"#0.00%") &amp; " " &amp; "Test" &amp; "(Max, Pralhad)" &amp; " " &amp; IF(M100="","",TEXT(M100,"M/D-")) &amp; IF(N100="","",TEXT(N100,"M/D")) &amp; " "</f>
        <v xml:space="preserve">0.00% Test(Max, Pralhad) 12/2-12/6 </v>
      </c>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row>
    <row r="101" spans="1:161" outlineLevel="1">
      <c r="A101" s="116"/>
      <c r="B101" s="116"/>
      <c r="C101" s="116">
        <v>2</v>
      </c>
      <c r="D101" s="3" t="s">
        <v>1241</v>
      </c>
      <c r="E101" s="183"/>
      <c r="F101" s="183" t="s">
        <v>1183</v>
      </c>
      <c r="G101" s="183"/>
      <c r="H101" s="183"/>
      <c r="I101" s="183"/>
      <c r="J101" s="183"/>
      <c r="K101" s="183"/>
      <c r="L101" s="183"/>
      <c r="M101" s="184">
        <v>43808</v>
      </c>
      <c r="N101" s="184">
        <v>43812</v>
      </c>
      <c r="O101" s="185"/>
      <c r="P101" s="186">
        <v>5</v>
      </c>
      <c r="Q101" s="186">
        <v>0</v>
      </c>
      <c r="R101" s="187">
        <v>5</v>
      </c>
      <c r="S101" s="187">
        <v>0</v>
      </c>
      <c r="T101" s="184"/>
      <c r="U101" s="184"/>
      <c r="V101" s="188"/>
      <c r="W101" s="189">
        <v>0</v>
      </c>
      <c r="X101" s="190">
        <v>1</v>
      </c>
      <c r="Y101" s="185" t="s">
        <v>1298</v>
      </c>
      <c r="Z101" s="191"/>
      <c r="AA101" s="97">
        <v>0</v>
      </c>
      <c r="AB101" s="192">
        <v>0</v>
      </c>
      <c r="AC101" s="123"/>
      <c r="AD101" s="4"/>
      <c r="AE101" s="4"/>
      <c r="AF101" s="4"/>
      <c r="AG101" s="4"/>
      <c r="AH101" s="4"/>
      <c r="AI101" s="4"/>
      <c r="AJ101" s="4"/>
      <c r="AK101" s="4"/>
      <c r="AL101" s="4"/>
      <c r="AM101" s="4"/>
      <c r="AN101" s="4"/>
      <c r="AO101" s="4"/>
      <c r="AP101" s="4"/>
      <c r="AQ101" s="4"/>
      <c r="AR101" s="4" t="str">
        <f>"" &amp; TEXT(AB101,"#0.00%") &amp; " " &amp; "Publish" &amp; "(Max, Pralhad)" &amp; " " &amp; IF(M101="","",TEXT(M101,"M/D-")) &amp; IF(N101="","",TEXT(N101,"M/D")) &amp; " "</f>
        <v xml:space="preserve">0.00% Publish(Max, Pralhad) 12/9-12/13 </v>
      </c>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row>
    <row r="102" spans="1:161" outlineLevel="1">
      <c r="A102" s="116"/>
      <c r="B102" s="116"/>
      <c r="C102" s="116">
        <v>0</v>
      </c>
      <c r="D102" s="3"/>
      <c r="E102" s="183"/>
      <c r="F102" s="183"/>
      <c r="G102" s="183"/>
      <c r="H102" s="183"/>
      <c r="I102" s="183"/>
      <c r="J102" s="183"/>
      <c r="K102" s="183"/>
      <c r="L102" s="183"/>
      <c r="M102" s="184"/>
      <c r="N102" s="184"/>
      <c r="O102" s="185"/>
      <c r="P102" s="186"/>
      <c r="Q102" s="186"/>
      <c r="R102" s="187">
        <v>0</v>
      </c>
      <c r="S102" s="187">
        <v>0</v>
      </c>
      <c r="T102" s="184"/>
      <c r="U102" s="184"/>
      <c r="V102" s="188"/>
      <c r="W102" s="189">
        <v>0</v>
      </c>
      <c r="X102" s="190"/>
      <c r="Y102" s="185"/>
      <c r="Z102" s="191"/>
      <c r="AA102" s="97"/>
      <c r="AB102" s="192"/>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row>
    <row r="103" spans="1:161">
      <c r="A103" s="116"/>
      <c r="B103" s="116" t="s">
        <v>1061</v>
      </c>
      <c r="C103" s="116">
        <v>1</v>
      </c>
      <c r="D103" s="3" t="s">
        <v>1254</v>
      </c>
      <c r="E103" s="183" t="s">
        <v>1252</v>
      </c>
      <c r="F103" s="183"/>
      <c r="G103" s="183"/>
      <c r="H103" s="183"/>
      <c r="I103" s="183"/>
      <c r="J103" s="183"/>
      <c r="K103" s="183"/>
      <c r="L103" s="183"/>
      <c r="M103" s="184">
        <v>43745</v>
      </c>
      <c r="N103" s="184">
        <v>43769</v>
      </c>
      <c r="O103" s="185"/>
      <c r="P103" s="186">
        <v>27</v>
      </c>
      <c r="Q103" s="186">
        <v>23</v>
      </c>
      <c r="R103" s="187">
        <v>18</v>
      </c>
      <c r="S103" s="187">
        <v>16</v>
      </c>
      <c r="T103" s="184"/>
      <c r="U103" s="184"/>
      <c r="V103" s="188">
        <v>0</v>
      </c>
      <c r="W103" s="189">
        <v>0</v>
      </c>
      <c r="X103" s="190"/>
      <c r="Y103" s="185"/>
      <c r="Z103" s="191"/>
      <c r="AA103" s="97">
        <v>0.85185185185185186</v>
      </c>
      <c r="AB103" s="192">
        <v>0</v>
      </c>
      <c r="AC103" s="123"/>
      <c r="AD103" s="4"/>
      <c r="AE103" s="4"/>
      <c r="AF103" s="4"/>
      <c r="AG103" s="4"/>
      <c r="AH103" s="4"/>
      <c r="AI103" s="4" t="str">
        <f>"" &amp; TEXT(AB103,"#0.00%") &amp; " "</f>
        <v xml:space="preserve">0.00% </v>
      </c>
      <c r="AJ103" s="4"/>
      <c r="AK103" s="4"/>
      <c r="AL103" s="4" t="str">
        <f>"    " &amp; "Powercall 2nd Phase" &amp; " " &amp; IF(M103="","",TEXT(M103,"M/D-")) &amp; IF(N103="","",TEXT(N103,"M/D")) &amp; " "</f>
        <v xml:space="preserve">    Powercall 2nd Phase 10/7-10/31 </v>
      </c>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row>
    <row r="104" spans="1:161" outlineLevel="1">
      <c r="A104" s="116"/>
      <c r="B104" s="116"/>
      <c r="C104" s="116">
        <v>2</v>
      </c>
      <c r="D104" s="3" t="s">
        <v>1255</v>
      </c>
      <c r="E104" s="183"/>
      <c r="F104" s="183" t="s">
        <v>1198</v>
      </c>
      <c r="G104" s="183"/>
      <c r="H104" s="183"/>
      <c r="I104" s="183"/>
      <c r="J104" s="183"/>
      <c r="K104" s="183"/>
      <c r="L104" s="183"/>
      <c r="M104" s="184">
        <v>43745</v>
      </c>
      <c r="N104" s="184">
        <v>43749</v>
      </c>
      <c r="O104" s="185"/>
      <c r="P104" s="186">
        <v>4</v>
      </c>
      <c r="Q104" s="186">
        <v>4</v>
      </c>
      <c r="R104" s="187">
        <v>4</v>
      </c>
      <c r="S104" s="187">
        <v>4</v>
      </c>
      <c r="T104" s="184"/>
      <c r="U104" s="184"/>
      <c r="V104" s="188"/>
      <c r="W104" s="189">
        <v>0</v>
      </c>
      <c r="X104" s="190">
        <v>1</v>
      </c>
      <c r="Y104" s="185" t="s">
        <v>1263</v>
      </c>
      <c r="Z104" s="191"/>
      <c r="AA104" s="97">
        <v>1</v>
      </c>
      <c r="AB104" s="192">
        <v>0</v>
      </c>
      <c r="AC104" s="123"/>
      <c r="AD104" s="4"/>
      <c r="AE104" s="4"/>
      <c r="AF104" s="4"/>
      <c r="AG104" s="4"/>
      <c r="AH104" s="4"/>
      <c r="AI104" s="4" t="str">
        <f>"" &amp; TEXT(AB104,"#0.00%") &amp; " " &amp; "Design" &amp; "(Max, Chris)" &amp; " " &amp; IF(M104="","",TEXT(M104,"M/D-")) &amp; IF(N104="","",TEXT(N104,"M/D")) &amp; " "</f>
        <v xml:space="preserve">0.00% Design(Max, Chris) 10/7-10/11 </v>
      </c>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row>
    <row r="105" spans="1:161" outlineLevel="1">
      <c r="A105" s="116"/>
      <c r="B105" s="116"/>
      <c r="C105" s="116">
        <v>2</v>
      </c>
      <c r="D105" s="3" t="s">
        <v>1256</v>
      </c>
      <c r="E105" s="183"/>
      <c r="F105" s="183" t="s">
        <v>1178</v>
      </c>
      <c r="G105" s="183"/>
      <c r="H105" s="183"/>
      <c r="I105" s="183"/>
      <c r="J105" s="183"/>
      <c r="K105" s="183"/>
      <c r="L105" s="183"/>
      <c r="M105" s="184"/>
      <c r="N105" s="184"/>
      <c r="O105" s="185"/>
      <c r="P105" s="186">
        <v>0</v>
      </c>
      <c r="Q105" s="186">
        <v>0</v>
      </c>
      <c r="R105" s="187">
        <v>0</v>
      </c>
      <c r="S105" s="187">
        <v>0</v>
      </c>
      <c r="T105" s="184"/>
      <c r="U105" s="184"/>
      <c r="V105" s="188">
        <v>0</v>
      </c>
      <c r="W105" s="189">
        <v>0</v>
      </c>
      <c r="X105" s="190"/>
      <c r="Y105" s="185"/>
      <c r="Z105" s="191"/>
      <c r="AA105" s="97">
        <v>0</v>
      </c>
      <c r="AB105" s="192">
        <v>0</v>
      </c>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row>
    <row r="106" spans="1:161" outlineLevel="1">
      <c r="A106" s="116"/>
      <c r="B106" s="116"/>
      <c r="C106" s="116">
        <v>2</v>
      </c>
      <c r="D106" s="3" t="s">
        <v>1257</v>
      </c>
      <c r="E106" s="183"/>
      <c r="F106" s="183" t="s">
        <v>1179</v>
      </c>
      <c r="G106" s="183"/>
      <c r="H106" s="183"/>
      <c r="I106" s="183"/>
      <c r="J106" s="183"/>
      <c r="K106" s="183"/>
      <c r="L106" s="183"/>
      <c r="M106" s="184"/>
      <c r="N106" s="184"/>
      <c r="O106" s="185"/>
      <c r="P106" s="186">
        <v>0</v>
      </c>
      <c r="Q106" s="186">
        <v>0</v>
      </c>
      <c r="R106" s="187">
        <v>0</v>
      </c>
      <c r="S106" s="187">
        <v>0</v>
      </c>
      <c r="T106" s="184"/>
      <c r="U106" s="184"/>
      <c r="V106" s="188">
        <v>0</v>
      </c>
      <c r="W106" s="189">
        <v>0</v>
      </c>
      <c r="X106" s="190"/>
      <c r="Y106" s="185"/>
      <c r="Z106" s="191"/>
      <c r="AA106" s="97">
        <v>0</v>
      </c>
      <c r="AB106" s="192">
        <v>0</v>
      </c>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row>
    <row r="107" spans="1:161" outlineLevel="1">
      <c r="A107" s="116"/>
      <c r="B107" s="116"/>
      <c r="C107" s="116">
        <v>2</v>
      </c>
      <c r="D107" s="3" t="s">
        <v>1258</v>
      </c>
      <c r="E107" s="183"/>
      <c r="F107" s="183" t="s">
        <v>1180</v>
      </c>
      <c r="G107" s="183"/>
      <c r="H107" s="183"/>
      <c r="I107" s="183"/>
      <c r="J107" s="183"/>
      <c r="K107" s="183"/>
      <c r="L107" s="183"/>
      <c r="M107" s="184">
        <v>43752</v>
      </c>
      <c r="N107" s="184">
        <v>43769</v>
      </c>
      <c r="O107" s="185"/>
      <c r="P107" s="186">
        <v>14</v>
      </c>
      <c r="Q107" s="186">
        <v>12</v>
      </c>
      <c r="R107" s="187">
        <v>14</v>
      </c>
      <c r="S107" s="187">
        <v>12</v>
      </c>
      <c r="T107" s="184"/>
      <c r="U107" s="184"/>
      <c r="V107" s="188"/>
      <c r="W107" s="189">
        <v>0</v>
      </c>
      <c r="X107" s="190">
        <v>1</v>
      </c>
      <c r="Y107" s="185" t="s">
        <v>1264</v>
      </c>
      <c r="Z107" s="191"/>
      <c r="AA107" s="97">
        <v>0.8571428571428571</v>
      </c>
      <c r="AB107" s="192">
        <v>0</v>
      </c>
      <c r="AC107" s="123"/>
      <c r="AD107" s="4"/>
      <c r="AE107" s="4"/>
      <c r="AF107" s="4"/>
      <c r="AG107" s="4"/>
      <c r="AH107" s="4"/>
      <c r="AI107" s="4"/>
      <c r="AJ107" s="4" t="str">
        <f>"" &amp; TEXT(AB107,"#0.00%") &amp; " " &amp; "API" &amp; "(Chris)" &amp; " " &amp; IF(M107="","",TEXT(M107,"M/D-")) &amp; IF(N107="","",TEXT(N107,"M/D")) &amp; " "</f>
        <v xml:space="preserve">0.00% API(Chris) 10/14-10/31 </v>
      </c>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row>
    <row r="108" spans="1:161" outlineLevel="1">
      <c r="A108" s="116"/>
      <c r="B108" s="116"/>
      <c r="C108" s="116">
        <v>2</v>
      </c>
      <c r="D108" s="3" t="s">
        <v>1259</v>
      </c>
      <c r="E108" s="183"/>
      <c r="F108" s="183" t="s">
        <v>1199</v>
      </c>
      <c r="G108" s="183"/>
      <c r="H108" s="183"/>
      <c r="I108" s="183"/>
      <c r="J108" s="183"/>
      <c r="K108" s="183"/>
      <c r="L108" s="183"/>
      <c r="M108" s="184">
        <v>43759</v>
      </c>
      <c r="N108" s="184">
        <v>43769</v>
      </c>
      <c r="O108" s="185"/>
      <c r="P108" s="186">
        <v>9</v>
      </c>
      <c r="Q108" s="186">
        <v>7</v>
      </c>
      <c r="R108" s="187">
        <v>9</v>
      </c>
      <c r="S108" s="187">
        <v>7</v>
      </c>
      <c r="T108" s="184"/>
      <c r="U108" s="184"/>
      <c r="V108" s="188"/>
      <c r="W108" s="189">
        <v>0</v>
      </c>
      <c r="X108" s="190">
        <v>1</v>
      </c>
      <c r="Y108" s="185" t="s">
        <v>1181</v>
      </c>
      <c r="Z108" s="191"/>
      <c r="AA108" s="97">
        <v>0.77777777777777779</v>
      </c>
      <c r="AB108" s="192">
        <v>0</v>
      </c>
      <c r="AC108" s="123"/>
      <c r="AD108" s="4"/>
      <c r="AE108" s="4"/>
      <c r="AF108" s="4"/>
      <c r="AG108" s="4"/>
      <c r="AH108" s="4"/>
      <c r="AI108" s="4"/>
      <c r="AJ108" s="4"/>
      <c r="AK108" s="4" t="str">
        <f>"" &amp; TEXT(AB108,"#0.00%") &amp; " " &amp; "iOS/Android" &amp; "(James,Preyea)" &amp; " " &amp; IF(M108="","",TEXT(M108,"M/D-")) &amp; IF(N108="","",TEXT(N108,"M/D")) &amp; " "</f>
        <v xml:space="preserve">0.00% iOS/Android(James,Preyea) 10/21-10/31 </v>
      </c>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row>
    <row r="109" spans="1:161" outlineLevel="1">
      <c r="A109" s="116"/>
      <c r="B109" s="116"/>
      <c r="C109" s="116">
        <v>2</v>
      </c>
      <c r="D109" s="3" t="s">
        <v>1260</v>
      </c>
      <c r="E109" s="183"/>
      <c r="F109" s="183" t="s">
        <v>1182</v>
      </c>
      <c r="G109" s="183"/>
      <c r="H109" s="183"/>
      <c r="I109" s="183"/>
      <c r="J109" s="183"/>
      <c r="K109" s="183"/>
      <c r="L109" s="183"/>
      <c r="M109" s="184"/>
      <c r="N109" s="184"/>
      <c r="O109" s="185"/>
      <c r="P109" s="186">
        <v>0</v>
      </c>
      <c r="Q109" s="186">
        <v>0</v>
      </c>
      <c r="R109" s="187">
        <v>0</v>
      </c>
      <c r="S109" s="187">
        <v>0</v>
      </c>
      <c r="T109" s="184"/>
      <c r="U109" s="184"/>
      <c r="V109" s="188">
        <v>0</v>
      </c>
      <c r="W109" s="189">
        <v>0</v>
      </c>
      <c r="X109" s="190">
        <v>1</v>
      </c>
      <c r="Y109" s="185"/>
      <c r="Z109" s="191"/>
      <c r="AA109" s="97">
        <v>0</v>
      </c>
      <c r="AB109" s="192">
        <v>0</v>
      </c>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row>
    <row r="110" spans="1:161" outlineLevel="1">
      <c r="A110" s="116"/>
      <c r="B110" s="116"/>
      <c r="C110" s="116">
        <v>2</v>
      </c>
      <c r="D110" s="3" t="s">
        <v>1261</v>
      </c>
      <c r="E110" s="183"/>
      <c r="F110" s="183" t="s">
        <v>1183</v>
      </c>
      <c r="G110" s="183"/>
      <c r="H110" s="183"/>
      <c r="I110" s="183"/>
      <c r="J110" s="183"/>
      <c r="K110" s="183"/>
      <c r="L110" s="183"/>
      <c r="M110" s="184"/>
      <c r="N110" s="184"/>
      <c r="O110" s="185"/>
      <c r="P110" s="186">
        <v>0</v>
      </c>
      <c r="Q110" s="186">
        <v>0</v>
      </c>
      <c r="R110" s="187">
        <v>0</v>
      </c>
      <c r="S110" s="187">
        <v>0</v>
      </c>
      <c r="T110" s="184"/>
      <c r="U110" s="184"/>
      <c r="V110" s="188">
        <v>0</v>
      </c>
      <c r="W110" s="189">
        <v>0</v>
      </c>
      <c r="X110" s="190">
        <v>1</v>
      </c>
      <c r="Y110" s="185"/>
      <c r="Z110" s="191"/>
      <c r="AA110" s="97">
        <v>0</v>
      </c>
      <c r="AB110" s="192">
        <v>0</v>
      </c>
      <c r="AC110" s="123"/>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row>
    <row r="111" spans="1:161" outlineLevel="1">
      <c r="A111" s="116"/>
      <c r="B111" s="116"/>
      <c r="C111" s="116">
        <v>0</v>
      </c>
      <c r="D111" s="3"/>
      <c r="E111" s="183"/>
      <c r="F111" s="183"/>
      <c r="G111" s="183"/>
      <c r="H111" s="183"/>
      <c r="I111" s="183"/>
      <c r="J111" s="183"/>
      <c r="K111" s="183"/>
      <c r="L111" s="183"/>
      <c r="M111" s="184"/>
      <c r="N111" s="184"/>
      <c r="O111" s="185"/>
      <c r="P111" s="186"/>
      <c r="Q111" s="186"/>
      <c r="R111" s="187">
        <v>0</v>
      </c>
      <c r="S111" s="187">
        <v>0</v>
      </c>
      <c r="T111" s="184"/>
      <c r="U111" s="184"/>
      <c r="V111" s="188"/>
      <c r="W111" s="189">
        <v>0</v>
      </c>
      <c r="X111" s="190"/>
      <c r="Y111" s="185"/>
      <c r="Z111" s="191"/>
      <c r="AA111" s="97"/>
      <c r="AB111" s="192"/>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row>
    <row r="112" spans="1:161">
      <c r="A112" s="116"/>
      <c r="B112" s="116" t="s">
        <v>1061</v>
      </c>
      <c r="C112" s="116">
        <v>1</v>
      </c>
      <c r="D112" s="3" t="s">
        <v>1266</v>
      </c>
      <c r="E112" s="183" t="s">
        <v>1265</v>
      </c>
      <c r="F112" s="183"/>
      <c r="G112" s="183"/>
      <c r="H112" s="183"/>
      <c r="I112" s="183"/>
      <c r="J112" s="183"/>
      <c r="K112" s="183"/>
      <c r="L112" s="183"/>
      <c r="M112" s="184"/>
      <c r="N112" s="184"/>
      <c r="O112" s="185"/>
      <c r="P112" s="186">
        <v>0</v>
      </c>
      <c r="Q112" s="186">
        <v>0</v>
      </c>
      <c r="R112" s="187">
        <v>0</v>
      </c>
      <c r="S112" s="187">
        <v>0</v>
      </c>
      <c r="T112" s="184"/>
      <c r="U112" s="184"/>
      <c r="V112" s="188">
        <v>0</v>
      </c>
      <c r="W112" s="189">
        <v>0</v>
      </c>
      <c r="X112" s="190"/>
      <c r="Y112" s="185"/>
      <c r="Z112" s="191"/>
      <c r="AA112" s="97">
        <v>0</v>
      </c>
      <c r="AB112" s="192">
        <v>0</v>
      </c>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row>
    <row r="113" spans="1:161" outlineLevel="1">
      <c r="A113" s="116"/>
      <c r="B113" s="116"/>
      <c r="C113" s="116">
        <v>2</v>
      </c>
      <c r="D113" s="3" t="s">
        <v>1267</v>
      </c>
      <c r="E113" s="183"/>
      <c r="F113" s="183" t="s">
        <v>1198</v>
      </c>
      <c r="G113" s="183"/>
      <c r="H113" s="183"/>
      <c r="I113" s="183"/>
      <c r="J113" s="183"/>
      <c r="K113" s="183"/>
      <c r="L113" s="183"/>
      <c r="M113" s="184"/>
      <c r="N113" s="184"/>
      <c r="O113" s="185"/>
      <c r="P113" s="186">
        <v>0</v>
      </c>
      <c r="Q113" s="186">
        <v>0</v>
      </c>
      <c r="R113" s="187">
        <v>0</v>
      </c>
      <c r="S113" s="187">
        <v>0</v>
      </c>
      <c r="T113" s="184"/>
      <c r="U113" s="184"/>
      <c r="V113" s="188">
        <v>0</v>
      </c>
      <c r="W113" s="189">
        <v>0</v>
      </c>
      <c r="X113" s="190">
        <v>1</v>
      </c>
      <c r="Y113" s="185"/>
      <c r="Z113" s="191"/>
      <c r="AA113" s="97">
        <v>0</v>
      </c>
      <c r="AB113" s="192">
        <v>0</v>
      </c>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row>
    <row r="114" spans="1:161" outlineLevel="1">
      <c r="A114" s="116"/>
      <c r="B114" s="116"/>
      <c r="C114" s="116">
        <v>2</v>
      </c>
      <c r="D114" s="3" t="s">
        <v>1268</v>
      </c>
      <c r="E114" s="183"/>
      <c r="F114" s="183" t="s">
        <v>1178</v>
      </c>
      <c r="G114" s="183"/>
      <c r="H114" s="183"/>
      <c r="I114" s="183"/>
      <c r="J114" s="183"/>
      <c r="K114" s="183"/>
      <c r="L114" s="183"/>
      <c r="M114" s="184"/>
      <c r="N114" s="184"/>
      <c r="O114" s="185"/>
      <c r="P114" s="186">
        <v>0</v>
      </c>
      <c r="Q114" s="186">
        <v>0</v>
      </c>
      <c r="R114" s="187">
        <v>0</v>
      </c>
      <c r="S114" s="187">
        <v>0</v>
      </c>
      <c r="T114" s="184"/>
      <c r="U114" s="184"/>
      <c r="V114" s="188">
        <v>0</v>
      </c>
      <c r="W114" s="189">
        <v>0</v>
      </c>
      <c r="X114" s="190"/>
      <c r="Y114" s="185"/>
      <c r="Z114" s="191"/>
      <c r="AA114" s="97">
        <v>0</v>
      </c>
      <c r="AB114" s="192">
        <v>0</v>
      </c>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row>
    <row r="115" spans="1:161" outlineLevel="1">
      <c r="A115" s="116"/>
      <c r="B115" s="116"/>
      <c r="C115" s="116">
        <v>2</v>
      </c>
      <c r="D115" s="3" t="s">
        <v>1269</v>
      </c>
      <c r="E115" s="183"/>
      <c r="F115" s="183" t="s">
        <v>1179</v>
      </c>
      <c r="G115" s="183"/>
      <c r="H115" s="183"/>
      <c r="I115" s="183"/>
      <c r="J115" s="183"/>
      <c r="K115" s="183"/>
      <c r="L115" s="183"/>
      <c r="M115" s="184"/>
      <c r="N115" s="184"/>
      <c r="O115" s="185"/>
      <c r="P115" s="186">
        <v>0</v>
      </c>
      <c r="Q115" s="186">
        <v>0</v>
      </c>
      <c r="R115" s="187">
        <v>0</v>
      </c>
      <c r="S115" s="187">
        <v>0</v>
      </c>
      <c r="T115" s="184"/>
      <c r="U115" s="184"/>
      <c r="V115" s="188">
        <v>0</v>
      </c>
      <c r="W115" s="189">
        <v>0</v>
      </c>
      <c r="X115" s="190"/>
      <c r="Y115" s="185"/>
      <c r="Z115" s="191"/>
      <c r="AA115" s="97">
        <v>0</v>
      </c>
      <c r="AB115" s="192">
        <v>0</v>
      </c>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row>
    <row r="116" spans="1:161" outlineLevel="1">
      <c r="A116" s="116"/>
      <c r="B116" s="116"/>
      <c r="C116" s="116">
        <v>2</v>
      </c>
      <c r="D116" s="3" t="s">
        <v>1270</v>
      </c>
      <c r="E116" s="183"/>
      <c r="F116" s="183" t="s">
        <v>1180</v>
      </c>
      <c r="G116" s="183"/>
      <c r="H116" s="183"/>
      <c r="I116" s="183"/>
      <c r="J116" s="183"/>
      <c r="K116" s="183"/>
      <c r="L116" s="183"/>
      <c r="M116" s="184"/>
      <c r="N116" s="184"/>
      <c r="O116" s="185"/>
      <c r="P116" s="186">
        <v>0</v>
      </c>
      <c r="Q116" s="186">
        <v>0</v>
      </c>
      <c r="R116" s="187">
        <v>0</v>
      </c>
      <c r="S116" s="187">
        <v>0</v>
      </c>
      <c r="T116" s="184"/>
      <c r="U116" s="184"/>
      <c r="V116" s="188">
        <v>0</v>
      </c>
      <c r="W116" s="189">
        <v>0</v>
      </c>
      <c r="X116" s="190"/>
      <c r="Y116" s="185"/>
      <c r="Z116" s="191"/>
      <c r="AA116" s="97">
        <v>0</v>
      </c>
      <c r="AB116" s="192">
        <v>0</v>
      </c>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row>
    <row r="117" spans="1:161" outlineLevel="1">
      <c r="A117" s="116"/>
      <c r="B117" s="116"/>
      <c r="C117" s="116">
        <v>2</v>
      </c>
      <c r="D117" s="3" t="s">
        <v>1271</v>
      </c>
      <c r="E117" s="183"/>
      <c r="F117" s="183" t="s">
        <v>1199</v>
      </c>
      <c r="G117" s="183"/>
      <c r="H117" s="183"/>
      <c r="I117" s="183"/>
      <c r="J117" s="183"/>
      <c r="K117" s="183"/>
      <c r="L117" s="183"/>
      <c r="M117" s="184"/>
      <c r="N117" s="184"/>
      <c r="O117" s="185"/>
      <c r="P117" s="186">
        <v>0</v>
      </c>
      <c r="Q117" s="186">
        <v>0</v>
      </c>
      <c r="R117" s="187">
        <v>0</v>
      </c>
      <c r="S117" s="187">
        <v>0</v>
      </c>
      <c r="T117" s="184"/>
      <c r="U117" s="184"/>
      <c r="V117" s="188">
        <v>0</v>
      </c>
      <c r="W117" s="189">
        <v>0</v>
      </c>
      <c r="X117" s="190"/>
      <c r="Y117" s="185"/>
      <c r="Z117" s="191"/>
      <c r="AA117" s="97">
        <v>0</v>
      </c>
      <c r="AB117" s="192">
        <v>0</v>
      </c>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row>
    <row r="118" spans="1:161" outlineLevel="1">
      <c r="A118" s="116"/>
      <c r="B118" s="116"/>
      <c r="C118" s="116">
        <v>2</v>
      </c>
      <c r="D118" s="3" t="s">
        <v>1272</v>
      </c>
      <c r="E118" s="183"/>
      <c r="F118" s="183" t="s">
        <v>1182</v>
      </c>
      <c r="G118" s="183"/>
      <c r="H118" s="183"/>
      <c r="I118" s="183"/>
      <c r="J118" s="183"/>
      <c r="K118" s="183"/>
      <c r="L118" s="183"/>
      <c r="M118" s="184"/>
      <c r="N118" s="184"/>
      <c r="O118" s="185"/>
      <c r="P118" s="186">
        <v>0</v>
      </c>
      <c r="Q118" s="186">
        <v>0</v>
      </c>
      <c r="R118" s="187">
        <v>0</v>
      </c>
      <c r="S118" s="187">
        <v>0</v>
      </c>
      <c r="T118" s="184"/>
      <c r="U118" s="184"/>
      <c r="V118" s="188">
        <v>0</v>
      </c>
      <c r="W118" s="189">
        <v>0</v>
      </c>
      <c r="X118" s="190"/>
      <c r="Y118" s="185"/>
      <c r="Z118" s="191"/>
      <c r="AA118" s="97">
        <v>0</v>
      </c>
      <c r="AB118" s="192">
        <v>0</v>
      </c>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row>
    <row r="119" spans="1:161" outlineLevel="1">
      <c r="A119" s="116"/>
      <c r="B119" s="116"/>
      <c r="C119" s="116">
        <v>2</v>
      </c>
      <c r="D119" s="3" t="s">
        <v>1273</v>
      </c>
      <c r="E119" s="183"/>
      <c r="F119" s="183" t="s">
        <v>1183</v>
      </c>
      <c r="G119" s="183"/>
      <c r="H119" s="183"/>
      <c r="I119" s="183"/>
      <c r="J119" s="183"/>
      <c r="K119" s="183"/>
      <c r="L119" s="183"/>
      <c r="M119" s="184"/>
      <c r="N119" s="184"/>
      <c r="O119" s="185"/>
      <c r="P119" s="186">
        <v>0</v>
      </c>
      <c r="Q119" s="186">
        <v>0</v>
      </c>
      <c r="R119" s="187">
        <v>0</v>
      </c>
      <c r="S119" s="187">
        <v>0</v>
      </c>
      <c r="T119" s="184"/>
      <c r="U119" s="184"/>
      <c r="V119" s="188">
        <v>0</v>
      </c>
      <c r="W119" s="189">
        <v>0</v>
      </c>
      <c r="X119" s="190"/>
      <c r="Y119" s="185"/>
      <c r="Z119" s="191"/>
      <c r="AA119" s="97">
        <v>0</v>
      </c>
      <c r="AB119" s="192">
        <v>0</v>
      </c>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row>
    <row r="120" spans="1:161" outlineLevel="1">
      <c r="A120" s="116"/>
      <c r="B120" s="116"/>
      <c r="C120" s="116">
        <v>0</v>
      </c>
      <c r="D120" s="3"/>
      <c r="E120" s="183"/>
      <c r="F120" s="183"/>
      <c r="G120" s="183"/>
      <c r="H120" s="183"/>
      <c r="I120" s="183"/>
      <c r="J120" s="183"/>
      <c r="K120" s="183"/>
      <c r="L120" s="183"/>
      <c r="M120" s="184"/>
      <c r="N120" s="184"/>
      <c r="O120" s="185"/>
      <c r="P120" s="186"/>
      <c r="Q120" s="186"/>
      <c r="R120" s="187">
        <v>0</v>
      </c>
      <c r="S120" s="187">
        <v>0</v>
      </c>
      <c r="T120" s="184"/>
      <c r="U120" s="184"/>
      <c r="V120" s="188"/>
      <c r="W120" s="189">
        <v>0</v>
      </c>
      <c r="X120" s="190"/>
      <c r="Y120" s="185"/>
      <c r="Z120" s="191"/>
      <c r="AA120" s="97"/>
      <c r="AB120" s="192"/>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row>
    <row r="121" spans="1:161">
      <c r="A121" s="116"/>
      <c r="B121" s="116" t="s">
        <v>1061</v>
      </c>
      <c r="C121" s="116">
        <v>1</v>
      </c>
      <c r="D121" s="3" t="s">
        <v>1274</v>
      </c>
      <c r="E121" s="183" t="s">
        <v>1296</v>
      </c>
      <c r="F121" s="183"/>
      <c r="G121" s="183"/>
      <c r="H121" s="183"/>
      <c r="I121" s="183"/>
      <c r="J121" s="183"/>
      <c r="K121" s="183"/>
      <c r="L121" s="183"/>
      <c r="M121" s="184">
        <v>43801</v>
      </c>
      <c r="N121" s="184">
        <v>43830</v>
      </c>
      <c r="O121" s="185"/>
      <c r="P121" s="186">
        <v>26</v>
      </c>
      <c r="Q121" s="186">
        <v>0</v>
      </c>
      <c r="R121" s="187">
        <v>21</v>
      </c>
      <c r="S121" s="187">
        <v>0</v>
      </c>
      <c r="T121" s="184"/>
      <c r="U121" s="184"/>
      <c r="V121" s="188">
        <v>0</v>
      </c>
      <c r="W121" s="189">
        <v>0</v>
      </c>
      <c r="X121" s="190"/>
      <c r="Y121" s="185"/>
      <c r="Z121" s="191"/>
      <c r="AA121" s="97">
        <v>0</v>
      </c>
      <c r="AB121" s="192">
        <v>0</v>
      </c>
      <c r="AC121" s="123"/>
      <c r="AD121" s="4"/>
      <c r="AE121" s="4"/>
      <c r="AF121" s="4"/>
      <c r="AG121" s="4"/>
      <c r="AH121" s="4"/>
      <c r="AI121" s="4"/>
      <c r="AJ121" s="4"/>
      <c r="AK121" s="4"/>
      <c r="AL121" s="4"/>
      <c r="AM121" s="4"/>
      <c r="AN121" s="4"/>
      <c r="AO121" s="4"/>
      <c r="AP121" s="4"/>
      <c r="AQ121" s="4" t="str">
        <f>"" &amp; TEXT(AB121,"#0.00%") &amp; " "</f>
        <v xml:space="preserve">0.00% </v>
      </c>
      <c r="AR121" s="4"/>
      <c r="AS121" s="4"/>
      <c r="AT121" s="4"/>
      <c r="AU121" s="4" t="str">
        <f>"  " &amp; "Push notification" &amp; " " &amp; IF(M121="","",TEXT(M121,"M/D-")) &amp; IF(N121="","",TEXT(N121,"M/D")) &amp; " "</f>
        <v xml:space="preserve">  Push notification 12/2-12/31 </v>
      </c>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row>
    <row r="122" spans="1:161" outlineLevel="1">
      <c r="A122" s="116"/>
      <c r="B122" s="116"/>
      <c r="C122" s="116">
        <v>2</v>
      </c>
      <c r="D122" s="3" t="s">
        <v>1275</v>
      </c>
      <c r="E122" s="183"/>
      <c r="F122" s="183" t="s">
        <v>1198</v>
      </c>
      <c r="G122" s="183"/>
      <c r="H122" s="183"/>
      <c r="I122" s="183"/>
      <c r="J122" s="183"/>
      <c r="K122" s="183"/>
      <c r="L122" s="183"/>
      <c r="M122" s="184">
        <v>43801</v>
      </c>
      <c r="N122" s="184">
        <v>43805</v>
      </c>
      <c r="O122" s="185"/>
      <c r="P122" s="186">
        <v>5</v>
      </c>
      <c r="Q122" s="186">
        <v>0</v>
      </c>
      <c r="R122" s="187">
        <v>5</v>
      </c>
      <c r="S122" s="187">
        <v>0</v>
      </c>
      <c r="T122" s="184"/>
      <c r="U122" s="184"/>
      <c r="V122" s="188"/>
      <c r="W122" s="189">
        <v>0</v>
      </c>
      <c r="X122" s="190">
        <v>1</v>
      </c>
      <c r="Y122" s="185"/>
      <c r="Z122" s="191"/>
      <c r="AA122" s="97">
        <v>0</v>
      </c>
      <c r="AB122" s="192">
        <v>0</v>
      </c>
      <c r="AC122" s="123"/>
      <c r="AD122" s="4"/>
      <c r="AE122" s="4"/>
      <c r="AF122" s="4"/>
      <c r="AG122" s="4"/>
      <c r="AH122" s="4"/>
      <c r="AI122" s="4"/>
      <c r="AJ122" s="4"/>
      <c r="AK122" s="4"/>
      <c r="AL122" s="4"/>
      <c r="AM122" s="4"/>
      <c r="AN122" s="4"/>
      <c r="AO122" s="4"/>
      <c r="AP122" s="4"/>
      <c r="AQ122" s="4" t="str">
        <f>"" &amp; TEXT(AB122,"#0.00%") &amp; " " &amp; "Design" &amp; " " &amp; IF(M122="","",TEXT(M122,"M/D-")) &amp; IF(N122="","",TEXT(N122,"M/D")) &amp; " "</f>
        <v xml:space="preserve">0.00% Design 12/2-12/6 </v>
      </c>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c r="EY122" s="4"/>
      <c r="EZ122" s="4"/>
      <c r="FA122" s="4"/>
      <c r="FB122" s="4"/>
      <c r="FC122" s="4"/>
      <c r="FD122" s="4"/>
      <c r="FE122" s="4"/>
    </row>
    <row r="123" spans="1:161" outlineLevel="1">
      <c r="A123" s="116"/>
      <c r="B123" s="116"/>
      <c r="C123" s="116">
        <v>2</v>
      </c>
      <c r="D123" s="3" t="s">
        <v>1276</v>
      </c>
      <c r="E123" s="183"/>
      <c r="F123" s="183" t="s">
        <v>1178</v>
      </c>
      <c r="G123" s="183"/>
      <c r="H123" s="183"/>
      <c r="I123" s="183"/>
      <c r="J123" s="183"/>
      <c r="K123" s="183"/>
      <c r="L123" s="183"/>
      <c r="M123" s="184">
        <v>43808</v>
      </c>
      <c r="N123" s="184">
        <v>43812</v>
      </c>
      <c r="O123" s="185"/>
      <c r="P123" s="186">
        <v>5</v>
      </c>
      <c r="Q123" s="186">
        <v>0</v>
      </c>
      <c r="R123" s="187">
        <v>5</v>
      </c>
      <c r="S123" s="187">
        <v>0</v>
      </c>
      <c r="T123" s="184"/>
      <c r="U123" s="184"/>
      <c r="V123" s="188"/>
      <c r="W123" s="189">
        <v>0</v>
      </c>
      <c r="X123" s="190">
        <v>1</v>
      </c>
      <c r="Y123" s="185"/>
      <c r="Z123" s="191"/>
      <c r="AA123" s="97">
        <v>0</v>
      </c>
      <c r="AB123" s="192">
        <v>0</v>
      </c>
      <c r="AC123" s="123"/>
      <c r="AD123" s="4"/>
      <c r="AE123" s="4"/>
      <c r="AF123" s="4"/>
      <c r="AG123" s="4"/>
      <c r="AH123" s="4"/>
      <c r="AI123" s="4"/>
      <c r="AJ123" s="4"/>
      <c r="AK123" s="4"/>
      <c r="AL123" s="4"/>
      <c r="AM123" s="4"/>
      <c r="AN123" s="4"/>
      <c r="AO123" s="4"/>
      <c r="AP123" s="4"/>
      <c r="AQ123" s="4"/>
      <c r="AR123" s="4" t="str">
        <f>"" &amp; TEXT(AB123,"#0.00%") &amp; " " &amp; "Core" &amp; " " &amp; IF(M123="","",TEXT(M123,"M/D-")) &amp; IF(N123="","",TEXT(N123,"M/D")) &amp; " "</f>
        <v xml:space="preserve">0.00% Core 12/9-12/13 </v>
      </c>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c r="EY123" s="4"/>
      <c r="EZ123" s="4"/>
      <c r="FA123" s="4"/>
      <c r="FB123" s="4"/>
      <c r="FC123" s="4"/>
      <c r="FD123" s="4"/>
      <c r="FE123" s="4"/>
    </row>
    <row r="124" spans="1:161" outlineLevel="1">
      <c r="A124" s="116"/>
      <c r="B124" s="116"/>
      <c r="C124" s="116">
        <v>2</v>
      </c>
      <c r="D124" s="3" t="s">
        <v>1277</v>
      </c>
      <c r="E124" s="183"/>
      <c r="F124" s="183" t="s">
        <v>1179</v>
      </c>
      <c r="G124" s="183"/>
      <c r="H124" s="183"/>
      <c r="I124" s="183"/>
      <c r="J124" s="183"/>
      <c r="K124" s="183"/>
      <c r="L124" s="183"/>
      <c r="M124" s="184"/>
      <c r="N124" s="184"/>
      <c r="O124" s="185"/>
      <c r="P124" s="186">
        <v>0</v>
      </c>
      <c r="Q124" s="186">
        <v>0</v>
      </c>
      <c r="R124" s="187">
        <v>0</v>
      </c>
      <c r="S124" s="187">
        <v>0</v>
      </c>
      <c r="T124" s="184"/>
      <c r="U124" s="184"/>
      <c r="V124" s="188">
        <v>0</v>
      </c>
      <c r="W124" s="189">
        <v>0</v>
      </c>
      <c r="X124" s="190"/>
      <c r="Y124" s="185"/>
      <c r="Z124" s="191"/>
      <c r="AA124" s="97">
        <v>0</v>
      </c>
      <c r="AB124" s="192">
        <v>0</v>
      </c>
      <c r="AC124" s="123"/>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c r="EY124" s="4"/>
      <c r="EZ124" s="4"/>
      <c r="FA124" s="4"/>
      <c r="FB124" s="4"/>
      <c r="FC124" s="4"/>
      <c r="FD124" s="4"/>
      <c r="FE124" s="4"/>
    </row>
    <row r="125" spans="1:161" outlineLevel="1">
      <c r="A125" s="116"/>
      <c r="B125" s="116"/>
      <c r="C125" s="116">
        <v>2</v>
      </c>
      <c r="D125" s="3" t="s">
        <v>1278</v>
      </c>
      <c r="E125" s="183"/>
      <c r="F125" s="183" t="s">
        <v>1180</v>
      </c>
      <c r="G125" s="183"/>
      <c r="H125" s="183"/>
      <c r="I125" s="183"/>
      <c r="J125" s="183"/>
      <c r="K125" s="183"/>
      <c r="L125" s="183"/>
      <c r="M125" s="184">
        <v>43815</v>
      </c>
      <c r="N125" s="184">
        <v>43819</v>
      </c>
      <c r="O125" s="185"/>
      <c r="P125" s="186">
        <v>5</v>
      </c>
      <c r="Q125" s="186">
        <v>0</v>
      </c>
      <c r="R125" s="187">
        <v>5</v>
      </c>
      <c r="S125" s="187">
        <v>0</v>
      </c>
      <c r="T125" s="184"/>
      <c r="U125" s="184"/>
      <c r="V125" s="188"/>
      <c r="W125" s="189">
        <v>0</v>
      </c>
      <c r="X125" s="190">
        <v>1</v>
      </c>
      <c r="Y125" s="185"/>
      <c r="Z125" s="191"/>
      <c r="AA125" s="97">
        <v>0</v>
      </c>
      <c r="AB125" s="192">
        <v>0</v>
      </c>
      <c r="AC125" s="123"/>
      <c r="AD125" s="4"/>
      <c r="AE125" s="4"/>
      <c r="AF125" s="4"/>
      <c r="AG125" s="4"/>
      <c r="AH125" s="4"/>
      <c r="AI125" s="4"/>
      <c r="AJ125" s="4"/>
      <c r="AK125" s="4"/>
      <c r="AL125" s="4"/>
      <c r="AM125" s="4"/>
      <c r="AN125" s="4"/>
      <c r="AO125" s="4"/>
      <c r="AP125" s="4"/>
      <c r="AQ125" s="4"/>
      <c r="AR125" s="4"/>
      <c r="AS125" s="4" t="str">
        <f>"" &amp; TEXT(AB125,"#0.00%") &amp; " " &amp; "API" &amp; " " &amp; IF(M125="","",TEXT(M125,"M/D-")) &amp; IF(N125="","",TEXT(N125,"M/D")) &amp; " "</f>
        <v xml:space="preserve">0.00% API 12/16-12/20 </v>
      </c>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c r="EY125" s="4"/>
      <c r="EZ125" s="4"/>
      <c r="FA125" s="4"/>
      <c r="FB125" s="4"/>
      <c r="FC125" s="4"/>
      <c r="FD125" s="4"/>
      <c r="FE125" s="4"/>
    </row>
    <row r="126" spans="1:161" outlineLevel="1">
      <c r="A126" s="116"/>
      <c r="B126" s="116"/>
      <c r="C126" s="116">
        <v>2</v>
      </c>
      <c r="D126" s="3" t="s">
        <v>1279</v>
      </c>
      <c r="E126" s="183"/>
      <c r="F126" s="183" t="s">
        <v>1199</v>
      </c>
      <c r="G126" s="183"/>
      <c r="H126" s="183"/>
      <c r="I126" s="183"/>
      <c r="J126" s="183"/>
      <c r="K126" s="183"/>
      <c r="L126" s="183"/>
      <c r="M126" s="184">
        <v>43815</v>
      </c>
      <c r="N126" s="184">
        <v>43819</v>
      </c>
      <c r="O126" s="185"/>
      <c r="P126" s="186">
        <v>5</v>
      </c>
      <c r="Q126" s="186">
        <v>0</v>
      </c>
      <c r="R126" s="187">
        <v>5</v>
      </c>
      <c r="S126" s="187">
        <v>0</v>
      </c>
      <c r="T126" s="184"/>
      <c r="U126" s="184"/>
      <c r="V126" s="188"/>
      <c r="W126" s="189">
        <v>0</v>
      </c>
      <c r="X126" s="190">
        <v>1</v>
      </c>
      <c r="Y126" s="185" t="s">
        <v>1181</v>
      </c>
      <c r="Z126" s="191"/>
      <c r="AA126" s="97">
        <v>0</v>
      </c>
      <c r="AB126" s="192">
        <v>0</v>
      </c>
      <c r="AC126" s="123"/>
      <c r="AD126" s="4"/>
      <c r="AE126" s="4"/>
      <c r="AF126" s="4"/>
      <c r="AG126" s="4"/>
      <c r="AH126" s="4"/>
      <c r="AI126" s="4"/>
      <c r="AJ126" s="4"/>
      <c r="AK126" s="4"/>
      <c r="AL126" s="4"/>
      <c r="AM126" s="4"/>
      <c r="AN126" s="4"/>
      <c r="AO126" s="4"/>
      <c r="AP126" s="4"/>
      <c r="AQ126" s="4"/>
      <c r="AR126" s="4"/>
      <c r="AS126" s="4" t="str">
        <f>"" &amp; TEXT(AB126,"#0.00%") &amp; " " &amp; "iOS/Android" &amp; "(James,Preyea)" &amp; " " &amp; IF(M126="","",TEXT(M126,"M/D-")) &amp; IF(N126="","",TEXT(N126,"M/D")) &amp; " "</f>
        <v xml:space="preserve">0.00% iOS/Android(James,Preyea) 12/16-12/20 </v>
      </c>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c r="EY126" s="4"/>
      <c r="EZ126" s="4"/>
      <c r="FA126" s="4"/>
      <c r="FB126" s="4"/>
      <c r="FC126" s="4"/>
      <c r="FD126" s="4"/>
      <c r="FE126" s="4"/>
    </row>
    <row r="127" spans="1:161" outlineLevel="1">
      <c r="A127" s="116"/>
      <c r="B127" s="116"/>
      <c r="C127" s="116">
        <v>2</v>
      </c>
      <c r="D127" s="3" t="s">
        <v>1280</v>
      </c>
      <c r="E127" s="183"/>
      <c r="F127" s="183" t="s">
        <v>1182</v>
      </c>
      <c r="G127" s="183"/>
      <c r="H127" s="183"/>
      <c r="I127" s="183"/>
      <c r="J127" s="183"/>
      <c r="K127" s="183"/>
      <c r="L127" s="183"/>
      <c r="M127" s="184">
        <v>43822</v>
      </c>
      <c r="N127" s="184">
        <v>43823</v>
      </c>
      <c r="O127" s="185"/>
      <c r="P127" s="186">
        <v>2</v>
      </c>
      <c r="Q127" s="186">
        <v>0</v>
      </c>
      <c r="R127" s="187">
        <v>2</v>
      </c>
      <c r="S127" s="187">
        <v>0</v>
      </c>
      <c r="T127" s="184"/>
      <c r="U127" s="184"/>
      <c r="V127" s="188"/>
      <c r="W127" s="189">
        <v>0</v>
      </c>
      <c r="X127" s="190">
        <v>1</v>
      </c>
      <c r="Y127" s="185"/>
      <c r="Z127" s="191"/>
      <c r="AA127" s="97">
        <v>0</v>
      </c>
      <c r="AB127" s="192">
        <v>0</v>
      </c>
      <c r="AC127" s="123"/>
      <c r="AD127" s="4"/>
      <c r="AE127" s="4"/>
      <c r="AF127" s="4"/>
      <c r="AG127" s="4"/>
      <c r="AH127" s="4"/>
      <c r="AI127" s="4"/>
      <c r="AJ127" s="4"/>
      <c r="AK127" s="4"/>
      <c r="AL127" s="4"/>
      <c r="AM127" s="4"/>
      <c r="AN127" s="4"/>
      <c r="AO127" s="4"/>
      <c r="AP127" s="4"/>
      <c r="AQ127" s="4"/>
      <c r="AR127" s="4"/>
      <c r="AS127" s="4"/>
      <c r="AT127" s="4" t="str">
        <f>"" &amp; TEXT(AB127,"#0.00%") &amp; " " &amp; "Test" &amp; " " &amp; IF(M127="","",TEXT(M127,"M/D-")) &amp; IF(N127="","",TEXT(N127,"M/D")) &amp; " "</f>
        <v xml:space="preserve">0.00% Test 12/23-12/24 </v>
      </c>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c r="EY127" s="4"/>
      <c r="EZ127" s="4"/>
      <c r="FA127" s="4"/>
      <c r="FB127" s="4"/>
      <c r="FC127" s="4"/>
      <c r="FD127" s="4"/>
      <c r="FE127" s="4"/>
    </row>
    <row r="128" spans="1:161" outlineLevel="1">
      <c r="A128" s="116"/>
      <c r="B128" s="116"/>
      <c r="C128" s="116">
        <v>2</v>
      </c>
      <c r="D128" s="3" t="s">
        <v>1281</v>
      </c>
      <c r="E128" s="183"/>
      <c r="F128" s="183" t="s">
        <v>1183</v>
      </c>
      <c r="G128" s="183"/>
      <c r="H128" s="183"/>
      <c r="I128" s="183"/>
      <c r="J128" s="183"/>
      <c r="K128" s="183"/>
      <c r="L128" s="183"/>
      <c r="M128" s="184">
        <v>43825</v>
      </c>
      <c r="N128" s="184">
        <v>43830</v>
      </c>
      <c r="O128" s="185"/>
      <c r="P128" s="186">
        <v>4</v>
      </c>
      <c r="Q128" s="186">
        <v>0</v>
      </c>
      <c r="R128" s="187">
        <v>4</v>
      </c>
      <c r="S128" s="187">
        <v>0</v>
      </c>
      <c r="T128" s="184"/>
      <c r="U128" s="184"/>
      <c r="V128" s="188"/>
      <c r="W128" s="189">
        <v>0</v>
      </c>
      <c r="X128" s="190">
        <v>1</v>
      </c>
      <c r="Y128" s="185"/>
      <c r="Z128" s="191"/>
      <c r="AA128" s="97">
        <v>0</v>
      </c>
      <c r="AB128" s="192">
        <v>0</v>
      </c>
      <c r="AC128" s="123"/>
      <c r="AD128" s="4"/>
      <c r="AE128" s="4"/>
      <c r="AF128" s="4"/>
      <c r="AG128" s="4"/>
      <c r="AH128" s="4"/>
      <c r="AI128" s="4"/>
      <c r="AJ128" s="4"/>
      <c r="AK128" s="4"/>
      <c r="AL128" s="4"/>
      <c r="AM128" s="4"/>
      <c r="AN128" s="4"/>
      <c r="AO128" s="4"/>
      <c r="AP128" s="4"/>
      <c r="AQ128" s="4"/>
      <c r="AR128" s="4"/>
      <c r="AS128" s="4"/>
      <c r="AT128" s="4" t="str">
        <f>"   " &amp; TEXT(AB128,"#0.00%") &amp; " " &amp; "Publish" &amp; " " &amp; IF(M128="","",TEXT(M128,"M/D-")) &amp; IF(N128="","",TEXT(N128,"M/D")) &amp; " "</f>
        <v xml:space="preserve">   0.00% Publish 12/26-12/31 </v>
      </c>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c r="EY128" s="4"/>
      <c r="EZ128" s="4"/>
      <c r="FA128" s="4"/>
      <c r="FB128" s="4"/>
      <c r="FC128" s="4"/>
      <c r="FD128" s="4"/>
      <c r="FE128" s="4"/>
    </row>
    <row r="129" spans="1:161" outlineLevel="1">
      <c r="A129" s="116"/>
      <c r="B129" s="116"/>
      <c r="C129" s="116">
        <v>0</v>
      </c>
      <c r="D129" s="3"/>
      <c r="E129" s="183"/>
      <c r="F129" s="183"/>
      <c r="G129" s="183"/>
      <c r="H129" s="183"/>
      <c r="I129" s="183"/>
      <c r="J129" s="183"/>
      <c r="K129" s="183"/>
      <c r="L129" s="183"/>
      <c r="M129" s="184"/>
      <c r="N129" s="184"/>
      <c r="O129" s="185"/>
      <c r="P129" s="186"/>
      <c r="Q129" s="186"/>
      <c r="R129" s="187">
        <v>0</v>
      </c>
      <c r="S129" s="187">
        <v>0</v>
      </c>
      <c r="T129" s="184"/>
      <c r="U129" s="184"/>
      <c r="V129" s="188"/>
      <c r="W129" s="189">
        <v>0</v>
      </c>
      <c r="X129" s="190"/>
      <c r="Y129" s="185"/>
      <c r="Z129" s="191"/>
      <c r="AA129" s="97"/>
      <c r="AB129" s="192"/>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c r="EY129" s="4"/>
      <c r="EZ129" s="4"/>
      <c r="FA129" s="4"/>
      <c r="FB129" s="4"/>
      <c r="FC129" s="4"/>
      <c r="FD129" s="4"/>
      <c r="FE129" s="4"/>
    </row>
    <row r="130" spans="1:161">
      <c r="A130" s="116"/>
      <c r="B130" s="116" t="s">
        <v>1061</v>
      </c>
      <c r="C130" s="116">
        <v>1</v>
      </c>
      <c r="D130" s="3" t="s">
        <v>1288</v>
      </c>
      <c r="E130" s="183" t="s">
        <v>1224</v>
      </c>
      <c r="F130" s="183"/>
      <c r="G130" s="183"/>
      <c r="H130" s="183"/>
      <c r="I130" s="183"/>
      <c r="J130" s="183"/>
      <c r="K130" s="183"/>
      <c r="L130" s="183"/>
      <c r="M130" s="184">
        <v>43808</v>
      </c>
      <c r="N130" s="184">
        <v>43830</v>
      </c>
      <c r="O130" s="185"/>
      <c r="P130" s="186">
        <v>21</v>
      </c>
      <c r="Q130" s="186">
        <v>0</v>
      </c>
      <c r="R130" s="187">
        <v>16</v>
      </c>
      <c r="S130" s="187">
        <v>0</v>
      </c>
      <c r="T130" s="184"/>
      <c r="U130" s="184"/>
      <c r="V130" s="188">
        <v>0</v>
      </c>
      <c r="W130" s="189">
        <v>0</v>
      </c>
      <c r="X130" s="190"/>
      <c r="Y130" s="185"/>
      <c r="Z130" s="191"/>
      <c r="AA130" s="97">
        <v>0</v>
      </c>
      <c r="AB130" s="192">
        <v>0</v>
      </c>
      <c r="AC130" s="123"/>
      <c r="AD130" s="4"/>
      <c r="AE130" s="4"/>
      <c r="AF130" s="4"/>
      <c r="AG130" s="4"/>
      <c r="AH130" s="4"/>
      <c r="AI130" s="4"/>
      <c r="AJ130" s="4"/>
      <c r="AK130" s="4"/>
      <c r="AL130" s="4"/>
      <c r="AM130" s="4"/>
      <c r="AN130" s="4"/>
      <c r="AO130" s="4"/>
      <c r="AP130" s="4"/>
      <c r="AQ130" s="4"/>
      <c r="AR130" s="4" t="str">
        <f>"" &amp; TEXT(AB130,"#0.00%") &amp; " "</f>
        <v xml:space="preserve">0.00% </v>
      </c>
      <c r="AS130" s="4"/>
      <c r="AT130" s="4"/>
      <c r="AU130" s="4" t="str">
        <f>"  " &amp; "Micro loan" &amp; " " &amp; IF(M130="","",TEXT(M130,"M/D-")) &amp; IF(N130="","",TEXT(N130,"M/D")) &amp; " "</f>
        <v xml:space="preserve">  Micro loan 12/9-12/31 </v>
      </c>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c r="EY130" s="4"/>
      <c r="EZ130" s="4"/>
      <c r="FA130" s="4"/>
      <c r="FB130" s="4"/>
      <c r="FC130" s="4"/>
      <c r="FD130" s="4"/>
      <c r="FE130" s="4"/>
    </row>
    <row r="131" spans="1:161" outlineLevel="1">
      <c r="A131" s="116"/>
      <c r="B131" s="116"/>
      <c r="C131" s="116">
        <v>2</v>
      </c>
      <c r="D131" s="3" t="s">
        <v>1289</v>
      </c>
      <c r="E131" s="183"/>
      <c r="F131" s="183" t="s">
        <v>1198</v>
      </c>
      <c r="G131" s="183"/>
      <c r="H131" s="183"/>
      <c r="I131" s="183"/>
      <c r="J131" s="183"/>
      <c r="K131" s="183"/>
      <c r="L131" s="183"/>
      <c r="M131" s="184">
        <v>43808</v>
      </c>
      <c r="N131" s="184">
        <v>43812</v>
      </c>
      <c r="O131" s="185"/>
      <c r="P131" s="186">
        <v>5</v>
      </c>
      <c r="Q131" s="186">
        <v>0</v>
      </c>
      <c r="R131" s="187">
        <v>5</v>
      </c>
      <c r="S131" s="187">
        <v>0</v>
      </c>
      <c r="T131" s="184"/>
      <c r="U131" s="184"/>
      <c r="V131" s="188"/>
      <c r="W131" s="189">
        <v>0</v>
      </c>
      <c r="X131" s="190">
        <v>1</v>
      </c>
      <c r="Y131" s="185"/>
      <c r="Z131" s="191"/>
      <c r="AA131" s="97">
        <v>0</v>
      </c>
      <c r="AB131" s="192">
        <v>0</v>
      </c>
      <c r="AC131" s="123"/>
      <c r="AD131" s="4"/>
      <c r="AE131" s="4"/>
      <c r="AF131" s="4"/>
      <c r="AG131" s="4"/>
      <c r="AH131" s="4"/>
      <c r="AI131" s="4"/>
      <c r="AJ131" s="4"/>
      <c r="AK131" s="4"/>
      <c r="AL131" s="4"/>
      <c r="AM131" s="4"/>
      <c r="AN131" s="4"/>
      <c r="AO131" s="4"/>
      <c r="AP131" s="4"/>
      <c r="AQ131" s="4"/>
      <c r="AR131" s="4" t="str">
        <f>"" &amp; TEXT(AB131,"#0.00%") &amp; " " &amp; "Design" &amp; " " &amp; IF(M131="","",TEXT(M131,"M/D-")) &amp; IF(N131="","",TEXT(N131,"M/D")) &amp; " "</f>
        <v xml:space="preserve">0.00% Design 12/9-12/13 </v>
      </c>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c r="EY131" s="4"/>
      <c r="EZ131" s="4"/>
      <c r="FA131" s="4"/>
      <c r="FB131" s="4"/>
      <c r="FC131" s="4"/>
      <c r="FD131" s="4"/>
      <c r="FE131" s="4"/>
    </row>
    <row r="132" spans="1:161" outlineLevel="1">
      <c r="A132" s="116"/>
      <c r="B132" s="116"/>
      <c r="C132" s="116">
        <v>2</v>
      </c>
      <c r="D132" s="3" t="s">
        <v>1290</v>
      </c>
      <c r="E132" s="183"/>
      <c r="F132" s="183" t="s">
        <v>1178</v>
      </c>
      <c r="G132" s="183"/>
      <c r="H132" s="183"/>
      <c r="I132" s="183"/>
      <c r="J132" s="183"/>
      <c r="K132" s="183"/>
      <c r="L132" s="183"/>
      <c r="M132" s="184"/>
      <c r="N132" s="184"/>
      <c r="O132" s="185"/>
      <c r="P132" s="186">
        <v>0</v>
      </c>
      <c r="Q132" s="186">
        <v>0</v>
      </c>
      <c r="R132" s="187">
        <v>0</v>
      </c>
      <c r="S132" s="187">
        <v>0</v>
      </c>
      <c r="T132" s="184"/>
      <c r="U132" s="184"/>
      <c r="V132" s="188">
        <v>0</v>
      </c>
      <c r="W132" s="189">
        <v>0</v>
      </c>
      <c r="X132" s="190"/>
      <c r="Y132" s="185"/>
      <c r="Z132" s="191"/>
      <c r="AA132" s="97">
        <v>0</v>
      </c>
      <c r="AB132" s="192">
        <v>0</v>
      </c>
      <c r="AC132" s="123"/>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c r="EY132" s="4"/>
      <c r="EZ132" s="4"/>
      <c r="FA132" s="4"/>
      <c r="FB132" s="4"/>
      <c r="FC132" s="4"/>
      <c r="FD132" s="4"/>
      <c r="FE132" s="4"/>
    </row>
    <row r="133" spans="1:161" outlineLevel="1">
      <c r="A133" s="116"/>
      <c r="B133" s="116"/>
      <c r="C133" s="116">
        <v>2</v>
      </c>
      <c r="D133" s="3" t="s">
        <v>1291</v>
      </c>
      <c r="E133" s="183"/>
      <c r="F133" s="183" t="s">
        <v>1179</v>
      </c>
      <c r="G133" s="183"/>
      <c r="H133" s="183"/>
      <c r="I133" s="183"/>
      <c r="J133" s="183"/>
      <c r="K133" s="183"/>
      <c r="L133" s="183"/>
      <c r="M133" s="184"/>
      <c r="N133" s="184"/>
      <c r="O133" s="185"/>
      <c r="P133" s="186">
        <v>0</v>
      </c>
      <c r="Q133" s="186">
        <v>0</v>
      </c>
      <c r="R133" s="187">
        <v>0</v>
      </c>
      <c r="S133" s="187">
        <v>0</v>
      </c>
      <c r="T133" s="184"/>
      <c r="U133" s="184"/>
      <c r="V133" s="188">
        <v>0</v>
      </c>
      <c r="W133" s="189">
        <v>0</v>
      </c>
      <c r="X133" s="190"/>
      <c r="Y133" s="185"/>
      <c r="Z133" s="191"/>
      <c r="AA133" s="97">
        <v>0</v>
      </c>
      <c r="AB133" s="192">
        <v>0</v>
      </c>
      <c r="AC133" s="123"/>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c r="EY133" s="4"/>
      <c r="EZ133" s="4"/>
      <c r="FA133" s="4"/>
      <c r="FB133" s="4"/>
      <c r="FC133" s="4"/>
      <c r="FD133" s="4"/>
      <c r="FE133" s="4"/>
    </row>
    <row r="134" spans="1:161" outlineLevel="1">
      <c r="A134" s="116"/>
      <c r="B134" s="116"/>
      <c r="C134" s="116">
        <v>2</v>
      </c>
      <c r="D134" s="3" t="s">
        <v>1292</v>
      </c>
      <c r="E134" s="183"/>
      <c r="F134" s="183" t="s">
        <v>1316</v>
      </c>
      <c r="G134" s="183"/>
      <c r="H134" s="183"/>
      <c r="I134" s="183"/>
      <c r="J134" s="183"/>
      <c r="K134" s="183"/>
      <c r="L134" s="183"/>
      <c r="M134" s="184">
        <v>43815</v>
      </c>
      <c r="N134" s="184">
        <v>43819</v>
      </c>
      <c r="O134" s="185"/>
      <c r="P134" s="186">
        <v>5</v>
      </c>
      <c r="Q134" s="186">
        <v>0</v>
      </c>
      <c r="R134" s="187">
        <v>5</v>
      </c>
      <c r="S134" s="187">
        <v>0</v>
      </c>
      <c r="T134" s="184"/>
      <c r="U134" s="184"/>
      <c r="V134" s="188"/>
      <c r="W134" s="189">
        <v>0</v>
      </c>
      <c r="X134" s="190">
        <v>1</v>
      </c>
      <c r="Y134" s="185"/>
      <c r="Z134" s="191"/>
      <c r="AA134" s="97">
        <v>0</v>
      </c>
      <c r="AB134" s="192">
        <v>0</v>
      </c>
      <c r="AC134" s="123"/>
      <c r="AD134" s="4"/>
      <c r="AE134" s="4"/>
      <c r="AF134" s="4"/>
      <c r="AG134" s="4"/>
      <c r="AH134" s="4"/>
      <c r="AI134" s="4"/>
      <c r="AJ134" s="4"/>
      <c r="AK134" s="4"/>
      <c r="AL134" s="4"/>
      <c r="AM134" s="4"/>
      <c r="AN134" s="4"/>
      <c r="AO134" s="4"/>
      <c r="AP134" s="4"/>
      <c r="AQ134" s="4"/>
      <c r="AR134" s="4"/>
      <c r="AS134" s="4" t="str">
        <f>"" &amp; TEXT(AB134,"#0.00%") &amp; " " &amp; "New API" &amp; " " &amp; IF(M134="","",TEXT(M134,"M/D-")) &amp; IF(N134="","",TEXT(N134,"M/D")) &amp; " "</f>
        <v xml:space="preserve">0.00% New API 12/16-12/20 </v>
      </c>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c r="EY134" s="4"/>
      <c r="EZ134" s="4"/>
      <c r="FA134" s="4"/>
      <c r="FB134" s="4"/>
      <c r="FC134" s="4"/>
      <c r="FD134" s="4"/>
      <c r="FE134" s="4"/>
    </row>
    <row r="135" spans="1:161" outlineLevel="1">
      <c r="A135" s="116"/>
      <c r="B135" s="116"/>
      <c r="C135" s="116">
        <v>2</v>
      </c>
      <c r="D135" s="3" t="s">
        <v>1293</v>
      </c>
      <c r="E135" s="183"/>
      <c r="F135" s="183" t="s">
        <v>1199</v>
      </c>
      <c r="G135" s="183"/>
      <c r="H135" s="183"/>
      <c r="I135" s="183"/>
      <c r="J135" s="183"/>
      <c r="K135" s="183"/>
      <c r="L135" s="183"/>
      <c r="M135" s="184">
        <v>43815</v>
      </c>
      <c r="N135" s="184">
        <v>43819</v>
      </c>
      <c r="O135" s="185"/>
      <c r="P135" s="186">
        <v>5</v>
      </c>
      <c r="Q135" s="186">
        <v>0</v>
      </c>
      <c r="R135" s="187">
        <v>5</v>
      </c>
      <c r="S135" s="187">
        <v>0</v>
      </c>
      <c r="T135" s="184"/>
      <c r="U135" s="184"/>
      <c r="V135" s="188"/>
      <c r="W135" s="189">
        <v>0</v>
      </c>
      <c r="X135" s="190">
        <v>1</v>
      </c>
      <c r="Y135" s="185" t="s">
        <v>1181</v>
      </c>
      <c r="Z135" s="191"/>
      <c r="AA135" s="97">
        <v>0</v>
      </c>
      <c r="AB135" s="192">
        <v>0</v>
      </c>
      <c r="AC135" s="123"/>
      <c r="AD135" s="4"/>
      <c r="AE135" s="4"/>
      <c r="AF135" s="4"/>
      <c r="AG135" s="4"/>
      <c r="AH135" s="4"/>
      <c r="AI135" s="4"/>
      <c r="AJ135" s="4"/>
      <c r="AK135" s="4"/>
      <c r="AL135" s="4"/>
      <c r="AM135" s="4"/>
      <c r="AN135" s="4"/>
      <c r="AO135" s="4"/>
      <c r="AP135" s="4"/>
      <c r="AQ135" s="4"/>
      <c r="AR135" s="4"/>
      <c r="AS135" s="4" t="str">
        <f>"" &amp; TEXT(AB135,"#0.00%") &amp; " " &amp; "iOS/Android" &amp; "(James,Preyea)" &amp; " " &amp; IF(M135="","",TEXT(M135,"M/D-")) &amp; IF(N135="","",TEXT(N135,"M/D")) &amp; " "</f>
        <v xml:space="preserve">0.00% iOS/Android(James,Preyea) 12/16-12/20 </v>
      </c>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c r="EY135" s="4"/>
      <c r="EZ135" s="4"/>
      <c r="FA135" s="4"/>
      <c r="FB135" s="4"/>
      <c r="FC135" s="4"/>
      <c r="FD135" s="4"/>
      <c r="FE135" s="4"/>
    </row>
    <row r="136" spans="1:161" outlineLevel="1">
      <c r="A136" s="116"/>
      <c r="B136" s="116"/>
      <c r="C136" s="116">
        <v>2</v>
      </c>
      <c r="D136" s="3" t="s">
        <v>1294</v>
      </c>
      <c r="E136" s="183"/>
      <c r="F136" s="183" t="s">
        <v>1182</v>
      </c>
      <c r="G136" s="183"/>
      <c r="H136" s="183"/>
      <c r="I136" s="183"/>
      <c r="J136" s="183"/>
      <c r="K136" s="183"/>
      <c r="L136" s="183"/>
      <c r="M136" s="184">
        <v>43822</v>
      </c>
      <c r="N136" s="184">
        <v>43826</v>
      </c>
      <c r="O136" s="185"/>
      <c r="P136" s="186">
        <v>4</v>
      </c>
      <c r="Q136" s="186">
        <v>0</v>
      </c>
      <c r="R136" s="187">
        <v>4</v>
      </c>
      <c r="S136" s="187">
        <v>0</v>
      </c>
      <c r="T136" s="184"/>
      <c r="U136" s="184"/>
      <c r="V136" s="188"/>
      <c r="W136" s="189">
        <v>0</v>
      </c>
      <c r="X136" s="190">
        <v>1</v>
      </c>
      <c r="Y136" s="185"/>
      <c r="Z136" s="191"/>
      <c r="AA136" s="97">
        <v>0</v>
      </c>
      <c r="AB136" s="192">
        <v>0</v>
      </c>
      <c r="AC136" s="123"/>
      <c r="AD136" s="4"/>
      <c r="AE136" s="4"/>
      <c r="AF136" s="4"/>
      <c r="AG136" s="4"/>
      <c r="AH136" s="4"/>
      <c r="AI136" s="4"/>
      <c r="AJ136" s="4"/>
      <c r="AK136" s="4"/>
      <c r="AL136" s="4"/>
      <c r="AM136" s="4"/>
      <c r="AN136" s="4"/>
      <c r="AO136" s="4"/>
      <c r="AP136" s="4"/>
      <c r="AQ136" s="4"/>
      <c r="AR136" s="4"/>
      <c r="AS136" s="4"/>
      <c r="AT136" s="4" t="str">
        <f>"" &amp; TEXT(AB136,"#0.00%") &amp; " " &amp; "Test" &amp; " " &amp; IF(M136="","",TEXT(M136,"M/D-")) &amp; IF(N136="","",TEXT(N136,"M/D")) &amp; " "</f>
        <v xml:space="preserve">0.00% Test 12/23-12/27 </v>
      </c>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c r="EY136" s="4"/>
      <c r="EZ136" s="4"/>
      <c r="FA136" s="4"/>
      <c r="FB136" s="4"/>
      <c r="FC136" s="4"/>
      <c r="FD136" s="4"/>
      <c r="FE136" s="4"/>
    </row>
    <row r="137" spans="1:161" outlineLevel="1">
      <c r="A137" s="116"/>
      <c r="B137" s="116"/>
      <c r="C137" s="116">
        <v>2</v>
      </c>
      <c r="D137" s="3" t="s">
        <v>1295</v>
      </c>
      <c r="E137" s="183"/>
      <c r="F137" s="183" t="s">
        <v>1183</v>
      </c>
      <c r="G137" s="183"/>
      <c r="H137" s="183"/>
      <c r="I137" s="183"/>
      <c r="J137" s="183"/>
      <c r="K137" s="183"/>
      <c r="L137" s="183"/>
      <c r="M137" s="184">
        <v>43829</v>
      </c>
      <c r="N137" s="184">
        <v>43830</v>
      </c>
      <c r="O137" s="185"/>
      <c r="P137" s="186">
        <v>2</v>
      </c>
      <c r="Q137" s="186">
        <v>0</v>
      </c>
      <c r="R137" s="187">
        <v>2</v>
      </c>
      <c r="S137" s="187">
        <v>0</v>
      </c>
      <c r="T137" s="184"/>
      <c r="U137" s="184"/>
      <c r="V137" s="188"/>
      <c r="W137" s="189">
        <v>0</v>
      </c>
      <c r="X137" s="190">
        <v>1</v>
      </c>
      <c r="Y137" s="185"/>
      <c r="Z137" s="191"/>
      <c r="AA137" s="97">
        <v>0</v>
      </c>
      <c r="AB137" s="192">
        <v>0</v>
      </c>
      <c r="AC137" s="123"/>
      <c r="AD137" s="4"/>
      <c r="AE137" s="4"/>
      <c r="AF137" s="4"/>
      <c r="AG137" s="4"/>
      <c r="AH137" s="4"/>
      <c r="AI137" s="4"/>
      <c r="AJ137" s="4"/>
      <c r="AK137" s="4"/>
      <c r="AL137" s="4"/>
      <c r="AM137" s="4"/>
      <c r="AN137" s="4"/>
      <c r="AO137" s="4"/>
      <c r="AP137" s="4"/>
      <c r="AQ137" s="4"/>
      <c r="AR137" s="4"/>
      <c r="AS137" s="4"/>
      <c r="AT137" s="4"/>
      <c r="AU137" s="4" t="str">
        <f>"" &amp; TEXT(AB137,"#0.00%") &amp; " " &amp; "Publish" &amp; " " &amp; IF(M137="","",TEXT(M137,"M/D-")) &amp; IF(N137="","",TEXT(N137,"M/D")) &amp; " "</f>
        <v xml:space="preserve">0.00% Publish 12/30-12/31 </v>
      </c>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row>
    <row r="138" spans="1:161" outlineLevel="1">
      <c r="A138" s="116"/>
      <c r="B138" s="116"/>
      <c r="C138" s="116">
        <v>0</v>
      </c>
      <c r="D138" s="3"/>
      <c r="E138" s="183"/>
      <c r="F138" s="183"/>
      <c r="G138" s="183"/>
      <c r="H138" s="183"/>
      <c r="I138" s="183"/>
      <c r="J138" s="183"/>
      <c r="K138" s="183"/>
      <c r="L138" s="183"/>
      <c r="M138" s="184"/>
      <c r="N138" s="184"/>
      <c r="O138" s="185"/>
      <c r="P138" s="186"/>
      <c r="Q138" s="186"/>
      <c r="R138" s="187">
        <v>0</v>
      </c>
      <c r="S138" s="187">
        <v>0</v>
      </c>
      <c r="T138" s="184"/>
      <c r="U138" s="184"/>
      <c r="V138" s="188"/>
      <c r="W138" s="189">
        <v>0</v>
      </c>
      <c r="X138" s="190"/>
      <c r="Y138" s="185"/>
      <c r="Z138" s="191"/>
      <c r="AA138" s="97"/>
      <c r="AB138" s="192"/>
      <c r="AC138" s="123"/>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row>
    <row r="139" spans="1:161">
      <c r="A139" s="116"/>
      <c r="B139" s="116" t="s">
        <v>1061</v>
      </c>
      <c r="C139" s="116">
        <v>1</v>
      </c>
      <c r="D139" s="3" t="s">
        <v>1299</v>
      </c>
      <c r="E139" s="217" t="s">
        <v>1247</v>
      </c>
      <c r="F139" s="183"/>
      <c r="G139" s="183"/>
      <c r="H139" s="183"/>
      <c r="I139" s="183"/>
      <c r="J139" s="183"/>
      <c r="K139" s="183"/>
      <c r="L139" s="183"/>
      <c r="M139" s="184"/>
      <c r="N139" s="184"/>
      <c r="O139" s="185"/>
      <c r="P139" s="186">
        <v>0</v>
      </c>
      <c r="Q139" s="186">
        <v>0</v>
      </c>
      <c r="R139" s="187">
        <v>0</v>
      </c>
      <c r="S139" s="187">
        <v>0</v>
      </c>
      <c r="T139" s="184"/>
      <c r="U139" s="184"/>
      <c r="V139" s="188">
        <v>0</v>
      </c>
      <c r="W139" s="189">
        <v>0</v>
      </c>
      <c r="X139" s="190"/>
      <c r="Y139" s="185"/>
      <c r="Z139" s="191"/>
      <c r="AA139" s="97">
        <v>0</v>
      </c>
      <c r="AB139" s="192">
        <v>0</v>
      </c>
      <c r="AC139" s="123"/>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row>
    <row r="140" spans="1:161" outlineLevel="1">
      <c r="A140" s="116"/>
      <c r="B140" s="116"/>
      <c r="C140" s="116">
        <v>2</v>
      </c>
      <c r="D140" s="3" t="s">
        <v>1300</v>
      </c>
      <c r="E140" s="183"/>
      <c r="F140" s="183" t="s">
        <v>1248</v>
      </c>
      <c r="G140" s="183"/>
      <c r="H140" s="183"/>
      <c r="I140" s="183"/>
      <c r="J140" s="183"/>
      <c r="K140" s="183"/>
      <c r="L140" s="183"/>
      <c r="M140" s="184"/>
      <c r="N140" s="184"/>
      <c r="O140" s="185"/>
      <c r="P140" s="186">
        <v>0</v>
      </c>
      <c r="Q140" s="186">
        <v>0</v>
      </c>
      <c r="R140" s="187">
        <v>0</v>
      </c>
      <c r="S140" s="187">
        <v>0</v>
      </c>
      <c r="T140" s="184"/>
      <c r="U140" s="184"/>
      <c r="V140" s="188">
        <v>0</v>
      </c>
      <c r="W140" s="189">
        <v>0</v>
      </c>
      <c r="X140" s="190">
        <v>1</v>
      </c>
      <c r="Y140" s="185"/>
      <c r="Z140" s="191"/>
      <c r="AA140" s="97">
        <v>0</v>
      </c>
      <c r="AB140" s="192">
        <v>0</v>
      </c>
      <c r="AC140" s="123"/>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row>
    <row r="141" spans="1:161" outlineLevel="1">
      <c r="A141" s="116"/>
      <c r="B141" s="116"/>
      <c r="C141" s="116">
        <v>2</v>
      </c>
      <c r="D141" s="3" t="s">
        <v>1301</v>
      </c>
      <c r="E141" s="183"/>
      <c r="F141" s="183" t="s">
        <v>1249</v>
      </c>
      <c r="G141" s="183"/>
      <c r="H141" s="183"/>
      <c r="I141" s="183"/>
      <c r="J141" s="183"/>
      <c r="K141" s="183"/>
      <c r="L141" s="183"/>
      <c r="M141" s="184"/>
      <c r="N141" s="184"/>
      <c r="O141" s="185"/>
      <c r="P141" s="186">
        <v>0</v>
      </c>
      <c r="Q141" s="186">
        <v>0</v>
      </c>
      <c r="R141" s="187">
        <v>0</v>
      </c>
      <c r="S141" s="187">
        <v>0</v>
      </c>
      <c r="T141" s="184"/>
      <c r="U141" s="184"/>
      <c r="V141" s="188">
        <v>0</v>
      </c>
      <c r="W141" s="189">
        <v>0</v>
      </c>
      <c r="X141" s="190"/>
      <c r="Y141" s="185"/>
      <c r="Z141" s="191"/>
      <c r="AA141" s="97">
        <v>0</v>
      </c>
      <c r="AB141" s="192">
        <v>0</v>
      </c>
      <c r="AC141" s="123"/>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row>
    <row r="142" spans="1:161" outlineLevel="1">
      <c r="A142" s="116"/>
      <c r="B142" s="116"/>
      <c r="C142" s="116">
        <v>2</v>
      </c>
      <c r="D142" s="3" t="s">
        <v>1302</v>
      </c>
      <c r="E142" s="183"/>
      <c r="F142" s="183" t="s">
        <v>1250</v>
      </c>
      <c r="G142" s="183"/>
      <c r="H142" s="183"/>
      <c r="I142" s="183"/>
      <c r="J142" s="183"/>
      <c r="K142" s="183"/>
      <c r="L142" s="183"/>
      <c r="M142" s="184"/>
      <c r="N142" s="184"/>
      <c r="O142" s="185"/>
      <c r="P142" s="186">
        <v>0</v>
      </c>
      <c r="Q142" s="186">
        <v>0</v>
      </c>
      <c r="R142" s="187">
        <v>0</v>
      </c>
      <c r="S142" s="187">
        <v>0</v>
      </c>
      <c r="T142" s="184"/>
      <c r="U142" s="184"/>
      <c r="V142" s="188">
        <v>0</v>
      </c>
      <c r="W142" s="189">
        <v>0</v>
      </c>
      <c r="X142" s="190"/>
      <c r="Y142" s="185"/>
      <c r="Z142" s="191"/>
      <c r="AA142" s="97">
        <v>0</v>
      </c>
      <c r="AB142" s="192">
        <v>0</v>
      </c>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row>
    <row r="143" spans="1:161" outlineLevel="1">
      <c r="A143" s="116"/>
      <c r="B143" s="116"/>
      <c r="C143" s="116">
        <v>2</v>
      </c>
      <c r="D143" s="3" t="s">
        <v>1303</v>
      </c>
      <c r="E143" s="183"/>
      <c r="F143" s="183" t="s">
        <v>1198</v>
      </c>
      <c r="G143" s="183"/>
      <c r="H143" s="183"/>
      <c r="I143" s="183"/>
      <c r="J143" s="183"/>
      <c r="K143" s="183"/>
      <c r="L143" s="183"/>
      <c r="M143" s="184"/>
      <c r="N143" s="184"/>
      <c r="O143" s="185"/>
      <c r="P143" s="186">
        <v>0</v>
      </c>
      <c r="Q143" s="186">
        <v>0</v>
      </c>
      <c r="R143" s="187">
        <v>0</v>
      </c>
      <c r="S143" s="187">
        <v>0</v>
      </c>
      <c r="T143" s="184"/>
      <c r="U143" s="184"/>
      <c r="V143" s="188">
        <v>0</v>
      </c>
      <c r="W143" s="189">
        <v>0</v>
      </c>
      <c r="X143" s="190">
        <v>1</v>
      </c>
      <c r="Y143" s="185"/>
      <c r="Z143" s="191"/>
      <c r="AA143" s="97">
        <v>0</v>
      </c>
      <c r="AB143" s="192">
        <v>0</v>
      </c>
      <c r="AC143" s="123"/>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row>
    <row r="144" spans="1:161" outlineLevel="1">
      <c r="A144" s="116"/>
      <c r="B144" s="116"/>
      <c r="C144" s="116">
        <v>2</v>
      </c>
      <c r="D144" s="3" t="s">
        <v>1304</v>
      </c>
      <c r="E144" s="183"/>
      <c r="F144" s="183" t="s">
        <v>1178</v>
      </c>
      <c r="G144" s="183"/>
      <c r="H144" s="183"/>
      <c r="I144" s="183"/>
      <c r="J144" s="183"/>
      <c r="K144" s="183"/>
      <c r="L144" s="183"/>
      <c r="M144" s="184"/>
      <c r="N144" s="184"/>
      <c r="O144" s="185"/>
      <c r="P144" s="186">
        <v>0</v>
      </c>
      <c r="Q144" s="186">
        <v>0</v>
      </c>
      <c r="R144" s="187">
        <v>0</v>
      </c>
      <c r="S144" s="187">
        <v>0</v>
      </c>
      <c r="T144" s="184"/>
      <c r="U144" s="184"/>
      <c r="V144" s="188">
        <v>0</v>
      </c>
      <c r="W144" s="189">
        <v>0</v>
      </c>
      <c r="X144" s="190">
        <v>1</v>
      </c>
      <c r="Y144" s="185"/>
      <c r="Z144" s="191"/>
      <c r="AA144" s="97">
        <v>0</v>
      </c>
      <c r="AB144" s="192">
        <v>0</v>
      </c>
      <c r="AC144" s="123"/>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row>
    <row r="145" spans="1:161" outlineLevel="1">
      <c r="A145" s="116"/>
      <c r="B145" s="116"/>
      <c r="C145" s="116">
        <v>2</v>
      </c>
      <c r="D145" s="3" t="s">
        <v>1305</v>
      </c>
      <c r="E145" s="183"/>
      <c r="F145" s="183" t="s">
        <v>1180</v>
      </c>
      <c r="G145" s="183"/>
      <c r="H145" s="183"/>
      <c r="I145" s="183"/>
      <c r="J145" s="183"/>
      <c r="K145" s="183"/>
      <c r="L145" s="183"/>
      <c r="M145" s="184"/>
      <c r="N145" s="184"/>
      <c r="O145" s="185"/>
      <c r="P145" s="186">
        <v>0</v>
      </c>
      <c r="Q145" s="186">
        <v>0</v>
      </c>
      <c r="R145" s="187">
        <v>0</v>
      </c>
      <c r="S145" s="187">
        <v>0</v>
      </c>
      <c r="T145" s="184"/>
      <c r="U145" s="184"/>
      <c r="V145" s="188">
        <v>0</v>
      </c>
      <c r="W145" s="189">
        <v>0</v>
      </c>
      <c r="X145" s="190">
        <v>1</v>
      </c>
      <c r="Y145" s="185"/>
      <c r="Z145" s="191"/>
      <c r="AA145" s="97">
        <v>0</v>
      </c>
      <c r="AB145" s="192">
        <v>0</v>
      </c>
      <c r="AC145" s="123"/>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row>
    <row r="146" spans="1:161" outlineLevel="1">
      <c r="A146" s="116"/>
      <c r="B146" s="116"/>
      <c r="C146" s="116">
        <v>2</v>
      </c>
      <c r="D146" s="3" t="s">
        <v>1306</v>
      </c>
      <c r="E146" s="183"/>
      <c r="F146" s="183" t="s">
        <v>1199</v>
      </c>
      <c r="G146" s="183"/>
      <c r="H146" s="183"/>
      <c r="I146" s="183"/>
      <c r="J146" s="183"/>
      <c r="K146" s="183"/>
      <c r="L146" s="183"/>
      <c r="M146" s="184"/>
      <c r="N146" s="184"/>
      <c r="O146" s="185"/>
      <c r="P146" s="186">
        <v>0</v>
      </c>
      <c r="Q146" s="186">
        <v>0</v>
      </c>
      <c r="R146" s="187">
        <v>0</v>
      </c>
      <c r="S146" s="187">
        <v>0</v>
      </c>
      <c r="T146" s="184"/>
      <c r="U146" s="184"/>
      <c r="V146" s="188">
        <v>0</v>
      </c>
      <c r="W146" s="189">
        <v>0</v>
      </c>
      <c r="X146" s="190">
        <v>1</v>
      </c>
      <c r="Y146" s="185"/>
      <c r="Z146" s="191"/>
      <c r="AA146" s="97">
        <v>0</v>
      </c>
      <c r="AB146" s="192">
        <v>0</v>
      </c>
      <c r="AC146" s="123"/>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c r="EY146" s="4"/>
      <c r="EZ146" s="4"/>
      <c r="FA146" s="4"/>
      <c r="FB146" s="4"/>
      <c r="FC146" s="4"/>
      <c r="FD146" s="4"/>
      <c r="FE146" s="4"/>
    </row>
    <row r="147" spans="1:161" outlineLevel="1">
      <c r="A147" s="116"/>
      <c r="B147" s="116"/>
      <c r="C147" s="116">
        <v>2</v>
      </c>
      <c r="D147" s="3" t="s">
        <v>1307</v>
      </c>
      <c r="E147" s="183"/>
      <c r="F147" s="183" t="s">
        <v>1182</v>
      </c>
      <c r="G147" s="183"/>
      <c r="H147" s="183"/>
      <c r="I147" s="183"/>
      <c r="J147" s="183"/>
      <c r="K147" s="183"/>
      <c r="L147" s="183"/>
      <c r="M147" s="184"/>
      <c r="N147" s="184"/>
      <c r="O147" s="185"/>
      <c r="P147" s="186">
        <v>0</v>
      </c>
      <c r="Q147" s="186">
        <v>0</v>
      </c>
      <c r="R147" s="187">
        <v>0</v>
      </c>
      <c r="S147" s="187">
        <v>0</v>
      </c>
      <c r="T147" s="184"/>
      <c r="U147" s="184"/>
      <c r="V147" s="188">
        <v>0</v>
      </c>
      <c r="W147" s="189">
        <v>0</v>
      </c>
      <c r="X147" s="190"/>
      <c r="Y147" s="185"/>
      <c r="Z147" s="191"/>
      <c r="AA147" s="97">
        <v>0</v>
      </c>
      <c r="AB147" s="192">
        <v>0</v>
      </c>
      <c r="AC147" s="123"/>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4"/>
      <c r="EG147" s="4"/>
      <c r="EH147" s="4"/>
      <c r="EI147" s="4"/>
      <c r="EJ147" s="4"/>
      <c r="EK147" s="4"/>
      <c r="EL147" s="4"/>
      <c r="EM147" s="4"/>
      <c r="EN147" s="4"/>
      <c r="EO147" s="4"/>
      <c r="EP147" s="4"/>
      <c r="EQ147" s="4"/>
      <c r="ER147" s="4"/>
      <c r="ES147" s="4"/>
      <c r="ET147" s="4"/>
      <c r="EU147" s="4"/>
      <c r="EV147" s="4"/>
      <c r="EW147" s="4"/>
      <c r="EX147" s="4"/>
      <c r="EY147" s="4"/>
      <c r="EZ147" s="4"/>
      <c r="FA147" s="4"/>
      <c r="FB147" s="4"/>
      <c r="FC147" s="4"/>
      <c r="FD147" s="4"/>
      <c r="FE147" s="4"/>
    </row>
    <row r="148" spans="1:161" outlineLevel="1">
      <c r="A148" s="116"/>
      <c r="B148" s="116"/>
      <c r="C148" s="116">
        <v>2</v>
      </c>
      <c r="D148" s="3" t="s">
        <v>1308</v>
      </c>
      <c r="E148" s="183"/>
      <c r="F148" s="183" t="s">
        <v>1251</v>
      </c>
      <c r="G148" s="183"/>
      <c r="H148" s="183"/>
      <c r="I148" s="183"/>
      <c r="J148" s="183"/>
      <c r="K148" s="183"/>
      <c r="L148" s="183"/>
      <c r="M148" s="184"/>
      <c r="N148" s="184"/>
      <c r="O148" s="185"/>
      <c r="P148" s="186">
        <v>0</v>
      </c>
      <c r="Q148" s="186">
        <v>0</v>
      </c>
      <c r="R148" s="187">
        <v>0</v>
      </c>
      <c r="S148" s="187">
        <v>0</v>
      </c>
      <c r="T148" s="184"/>
      <c r="U148" s="184"/>
      <c r="V148" s="188">
        <v>0</v>
      </c>
      <c r="W148" s="189">
        <v>0</v>
      </c>
      <c r="X148" s="190"/>
      <c r="Y148" s="185"/>
      <c r="Z148" s="191"/>
      <c r="AA148" s="97">
        <v>0</v>
      </c>
      <c r="AB148" s="192">
        <v>0</v>
      </c>
      <c r="AC148" s="123"/>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c r="DW148" s="4"/>
      <c r="DX148" s="4"/>
      <c r="DY148" s="4"/>
      <c r="DZ148" s="4"/>
      <c r="EA148" s="4"/>
      <c r="EB148" s="4"/>
      <c r="EC148" s="4"/>
      <c r="ED148" s="4"/>
      <c r="EE148" s="4"/>
      <c r="EF148" s="4"/>
      <c r="EG148" s="4"/>
      <c r="EH148" s="4"/>
      <c r="EI148" s="4"/>
      <c r="EJ148" s="4"/>
      <c r="EK148" s="4"/>
      <c r="EL148" s="4"/>
      <c r="EM148" s="4"/>
      <c r="EN148" s="4"/>
      <c r="EO148" s="4"/>
      <c r="EP148" s="4"/>
      <c r="EQ148" s="4"/>
      <c r="ER148" s="4"/>
      <c r="ES148" s="4"/>
      <c r="ET148" s="4"/>
      <c r="EU148" s="4"/>
      <c r="EV148" s="4"/>
      <c r="EW148" s="4"/>
      <c r="EX148" s="4"/>
      <c r="EY148" s="4"/>
      <c r="EZ148" s="4"/>
      <c r="FA148" s="4"/>
      <c r="FB148" s="4"/>
      <c r="FC148" s="4"/>
      <c r="FD148" s="4"/>
      <c r="FE148" s="4"/>
    </row>
    <row r="149" spans="1:161" outlineLevel="1">
      <c r="A149" s="116"/>
      <c r="B149" s="116"/>
      <c r="C149" s="116">
        <v>0</v>
      </c>
      <c r="D149" s="3"/>
      <c r="E149" s="183"/>
      <c r="F149" s="183"/>
      <c r="G149" s="183"/>
      <c r="H149" s="183"/>
      <c r="I149" s="183"/>
      <c r="J149" s="183"/>
      <c r="K149" s="183"/>
      <c r="L149" s="183"/>
      <c r="M149" s="184"/>
      <c r="N149" s="184"/>
      <c r="O149" s="185"/>
      <c r="P149" s="186"/>
      <c r="Q149" s="186"/>
      <c r="R149" s="187">
        <v>0</v>
      </c>
      <c r="S149" s="187">
        <v>0</v>
      </c>
      <c r="T149" s="184"/>
      <c r="U149" s="184"/>
      <c r="V149" s="188"/>
      <c r="W149" s="189">
        <v>0</v>
      </c>
      <c r="X149" s="190"/>
      <c r="Y149" s="185"/>
      <c r="Z149" s="191"/>
      <c r="AA149" s="97"/>
      <c r="AB149" s="192"/>
      <c r="AC149" s="218"/>
      <c r="AD149" s="218"/>
      <c r="AE149" s="218"/>
      <c r="AF149" s="218"/>
      <c r="AG149" s="218"/>
      <c r="AH149" s="218"/>
      <c r="AI149" s="218"/>
      <c r="AJ149" s="218"/>
      <c r="AK149" s="218"/>
      <c r="AL149" s="218"/>
      <c r="AM149" s="218"/>
      <c r="AN149" s="218"/>
      <c r="AO149" s="218"/>
      <c r="AP149" s="218"/>
      <c r="AQ149" s="218"/>
      <c r="AR149" s="218"/>
      <c r="AS149" s="218"/>
      <c r="AT149" s="218"/>
      <c r="AU149" s="218"/>
      <c r="AV149" s="218"/>
      <c r="AW149" s="218"/>
      <c r="AX149" s="218"/>
      <c r="AY149" s="218"/>
      <c r="AZ149" s="218"/>
      <c r="BA149" s="218"/>
      <c r="BB149" s="218"/>
      <c r="BC149" s="218"/>
      <c r="BD149" s="218"/>
      <c r="BE149" s="218"/>
      <c r="BF149" s="218"/>
      <c r="BG149" s="218"/>
      <c r="BH149" s="218"/>
      <c r="BI149" s="218"/>
      <c r="BJ149" s="218"/>
      <c r="BK149" s="218"/>
      <c r="BL149" s="218"/>
      <c r="BM149" s="218"/>
      <c r="BN149" s="218"/>
      <c r="BO149" s="218"/>
      <c r="BP149" s="218"/>
      <c r="BQ149" s="218"/>
      <c r="BR149" s="218"/>
      <c r="BS149" s="218"/>
      <c r="BT149" s="218"/>
      <c r="BU149" s="218"/>
      <c r="BV149" s="218"/>
      <c r="BW149" s="218"/>
      <c r="BX149" s="218"/>
      <c r="BY149" s="218"/>
      <c r="BZ149" s="218"/>
      <c r="CA149" s="218"/>
      <c r="CB149" s="218"/>
      <c r="CC149" s="218"/>
      <c r="CD149" s="218"/>
      <c r="CE149" s="218"/>
      <c r="CF149" s="218"/>
      <c r="CG149" s="218"/>
      <c r="CH149" s="218"/>
      <c r="CI149" s="218"/>
      <c r="CJ149" s="218"/>
      <c r="CK149" s="218"/>
      <c r="CL149" s="218"/>
      <c r="CM149" s="218"/>
      <c r="CN149" s="218"/>
      <c r="CO149" s="218"/>
      <c r="CP149" s="218"/>
      <c r="CQ149" s="218"/>
      <c r="CR149" s="218"/>
      <c r="CS149" s="218"/>
      <c r="CT149" s="218"/>
      <c r="CU149" s="218"/>
      <c r="CV149" s="218"/>
      <c r="CW149" s="218"/>
      <c r="CX149" s="218"/>
      <c r="CY149" s="218"/>
      <c r="CZ149" s="218"/>
      <c r="DA149" s="218"/>
      <c r="DB149" s="218"/>
      <c r="DC149" s="218"/>
      <c r="DD149" s="218"/>
      <c r="DE149" s="218"/>
      <c r="DF149" s="218"/>
      <c r="DG149" s="218"/>
      <c r="DH149" s="218"/>
      <c r="DI149" s="218"/>
      <c r="DJ149" s="218"/>
      <c r="DK149" s="218"/>
      <c r="DL149" s="218"/>
      <c r="DM149" s="218"/>
      <c r="DN149" s="218"/>
      <c r="DO149" s="218"/>
      <c r="DP149" s="218"/>
      <c r="DQ149" s="218"/>
      <c r="DR149" s="218"/>
      <c r="DS149" s="218"/>
      <c r="DT149" s="218"/>
      <c r="DU149" s="218"/>
      <c r="DV149" s="218"/>
      <c r="DW149" s="218"/>
      <c r="DX149" s="218"/>
      <c r="DY149" s="218"/>
      <c r="DZ149" s="218"/>
      <c r="EA149" s="218"/>
      <c r="EB149" s="218"/>
      <c r="EC149" s="218"/>
      <c r="ED149" s="218"/>
      <c r="EE149" s="218"/>
      <c r="EF149" s="218"/>
      <c r="EG149" s="218"/>
      <c r="EH149" s="218"/>
      <c r="EI149" s="218"/>
      <c r="EJ149" s="218"/>
      <c r="EK149" s="218"/>
      <c r="EL149" s="218"/>
      <c r="EM149" s="218"/>
      <c r="EN149" s="218"/>
      <c r="EO149" s="218"/>
      <c r="EP149" s="218"/>
      <c r="EQ149" s="218"/>
      <c r="ER149" s="218"/>
      <c r="ES149" s="218"/>
      <c r="ET149" s="218"/>
      <c r="EU149" s="218"/>
      <c r="EV149" s="218"/>
      <c r="EW149" s="218"/>
      <c r="EX149" s="218"/>
      <c r="EY149" s="218"/>
      <c r="EZ149" s="218"/>
      <c r="FA149" s="218"/>
      <c r="FB149" s="218"/>
      <c r="FC149" s="218"/>
      <c r="FD149" s="218"/>
      <c r="FE149" s="218"/>
    </row>
    <row r="150" spans="1:161">
      <c r="A150" s="116"/>
      <c r="B150" s="116" t="s">
        <v>1061</v>
      </c>
      <c r="C150" s="116">
        <v>1</v>
      </c>
      <c r="D150" s="3" t="s">
        <v>1318</v>
      </c>
      <c r="E150" s="183" t="s">
        <v>1317</v>
      </c>
      <c r="F150" s="183"/>
      <c r="G150" s="183"/>
      <c r="H150" s="183"/>
      <c r="I150" s="183"/>
      <c r="J150" s="183"/>
      <c r="K150" s="183"/>
      <c r="L150" s="183"/>
      <c r="M150" s="184"/>
      <c r="N150" s="184"/>
      <c r="O150" s="185"/>
      <c r="P150" s="186">
        <v>0</v>
      </c>
      <c r="Q150" s="186">
        <v>0</v>
      </c>
      <c r="R150" s="187">
        <v>0</v>
      </c>
      <c r="S150" s="187">
        <v>0</v>
      </c>
      <c r="T150" s="184"/>
      <c r="U150" s="184"/>
      <c r="V150" s="188">
        <v>0</v>
      </c>
      <c r="W150" s="189">
        <v>0</v>
      </c>
      <c r="X150" s="190"/>
      <c r="Y150" s="185"/>
      <c r="Z150" s="191"/>
      <c r="AA150" s="97">
        <v>0</v>
      </c>
      <c r="AB150" s="192">
        <v>0</v>
      </c>
      <c r="AC150" s="123"/>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4"/>
      <c r="EG150" s="4"/>
      <c r="EH150" s="4"/>
      <c r="EI150" s="4"/>
      <c r="EJ150" s="4"/>
      <c r="EK150" s="4"/>
      <c r="EL150" s="4"/>
      <c r="EM150" s="4"/>
      <c r="EN150" s="4"/>
      <c r="EO150" s="4"/>
      <c r="EP150" s="4"/>
      <c r="EQ150" s="4"/>
      <c r="ER150" s="4"/>
      <c r="ES150" s="4"/>
      <c r="ET150" s="4"/>
      <c r="EU150" s="4"/>
      <c r="EV150" s="4"/>
      <c r="EW150" s="4"/>
      <c r="EX150" s="4"/>
      <c r="EY150" s="4"/>
      <c r="EZ150" s="4"/>
      <c r="FA150" s="4"/>
      <c r="FB150" s="4"/>
      <c r="FC150" s="4"/>
      <c r="FD150" s="4"/>
      <c r="FE150" s="4"/>
    </row>
    <row r="151" spans="1:161" outlineLevel="1">
      <c r="A151" s="116"/>
      <c r="B151" s="116"/>
      <c r="C151" s="116">
        <v>2</v>
      </c>
      <c r="D151" s="3" t="s">
        <v>1319</v>
      </c>
      <c r="E151" s="183"/>
      <c r="F151" s="183" t="s">
        <v>1198</v>
      </c>
      <c r="G151" s="183"/>
      <c r="H151" s="183"/>
      <c r="I151" s="183"/>
      <c r="J151" s="183"/>
      <c r="K151" s="183"/>
      <c r="L151" s="183"/>
      <c r="M151" s="184"/>
      <c r="N151" s="184"/>
      <c r="O151" s="185"/>
      <c r="P151" s="186">
        <v>0</v>
      </c>
      <c r="Q151" s="186">
        <v>0</v>
      </c>
      <c r="R151" s="187">
        <v>5</v>
      </c>
      <c r="S151" s="187">
        <v>0</v>
      </c>
      <c r="T151" s="184"/>
      <c r="U151" s="184"/>
      <c r="V151" s="188">
        <v>0</v>
      </c>
      <c r="W151" s="189">
        <v>0</v>
      </c>
      <c r="X151" s="190">
        <v>1</v>
      </c>
      <c r="Y151" s="185"/>
      <c r="Z151" s="191"/>
      <c r="AA151" s="97">
        <v>0</v>
      </c>
      <c r="AB151" s="192">
        <v>0</v>
      </c>
      <c r="AC151" s="123"/>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c r="DW151" s="4"/>
      <c r="DX151" s="4"/>
      <c r="DY151" s="4"/>
      <c r="DZ151" s="4"/>
      <c r="EA151" s="4"/>
      <c r="EB151" s="4"/>
      <c r="EC151" s="4"/>
      <c r="ED151" s="4"/>
      <c r="EE151" s="4"/>
      <c r="EF151" s="4"/>
      <c r="EG151" s="4"/>
      <c r="EH151" s="4"/>
      <c r="EI151" s="4"/>
      <c r="EJ151" s="4"/>
      <c r="EK151" s="4"/>
      <c r="EL151" s="4"/>
      <c r="EM151" s="4"/>
      <c r="EN151" s="4"/>
      <c r="EO151" s="4"/>
      <c r="EP151" s="4"/>
      <c r="EQ151" s="4"/>
      <c r="ER151" s="4"/>
      <c r="ES151" s="4"/>
      <c r="ET151" s="4"/>
      <c r="EU151" s="4"/>
      <c r="EV151" s="4"/>
      <c r="EW151" s="4"/>
      <c r="EX151" s="4"/>
      <c r="EY151" s="4"/>
      <c r="EZ151" s="4"/>
      <c r="FA151" s="4"/>
      <c r="FB151" s="4"/>
      <c r="FC151" s="4"/>
      <c r="FD151" s="4"/>
      <c r="FE151" s="4"/>
    </row>
    <row r="152" spans="1:161" outlineLevel="1">
      <c r="A152" s="116"/>
      <c r="B152" s="116"/>
      <c r="C152" s="116">
        <v>2</v>
      </c>
      <c r="D152" s="3" t="s">
        <v>1320</v>
      </c>
      <c r="E152" s="183"/>
      <c r="F152" s="183" t="s">
        <v>1178</v>
      </c>
      <c r="G152" s="183"/>
      <c r="H152" s="183"/>
      <c r="I152" s="183"/>
      <c r="J152" s="183"/>
      <c r="K152" s="183"/>
      <c r="L152" s="183"/>
      <c r="M152" s="184"/>
      <c r="N152" s="184"/>
      <c r="O152" s="185"/>
      <c r="P152" s="186">
        <v>0</v>
      </c>
      <c r="Q152" s="186">
        <v>0</v>
      </c>
      <c r="R152" s="187">
        <v>0</v>
      </c>
      <c r="S152" s="187">
        <v>0</v>
      </c>
      <c r="T152" s="184"/>
      <c r="U152" s="184"/>
      <c r="V152" s="188">
        <v>0</v>
      </c>
      <c r="W152" s="189">
        <v>0</v>
      </c>
      <c r="X152" s="190"/>
      <c r="Y152" s="185"/>
      <c r="Z152" s="191"/>
      <c r="AA152" s="97">
        <v>0</v>
      </c>
      <c r="AB152" s="192">
        <v>0</v>
      </c>
      <c r="AC152" s="123"/>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c r="DW152" s="4"/>
      <c r="DX152" s="4"/>
      <c r="DY152" s="4"/>
      <c r="DZ152" s="4"/>
      <c r="EA152" s="4"/>
      <c r="EB152" s="4"/>
      <c r="EC152" s="4"/>
      <c r="ED152" s="4"/>
      <c r="EE152" s="4"/>
      <c r="EF152" s="4"/>
      <c r="EG152" s="4"/>
      <c r="EH152" s="4"/>
      <c r="EI152" s="4"/>
      <c r="EJ152" s="4"/>
      <c r="EK152" s="4"/>
      <c r="EL152" s="4"/>
      <c r="EM152" s="4"/>
      <c r="EN152" s="4"/>
      <c r="EO152" s="4"/>
      <c r="EP152" s="4"/>
      <c r="EQ152" s="4"/>
      <c r="ER152" s="4"/>
      <c r="ES152" s="4"/>
      <c r="ET152" s="4"/>
      <c r="EU152" s="4"/>
      <c r="EV152" s="4"/>
      <c r="EW152" s="4"/>
      <c r="EX152" s="4"/>
      <c r="EY152" s="4"/>
      <c r="EZ152" s="4"/>
      <c r="FA152" s="4"/>
      <c r="FB152" s="4"/>
      <c r="FC152" s="4"/>
      <c r="FD152" s="4"/>
      <c r="FE152" s="4"/>
    </row>
    <row r="153" spans="1:161" outlineLevel="1">
      <c r="A153" s="116"/>
      <c r="B153" s="116"/>
      <c r="C153" s="116">
        <v>2</v>
      </c>
      <c r="D153" s="3" t="s">
        <v>1321</v>
      </c>
      <c r="E153" s="183"/>
      <c r="F153" s="183" t="s">
        <v>1179</v>
      </c>
      <c r="G153" s="183"/>
      <c r="H153" s="183"/>
      <c r="I153" s="183"/>
      <c r="J153" s="183"/>
      <c r="K153" s="183"/>
      <c r="L153" s="183"/>
      <c r="M153" s="184"/>
      <c r="N153" s="184"/>
      <c r="O153" s="185"/>
      <c r="P153" s="186">
        <v>0</v>
      </c>
      <c r="Q153" s="186">
        <v>0</v>
      </c>
      <c r="R153" s="187">
        <v>0</v>
      </c>
      <c r="S153" s="187">
        <v>0</v>
      </c>
      <c r="T153" s="184"/>
      <c r="U153" s="184"/>
      <c r="V153" s="188">
        <v>0</v>
      </c>
      <c r="W153" s="189">
        <v>0</v>
      </c>
      <c r="X153" s="190"/>
      <c r="Y153" s="185"/>
      <c r="Z153" s="191"/>
      <c r="AA153" s="97">
        <v>0</v>
      </c>
      <c r="AB153" s="192">
        <v>0</v>
      </c>
      <c r="AC153" s="123"/>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c r="DW153" s="4"/>
      <c r="DX153" s="4"/>
      <c r="DY153" s="4"/>
      <c r="DZ153" s="4"/>
      <c r="EA153" s="4"/>
      <c r="EB153" s="4"/>
      <c r="EC153" s="4"/>
      <c r="ED153" s="4"/>
      <c r="EE153" s="4"/>
      <c r="EF153" s="4"/>
      <c r="EG153" s="4"/>
      <c r="EH153" s="4"/>
      <c r="EI153" s="4"/>
      <c r="EJ153" s="4"/>
      <c r="EK153" s="4"/>
      <c r="EL153" s="4"/>
      <c r="EM153" s="4"/>
      <c r="EN153" s="4"/>
      <c r="EO153" s="4"/>
      <c r="EP153" s="4"/>
      <c r="EQ153" s="4"/>
      <c r="ER153" s="4"/>
      <c r="ES153" s="4"/>
      <c r="ET153" s="4"/>
      <c r="EU153" s="4"/>
      <c r="EV153" s="4"/>
      <c r="EW153" s="4"/>
      <c r="EX153" s="4"/>
      <c r="EY153" s="4"/>
      <c r="EZ153" s="4"/>
      <c r="FA153" s="4"/>
      <c r="FB153" s="4"/>
      <c r="FC153" s="4"/>
      <c r="FD153" s="4"/>
      <c r="FE153" s="4"/>
    </row>
    <row r="154" spans="1:161" outlineLevel="1">
      <c r="A154" s="116"/>
      <c r="B154" s="116"/>
      <c r="C154" s="116">
        <v>2</v>
      </c>
      <c r="D154" s="3" t="s">
        <v>1322</v>
      </c>
      <c r="E154" s="183"/>
      <c r="F154" s="183" t="s">
        <v>1316</v>
      </c>
      <c r="G154" s="183"/>
      <c r="H154" s="183"/>
      <c r="I154" s="183"/>
      <c r="J154" s="183"/>
      <c r="K154" s="183"/>
      <c r="L154" s="183"/>
      <c r="M154" s="184"/>
      <c r="N154" s="184"/>
      <c r="O154" s="185"/>
      <c r="P154" s="186">
        <v>0</v>
      </c>
      <c r="Q154" s="186">
        <v>0</v>
      </c>
      <c r="R154" s="187">
        <v>5</v>
      </c>
      <c r="S154" s="187">
        <v>0</v>
      </c>
      <c r="T154" s="184"/>
      <c r="U154" s="184"/>
      <c r="V154" s="188">
        <v>0</v>
      </c>
      <c r="W154" s="189">
        <v>0</v>
      </c>
      <c r="X154" s="190">
        <v>1</v>
      </c>
      <c r="Y154" s="185"/>
      <c r="Z154" s="191"/>
      <c r="AA154" s="97">
        <v>0</v>
      </c>
      <c r="AB154" s="192">
        <v>0</v>
      </c>
      <c r="AC154" s="123"/>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c r="DW154" s="4"/>
      <c r="DX154" s="4"/>
      <c r="DY154" s="4"/>
      <c r="DZ154" s="4"/>
      <c r="EA154" s="4"/>
      <c r="EB154" s="4"/>
      <c r="EC154" s="4"/>
      <c r="ED154" s="4"/>
      <c r="EE154" s="4"/>
      <c r="EF154" s="4"/>
      <c r="EG154" s="4"/>
      <c r="EH154" s="4"/>
      <c r="EI154" s="4"/>
      <c r="EJ154" s="4"/>
      <c r="EK154" s="4"/>
      <c r="EL154" s="4"/>
      <c r="EM154" s="4"/>
      <c r="EN154" s="4"/>
      <c r="EO154" s="4"/>
      <c r="EP154" s="4"/>
      <c r="EQ154" s="4"/>
      <c r="ER154" s="4"/>
      <c r="ES154" s="4"/>
      <c r="ET154" s="4"/>
      <c r="EU154" s="4"/>
      <c r="EV154" s="4"/>
      <c r="EW154" s="4"/>
      <c r="EX154" s="4"/>
      <c r="EY154" s="4"/>
      <c r="EZ154" s="4"/>
      <c r="FA154" s="4"/>
      <c r="FB154" s="4"/>
      <c r="FC154" s="4"/>
      <c r="FD154" s="4"/>
      <c r="FE154" s="4"/>
    </row>
    <row r="155" spans="1:161" outlineLevel="1">
      <c r="A155" s="116"/>
      <c r="B155" s="116"/>
      <c r="C155" s="116">
        <v>2</v>
      </c>
      <c r="D155" s="3" t="s">
        <v>1323</v>
      </c>
      <c r="E155" s="183"/>
      <c r="F155" s="183" t="s">
        <v>1199</v>
      </c>
      <c r="G155" s="183"/>
      <c r="H155" s="183"/>
      <c r="I155" s="183"/>
      <c r="J155" s="183"/>
      <c r="K155" s="183"/>
      <c r="L155" s="183"/>
      <c r="M155" s="184"/>
      <c r="N155" s="184"/>
      <c r="O155" s="185"/>
      <c r="P155" s="186">
        <v>0</v>
      </c>
      <c r="Q155" s="186">
        <v>0</v>
      </c>
      <c r="R155" s="187">
        <v>5</v>
      </c>
      <c r="S155" s="187">
        <v>0</v>
      </c>
      <c r="T155" s="184"/>
      <c r="U155" s="184"/>
      <c r="V155" s="188">
        <v>0</v>
      </c>
      <c r="W155" s="189">
        <v>0</v>
      </c>
      <c r="X155" s="190">
        <v>1</v>
      </c>
      <c r="Y155" s="185" t="s">
        <v>1181</v>
      </c>
      <c r="Z155" s="191"/>
      <c r="AA155" s="97">
        <v>0</v>
      </c>
      <c r="AB155" s="192">
        <v>0</v>
      </c>
      <c r="AC155" s="123"/>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row>
    <row r="156" spans="1:161" outlineLevel="1">
      <c r="A156" s="116"/>
      <c r="B156" s="116"/>
      <c r="C156" s="116">
        <v>2</v>
      </c>
      <c r="D156" s="3" t="s">
        <v>1324</v>
      </c>
      <c r="E156" s="183"/>
      <c r="F156" s="183" t="s">
        <v>1182</v>
      </c>
      <c r="G156" s="183"/>
      <c r="H156" s="183"/>
      <c r="I156" s="183"/>
      <c r="J156" s="183"/>
      <c r="K156" s="183"/>
      <c r="L156" s="183"/>
      <c r="M156" s="184"/>
      <c r="N156" s="184"/>
      <c r="O156" s="185"/>
      <c r="P156" s="186">
        <v>0</v>
      </c>
      <c r="Q156" s="186">
        <v>0</v>
      </c>
      <c r="R156" s="187">
        <v>4</v>
      </c>
      <c r="S156" s="187">
        <v>0</v>
      </c>
      <c r="T156" s="184"/>
      <c r="U156" s="184"/>
      <c r="V156" s="188">
        <v>0</v>
      </c>
      <c r="W156" s="189">
        <v>0</v>
      </c>
      <c r="X156" s="190">
        <v>1</v>
      </c>
      <c r="Y156" s="185"/>
      <c r="Z156" s="191"/>
      <c r="AA156" s="97">
        <v>0</v>
      </c>
      <c r="AB156" s="192">
        <v>0</v>
      </c>
      <c r="AC156" s="123"/>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c r="DW156" s="4"/>
      <c r="DX156" s="4"/>
      <c r="DY156" s="4"/>
      <c r="DZ156" s="4"/>
      <c r="EA156" s="4"/>
      <c r="EB156" s="4"/>
      <c r="EC156" s="4"/>
      <c r="ED156" s="4"/>
      <c r="EE156" s="4"/>
      <c r="EF156" s="4"/>
      <c r="EG156" s="4"/>
      <c r="EH156" s="4"/>
      <c r="EI156" s="4"/>
      <c r="EJ156" s="4"/>
      <c r="EK156" s="4"/>
      <c r="EL156" s="4"/>
      <c r="EM156" s="4"/>
      <c r="EN156" s="4"/>
      <c r="EO156" s="4"/>
      <c r="EP156" s="4"/>
      <c r="EQ156" s="4"/>
      <c r="ER156" s="4"/>
      <c r="ES156" s="4"/>
      <c r="ET156" s="4"/>
      <c r="EU156" s="4"/>
      <c r="EV156" s="4"/>
      <c r="EW156" s="4"/>
      <c r="EX156" s="4"/>
      <c r="EY156" s="4"/>
      <c r="EZ156" s="4"/>
      <c r="FA156" s="4"/>
      <c r="FB156" s="4"/>
      <c r="FC156" s="4"/>
      <c r="FD156" s="4"/>
      <c r="FE156" s="4"/>
    </row>
    <row r="157" spans="1:161" outlineLevel="1">
      <c r="A157" s="116"/>
      <c r="B157" s="116"/>
      <c r="C157" s="116">
        <v>2</v>
      </c>
      <c r="D157" s="3" t="s">
        <v>1325</v>
      </c>
      <c r="E157" s="183"/>
      <c r="F157" s="183" t="s">
        <v>1183</v>
      </c>
      <c r="G157" s="183"/>
      <c r="H157" s="183"/>
      <c r="I157" s="183"/>
      <c r="J157" s="183"/>
      <c r="K157" s="183"/>
      <c r="L157" s="183"/>
      <c r="M157" s="184"/>
      <c r="N157" s="184"/>
      <c r="O157" s="185"/>
      <c r="P157" s="186">
        <v>0</v>
      </c>
      <c r="Q157" s="186">
        <v>0</v>
      </c>
      <c r="R157" s="187">
        <v>2</v>
      </c>
      <c r="S157" s="187">
        <v>0</v>
      </c>
      <c r="T157" s="184"/>
      <c r="U157" s="184"/>
      <c r="V157" s="188">
        <v>0</v>
      </c>
      <c r="W157" s="189">
        <v>0</v>
      </c>
      <c r="X157" s="190">
        <v>1</v>
      </c>
      <c r="Y157" s="185"/>
      <c r="Z157" s="191"/>
      <c r="AA157" s="97">
        <v>0</v>
      </c>
      <c r="AB157" s="192">
        <v>0</v>
      </c>
      <c r="AC157" s="123"/>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c r="DP157" s="4"/>
      <c r="DQ157" s="4"/>
      <c r="DR157" s="4"/>
      <c r="DS157" s="4"/>
      <c r="DT157" s="4"/>
      <c r="DU157" s="4"/>
      <c r="DV157" s="4"/>
      <c r="DW157" s="4"/>
      <c r="DX157" s="4"/>
      <c r="DY157" s="4"/>
      <c r="DZ157" s="4"/>
      <c r="EA157" s="4"/>
      <c r="EB157" s="4"/>
      <c r="EC157" s="4"/>
      <c r="ED157" s="4"/>
      <c r="EE157" s="4"/>
      <c r="EF157" s="4"/>
      <c r="EG157" s="4"/>
      <c r="EH157" s="4"/>
      <c r="EI157" s="4"/>
      <c r="EJ157" s="4"/>
      <c r="EK157" s="4"/>
      <c r="EL157" s="4"/>
      <c r="EM157" s="4"/>
      <c r="EN157" s="4"/>
      <c r="EO157" s="4"/>
      <c r="EP157" s="4"/>
      <c r="EQ157" s="4"/>
      <c r="ER157" s="4"/>
      <c r="ES157" s="4"/>
      <c r="ET157" s="4"/>
      <c r="EU157" s="4"/>
      <c r="EV157" s="4"/>
      <c r="EW157" s="4"/>
      <c r="EX157" s="4"/>
      <c r="EY157" s="4"/>
      <c r="EZ157" s="4"/>
      <c r="FA157" s="4"/>
      <c r="FB157" s="4"/>
      <c r="FC157" s="4"/>
      <c r="FD157" s="4"/>
      <c r="FE157" s="4"/>
    </row>
    <row r="158" spans="1:161">
      <c r="A158" s="193"/>
      <c r="B158" s="193"/>
      <c r="C158" s="193">
        <v>0</v>
      </c>
      <c r="D158" s="194"/>
      <c r="E158" s="195"/>
      <c r="F158" s="195"/>
      <c r="G158" s="195"/>
      <c r="H158" s="195"/>
      <c r="I158" s="195"/>
      <c r="J158" s="195"/>
      <c r="K158" s="195"/>
      <c r="L158" s="195"/>
      <c r="M158" s="196"/>
      <c r="N158" s="196"/>
      <c r="O158" s="197"/>
      <c r="P158" s="198"/>
      <c r="Q158" s="198"/>
      <c r="R158" s="199">
        <v>0</v>
      </c>
      <c r="S158" s="199">
        <v>0</v>
      </c>
      <c r="T158" s="196"/>
      <c r="U158" s="196"/>
      <c r="V158" s="200"/>
      <c r="W158" s="201">
        <v>0</v>
      </c>
      <c r="X158" s="202"/>
      <c r="Y158" s="197"/>
      <c r="Z158" s="203"/>
      <c r="AA158" s="204"/>
      <c r="AB158" s="205"/>
      <c r="AC158" s="123"/>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c r="DP158" s="4"/>
      <c r="DQ158" s="4"/>
      <c r="DR158" s="4"/>
      <c r="DS158" s="4"/>
      <c r="DT158" s="4"/>
      <c r="DU158" s="4"/>
      <c r="DV158" s="4"/>
      <c r="DW158" s="4"/>
      <c r="DX158" s="4"/>
      <c r="DY158" s="4"/>
      <c r="DZ158" s="4"/>
      <c r="EA158" s="4"/>
      <c r="EB158" s="4"/>
      <c r="EC158" s="4"/>
      <c r="ED158" s="4"/>
      <c r="EE158" s="4"/>
      <c r="EF158" s="4"/>
      <c r="EG158" s="4"/>
      <c r="EH158" s="4"/>
      <c r="EI158" s="4"/>
      <c r="EJ158" s="4"/>
      <c r="EK158" s="4"/>
      <c r="EL158" s="4"/>
      <c r="EM158" s="4"/>
      <c r="EN158" s="4"/>
      <c r="EO158" s="4"/>
      <c r="EP158" s="4"/>
      <c r="EQ158" s="4"/>
      <c r="ER158" s="4"/>
      <c r="ES158" s="4"/>
      <c r="ET158" s="4"/>
      <c r="EU158" s="4"/>
      <c r="EV158" s="4"/>
      <c r="EW158" s="4"/>
      <c r="EX158" s="4"/>
      <c r="EY158" s="4"/>
      <c r="EZ158" s="4"/>
      <c r="FA158" s="4"/>
      <c r="FB158" s="4"/>
      <c r="FC158" s="4"/>
      <c r="FD158" s="4"/>
      <c r="FE158" s="4"/>
    </row>
    <row r="159" spans="1:161">
      <c r="A159" s="116"/>
      <c r="B159" s="116"/>
      <c r="C159" s="116">
        <v>0</v>
      </c>
      <c r="D159" s="3"/>
      <c r="E159" s="183"/>
      <c r="F159" s="183"/>
      <c r="G159" s="183"/>
      <c r="H159" s="183"/>
      <c r="I159" s="183"/>
      <c r="J159" s="183"/>
      <c r="K159" s="183"/>
      <c r="L159" s="183"/>
      <c r="M159" s="184"/>
      <c r="N159" s="184"/>
      <c r="O159" s="185"/>
      <c r="P159" s="186"/>
      <c r="Q159" s="186"/>
      <c r="R159" s="187"/>
      <c r="S159" s="187"/>
      <c r="T159" s="184"/>
      <c r="U159" s="184"/>
      <c r="V159" s="188"/>
      <c r="W159" s="189"/>
      <c r="X159" s="190"/>
      <c r="Y159" s="185"/>
      <c r="Z159" s="191"/>
      <c r="AA159" s="97"/>
      <c r="AB159" s="192"/>
    </row>
    <row r="160" spans="1:161">
      <c r="A160" s="116"/>
      <c r="B160" s="116" t="s">
        <v>1061</v>
      </c>
      <c r="C160" s="116">
        <v>1</v>
      </c>
      <c r="D160" s="3"/>
      <c r="E160" s="214"/>
      <c r="F160" s="183"/>
      <c r="G160" s="183"/>
      <c r="H160" s="183"/>
      <c r="I160" s="183"/>
      <c r="J160" s="183"/>
      <c r="K160" s="183"/>
      <c r="L160" s="183"/>
      <c r="M160" s="184"/>
      <c r="N160" s="184"/>
      <c r="O160" s="185"/>
      <c r="P160" s="186"/>
      <c r="Q160" s="186"/>
      <c r="R160" s="187"/>
      <c r="S160" s="187"/>
      <c r="T160" s="184"/>
      <c r="U160" s="184"/>
      <c r="V160" s="188"/>
      <c r="W160" s="189"/>
      <c r="X160" s="190"/>
      <c r="Y160" s="185"/>
      <c r="Z160" s="191"/>
      <c r="AA160" s="97"/>
      <c r="AB160" s="192"/>
    </row>
    <row r="161" spans="1:28">
      <c r="A161" s="116"/>
      <c r="B161" s="116"/>
      <c r="C161" s="116">
        <v>2</v>
      </c>
      <c r="D161" s="3"/>
      <c r="E161" s="214"/>
      <c r="F161" s="216"/>
      <c r="G161" s="183"/>
      <c r="H161" s="183"/>
      <c r="I161" s="183"/>
      <c r="J161" s="183"/>
      <c r="K161" s="183"/>
      <c r="L161" s="183"/>
      <c r="M161" s="184"/>
      <c r="N161" s="184"/>
      <c r="O161" s="185"/>
      <c r="P161" s="186"/>
      <c r="Q161" s="186"/>
      <c r="R161" s="187"/>
      <c r="S161" s="187"/>
      <c r="T161" s="184"/>
      <c r="U161" s="184"/>
      <c r="V161" s="188"/>
      <c r="W161" s="189"/>
      <c r="X161" s="190"/>
      <c r="Y161" s="185"/>
      <c r="Z161" s="191"/>
      <c r="AA161" s="97"/>
      <c r="AB161" s="192"/>
    </row>
    <row r="162" spans="1:28">
      <c r="A162" s="116"/>
      <c r="B162" s="116"/>
      <c r="C162" s="116">
        <v>2</v>
      </c>
      <c r="D162" s="3"/>
      <c r="E162" s="214"/>
      <c r="F162" s="216"/>
      <c r="G162" s="183"/>
      <c r="H162" s="183"/>
      <c r="I162" s="183"/>
      <c r="J162" s="183"/>
      <c r="K162" s="183"/>
      <c r="L162" s="183"/>
      <c r="M162" s="184"/>
      <c r="N162" s="184"/>
      <c r="O162" s="185"/>
      <c r="P162" s="186"/>
      <c r="Q162" s="186"/>
      <c r="R162" s="187"/>
      <c r="S162" s="187"/>
      <c r="T162" s="184"/>
      <c r="U162" s="184"/>
      <c r="V162" s="188"/>
      <c r="W162" s="189"/>
      <c r="X162" s="190"/>
      <c r="Y162" s="185"/>
      <c r="Z162" s="191"/>
      <c r="AA162" s="97"/>
      <c r="AB162" s="192"/>
    </row>
    <row r="163" spans="1:28">
      <c r="A163" s="116"/>
      <c r="B163" s="116"/>
      <c r="C163" s="116">
        <v>2</v>
      </c>
      <c r="D163" s="3"/>
      <c r="E163" s="183"/>
      <c r="F163" s="216"/>
      <c r="G163" s="183"/>
      <c r="H163" s="183"/>
      <c r="I163" s="183"/>
      <c r="J163" s="183"/>
      <c r="K163" s="183"/>
      <c r="L163" s="183"/>
      <c r="M163" s="184"/>
      <c r="N163" s="184"/>
      <c r="O163" s="185"/>
      <c r="P163" s="186"/>
      <c r="Q163" s="186"/>
      <c r="R163" s="187"/>
      <c r="S163" s="187"/>
      <c r="T163" s="184"/>
      <c r="U163" s="184"/>
      <c r="V163" s="188"/>
      <c r="W163" s="189"/>
      <c r="X163" s="190"/>
      <c r="Y163" s="185"/>
      <c r="Z163" s="191"/>
      <c r="AA163" s="97"/>
      <c r="AB163" s="192"/>
    </row>
    <row r="164" spans="1:28">
      <c r="A164" s="116"/>
      <c r="B164" s="116"/>
      <c r="C164" s="116">
        <v>2</v>
      </c>
      <c r="D164" s="3"/>
      <c r="E164" s="183"/>
      <c r="F164" s="216"/>
      <c r="G164" s="183"/>
      <c r="H164" s="183"/>
      <c r="I164" s="183"/>
      <c r="J164" s="183"/>
      <c r="K164" s="183"/>
      <c r="L164" s="183"/>
      <c r="M164" s="184"/>
      <c r="N164" s="184"/>
      <c r="O164" s="185"/>
      <c r="P164" s="186"/>
      <c r="Q164" s="186"/>
      <c r="R164" s="187"/>
      <c r="S164" s="187"/>
      <c r="T164" s="184"/>
      <c r="U164" s="184"/>
      <c r="V164" s="188"/>
      <c r="W164" s="189"/>
      <c r="X164" s="190"/>
      <c r="Y164" s="185"/>
      <c r="Z164" s="191"/>
      <c r="AA164" s="97"/>
      <c r="AB164" s="192"/>
    </row>
    <row r="165" spans="1:28">
      <c r="A165" s="116"/>
      <c r="B165" s="116"/>
      <c r="C165" s="116">
        <v>2</v>
      </c>
      <c r="D165" s="3"/>
      <c r="E165" s="183"/>
      <c r="F165" s="216"/>
      <c r="G165" s="183"/>
      <c r="H165" s="183"/>
      <c r="I165" s="183"/>
      <c r="J165" s="183"/>
      <c r="K165" s="183"/>
      <c r="L165" s="183"/>
      <c r="M165" s="184"/>
      <c r="N165" s="184"/>
      <c r="O165" s="185"/>
      <c r="P165" s="186"/>
      <c r="Q165" s="186"/>
      <c r="R165" s="187"/>
      <c r="S165" s="187"/>
      <c r="T165" s="184"/>
      <c r="U165" s="184"/>
      <c r="V165" s="188"/>
      <c r="W165" s="189"/>
      <c r="X165" s="190"/>
      <c r="Y165" s="185"/>
      <c r="Z165" s="191"/>
      <c r="AA165" s="97"/>
      <c r="AB165" s="192"/>
    </row>
    <row r="166" spans="1:28">
      <c r="A166" s="116"/>
      <c r="B166" s="116"/>
      <c r="C166" s="116">
        <v>2</v>
      </c>
      <c r="D166" s="3"/>
      <c r="E166" s="183"/>
      <c r="F166" s="216"/>
      <c r="G166" s="183"/>
      <c r="H166" s="183"/>
      <c r="I166" s="183"/>
      <c r="J166" s="183"/>
      <c r="K166" s="183"/>
      <c r="L166" s="183"/>
      <c r="M166" s="184"/>
      <c r="N166" s="184"/>
      <c r="O166" s="185"/>
      <c r="P166" s="186"/>
      <c r="Q166" s="186"/>
      <c r="R166" s="187"/>
      <c r="S166" s="187"/>
      <c r="T166" s="184"/>
      <c r="U166" s="184"/>
      <c r="V166" s="188"/>
      <c r="W166" s="189"/>
      <c r="X166" s="190"/>
      <c r="Y166" s="185"/>
      <c r="Z166" s="191"/>
      <c r="AA166" s="97"/>
      <c r="AB166" s="192"/>
    </row>
    <row r="167" spans="1:28">
      <c r="A167" s="116"/>
      <c r="B167" s="116"/>
      <c r="C167" s="116">
        <v>2</v>
      </c>
      <c r="D167" s="3"/>
      <c r="E167" s="183"/>
      <c r="F167" s="216"/>
      <c r="G167" s="183"/>
      <c r="H167" s="183"/>
      <c r="I167" s="183"/>
      <c r="J167" s="183"/>
      <c r="K167" s="183"/>
      <c r="L167" s="183"/>
      <c r="M167" s="184"/>
      <c r="N167" s="184"/>
      <c r="O167" s="185"/>
      <c r="P167" s="186"/>
      <c r="Q167" s="186"/>
      <c r="R167" s="187"/>
      <c r="S167" s="187"/>
      <c r="T167" s="184"/>
      <c r="U167" s="184"/>
      <c r="V167" s="188"/>
      <c r="W167" s="189"/>
      <c r="X167" s="190"/>
      <c r="Y167" s="185"/>
      <c r="Z167" s="191"/>
      <c r="AA167" s="97"/>
      <c r="AB167" s="192"/>
    </row>
    <row r="168" spans="1:28">
      <c r="A168" s="116"/>
      <c r="B168" s="116"/>
      <c r="C168" s="116">
        <v>2</v>
      </c>
      <c r="D168" s="3"/>
      <c r="E168" s="183"/>
      <c r="F168" s="216"/>
      <c r="G168" s="183"/>
      <c r="H168" s="183"/>
      <c r="I168" s="183"/>
      <c r="J168" s="183"/>
      <c r="K168" s="183"/>
      <c r="L168" s="183"/>
      <c r="M168" s="184"/>
      <c r="N168" s="184"/>
      <c r="O168" s="185"/>
      <c r="P168" s="186"/>
      <c r="Q168" s="186"/>
      <c r="R168" s="187"/>
      <c r="S168" s="187"/>
      <c r="T168" s="184"/>
      <c r="U168" s="184"/>
      <c r="V168" s="188"/>
      <c r="W168" s="189"/>
      <c r="X168" s="190"/>
      <c r="Y168" s="185"/>
      <c r="Z168" s="191"/>
      <c r="AA168" s="97"/>
      <c r="AB168" s="192"/>
    </row>
    <row r="169" spans="1:28">
      <c r="A169" s="116"/>
      <c r="B169" s="116"/>
      <c r="C169" s="116">
        <v>2</v>
      </c>
      <c r="D169" s="3"/>
      <c r="E169" s="183"/>
      <c r="F169" s="216"/>
      <c r="G169" s="183"/>
      <c r="H169" s="183"/>
      <c r="I169" s="183"/>
      <c r="J169" s="183"/>
      <c r="K169" s="183"/>
      <c r="L169" s="183"/>
      <c r="M169" s="184"/>
      <c r="N169" s="184"/>
      <c r="O169" s="185"/>
      <c r="P169" s="186"/>
      <c r="Q169" s="186"/>
      <c r="R169" s="187"/>
      <c r="S169" s="187"/>
      <c r="T169" s="184"/>
      <c r="U169" s="184"/>
      <c r="V169" s="188"/>
      <c r="W169" s="189"/>
      <c r="X169" s="190"/>
      <c r="Y169" s="185"/>
      <c r="Z169" s="191"/>
      <c r="AA169" s="97"/>
      <c r="AB169" s="192"/>
    </row>
    <row r="170" spans="1:28">
      <c r="A170" s="116"/>
      <c r="B170" s="116"/>
      <c r="C170" s="116">
        <v>2</v>
      </c>
      <c r="D170" s="3"/>
      <c r="E170" s="183"/>
      <c r="F170" s="216"/>
      <c r="G170" s="183"/>
      <c r="H170" s="183"/>
      <c r="I170" s="183"/>
      <c r="J170" s="183"/>
      <c r="K170" s="183"/>
      <c r="L170" s="183"/>
      <c r="M170" s="184"/>
      <c r="N170" s="184"/>
      <c r="O170" s="185"/>
      <c r="P170" s="186"/>
      <c r="Q170" s="186"/>
      <c r="R170" s="187"/>
      <c r="S170" s="187"/>
      <c r="T170" s="184"/>
      <c r="U170" s="184"/>
      <c r="V170" s="188"/>
      <c r="W170" s="189"/>
      <c r="X170" s="190"/>
      <c r="Y170" s="185"/>
      <c r="Z170" s="191"/>
      <c r="AA170" s="97"/>
      <c r="AB170" s="192"/>
    </row>
    <row r="171" spans="1:28">
      <c r="A171" s="116"/>
      <c r="B171" s="116"/>
      <c r="C171" s="116">
        <v>2</v>
      </c>
      <c r="D171" s="3"/>
      <c r="E171" s="183"/>
      <c r="F171" s="216"/>
      <c r="G171" s="183"/>
      <c r="H171" s="183"/>
      <c r="I171" s="183"/>
      <c r="J171" s="183"/>
      <c r="K171" s="183"/>
      <c r="L171" s="183"/>
      <c r="M171" s="184"/>
      <c r="N171" s="184"/>
      <c r="O171" s="185"/>
      <c r="P171" s="186"/>
      <c r="Q171" s="186"/>
      <c r="R171" s="187"/>
      <c r="S171" s="187"/>
      <c r="T171" s="184"/>
      <c r="U171" s="184"/>
      <c r="V171" s="188"/>
      <c r="W171" s="189"/>
      <c r="X171" s="190"/>
      <c r="Y171" s="185"/>
      <c r="Z171" s="191"/>
      <c r="AA171" s="97"/>
      <c r="AB171" s="192"/>
    </row>
    <row r="172" spans="1:28">
      <c r="A172" s="116"/>
      <c r="B172" s="116"/>
      <c r="C172" s="116">
        <v>2</v>
      </c>
      <c r="D172" s="3"/>
      <c r="E172" s="183"/>
      <c r="F172" s="216"/>
      <c r="G172" s="183"/>
      <c r="H172" s="183"/>
      <c r="I172" s="183"/>
      <c r="J172" s="183"/>
      <c r="K172" s="183"/>
      <c r="L172" s="183"/>
      <c r="M172" s="184"/>
      <c r="N172" s="184"/>
      <c r="O172" s="185"/>
      <c r="P172" s="186"/>
      <c r="Q172" s="186"/>
      <c r="R172" s="187"/>
      <c r="S172" s="187"/>
      <c r="T172" s="184"/>
      <c r="U172" s="184"/>
      <c r="V172" s="188"/>
      <c r="W172" s="189"/>
      <c r="X172" s="190"/>
      <c r="Y172" s="185"/>
      <c r="Z172" s="191"/>
      <c r="AA172" s="97"/>
      <c r="AB172" s="192"/>
    </row>
    <row r="173" spans="1:28">
      <c r="A173" s="116"/>
      <c r="B173" s="116"/>
      <c r="C173" s="116">
        <v>2</v>
      </c>
      <c r="D173" s="3"/>
      <c r="E173" s="183"/>
      <c r="F173" s="216"/>
      <c r="G173" s="183"/>
      <c r="H173" s="183"/>
      <c r="I173" s="183"/>
      <c r="J173" s="183"/>
      <c r="K173" s="183"/>
      <c r="L173" s="183"/>
      <c r="M173" s="184"/>
      <c r="N173" s="184"/>
      <c r="O173" s="185"/>
      <c r="P173" s="186"/>
      <c r="Q173" s="186"/>
      <c r="R173" s="187"/>
      <c r="S173" s="187"/>
      <c r="T173" s="184"/>
      <c r="U173" s="184"/>
      <c r="V173" s="188"/>
      <c r="W173" s="189"/>
      <c r="X173" s="190"/>
      <c r="Y173" s="185"/>
      <c r="Z173" s="191"/>
      <c r="AA173" s="97"/>
      <c r="AB173" s="192"/>
    </row>
    <row r="174" spans="1:28">
      <c r="A174" s="116"/>
      <c r="B174" s="116"/>
      <c r="C174" s="116">
        <v>2</v>
      </c>
      <c r="D174" s="3"/>
      <c r="E174" s="183"/>
      <c r="F174" s="216"/>
      <c r="G174" s="183"/>
      <c r="H174" s="183"/>
      <c r="I174" s="183"/>
      <c r="J174" s="183"/>
      <c r="K174" s="183"/>
      <c r="L174" s="183"/>
      <c r="M174" s="184"/>
      <c r="N174" s="184"/>
      <c r="O174" s="185"/>
      <c r="P174" s="186"/>
      <c r="Q174" s="186"/>
      <c r="R174" s="187"/>
      <c r="S174" s="187"/>
      <c r="T174" s="184"/>
      <c r="U174" s="184"/>
      <c r="V174" s="188"/>
      <c r="W174" s="189"/>
      <c r="X174" s="190"/>
      <c r="Y174" s="185"/>
      <c r="Z174" s="191"/>
      <c r="AA174" s="97"/>
      <c r="AB174" s="192"/>
    </row>
    <row r="175" spans="1:28">
      <c r="A175" s="116"/>
      <c r="B175" s="116"/>
      <c r="C175" s="116">
        <v>2</v>
      </c>
      <c r="D175" s="3"/>
      <c r="E175" s="183"/>
      <c r="F175" s="216"/>
      <c r="G175" s="183"/>
      <c r="H175" s="183"/>
      <c r="I175" s="183"/>
      <c r="J175" s="183"/>
      <c r="K175" s="183"/>
      <c r="L175" s="183"/>
      <c r="M175" s="184"/>
      <c r="N175" s="184"/>
      <c r="O175" s="185"/>
      <c r="P175" s="186"/>
      <c r="Q175" s="186"/>
      <c r="R175" s="187"/>
      <c r="S175" s="187"/>
      <c r="T175" s="184"/>
      <c r="U175" s="184"/>
      <c r="V175" s="188"/>
      <c r="W175" s="189"/>
      <c r="X175" s="190"/>
      <c r="Y175" s="185"/>
      <c r="Z175" s="191"/>
      <c r="AA175" s="97"/>
      <c r="AB175" s="192"/>
    </row>
    <row r="176" spans="1:28">
      <c r="A176" s="116"/>
      <c r="B176" s="116"/>
      <c r="C176" s="116">
        <v>2</v>
      </c>
      <c r="D176" s="3"/>
      <c r="E176" s="183"/>
      <c r="F176" s="216"/>
      <c r="G176" s="183"/>
      <c r="H176" s="183"/>
      <c r="I176" s="183"/>
      <c r="J176" s="183"/>
      <c r="K176" s="183"/>
      <c r="L176" s="183"/>
      <c r="M176" s="184"/>
      <c r="N176" s="184"/>
      <c r="O176" s="185"/>
      <c r="P176" s="186"/>
      <c r="Q176" s="186"/>
      <c r="R176" s="187"/>
      <c r="S176" s="187"/>
      <c r="T176" s="184"/>
      <c r="U176" s="184"/>
      <c r="V176" s="188"/>
      <c r="W176" s="189"/>
      <c r="X176" s="190"/>
      <c r="Y176" s="185"/>
      <c r="Z176" s="191"/>
      <c r="AA176" s="97"/>
      <c r="AB176" s="192"/>
    </row>
    <row r="177" spans="1:28">
      <c r="A177" s="116"/>
      <c r="B177" s="116"/>
      <c r="C177" s="116">
        <v>0</v>
      </c>
      <c r="D177" s="3"/>
      <c r="E177" s="183"/>
      <c r="F177" s="216"/>
      <c r="G177" s="183"/>
      <c r="H177" s="183"/>
      <c r="I177" s="183"/>
      <c r="J177" s="183"/>
      <c r="K177" s="183"/>
      <c r="L177" s="183"/>
      <c r="M177" s="184"/>
      <c r="N177" s="184"/>
      <c r="O177" s="185"/>
      <c r="P177" s="186"/>
      <c r="Q177" s="186"/>
      <c r="R177" s="187"/>
      <c r="S177" s="187"/>
      <c r="T177" s="184"/>
      <c r="U177" s="184"/>
      <c r="V177" s="188"/>
      <c r="W177" s="189"/>
      <c r="X177" s="190"/>
      <c r="Y177" s="185"/>
      <c r="Z177" s="191"/>
      <c r="AA177" s="97"/>
      <c r="AB177" s="192"/>
    </row>
    <row r="178" spans="1:28">
      <c r="A178" s="116"/>
      <c r="B178" s="116"/>
      <c r="C178" s="116">
        <v>0</v>
      </c>
      <c r="D178" s="3"/>
      <c r="E178" s="183"/>
      <c r="F178" s="183"/>
      <c r="G178" s="183"/>
      <c r="H178" s="183"/>
      <c r="I178" s="183"/>
      <c r="J178" s="183"/>
      <c r="K178" s="183"/>
      <c r="L178" s="183"/>
      <c r="M178" s="184"/>
      <c r="N178" s="184"/>
      <c r="O178" s="185"/>
      <c r="P178" s="186"/>
      <c r="Q178" s="186"/>
      <c r="R178" s="187"/>
      <c r="S178" s="187"/>
      <c r="T178" s="184"/>
      <c r="U178" s="184"/>
      <c r="V178" s="188"/>
      <c r="W178" s="189"/>
      <c r="X178" s="190"/>
      <c r="Y178" s="185"/>
      <c r="Z178" s="191"/>
      <c r="AA178" s="97"/>
      <c r="AB178" s="192"/>
    </row>
    <row r="179" spans="1:28">
      <c r="A179" s="116"/>
      <c r="B179" s="116" t="s">
        <v>1061</v>
      </c>
      <c r="C179" s="116">
        <v>1</v>
      </c>
      <c r="D179" s="3"/>
      <c r="E179" s="214"/>
      <c r="F179" s="183"/>
      <c r="G179" s="183"/>
      <c r="H179" s="183"/>
      <c r="I179" s="183"/>
      <c r="J179" s="183"/>
      <c r="K179" s="183"/>
      <c r="L179" s="183"/>
      <c r="M179" s="184"/>
      <c r="N179" s="184"/>
      <c r="O179" s="185"/>
      <c r="P179" s="186"/>
      <c r="Q179" s="186"/>
      <c r="R179" s="187"/>
      <c r="S179" s="187"/>
      <c r="T179" s="184"/>
      <c r="U179" s="184"/>
      <c r="V179" s="188"/>
      <c r="W179" s="189"/>
      <c r="X179" s="190"/>
      <c r="Y179" s="185"/>
      <c r="Z179" s="191"/>
      <c r="AA179" s="97"/>
      <c r="AB179" s="192"/>
    </row>
    <row r="180" spans="1:28">
      <c r="A180" s="116"/>
      <c r="B180" s="116" t="s">
        <v>1061</v>
      </c>
      <c r="C180" s="116">
        <v>2</v>
      </c>
      <c r="D180" s="3"/>
      <c r="E180" s="214"/>
      <c r="F180" s="216"/>
      <c r="G180" s="216"/>
      <c r="H180" s="183"/>
      <c r="I180" s="183"/>
      <c r="J180" s="183"/>
      <c r="K180" s="183"/>
      <c r="L180" s="183"/>
      <c r="M180" s="184"/>
      <c r="N180" s="184"/>
      <c r="O180" s="185"/>
      <c r="P180" s="186"/>
      <c r="Q180" s="186"/>
      <c r="R180" s="187"/>
      <c r="S180" s="187"/>
      <c r="T180" s="184"/>
      <c r="U180" s="184"/>
      <c r="V180" s="188"/>
      <c r="W180" s="189"/>
      <c r="X180" s="190"/>
      <c r="Y180" s="185"/>
      <c r="Z180" s="191"/>
      <c r="AA180" s="97"/>
      <c r="AB180" s="192"/>
    </row>
    <row r="181" spans="1:28">
      <c r="A181" s="116"/>
      <c r="B181" s="116"/>
      <c r="C181" s="116">
        <v>3</v>
      </c>
      <c r="D181" s="3"/>
      <c r="E181" s="214"/>
      <c r="F181" s="216"/>
      <c r="G181" s="216"/>
      <c r="H181" s="183"/>
      <c r="I181" s="183"/>
      <c r="J181" s="183"/>
      <c r="K181" s="183"/>
      <c r="L181" s="183"/>
      <c r="M181" s="184"/>
      <c r="N181" s="184"/>
      <c r="O181" s="185"/>
      <c r="P181" s="186"/>
      <c r="Q181" s="186"/>
      <c r="R181" s="187"/>
      <c r="S181" s="187"/>
      <c r="T181" s="184"/>
      <c r="U181" s="184"/>
      <c r="V181" s="188"/>
      <c r="W181" s="189"/>
      <c r="X181" s="190"/>
      <c r="Y181" s="185"/>
      <c r="Z181" s="191"/>
      <c r="AA181" s="97"/>
      <c r="AB181" s="192"/>
    </row>
    <row r="182" spans="1:28">
      <c r="A182" s="116"/>
      <c r="B182" s="116"/>
      <c r="C182" s="116">
        <v>3</v>
      </c>
      <c r="D182" s="3"/>
      <c r="E182" s="214"/>
      <c r="F182" s="216"/>
      <c r="G182" s="216"/>
      <c r="H182" s="183"/>
      <c r="I182" s="183"/>
      <c r="J182" s="183"/>
      <c r="K182" s="183"/>
      <c r="L182" s="183"/>
      <c r="M182" s="184"/>
      <c r="N182" s="184"/>
      <c r="O182" s="185"/>
      <c r="P182" s="186"/>
      <c r="Q182" s="186"/>
      <c r="R182" s="187"/>
      <c r="S182" s="187"/>
      <c r="T182" s="184"/>
      <c r="U182" s="184"/>
      <c r="V182" s="188"/>
      <c r="W182" s="189"/>
      <c r="X182" s="190"/>
      <c r="Y182" s="185"/>
      <c r="Z182" s="191"/>
      <c r="AA182" s="97"/>
      <c r="AB182" s="192"/>
    </row>
    <row r="183" spans="1:28">
      <c r="A183" s="116"/>
      <c r="B183" s="116"/>
      <c r="C183" s="116">
        <v>3</v>
      </c>
      <c r="D183" s="3"/>
      <c r="E183" s="214"/>
      <c r="F183" s="216"/>
      <c r="G183" s="216"/>
      <c r="H183" s="183"/>
      <c r="I183" s="183"/>
      <c r="J183" s="183"/>
      <c r="K183" s="183"/>
      <c r="L183" s="183"/>
      <c r="M183" s="184"/>
      <c r="N183" s="184"/>
      <c r="O183" s="185"/>
      <c r="P183" s="186"/>
      <c r="Q183" s="186"/>
      <c r="R183" s="187"/>
      <c r="S183" s="187"/>
      <c r="T183" s="184"/>
      <c r="U183" s="184"/>
      <c r="V183" s="188"/>
      <c r="W183" s="189"/>
      <c r="X183" s="190"/>
      <c r="Y183" s="185"/>
      <c r="Z183" s="191"/>
      <c r="AA183" s="97"/>
      <c r="AB183" s="192"/>
    </row>
    <row r="184" spans="1:28">
      <c r="A184" s="116"/>
      <c r="B184" s="116"/>
      <c r="C184" s="116">
        <v>3</v>
      </c>
      <c r="D184" s="3"/>
      <c r="E184" s="214"/>
      <c r="F184" s="216"/>
      <c r="G184" s="216"/>
      <c r="H184" s="183"/>
      <c r="I184" s="183"/>
      <c r="J184" s="183"/>
      <c r="K184" s="183"/>
      <c r="L184" s="183"/>
      <c r="M184" s="184"/>
      <c r="N184" s="184"/>
      <c r="O184" s="185"/>
      <c r="P184" s="186"/>
      <c r="Q184" s="186"/>
      <c r="R184" s="187"/>
      <c r="S184" s="187"/>
      <c r="T184" s="184"/>
      <c r="U184" s="184"/>
      <c r="V184" s="188"/>
      <c r="W184" s="189"/>
      <c r="X184" s="190"/>
      <c r="Y184" s="185"/>
      <c r="Z184" s="191"/>
      <c r="AA184" s="97"/>
      <c r="AB184" s="192"/>
    </row>
    <row r="185" spans="1:28">
      <c r="A185" s="116"/>
      <c r="B185" s="116"/>
      <c r="C185" s="116">
        <v>0</v>
      </c>
      <c r="D185" s="3"/>
      <c r="E185" s="214"/>
      <c r="F185" s="216"/>
      <c r="G185" s="216"/>
      <c r="H185" s="183"/>
      <c r="I185" s="183"/>
      <c r="J185" s="183"/>
      <c r="K185" s="183"/>
      <c r="L185" s="183"/>
      <c r="M185" s="184"/>
      <c r="N185" s="184"/>
      <c r="O185" s="185"/>
      <c r="P185" s="186"/>
      <c r="Q185" s="186"/>
      <c r="R185" s="187"/>
      <c r="S185" s="187"/>
      <c r="T185" s="184"/>
      <c r="U185" s="184"/>
      <c r="V185" s="188"/>
      <c r="W185" s="189"/>
      <c r="X185" s="190"/>
      <c r="Y185" s="185"/>
      <c r="Z185" s="191"/>
      <c r="AA185" s="97"/>
      <c r="AB185" s="192"/>
    </row>
    <row r="186" spans="1:28">
      <c r="A186" s="116"/>
      <c r="B186" s="116" t="s">
        <v>1061</v>
      </c>
      <c r="C186" s="116">
        <v>2</v>
      </c>
      <c r="D186" s="3"/>
      <c r="E186" s="214"/>
      <c r="F186" s="216"/>
      <c r="G186" s="216"/>
      <c r="H186" s="183"/>
      <c r="I186" s="183"/>
      <c r="J186" s="183"/>
      <c r="K186" s="183"/>
      <c r="L186" s="183"/>
      <c r="M186" s="184"/>
      <c r="N186" s="184"/>
      <c r="O186" s="185"/>
      <c r="P186" s="186"/>
      <c r="Q186" s="186"/>
      <c r="R186" s="187"/>
      <c r="S186" s="187"/>
      <c r="T186" s="184"/>
      <c r="U186" s="184"/>
      <c r="V186" s="188"/>
      <c r="W186" s="189"/>
      <c r="X186" s="190"/>
      <c r="Y186" s="185"/>
      <c r="Z186" s="191"/>
      <c r="AA186" s="97"/>
      <c r="AB186" s="192"/>
    </row>
    <row r="187" spans="1:28">
      <c r="A187" s="116"/>
      <c r="B187" s="116"/>
      <c r="C187" s="116">
        <v>3</v>
      </c>
      <c r="D187" s="3"/>
      <c r="E187" s="214"/>
      <c r="F187" s="216"/>
      <c r="G187" s="216"/>
      <c r="H187" s="183"/>
      <c r="I187" s="183"/>
      <c r="J187" s="183"/>
      <c r="K187" s="183"/>
      <c r="L187" s="183"/>
      <c r="M187" s="184"/>
      <c r="N187" s="184"/>
      <c r="O187" s="185"/>
      <c r="P187" s="186"/>
      <c r="Q187" s="186"/>
      <c r="R187" s="187"/>
      <c r="S187" s="187"/>
      <c r="T187" s="184"/>
      <c r="U187" s="184"/>
      <c r="V187" s="188"/>
      <c r="W187" s="189"/>
      <c r="X187" s="190"/>
      <c r="Y187" s="185"/>
      <c r="Z187" s="191"/>
      <c r="AA187" s="97"/>
      <c r="AB187" s="192"/>
    </row>
    <row r="188" spans="1:28">
      <c r="A188" s="116"/>
      <c r="B188" s="116"/>
      <c r="C188" s="116">
        <v>3</v>
      </c>
      <c r="D188" s="3"/>
      <c r="E188" s="214"/>
      <c r="F188" s="216"/>
      <c r="G188" s="216"/>
      <c r="H188" s="183"/>
      <c r="I188" s="183"/>
      <c r="J188" s="183"/>
      <c r="K188" s="183"/>
      <c r="L188" s="183"/>
      <c r="M188" s="184"/>
      <c r="N188" s="184"/>
      <c r="O188" s="185"/>
      <c r="P188" s="186"/>
      <c r="Q188" s="186"/>
      <c r="R188" s="187"/>
      <c r="S188" s="187"/>
      <c r="T188" s="184"/>
      <c r="U188" s="184"/>
      <c r="V188" s="188"/>
      <c r="W188" s="189"/>
      <c r="X188" s="190"/>
      <c r="Y188" s="185"/>
      <c r="Z188" s="191"/>
      <c r="AA188" s="97"/>
      <c r="AB188" s="192"/>
    </row>
    <row r="189" spans="1:28">
      <c r="A189" s="116"/>
      <c r="B189" s="116"/>
      <c r="C189" s="116">
        <v>3</v>
      </c>
      <c r="D189" s="3"/>
      <c r="E189" s="214"/>
      <c r="F189" s="216"/>
      <c r="G189" s="216"/>
      <c r="H189" s="183"/>
      <c r="I189" s="183"/>
      <c r="J189" s="183"/>
      <c r="K189" s="183"/>
      <c r="L189" s="183"/>
      <c r="M189" s="184"/>
      <c r="N189" s="184"/>
      <c r="O189" s="185"/>
      <c r="P189" s="186"/>
      <c r="Q189" s="186"/>
      <c r="R189" s="187"/>
      <c r="S189" s="187"/>
      <c r="T189" s="184"/>
      <c r="U189" s="184"/>
      <c r="V189" s="188"/>
      <c r="W189" s="189"/>
      <c r="X189" s="190"/>
      <c r="Y189" s="185"/>
      <c r="Z189" s="191"/>
      <c r="AA189" s="97"/>
      <c r="AB189" s="192"/>
    </row>
    <row r="190" spans="1:28">
      <c r="A190" s="116"/>
      <c r="B190" s="116"/>
      <c r="C190" s="116">
        <v>3</v>
      </c>
      <c r="D190" s="3"/>
      <c r="E190" s="214"/>
      <c r="F190" s="216"/>
      <c r="G190" s="216"/>
      <c r="H190" s="183"/>
      <c r="I190" s="183"/>
      <c r="J190" s="183"/>
      <c r="K190" s="183"/>
      <c r="L190" s="183"/>
      <c r="M190" s="184"/>
      <c r="N190" s="184"/>
      <c r="O190" s="185"/>
      <c r="P190" s="186"/>
      <c r="Q190" s="186"/>
      <c r="R190" s="187"/>
      <c r="S190" s="187"/>
      <c r="T190" s="184"/>
      <c r="U190" s="184"/>
      <c r="V190" s="188"/>
      <c r="W190" s="189"/>
      <c r="X190" s="190"/>
      <c r="Y190" s="185"/>
      <c r="Z190" s="191"/>
      <c r="AA190" s="97"/>
      <c r="AB190" s="192"/>
    </row>
    <row r="191" spans="1:28">
      <c r="A191" s="116"/>
      <c r="B191" s="116"/>
      <c r="C191" s="116">
        <v>0</v>
      </c>
      <c r="D191" s="3"/>
      <c r="E191" s="214"/>
      <c r="F191" s="216"/>
      <c r="G191" s="216"/>
      <c r="H191" s="183"/>
      <c r="I191" s="183"/>
      <c r="J191" s="183"/>
      <c r="K191" s="183"/>
      <c r="L191" s="183"/>
      <c r="M191" s="184"/>
      <c r="N191" s="184"/>
      <c r="O191" s="185"/>
      <c r="P191" s="186"/>
      <c r="Q191" s="186"/>
      <c r="R191" s="187"/>
      <c r="S191" s="187"/>
      <c r="T191" s="184"/>
      <c r="U191" s="184"/>
      <c r="V191" s="188"/>
      <c r="W191" s="189"/>
      <c r="X191" s="190"/>
      <c r="Y191" s="185"/>
      <c r="Z191" s="191"/>
      <c r="AA191" s="97"/>
      <c r="AB191" s="192"/>
    </row>
    <row r="192" spans="1:28">
      <c r="A192" s="116"/>
      <c r="B192" s="116" t="s">
        <v>1061</v>
      </c>
      <c r="C192" s="116">
        <v>2</v>
      </c>
      <c r="D192" s="3"/>
      <c r="E192" s="214"/>
      <c r="F192" s="216"/>
      <c r="G192" s="216"/>
      <c r="H192" s="183"/>
      <c r="I192" s="183"/>
      <c r="J192" s="183"/>
      <c r="K192" s="183"/>
      <c r="L192" s="183"/>
      <c r="M192" s="184"/>
      <c r="N192" s="184"/>
      <c r="O192" s="185"/>
      <c r="P192" s="186"/>
      <c r="Q192" s="186"/>
      <c r="R192" s="187"/>
      <c r="S192" s="187"/>
      <c r="T192" s="184"/>
      <c r="U192" s="184"/>
      <c r="V192" s="188"/>
      <c r="W192" s="189"/>
      <c r="X192" s="190"/>
      <c r="Y192" s="185"/>
      <c r="Z192" s="191"/>
      <c r="AA192" s="97"/>
      <c r="AB192" s="192"/>
    </row>
    <row r="193" spans="1:28">
      <c r="A193" s="116"/>
      <c r="B193" s="116"/>
      <c r="C193" s="116">
        <v>3</v>
      </c>
      <c r="D193" s="3"/>
      <c r="E193" s="214"/>
      <c r="F193" s="216"/>
      <c r="G193" s="216"/>
      <c r="H193" s="183"/>
      <c r="I193" s="183"/>
      <c r="J193" s="183"/>
      <c r="K193" s="183"/>
      <c r="L193" s="183"/>
      <c r="M193" s="184"/>
      <c r="N193" s="184"/>
      <c r="O193" s="185"/>
      <c r="P193" s="186"/>
      <c r="Q193" s="186"/>
      <c r="R193" s="187"/>
      <c r="S193" s="187"/>
      <c r="T193" s="184"/>
      <c r="U193" s="184"/>
      <c r="V193" s="188"/>
      <c r="W193" s="189"/>
      <c r="X193" s="190"/>
      <c r="Y193" s="185"/>
      <c r="Z193" s="191"/>
      <c r="AA193" s="97"/>
      <c r="AB193" s="192"/>
    </row>
    <row r="194" spans="1:28">
      <c r="A194" s="116"/>
      <c r="B194" s="116"/>
      <c r="C194" s="116">
        <v>3</v>
      </c>
      <c r="D194" s="3"/>
      <c r="E194" s="214"/>
      <c r="F194" s="216"/>
      <c r="G194" s="216"/>
      <c r="H194" s="183"/>
      <c r="I194" s="183"/>
      <c r="J194" s="183"/>
      <c r="K194" s="183"/>
      <c r="L194" s="183"/>
      <c r="M194" s="184"/>
      <c r="N194" s="184"/>
      <c r="O194" s="185"/>
      <c r="P194" s="186"/>
      <c r="Q194" s="186"/>
      <c r="R194" s="187"/>
      <c r="S194" s="187"/>
      <c r="T194" s="184"/>
      <c r="U194" s="184"/>
      <c r="V194" s="188"/>
      <c r="W194" s="189"/>
      <c r="X194" s="190"/>
      <c r="Y194" s="185"/>
      <c r="Z194" s="191"/>
      <c r="AA194" s="97"/>
      <c r="AB194" s="192"/>
    </row>
    <row r="195" spans="1:28">
      <c r="A195" s="116"/>
      <c r="B195" s="116"/>
      <c r="C195" s="116">
        <v>3</v>
      </c>
      <c r="D195" s="3"/>
      <c r="E195" s="214"/>
      <c r="F195" s="216"/>
      <c r="G195" s="216"/>
      <c r="H195" s="183"/>
      <c r="I195" s="183"/>
      <c r="J195" s="183"/>
      <c r="K195" s="183"/>
      <c r="L195" s="183"/>
      <c r="M195" s="184"/>
      <c r="N195" s="184"/>
      <c r="O195" s="185"/>
      <c r="P195" s="186"/>
      <c r="Q195" s="186"/>
      <c r="R195" s="187"/>
      <c r="S195" s="187"/>
      <c r="T195" s="184"/>
      <c r="U195" s="184"/>
      <c r="V195" s="188"/>
      <c r="W195" s="189"/>
      <c r="X195" s="190"/>
      <c r="Y195" s="185"/>
      <c r="Z195" s="191"/>
      <c r="AA195" s="97"/>
      <c r="AB195" s="192"/>
    </row>
    <row r="196" spans="1:28">
      <c r="A196" s="116"/>
      <c r="B196" s="116"/>
      <c r="C196" s="116">
        <v>3</v>
      </c>
      <c r="D196" s="3"/>
      <c r="E196" s="214"/>
      <c r="F196" s="216"/>
      <c r="G196" s="216"/>
      <c r="H196" s="183"/>
      <c r="I196" s="183"/>
      <c r="J196" s="183"/>
      <c r="K196" s="183"/>
      <c r="L196" s="183"/>
      <c r="M196" s="184"/>
      <c r="N196" s="184"/>
      <c r="O196" s="185"/>
      <c r="P196" s="186"/>
      <c r="Q196" s="186"/>
      <c r="R196" s="187"/>
      <c r="S196" s="187"/>
      <c r="T196" s="184"/>
      <c r="U196" s="184"/>
      <c r="V196" s="188"/>
      <c r="W196" s="189"/>
      <c r="X196" s="190"/>
      <c r="Y196" s="185"/>
      <c r="Z196" s="191"/>
      <c r="AA196" s="97"/>
      <c r="AB196" s="192"/>
    </row>
    <row r="197" spans="1:28">
      <c r="A197" s="116"/>
      <c r="B197" s="116"/>
      <c r="C197" s="116">
        <v>0</v>
      </c>
      <c r="D197" s="3"/>
      <c r="E197" s="214"/>
      <c r="F197" s="216"/>
      <c r="G197" s="216"/>
      <c r="H197" s="183"/>
      <c r="I197" s="183"/>
      <c r="J197" s="183"/>
      <c r="K197" s="183"/>
      <c r="L197" s="183"/>
      <c r="M197" s="184"/>
      <c r="N197" s="184"/>
      <c r="O197" s="185"/>
      <c r="P197" s="186"/>
      <c r="Q197" s="186"/>
      <c r="R197" s="187"/>
      <c r="S197" s="187"/>
      <c r="T197" s="184"/>
      <c r="U197" s="184"/>
      <c r="V197" s="188"/>
      <c r="W197" s="189"/>
      <c r="X197" s="190"/>
      <c r="Y197" s="185"/>
      <c r="Z197" s="191"/>
      <c r="AA197" s="97"/>
      <c r="AB197" s="192"/>
    </row>
    <row r="198" spans="1:28">
      <c r="A198" s="116"/>
      <c r="B198" s="116" t="s">
        <v>1061</v>
      </c>
      <c r="C198" s="116">
        <v>2</v>
      </c>
      <c r="D198" s="3"/>
      <c r="E198" s="214"/>
      <c r="F198" s="216"/>
      <c r="G198" s="216"/>
      <c r="H198" s="183"/>
      <c r="I198" s="183"/>
      <c r="J198" s="183"/>
      <c r="K198" s="183"/>
      <c r="L198" s="183"/>
      <c r="M198" s="184"/>
      <c r="N198" s="184"/>
      <c r="O198" s="185"/>
      <c r="P198" s="186"/>
      <c r="Q198" s="186"/>
      <c r="R198" s="187"/>
      <c r="S198" s="187"/>
      <c r="T198" s="184"/>
      <c r="U198" s="184"/>
      <c r="V198" s="188"/>
      <c r="W198" s="189"/>
      <c r="X198" s="190"/>
      <c r="Y198" s="185"/>
      <c r="Z198" s="191"/>
      <c r="AA198" s="97"/>
      <c r="AB198" s="192"/>
    </row>
    <row r="199" spans="1:28">
      <c r="A199" s="116"/>
      <c r="B199" s="116"/>
      <c r="C199" s="116">
        <v>3</v>
      </c>
      <c r="D199" s="3"/>
      <c r="E199" s="214"/>
      <c r="F199" s="216"/>
      <c r="G199" s="216"/>
      <c r="H199" s="183"/>
      <c r="I199" s="183"/>
      <c r="J199" s="183"/>
      <c r="K199" s="183"/>
      <c r="L199" s="183"/>
      <c r="M199" s="184"/>
      <c r="N199" s="184"/>
      <c r="O199" s="185"/>
      <c r="P199" s="186"/>
      <c r="Q199" s="186"/>
      <c r="R199" s="187"/>
      <c r="S199" s="187"/>
      <c r="T199" s="184"/>
      <c r="U199" s="184"/>
      <c r="V199" s="188"/>
      <c r="W199" s="189"/>
      <c r="X199" s="190"/>
      <c r="Y199" s="185"/>
      <c r="Z199" s="191"/>
      <c r="AA199" s="97"/>
      <c r="AB199" s="192"/>
    </row>
    <row r="200" spans="1:28">
      <c r="A200" s="116"/>
      <c r="B200" s="116"/>
      <c r="C200" s="116">
        <v>3</v>
      </c>
      <c r="D200" s="3"/>
      <c r="E200" s="214"/>
      <c r="F200" s="216"/>
      <c r="G200" s="216"/>
      <c r="H200" s="183"/>
      <c r="I200" s="183"/>
      <c r="J200" s="183"/>
      <c r="K200" s="183"/>
      <c r="L200" s="183"/>
      <c r="M200" s="184"/>
      <c r="N200" s="184"/>
      <c r="O200" s="185"/>
      <c r="P200" s="186"/>
      <c r="Q200" s="186"/>
      <c r="R200" s="187"/>
      <c r="S200" s="187"/>
      <c r="T200" s="184"/>
      <c r="U200" s="184"/>
      <c r="V200" s="188"/>
      <c r="W200" s="189"/>
      <c r="X200" s="190"/>
      <c r="Y200" s="185"/>
      <c r="Z200" s="191"/>
      <c r="AA200" s="97"/>
      <c r="AB200" s="192"/>
    </row>
    <row r="201" spans="1:28">
      <c r="A201" s="116"/>
      <c r="B201" s="116"/>
      <c r="C201" s="116">
        <v>3</v>
      </c>
      <c r="D201" s="3"/>
      <c r="E201" s="214"/>
      <c r="F201" s="216"/>
      <c r="G201" s="216"/>
      <c r="H201" s="183"/>
      <c r="I201" s="183"/>
      <c r="J201" s="183"/>
      <c r="K201" s="183"/>
      <c r="L201" s="183"/>
      <c r="M201" s="184"/>
      <c r="N201" s="184"/>
      <c r="O201" s="185"/>
      <c r="P201" s="186"/>
      <c r="Q201" s="186"/>
      <c r="R201" s="187"/>
      <c r="S201" s="187"/>
      <c r="T201" s="184"/>
      <c r="U201" s="184"/>
      <c r="V201" s="188"/>
      <c r="W201" s="189"/>
      <c r="X201" s="190"/>
      <c r="Y201" s="185"/>
      <c r="Z201" s="191"/>
      <c r="AA201" s="97"/>
      <c r="AB201" s="192"/>
    </row>
    <row r="202" spans="1:28">
      <c r="A202" s="116"/>
      <c r="B202" s="116"/>
      <c r="C202" s="116">
        <v>3</v>
      </c>
      <c r="D202" s="3"/>
      <c r="E202" s="214"/>
      <c r="F202" s="216"/>
      <c r="G202" s="216"/>
      <c r="H202" s="183"/>
      <c r="I202" s="183"/>
      <c r="J202" s="183"/>
      <c r="K202" s="183"/>
      <c r="L202" s="183"/>
      <c r="M202" s="184"/>
      <c r="N202" s="184"/>
      <c r="O202" s="185"/>
      <c r="P202" s="186"/>
      <c r="Q202" s="186"/>
      <c r="R202" s="187"/>
      <c r="S202" s="187"/>
      <c r="T202" s="184"/>
      <c r="U202" s="184"/>
      <c r="V202" s="188"/>
      <c r="W202" s="189"/>
      <c r="X202" s="190"/>
      <c r="Y202" s="185"/>
      <c r="Z202" s="191"/>
      <c r="AA202" s="97"/>
      <c r="AB202" s="192"/>
    </row>
    <row r="203" spans="1:28">
      <c r="A203" s="116"/>
      <c r="B203" s="116"/>
      <c r="C203" s="116">
        <v>0</v>
      </c>
      <c r="D203" s="3"/>
      <c r="E203" s="214"/>
      <c r="F203" s="216"/>
      <c r="G203" s="216"/>
      <c r="H203" s="183"/>
      <c r="I203" s="183"/>
      <c r="J203" s="183"/>
      <c r="K203" s="183"/>
      <c r="L203" s="183"/>
      <c r="M203" s="184"/>
      <c r="N203" s="184"/>
      <c r="O203" s="185"/>
      <c r="P203" s="186"/>
      <c r="Q203" s="186"/>
      <c r="R203" s="187"/>
      <c r="S203" s="187"/>
      <c r="T203" s="184"/>
      <c r="U203" s="184"/>
      <c r="V203" s="188"/>
      <c r="W203" s="189"/>
      <c r="X203" s="190"/>
      <c r="Y203" s="185"/>
      <c r="Z203" s="191"/>
      <c r="AA203" s="97"/>
      <c r="AB203" s="192"/>
    </row>
    <row r="204" spans="1:28">
      <c r="A204" s="116"/>
      <c r="B204" s="116" t="s">
        <v>1061</v>
      </c>
      <c r="C204" s="116">
        <v>2</v>
      </c>
      <c r="D204" s="3"/>
      <c r="E204" s="214"/>
      <c r="F204" s="216"/>
      <c r="G204" s="216"/>
      <c r="H204" s="183"/>
      <c r="I204" s="183"/>
      <c r="J204" s="183"/>
      <c r="K204" s="183"/>
      <c r="L204" s="183"/>
      <c r="M204" s="184"/>
      <c r="N204" s="184"/>
      <c r="O204" s="185"/>
      <c r="P204" s="186"/>
      <c r="Q204" s="186"/>
      <c r="R204" s="187"/>
      <c r="S204" s="187"/>
      <c r="T204" s="184"/>
      <c r="U204" s="184"/>
      <c r="V204" s="188"/>
      <c r="W204" s="189"/>
      <c r="X204" s="190"/>
      <c r="Y204" s="185"/>
      <c r="Z204" s="191"/>
      <c r="AA204" s="97"/>
      <c r="AB204" s="192"/>
    </row>
    <row r="205" spans="1:28">
      <c r="A205" s="116"/>
      <c r="B205" s="116"/>
      <c r="C205" s="116">
        <v>3</v>
      </c>
      <c r="D205" s="3"/>
      <c r="E205" s="214"/>
      <c r="F205" s="216"/>
      <c r="G205" s="216"/>
      <c r="H205" s="183"/>
      <c r="I205" s="183"/>
      <c r="J205" s="183"/>
      <c r="K205" s="183"/>
      <c r="L205" s="183"/>
      <c r="M205" s="184"/>
      <c r="N205" s="184"/>
      <c r="O205" s="185"/>
      <c r="P205" s="186"/>
      <c r="Q205" s="186"/>
      <c r="R205" s="187"/>
      <c r="S205" s="187"/>
      <c r="T205" s="184"/>
      <c r="U205" s="184"/>
      <c r="V205" s="188"/>
      <c r="W205" s="189"/>
      <c r="X205" s="190"/>
      <c r="Y205" s="185"/>
      <c r="Z205" s="191"/>
      <c r="AA205" s="97"/>
      <c r="AB205" s="192"/>
    </row>
    <row r="206" spans="1:28">
      <c r="A206" s="116"/>
      <c r="B206" s="116"/>
      <c r="C206" s="116">
        <v>3</v>
      </c>
      <c r="D206" s="3"/>
      <c r="E206" s="214"/>
      <c r="F206" s="216"/>
      <c r="G206" s="216"/>
      <c r="H206" s="183"/>
      <c r="I206" s="183"/>
      <c r="J206" s="183"/>
      <c r="K206" s="183"/>
      <c r="L206" s="183"/>
      <c r="M206" s="184"/>
      <c r="N206" s="184"/>
      <c r="O206" s="185"/>
      <c r="P206" s="186"/>
      <c r="Q206" s="186"/>
      <c r="R206" s="187"/>
      <c r="S206" s="187"/>
      <c r="T206" s="184"/>
      <c r="U206" s="184"/>
      <c r="V206" s="188"/>
      <c r="W206" s="189"/>
      <c r="X206" s="190"/>
      <c r="Y206" s="185"/>
      <c r="Z206" s="191"/>
      <c r="AA206" s="97"/>
      <c r="AB206" s="192"/>
    </row>
    <row r="207" spans="1:28">
      <c r="A207" s="116"/>
      <c r="B207" s="116"/>
      <c r="C207" s="116">
        <v>3</v>
      </c>
      <c r="D207" s="3"/>
      <c r="E207" s="214"/>
      <c r="F207" s="216"/>
      <c r="G207" s="216"/>
      <c r="H207" s="183"/>
      <c r="I207" s="183"/>
      <c r="J207" s="183"/>
      <c r="K207" s="183"/>
      <c r="L207" s="183"/>
      <c r="M207" s="184"/>
      <c r="N207" s="184"/>
      <c r="O207" s="185"/>
      <c r="P207" s="186"/>
      <c r="Q207" s="186"/>
      <c r="R207" s="187"/>
      <c r="S207" s="187"/>
      <c r="T207" s="184"/>
      <c r="U207" s="184"/>
      <c r="V207" s="188"/>
      <c r="W207" s="189"/>
      <c r="X207" s="190"/>
      <c r="Y207" s="185"/>
      <c r="Z207" s="191"/>
      <c r="AA207" s="97"/>
      <c r="AB207" s="192"/>
    </row>
    <row r="208" spans="1:28">
      <c r="A208" s="116"/>
      <c r="B208" s="116"/>
      <c r="C208" s="116">
        <v>3</v>
      </c>
      <c r="D208" s="3"/>
      <c r="E208" s="214"/>
      <c r="F208" s="216"/>
      <c r="G208" s="216"/>
      <c r="H208" s="183"/>
      <c r="I208" s="183"/>
      <c r="J208" s="183"/>
      <c r="K208" s="183"/>
      <c r="L208" s="183"/>
      <c r="M208" s="184"/>
      <c r="N208" s="184"/>
      <c r="O208" s="185"/>
      <c r="P208" s="186"/>
      <c r="Q208" s="186"/>
      <c r="R208" s="187"/>
      <c r="S208" s="187"/>
      <c r="T208" s="184"/>
      <c r="U208" s="184"/>
      <c r="V208" s="188"/>
      <c r="W208" s="189"/>
      <c r="X208" s="190"/>
      <c r="Y208" s="185"/>
      <c r="Z208" s="191"/>
      <c r="AA208" s="97"/>
      <c r="AB208" s="192"/>
    </row>
    <row r="209" spans="1:28">
      <c r="A209" s="116"/>
      <c r="B209" s="116"/>
      <c r="C209" s="116">
        <v>0</v>
      </c>
      <c r="D209" s="3"/>
      <c r="E209" s="214"/>
      <c r="F209" s="216"/>
      <c r="G209" s="216"/>
      <c r="H209" s="183"/>
      <c r="I209" s="183"/>
      <c r="J209" s="183"/>
      <c r="K209" s="183"/>
      <c r="L209" s="183"/>
      <c r="M209" s="184"/>
      <c r="N209" s="184"/>
      <c r="O209" s="185"/>
      <c r="P209" s="186"/>
      <c r="Q209" s="186"/>
      <c r="R209" s="187"/>
      <c r="S209" s="187"/>
      <c r="T209" s="184"/>
      <c r="U209" s="184"/>
      <c r="V209" s="188"/>
      <c r="W209" s="189"/>
      <c r="X209" s="190"/>
      <c r="Y209" s="185"/>
      <c r="Z209" s="191"/>
      <c r="AA209" s="97"/>
      <c r="AB209" s="192"/>
    </row>
    <row r="210" spans="1:28">
      <c r="A210" s="116"/>
      <c r="B210" s="116" t="s">
        <v>1061</v>
      </c>
      <c r="C210" s="116">
        <v>2</v>
      </c>
      <c r="D210" s="3"/>
      <c r="E210" s="214"/>
      <c r="F210" s="216"/>
      <c r="G210" s="216"/>
      <c r="H210" s="183"/>
      <c r="I210" s="183"/>
      <c r="J210" s="183"/>
      <c r="K210" s="183"/>
      <c r="L210" s="183"/>
      <c r="M210" s="184"/>
      <c r="N210" s="184"/>
      <c r="O210" s="185"/>
      <c r="P210" s="186"/>
      <c r="Q210" s="186"/>
      <c r="R210" s="187"/>
      <c r="S210" s="187"/>
      <c r="T210" s="184"/>
      <c r="U210" s="184"/>
      <c r="V210" s="188"/>
      <c r="W210" s="189"/>
      <c r="X210" s="190"/>
      <c r="Y210" s="185"/>
      <c r="Z210" s="191"/>
      <c r="AA210" s="97"/>
      <c r="AB210" s="192"/>
    </row>
    <row r="211" spans="1:28">
      <c r="A211" s="116"/>
      <c r="B211" s="116"/>
      <c r="C211" s="116">
        <v>3</v>
      </c>
      <c r="D211" s="3"/>
      <c r="E211" s="214"/>
      <c r="F211" s="216"/>
      <c r="G211" s="216"/>
      <c r="H211" s="183"/>
      <c r="I211" s="183"/>
      <c r="J211" s="183"/>
      <c r="K211" s="183"/>
      <c r="L211" s="183"/>
      <c r="M211" s="184"/>
      <c r="N211" s="184"/>
      <c r="O211" s="185"/>
      <c r="P211" s="186"/>
      <c r="Q211" s="186"/>
      <c r="R211" s="187"/>
      <c r="S211" s="187"/>
      <c r="T211" s="184"/>
      <c r="U211" s="184"/>
      <c r="V211" s="188"/>
      <c r="W211" s="189"/>
      <c r="X211" s="190"/>
      <c r="Y211" s="185"/>
      <c r="Z211" s="191"/>
      <c r="AA211" s="97"/>
      <c r="AB211" s="192"/>
    </row>
    <row r="212" spans="1:28">
      <c r="A212" s="116"/>
      <c r="B212" s="116"/>
      <c r="C212" s="116">
        <v>3</v>
      </c>
      <c r="D212" s="3"/>
      <c r="E212" s="214"/>
      <c r="F212" s="216"/>
      <c r="G212" s="216"/>
      <c r="H212" s="183"/>
      <c r="I212" s="183"/>
      <c r="J212" s="183"/>
      <c r="K212" s="183"/>
      <c r="L212" s="183"/>
      <c r="M212" s="184"/>
      <c r="N212" s="184"/>
      <c r="O212" s="185"/>
      <c r="P212" s="186"/>
      <c r="Q212" s="186"/>
      <c r="R212" s="187"/>
      <c r="S212" s="187"/>
      <c r="T212" s="184"/>
      <c r="U212" s="184"/>
      <c r="V212" s="188"/>
      <c r="W212" s="189"/>
      <c r="X212" s="190"/>
      <c r="Y212" s="185"/>
      <c r="Z212" s="191"/>
      <c r="AA212" s="97"/>
      <c r="AB212" s="192"/>
    </row>
    <row r="213" spans="1:28">
      <c r="A213" s="116"/>
      <c r="B213" s="116"/>
      <c r="C213" s="116">
        <v>3</v>
      </c>
      <c r="D213" s="3"/>
      <c r="E213" s="214"/>
      <c r="F213" s="216"/>
      <c r="G213" s="216"/>
      <c r="H213" s="183"/>
      <c r="I213" s="183"/>
      <c r="J213" s="183"/>
      <c r="K213" s="183"/>
      <c r="L213" s="183"/>
      <c r="M213" s="184"/>
      <c r="N213" s="184"/>
      <c r="O213" s="185"/>
      <c r="P213" s="186"/>
      <c r="Q213" s="186"/>
      <c r="R213" s="187"/>
      <c r="S213" s="187"/>
      <c r="T213" s="184"/>
      <c r="U213" s="184"/>
      <c r="V213" s="188"/>
      <c r="W213" s="189"/>
      <c r="X213" s="190"/>
      <c r="Y213" s="185"/>
      <c r="Z213" s="191"/>
      <c r="AA213" s="97"/>
      <c r="AB213" s="192"/>
    </row>
    <row r="214" spans="1:28">
      <c r="A214" s="116"/>
      <c r="B214" s="116"/>
      <c r="C214" s="116">
        <v>3</v>
      </c>
      <c r="D214" s="3"/>
      <c r="E214" s="214"/>
      <c r="F214" s="216"/>
      <c r="G214" s="216"/>
      <c r="H214" s="183"/>
      <c r="I214" s="183"/>
      <c r="J214" s="183"/>
      <c r="K214" s="183"/>
      <c r="L214" s="183"/>
      <c r="M214" s="184"/>
      <c r="N214" s="184"/>
      <c r="O214" s="185"/>
      <c r="P214" s="186"/>
      <c r="Q214" s="186"/>
      <c r="R214" s="187"/>
      <c r="S214" s="187"/>
      <c r="T214" s="184"/>
      <c r="U214" s="184"/>
      <c r="V214" s="188"/>
      <c r="W214" s="189"/>
      <c r="X214" s="190"/>
      <c r="Y214" s="185"/>
      <c r="Z214" s="191"/>
      <c r="AA214" s="97"/>
      <c r="AB214" s="192"/>
    </row>
    <row r="215" spans="1:28">
      <c r="A215" s="116"/>
      <c r="B215" s="116"/>
      <c r="C215" s="116">
        <v>0</v>
      </c>
      <c r="D215" s="3"/>
      <c r="E215" s="214"/>
      <c r="F215" s="216"/>
      <c r="G215" s="216"/>
      <c r="H215" s="183"/>
      <c r="I215" s="183"/>
      <c r="J215" s="183"/>
      <c r="K215" s="183"/>
      <c r="L215" s="183"/>
      <c r="M215" s="184"/>
      <c r="N215" s="184"/>
      <c r="O215" s="185"/>
      <c r="P215" s="186"/>
      <c r="Q215" s="186"/>
      <c r="R215" s="187"/>
      <c r="S215" s="187"/>
      <c r="T215" s="184"/>
      <c r="U215" s="184"/>
      <c r="V215" s="188"/>
      <c r="W215" s="189"/>
      <c r="X215" s="190"/>
      <c r="Y215" s="185"/>
      <c r="Z215" s="191"/>
      <c r="AA215" s="97"/>
      <c r="AB215" s="192"/>
    </row>
    <row r="216" spans="1:28">
      <c r="A216" s="116"/>
      <c r="B216" s="116" t="s">
        <v>1061</v>
      </c>
      <c r="C216" s="116">
        <v>2</v>
      </c>
      <c r="D216" s="3"/>
      <c r="E216" s="214"/>
      <c r="F216" s="216"/>
      <c r="G216" s="216"/>
      <c r="H216" s="183"/>
      <c r="I216" s="183"/>
      <c r="J216" s="183"/>
      <c r="K216" s="183"/>
      <c r="L216" s="183"/>
      <c r="M216" s="184"/>
      <c r="N216" s="184"/>
      <c r="O216" s="185"/>
      <c r="P216" s="186"/>
      <c r="Q216" s="186"/>
      <c r="R216" s="187"/>
      <c r="S216" s="187"/>
      <c r="T216" s="184"/>
      <c r="U216" s="184"/>
      <c r="V216" s="188"/>
      <c r="W216" s="189"/>
      <c r="X216" s="190"/>
      <c r="Y216" s="185"/>
      <c r="Z216" s="191"/>
      <c r="AA216" s="97"/>
      <c r="AB216" s="192"/>
    </row>
    <row r="217" spans="1:28">
      <c r="A217" s="116"/>
      <c r="B217" s="116"/>
      <c r="C217" s="116">
        <v>3</v>
      </c>
      <c r="D217" s="3"/>
      <c r="E217" s="214"/>
      <c r="F217" s="216"/>
      <c r="G217" s="216"/>
      <c r="H217" s="183"/>
      <c r="I217" s="183"/>
      <c r="J217" s="183"/>
      <c r="K217" s="183"/>
      <c r="L217" s="183"/>
      <c r="M217" s="184"/>
      <c r="N217" s="184"/>
      <c r="O217" s="185"/>
      <c r="P217" s="186"/>
      <c r="Q217" s="186"/>
      <c r="R217" s="187"/>
      <c r="S217" s="187"/>
      <c r="T217" s="184"/>
      <c r="U217" s="184"/>
      <c r="V217" s="188"/>
      <c r="W217" s="189"/>
      <c r="X217" s="190"/>
      <c r="Y217" s="185"/>
      <c r="Z217" s="191"/>
      <c r="AA217" s="97"/>
      <c r="AB217" s="192"/>
    </row>
    <row r="218" spans="1:28">
      <c r="A218" s="116"/>
      <c r="B218" s="116"/>
      <c r="C218" s="116">
        <v>3</v>
      </c>
      <c r="D218" s="3"/>
      <c r="E218" s="214"/>
      <c r="F218" s="216"/>
      <c r="G218" s="216"/>
      <c r="H218" s="183"/>
      <c r="I218" s="183"/>
      <c r="J218" s="183"/>
      <c r="K218" s="183"/>
      <c r="L218" s="183"/>
      <c r="M218" s="184"/>
      <c r="N218" s="184"/>
      <c r="O218" s="185"/>
      <c r="P218" s="186"/>
      <c r="Q218" s="186"/>
      <c r="R218" s="187"/>
      <c r="S218" s="187"/>
      <c r="T218" s="184"/>
      <c r="U218" s="184"/>
      <c r="V218" s="188"/>
      <c r="W218" s="189"/>
      <c r="X218" s="190"/>
      <c r="Y218" s="185"/>
      <c r="Z218" s="191"/>
      <c r="AA218" s="97"/>
      <c r="AB218" s="192"/>
    </row>
    <row r="219" spans="1:28">
      <c r="A219" s="116"/>
      <c r="B219" s="116"/>
      <c r="C219" s="116">
        <v>3</v>
      </c>
      <c r="D219" s="3"/>
      <c r="E219" s="214"/>
      <c r="F219" s="216"/>
      <c r="G219" s="216"/>
      <c r="H219" s="183"/>
      <c r="I219" s="183"/>
      <c r="J219" s="183"/>
      <c r="K219" s="183"/>
      <c r="L219" s="183"/>
      <c r="M219" s="184"/>
      <c r="N219" s="184"/>
      <c r="O219" s="185"/>
      <c r="P219" s="186"/>
      <c r="Q219" s="186"/>
      <c r="R219" s="187"/>
      <c r="S219" s="187"/>
      <c r="T219" s="184"/>
      <c r="U219" s="184"/>
      <c r="V219" s="188"/>
      <c r="W219" s="189"/>
      <c r="X219" s="190"/>
      <c r="Y219" s="185"/>
      <c r="Z219" s="191"/>
      <c r="AA219" s="97"/>
      <c r="AB219" s="192"/>
    </row>
    <row r="220" spans="1:28">
      <c r="A220" s="116"/>
      <c r="B220" s="116"/>
      <c r="C220" s="116">
        <v>3</v>
      </c>
      <c r="D220" s="3"/>
      <c r="E220" s="214"/>
      <c r="F220" s="216"/>
      <c r="G220" s="216"/>
      <c r="H220" s="183"/>
      <c r="I220" s="183"/>
      <c r="J220" s="183"/>
      <c r="K220" s="183"/>
      <c r="L220" s="183"/>
      <c r="M220" s="184"/>
      <c r="N220" s="184"/>
      <c r="O220" s="185"/>
      <c r="P220" s="186"/>
      <c r="Q220" s="186"/>
      <c r="R220" s="187"/>
      <c r="S220" s="187"/>
      <c r="T220" s="184"/>
      <c r="U220" s="184"/>
      <c r="V220" s="188"/>
      <c r="W220" s="189"/>
      <c r="X220" s="190"/>
      <c r="Y220" s="185"/>
      <c r="Z220" s="191"/>
      <c r="AA220" s="97"/>
      <c r="AB220" s="192"/>
    </row>
    <row r="221" spans="1:28">
      <c r="A221" s="116"/>
      <c r="B221" s="116"/>
      <c r="C221" s="116">
        <v>0</v>
      </c>
      <c r="D221" s="3"/>
      <c r="E221" s="214"/>
      <c r="F221" s="216"/>
      <c r="G221" s="216"/>
      <c r="H221" s="183"/>
      <c r="I221" s="183"/>
      <c r="J221" s="183"/>
      <c r="K221" s="183"/>
      <c r="L221" s="183"/>
      <c r="M221" s="184"/>
      <c r="N221" s="184"/>
      <c r="O221" s="185"/>
      <c r="P221" s="186"/>
      <c r="Q221" s="186"/>
      <c r="R221" s="187"/>
      <c r="S221" s="187"/>
      <c r="T221" s="184"/>
      <c r="U221" s="184"/>
      <c r="V221" s="188"/>
      <c r="W221" s="189"/>
      <c r="X221" s="190"/>
      <c r="Y221" s="185"/>
      <c r="Z221" s="191"/>
      <c r="AA221" s="97"/>
      <c r="AB221" s="192"/>
    </row>
    <row r="222" spans="1:28">
      <c r="A222" s="116"/>
      <c r="B222" s="116" t="s">
        <v>1061</v>
      </c>
      <c r="C222" s="116">
        <v>2</v>
      </c>
      <c r="D222" s="3"/>
      <c r="E222" s="214"/>
      <c r="F222" s="216"/>
      <c r="G222" s="216"/>
      <c r="H222" s="183"/>
      <c r="I222" s="183"/>
      <c r="J222" s="183"/>
      <c r="K222" s="183"/>
      <c r="L222" s="183"/>
      <c r="M222" s="184"/>
      <c r="N222" s="184"/>
      <c r="O222" s="185"/>
      <c r="P222" s="186"/>
      <c r="Q222" s="186"/>
      <c r="R222" s="187"/>
      <c r="S222" s="187"/>
      <c r="T222" s="184"/>
      <c r="U222" s="184"/>
      <c r="V222" s="188"/>
      <c r="W222" s="189"/>
      <c r="X222" s="190"/>
      <c r="Y222" s="185"/>
      <c r="Z222" s="191"/>
      <c r="AA222" s="97"/>
      <c r="AB222" s="192"/>
    </row>
    <row r="223" spans="1:28">
      <c r="A223" s="116"/>
      <c r="B223" s="116"/>
      <c r="C223" s="116">
        <v>3</v>
      </c>
      <c r="D223" s="3"/>
      <c r="E223" s="214"/>
      <c r="F223" s="216"/>
      <c r="G223" s="216"/>
      <c r="H223" s="183"/>
      <c r="I223" s="183"/>
      <c r="J223" s="183"/>
      <c r="K223" s="183"/>
      <c r="L223" s="183"/>
      <c r="M223" s="184"/>
      <c r="N223" s="184"/>
      <c r="O223" s="185"/>
      <c r="P223" s="186"/>
      <c r="Q223" s="186"/>
      <c r="R223" s="187"/>
      <c r="S223" s="187"/>
      <c r="T223" s="184"/>
      <c r="U223" s="184"/>
      <c r="V223" s="188"/>
      <c r="W223" s="189"/>
      <c r="X223" s="190"/>
      <c r="Y223" s="185"/>
      <c r="Z223" s="191"/>
      <c r="AA223" s="97"/>
      <c r="AB223" s="192"/>
    </row>
    <row r="224" spans="1:28">
      <c r="A224" s="116"/>
      <c r="B224" s="116"/>
      <c r="C224" s="116">
        <v>3</v>
      </c>
      <c r="D224" s="3"/>
      <c r="E224" s="214"/>
      <c r="F224" s="216"/>
      <c r="G224" s="216"/>
      <c r="H224" s="183"/>
      <c r="I224" s="183"/>
      <c r="J224" s="183"/>
      <c r="K224" s="183"/>
      <c r="L224" s="183"/>
      <c r="M224" s="184"/>
      <c r="N224" s="184"/>
      <c r="O224" s="185"/>
      <c r="P224" s="186"/>
      <c r="Q224" s="186"/>
      <c r="R224" s="187"/>
      <c r="S224" s="187"/>
      <c r="T224" s="184"/>
      <c r="U224" s="184"/>
      <c r="V224" s="188"/>
      <c r="W224" s="189"/>
      <c r="X224" s="190"/>
      <c r="Y224" s="185"/>
      <c r="Z224" s="191"/>
      <c r="AA224" s="97"/>
      <c r="AB224" s="192"/>
    </row>
    <row r="225" spans="1:28">
      <c r="A225" s="116"/>
      <c r="B225" s="116"/>
      <c r="C225" s="116">
        <v>3</v>
      </c>
      <c r="D225" s="3"/>
      <c r="E225" s="214"/>
      <c r="F225" s="216"/>
      <c r="G225" s="216"/>
      <c r="H225" s="183"/>
      <c r="I225" s="183"/>
      <c r="J225" s="183"/>
      <c r="K225" s="183"/>
      <c r="L225" s="183"/>
      <c r="M225" s="184"/>
      <c r="N225" s="184"/>
      <c r="O225" s="185"/>
      <c r="P225" s="186"/>
      <c r="Q225" s="186"/>
      <c r="R225" s="187"/>
      <c r="S225" s="187"/>
      <c r="T225" s="184"/>
      <c r="U225" s="184"/>
      <c r="V225" s="188"/>
      <c r="W225" s="189"/>
      <c r="X225" s="190"/>
      <c r="Y225" s="185"/>
      <c r="Z225" s="191"/>
      <c r="AA225" s="97"/>
      <c r="AB225" s="192"/>
    </row>
    <row r="226" spans="1:28">
      <c r="A226" s="116"/>
      <c r="B226" s="116"/>
      <c r="C226" s="116">
        <v>3</v>
      </c>
      <c r="D226" s="3"/>
      <c r="E226" s="214"/>
      <c r="F226" s="216"/>
      <c r="G226" s="216"/>
      <c r="H226" s="183"/>
      <c r="I226" s="183"/>
      <c r="J226" s="183"/>
      <c r="K226" s="183"/>
      <c r="L226" s="183"/>
      <c r="M226" s="184"/>
      <c r="N226" s="184"/>
      <c r="O226" s="185"/>
      <c r="P226" s="186"/>
      <c r="Q226" s="186"/>
      <c r="R226" s="187"/>
      <c r="S226" s="187"/>
      <c r="T226" s="184"/>
      <c r="U226" s="184"/>
      <c r="V226" s="188"/>
      <c r="W226" s="189"/>
      <c r="X226" s="190"/>
      <c r="Y226" s="185"/>
      <c r="Z226" s="191"/>
      <c r="AA226" s="97"/>
      <c r="AB226" s="192"/>
    </row>
    <row r="227" spans="1:28">
      <c r="A227" s="116"/>
      <c r="B227" s="116"/>
      <c r="C227" s="116">
        <v>0</v>
      </c>
      <c r="D227" s="3"/>
      <c r="E227" s="214"/>
      <c r="F227" s="216"/>
      <c r="G227" s="216"/>
      <c r="H227" s="183"/>
      <c r="I227" s="183"/>
      <c r="J227" s="183"/>
      <c r="K227" s="183"/>
      <c r="L227" s="183"/>
      <c r="M227" s="184"/>
      <c r="N227" s="184"/>
      <c r="O227" s="185"/>
      <c r="P227" s="186"/>
      <c r="Q227" s="186"/>
      <c r="R227" s="187"/>
      <c r="S227" s="187"/>
      <c r="T227" s="184"/>
      <c r="U227" s="184"/>
      <c r="V227" s="188"/>
      <c r="W227" s="189"/>
      <c r="X227" s="190"/>
      <c r="Y227" s="185"/>
      <c r="Z227" s="191"/>
      <c r="AA227" s="97"/>
      <c r="AB227" s="192"/>
    </row>
    <row r="228" spans="1:28">
      <c r="A228" s="116"/>
      <c r="B228" s="116" t="s">
        <v>1061</v>
      </c>
      <c r="C228" s="116">
        <v>2</v>
      </c>
      <c r="D228" s="3"/>
      <c r="E228" s="214"/>
      <c r="F228" s="216"/>
      <c r="G228" s="216"/>
      <c r="H228" s="183"/>
      <c r="I228" s="183"/>
      <c r="J228" s="183"/>
      <c r="K228" s="183"/>
      <c r="L228" s="183"/>
      <c r="M228" s="184"/>
      <c r="N228" s="184"/>
      <c r="O228" s="185"/>
      <c r="P228" s="186"/>
      <c r="Q228" s="186"/>
      <c r="R228" s="187"/>
      <c r="S228" s="187"/>
      <c r="T228" s="184"/>
      <c r="U228" s="184"/>
      <c r="V228" s="188"/>
      <c r="W228" s="189"/>
      <c r="X228" s="190"/>
      <c r="Y228" s="185"/>
      <c r="Z228" s="191"/>
      <c r="AA228" s="97"/>
      <c r="AB228" s="192"/>
    </row>
    <row r="229" spans="1:28">
      <c r="A229" s="116"/>
      <c r="B229" s="116"/>
      <c r="C229" s="116">
        <v>3</v>
      </c>
      <c r="D229" s="3"/>
      <c r="E229" s="214"/>
      <c r="F229" s="216"/>
      <c r="G229" s="216"/>
      <c r="H229" s="183"/>
      <c r="I229" s="183"/>
      <c r="J229" s="183"/>
      <c r="K229" s="183"/>
      <c r="L229" s="183"/>
      <c r="M229" s="184"/>
      <c r="N229" s="184"/>
      <c r="O229" s="185"/>
      <c r="P229" s="186"/>
      <c r="Q229" s="186"/>
      <c r="R229" s="187"/>
      <c r="S229" s="187"/>
      <c r="T229" s="184"/>
      <c r="U229" s="184"/>
      <c r="V229" s="188"/>
      <c r="W229" s="189"/>
      <c r="X229" s="190"/>
      <c r="Y229" s="185"/>
      <c r="Z229" s="191"/>
      <c r="AA229" s="97"/>
      <c r="AB229" s="192"/>
    </row>
    <row r="230" spans="1:28">
      <c r="A230" s="116"/>
      <c r="B230" s="116"/>
      <c r="C230" s="116">
        <v>3</v>
      </c>
      <c r="D230" s="3"/>
      <c r="E230" s="214"/>
      <c r="F230" s="216"/>
      <c r="G230" s="216"/>
      <c r="H230" s="183"/>
      <c r="I230" s="183"/>
      <c r="J230" s="183"/>
      <c r="K230" s="183"/>
      <c r="L230" s="183"/>
      <c r="M230" s="184"/>
      <c r="N230" s="184"/>
      <c r="O230" s="185"/>
      <c r="P230" s="186"/>
      <c r="Q230" s="186"/>
      <c r="R230" s="187"/>
      <c r="S230" s="187"/>
      <c r="T230" s="184"/>
      <c r="U230" s="184"/>
      <c r="V230" s="188"/>
      <c r="W230" s="189"/>
      <c r="X230" s="190"/>
      <c r="Y230" s="185"/>
      <c r="Z230" s="191"/>
      <c r="AA230" s="97"/>
      <c r="AB230" s="192"/>
    </row>
    <row r="231" spans="1:28">
      <c r="A231" s="116"/>
      <c r="B231" s="116"/>
      <c r="C231" s="116">
        <v>3</v>
      </c>
      <c r="D231" s="3"/>
      <c r="E231" s="214"/>
      <c r="F231" s="216"/>
      <c r="G231" s="216"/>
      <c r="H231" s="183"/>
      <c r="I231" s="183"/>
      <c r="J231" s="183"/>
      <c r="K231" s="183"/>
      <c r="L231" s="183"/>
      <c r="M231" s="184"/>
      <c r="N231" s="184"/>
      <c r="O231" s="185"/>
      <c r="P231" s="186"/>
      <c r="Q231" s="186"/>
      <c r="R231" s="187"/>
      <c r="S231" s="187"/>
      <c r="T231" s="184"/>
      <c r="U231" s="184"/>
      <c r="V231" s="188"/>
      <c r="W231" s="189"/>
      <c r="X231" s="190"/>
      <c r="Y231" s="185"/>
      <c r="Z231" s="191"/>
      <c r="AA231" s="97"/>
      <c r="AB231" s="192"/>
    </row>
    <row r="232" spans="1:28">
      <c r="A232" s="116"/>
      <c r="B232" s="116"/>
      <c r="C232" s="116">
        <v>3</v>
      </c>
      <c r="D232" s="3"/>
      <c r="E232" s="214"/>
      <c r="F232" s="216"/>
      <c r="G232" s="216"/>
      <c r="H232" s="183"/>
      <c r="I232" s="183"/>
      <c r="J232" s="183"/>
      <c r="K232" s="183"/>
      <c r="L232" s="183"/>
      <c r="M232" s="184"/>
      <c r="N232" s="184"/>
      <c r="O232" s="185"/>
      <c r="P232" s="186"/>
      <c r="Q232" s="186"/>
      <c r="R232" s="187"/>
      <c r="S232" s="187"/>
      <c r="T232" s="184"/>
      <c r="U232" s="184"/>
      <c r="V232" s="188"/>
      <c r="W232" s="189"/>
      <c r="X232" s="190"/>
      <c r="Y232" s="185"/>
      <c r="Z232" s="191"/>
      <c r="AA232" s="97"/>
      <c r="AB232" s="192"/>
    </row>
    <row r="233" spans="1:28">
      <c r="A233" s="116"/>
      <c r="B233" s="116"/>
      <c r="C233" s="116">
        <v>0</v>
      </c>
      <c r="D233" s="3"/>
      <c r="E233" s="214"/>
      <c r="F233" s="216"/>
      <c r="G233" s="216"/>
      <c r="H233" s="183"/>
      <c r="I233" s="183"/>
      <c r="J233" s="183"/>
      <c r="K233" s="183"/>
      <c r="L233" s="183"/>
      <c r="M233" s="184"/>
      <c r="N233" s="184"/>
      <c r="O233" s="185"/>
      <c r="P233" s="186"/>
      <c r="Q233" s="186"/>
      <c r="R233" s="187"/>
      <c r="S233" s="187"/>
      <c r="T233" s="184"/>
      <c r="U233" s="184"/>
      <c r="V233" s="188"/>
      <c r="W233" s="189"/>
      <c r="X233" s="190"/>
      <c r="Y233" s="185"/>
      <c r="Z233" s="191"/>
      <c r="AA233" s="97"/>
      <c r="AB233" s="192"/>
    </row>
    <row r="234" spans="1:28">
      <c r="A234" s="116"/>
      <c r="B234" s="116" t="s">
        <v>1061</v>
      </c>
      <c r="C234" s="116">
        <v>2</v>
      </c>
      <c r="D234" s="3"/>
      <c r="E234" s="214"/>
      <c r="F234" s="216"/>
      <c r="G234" s="216"/>
      <c r="H234" s="183"/>
      <c r="I234" s="183"/>
      <c r="J234" s="183"/>
      <c r="K234" s="183"/>
      <c r="L234" s="183"/>
      <c r="M234" s="184"/>
      <c r="N234" s="184"/>
      <c r="O234" s="185"/>
      <c r="P234" s="186"/>
      <c r="Q234" s="186"/>
      <c r="R234" s="187"/>
      <c r="S234" s="187"/>
      <c r="T234" s="184"/>
      <c r="U234" s="184"/>
      <c r="V234" s="188"/>
      <c r="W234" s="189"/>
      <c r="X234" s="190"/>
      <c r="Y234" s="185"/>
      <c r="Z234" s="191"/>
      <c r="AA234" s="97"/>
      <c r="AB234" s="192"/>
    </row>
    <row r="235" spans="1:28">
      <c r="A235" s="116"/>
      <c r="B235" s="116"/>
      <c r="C235" s="116">
        <v>3</v>
      </c>
      <c r="D235" s="3"/>
      <c r="E235" s="214"/>
      <c r="F235" s="216"/>
      <c r="G235" s="216"/>
      <c r="H235" s="183"/>
      <c r="I235" s="183"/>
      <c r="J235" s="183"/>
      <c r="K235" s="183"/>
      <c r="L235" s="183"/>
      <c r="M235" s="184"/>
      <c r="N235" s="184"/>
      <c r="O235" s="185"/>
      <c r="P235" s="186"/>
      <c r="Q235" s="186"/>
      <c r="R235" s="187"/>
      <c r="S235" s="187"/>
      <c r="T235" s="184"/>
      <c r="U235" s="184"/>
      <c r="V235" s="188"/>
      <c r="W235" s="189"/>
      <c r="X235" s="190"/>
      <c r="Y235" s="185"/>
      <c r="Z235" s="191"/>
      <c r="AA235" s="97"/>
      <c r="AB235" s="192"/>
    </row>
    <row r="236" spans="1:28">
      <c r="A236" s="116"/>
      <c r="B236" s="116"/>
      <c r="C236" s="116">
        <v>3</v>
      </c>
      <c r="D236" s="3"/>
      <c r="E236" s="214"/>
      <c r="F236" s="216"/>
      <c r="G236" s="216"/>
      <c r="H236" s="183"/>
      <c r="I236" s="183"/>
      <c r="J236" s="183"/>
      <c r="K236" s="183"/>
      <c r="L236" s="183"/>
      <c r="M236" s="184"/>
      <c r="N236" s="184"/>
      <c r="O236" s="185"/>
      <c r="P236" s="186"/>
      <c r="Q236" s="186"/>
      <c r="R236" s="187"/>
      <c r="S236" s="187"/>
      <c r="T236" s="184"/>
      <c r="U236" s="184"/>
      <c r="V236" s="188"/>
      <c r="W236" s="189"/>
      <c r="X236" s="190"/>
      <c r="Y236" s="185"/>
      <c r="Z236" s="191"/>
      <c r="AA236" s="97"/>
      <c r="AB236" s="192"/>
    </row>
    <row r="237" spans="1:28">
      <c r="A237" s="116"/>
      <c r="B237" s="116"/>
      <c r="C237" s="116">
        <v>3</v>
      </c>
      <c r="D237" s="3"/>
      <c r="E237" s="214"/>
      <c r="F237" s="216"/>
      <c r="G237" s="216"/>
      <c r="H237" s="183"/>
      <c r="I237" s="183"/>
      <c r="J237" s="183"/>
      <c r="K237" s="183"/>
      <c r="L237" s="183"/>
      <c r="M237" s="184"/>
      <c r="N237" s="184"/>
      <c r="O237" s="185"/>
      <c r="P237" s="186"/>
      <c r="Q237" s="186"/>
      <c r="R237" s="187"/>
      <c r="S237" s="187"/>
      <c r="T237" s="184"/>
      <c r="U237" s="184"/>
      <c r="V237" s="188"/>
      <c r="W237" s="189"/>
      <c r="X237" s="190"/>
      <c r="Y237" s="185"/>
      <c r="Z237" s="191"/>
      <c r="AA237" s="97"/>
      <c r="AB237" s="192"/>
    </row>
    <row r="238" spans="1:28">
      <c r="A238" s="116"/>
      <c r="B238" s="116"/>
      <c r="C238" s="116">
        <v>3</v>
      </c>
      <c r="D238" s="3"/>
      <c r="E238" s="214"/>
      <c r="F238" s="216"/>
      <c r="G238" s="216"/>
      <c r="H238" s="183"/>
      <c r="I238" s="183"/>
      <c r="J238" s="183"/>
      <c r="K238" s="183"/>
      <c r="L238" s="183"/>
      <c r="M238" s="184"/>
      <c r="N238" s="184"/>
      <c r="O238" s="185"/>
      <c r="P238" s="186"/>
      <c r="Q238" s="186"/>
      <c r="R238" s="187"/>
      <c r="S238" s="187"/>
      <c r="T238" s="184"/>
      <c r="U238" s="184"/>
      <c r="V238" s="188"/>
      <c r="W238" s="189"/>
      <c r="X238" s="190"/>
      <c r="Y238" s="185"/>
      <c r="Z238" s="191"/>
      <c r="AA238" s="97"/>
      <c r="AB238" s="192"/>
    </row>
    <row r="239" spans="1:28">
      <c r="A239" s="116"/>
      <c r="B239" s="116"/>
      <c r="C239" s="116">
        <v>0</v>
      </c>
      <c r="D239" s="3"/>
      <c r="E239" s="214"/>
      <c r="F239" s="216"/>
      <c r="G239" s="216"/>
      <c r="H239" s="183"/>
      <c r="I239" s="183"/>
      <c r="J239" s="183"/>
      <c r="K239" s="183"/>
      <c r="L239" s="183"/>
      <c r="M239" s="184"/>
      <c r="N239" s="184"/>
      <c r="O239" s="185"/>
      <c r="P239" s="186"/>
      <c r="Q239" s="186"/>
      <c r="R239" s="187"/>
      <c r="S239" s="187"/>
      <c r="T239" s="184"/>
      <c r="U239" s="184"/>
      <c r="V239" s="188"/>
      <c r="W239" s="189"/>
      <c r="X239" s="190"/>
      <c r="Y239" s="185"/>
      <c r="Z239" s="191"/>
      <c r="AA239" s="97"/>
      <c r="AB239" s="192"/>
    </row>
    <row r="240" spans="1:28">
      <c r="A240" s="116"/>
      <c r="B240" s="116" t="s">
        <v>1061</v>
      </c>
      <c r="C240" s="116">
        <v>2</v>
      </c>
      <c r="D240" s="3"/>
      <c r="E240" s="214"/>
      <c r="F240" s="216"/>
      <c r="G240" s="216"/>
      <c r="H240" s="183"/>
      <c r="I240" s="183"/>
      <c r="J240" s="183"/>
      <c r="K240" s="183"/>
      <c r="L240" s="183"/>
      <c r="M240" s="184"/>
      <c r="N240" s="184"/>
      <c r="O240" s="185"/>
      <c r="P240" s="186"/>
      <c r="Q240" s="186"/>
      <c r="R240" s="187"/>
      <c r="S240" s="187"/>
      <c r="T240" s="184"/>
      <c r="U240" s="184"/>
      <c r="V240" s="188"/>
      <c r="W240" s="189"/>
      <c r="X240" s="190"/>
      <c r="Y240" s="185"/>
      <c r="Z240" s="191"/>
      <c r="AA240" s="97"/>
      <c r="AB240" s="192"/>
    </row>
    <row r="241" spans="1:28">
      <c r="A241" s="116"/>
      <c r="B241" s="116"/>
      <c r="C241" s="116">
        <v>3</v>
      </c>
      <c r="D241" s="3"/>
      <c r="E241" s="214"/>
      <c r="F241" s="216"/>
      <c r="G241" s="216"/>
      <c r="H241" s="183"/>
      <c r="I241" s="183"/>
      <c r="J241" s="183"/>
      <c r="K241" s="183"/>
      <c r="L241" s="183"/>
      <c r="M241" s="184"/>
      <c r="N241" s="184"/>
      <c r="O241" s="185"/>
      <c r="P241" s="186"/>
      <c r="Q241" s="186"/>
      <c r="R241" s="187"/>
      <c r="S241" s="187"/>
      <c r="T241" s="184"/>
      <c r="U241" s="184"/>
      <c r="V241" s="188"/>
      <c r="W241" s="189"/>
      <c r="X241" s="190"/>
      <c r="Y241" s="185"/>
      <c r="Z241" s="191"/>
      <c r="AA241" s="97"/>
      <c r="AB241" s="192"/>
    </row>
    <row r="242" spans="1:28">
      <c r="A242" s="116"/>
      <c r="B242" s="116"/>
      <c r="C242" s="116">
        <v>3</v>
      </c>
      <c r="D242" s="3"/>
      <c r="E242" s="214"/>
      <c r="F242" s="216"/>
      <c r="G242" s="216"/>
      <c r="H242" s="183"/>
      <c r="I242" s="183"/>
      <c r="J242" s="183"/>
      <c r="K242" s="183"/>
      <c r="L242" s="183"/>
      <c r="M242" s="184"/>
      <c r="N242" s="184"/>
      <c r="O242" s="185"/>
      <c r="P242" s="186"/>
      <c r="Q242" s="186"/>
      <c r="R242" s="187"/>
      <c r="S242" s="187"/>
      <c r="T242" s="184"/>
      <c r="U242" s="184"/>
      <c r="V242" s="188"/>
      <c r="W242" s="189"/>
      <c r="X242" s="190"/>
      <c r="Y242" s="185"/>
      <c r="Z242" s="191"/>
      <c r="AA242" s="97"/>
      <c r="AB242" s="192"/>
    </row>
    <row r="243" spans="1:28">
      <c r="A243" s="116"/>
      <c r="B243" s="116"/>
      <c r="C243" s="116">
        <v>3</v>
      </c>
      <c r="D243" s="3"/>
      <c r="E243" s="214"/>
      <c r="F243" s="216"/>
      <c r="G243" s="216"/>
      <c r="H243" s="183"/>
      <c r="I243" s="183"/>
      <c r="J243" s="183"/>
      <c r="K243" s="183"/>
      <c r="L243" s="183"/>
      <c r="M243" s="184"/>
      <c r="N243" s="184"/>
      <c r="O243" s="185"/>
      <c r="P243" s="186"/>
      <c r="Q243" s="186"/>
      <c r="R243" s="187"/>
      <c r="S243" s="187"/>
      <c r="T243" s="184"/>
      <c r="U243" s="184"/>
      <c r="V243" s="188"/>
      <c r="W243" s="189"/>
      <c r="X243" s="190"/>
      <c r="Y243" s="185"/>
      <c r="Z243" s="191"/>
      <c r="AA243" s="97"/>
      <c r="AB243" s="192"/>
    </row>
    <row r="244" spans="1:28">
      <c r="A244" s="116"/>
      <c r="B244" s="116"/>
      <c r="C244" s="116">
        <v>3</v>
      </c>
      <c r="D244" s="3"/>
      <c r="E244" s="214"/>
      <c r="F244" s="216"/>
      <c r="G244" s="216"/>
      <c r="H244" s="183"/>
      <c r="I244" s="183"/>
      <c r="J244" s="183"/>
      <c r="K244" s="183"/>
      <c r="L244" s="183"/>
      <c r="M244" s="184"/>
      <c r="N244" s="184"/>
      <c r="O244" s="185"/>
      <c r="P244" s="186"/>
      <c r="Q244" s="186"/>
      <c r="R244" s="187"/>
      <c r="S244" s="187"/>
      <c r="T244" s="184"/>
      <c r="U244" s="184"/>
      <c r="V244" s="188"/>
      <c r="W244" s="189"/>
      <c r="X244" s="190"/>
      <c r="Y244" s="185"/>
      <c r="Z244" s="191"/>
      <c r="AA244" s="97"/>
      <c r="AB244" s="192"/>
    </row>
    <row r="245" spans="1:28">
      <c r="A245" s="116"/>
      <c r="B245" s="116"/>
      <c r="C245" s="116">
        <v>0</v>
      </c>
      <c r="D245" s="3"/>
      <c r="E245" s="214"/>
      <c r="F245" s="216"/>
      <c r="G245" s="216"/>
      <c r="H245" s="183"/>
      <c r="I245" s="183"/>
      <c r="J245" s="183"/>
      <c r="K245" s="183"/>
      <c r="L245" s="183"/>
      <c r="M245" s="184"/>
      <c r="N245" s="184"/>
      <c r="O245" s="185"/>
      <c r="P245" s="186"/>
      <c r="Q245" s="186"/>
      <c r="R245" s="187"/>
      <c r="S245" s="187"/>
      <c r="T245" s="184"/>
      <c r="U245" s="184"/>
      <c r="V245" s="188"/>
      <c r="W245" s="189"/>
      <c r="X245" s="190"/>
      <c r="Y245" s="185"/>
      <c r="Z245" s="191"/>
      <c r="AA245" s="97"/>
      <c r="AB245" s="192"/>
    </row>
    <row r="246" spans="1:28">
      <c r="A246" s="116"/>
      <c r="B246" s="116" t="s">
        <v>1061</v>
      </c>
      <c r="C246" s="116">
        <v>2</v>
      </c>
      <c r="D246" s="3"/>
      <c r="E246" s="214"/>
      <c r="F246" s="216"/>
      <c r="G246" s="216"/>
      <c r="H246" s="183"/>
      <c r="I246" s="183"/>
      <c r="J246" s="183"/>
      <c r="K246" s="183"/>
      <c r="L246" s="183"/>
      <c r="M246" s="184"/>
      <c r="N246" s="184"/>
      <c r="O246" s="185"/>
      <c r="P246" s="186"/>
      <c r="Q246" s="186"/>
      <c r="R246" s="187"/>
      <c r="S246" s="187"/>
      <c r="T246" s="184"/>
      <c r="U246" s="184"/>
      <c r="V246" s="188"/>
      <c r="W246" s="189"/>
      <c r="X246" s="190"/>
      <c r="Y246" s="185"/>
      <c r="Z246" s="191"/>
      <c r="AA246" s="97"/>
      <c r="AB246" s="192"/>
    </row>
    <row r="247" spans="1:28">
      <c r="A247" s="116"/>
      <c r="B247" s="116"/>
      <c r="C247" s="116">
        <v>3</v>
      </c>
      <c r="D247" s="3"/>
      <c r="E247" s="214"/>
      <c r="F247" s="216"/>
      <c r="G247" s="216"/>
      <c r="H247" s="183"/>
      <c r="I247" s="183"/>
      <c r="J247" s="183"/>
      <c r="K247" s="183"/>
      <c r="L247" s="183"/>
      <c r="M247" s="184"/>
      <c r="N247" s="184"/>
      <c r="O247" s="185"/>
      <c r="P247" s="186"/>
      <c r="Q247" s="186"/>
      <c r="R247" s="187"/>
      <c r="S247" s="187"/>
      <c r="T247" s="184"/>
      <c r="U247" s="184"/>
      <c r="V247" s="188"/>
      <c r="W247" s="189"/>
      <c r="X247" s="190"/>
      <c r="Y247" s="185"/>
      <c r="Z247" s="191"/>
      <c r="AA247" s="97"/>
      <c r="AB247" s="192"/>
    </row>
    <row r="248" spans="1:28">
      <c r="A248" s="116"/>
      <c r="B248" s="116"/>
      <c r="C248" s="116">
        <v>3</v>
      </c>
      <c r="D248" s="3"/>
      <c r="E248" s="214"/>
      <c r="F248" s="216"/>
      <c r="G248" s="216"/>
      <c r="H248" s="183"/>
      <c r="I248" s="183"/>
      <c r="J248" s="183"/>
      <c r="K248" s="183"/>
      <c r="L248" s="183"/>
      <c r="M248" s="184"/>
      <c r="N248" s="184"/>
      <c r="O248" s="185"/>
      <c r="P248" s="186"/>
      <c r="Q248" s="186"/>
      <c r="R248" s="187"/>
      <c r="S248" s="187"/>
      <c r="T248" s="184"/>
      <c r="U248" s="184"/>
      <c r="V248" s="188"/>
      <c r="W248" s="189"/>
      <c r="X248" s="190"/>
      <c r="Y248" s="185"/>
      <c r="Z248" s="191"/>
      <c r="AA248" s="97"/>
      <c r="AB248" s="192"/>
    </row>
    <row r="249" spans="1:28">
      <c r="A249" s="116"/>
      <c r="B249" s="116"/>
      <c r="C249" s="116">
        <v>3</v>
      </c>
      <c r="D249" s="3"/>
      <c r="E249" s="214"/>
      <c r="F249" s="216"/>
      <c r="G249" s="216"/>
      <c r="H249" s="183"/>
      <c r="I249" s="183"/>
      <c r="J249" s="183"/>
      <c r="K249" s="183"/>
      <c r="L249" s="183"/>
      <c r="M249" s="184"/>
      <c r="N249" s="184"/>
      <c r="O249" s="185"/>
      <c r="P249" s="186"/>
      <c r="Q249" s="186"/>
      <c r="R249" s="187"/>
      <c r="S249" s="187"/>
      <c r="T249" s="184"/>
      <c r="U249" s="184"/>
      <c r="V249" s="188"/>
      <c r="W249" s="189"/>
      <c r="X249" s="190"/>
      <c r="Y249" s="185"/>
      <c r="Z249" s="191"/>
      <c r="AA249" s="97"/>
      <c r="AB249" s="192"/>
    </row>
    <row r="250" spans="1:28">
      <c r="A250" s="116"/>
      <c r="B250" s="116"/>
      <c r="C250" s="116">
        <v>3</v>
      </c>
      <c r="D250" s="3"/>
      <c r="E250" s="214"/>
      <c r="F250" s="216"/>
      <c r="G250" s="216"/>
      <c r="H250" s="183"/>
      <c r="I250" s="183"/>
      <c r="J250" s="183"/>
      <c r="K250" s="183"/>
      <c r="L250" s="183"/>
      <c r="M250" s="184"/>
      <c r="N250" s="184"/>
      <c r="O250" s="185"/>
      <c r="P250" s="186"/>
      <c r="Q250" s="186"/>
      <c r="R250" s="187"/>
      <c r="S250" s="187"/>
      <c r="T250" s="184"/>
      <c r="U250" s="184"/>
      <c r="V250" s="188"/>
      <c r="W250" s="189"/>
      <c r="X250" s="190"/>
      <c r="Y250" s="185"/>
      <c r="Z250" s="191"/>
      <c r="AA250" s="97"/>
      <c r="AB250" s="192"/>
    </row>
    <row r="251" spans="1:28">
      <c r="A251" s="116"/>
      <c r="B251" s="116"/>
      <c r="C251" s="116">
        <v>0</v>
      </c>
      <c r="D251" s="3"/>
      <c r="E251" s="214"/>
      <c r="F251" s="216"/>
      <c r="G251" s="216"/>
      <c r="H251" s="183"/>
      <c r="I251" s="183"/>
      <c r="J251" s="183"/>
      <c r="K251" s="183"/>
      <c r="L251" s="183"/>
      <c r="M251" s="184"/>
      <c r="N251" s="184"/>
      <c r="O251" s="185"/>
      <c r="P251" s="186"/>
      <c r="Q251" s="186"/>
      <c r="R251" s="187"/>
      <c r="S251" s="187"/>
      <c r="T251" s="184"/>
      <c r="U251" s="184"/>
      <c r="V251" s="188"/>
      <c r="W251" s="189"/>
      <c r="X251" s="190"/>
      <c r="Y251" s="185"/>
      <c r="Z251" s="191"/>
      <c r="AA251" s="97"/>
      <c r="AB251" s="192"/>
    </row>
    <row r="252" spans="1:28">
      <c r="A252" s="116"/>
      <c r="B252" s="116" t="s">
        <v>1061</v>
      </c>
      <c r="C252" s="116">
        <v>2</v>
      </c>
      <c r="D252" s="3"/>
      <c r="E252" s="214"/>
      <c r="F252" s="216"/>
      <c r="G252" s="216"/>
      <c r="H252" s="183"/>
      <c r="I252" s="183"/>
      <c r="J252" s="183"/>
      <c r="K252" s="183"/>
      <c r="L252" s="183"/>
      <c r="M252" s="184"/>
      <c r="N252" s="184"/>
      <c r="O252" s="185"/>
      <c r="P252" s="186"/>
      <c r="Q252" s="186"/>
      <c r="R252" s="187"/>
      <c r="S252" s="187"/>
      <c r="T252" s="184"/>
      <c r="U252" s="184"/>
      <c r="V252" s="188"/>
      <c r="W252" s="189"/>
      <c r="X252" s="190"/>
      <c r="Y252" s="185"/>
      <c r="Z252" s="191"/>
      <c r="AA252" s="97"/>
      <c r="AB252" s="192"/>
    </row>
    <row r="253" spans="1:28">
      <c r="A253" s="116"/>
      <c r="B253" s="116"/>
      <c r="C253" s="116">
        <v>3</v>
      </c>
      <c r="D253" s="3"/>
      <c r="E253" s="214"/>
      <c r="F253" s="216"/>
      <c r="G253" s="216"/>
      <c r="H253" s="183"/>
      <c r="I253" s="183"/>
      <c r="J253" s="183"/>
      <c r="K253" s="183"/>
      <c r="L253" s="183"/>
      <c r="M253" s="184"/>
      <c r="N253" s="184"/>
      <c r="O253" s="185"/>
      <c r="P253" s="186"/>
      <c r="Q253" s="186"/>
      <c r="R253" s="187"/>
      <c r="S253" s="187"/>
      <c r="T253" s="184"/>
      <c r="U253" s="184"/>
      <c r="V253" s="188"/>
      <c r="W253" s="189"/>
      <c r="X253" s="190"/>
      <c r="Y253" s="185"/>
      <c r="Z253" s="191"/>
      <c r="AA253" s="97"/>
      <c r="AB253" s="192"/>
    </row>
    <row r="254" spans="1:28">
      <c r="A254" s="116"/>
      <c r="B254" s="116"/>
      <c r="C254" s="116">
        <v>3</v>
      </c>
      <c r="D254" s="3"/>
      <c r="E254" s="214"/>
      <c r="F254" s="216"/>
      <c r="G254" s="216"/>
      <c r="H254" s="183"/>
      <c r="I254" s="183"/>
      <c r="J254" s="183"/>
      <c r="K254" s="183"/>
      <c r="L254" s="183"/>
      <c r="M254" s="184"/>
      <c r="N254" s="184"/>
      <c r="O254" s="185"/>
      <c r="P254" s="186"/>
      <c r="Q254" s="186"/>
      <c r="R254" s="187"/>
      <c r="S254" s="187"/>
      <c r="T254" s="184"/>
      <c r="U254" s="184"/>
      <c r="V254" s="188"/>
      <c r="W254" s="189"/>
      <c r="X254" s="190"/>
      <c r="Y254" s="185"/>
      <c r="Z254" s="191"/>
      <c r="AA254" s="97"/>
      <c r="AB254" s="192"/>
    </row>
    <row r="255" spans="1:28">
      <c r="A255" s="116"/>
      <c r="B255" s="116"/>
      <c r="C255" s="116">
        <v>3</v>
      </c>
      <c r="D255" s="3"/>
      <c r="E255" s="214"/>
      <c r="F255" s="216"/>
      <c r="G255" s="216"/>
      <c r="H255" s="183"/>
      <c r="I255" s="183"/>
      <c r="J255" s="183"/>
      <c r="K255" s="183"/>
      <c r="L255" s="183"/>
      <c r="M255" s="184"/>
      <c r="N255" s="184"/>
      <c r="O255" s="185"/>
      <c r="P255" s="186"/>
      <c r="Q255" s="186"/>
      <c r="R255" s="187"/>
      <c r="S255" s="187"/>
      <c r="T255" s="184"/>
      <c r="U255" s="184"/>
      <c r="V255" s="188"/>
      <c r="W255" s="189"/>
      <c r="X255" s="190"/>
      <c r="Y255" s="185"/>
      <c r="Z255" s="191"/>
      <c r="AA255" s="97"/>
      <c r="AB255" s="192"/>
    </row>
    <row r="256" spans="1:28">
      <c r="A256" s="116"/>
      <c r="B256" s="116"/>
      <c r="C256" s="116">
        <v>3</v>
      </c>
      <c r="D256" s="3"/>
      <c r="E256" s="214"/>
      <c r="F256" s="216"/>
      <c r="G256" s="216"/>
      <c r="H256" s="183"/>
      <c r="I256" s="183"/>
      <c r="J256" s="183"/>
      <c r="K256" s="183"/>
      <c r="L256" s="183"/>
      <c r="M256" s="184"/>
      <c r="N256" s="184"/>
      <c r="O256" s="185"/>
      <c r="P256" s="186"/>
      <c r="Q256" s="186"/>
      <c r="R256" s="187"/>
      <c r="S256" s="187"/>
      <c r="T256" s="184"/>
      <c r="U256" s="184"/>
      <c r="V256" s="188"/>
      <c r="W256" s="189"/>
      <c r="X256" s="190"/>
      <c r="Y256" s="185"/>
      <c r="Z256" s="191"/>
      <c r="AA256" s="97"/>
      <c r="AB256" s="192"/>
    </row>
    <row r="257" spans="1:28">
      <c r="A257" s="116"/>
      <c r="B257" s="116"/>
      <c r="C257" s="116">
        <v>0</v>
      </c>
      <c r="D257" s="3"/>
      <c r="E257" s="214"/>
      <c r="F257" s="183"/>
      <c r="G257" s="183"/>
      <c r="H257" s="183"/>
      <c r="I257" s="183"/>
      <c r="J257" s="183"/>
      <c r="K257" s="183"/>
      <c r="L257" s="183"/>
      <c r="M257" s="184"/>
      <c r="N257" s="184"/>
      <c r="O257" s="185"/>
      <c r="P257" s="186"/>
      <c r="Q257" s="186"/>
      <c r="R257" s="187"/>
      <c r="S257" s="187"/>
      <c r="T257" s="184"/>
      <c r="U257" s="184"/>
      <c r="V257" s="188"/>
      <c r="W257" s="189"/>
      <c r="X257" s="190"/>
      <c r="Y257" s="185"/>
      <c r="Z257" s="191"/>
      <c r="AA257" s="97"/>
      <c r="AB257" s="192"/>
    </row>
    <row r="258" spans="1:28">
      <c r="A258" s="116"/>
      <c r="B258" s="116" t="s">
        <v>1061</v>
      </c>
      <c r="C258" s="116">
        <v>2</v>
      </c>
      <c r="D258" s="3"/>
      <c r="E258" s="214"/>
      <c r="F258" s="216"/>
      <c r="G258" s="216"/>
      <c r="H258" s="183"/>
      <c r="I258" s="183"/>
      <c r="J258" s="183"/>
      <c r="K258" s="183"/>
      <c r="L258" s="183"/>
      <c r="M258" s="184"/>
      <c r="N258" s="184"/>
      <c r="O258" s="185"/>
      <c r="P258" s="186"/>
      <c r="Q258" s="186"/>
      <c r="R258" s="187"/>
      <c r="S258" s="187"/>
      <c r="T258" s="184"/>
      <c r="U258" s="184"/>
      <c r="V258" s="188"/>
      <c r="W258" s="189"/>
      <c r="X258" s="190"/>
      <c r="Y258" s="185"/>
      <c r="Z258" s="191"/>
      <c r="AA258" s="97"/>
      <c r="AB258" s="192"/>
    </row>
    <row r="259" spans="1:28">
      <c r="A259" s="116"/>
      <c r="B259" s="116"/>
      <c r="C259" s="116">
        <v>3</v>
      </c>
      <c r="D259" s="3"/>
      <c r="E259" s="214"/>
      <c r="F259" s="216"/>
      <c r="G259" s="216"/>
      <c r="H259" s="183"/>
      <c r="I259" s="183"/>
      <c r="J259" s="183"/>
      <c r="K259" s="183"/>
      <c r="L259" s="183"/>
      <c r="M259" s="184"/>
      <c r="N259" s="184"/>
      <c r="O259" s="185"/>
      <c r="P259" s="186"/>
      <c r="Q259" s="186"/>
      <c r="R259" s="187"/>
      <c r="S259" s="187"/>
      <c r="T259" s="184"/>
      <c r="U259" s="184"/>
      <c r="V259" s="188"/>
      <c r="W259" s="189"/>
      <c r="X259" s="190"/>
      <c r="Y259" s="185"/>
      <c r="Z259" s="191"/>
      <c r="AA259" s="97"/>
      <c r="AB259" s="192"/>
    </row>
    <row r="260" spans="1:28">
      <c r="A260" s="116"/>
      <c r="B260" s="116"/>
      <c r="C260" s="116">
        <v>3</v>
      </c>
      <c r="D260" s="3"/>
      <c r="E260" s="214"/>
      <c r="F260" s="216"/>
      <c r="G260" s="216"/>
      <c r="H260" s="183"/>
      <c r="I260" s="183"/>
      <c r="J260" s="183"/>
      <c r="K260" s="183"/>
      <c r="L260" s="183"/>
      <c r="M260" s="184"/>
      <c r="N260" s="184"/>
      <c r="O260" s="185"/>
      <c r="P260" s="186"/>
      <c r="Q260" s="186"/>
      <c r="R260" s="187"/>
      <c r="S260" s="187"/>
      <c r="T260" s="184"/>
      <c r="U260" s="184"/>
      <c r="V260" s="188"/>
      <c r="W260" s="189"/>
      <c r="X260" s="190"/>
      <c r="Y260" s="185"/>
      <c r="Z260" s="191"/>
      <c r="AA260" s="97"/>
      <c r="AB260" s="192"/>
    </row>
    <row r="261" spans="1:28">
      <c r="A261" s="116"/>
      <c r="B261" s="116"/>
      <c r="C261" s="116">
        <v>3</v>
      </c>
      <c r="D261" s="3"/>
      <c r="E261" s="214"/>
      <c r="F261" s="216"/>
      <c r="G261" s="216"/>
      <c r="H261" s="183"/>
      <c r="I261" s="183"/>
      <c r="J261" s="183"/>
      <c r="K261" s="183"/>
      <c r="L261" s="183"/>
      <c r="M261" s="184"/>
      <c r="N261" s="184"/>
      <c r="O261" s="185"/>
      <c r="P261" s="186"/>
      <c r="Q261" s="186"/>
      <c r="R261" s="187"/>
      <c r="S261" s="187"/>
      <c r="T261" s="184"/>
      <c r="U261" s="184"/>
      <c r="V261" s="188"/>
      <c r="W261" s="189"/>
      <c r="X261" s="190"/>
      <c r="Y261" s="185"/>
      <c r="Z261" s="191"/>
      <c r="AA261" s="97"/>
      <c r="AB261" s="192"/>
    </row>
    <row r="262" spans="1:28">
      <c r="A262" s="116"/>
      <c r="B262" s="116"/>
      <c r="C262" s="116">
        <v>3</v>
      </c>
      <c r="D262" s="3"/>
      <c r="E262" s="214"/>
      <c r="F262" s="216"/>
      <c r="G262" s="216"/>
      <c r="H262" s="183"/>
      <c r="I262" s="183"/>
      <c r="J262" s="183"/>
      <c r="K262" s="183"/>
      <c r="L262" s="183"/>
      <c r="M262" s="184"/>
      <c r="N262" s="184"/>
      <c r="O262" s="185"/>
      <c r="P262" s="186"/>
      <c r="Q262" s="186"/>
      <c r="R262" s="187"/>
      <c r="S262" s="187"/>
      <c r="T262" s="184"/>
      <c r="U262" s="184"/>
      <c r="V262" s="188"/>
      <c r="W262" s="189"/>
      <c r="X262" s="190"/>
      <c r="Y262" s="185"/>
      <c r="Z262" s="191"/>
      <c r="AA262" s="97"/>
      <c r="AB262" s="192"/>
    </row>
    <row r="263" spans="1:28">
      <c r="A263" s="116"/>
      <c r="B263" s="116"/>
      <c r="C263" s="116">
        <v>0</v>
      </c>
      <c r="D263" s="3"/>
      <c r="E263" s="214"/>
      <c r="F263" s="183"/>
      <c r="G263" s="183"/>
      <c r="H263" s="183"/>
      <c r="I263" s="183"/>
      <c r="J263" s="183"/>
      <c r="K263" s="183"/>
      <c r="L263" s="183"/>
      <c r="M263" s="184"/>
      <c r="N263" s="184"/>
      <c r="O263" s="185"/>
      <c r="P263" s="186"/>
      <c r="Q263" s="186"/>
      <c r="R263" s="187"/>
      <c r="S263" s="187"/>
      <c r="T263" s="184"/>
      <c r="U263" s="184"/>
      <c r="V263" s="188"/>
      <c r="W263" s="189"/>
      <c r="X263" s="190"/>
      <c r="Y263" s="185"/>
      <c r="Z263" s="191"/>
      <c r="AA263" s="97"/>
      <c r="AB263" s="192"/>
    </row>
    <row r="264" spans="1:28">
      <c r="A264" s="116"/>
      <c r="B264" s="116" t="s">
        <v>1061</v>
      </c>
      <c r="C264" s="116">
        <v>2</v>
      </c>
      <c r="D264" s="3"/>
      <c r="E264" s="214"/>
      <c r="F264" s="216"/>
      <c r="G264" s="216"/>
      <c r="H264" s="183"/>
      <c r="I264" s="183"/>
      <c r="J264" s="183"/>
      <c r="K264" s="183"/>
      <c r="L264" s="183"/>
      <c r="M264" s="184"/>
      <c r="N264" s="184"/>
      <c r="O264" s="185"/>
      <c r="P264" s="186"/>
      <c r="Q264" s="186"/>
      <c r="R264" s="187"/>
      <c r="S264" s="187"/>
      <c r="T264" s="184"/>
      <c r="U264" s="184"/>
      <c r="V264" s="188"/>
      <c r="W264" s="189"/>
      <c r="X264" s="190"/>
      <c r="Y264" s="185"/>
      <c r="Z264" s="191"/>
      <c r="AA264" s="97"/>
      <c r="AB264" s="192"/>
    </row>
    <row r="265" spans="1:28">
      <c r="A265" s="116"/>
      <c r="B265" s="116"/>
      <c r="C265" s="116">
        <v>3</v>
      </c>
      <c r="D265" s="3"/>
      <c r="E265" s="214"/>
      <c r="F265" s="216"/>
      <c r="G265" s="216"/>
      <c r="H265" s="183"/>
      <c r="I265" s="183"/>
      <c r="J265" s="183"/>
      <c r="K265" s="183"/>
      <c r="L265" s="183"/>
      <c r="M265" s="184"/>
      <c r="N265" s="184"/>
      <c r="O265" s="185"/>
      <c r="P265" s="186"/>
      <c r="Q265" s="186"/>
      <c r="R265" s="187"/>
      <c r="S265" s="187"/>
      <c r="T265" s="184"/>
      <c r="U265" s="184"/>
      <c r="V265" s="188"/>
      <c r="W265" s="189"/>
      <c r="X265" s="190"/>
      <c r="Y265" s="185"/>
      <c r="Z265" s="191"/>
      <c r="AA265" s="97"/>
      <c r="AB265" s="192"/>
    </row>
    <row r="266" spans="1:28">
      <c r="A266" s="116"/>
      <c r="B266" s="116"/>
      <c r="C266" s="116">
        <v>3</v>
      </c>
      <c r="D266" s="3"/>
      <c r="E266" s="214"/>
      <c r="F266" s="216"/>
      <c r="G266" s="216"/>
      <c r="H266" s="183"/>
      <c r="I266" s="183"/>
      <c r="J266" s="183"/>
      <c r="K266" s="183"/>
      <c r="L266" s="183"/>
      <c r="M266" s="184"/>
      <c r="N266" s="184"/>
      <c r="O266" s="185"/>
      <c r="P266" s="186"/>
      <c r="Q266" s="186"/>
      <c r="R266" s="187"/>
      <c r="S266" s="187"/>
      <c r="T266" s="184"/>
      <c r="U266" s="184"/>
      <c r="V266" s="188"/>
      <c r="W266" s="189"/>
      <c r="X266" s="190"/>
      <c r="Y266" s="185"/>
      <c r="Z266" s="191"/>
      <c r="AA266" s="97"/>
      <c r="AB266" s="192"/>
    </row>
    <row r="267" spans="1:28">
      <c r="A267" s="116"/>
      <c r="B267" s="116"/>
      <c r="C267" s="116">
        <v>3</v>
      </c>
      <c r="D267" s="3"/>
      <c r="E267" s="214"/>
      <c r="F267" s="216"/>
      <c r="G267" s="216"/>
      <c r="H267" s="183"/>
      <c r="I267" s="183"/>
      <c r="J267" s="183"/>
      <c r="K267" s="183"/>
      <c r="L267" s="183"/>
      <c r="M267" s="184"/>
      <c r="N267" s="184"/>
      <c r="O267" s="185"/>
      <c r="P267" s="186"/>
      <c r="Q267" s="186"/>
      <c r="R267" s="187"/>
      <c r="S267" s="187"/>
      <c r="T267" s="184"/>
      <c r="U267" s="184"/>
      <c r="V267" s="188"/>
      <c r="W267" s="189"/>
      <c r="X267" s="190"/>
      <c r="Y267" s="185"/>
      <c r="Z267" s="191"/>
      <c r="AA267" s="97"/>
      <c r="AB267" s="192"/>
    </row>
    <row r="268" spans="1:28">
      <c r="A268" s="116"/>
      <c r="B268" s="116"/>
      <c r="C268" s="116">
        <v>3</v>
      </c>
      <c r="D268" s="3"/>
      <c r="E268" s="214"/>
      <c r="F268" s="216"/>
      <c r="G268" s="216"/>
      <c r="H268" s="183"/>
      <c r="I268" s="183"/>
      <c r="J268" s="183"/>
      <c r="K268" s="183"/>
      <c r="L268" s="183"/>
      <c r="M268" s="184"/>
      <c r="N268" s="184"/>
      <c r="O268" s="185"/>
      <c r="P268" s="186"/>
      <c r="Q268" s="186"/>
      <c r="R268" s="187"/>
      <c r="S268" s="187"/>
      <c r="T268" s="184"/>
      <c r="U268" s="184"/>
      <c r="V268" s="188"/>
      <c r="W268" s="189"/>
      <c r="X268" s="190"/>
      <c r="Y268" s="185"/>
      <c r="Z268" s="191"/>
      <c r="AA268" s="97"/>
      <c r="AB268" s="192"/>
    </row>
    <row r="269" spans="1:28">
      <c r="A269" s="116"/>
      <c r="B269" s="116"/>
      <c r="C269" s="116">
        <v>0</v>
      </c>
      <c r="D269" s="3"/>
      <c r="E269" s="214"/>
      <c r="F269" s="183"/>
      <c r="G269" s="183"/>
      <c r="H269" s="183"/>
      <c r="I269" s="183"/>
      <c r="J269" s="183"/>
      <c r="K269" s="183"/>
      <c r="L269" s="183"/>
      <c r="M269" s="184"/>
      <c r="N269" s="184"/>
      <c r="O269" s="185"/>
      <c r="P269" s="186"/>
      <c r="Q269" s="186"/>
      <c r="R269" s="187"/>
      <c r="S269" s="187"/>
      <c r="T269" s="184"/>
      <c r="U269" s="184"/>
      <c r="V269" s="188"/>
      <c r="W269" s="189"/>
      <c r="X269" s="190"/>
      <c r="Y269" s="185"/>
      <c r="Z269" s="191"/>
      <c r="AA269" s="97"/>
      <c r="AB269" s="192"/>
    </row>
    <row r="270" spans="1:28">
      <c r="A270" s="116"/>
      <c r="B270" s="116" t="s">
        <v>1061</v>
      </c>
      <c r="C270" s="116">
        <v>2</v>
      </c>
      <c r="D270" s="3"/>
      <c r="E270" s="214"/>
      <c r="F270" s="216"/>
      <c r="G270" s="216"/>
      <c r="H270" s="183"/>
      <c r="I270" s="183"/>
      <c r="J270" s="183"/>
      <c r="K270" s="183"/>
      <c r="L270" s="183"/>
      <c r="M270" s="184"/>
      <c r="N270" s="184"/>
      <c r="O270" s="185"/>
      <c r="P270" s="186"/>
      <c r="Q270" s="186"/>
      <c r="R270" s="187"/>
      <c r="S270" s="187"/>
      <c r="T270" s="184"/>
      <c r="U270" s="184"/>
      <c r="V270" s="188"/>
      <c r="W270" s="189"/>
      <c r="X270" s="190"/>
      <c r="Y270" s="185"/>
      <c r="Z270" s="191"/>
      <c r="AA270" s="97"/>
      <c r="AB270" s="192"/>
    </row>
    <row r="271" spans="1:28">
      <c r="A271" s="116"/>
      <c r="B271" s="116"/>
      <c r="C271" s="116">
        <v>3</v>
      </c>
      <c r="D271" s="3"/>
      <c r="E271" s="214"/>
      <c r="F271" s="216"/>
      <c r="G271" s="216"/>
      <c r="H271" s="183"/>
      <c r="I271" s="183"/>
      <c r="J271" s="183"/>
      <c r="K271" s="183"/>
      <c r="L271" s="183"/>
      <c r="M271" s="184"/>
      <c r="N271" s="184"/>
      <c r="O271" s="185"/>
      <c r="P271" s="186"/>
      <c r="Q271" s="186"/>
      <c r="R271" s="187"/>
      <c r="S271" s="187"/>
      <c r="T271" s="184"/>
      <c r="U271" s="184"/>
      <c r="V271" s="188"/>
      <c r="W271" s="189"/>
      <c r="X271" s="190"/>
      <c r="Y271" s="185"/>
      <c r="Z271" s="191"/>
      <c r="AA271" s="97"/>
      <c r="AB271" s="192"/>
    </row>
    <row r="272" spans="1:28">
      <c r="A272" s="116"/>
      <c r="B272" s="116"/>
      <c r="C272" s="116">
        <v>3</v>
      </c>
      <c r="D272" s="3"/>
      <c r="E272" s="214"/>
      <c r="F272" s="216"/>
      <c r="G272" s="216"/>
      <c r="H272" s="183"/>
      <c r="I272" s="183"/>
      <c r="J272" s="183"/>
      <c r="K272" s="183"/>
      <c r="L272" s="183"/>
      <c r="M272" s="184"/>
      <c r="N272" s="184"/>
      <c r="O272" s="185"/>
      <c r="P272" s="186"/>
      <c r="Q272" s="186"/>
      <c r="R272" s="187"/>
      <c r="S272" s="187"/>
      <c r="T272" s="184"/>
      <c r="U272" s="184"/>
      <c r="V272" s="188"/>
      <c r="W272" s="189"/>
      <c r="X272" s="190"/>
      <c r="Y272" s="185"/>
      <c r="Z272" s="191"/>
      <c r="AA272" s="97"/>
      <c r="AB272" s="192"/>
    </row>
    <row r="273" spans="1:28">
      <c r="A273" s="116"/>
      <c r="B273" s="116"/>
      <c r="C273" s="116">
        <v>3</v>
      </c>
      <c r="D273" s="3"/>
      <c r="E273" s="214"/>
      <c r="F273" s="216"/>
      <c r="G273" s="216"/>
      <c r="H273" s="183"/>
      <c r="I273" s="183"/>
      <c r="J273" s="183"/>
      <c r="K273" s="183"/>
      <c r="L273" s="183"/>
      <c r="M273" s="184"/>
      <c r="N273" s="184"/>
      <c r="O273" s="185"/>
      <c r="P273" s="186"/>
      <c r="Q273" s="186"/>
      <c r="R273" s="187"/>
      <c r="S273" s="187"/>
      <c r="T273" s="184"/>
      <c r="U273" s="184"/>
      <c r="V273" s="188"/>
      <c r="W273" s="189"/>
      <c r="X273" s="190"/>
      <c r="Y273" s="185"/>
      <c r="Z273" s="191"/>
      <c r="AA273" s="97"/>
      <c r="AB273" s="192"/>
    </row>
    <row r="274" spans="1:28">
      <c r="A274" s="116"/>
      <c r="B274" s="116"/>
      <c r="C274" s="116">
        <v>3</v>
      </c>
      <c r="D274" s="3"/>
      <c r="E274" s="214"/>
      <c r="F274" s="216"/>
      <c r="G274" s="216"/>
      <c r="H274" s="183"/>
      <c r="I274" s="183"/>
      <c r="J274" s="183"/>
      <c r="K274" s="183"/>
      <c r="L274" s="183"/>
      <c r="M274" s="184"/>
      <c r="N274" s="184"/>
      <c r="O274" s="185"/>
      <c r="P274" s="186"/>
      <c r="Q274" s="186"/>
      <c r="R274" s="187"/>
      <c r="S274" s="187"/>
      <c r="T274" s="184"/>
      <c r="U274" s="184"/>
      <c r="V274" s="188"/>
      <c r="W274" s="189"/>
      <c r="X274" s="190"/>
      <c r="Y274" s="185"/>
      <c r="Z274" s="191"/>
      <c r="AA274" s="97"/>
      <c r="AB274" s="192"/>
    </row>
    <row r="275" spans="1:28">
      <c r="A275" s="116"/>
      <c r="B275" s="116"/>
      <c r="C275" s="116">
        <v>0</v>
      </c>
      <c r="D275" s="3"/>
      <c r="E275" s="183"/>
      <c r="F275" s="183"/>
      <c r="G275" s="183"/>
      <c r="H275" s="183"/>
      <c r="I275" s="183"/>
      <c r="J275" s="183"/>
      <c r="K275" s="183"/>
      <c r="L275" s="183"/>
      <c r="M275" s="184"/>
      <c r="N275" s="184"/>
      <c r="O275" s="185"/>
      <c r="P275" s="186"/>
      <c r="Q275" s="186"/>
      <c r="R275" s="187"/>
      <c r="S275" s="187"/>
      <c r="T275" s="184"/>
      <c r="U275" s="184"/>
      <c r="V275" s="188"/>
      <c r="W275" s="189"/>
      <c r="X275" s="190"/>
      <c r="Y275" s="185"/>
      <c r="Z275" s="191"/>
      <c r="AA275" s="97"/>
      <c r="AB275" s="192"/>
    </row>
    <row r="276" spans="1:28">
      <c r="A276" s="116"/>
      <c r="B276" s="116" t="s">
        <v>1061</v>
      </c>
      <c r="C276" s="116">
        <v>2</v>
      </c>
      <c r="D276" s="3"/>
      <c r="E276" s="214"/>
      <c r="F276" s="216"/>
      <c r="G276" s="216"/>
      <c r="H276" s="183"/>
      <c r="I276" s="183"/>
      <c r="J276" s="183"/>
      <c r="K276" s="183"/>
      <c r="L276" s="183"/>
      <c r="M276" s="184"/>
      <c r="N276" s="184"/>
      <c r="O276" s="185"/>
      <c r="P276" s="186"/>
      <c r="Q276" s="186"/>
      <c r="R276" s="187"/>
      <c r="S276" s="187"/>
      <c r="T276" s="184"/>
      <c r="U276" s="184"/>
      <c r="V276" s="188"/>
      <c r="W276" s="189"/>
      <c r="X276" s="190"/>
      <c r="Y276" s="185"/>
      <c r="Z276" s="191"/>
      <c r="AA276" s="97"/>
      <c r="AB276" s="192"/>
    </row>
    <row r="277" spans="1:28">
      <c r="A277" s="116"/>
      <c r="B277" s="116"/>
      <c r="C277" s="116">
        <v>3</v>
      </c>
      <c r="D277" s="3"/>
      <c r="E277" s="214"/>
      <c r="F277" s="216"/>
      <c r="G277" s="216"/>
      <c r="H277" s="183"/>
      <c r="I277" s="183"/>
      <c r="J277" s="183"/>
      <c r="K277" s="183"/>
      <c r="L277" s="183"/>
      <c r="M277" s="184"/>
      <c r="N277" s="184"/>
      <c r="O277" s="185"/>
      <c r="P277" s="186"/>
      <c r="Q277" s="186"/>
      <c r="R277" s="187"/>
      <c r="S277" s="187"/>
      <c r="T277" s="184"/>
      <c r="U277" s="184"/>
      <c r="V277" s="188"/>
      <c r="W277" s="189"/>
      <c r="X277" s="190"/>
      <c r="Y277" s="185"/>
      <c r="Z277" s="191"/>
      <c r="AA277" s="97"/>
      <c r="AB277" s="192"/>
    </row>
    <row r="278" spans="1:28">
      <c r="A278" s="116"/>
      <c r="B278" s="116"/>
      <c r="C278" s="116">
        <v>3</v>
      </c>
      <c r="D278" s="3"/>
      <c r="E278" s="214"/>
      <c r="F278" s="216"/>
      <c r="G278" s="216"/>
      <c r="H278" s="183"/>
      <c r="I278" s="183"/>
      <c r="J278" s="183"/>
      <c r="K278" s="183"/>
      <c r="L278" s="183"/>
      <c r="M278" s="184"/>
      <c r="N278" s="184"/>
      <c r="O278" s="185"/>
      <c r="P278" s="186"/>
      <c r="Q278" s="186"/>
      <c r="R278" s="187"/>
      <c r="S278" s="187"/>
      <c r="T278" s="184"/>
      <c r="U278" s="184"/>
      <c r="V278" s="188"/>
      <c r="W278" s="189"/>
      <c r="X278" s="190"/>
      <c r="Y278" s="185"/>
      <c r="Z278" s="191"/>
      <c r="AA278" s="97"/>
      <c r="AB278" s="192"/>
    </row>
    <row r="279" spans="1:28">
      <c r="A279" s="116"/>
      <c r="B279" s="116"/>
      <c r="C279" s="116">
        <v>3</v>
      </c>
      <c r="D279" s="3"/>
      <c r="E279" s="214"/>
      <c r="F279" s="216"/>
      <c r="G279" s="216"/>
      <c r="H279" s="183"/>
      <c r="I279" s="183"/>
      <c r="J279" s="183"/>
      <c r="K279" s="183"/>
      <c r="L279" s="183"/>
      <c r="M279" s="184"/>
      <c r="N279" s="184"/>
      <c r="O279" s="185"/>
      <c r="P279" s="186"/>
      <c r="Q279" s="186"/>
      <c r="R279" s="187"/>
      <c r="S279" s="187"/>
      <c r="T279" s="184"/>
      <c r="U279" s="184"/>
      <c r="V279" s="188"/>
      <c r="W279" s="189"/>
      <c r="X279" s="190"/>
      <c r="Y279" s="185"/>
      <c r="Z279" s="191"/>
      <c r="AA279" s="97"/>
      <c r="AB279" s="192"/>
    </row>
    <row r="280" spans="1:28">
      <c r="A280" s="116"/>
      <c r="B280" s="116"/>
      <c r="C280" s="116">
        <v>3</v>
      </c>
      <c r="D280" s="3"/>
      <c r="E280" s="214"/>
      <c r="F280" s="216"/>
      <c r="G280" s="216"/>
      <c r="H280" s="183"/>
      <c r="I280" s="183"/>
      <c r="J280" s="183"/>
      <c r="K280" s="183"/>
      <c r="L280" s="183"/>
      <c r="M280" s="184"/>
      <c r="N280" s="184"/>
      <c r="O280" s="185"/>
      <c r="P280" s="186"/>
      <c r="Q280" s="186"/>
      <c r="R280" s="187"/>
      <c r="S280" s="187"/>
      <c r="T280" s="184"/>
      <c r="U280" s="184"/>
      <c r="V280" s="188"/>
      <c r="W280" s="189"/>
      <c r="X280" s="190"/>
      <c r="Y280" s="185"/>
      <c r="Z280" s="191"/>
      <c r="AA280" s="97"/>
      <c r="AB280" s="192"/>
    </row>
    <row r="281" spans="1:28">
      <c r="A281" s="116"/>
      <c r="B281" s="116"/>
      <c r="C281" s="116">
        <v>0</v>
      </c>
      <c r="D281" s="3"/>
      <c r="E281" s="183"/>
      <c r="F281" s="183"/>
      <c r="G281" s="183"/>
      <c r="H281" s="183"/>
      <c r="I281" s="183"/>
      <c r="J281" s="183"/>
      <c r="K281" s="183"/>
      <c r="L281" s="183"/>
      <c r="M281" s="184"/>
      <c r="N281" s="184"/>
      <c r="O281" s="185"/>
      <c r="P281" s="186"/>
      <c r="Q281" s="186"/>
      <c r="R281" s="187"/>
      <c r="S281" s="187"/>
      <c r="T281" s="184"/>
      <c r="U281" s="184"/>
      <c r="V281" s="188"/>
      <c r="W281" s="189"/>
      <c r="X281" s="190"/>
      <c r="Y281" s="185"/>
      <c r="Z281" s="191"/>
      <c r="AA281" s="97"/>
      <c r="AB281" s="192"/>
    </row>
    <row r="282" spans="1:28">
      <c r="A282" s="116"/>
      <c r="B282" s="116" t="s">
        <v>1061</v>
      </c>
      <c r="C282" s="116">
        <v>1</v>
      </c>
      <c r="D282" s="3"/>
      <c r="E282" s="214"/>
      <c r="F282" s="183"/>
      <c r="G282" s="183"/>
      <c r="H282" s="183"/>
      <c r="I282" s="183"/>
      <c r="J282" s="183"/>
      <c r="K282" s="183"/>
      <c r="L282" s="183"/>
      <c r="M282" s="184"/>
      <c r="N282" s="184"/>
      <c r="O282" s="185"/>
      <c r="P282" s="186"/>
      <c r="Q282" s="186"/>
      <c r="R282" s="187"/>
      <c r="S282" s="187"/>
      <c r="T282" s="184"/>
      <c r="U282" s="184"/>
      <c r="V282" s="188"/>
      <c r="W282" s="189"/>
      <c r="X282" s="190"/>
      <c r="Y282" s="185"/>
      <c r="Z282" s="191"/>
      <c r="AA282" s="97"/>
      <c r="AB282" s="192"/>
    </row>
    <row r="283" spans="1:28">
      <c r="A283" s="116"/>
      <c r="B283" s="116" t="s">
        <v>1061</v>
      </c>
      <c r="C283" s="116">
        <v>2</v>
      </c>
      <c r="D283" s="3"/>
      <c r="E283" s="215"/>
      <c r="F283" s="216"/>
      <c r="G283" s="216"/>
      <c r="H283" s="183"/>
      <c r="I283" s="183"/>
      <c r="J283" s="183"/>
      <c r="K283" s="183"/>
      <c r="L283" s="183"/>
      <c r="M283" s="184"/>
      <c r="N283" s="184"/>
      <c r="O283" s="185"/>
      <c r="P283" s="186"/>
      <c r="Q283" s="186"/>
      <c r="R283" s="187"/>
      <c r="S283" s="187"/>
      <c r="T283" s="184"/>
      <c r="U283" s="184"/>
      <c r="V283" s="188"/>
      <c r="W283" s="189"/>
      <c r="X283" s="190"/>
      <c r="Y283" s="185"/>
      <c r="Z283" s="191"/>
      <c r="AA283" s="97"/>
      <c r="AB283" s="192"/>
    </row>
    <row r="284" spans="1:28">
      <c r="A284" s="116"/>
      <c r="B284" s="116"/>
      <c r="C284" s="116">
        <v>3</v>
      </c>
      <c r="D284" s="3"/>
      <c r="E284" s="215"/>
      <c r="F284" s="216"/>
      <c r="G284" s="216"/>
      <c r="H284" s="183"/>
      <c r="I284" s="183"/>
      <c r="J284" s="183"/>
      <c r="K284" s="183"/>
      <c r="L284" s="183"/>
      <c r="M284" s="184"/>
      <c r="N284" s="184"/>
      <c r="O284" s="185"/>
      <c r="P284" s="186"/>
      <c r="Q284" s="186"/>
      <c r="R284" s="187"/>
      <c r="S284" s="187"/>
      <c r="T284" s="184"/>
      <c r="U284" s="184"/>
      <c r="V284" s="188"/>
      <c r="W284" s="189"/>
      <c r="X284" s="190"/>
      <c r="Y284" s="185"/>
      <c r="Z284" s="191"/>
      <c r="AA284" s="97"/>
      <c r="AB284" s="192"/>
    </row>
    <row r="285" spans="1:28">
      <c r="A285" s="116"/>
      <c r="B285" s="116"/>
      <c r="C285" s="116">
        <v>3</v>
      </c>
      <c r="D285" s="3"/>
      <c r="E285" s="215"/>
      <c r="F285" s="216"/>
      <c r="G285" s="216"/>
      <c r="H285" s="183"/>
      <c r="I285" s="183"/>
      <c r="J285" s="183"/>
      <c r="K285" s="183"/>
      <c r="L285" s="183"/>
      <c r="M285" s="184"/>
      <c r="N285" s="184"/>
      <c r="O285" s="185"/>
      <c r="P285" s="186"/>
      <c r="Q285" s="186"/>
      <c r="R285" s="187"/>
      <c r="S285" s="187"/>
      <c r="T285" s="184"/>
      <c r="U285" s="184"/>
      <c r="V285" s="188"/>
      <c r="W285" s="189"/>
      <c r="X285" s="190"/>
      <c r="Y285" s="185"/>
      <c r="Z285" s="191"/>
      <c r="AA285" s="97"/>
      <c r="AB285" s="192"/>
    </row>
    <row r="286" spans="1:28">
      <c r="A286" s="116"/>
      <c r="B286" s="116"/>
      <c r="C286" s="116">
        <v>0</v>
      </c>
      <c r="D286" s="3"/>
      <c r="E286" s="215"/>
      <c r="F286" s="216"/>
      <c r="G286" s="216"/>
      <c r="H286" s="183"/>
      <c r="I286" s="183"/>
      <c r="J286" s="183"/>
      <c r="K286" s="183"/>
      <c r="L286" s="183"/>
      <c r="M286" s="184"/>
      <c r="N286" s="184"/>
      <c r="O286" s="185"/>
      <c r="P286" s="186"/>
      <c r="Q286" s="186"/>
      <c r="R286" s="187"/>
      <c r="S286" s="187"/>
      <c r="T286" s="184"/>
      <c r="U286" s="184"/>
      <c r="V286" s="188"/>
      <c r="W286" s="189"/>
      <c r="X286" s="190"/>
      <c r="Y286" s="185"/>
      <c r="Z286" s="191"/>
      <c r="AA286" s="97"/>
      <c r="AB286" s="192"/>
    </row>
    <row r="287" spans="1:28">
      <c r="A287" s="116"/>
      <c r="B287" s="116" t="s">
        <v>1061</v>
      </c>
      <c r="C287" s="116">
        <v>2</v>
      </c>
      <c r="D287" s="3"/>
      <c r="E287" s="183"/>
      <c r="F287" s="216"/>
      <c r="G287" s="216"/>
      <c r="H287" s="183"/>
      <c r="I287" s="183"/>
      <c r="J287" s="183"/>
      <c r="K287" s="183"/>
      <c r="L287" s="183"/>
      <c r="M287" s="184"/>
      <c r="N287" s="184"/>
      <c r="O287" s="185"/>
      <c r="P287" s="186"/>
      <c r="Q287" s="186"/>
      <c r="R287" s="187"/>
      <c r="S287" s="187"/>
      <c r="T287" s="184"/>
      <c r="U287" s="184"/>
      <c r="V287" s="188"/>
      <c r="W287" s="189"/>
      <c r="X287" s="190"/>
      <c r="Y287" s="185"/>
      <c r="Z287" s="191"/>
      <c r="AA287" s="97"/>
      <c r="AB287" s="192"/>
    </row>
    <row r="288" spans="1:28">
      <c r="A288" s="116"/>
      <c r="B288" s="116"/>
      <c r="C288" s="116">
        <v>3</v>
      </c>
      <c r="D288" s="3"/>
      <c r="E288" s="215"/>
      <c r="F288" s="216"/>
      <c r="G288" s="216"/>
      <c r="H288" s="183"/>
      <c r="I288" s="183"/>
      <c r="J288" s="183"/>
      <c r="K288" s="183"/>
      <c r="L288" s="183"/>
      <c r="M288" s="184"/>
      <c r="N288" s="184"/>
      <c r="O288" s="185"/>
      <c r="P288" s="186"/>
      <c r="Q288" s="186"/>
      <c r="R288" s="187"/>
      <c r="S288" s="187"/>
      <c r="T288" s="184"/>
      <c r="U288" s="184"/>
      <c r="V288" s="188"/>
      <c r="W288" s="189"/>
      <c r="X288" s="190"/>
      <c r="Y288" s="185"/>
      <c r="Z288" s="191"/>
      <c r="AA288" s="97"/>
      <c r="AB288" s="192"/>
    </row>
    <row r="289" spans="1:28">
      <c r="A289" s="116"/>
      <c r="B289" s="116"/>
      <c r="C289" s="116">
        <v>3</v>
      </c>
      <c r="D289" s="3"/>
      <c r="E289" s="215"/>
      <c r="F289" s="216"/>
      <c r="G289" s="216"/>
      <c r="H289" s="183"/>
      <c r="I289" s="183"/>
      <c r="J289" s="183"/>
      <c r="K289" s="183"/>
      <c r="L289" s="183"/>
      <c r="M289" s="184"/>
      <c r="N289" s="184"/>
      <c r="O289" s="185"/>
      <c r="P289" s="186"/>
      <c r="Q289" s="186"/>
      <c r="R289" s="187"/>
      <c r="S289" s="187"/>
      <c r="T289" s="184"/>
      <c r="U289" s="184"/>
      <c r="V289" s="188"/>
      <c r="W289" s="189"/>
      <c r="X289" s="190"/>
      <c r="Y289" s="185"/>
      <c r="Z289" s="191"/>
      <c r="AA289" s="97"/>
      <c r="AB289" s="192"/>
    </row>
    <row r="290" spans="1:28">
      <c r="A290" s="116"/>
      <c r="B290" s="116"/>
      <c r="C290" s="116">
        <v>0</v>
      </c>
      <c r="D290" s="3"/>
      <c r="E290" s="214"/>
      <c r="F290" s="216"/>
      <c r="G290" s="216"/>
      <c r="H290" s="183"/>
      <c r="I290" s="183"/>
      <c r="J290" s="183"/>
      <c r="K290" s="183"/>
      <c r="L290" s="183"/>
      <c r="M290" s="184"/>
      <c r="N290" s="184"/>
      <c r="O290" s="185"/>
      <c r="P290" s="186"/>
      <c r="Q290" s="186"/>
      <c r="R290" s="187"/>
      <c r="S290" s="187"/>
      <c r="T290" s="184"/>
      <c r="U290" s="184"/>
      <c r="V290" s="188"/>
      <c r="W290" s="189"/>
      <c r="X290" s="190"/>
      <c r="Y290" s="185"/>
      <c r="Z290" s="191"/>
      <c r="AA290" s="97"/>
      <c r="AB290" s="192"/>
    </row>
    <row r="291" spans="1:28">
      <c r="A291" s="116"/>
      <c r="B291" s="116" t="s">
        <v>1061</v>
      </c>
      <c r="C291" s="116">
        <v>2</v>
      </c>
      <c r="D291" s="3"/>
      <c r="E291" s="183"/>
      <c r="F291" s="216"/>
      <c r="G291" s="216"/>
      <c r="H291" s="183"/>
      <c r="I291" s="183"/>
      <c r="J291" s="183"/>
      <c r="K291" s="183"/>
      <c r="L291" s="183"/>
      <c r="M291" s="184"/>
      <c r="N291" s="184"/>
      <c r="O291" s="185"/>
      <c r="P291" s="186"/>
      <c r="Q291" s="186"/>
      <c r="R291" s="187"/>
      <c r="S291" s="187"/>
      <c r="T291" s="184"/>
      <c r="U291" s="184"/>
      <c r="V291" s="188"/>
      <c r="W291" s="189"/>
      <c r="X291" s="190"/>
      <c r="Y291" s="185"/>
      <c r="Z291" s="191"/>
      <c r="AA291" s="97"/>
      <c r="AB291" s="192"/>
    </row>
    <row r="292" spans="1:28">
      <c r="A292" s="116"/>
      <c r="B292" s="116"/>
      <c r="C292" s="116">
        <v>3</v>
      </c>
      <c r="D292" s="3"/>
      <c r="E292" s="215"/>
      <c r="F292" s="216"/>
      <c r="G292" s="216"/>
      <c r="H292" s="183"/>
      <c r="I292" s="183"/>
      <c r="J292" s="183"/>
      <c r="K292" s="183"/>
      <c r="L292" s="183"/>
      <c r="M292" s="184"/>
      <c r="N292" s="184"/>
      <c r="O292" s="185"/>
      <c r="P292" s="186"/>
      <c r="Q292" s="186"/>
      <c r="R292" s="187"/>
      <c r="S292" s="187"/>
      <c r="T292" s="184"/>
      <c r="U292" s="184"/>
      <c r="V292" s="188"/>
      <c r="W292" s="189"/>
      <c r="X292" s="190"/>
      <c r="Y292" s="185"/>
      <c r="Z292" s="191"/>
      <c r="AA292" s="97"/>
      <c r="AB292" s="192"/>
    </row>
    <row r="293" spans="1:28">
      <c r="A293" s="116"/>
      <c r="B293" s="116"/>
      <c r="C293" s="116">
        <v>3</v>
      </c>
      <c r="D293" s="3"/>
      <c r="E293" s="215"/>
      <c r="F293" s="216"/>
      <c r="G293" s="216"/>
      <c r="H293" s="183"/>
      <c r="I293" s="183"/>
      <c r="J293" s="183"/>
      <c r="K293" s="183"/>
      <c r="L293" s="183"/>
      <c r="M293" s="184"/>
      <c r="N293" s="184"/>
      <c r="O293" s="185"/>
      <c r="P293" s="186"/>
      <c r="Q293" s="186"/>
      <c r="R293" s="187"/>
      <c r="S293" s="187"/>
      <c r="T293" s="184"/>
      <c r="U293" s="184"/>
      <c r="V293" s="188"/>
      <c r="W293" s="189"/>
      <c r="X293" s="190"/>
      <c r="Y293" s="185"/>
      <c r="Z293" s="191"/>
      <c r="AA293" s="97"/>
      <c r="AB293" s="192"/>
    </row>
    <row r="294" spans="1:28">
      <c r="A294" s="116"/>
      <c r="B294" s="116"/>
      <c r="C294" s="116">
        <v>0</v>
      </c>
      <c r="D294" s="3"/>
      <c r="E294" s="183"/>
      <c r="F294" s="216"/>
      <c r="G294" s="216"/>
      <c r="H294" s="183"/>
      <c r="I294" s="183"/>
      <c r="J294" s="183"/>
      <c r="K294" s="183"/>
      <c r="L294" s="183"/>
      <c r="M294" s="184"/>
      <c r="N294" s="184"/>
      <c r="O294" s="185"/>
      <c r="P294" s="186"/>
      <c r="Q294" s="186"/>
      <c r="R294" s="187"/>
      <c r="S294" s="187"/>
      <c r="T294" s="184"/>
      <c r="U294" s="184"/>
      <c r="V294" s="188"/>
      <c r="W294" s="189"/>
      <c r="X294" s="190"/>
      <c r="Y294" s="185"/>
      <c r="Z294" s="191"/>
      <c r="AA294" s="97"/>
      <c r="AB294" s="192"/>
    </row>
    <row r="295" spans="1:28">
      <c r="A295" s="116"/>
      <c r="B295" s="116" t="s">
        <v>1061</v>
      </c>
      <c r="C295" s="116">
        <v>2</v>
      </c>
      <c r="D295" s="3"/>
      <c r="E295" s="183"/>
      <c r="F295" s="216"/>
      <c r="G295" s="216"/>
      <c r="H295" s="183"/>
      <c r="I295" s="183"/>
      <c r="J295" s="183"/>
      <c r="K295" s="183"/>
      <c r="L295" s="183"/>
      <c r="M295" s="184"/>
      <c r="N295" s="184"/>
      <c r="O295" s="185"/>
      <c r="P295" s="186"/>
      <c r="Q295" s="186"/>
      <c r="R295" s="187"/>
      <c r="S295" s="187"/>
      <c r="T295" s="184"/>
      <c r="U295" s="184"/>
      <c r="V295" s="188"/>
      <c r="W295" s="189"/>
      <c r="X295" s="190"/>
      <c r="Y295" s="185"/>
      <c r="Z295" s="191"/>
      <c r="AA295" s="97"/>
      <c r="AB295" s="192"/>
    </row>
    <row r="296" spans="1:28">
      <c r="A296" s="116"/>
      <c r="B296" s="116"/>
      <c r="C296" s="116">
        <v>3</v>
      </c>
      <c r="D296" s="3"/>
      <c r="E296" s="215"/>
      <c r="F296" s="216"/>
      <c r="G296" s="216"/>
      <c r="H296" s="183"/>
      <c r="I296" s="183"/>
      <c r="J296" s="183"/>
      <c r="K296" s="183"/>
      <c r="L296" s="183"/>
      <c r="M296" s="184"/>
      <c r="N296" s="184"/>
      <c r="O296" s="185"/>
      <c r="P296" s="186"/>
      <c r="Q296" s="186"/>
      <c r="R296" s="187"/>
      <c r="S296" s="187"/>
      <c r="T296" s="184"/>
      <c r="U296" s="184"/>
      <c r="V296" s="188"/>
      <c r="W296" s="189"/>
      <c r="X296" s="190"/>
      <c r="Y296" s="185"/>
      <c r="Z296" s="191"/>
      <c r="AA296" s="97"/>
      <c r="AB296" s="192"/>
    </row>
    <row r="297" spans="1:28">
      <c r="A297" s="116"/>
      <c r="B297" s="116"/>
      <c r="C297" s="116">
        <v>3</v>
      </c>
      <c r="D297" s="3"/>
      <c r="E297" s="215"/>
      <c r="F297" s="216"/>
      <c r="G297" s="216"/>
      <c r="H297" s="183"/>
      <c r="I297" s="183"/>
      <c r="J297" s="183"/>
      <c r="K297" s="183"/>
      <c r="L297" s="183"/>
      <c r="M297" s="184"/>
      <c r="N297" s="184"/>
      <c r="O297" s="185"/>
      <c r="P297" s="186"/>
      <c r="Q297" s="186"/>
      <c r="R297" s="187"/>
      <c r="S297" s="187"/>
      <c r="T297" s="184"/>
      <c r="U297" s="184"/>
      <c r="V297" s="188"/>
      <c r="W297" s="189"/>
      <c r="X297" s="190"/>
      <c r="Y297" s="185"/>
      <c r="Z297" s="191"/>
      <c r="AA297" s="97"/>
      <c r="AB297" s="192"/>
    </row>
    <row r="298" spans="1:28">
      <c r="A298" s="116"/>
      <c r="B298" s="116"/>
      <c r="C298" s="116">
        <v>0</v>
      </c>
      <c r="D298" s="3"/>
      <c r="E298" s="183"/>
      <c r="F298" s="216"/>
      <c r="G298" s="216"/>
      <c r="H298" s="183"/>
      <c r="I298" s="183"/>
      <c r="J298" s="183"/>
      <c r="K298" s="183"/>
      <c r="L298" s="183"/>
      <c r="M298" s="184"/>
      <c r="N298" s="184"/>
      <c r="O298" s="185"/>
      <c r="P298" s="186"/>
      <c r="Q298" s="186"/>
      <c r="R298" s="187"/>
      <c r="S298" s="187"/>
      <c r="T298" s="184"/>
      <c r="U298" s="184"/>
      <c r="V298" s="188"/>
      <c r="W298" s="189"/>
      <c r="X298" s="190"/>
      <c r="Y298" s="185"/>
      <c r="Z298" s="191"/>
      <c r="AA298" s="97"/>
      <c r="AB298" s="192"/>
    </row>
    <row r="299" spans="1:28">
      <c r="A299" s="116"/>
      <c r="B299" s="116" t="s">
        <v>1061</v>
      </c>
      <c r="C299" s="116">
        <v>2</v>
      </c>
      <c r="D299" s="3"/>
      <c r="E299" s="183"/>
      <c r="F299" s="216"/>
      <c r="G299" s="216"/>
      <c r="H299" s="183"/>
      <c r="I299" s="183"/>
      <c r="J299" s="183"/>
      <c r="K299" s="183"/>
      <c r="L299" s="183"/>
      <c r="M299" s="184"/>
      <c r="N299" s="184"/>
      <c r="O299" s="185"/>
      <c r="P299" s="186"/>
      <c r="Q299" s="186"/>
      <c r="R299" s="187"/>
      <c r="S299" s="187"/>
      <c r="T299" s="184"/>
      <c r="U299" s="184"/>
      <c r="V299" s="188"/>
      <c r="W299" s="189"/>
      <c r="X299" s="190"/>
      <c r="Y299" s="185"/>
      <c r="Z299" s="191"/>
      <c r="AA299" s="97"/>
      <c r="AB299" s="192"/>
    </row>
    <row r="300" spans="1:28">
      <c r="A300" s="116"/>
      <c r="B300" s="116"/>
      <c r="C300" s="116">
        <v>3</v>
      </c>
      <c r="D300" s="3"/>
      <c r="E300" s="215"/>
      <c r="F300" s="216"/>
      <c r="G300" s="216"/>
      <c r="H300" s="183"/>
      <c r="I300" s="183"/>
      <c r="J300" s="183"/>
      <c r="K300" s="183"/>
      <c r="L300" s="183"/>
      <c r="M300" s="184"/>
      <c r="N300" s="184"/>
      <c r="O300" s="185"/>
      <c r="P300" s="186"/>
      <c r="Q300" s="186"/>
      <c r="R300" s="187"/>
      <c r="S300" s="187"/>
      <c r="T300" s="184"/>
      <c r="U300" s="184"/>
      <c r="V300" s="188"/>
      <c r="W300" s="189"/>
      <c r="X300" s="190"/>
      <c r="Y300" s="185"/>
      <c r="Z300" s="191"/>
      <c r="AA300" s="97"/>
      <c r="AB300" s="192"/>
    </row>
    <row r="301" spans="1:28">
      <c r="A301" s="116"/>
      <c r="B301" s="116"/>
      <c r="C301" s="116">
        <v>3</v>
      </c>
      <c r="D301" s="3"/>
      <c r="E301" s="215"/>
      <c r="F301" s="216"/>
      <c r="G301" s="216"/>
      <c r="H301" s="183"/>
      <c r="I301" s="183"/>
      <c r="J301" s="183"/>
      <c r="K301" s="183"/>
      <c r="L301" s="183"/>
      <c r="M301" s="184"/>
      <c r="N301" s="184"/>
      <c r="O301" s="185"/>
      <c r="P301" s="186"/>
      <c r="Q301" s="186"/>
      <c r="R301" s="187"/>
      <c r="S301" s="187"/>
      <c r="T301" s="184"/>
      <c r="U301" s="184"/>
      <c r="V301" s="188"/>
      <c r="W301" s="189"/>
      <c r="X301" s="190"/>
      <c r="Y301" s="185"/>
      <c r="Z301" s="191"/>
      <c r="AA301" s="97"/>
      <c r="AB301" s="192"/>
    </row>
    <row r="302" spans="1:28">
      <c r="A302" s="116"/>
      <c r="B302" s="116"/>
      <c r="C302" s="116">
        <v>0</v>
      </c>
      <c r="D302" s="3"/>
      <c r="E302" s="183"/>
      <c r="F302" s="216"/>
      <c r="G302" s="216"/>
      <c r="H302" s="183"/>
      <c r="I302" s="183"/>
      <c r="J302" s="183"/>
      <c r="K302" s="183"/>
      <c r="L302" s="183"/>
      <c r="M302" s="184"/>
      <c r="N302" s="184"/>
      <c r="O302" s="185"/>
      <c r="P302" s="186"/>
      <c r="Q302" s="186"/>
      <c r="R302" s="187"/>
      <c r="S302" s="187"/>
      <c r="T302" s="184"/>
      <c r="U302" s="184"/>
      <c r="V302" s="188"/>
      <c r="W302" s="189"/>
      <c r="X302" s="190"/>
      <c r="Y302" s="185"/>
      <c r="Z302" s="191"/>
      <c r="AA302" s="97"/>
      <c r="AB302" s="192"/>
    </row>
    <row r="303" spans="1:28">
      <c r="A303" s="116"/>
      <c r="B303" s="116" t="s">
        <v>1061</v>
      </c>
      <c r="C303" s="116">
        <v>2</v>
      </c>
      <c r="D303" s="3"/>
      <c r="E303" s="183"/>
      <c r="F303" s="216"/>
      <c r="G303" s="216"/>
      <c r="H303" s="183"/>
      <c r="I303" s="183"/>
      <c r="J303" s="183"/>
      <c r="K303" s="183"/>
      <c r="L303" s="183"/>
      <c r="M303" s="184"/>
      <c r="N303" s="184"/>
      <c r="O303" s="185"/>
      <c r="P303" s="186"/>
      <c r="Q303" s="186"/>
      <c r="R303" s="187"/>
      <c r="S303" s="187"/>
      <c r="T303" s="184"/>
      <c r="U303" s="184"/>
      <c r="V303" s="188"/>
      <c r="W303" s="189"/>
      <c r="X303" s="190"/>
      <c r="Y303" s="185"/>
      <c r="Z303" s="191"/>
      <c r="AA303" s="97"/>
      <c r="AB303" s="192"/>
    </row>
    <row r="304" spans="1:28">
      <c r="A304" s="116"/>
      <c r="B304" s="116"/>
      <c r="C304" s="116">
        <v>3</v>
      </c>
      <c r="D304" s="3"/>
      <c r="E304" s="215"/>
      <c r="F304" s="216"/>
      <c r="G304" s="216"/>
      <c r="H304" s="183"/>
      <c r="I304" s="183"/>
      <c r="J304" s="183"/>
      <c r="K304" s="183"/>
      <c r="L304" s="183"/>
      <c r="M304" s="184"/>
      <c r="N304" s="184"/>
      <c r="O304" s="185"/>
      <c r="P304" s="186"/>
      <c r="Q304" s="186"/>
      <c r="R304" s="187"/>
      <c r="S304" s="187"/>
      <c r="T304" s="184"/>
      <c r="U304" s="184"/>
      <c r="V304" s="188"/>
      <c r="W304" s="189"/>
      <c r="X304" s="190"/>
      <c r="Y304" s="185"/>
      <c r="Z304" s="191"/>
      <c r="AA304" s="97"/>
      <c r="AB304" s="192"/>
    </row>
    <row r="305" spans="1:28">
      <c r="A305" s="116"/>
      <c r="B305" s="116"/>
      <c r="C305" s="116">
        <v>3</v>
      </c>
      <c r="D305" s="3"/>
      <c r="E305" s="215"/>
      <c r="F305" s="216"/>
      <c r="G305" s="216"/>
      <c r="H305" s="183"/>
      <c r="I305" s="183"/>
      <c r="J305" s="183"/>
      <c r="K305" s="183"/>
      <c r="L305" s="183"/>
      <c r="M305" s="184"/>
      <c r="N305" s="184"/>
      <c r="O305" s="185"/>
      <c r="P305" s="186"/>
      <c r="Q305" s="186"/>
      <c r="R305" s="187"/>
      <c r="S305" s="187"/>
      <c r="T305" s="184"/>
      <c r="U305" s="184"/>
      <c r="V305" s="188"/>
      <c r="W305" s="189"/>
      <c r="X305" s="190"/>
      <c r="Y305" s="185"/>
      <c r="Z305" s="191"/>
      <c r="AA305" s="97"/>
      <c r="AB305" s="192"/>
    </row>
    <row r="306" spans="1:28">
      <c r="A306" s="116"/>
      <c r="B306" s="116"/>
      <c r="C306" s="116">
        <v>0</v>
      </c>
      <c r="D306" s="3"/>
      <c r="E306" s="183"/>
      <c r="F306" s="216"/>
      <c r="G306" s="216"/>
      <c r="H306" s="183"/>
      <c r="I306" s="183"/>
      <c r="J306" s="183"/>
      <c r="K306" s="183"/>
      <c r="L306" s="183"/>
      <c r="M306" s="184"/>
      <c r="N306" s="184"/>
      <c r="O306" s="185"/>
      <c r="P306" s="186"/>
      <c r="Q306" s="186"/>
      <c r="R306" s="187"/>
      <c r="S306" s="187"/>
      <c r="T306" s="184"/>
      <c r="U306" s="184"/>
      <c r="V306" s="188"/>
      <c r="W306" s="189"/>
      <c r="X306" s="190"/>
      <c r="Y306" s="185"/>
      <c r="Z306" s="191"/>
      <c r="AA306" s="97"/>
      <c r="AB306" s="192"/>
    </row>
    <row r="307" spans="1:28">
      <c r="A307" s="116"/>
      <c r="B307" s="116" t="s">
        <v>1061</v>
      </c>
      <c r="C307" s="116">
        <v>2</v>
      </c>
      <c r="D307" s="3"/>
      <c r="E307" s="183"/>
      <c r="F307" s="216"/>
      <c r="G307" s="216"/>
      <c r="H307" s="183"/>
      <c r="I307" s="183"/>
      <c r="J307" s="183"/>
      <c r="K307" s="183"/>
      <c r="L307" s="183"/>
      <c r="M307" s="184"/>
      <c r="N307" s="184"/>
      <c r="O307" s="185"/>
      <c r="P307" s="186"/>
      <c r="Q307" s="186"/>
      <c r="R307" s="187"/>
      <c r="S307" s="187"/>
      <c r="T307" s="184"/>
      <c r="U307" s="184"/>
      <c r="V307" s="188"/>
      <c r="W307" s="189"/>
      <c r="X307" s="190"/>
      <c r="Y307" s="185"/>
      <c r="Z307" s="191"/>
      <c r="AA307" s="97"/>
      <c r="AB307" s="192"/>
    </row>
    <row r="308" spans="1:28">
      <c r="A308" s="116"/>
      <c r="B308" s="116"/>
      <c r="C308" s="116">
        <v>3</v>
      </c>
      <c r="D308" s="3"/>
      <c r="E308" s="215"/>
      <c r="F308" s="216"/>
      <c r="G308" s="216"/>
      <c r="H308" s="183"/>
      <c r="I308" s="183"/>
      <c r="J308" s="183"/>
      <c r="K308" s="183"/>
      <c r="L308" s="183"/>
      <c r="M308" s="184"/>
      <c r="N308" s="184"/>
      <c r="O308" s="185"/>
      <c r="P308" s="186"/>
      <c r="Q308" s="186"/>
      <c r="R308" s="187"/>
      <c r="S308" s="187"/>
      <c r="T308" s="184"/>
      <c r="U308" s="184"/>
      <c r="V308" s="188"/>
      <c r="W308" s="189"/>
      <c r="X308" s="190"/>
      <c r="Y308" s="185"/>
      <c r="Z308" s="191"/>
      <c r="AA308" s="97"/>
      <c r="AB308" s="192"/>
    </row>
    <row r="309" spans="1:28">
      <c r="A309" s="116"/>
      <c r="B309" s="116"/>
      <c r="C309" s="116">
        <v>3</v>
      </c>
      <c r="D309" s="3"/>
      <c r="E309" s="215"/>
      <c r="F309" s="216"/>
      <c r="G309" s="216"/>
      <c r="H309" s="183"/>
      <c r="I309" s="183"/>
      <c r="J309" s="183"/>
      <c r="K309" s="183"/>
      <c r="L309" s="183"/>
      <c r="M309" s="184"/>
      <c r="N309" s="184"/>
      <c r="O309" s="185"/>
      <c r="P309" s="186"/>
      <c r="Q309" s="186"/>
      <c r="R309" s="187"/>
      <c r="S309" s="187"/>
      <c r="T309" s="184"/>
      <c r="U309" s="184"/>
      <c r="V309" s="188"/>
      <c r="W309" s="189"/>
      <c r="X309" s="190"/>
      <c r="Y309" s="185"/>
      <c r="Z309" s="191"/>
      <c r="AA309" s="97"/>
      <c r="AB309" s="192"/>
    </row>
    <row r="310" spans="1:28">
      <c r="A310" s="116"/>
      <c r="B310" s="116"/>
      <c r="C310" s="116">
        <v>0</v>
      </c>
      <c r="D310" s="3"/>
      <c r="E310" s="183"/>
      <c r="F310" s="216"/>
      <c r="G310" s="216"/>
      <c r="H310" s="183"/>
      <c r="I310" s="183"/>
      <c r="J310" s="183"/>
      <c r="K310" s="183"/>
      <c r="L310" s="183"/>
      <c r="M310" s="184"/>
      <c r="N310" s="184"/>
      <c r="O310" s="185"/>
      <c r="P310" s="186"/>
      <c r="Q310" s="186"/>
      <c r="R310" s="187"/>
      <c r="S310" s="187"/>
      <c r="T310" s="184"/>
      <c r="U310" s="184"/>
      <c r="V310" s="188"/>
      <c r="W310" s="189"/>
      <c r="X310" s="190"/>
      <c r="Y310" s="185"/>
      <c r="Z310" s="191"/>
      <c r="AA310" s="97"/>
      <c r="AB310" s="192"/>
    </row>
    <row r="311" spans="1:28">
      <c r="A311" s="116"/>
      <c r="B311" s="116" t="s">
        <v>1061</v>
      </c>
      <c r="C311" s="116">
        <v>2</v>
      </c>
      <c r="D311" s="3"/>
      <c r="E311" s="183"/>
      <c r="F311" s="216"/>
      <c r="G311" s="216"/>
      <c r="H311" s="183"/>
      <c r="I311" s="183"/>
      <c r="J311" s="183"/>
      <c r="K311" s="183"/>
      <c r="L311" s="183"/>
      <c r="M311" s="184"/>
      <c r="N311" s="184"/>
      <c r="O311" s="185"/>
      <c r="P311" s="186"/>
      <c r="Q311" s="186"/>
      <c r="R311" s="187"/>
      <c r="S311" s="187"/>
      <c r="T311" s="184"/>
      <c r="U311" s="184"/>
      <c r="V311" s="188"/>
      <c r="W311" s="189"/>
      <c r="X311" s="190"/>
      <c r="Y311" s="185"/>
      <c r="Z311" s="191"/>
      <c r="AA311" s="97"/>
      <c r="AB311" s="192"/>
    </row>
    <row r="312" spans="1:28">
      <c r="A312" s="116"/>
      <c r="B312" s="116"/>
      <c r="C312" s="116">
        <v>3</v>
      </c>
      <c r="D312" s="3"/>
      <c r="E312" s="215"/>
      <c r="F312" s="216"/>
      <c r="G312" s="216"/>
      <c r="H312" s="183"/>
      <c r="I312" s="183"/>
      <c r="J312" s="183"/>
      <c r="K312" s="183"/>
      <c r="L312" s="183"/>
      <c r="M312" s="184"/>
      <c r="N312" s="184"/>
      <c r="O312" s="185"/>
      <c r="P312" s="186"/>
      <c r="Q312" s="186"/>
      <c r="R312" s="187"/>
      <c r="S312" s="187"/>
      <c r="T312" s="184"/>
      <c r="U312" s="184"/>
      <c r="V312" s="188"/>
      <c r="W312" s="189"/>
      <c r="X312" s="190"/>
      <c r="Y312" s="185"/>
      <c r="Z312" s="191"/>
      <c r="AA312" s="97"/>
      <c r="AB312" s="192"/>
    </row>
    <row r="313" spans="1:28">
      <c r="A313" s="116"/>
      <c r="B313" s="116"/>
      <c r="C313" s="116">
        <v>3</v>
      </c>
      <c r="D313" s="3"/>
      <c r="E313" s="215"/>
      <c r="F313" s="216"/>
      <c r="G313" s="216"/>
      <c r="H313" s="183"/>
      <c r="I313" s="183"/>
      <c r="J313" s="183"/>
      <c r="K313" s="183"/>
      <c r="L313" s="183"/>
      <c r="M313" s="184"/>
      <c r="N313" s="184"/>
      <c r="O313" s="185"/>
      <c r="P313" s="186"/>
      <c r="Q313" s="186"/>
      <c r="R313" s="187"/>
      <c r="S313" s="187"/>
      <c r="T313" s="184"/>
      <c r="U313" s="184"/>
      <c r="V313" s="188"/>
      <c r="W313" s="189"/>
      <c r="X313" s="190"/>
      <c r="Y313" s="185"/>
      <c r="Z313" s="191"/>
      <c r="AA313" s="97"/>
      <c r="AB313" s="192"/>
    </row>
    <row r="314" spans="1:28">
      <c r="A314" s="116"/>
      <c r="B314" s="116"/>
      <c r="C314" s="116">
        <v>0</v>
      </c>
      <c r="D314" s="3"/>
      <c r="E314" s="183"/>
      <c r="F314" s="216"/>
      <c r="G314" s="216"/>
      <c r="H314" s="183"/>
      <c r="I314" s="183"/>
      <c r="J314" s="183"/>
      <c r="K314" s="183"/>
      <c r="L314" s="183"/>
      <c r="M314" s="184"/>
      <c r="N314" s="184"/>
      <c r="O314" s="185"/>
      <c r="P314" s="186"/>
      <c r="Q314" s="186"/>
      <c r="R314" s="187"/>
      <c r="S314" s="187"/>
      <c r="T314" s="184"/>
      <c r="U314" s="184"/>
      <c r="V314" s="188"/>
      <c r="W314" s="189"/>
      <c r="X314" s="190"/>
      <c r="Y314" s="185"/>
      <c r="Z314" s="191"/>
      <c r="AA314" s="97"/>
      <c r="AB314" s="192"/>
    </row>
    <row r="315" spans="1:28">
      <c r="A315" s="116"/>
      <c r="B315" s="116" t="s">
        <v>1061</v>
      </c>
      <c r="C315" s="116">
        <v>2</v>
      </c>
      <c r="D315" s="3"/>
      <c r="E315" s="183"/>
      <c r="F315" s="216"/>
      <c r="G315" s="216"/>
      <c r="H315" s="183"/>
      <c r="I315" s="183"/>
      <c r="J315" s="183"/>
      <c r="K315" s="183"/>
      <c r="L315" s="183"/>
      <c r="M315" s="184"/>
      <c r="N315" s="184"/>
      <c r="O315" s="185"/>
      <c r="P315" s="186"/>
      <c r="Q315" s="186"/>
      <c r="R315" s="187"/>
      <c r="S315" s="187"/>
      <c r="T315" s="184"/>
      <c r="U315" s="184"/>
      <c r="V315" s="188"/>
      <c r="W315" s="189"/>
      <c r="X315" s="190"/>
      <c r="Y315" s="185"/>
      <c r="Z315" s="191"/>
      <c r="AA315" s="97"/>
      <c r="AB315" s="192"/>
    </row>
    <row r="316" spans="1:28">
      <c r="A316" s="116"/>
      <c r="B316" s="116"/>
      <c r="C316" s="116">
        <v>3</v>
      </c>
      <c r="D316" s="3"/>
      <c r="E316" s="215"/>
      <c r="F316" s="216"/>
      <c r="G316" s="216"/>
      <c r="H316" s="183"/>
      <c r="I316" s="183"/>
      <c r="J316" s="183"/>
      <c r="K316" s="183"/>
      <c r="L316" s="183"/>
      <c r="M316" s="184"/>
      <c r="N316" s="184"/>
      <c r="O316" s="185"/>
      <c r="P316" s="186"/>
      <c r="Q316" s="186"/>
      <c r="R316" s="187"/>
      <c r="S316" s="187"/>
      <c r="T316" s="184"/>
      <c r="U316" s="184"/>
      <c r="V316" s="188"/>
      <c r="W316" s="189"/>
      <c r="X316" s="190"/>
      <c r="Y316" s="185"/>
      <c r="Z316" s="191"/>
      <c r="AA316" s="97"/>
      <c r="AB316" s="192"/>
    </row>
    <row r="317" spans="1:28">
      <c r="A317" s="116"/>
      <c r="B317" s="116"/>
      <c r="C317" s="116">
        <v>3</v>
      </c>
      <c r="D317" s="3"/>
      <c r="E317" s="215"/>
      <c r="F317" s="216"/>
      <c r="G317" s="216"/>
      <c r="H317" s="183"/>
      <c r="I317" s="183"/>
      <c r="J317" s="183"/>
      <c r="K317" s="183"/>
      <c r="L317" s="183"/>
      <c r="M317" s="184"/>
      <c r="N317" s="184"/>
      <c r="O317" s="185"/>
      <c r="P317" s="186"/>
      <c r="Q317" s="186"/>
      <c r="R317" s="187"/>
      <c r="S317" s="187"/>
      <c r="T317" s="184"/>
      <c r="U317" s="184"/>
      <c r="V317" s="188"/>
      <c r="W317" s="189"/>
      <c r="X317" s="190"/>
      <c r="Y317" s="185"/>
      <c r="Z317" s="191"/>
      <c r="AA317" s="97"/>
      <c r="AB317" s="192"/>
    </row>
    <row r="318" spans="1:28">
      <c r="A318" s="116"/>
      <c r="B318" s="116"/>
      <c r="C318" s="116">
        <v>0</v>
      </c>
      <c r="D318" s="3"/>
      <c r="E318" s="183"/>
      <c r="F318" s="216"/>
      <c r="G318" s="216"/>
      <c r="H318" s="183"/>
      <c r="I318" s="183"/>
      <c r="J318" s="183"/>
      <c r="K318" s="183"/>
      <c r="L318" s="183"/>
      <c r="M318" s="184"/>
      <c r="N318" s="184"/>
      <c r="O318" s="185"/>
      <c r="P318" s="186"/>
      <c r="Q318" s="186"/>
      <c r="R318" s="187"/>
      <c r="S318" s="187"/>
      <c r="T318" s="184"/>
      <c r="U318" s="184"/>
      <c r="V318" s="188"/>
      <c r="W318" s="189"/>
      <c r="X318" s="190"/>
      <c r="Y318" s="185"/>
      <c r="Z318" s="191"/>
      <c r="AA318" s="97"/>
      <c r="AB318" s="192"/>
    </row>
    <row r="319" spans="1:28">
      <c r="A319" s="116"/>
      <c r="B319" s="116" t="s">
        <v>1061</v>
      </c>
      <c r="C319" s="116">
        <v>2</v>
      </c>
      <c r="D319" s="3"/>
      <c r="E319" s="183"/>
      <c r="F319" s="216"/>
      <c r="G319" s="216"/>
      <c r="H319" s="183"/>
      <c r="I319" s="183"/>
      <c r="J319" s="183"/>
      <c r="K319" s="183"/>
      <c r="L319" s="183"/>
      <c r="M319" s="184"/>
      <c r="N319" s="184"/>
      <c r="O319" s="185"/>
      <c r="P319" s="186"/>
      <c r="Q319" s="186"/>
      <c r="R319" s="187"/>
      <c r="S319" s="187"/>
      <c r="T319" s="184"/>
      <c r="U319" s="184"/>
      <c r="V319" s="188"/>
      <c r="W319" s="189"/>
      <c r="X319" s="190"/>
      <c r="Y319" s="185"/>
      <c r="Z319" s="191"/>
      <c r="AA319" s="97"/>
      <c r="AB319" s="192"/>
    </row>
    <row r="320" spans="1:28">
      <c r="A320" s="116"/>
      <c r="B320" s="116"/>
      <c r="C320" s="116">
        <v>3</v>
      </c>
      <c r="D320" s="3"/>
      <c r="E320" s="215"/>
      <c r="F320" s="216"/>
      <c r="G320" s="216"/>
      <c r="H320" s="183"/>
      <c r="I320" s="183"/>
      <c r="J320" s="183"/>
      <c r="K320" s="183"/>
      <c r="L320" s="183"/>
      <c r="M320" s="184"/>
      <c r="N320" s="184"/>
      <c r="O320" s="185"/>
      <c r="P320" s="186"/>
      <c r="Q320" s="186"/>
      <c r="R320" s="187"/>
      <c r="S320" s="187"/>
      <c r="T320" s="184"/>
      <c r="U320" s="184"/>
      <c r="V320" s="188"/>
      <c r="W320" s="189"/>
      <c r="X320" s="190"/>
      <c r="Y320" s="185"/>
      <c r="Z320" s="191"/>
      <c r="AA320" s="97"/>
      <c r="AB320" s="192"/>
    </row>
    <row r="321" spans="1:28">
      <c r="A321" s="116"/>
      <c r="B321" s="116"/>
      <c r="C321" s="116">
        <v>3</v>
      </c>
      <c r="D321" s="3"/>
      <c r="E321" s="215"/>
      <c r="F321" s="216"/>
      <c r="G321" s="216"/>
      <c r="H321" s="183"/>
      <c r="I321" s="183"/>
      <c r="J321" s="183"/>
      <c r="K321" s="183"/>
      <c r="L321" s="183"/>
      <c r="M321" s="184"/>
      <c r="N321" s="184"/>
      <c r="O321" s="185"/>
      <c r="P321" s="186"/>
      <c r="Q321" s="186"/>
      <c r="R321" s="187"/>
      <c r="S321" s="187"/>
      <c r="T321" s="184"/>
      <c r="U321" s="184"/>
      <c r="V321" s="188"/>
      <c r="W321" s="189"/>
      <c r="X321" s="190"/>
      <c r="Y321" s="185"/>
      <c r="Z321" s="191"/>
      <c r="AA321" s="97"/>
      <c r="AB321" s="192"/>
    </row>
    <row r="322" spans="1:28">
      <c r="A322" s="116"/>
      <c r="B322" s="116"/>
      <c r="C322" s="116">
        <v>0</v>
      </c>
      <c r="D322" s="3"/>
      <c r="E322" s="183"/>
      <c r="F322" s="216"/>
      <c r="G322" s="216"/>
      <c r="H322" s="183"/>
      <c r="I322" s="183"/>
      <c r="J322" s="183"/>
      <c r="K322" s="183"/>
      <c r="L322" s="183"/>
      <c r="M322" s="184"/>
      <c r="N322" s="184"/>
      <c r="O322" s="185"/>
      <c r="P322" s="186"/>
      <c r="Q322" s="186"/>
      <c r="R322" s="187"/>
      <c r="S322" s="187"/>
      <c r="T322" s="184"/>
      <c r="U322" s="184"/>
      <c r="V322" s="188"/>
      <c r="W322" s="189"/>
      <c r="X322" s="190"/>
      <c r="Y322" s="185"/>
      <c r="Z322" s="191"/>
      <c r="AA322" s="97"/>
      <c r="AB322" s="192"/>
    </row>
    <row r="323" spans="1:28">
      <c r="A323" s="116"/>
      <c r="B323" s="116" t="s">
        <v>1061</v>
      </c>
      <c r="C323" s="116">
        <v>2</v>
      </c>
      <c r="D323" s="3"/>
      <c r="E323" s="183"/>
      <c r="F323" s="216"/>
      <c r="G323" s="216"/>
      <c r="H323" s="183"/>
      <c r="I323" s="183"/>
      <c r="J323" s="183"/>
      <c r="K323" s="183"/>
      <c r="L323" s="183"/>
      <c r="M323" s="184"/>
      <c r="N323" s="184"/>
      <c r="O323" s="185"/>
      <c r="P323" s="186"/>
      <c r="Q323" s="186"/>
      <c r="R323" s="187"/>
      <c r="S323" s="187"/>
      <c r="T323" s="184"/>
      <c r="U323" s="184"/>
      <c r="V323" s="188"/>
      <c r="W323" s="189"/>
      <c r="X323" s="190"/>
      <c r="Y323" s="185"/>
      <c r="Z323" s="191"/>
      <c r="AA323" s="97"/>
      <c r="AB323" s="192"/>
    </row>
    <row r="324" spans="1:28">
      <c r="A324" s="116"/>
      <c r="B324" s="116"/>
      <c r="C324" s="116">
        <v>3</v>
      </c>
      <c r="D324" s="3"/>
      <c r="E324" s="215"/>
      <c r="F324" s="216"/>
      <c r="G324" s="216"/>
      <c r="H324" s="183"/>
      <c r="I324" s="183"/>
      <c r="J324" s="183"/>
      <c r="K324" s="183"/>
      <c r="L324" s="183"/>
      <c r="M324" s="184"/>
      <c r="N324" s="184"/>
      <c r="O324" s="185"/>
      <c r="P324" s="186"/>
      <c r="Q324" s="186"/>
      <c r="R324" s="187"/>
      <c r="S324" s="187"/>
      <c r="T324" s="184"/>
      <c r="U324" s="184"/>
      <c r="V324" s="188"/>
      <c r="W324" s="189"/>
      <c r="X324" s="190"/>
      <c r="Y324" s="185"/>
      <c r="Z324" s="191"/>
      <c r="AA324" s="97"/>
      <c r="AB324" s="192"/>
    </row>
    <row r="325" spans="1:28">
      <c r="A325" s="116"/>
      <c r="B325" s="116"/>
      <c r="C325" s="116">
        <v>3</v>
      </c>
      <c r="D325" s="3"/>
      <c r="E325" s="215"/>
      <c r="F325" s="216"/>
      <c r="G325" s="216"/>
      <c r="H325" s="183"/>
      <c r="I325" s="183"/>
      <c r="J325" s="183"/>
      <c r="K325" s="183"/>
      <c r="L325" s="183"/>
      <c r="M325" s="184"/>
      <c r="N325" s="184"/>
      <c r="O325" s="185"/>
      <c r="P325" s="186"/>
      <c r="Q325" s="186"/>
      <c r="R325" s="187"/>
      <c r="S325" s="187"/>
      <c r="T325" s="184"/>
      <c r="U325" s="184"/>
      <c r="V325" s="188"/>
      <c r="W325" s="189"/>
      <c r="X325" s="190"/>
      <c r="Y325" s="185"/>
      <c r="Z325" s="191"/>
      <c r="AA325" s="97"/>
      <c r="AB325" s="192"/>
    </row>
    <row r="326" spans="1:28">
      <c r="A326" s="116"/>
      <c r="B326" s="116"/>
      <c r="C326" s="116">
        <v>0</v>
      </c>
      <c r="D326" s="3"/>
      <c r="E326" s="183"/>
      <c r="F326" s="216"/>
      <c r="G326" s="216"/>
      <c r="H326" s="183"/>
      <c r="I326" s="183"/>
      <c r="J326" s="183"/>
      <c r="K326" s="183"/>
      <c r="L326" s="183"/>
      <c r="M326" s="184"/>
      <c r="N326" s="184"/>
      <c r="O326" s="185"/>
      <c r="P326" s="186"/>
      <c r="Q326" s="186"/>
      <c r="R326" s="187"/>
      <c r="S326" s="187"/>
      <c r="T326" s="184"/>
      <c r="U326" s="184"/>
      <c r="V326" s="188"/>
      <c r="W326" s="189"/>
      <c r="X326" s="190"/>
      <c r="Y326" s="185"/>
      <c r="Z326" s="191"/>
      <c r="AA326" s="97"/>
      <c r="AB326" s="192"/>
    </row>
    <row r="327" spans="1:28">
      <c r="A327" s="116"/>
      <c r="B327" s="116" t="s">
        <v>1061</v>
      </c>
      <c r="C327" s="116">
        <v>2</v>
      </c>
      <c r="D327" s="3"/>
      <c r="E327" s="183"/>
      <c r="F327" s="216"/>
      <c r="G327" s="216"/>
      <c r="H327" s="183"/>
      <c r="I327" s="183"/>
      <c r="J327" s="183"/>
      <c r="K327" s="183"/>
      <c r="L327" s="183"/>
      <c r="M327" s="184"/>
      <c r="N327" s="184"/>
      <c r="O327" s="185"/>
      <c r="P327" s="186"/>
      <c r="Q327" s="186"/>
      <c r="R327" s="187"/>
      <c r="S327" s="187"/>
      <c r="T327" s="184"/>
      <c r="U327" s="184"/>
      <c r="V327" s="188"/>
      <c r="W327" s="189"/>
      <c r="X327" s="190"/>
      <c r="Y327" s="185"/>
      <c r="Z327" s="191"/>
      <c r="AA327" s="97"/>
      <c r="AB327" s="192"/>
    </row>
    <row r="328" spans="1:28">
      <c r="A328" s="116"/>
      <c r="B328" s="116"/>
      <c r="C328" s="116">
        <v>3</v>
      </c>
      <c r="D328" s="3"/>
      <c r="E328" s="215"/>
      <c r="F328" s="216"/>
      <c r="G328" s="216"/>
      <c r="H328" s="183"/>
      <c r="I328" s="183"/>
      <c r="J328" s="183"/>
      <c r="K328" s="183"/>
      <c r="L328" s="183"/>
      <c r="M328" s="184"/>
      <c r="N328" s="184"/>
      <c r="O328" s="185"/>
      <c r="P328" s="186"/>
      <c r="Q328" s="186"/>
      <c r="R328" s="187"/>
      <c r="S328" s="187"/>
      <c r="T328" s="184"/>
      <c r="U328" s="184"/>
      <c r="V328" s="188"/>
      <c r="W328" s="189"/>
      <c r="X328" s="190"/>
      <c r="Y328" s="185"/>
      <c r="Z328" s="191"/>
      <c r="AA328" s="97"/>
      <c r="AB328" s="192"/>
    </row>
    <row r="329" spans="1:28">
      <c r="A329" s="116"/>
      <c r="B329" s="116"/>
      <c r="C329" s="116">
        <v>3</v>
      </c>
      <c r="D329" s="3"/>
      <c r="E329" s="215"/>
      <c r="F329" s="216"/>
      <c r="G329" s="216"/>
      <c r="H329" s="183"/>
      <c r="I329" s="183"/>
      <c r="J329" s="183"/>
      <c r="K329" s="183"/>
      <c r="L329" s="183"/>
      <c r="M329" s="184"/>
      <c r="N329" s="184"/>
      <c r="O329" s="185"/>
      <c r="P329" s="186"/>
      <c r="Q329" s="186"/>
      <c r="R329" s="187"/>
      <c r="S329" s="187"/>
      <c r="T329" s="184"/>
      <c r="U329" s="184"/>
      <c r="V329" s="188"/>
      <c r="W329" s="189"/>
      <c r="X329" s="190"/>
      <c r="Y329" s="185"/>
      <c r="Z329" s="191"/>
      <c r="AA329" s="97"/>
      <c r="AB329" s="192"/>
    </row>
    <row r="330" spans="1:28">
      <c r="A330" s="116"/>
      <c r="B330" s="116"/>
      <c r="C330" s="116">
        <v>0</v>
      </c>
      <c r="D330" s="3"/>
      <c r="E330" s="183"/>
      <c r="F330" s="216"/>
      <c r="G330" s="216"/>
      <c r="H330" s="183"/>
      <c r="I330" s="183"/>
      <c r="J330" s="183"/>
      <c r="K330" s="183"/>
      <c r="L330" s="183"/>
      <c r="M330" s="184"/>
      <c r="N330" s="184"/>
      <c r="O330" s="185"/>
      <c r="P330" s="186"/>
      <c r="Q330" s="186"/>
      <c r="R330" s="187"/>
      <c r="S330" s="187"/>
      <c r="T330" s="184"/>
      <c r="U330" s="184"/>
      <c r="V330" s="188"/>
      <c r="W330" s="189"/>
      <c r="X330" s="190"/>
      <c r="Y330" s="185"/>
      <c r="Z330" s="191"/>
      <c r="AA330" s="97"/>
      <c r="AB330" s="192"/>
    </row>
    <row r="331" spans="1:28">
      <c r="A331" s="116"/>
      <c r="B331" s="116" t="s">
        <v>1061</v>
      </c>
      <c r="C331" s="116">
        <v>2</v>
      </c>
      <c r="D331" s="3"/>
      <c r="E331" s="183"/>
      <c r="F331" s="216"/>
      <c r="G331" s="216"/>
      <c r="H331" s="183"/>
      <c r="I331" s="183"/>
      <c r="J331" s="183"/>
      <c r="K331" s="183"/>
      <c r="L331" s="183"/>
      <c r="M331" s="184"/>
      <c r="N331" s="184"/>
      <c r="O331" s="185"/>
      <c r="P331" s="186"/>
      <c r="Q331" s="186"/>
      <c r="R331" s="187"/>
      <c r="S331" s="187"/>
      <c r="T331" s="184"/>
      <c r="U331" s="184"/>
      <c r="V331" s="188"/>
      <c r="W331" s="189"/>
      <c r="X331" s="190"/>
      <c r="Y331" s="185"/>
      <c r="Z331" s="191"/>
      <c r="AA331" s="97"/>
      <c r="AB331" s="192"/>
    </row>
    <row r="332" spans="1:28">
      <c r="A332" s="116"/>
      <c r="B332" s="116"/>
      <c r="C332" s="116">
        <v>3</v>
      </c>
      <c r="D332" s="3"/>
      <c r="E332" s="215"/>
      <c r="F332" s="216"/>
      <c r="G332" s="216"/>
      <c r="H332" s="183"/>
      <c r="I332" s="183"/>
      <c r="J332" s="183"/>
      <c r="K332" s="183"/>
      <c r="L332" s="183"/>
      <c r="M332" s="184"/>
      <c r="N332" s="184"/>
      <c r="O332" s="185"/>
      <c r="P332" s="186"/>
      <c r="Q332" s="186"/>
      <c r="R332" s="187"/>
      <c r="S332" s="187"/>
      <c r="T332" s="184"/>
      <c r="U332" s="184"/>
      <c r="V332" s="188"/>
      <c r="W332" s="189"/>
      <c r="X332" s="190"/>
      <c r="Y332" s="185"/>
      <c r="Z332" s="191"/>
      <c r="AA332" s="97"/>
      <c r="AB332" s="192"/>
    </row>
    <row r="333" spans="1:28">
      <c r="A333" s="116"/>
      <c r="B333" s="116"/>
      <c r="C333" s="116">
        <v>3</v>
      </c>
      <c r="D333" s="3"/>
      <c r="E333" s="215"/>
      <c r="F333" s="216"/>
      <c r="G333" s="216"/>
      <c r="H333" s="183"/>
      <c r="I333" s="183"/>
      <c r="J333" s="183"/>
      <c r="K333" s="183"/>
      <c r="L333" s="183"/>
      <c r="M333" s="184"/>
      <c r="N333" s="184"/>
      <c r="O333" s="185"/>
      <c r="P333" s="186"/>
      <c r="Q333" s="186"/>
      <c r="R333" s="187"/>
      <c r="S333" s="187"/>
      <c r="T333" s="184"/>
      <c r="U333" s="184"/>
      <c r="V333" s="188"/>
      <c r="W333" s="189"/>
      <c r="X333" s="190"/>
      <c r="Y333" s="185"/>
      <c r="Z333" s="191"/>
      <c r="AA333" s="97"/>
      <c r="AB333" s="192"/>
    </row>
    <row r="334" spans="1:28">
      <c r="A334" s="116"/>
      <c r="B334" s="116"/>
      <c r="C334" s="116">
        <v>0</v>
      </c>
      <c r="D334" s="3"/>
      <c r="E334" s="183"/>
      <c r="F334" s="216"/>
      <c r="G334" s="216"/>
      <c r="H334" s="183"/>
      <c r="I334" s="183"/>
      <c r="J334" s="183"/>
      <c r="K334" s="183"/>
      <c r="L334" s="183"/>
      <c r="M334" s="184"/>
      <c r="N334" s="184"/>
      <c r="O334" s="185"/>
      <c r="P334" s="186"/>
      <c r="Q334" s="186"/>
      <c r="R334" s="187"/>
      <c r="S334" s="187"/>
      <c r="T334" s="184"/>
      <c r="U334" s="184"/>
      <c r="V334" s="188"/>
      <c r="W334" s="189"/>
      <c r="X334" s="190"/>
      <c r="Y334" s="185"/>
      <c r="Z334" s="191"/>
      <c r="AA334" s="97"/>
      <c r="AB334" s="192"/>
    </row>
    <row r="335" spans="1:28">
      <c r="A335" s="116"/>
      <c r="B335" s="116" t="s">
        <v>1061</v>
      </c>
      <c r="C335" s="116">
        <v>2</v>
      </c>
      <c r="D335" s="3"/>
      <c r="E335" s="183"/>
      <c r="F335" s="216"/>
      <c r="G335" s="216"/>
      <c r="H335" s="183"/>
      <c r="I335" s="183"/>
      <c r="J335" s="183"/>
      <c r="K335" s="183"/>
      <c r="L335" s="183"/>
      <c r="M335" s="184"/>
      <c r="N335" s="184"/>
      <c r="O335" s="185"/>
      <c r="P335" s="186"/>
      <c r="Q335" s="186"/>
      <c r="R335" s="187"/>
      <c r="S335" s="187"/>
      <c r="T335" s="184"/>
      <c r="U335" s="184"/>
      <c r="V335" s="188"/>
      <c r="W335" s="189"/>
      <c r="X335" s="190"/>
      <c r="Y335" s="185"/>
      <c r="Z335" s="191"/>
      <c r="AA335" s="97"/>
      <c r="AB335" s="192"/>
    </row>
    <row r="336" spans="1:28">
      <c r="A336" s="116"/>
      <c r="B336" s="116"/>
      <c r="C336" s="116">
        <v>3</v>
      </c>
      <c r="D336" s="3"/>
      <c r="E336" s="215"/>
      <c r="F336" s="216"/>
      <c r="G336" s="216"/>
      <c r="H336" s="183"/>
      <c r="I336" s="183"/>
      <c r="J336" s="183"/>
      <c r="K336" s="183"/>
      <c r="L336" s="183"/>
      <c r="M336" s="184"/>
      <c r="N336" s="184"/>
      <c r="O336" s="185"/>
      <c r="P336" s="186"/>
      <c r="Q336" s="186"/>
      <c r="R336" s="187"/>
      <c r="S336" s="187"/>
      <c r="T336" s="184"/>
      <c r="U336" s="184"/>
      <c r="V336" s="188"/>
      <c r="W336" s="189"/>
      <c r="X336" s="190"/>
      <c r="Y336" s="185"/>
      <c r="Z336" s="191"/>
      <c r="AA336" s="97"/>
      <c r="AB336" s="192"/>
    </row>
    <row r="337" spans="1:28">
      <c r="A337" s="116"/>
      <c r="B337" s="116"/>
      <c r="C337" s="116">
        <v>3</v>
      </c>
      <c r="D337" s="3"/>
      <c r="E337" s="215"/>
      <c r="F337" s="216"/>
      <c r="G337" s="216"/>
      <c r="H337" s="183"/>
      <c r="I337" s="183"/>
      <c r="J337" s="183"/>
      <c r="K337" s="183"/>
      <c r="L337" s="183"/>
      <c r="M337" s="184"/>
      <c r="N337" s="184"/>
      <c r="O337" s="185"/>
      <c r="P337" s="186"/>
      <c r="Q337" s="186"/>
      <c r="R337" s="187"/>
      <c r="S337" s="187"/>
      <c r="T337" s="184"/>
      <c r="U337" s="184"/>
      <c r="V337" s="188"/>
      <c r="W337" s="189"/>
      <c r="X337" s="190"/>
      <c r="Y337" s="185"/>
      <c r="Z337" s="191"/>
      <c r="AA337" s="97"/>
      <c r="AB337" s="192"/>
    </row>
    <row r="338" spans="1:28">
      <c r="A338" s="116"/>
      <c r="B338" s="116"/>
      <c r="C338" s="116">
        <v>0</v>
      </c>
      <c r="D338" s="3"/>
      <c r="E338" s="215"/>
      <c r="F338" s="216"/>
      <c r="G338" s="216"/>
      <c r="H338" s="183"/>
      <c r="I338" s="183"/>
      <c r="J338" s="183"/>
      <c r="K338" s="183"/>
      <c r="L338" s="183"/>
      <c r="M338" s="184"/>
      <c r="N338" s="184"/>
      <c r="O338" s="185"/>
      <c r="P338" s="186"/>
      <c r="Q338" s="186"/>
      <c r="R338" s="187"/>
      <c r="S338" s="187"/>
      <c r="T338" s="184"/>
      <c r="U338" s="184"/>
      <c r="V338" s="188"/>
      <c r="W338" s="189"/>
      <c r="X338" s="190"/>
      <c r="Y338" s="185"/>
      <c r="Z338" s="191"/>
      <c r="AA338" s="97"/>
      <c r="AB338" s="192"/>
    </row>
    <row r="339" spans="1:28">
      <c r="A339" s="116"/>
      <c r="B339" s="116" t="s">
        <v>1061</v>
      </c>
      <c r="C339" s="116">
        <v>2</v>
      </c>
      <c r="D339" s="3"/>
      <c r="E339" s="183"/>
      <c r="F339" s="216"/>
      <c r="G339" s="216"/>
      <c r="H339" s="183"/>
      <c r="I339" s="183"/>
      <c r="J339" s="183"/>
      <c r="K339" s="183"/>
      <c r="L339" s="183"/>
      <c r="M339" s="184"/>
      <c r="N339" s="184"/>
      <c r="O339" s="185"/>
      <c r="P339" s="186"/>
      <c r="Q339" s="186"/>
      <c r="R339" s="187"/>
      <c r="S339" s="187"/>
      <c r="T339" s="184"/>
      <c r="U339" s="184"/>
      <c r="V339" s="188"/>
      <c r="W339" s="189"/>
      <c r="X339" s="190"/>
      <c r="Y339" s="185"/>
      <c r="Z339" s="191"/>
      <c r="AA339" s="97"/>
      <c r="AB339" s="192"/>
    </row>
    <row r="340" spans="1:28">
      <c r="A340" s="116"/>
      <c r="B340" s="116"/>
      <c r="C340" s="116">
        <v>3</v>
      </c>
      <c r="D340" s="3"/>
      <c r="E340" s="215"/>
      <c r="F340" s="216"/>
      <c r="G340" s="216"/>
      <c r="H340" s="183"/>
      <c r="I340" s="183"/>
      <c r="J340" s="183"/>
      <c r="K340" s="183"/>
      <c r="L340" s="183"/>
      <c r="M340" s="184"/>
      <c r="N340" s="184"/>
      <c r="O340" s="185"/>
      <c r="P340" s="186"/>
      <c r="Q340" s="186"/>
      <c r="R340" s="187"/>
      <c r="S340" s="187"/>
      <c r="T340" s="184"/>
      <c r="U340" s="184"/>
      <c r="V340" s="188"/>
      <c r="W340" s="189"/>
      <c r="X340" s="190"/>
      <c r="Y340" s="185"/>
      <c r="Z340" s="191"/>
      <c r="AA340" s="97"/>
      <c r="AB340" s="192"/>
    </row>
    <row r="341" spans="1:28">
      <c r="A341" s="116"/>
      <c r="B341" s="116"/>
      <c r="C341" s="116">
        <v>3</v>
      </c>
      <c r="D341" s="3"/>
      <c r="E341" s="215"/>
      <c r="F341" s="216"/>
      <c r="G341" s="216"/>
      <c r="H341" s="183"/>
      <c r="I341" s="183"/>
      <c r="J341" s="183"/>
      <c r="K341" s="183"/>
      <c r="L341" s="183"/>
      <c r="M341" s="184"/>
      <c r="N341" s="184"/>
      <c r="O341" s="185"/>
      <c r="P341" s="186"/>
      <c r="Q341" s="186"/>
      <c r="R341" s="187"/>
      <c r="S341" s="187"/>
      <c r="T341" s="184"/>
      <c r="U341" s="184"/>
      <c r="V341" s="188"/>
      <c r="W341" s="189"/>
      <c r="X341" s="190"/>
      <c r="Y341" s="185"/>
      <c r="Z341" s="191"/>
      <c r="AA341" s="97"/>
      <c r="AB341" s="192"/>
    </row>
    <row r="342" spans="1:28">
      <c r="A342" s="116"/>
      <c r="B342" s="116"/>
      <c r="C342" s="116">
        <v>0</v>
      </c>
      <c r="D342" s="3"/>
      <c r="E342" s="215"/>
      <c r="F342" s="216"/>
      <c r="G342" s="216"/>
      <c r="H342" s="183"/>
      <c r="I342" s="183"/>
      <c r="J342" s="183"/>
      <c r="K342" s="183"/>
      <c r="L342" s="183"/>
      <c r="M342" s="184"/>
      <c r="N342" s="184"/>
      <c r="O342" s="185"/>
      <c r="P342" s="186"/>
      <c r="Q342" s="186"/>
      <c r="R342" s="187"/>
      <c r="S342" s="187"/>
      <c r="T342" s="184"/>
      <c r="U342" s="184"/>
      <c r="V342" s="188"/>
      <c r="W342" s="189"/>
      <c r="X342" s="190"/>
      <c r="Y342" s="185"/>
      <c r="Z342" s="191"/>
      <c r="AA342" s="97"/>
      <c r="AB342" s="192"/>
    </row>
    <row r="343" spans="1:28">
      <c r="A343" s="116"/>
      <c r="B343" s="116" t="s">
        <v>1061</v>
      </c>
      <c r="C343" s="116">
        <v>2</v>
      </c>
      <c r="D343" s="3"/>
      <c r="E343" s="183"/>
      <c r="F343" s="216"/>
      <c r="G343" s="216"/>
      <c r="H343" s="183"/>
      <c r="I343" s="183"/>
      <c r="J343" s="183"/>
      <c r="K343" s="183"/>
      <c r="L343" s="183"/>
      <c r="M343" s="184"/>
      <c r="N343" s="184"/>
      <c r="O343" s="185"/>
      <c r="P343" s="186"/>
      <c r="Q343" s="186"/>
      <c r="R343" s="187"/>
      <c r="S343" s="187"/>
      <c r="T343" s="184"/>
      <c r="U343" s="184"/>
      <c r="V343" s="188"/>
      <c r="W343" s="189"/>
      <c r="X343" s="190"/>
      <c r="Y343" s="185"/>
      <c r="Z343" s="191"/>
      <c r="AA343" s="97"/>
      <c r="AB343" s="192"/>
    </row>
    <row r="344" spans="1:28">
      <c r="A344" s="116"/>
      <c r="B344" s="116"/>
      <c r="C344" s="116">
        <v>3</v>
      </c>
      <c r="D344" s="3"/>
      <c r="E344" s="215"/>
      <c r="F344" s="216"/>
      <c r="G344" s="216"/>
      <c r="H344" s="183"/>
      <c r="I344" s="183"/>
      <c r="J344" s="183"/>
      <c r="K344" s="183"/>
      <c r="L344" s="183"/>
      <c r="M344" s="184"/>
      <c r="N344" s="184"/>
      <c r="O344" s="185"/>
      <c r="P344" s="186"/>
      <c r="Q344" s="186"/>
      <c r="R344" s="187"/>
      <c r="S344" s="187"/>
      <c r="T344" s="184"/>
      <c r="U344" s="184"/>
      <c r="V344" s="188"/>
      <c r="W344" s="189"/>
      <c r="X344" s="190"/>
      <c r="Y344" s="185"/>
      <c r="Z344" s="191"/>
      <c r="AA344" s="97"/>
      <c r="AB344" s="192"/>
    </row>
    <row r="345" spans="1:28">
      <c r="A345" s="116"/>
      <c r="B345" s="116"/>
      <c r="C345" s="116">
        <v>3</v>
      </c>
      <c r="D345" s="3"/>
      <c r="E345" s="215"/>
      <c r="F345" s="216"/>
      <c r="G345" s="216"/>
      <c r="H345" s="183"/>
      <c r="I345" s="183"/>
      <c r="J345" s="183"/>
      <c r="K345" s="183"/>
      <c r="L345" s="183"/>
      <c r="M345" s="184"/>
      <c r="N345" s="184"/>
      <c r="O345" s="185"/>
      <c r="P345" s="186"/>
      <c r="Q345" s="186"/>
      <c r="R345" s="187"/>
      <c r="S345" s="187"/>
      <c r="T345" s="184"/>
      <c r="U345" s="184"/>
      <c r="V345" s="188"/>
      <c r="W345" s="189"/>
      <c r="X345" s="190"/>
      <c r="Y345" s="185"/>
      <c r="Z345" s="191"/>
      <c r="AA345" s="97"/>
      <c r="AB345" s="192"/>
    </row>
    <row r="346" spans="1:28">
      <c r="A346" s="116"/>
      <c r="B346" s="116"/>
      <c r="C346" s="116">
        <v>0</v>
      </c>
      <c r="D346" s="3"/>
      <c r="E346" s="215"/>
      <c r="F346" s="216"/>
      <c r="G346" s="216"/>
      <c r="H346" s="183"/>
      <c r="I346" s="183"/>
      <c r="J346" s="183"/>
      <c r="K346" s="183"/>
      <c r="L346" s="183"/>
      <c r="M346" s="184"/>
      <c r="N346" s="184"/>
      <c r="O346" s="185"/>
      <c r="P346" s="186"/>
      <c r="Q346" s="186"/>
      <c r="R346" s="187"/>
      <c r="S346" s="187"/>
      <c r="T346" s="184"/>
      <c r="U346" s="184"/>
      <c r="V346" s="188"/>
      <c r="W346" s="189"/>
      <c r="X346" s="190"/>
      <c r="Y346" s="185"/>
      <c r="Z346" s="191"/>
      <c r="AA346" s="97"/>
      <c r="AB346" s="192"/>
    </row>
    <row r="347" spans="1:28">
      <c r="A347" s="116"/>
      <c r="B347" s="116" t="s">
        <v>1061</v>
      </c>
      <c r="C347" s="116">
        <v>2</v>
      </c>
      <c r="D347" s="3"/>
      <c r="E347" s="183"/>
      <c r="F347" s="216"/>
      <c r="G347" s="216"/>
      <c r="H347" s="183"/>
      <c r="I347" s="183"/>
      <c r="J347" s="183"/>
      <c r="K347" s="183"/>
      <c r="L347" s="183"/>
      <c r="M347" s="184"/>
      <c r="N347" s="184"/>
      <c r="O347" s="185"/>
      <c r="P347" s="186"/>
      <c r="Q347" s="186"/>
      <c r="R347" s="187"/>
      <c r="S347" s="187"/>
      <c r="T347" s="184"/>
      <c r="U347" s="184"/>
      <c r="V347" s="188"/>
      <c r="W347" s="189"/>
      <c r="X347" s="190"/>
      <c r="Y347" s="185"/>
      <c r="Z347" s="191"/>
      <c r="AA347" s="97"/>
      <c r="AB347" s="192"/>
    </row>
    <row r="348" spans="1:28">
      <c r="A348" s="116"/>
      <c r="B348" s="116"/>
      <c r="C348" s="116">
        <v>3</v>
      </c>
      <c r="D348" s="3"/>
      <c r="E348" s="215"/>
      <c r="F348" s="216"/>
      <c r="G348" s="216"/>
      <c r="H348" s="183"/>
      <c r="I348" s="183"/>
      <c r="J348" s="183"/>
      <c r="K348" s="183"/>
      <c r="L348" s="183"/>
      <c r="M348" s="184"/>
      <c r="N348" s="184"/>
      <c r="O348" s="185"/>
      <c r="P348" s="186"/>
      <c r="Q348" s="186"/>
      <c r="R348" s="187"/>
      <c r="S348" s="187"/>
      <c r="T348" s="184"/>
      <c r="U348" s="184"/>
      <c r="V348" s="188"/>
      <c r="W348" s="189"/>
      <c r="X348" s="190"/>
      <c r="Y348" s="185"/>
      <c r="Z348" s="191"/>
      <c r="AA348" s="97"/>
      <c r="AB348" s="192"/>
    </row>
    <row r="349" spans="1:28">
      <c r="A349" s="116"/>
      <c r="B349" s="116"/>
      <c r="C349" s="116">
        <v>3</v>
      </c>
      <c r="D349" s="3"/>
      <c r="E349" s="215"/>
      <c r="F349" s="216"/>
      <c r="G349" s="216"/>
      <c r="H349" s="183"/>
      <c r="I349" s="183"/>
      <c r="J349" s="183"/>
      <c r="K349" s="183"/>
      <c r="L349" s="183"/>
      <c r="M349" s="184"/>
      <c r="N349" s="184"/>
      <c r="O349" s="185"/>
      <c r="P349" s="186"/>
      <c r="Q349" s="186"/>
      <c r="R349" s="187"/>
      <c r="S349" s="187"/>
      <c r="T349" s="184"/>
      <c r="U349" s="184"/>
      <c r="V349" s="188"/>
      <c r="W349" s="189"/>
      <c r="X349" s="190"/>
      <c r="Y349" s="185"/>
      <c r="Z349" s="191"/>
      <c r="AA349" s="97"/>
      <c r="AB349" s="192"/>
    </row>
    <row r="350" spans="1:28">
      <c r="A350" s="116"/>
      <c r="B350" s="116"/>
      <c r="C350" s="116">
        <v>0</v>
      </c>
      <c r="D350" s="3"/>
      <c r="E350" s="215"/>
      <c r="F350" s="216"/>
      <c r="G350" s="216"/>
      <c r="H350" s="183"/>
      <c r="I350" s="183"/>
      <c r="J350" s="183"/>
      <c r="K350" s="183"/>
      <c r="L350" s="183"/>
      <c r="M350" s="184"/>
      <c r="N350" s="184"/>
      <c r="O350" s="185"/>
      <c r="P350" s="186"/>
      <c r="Q350" s="186"/>
      <c r="R350" s="187"/>
      <c r="S350" s="187"/>
      <c r="T350" s="184"/>
      <c r="U350" s="184"/>
      <c r="V350" s="188"/>
      <c r="W350" s="189"/>
      <c r="X350" s="190"/>
      <c r="Y350" s="185"/>
      <c r="Z350" s="191"/>
      <c r="AA350" s="97"/>
      <c r="AB350" s="192"/>
    </row>
    <row r="351" spans="1:28">
      <c r="A351" s="116"/>
      <c r="B351" s="116"/>
      <c r="C351" s="116">
        <v>0</v>
      </c>
      <c r="D351" s="3"/>
      <c r="E351" s="183"/>
      <c r="F351" s="183"/>
      <c r="G351" s="183"/>
      <c r="H351" s="183"/>
      <c r="I351" s="183"/>
      <c r="J351" s="183"/>
      <c r="K351" s="183"/>
      <c r="L351" s="183"/>
      <c r="M351" s="184"/>
      <c r="N351" s="184"/>
      <c r="O351" s="185"/>
      <c r="P351" s="186"/>
      <c r="Q351" s="186"/>
      <c r="R351" s="187"/>
      <c r="S351" s="187"/>
      <c r="T351" s="184"/>
      <c r="U351" s="184"/>
      <c r="V351" s="188"/>
      <c r="W351" s="189"/>
      <c r="X351" s="190"/>
      <c r="Y351" s="185"/>
      <c r="Z351" s="191"/>
      <c r="AA351" s="97"/>
      <c r="AB351" s="192"/>
    </row>
    <row r="352" spans="1:28">
      <c r="A352" s="116"/>
      <c r="B352" s="116" t="s">
        <v>1061</v>
      </c>
      <c r="C352" s="116">
        <v>1</v>
      </c>
      <c r="D352" s="3"/>
      <c r="E352" s="214"/>
      <c r="F352" s="183"/>
      <c r="G352" s="183"/>
      <c r="H352" s="183"/>
      <c r="I352" s="183"/>
      <c r="J352" s="183"/>
      <c r="K352" s="183"/>
      <c r="L352" s="183"/>
      <c r="M352" s="184"/>
      <c r="N352" s="184"/>
      <c r="O352" s="185"/>
      <c r="P352" s="186"/>
      <c r="Q352" s="186"/>
      <c r="R352" s="187"/>
      <c r="S352" s="187"/>
      <c r="T352" s="184"/>
      <c r="U352" s="184"/>
      <c r="V352" s="188"/>
      <c r="W352" s="189"/>
      <c r="X352" s="190"/>
      <c r="Y352" s="185"/>
      <c r="Z352" s="191"/>
      <c r="AA352" s="97"/>
      <c r="AB352" s="192"/>
    </row>
    <row r="353" spans="1:28">
      <c r="A353" s="116"/>
      <c r="B353" s="116"/>
      <c r="C353" s="116">
        <v>2</v>
      </c>
      <c r="D353" s="3"/>
      <c r="E353" s="215"/>
      <c r="F353" s="216"/>
      <c r="G353" s="183"/>
      <c r="H353" s="183"/>
      <c r="I353" s="183"/>
      <c r="J353" s="183"/>
      <c r="K353" s="183"/>
      <c r="L353" s="183"/>
      <c r="M353" s="184"/>
      <c r="N353" s="184"/>
      <c r="O353" s="185"/>
      <c r="P353" s="186"/>
      <c r="Q353" s="186"/>
      <c r="R353" s="187"/>
      <c r="S353" s="187"/>
      <c r="T353" s="184"/>
      <c r="U353" s="184"/>
      <c r="V353" s="188"/>
      <c r="W353" s="189"/>
      <c r="X353" s="190"/>
      <c r="Y353" s="185"/>
      <c r="Z353" s="191"/>
      <c r="AA353" s="97"/>
      <c r="AB353" s="192"/>
    </row>
    <row r="354" spans="1:28">
      <c r="A354" s="116"/>
      <c r="B354" s="116"/>
      <c r="C354" s="116">
        <v>2</v>
      </c>
      <c r="D354" s="3"/>
      <c r="E354" s="183"/>
      <c r="F354" s="216"/>
      <c r="G354" s="183"/>
      <c r="H354" s="183"/>
      <c r="I354" s="183"/>
      <c r="J354" s="183"/>
      <c r="K354" s="183"/>
      <c r="L354" s="183"/>
      <c r="M354" s="184"/>
      <c r="N354" s="184"/>
      <c r="O354" s="185"/>
      <c r="P354" s="186"/>
      <c r="Q354" s="186"/>
      <c r="R354" s="187"/>
      <c r="S354" s="187"/>
      <c r="T354" s="184"/>
      <c r="U354" s="184"/>
      <c r="V354" s="188"/>
      <c r="W354" s="189"/>
      <c r="X354" s="190"/>
      <c r="Y354" s="185"/>
      <c r="Z354" s="191"/>
      <c r="AA354" s="97"/>
      <c r="AB354" s="192"/>
    </row>
    <row r="355" spans="1:28">
      <c r="A355" s="116"/>
      <c r="B355" s="116"/>
      <c r="C355" s="116">
        <v>2</v>
      </c>
      <c r="D355" s="3"/>
      <c r="E355" s="183"/>
      <c r="F355" s="216"/>
      <c r="G355" s="183"/>
      <c r="H355" s="183"/>
      <c r="I355" s="183"/>
      <c r="J355" s="183"/>
      <c r="K355" s="183"/>
      <c r="L355" s="183"/>
      <c r="M355" s="184"/>
      <c r="N355" s="184"/>
      <c r="O355" s="185"/>
      <c r="P355" s="186"/>
      <c r="Q355" s="186"/>
      <c r="R355" s="187"/>
      <c r="S355" s="187"/>
      <c r="T355" s="184"/>
      <c r="U355" s="184"/>
      <c r="V355" s="188"/>
      <c r="W355" s="189"/>
      <c r="X355" s="190"/>
      <c r="Y355" s="185"/>
      <c r="Z355" s="191"/>
      <c r="AA355" s="97"/>
      <c r="AB355" s="192"/>
    </row>
    <row r="356" spans="1:28">
      <c r="A356" s="116"/>
      <c r="B356" s="116"/>
      <c r="C356" s="116">
        <v>2</v>
      </c>
      <c r="D356" s="3"/>
      <c r="E356" s="183"/>
      <c r="F356" s="216"/>
      <c r="G356" s="183"/>
      <c r="H356" s="183"/>
      <c r="I356" s="183"/>
      <c r="J356" s="183"/>
      <c r="K356" s="183"/>
      <c r="L356" s="183"/>
      <c r="M356" s="184"/>
      <c r="N356" s="184"/>
      <c r="O356" s="185"/>
      <c r="P356" s="186"/>
      <c r="Q356" s="186"/>
      <c r="R356" s="187"/>
      <c r="S356" s="187"/>
      <c r="T356" s="184"/>
      <c r="U356" s="184"/>
      <c r="V356" s="188"/>
      <c r="W356" s="189"/>
      <c r="X356" s="190"/>
      <c r="Y356" s="185"/>
      <c r="Z356" s="191"/>
      <c r="AA356" s="97"/>
      <c r="AB356" s="192"/>
    </row>
    <row r="357" spans="1:28">
      <c r="A357" s="116"/>
      <c r="B357" s="116"/>
      <c r="C357" s="116">
        <v>2</v>
      </c>
      <c r="D357" s="3"/>
      <c r="E357" s="183"/>
      <c r="F357" s="216"/>
      <c r="G357" s="183"/>
      <c r="H357" s="183"/>
      <c r="I357" s="183"/>
      <c r="J357" s="183"/>
      <c r="K357" s="183"/>
      <c r="L357" s="183"/>
      <c r="M357" s="184"/>
      <c r="N357" s="184"/>
      <c r="O357" s="185"/>
      <c r="P357" s="186"/>
      <c r="Q357" s="186"/>
      <c r="R357" s="187"/>
      <c r="S357" s="187"/>
      <c r="T357" s="184"/>
      <c r="U357" s="184"/>
      <c r="V357" s="188"/>
      <c r="W357" s="189"/>
      <c r="X357" s="190"/>
      <c r="Y357" s="185"/>
      <c r="Z357" s="191"/>
      <c r="AA357" s="97"/>
      <c r="AB357" s="192"/>
    </row>
    <row r="358" spans="1:28">
      <c r="A358" s="116"/>
      <c r="B358" s="116"/>
      <c r="C358" s="116">
        <v>2</v>
      </c>
      <c r="D358" s="3"/>
      <c r="E358" s="183"/>
      <c r="F358" s="216"/>
      <c r="G358" s="183"/>
      <c r="H358" s="183"/>
      <c r="I358" s="183"/>
      <c r="J358" s="183"/>
      <c r="K358" s="183"/>
      <c r="L358" s="183"/>
      <c r="M358" s="184"/>
      <c r="N358" s="184"/>
      <c r="O358" s="185"/>
      <c r="P358" s="186"/>
      <c r="Q358" s="186"/>
      <c r="R358" s="187"/>
      <c r="S358" s="187"/>
      <c r="T358" s="184"/>
      <c r="U358" s="184"/>
      <c r="V358" s="188"/>
      <c r="W358" s="189"/>
      <c r="X358" s="190"/>
      <c r="Y358" s="185"/>
      <c r="Z358" s="191"/>
      <c r="AA358" s="97"/>
      <c r="AB358" s="192"/>
    </row>
    <row r="359" spans="1:28">
      <c r="A359" s="116"/>
      <c r="B359" s="116"/>
      <c r="C359" s="116">
        <v>2</v>
      </c>
      <c r="D359" s="3"/>
      <c r="E359" s="183"/>
      <c r="F359" s="216"/>
      <c r="G359" s="183"/>
      <c r="H359" s="183"/>
      <c r="I359" s="183"/>
      <c r="J359" s="183"/>
      <c r="K359" s="183"/>
      <c r="L359" s="183"/>
      <c r="M359" s="184"/>
      <c r="N359" s="184"/>
      <c r="O359" s="185"/>
      <c r="P359" s="186"/>
      <c r="Q359" s="186"/>
      <c r="R359" s="187"/>
      <c r="S359" s="187"/>
      <c r="T359" s="184"/>
      <c r="U359" s="184"/>
      <c r="V359" s="188"/>
      <c r="W359" s="189"/>
      <c r="X359" s="190"/>
      <c r="Y359" s="185"/>
      <c r="Z359" s="191"/>
      <c r="AA359" s="97"/>
      <c r="AB359" s="192"/>
    </row>
    <row r="360" spans="1:28">
      <c r="A360" s="116"/>
      <c r="B360" s="116"/>
      <c r="C360" s="116">
        <v>2</v>
      </c>
      <c r="D360" s="3"/>
      <c r="E360" s="183"/>
      <c r="F360" s="216"/>
      <c r="G360" s="183"/>
      <c r="H360" s="183"/>
      <c r="I360" s="183"/>
      <c r="J360" s="183"/>
      <c r="K360" s="183"/>
      <c r="L360" s="183"/>
      <c r="M360" s="184"/>
      <c r="N360" s="184"/>
      <c r="O360" s="185"/>
      <c r="P360" s="186"/>
      <c r="Q360" s="186"/>
      <c r="R360" s="187"/>
      <c r="S360" s="187"/>
      <c r="T360" s="184"/>
      <c r="U360" s="184"/>
      <c r="V360" s="188"/>
      <c r="W360" s="189"/>
      <c r="X360" s="190"/>
      <c r="Y360" s="185"/>
      <c r="Z360" s="191"/>
      <c r="AA360" s="97"/>
      <c r="AB360" s="192"/>
    </row>
    <row r="361" spans="1:28">
      <c r="A361" s="116"/>
      <c r="B361" s="116"/>
      <c r="C361" s="116">
        <v>2</v>
      </c>
      <c r="D361" s="3"/>
      <c r="E361" s="183"/>
      <c r="F361" s="216"/>
      <c r="G361" s="183"/>
      <c r="H361" s="183"/>
      <c r="I361" s="183"/>
      <c r="J361" s="183"/>
      <c r="K361" s="183"/>
      <c r="L361" s="183"/>
      <c r="M361" s="184"/>
      <c r="N361" s="184"/>
      <c r="O361" s="185"/>
      <c r="P361" s="186"/>
      <c r="Q361" s="186"/>
      <c r="R361" s="187"/>
      <c r="S361" s="187"/>
      <c r="T361" s="184"/>
      <c r="U361" s="184"/>
      <c r="V361" s="188"/>
      <c r="W361" s="189"/>
      <c r="X361" s="190"/>
      <c r="Y361" s="185"/>
      <c r="Z361" s="191"/>
      <c r="AA361" s="97"/>
      <c r="AB361" s="192"/>
    </row>
    <row r="362" spans="1:28">
      <c r="A362" s="116"/>
      <c r="B362" s="116"/>
      <c r="C362" s="116">
        <v>2</v>
      </c>
      <c r="D362" s="3"/>
      <c r="E362" s="183"/>
      <c r="F362" s="216"/>
      <c r="G362" s="183"/>
      <c r="H362" s="183"/>
      <c r="I362" s="183"/>
      <c r="J362" s="183"/>
      <c r="K362" s="183"/>
      <c r="L362" s="183"/>
      <c r="M362" s="184"/>
      <c r="N362" s="184"/>
      <c r="O362" s="185"/>
      <c r="P362" s="186"/>
      <c r="Q362" s="186"/>
      <c r="R362" s="187"/>
      <c r="S362" s="187"/>
      <c r="T362" s="184"/>
      <c r="U362" s="184"/>
      <c r="V362" s="188"/>
      <c r="W362" s="189"/>
      <c r="X362" s="190"/>
      <c r="Y362" s="185"/>
      <c r="Z362" s="191"/>
      <c r="AA362" s="97"/>
      <c r="AB362" s="192"/>
    </row>
    <row r="363" spans="1:28">
      <c r="A363" s="116"/>
      <c r="B363" s="116"/>
      <c r="C363" s="116">
        <v>2</v>
      </c>
      <c r="D363" s="3"/>
      <c r="E363" s="183"/>
      <c r="F363" s="216"/>
      <c r="G363" s="183"/>
      <c r="H363" s="183"/>
      <c r="I363" s="183"/>
      <c r="J363" s="183"/>
      <c r="K363" s="183"/>
      <c r="L363" s="183"/>
      <c r="M363" s="184"/>
      <c r="N363" s="184"/>
      <c r="O363" s="185"/>
      <c r="P363" s="186"/>
      <c r="Q363" s="186"/>
      <c r="R363" s="187"/>
      <c r="S363" s="187"/>
      <c r="T363" s="184"/>
      <c r="U363" s="184"/>
      <c r="V363" s="188"/>
      <c r="W363" s="189"/>
      <c r="X363" s="190"/>
      <c r="Y363" s="185"/>
      <c r="Z363" s="191"/>
      <c r="AA363" s="97"/>
      <c r="AB363" s="192"/>
    </row>
    <row r="364" spans="1:28">
      <c r="A364" s="116"/>
      <c r="B364" s="116"/>
      <c r="C364" s="116">
        <v>2</v>
      </c>
      <c r="D364" s="3"/>
      <c r="E364" s="183"/>
      <c r="F364" s="216"/>
      <c r="G364" s="183"/>
      <c r="H364" s="183"/>
      <c r="I364" s="183"/>
      <c r="J364" s="183"/>
      <c r="K364" s="183"/>
      <c r="L364" s="183"/>
      <c r="M364" s="184"/>
      <c r="N364" s="184"/>
      <c r="O364" s="185"/>
      <c r="P364" s="186"/>
      <c r="Q364" s="186"/>
      <c r="R364" s="187"/>
      <c r="S364" s="187"/>
      <c r="T364" s="184"/>
      <c r="U364" s="184"/>
      <c r="V364" s="188"/>
      <c r="W364" s="189"/>
      <c r="X364" s="190"/>
      <c r="Y364" s="185"/>
      <c r="Z364" s="191"/>
      <c r="AA364" s="97"/>
      <c r="AB364" s="192"/>
    </row>
    <row r="365" spans="1:28">
      <c r="A365" s="116"/>
      <c r="B365" s="116"/>
      <c r="C365" s="116">
        <v>2</v>
      </c>
      <c r="D365" s="3"/>
      <c r="E365" s="183"/>
      <c r="F365" s="216"/>
      <c r="G365" s="183"/>
      <c r="H365" s="183"/>
      <c r="I365" s="183"/>
      <c r="J365" s="183"/>
      <c r="K365" s="183"/>
      <c r="L365" s="183"/>
      <c r="M365" s="184"/>
      <c r="N365" s="184"/>
      <c r="O365" s="185"/>
      <c r="P365" s="186"/>
      <c r="Q365" s="186"/>
      <c r="R365" s="187"/>
      <c r="S365" s="187"/>
      <c r="T365" s="184"/>
      <c r="U365" s="184"/>
      <c r="V365" s="188"/>
      <c r="W365" s="189"/>
      <c r="X365" s="190"/>
      <c r="Y365" s="185"/>
      <c r="Z365" s="191"/>
      <c r="AA365" s="97"/>
      <c r="AB365" s="192"/>
    </row>
    <row r="366" spans="1:28">
      <c r="A366" s="116"/>
      <c r="B366" s="116"/>
      <c r="C366" s="116">
        <v>2</v>
      </c>
      <c r="D366" s="3"/>
      <c r="E366" s="183"/>
      <c r="F366" s="183"/>
      <c r="G366" s="183"/>
      <c r="H366" s="183"/>
      <c r="I366" s="183"/>
      <c r="J366" s="183"/>
      <c r="K366" s="183"/>
      <c r="L366" s="183"/>
      <c r="M366" s="184"/>
      <c r="N366" s="184"/>
      <c r="O366" s="185"/>
      <c r="P366" s="186"/>
      <c r="Q366" s="186"/>
      <c r="R366" s="187"/>
      <c r="S366" s="187"/>
      <c r="T366" s="184"/>
      <c r="U366" s="184"/>
      <c r="V366" s="188"/>
      <c r="W366" s="189"/>
      <c r="X366" s="190"/>
      <c r="Y366" s="185"/>
      <c r="Z366" s="191"/>
      <c r="AA366" s="97"/>
      <c r="AB366" s="192"/>
    </row>
    <row r="367" spans="1:28">
      <c r="A367" s="116"/>
      <c r="B367" s="116"/>
      <c r="C367" s="116">
        <v>2</v>
      </c>
      <c r="D367" s="3"/>
      <c r="E367" s="183"/>
      <c r="F367" s="183"/>
      <c r="G367" s="183"/>
      <c r="H367" s="183"/>
      <c r="I367" s="183"/>
      <c r="J367" s="183"/>
      <c r="K367" s="183"/>
      <c r="L367" s="183"/>
      <c r="M367" s="184"/>
      <c r="N367" s="184"/>
      <c r="O367" s="185"/>
      <c r="P367" s="186"/>
      <c r="Q367" s="186"/>
      <c r="R367" s="187"/>
      <c r="S367" s="187"/>
      <c r="T367" s="184"/>
      <c r="U367" s="184"/>
      <c r="V367" s="188"/>
      <c r="W367" s="189"/>
      <c r="X367" s="190"/>
      <c r="Y367" s="185"/>
      <c r="Z367" s="191"/>
      <c r="AA367" s="97"/>
      <c r="AB367" s="192"/>
    </row>
    <row r="368" spans="1:28">
      <c r="A368" s="116"/>
      <c r="B368" s="116"/>
      <c r="C368" s="116">
        <v>2</v>
      </c>
      <c r="D368" s="3"/>
      <c r="E368" s="183"/>
      <c r="F368" s="183"/>
      <c r="G368" s="183"/>
      <c r="H368" s="183"/>
      <c r="I368" s="183"/>
      <c r="J368" s="183"/>
      <c r="K368" s="183"/>
      <c r="L368" s="183"/>
      <c r="M368" s="184"/>
      <c r="N368" s="184"/>
      <c r="O368" s="185"/>
      <c r="P368" s="186"/>
      <c r="Q368" s="186"/>
      <c r="R368" s="187"/>
      <c r="S368" s="187"/>
      <c r="T368" s="184"/>
      <c r="U368" s="184"/>
      <c r="V368" s="188"/>
      <c r="W368" s="189"/>
      <c r="X368" s="190"/>
      <c r="Y368" s="185"/>
      <c r="Z368" s="191"/>
      <c r="AA368" s="97"/>
      <c r="AB368" s="192"/>
    </row>
    <row r="369" spans="1:28">
      <c r="A369" s="116"/>
      <c r="B369" s="116"/>
      <c r="C369" s="116">
        <v>2</v>
      </c>
      <c r="D369" s="3"/>
      <c r="E369" s="183"/>
      <c r="F369" s="183"/>
      <c r="G369" s="183"/>
      <c r="H369" s="183"/>
      <c r="I369" s="183"/>
      <c r="J369" s="183"/>
      <c r="K369" s="183"/>
      <c r="L369" s="183"/>
      <c r="M369" s="184"/>
      <c r="N369" s="184"/>
      <c r="O369" s="185"/>
      <c r="P369" s="186"/>
      <c r="Q369" s="186"/>
      <c r="R369" s="187"/>
      <c r="S369" s="187"/>
      <c r="T369" s="184"/>
      <c r="U369" s="184"/>
      <c r="V369" s="188"/>
      <c r="W369" s="189"/>
      <c r="X369" s="190"/>
      <c r="Y369" s="185"/>
      <c r="Z369" s="191"/>
      <c r="AA369" s="97"/>
      <c r="AB369" s="192"/>
    </row>
    <row r="370" spans="1:28">
      <c r="A370" s="193"/>
      <c r="B370" s="193"/>
      <c r="C370" s="193">
        <v>0</v>
      </c>
      <c r="D370" s="194"/>
      <c r="E370" s="195"/>
      <c r="F370" s="195"/>
      <c r="G370" s="195"/>
      <c r="H370" s="195"/>
      <c r="I370" s="195"/>
      <c r="J370" s="195"/>
      <c r="K370" s="195"/>
      <c r="L370" s="195"/>
      <c r="M370" s="196"/>
      <c r="N370" s="196"/>
      <c r="O370" s="197"/>
      <c r="P370" s="198"/>
      <c r="Q370" s="198"/>
      <c r="R370" s="199"/>
      <c r="S370" s="199"/>
      <c r="T370" s="196"/>
      <c r="U370" s="196"/>
      <c r="V370" s="200"/>
      <c r="W370" s="201"/>
      <c r="X370" s="202"/>
      <c r="Y370" s="197"/>
      <c r="Z370" s="203"/>
      <c r="AA370" s="204"/>
      <c r="AB370" s="205"/>
    </row>
    <row r="371" spans="1:28">
      <c r="A371" s="193"/>
      <c r="B371" s="193"/>
      <c r="C371" s="193"/>
      <c r="D371" s="194"/>
      <c r="E371" s="195"/>
      <c r="F371" s="195"/>
      <c r="G371" s="195"/>
      <c r="H371" s="195"/>
      <c r="I371" s="195"/>
      <c r="J371" s="195"/>
      <c r="K371" s="195"/>
      <c r="L371" s="195"/>
      <c r="M371" s="196"/>
      <c r="N371" s="196"/>
      <c r="O371" s="197"/>
      <c r="P371" s="198"/>
      <c r="Q371" s="198"/>
      <c r="R371" s="199"/>
      <c r="S371" s="199"/>
      <c r="T371" s="196"/>
      <c r="U371" s="196"/>
      <c r="V371" s="200"/>
      <c r="W371" s="201"/>
      <c r="X371" s="202"/>
      <c r="Y371" s="197"/>
      <c r="Z371" s="203"/>
      <c r="AA371" s="204"/>
      <c r="AB371" s="205"/>
    </row>
    <row r="372" spans="1:28">
      <c r="A372" s="116"/>
      <c r="B372" s="116"/>
      <c r="C372" s="116"/>
      <c r="D372" s="3"/>
      <c r="E372" s="183"/>
      <c r="F372" s="183"/>
      <c r="G372" s="183"/>
      <c r="H372" s="183"/>
      <c r="I372" s="183"/>
      <c r="J372" s="183"/>
      <c r="K372" s="183"/>
      <c r="L372" s="183"/>
      <c r="M372" s="184"/>
      <c r="N372" s="184"/>
      <c r="O372" s="185"/>
      <c r="P372" s="186"/>
      <c r="Q372" s="186"/>
      <c r="R372" s="187"/>
      <c r="S372" s="187"/>
      <c r="T372" s="184"/>
      <c r="U372" s="184"/>
      <c r="V372" s="188"/>
      <c r="W372" s="189"/>
      <c r="X372" s="190"/>
      <c r="Y372" s="185"/>
      <c r="Z372" s="191"/>
      <c r="AA372" s="97"/>
      <c r="AB372" s="192"/>
    </row>
    <row r="373" spans="1:28">
      <c r="A373" s="116"/>
      <c r="B373" s="116"/>
      <c r="C373" s="116"/>
      <c r="D373" s="3"/>
      <c r="E373" s="183"/>
      <c r="F373" s="183"/>
      <c r="G373" s="183"/>
      <c r="H373" s="183"/>
      <c r="I373" s="183"/>
      <c r="J373" s="183"/>
      <c r="K373" s="183"/>
      <c r="L373" s="183"/>
      <c r="M373" s="184"/>
      <c r="N373" s="184"/>
      <c r="O373" s="185"/>
      <c r="P373" s="186"/>
      <c r="Q373" s="186"/>
      <c r="R373" s="187"/>
      <c r="S373" s="187"/>
      <c r="T373" s="184"/>
      <c r="U373" s="184"/>
      <c r="V373" s="188"/>
      <c r="W373" s="189"/>
      <c r="X373" s="190"/>
      <c r="Y373" s="185"/>
      <c r="Z373" s="191"/>
      <c r="AA373" s="97"/>
      <c r="AB373" s="192"/>
    </row>
    <row r="374" spans="1:28">
      <c r="A374" s="116"/>
      <c r="B374" s="116"/>
      <c r="C374" s="116"/>
      <c r="D374" s="3"/>
      <c r="E374" s="183"/>
      <c r="F374" s="183"/>
      <c r="G374" s="183"/>
      <c r="H374" s="183"/>
      <c r="I374" s="183"/>
      <c r="J374" s="183"/>
      <c r="K374" s="183"/>
      <c r="L374" s="183"/>
      <c r="M374" s="184"/>
      <c r="N374" s="184"/>
      <c r="O374" s="185"/>
      <c r="P374" s="186"/>
      <c r="Q374" s="186"/>
      <c r="R374" s="187"/>
      <c r="S374" s="187"/>
      <c r="T374" s="184"/>
      <c r="U374" s="184"/>
      <c r="V374" s="188"/>
      <c r="W374" s="189"/>
      <c r="X374" s="190"/>
      <c r="Y374" s="185"/>
      <c r="Z374" s="191"/>
      <c r="AA374" s="97"/>
      <c r="AB374" s="192"/>
    </row>
    <row r="375" spans="1:28">
      <c r="A375" s="116"/>
      <c r="B375" s="116"/>
      <c r="C375" s="116"/>
      <c r="D375" s="3"/>
      <c r="E375" s="183"/>
      <c r="F375" s="183"/>
      <c r="G375" s="183"/>
      <c r="H375" s="183"/>
      <c r="I375" s="183"/>
      <c r="J375" s="183"/>
      <c r="K375" s="183"/>
      <c r="L375" s="183"/>
      <c r="M375" s="184"/>
      <c r="N375" s="184"/>
      <c r="O375" s="185"/>
      <c r="P375" s="186"/>
      <c r="Q375" s="186"/>
      <c r="R375" s="187"/>
      <c r="S375" s="187"/>
      <c r="T375" s="184"/>
      <c r="U375" s="184"/>
      <c r="V375" s="188"/>
      <c r="W375" s="189"/>
      <c r="X375" s="190"/>
      <c r="Y375" s="185"/>
      <c r="Z375" s="191"/>
      <c r="AA375" s="97"/>
      <c r="AB375" s="192"/>
    </row>
    <row r="376" spans="1:28">
      <c r="A376" s="116"/>
      <c r="B376" s="116"/>
      <c r="C376" s="116"/>
      <c r="D376" s="3"/>
      <c r="E376" s="183"/>
      <c r="F376" s="183"/>
      <c r="G376" s="183"/>
      <c r="H376" s="183"/>
      <c r="I376" s="183"/>
      <c r="J376" s="183"/>
      <c r="K376" s="183"/>
      <c r="L376" s="183"/>
      <c r="M376" s="184"/>
      <c r="N376" s="184"/>
      <c r="O376" s="185"/>
      <c r="P376" s="186"/>
      <c r="Q376" s="186"/>
      <c r="R376" s="187"/>
      <c r="S376" s="187"/>
      <c r="T376" s="184"/>
      <c r="U376" s="184"/>
      <c r="V376" s="188"/>
      <c r="W376" s="189"/>
      <c r="X376" s="190"/>
      <c r="Y376" s="185"/>
      <c r="Z376" s="191"/>
      <c r="AA376" s="97"/>
      <c r="AB376" s="192"/>
    </row>
    <row r="377" spans="1:28">
      <c r="A377" s="116"/>
      <c r="B377" s="116"/>
      <c r="C377" s="116"/>
      <c r="D377" s="3"/>
      <c r="E377" s="183"/>
      <c r="F377" s="183"/>
      <c r="G377" s="183"/>
      <c r="H377" s="183"/>
      <c r="I377" s="183"/>
      <c r="J377" s="183"/>
      <c r="K377" s="183"/>
      <c r="L377" s="183"/>
      <c r="M377" s="184"/>
      <c r="N377" s="184"/>
      <c r="O377" s="185"/>
      <c r="P377" s="186"/>
      <c r="Q377" s="186"/>
      <c r="R377" s="187"/>
      <c r="S377" s="187"/>
      <c r="T377" s="184"/>
      <c r="U377" s="184"/>
      <c r="V377" s="188"/>
      <c r="W377" s="189"/>
      <c r="X377" s="190"/>
      <c r="Y377" s="185"/>
      <c r="Z377" s="191"/>
      <c r="AA377" s="97"/>
      <c r="AB377" s="192"/>
    </row>
    <row r="378" spans="1:28">
      <c r="A378" s="116"/>
      <c r="B378" s="116"/>
      <c r="C378" s="116"/>
      <c r="D378" s="3"/>
      <c r="E378" s="183"/>
      <c r="F378" s="183"/>
      <c r="G378" s="183"/>
      <c r="H378" s="183"/>
      <c r="I378" s="183"/>
      <c r="J378" s="183"/>
      <c r="K378" s="183"/>
      <c r="L378" s="183"/>
      <c r="M378" s="184"/>
      <c r="N378" s="184"/>
      <c r="O378" s="185"/>
      <c r="P378" s="186"/>
      <c r="Q378" s="186"/>
      <c r="R378" s="187"/>
      <c r="S378" s="187"/>
      <c r="T378" s="184"/>
      <c r="U378" s="184"/>
      <c r="V378" s="188"/>
      <c r="W378" s="189"/>
      <c r="X378" s="190"/>
      <c r="Y378" s="185"/>
      <c r="Z378" s="191"/>
      <c r="AA378" s="97"/>
      <c r="AB378" s="192"/>
    </row>
    <row r="379" spans="1:28">
      <c r="A379" s="116"/>
      <c r="B379" s="116"/>
      <c r="C379" s="116"/>
      <c r="D379" s="3"/>
      <c r="E379" s="183"/>
      <c r="F379" s="183"/>
      <c r="G379" s="183"/>
      <c r="H379" s="183"/>
      <c r="I379" s="183"/>
      <c r="J379" s="183"/>
      <c r="K379" s="183"/>
      <c r="L379" s="183"/>
      <c r="M379" s="184"/>
      <c r="N379" s="184"/>
      <c r="O379" s="185"/>
      <c r="P379" s="186"/>
      <c r="Q379" s="186"/>
      <c r="R379" s="187"/>
      <c r="S379" s="187"/>
      <c r="T379" s="184"/>
      <c r="U379" s="184"/>
      <c r="V379" s="188"/>
      <c r="W379" s="189"/>
      <c r="X379" s="190"/>
      <c r="Y379" s="185"/>
      <c r="Z379" s="191"/>
      <c r="AA379" s="97"/>
      <c r="AB379" s="192"/>
    </row>
    <row r="380" spans="1:28">
      <c r="A380" s="116"/>
      <c r="B380" s="116"/>
      <c r="C380" s="116"/>
      <c r="D380" s="3"/>
      <c r="E380" s="183"/>
      <c r="F380" s="183"/>
      <c r="G380" s="183"/>
      <c r="H380" s="183"/>
      <c r="I380" s="183"/>
      <c r="J380" s="183"/>
      <c r="K380" s="183"/>
      <c r="L380" s="183"/>
      <c r="M380" s="184"/>
      <c r="N380" s="184"/>
      <c r="O380" s="185"/>
      <c r="P380" s="186"/>
      <c r="Q380" s="186"/>
      <c r="R380" s="187"/>
      <c r="S380" s="187"/>
      <c r="T380" s="184"/>
      <c r="U380" s="184"/>
      <c r="V380" s="188"/>
      <c r="W380" s="189"/>
      <c r="X380" s="190"/>
      <c r="Y380" s="185"/>
      <c r="Z380" s="191"/>
      <c r="AA380" s="97"/>
      <c r="AB380" s="192"/>
    </row>
    <row r="381" spans="1:28">
      <c r="A381" s="116"/>
      <c r="B381" s="116"/>
      <c r="C381" s="116"/>
      <c r="D381" s="3"/>
      <c r="E381" s="183"/>
      <c r="F381" s="183"/>
      <c r="G381" s="183"/>
      <c r="H381" s="183"/>
      <c r="I381" s="183"/>
      <c r="J381" s="183"/>
      <c r="K381" s="183"/>
      <c r="L381" s="183"/>
      <c r="M381" s="184"/>
      <c r="N381" s="184"/>
      <c r="O381" s="185"/>
      <c r="P381" s="186"/>
      <c r="Q381" s="186"/>
      <c r="R381" s="187"/>
      <c r="S381" s="187"/>
      <c r="T381" s="184"/>
      <c r="U381" s="184"/>
      <c r="V381" s="188"/>
      <c r="W381" s="189"/>
      <c r="X381" s="190"/>
      <c r="Y381" s="185"/>
      <c r="Z381" s="191"/>
      <c r="AA381" s="97"/>
      <c r="AB381" s="192"/>
    </row>
    <row r="382" spans="1:28">
      <c r="A382" s="116"/>
      <c r="B382" s="116"/>
      <c r="C382" s="116"/>
      <c r="D382" s="3"/>
      <c r="E382" s="183"/>
      <c r="F382" s="183"/>
      <c r="G382" s="183"/>
      <c r="H382" s="183"/>
      <c r="I382" s="183"/>
      <c r="J382" s="183"/>
      <c r="K382" s="183"/>
      <c r="L382" s="183"/>
      <c r="M382" s="184"/>
      <c r="N382" s="184"/>
      <c r="O382" s="185"/>
      <c r="P382" s="186"/>
      <c r="Q382" s="186"/>
      <c r="R382" s="187"/>
      <c r="S382" s="187"/>
      <c r="T382" s="184"/>
      <c r="U382" s="184"/>
      <c r="V382" s="188"/>
      <c r="W382" s="189"/>
      <c r="X382" s="190"/>
      <c r="Y382" s="185"/>
      <c r="Z382" s="191"/>
      <c r="AA382" s="97"/>
      <c r="AB382" s="192"/>
    </row>
    <row r="383" spans="1:28">
      <c r="A383" s="116"/>
      <c r="B383" s="116"/>
      <c r="C383" s="116"/>
      <c r="D383" s="3"/>
      <c r="E383" s="183"/>
      <c r="F383" s="183"/>
      <c r="G383" s="183"/>
      <c r="H383" s="183"/>
      <c r="I383" s="183"/>
      <c r="J383" s="183"/>
      <c r="K383" s="183"/>
      <c r="L383" s="183"/>
      <c r="M383" s="184"/>
      <c r="N383" s="184"/>
      <c r="O383" s="185"/>
      <c r="P383" s="186"/>
      <c r="Q383" s="186"/>
      <c r="R383" s="187"/>
      <c r="S383" s="187"/>
      <c r="T383" s="184"/>
      <c r="U383" s="184"/>
      <c r="V383" s="188"/>
      <c r="W383" s="189"/>
      <c r="X383" s="190"/>
      <c r="Y383" s="185"/>
      <c r="Z383" s="191"/>
      <c r="AA383" s="97"/>
      <c r="AB383" s="192"/>
    </row>
    <row r="384" spans="1:28">
      <c r="A384" s="116"/>
      <c r="B384" s="116"/>
      <c r="C384" s="116"/>
      <c r="D384" s="3"/>
      <c r="E384" s="183"/>
      <c r="F384" s="183"/>
      <c r="G384" s="183"/>
      <c r="H384" s="183"/>
      <c r="I384" s="183"/>
      <c r="J384" s="183"/>
      <c r="K384" s="183"/>
      <c r="L384" s="183"/>
      <c r="M384" s="184"/>
      <c r="N384" s="184"/>
      <c r="O384" s="185"/>
      <c r="P384" s="186"/>
      <c r="Q384" s="186"/>
      <c r="R384" s="187"/>
      <c r="S384" s="187"/>
      <c r="T384" s="184"/>
      <c r="U384" s="184"/>
      <c r="V384" s="188"/>
      <c r="W384" s="189"/>
      <c r="X384" s="190"/>
      <c r="Y384" s="185"/>
      <c r="Z384" s="191"/>
      <c r="AA384" s="97"/>
      <c r="AB384" s="192"/>
    </row>
    <row r="385" spans="1:28">
      <c r="A385" s="116"/>
      <c r="B385" s="116"/>
      <c r="C385" s="116"/>
      <c r="D385" s="3"/>
      <c r="E385" s="183"/>
      <c r="F385" s="183"/>
      <c r="G385" s="183"/>
      <c r="H385" s="183"/>
      <c r="I385" s="183"/>
      <c r="J385" s="183"/>
      <c r="K385" s="183"/>
      <c r="L385" s="183"/>
      <c r="M385" s="184"/>
      <c r="N385" s="184"/>
      <c r="O385" s="185"/>
      <c r="P385" s="186"/>
      <c r="Q385" s="186"/>
      <c r="R385" s="187"/>
      <c r="S385" s="187"/>
      <c r="T385" s="184"/>
      <c r="U385" s="184"/>
      <c r="V385" s="188"/>
      <c r="W385" s="189"/>
      <c r="X385" s="190"/>
      <c r="Y385" s="185"/>
      <c r="Z385" s="191"/>
      <c r="AA385" s="97"/>
      <c r="AB385" s="192"/>
    </row>
    <row r="386" spans="1:28">
      <c r="A386" s="116"/>
      <c r="B386" s="116"/>
      <c r="C386" s="116"/>
      <c r="D386" s="3"/>
      <c r="E386" s="183"/>
      <c r="F386" s="183"/>
      <c r="G386" s="183"/>
      <c r="H386" s="183"/>
      <c r="I386" s="183"/>
      <c r="J386" s="183"/>
      <c r="K386" s="183"/>
      <c r="L386" s="183"/>
      <c r="M386" s="184"/>
      <c r="N386" s="184"/>
      <c r="O386" s="185"/>
      <c r="P386" s="186"/>
      <c r="Q386" s="186"/>
      <c r="R386" s="187"/>
      <c r="S386" s="187"/>
      <c r="T386" s="184"/>
      <c r="U386" s="184"/>
      <c r="V386" s="188"/>
      <c r="W386" s="189"/>
      <c r="X386" s="190"/>
      <c r="Y386" s="185"/>
      <c r="Z386" s="191"/>
      <c r="AA386" s="97"/>
      <c r="AB386" s="192"/>
    </row>
    <row r="387" spans="1:28">
      <c r="A387" s="116"/>
      <c r="B387" s="116"/>
      <c r="C387" s="116"/>
      <c r="D387" s="3"/>
      <c r="E387" s="183"/>
      <c r="F387" s="183"/>
      <c r="G387" s="183"/>
      <c r="H387" s="183"/>
      <c r="I387" s="183"/>
      <c r="J387" s="183"/>
      <c r="K387" s="183"/>
      <c r="L387" s="183"/>
      <c r="M387" s="184"/>
      <c r="N387" s="184"/>
      <c r="O387" s="185"/>
      <c r="P387" s="186"/>
      <c r="Q387" s="186"/>
      <c r="R387" s="187"/>
      <c r="S387" s="187"/>
      <c r="T387" s="184"/>
      <c r="U387" s="184"/>
      <c r="V387" s="188"/>
      <c r="W387" s="189"/>
      <c r="X387" s="190"/>
      <c r="Y387" s="185"/>
      <c r="Z387" s="191"/>
      <c r="AA387" s="97"/>
      <c r="AB387" s="192"/>
    </row>
    <row r="388" spans="1:28">
      <c r="A388" s="116"/>
      <c r="B388" s="116"/>
      <c r="C388" s="116"/>
      <c r="D388" s="3"/>
      <c r="E388" s="183"/>
      <c r="F388" s="183"/>
      <c r="G388" s="183"/>
      <c r="H388" s="183"/>
      <c r="I388" s="183"/>
      <c r="J388" s="183"/>
      <c r="K388" s="183"/>
      <c r="L388" s="183"/>
      <c r="M388" s="184"/>
      <c r="N388" s="184"/>
      <c r="O388" s="185"/>
      <c r="P388" s="186"/>
      <c r="Q388" s="186"/>
      <c r="R388" s="187"/>
      <c r="S388" s="187"/>
      <c r="T388" s="184"/>
      <c r="U388" s="184"/>
      <c r="V388" s="188"/>
      <c r="W388" s="189"/>
      <c r="X388" s="190"/>
      <c r="Y388" s="185"/>
      <c r="Z388" s="191"/>
      <c r="AA388" s="97"/>
      <c r="AB388" s="192"/>
    </row>
    <row r="389" spans="1:28">
      <c r="A389" s="116"/>
      <c r="B389" s="116"/>
      <c r="C389" s="116"/>
      <c r="D389" s="3"/>
      <c r="E389" s="183"/>
      <c r="F389" s="183"/>
      <c r="G389" s="183"/>
      <c r="H389" s="183"/>
      <c r="I389" s="183"/>
      <c r="J389" s="183"/>
      <c r="K389" s="183"/>
      <c r="L389" s="183"/>
      <c r="M389" s="184"/>
      <c r="N389" s="184"/>
      <c r="O389" s="185"/>
      <c r="P389" s="186"/>
      <c r="Q389" s="186"/>
      <c r="R389" s="187"/>
      <c r="S389" s="187"/>
      <c r="T389" s="184"/>
      <c r="U389" s="184"/>
      <c r="V389" s="188"/>
      <c r="W389" s="189"/>
      <c r="X389" s="190"/>
      <c r="Y389" s="185"/>
      <c r="Z389" s="191"/>
      <c r="AA389" s="97"/>
      <c r="AB389" s="192"/>
    </row>
    <row r="390" spans="1:28">
      <c r="A390" s="116"/>
      <c r="B390" s="116"/>
      <c r="C390" s="116"/>
      <c r="D390" s="3"/>
      <c r="E390" s="183"/>
      <c r="F390" s="183"/>
      <c r="G390" s="183"/>
      <c r="H390" s="183"/>
      <c r="I390" s="183"/>
      <c r="J390" s="183"/>
      <c r="K390" s="183"/>
      <c r="L390" s="183"/>
      <c r="M390" s="184"/>
      <c r="N390" s="184"/>
      <c r="O390" s="185"/>
      <c r="P390" s="186"/>
      <c r="Q390" s="186"/>
      <c r="R390" s="187"/>
      <c r="S390" s="187"/>
      <c r="T390" s="184"/>
      <c r="U390" s="184"/>
      <c r="V390" s="188"/>
      <c r="W390" s="189"/>
      <c r="X390" s="190"/>
      <c r="Y390" s="185"/>
      <c r="Z390" s="191"/>
      <c r="AA390" s="97"/>
      <c r="AB390" s="192"/>
    </row>
    <row r="391" spans="1:28">
      <c r="A391" s="116"/>
      <c r="B391" s="116"/>
      <c r="C391" s="116"/>
      <c r="D391" s="3"/>
      <c r="E391" s="183"/>
      <c r="F391" s="183"/>
      <c r="G391" s="183"/>
      <c r="H391" s="183"/>
      <c r="I391" s="183"/>
      <c r="J391" s="183"/>
      <c r="K391" s="183"/>
      <c r="L391" s="183"/>
      <c r="M391" s="184"/>
      <c r="N391" s="184"/>
      <c r="O391" s="185"/>
      <c r="P391" s="186"/>
      <c r="Q391" s="186"/>
      <c r="R391" s="187"/>
      <c r="S391" s="187"/>
      <c r="T391" s="184"/>
      <c r="U391" s="184"/>
      <c r="V391" s="188"/>
      <c r="W391" s="189"/>
      <c r="X391" s="190"/>
      <c r="Y391" s="185"/>
      <c r="Z391" s="191"/>
      <c r="AA391" s="97"/>
      <c r="AB391" s="192"/>
    </row>
    <row r="392" spans="1:28">
      <c r="A392" s="116"/>
      <c r="B392" s="116"/>
      <c r="C392" s="116"/>
      <c r="D392" s="3"/>
      <c r="E392" s="183"/>
      <c r="F392" s="183"/>
      <c r="G392" s="183"/>
      <c r="H392" s="183"/>
      <c r="I392" s="183"/>
      <c r="J392" s="183"/>
      <c r="K392" s="183"/>
      <c r="L392" s="183"/>
      <c r="M392" s="184"/>
      <c r="N392" s="184"/>
      <c r="O392" s="185"/>
      <c r="P392" s="186"/>
      <c r="Q392" s="186"/>
      <c r="R392" s="187"/>
      <c r="S392" s="187"/>
      <c r="T392" s="184"/>
      <c r="U392" s="184"/>
      <c r="V392" s="188"/>
      <c r="W392" s="189"/>
      <c r="X392" s="190"/>
      <c r="Y392" s="185"/>
      <c r="Z392" s="191"/>
      <c r="AA392" s="97"/>
      <c r="AB392" s="192"/>
    </row>
    <row r="393" spans="1:28">
      <c r="A393" s="116"/>
      <c r="B393" s="116"/>
      <c r="C393" s="116"/>
      <c r="D393" s="3"/>
      <c r="E393" s="183"/>
      <c r="F393" s="183"/>
      <c r="G393" s="183"/>
      <c r="H393" s="183"/>
      <c r="I393" s="183"/>
      <c r="J393" s="183"/>
      <c r="K393" s="183"/>
      <c r="L393" s="183"/>
      <c r="M393" s="184"/>
      <c r="N393" s="184"/>
      <c r="O393" s="185"/>
      <c r="P393" s="186"/>
      <c r="Q393" s="186"/>
      <c r="R393" s="187"/>
      <c r="S393" s="187"/>
      <c r="T393" s="184"/>
      <c r="U393" s="184"/>
      <c r="V393" s="188"/>
      <c r="W393" s="189"/>
      <c r="X393" s="190"/>
      <c r="Y393" s="185"/>
      <c r="Z393" s="191"/>
      <c r="AA393" s="97"/>
      <c r="AB393" s="192"/>
    </row>
    <row r="394" spans="1:28">
      <c r="A394" s="116"/>
      <c r="B394" s="116"/>
      <c r="C394" s="116"/>
      <c r="D394" s="3"/>
      <c r="E394" s="183"/>
      <c r="F394" s="183"/>
      <c r="G394" s="183"/>
      <c r="H394" s="183"/>
      <c r="I394" s="183"/>
      <c r="J394" s="183"/>
      <c r="K394" s="183"/>
      <c r="L394" s="183"/>
      <c r="M394" s="184"/>
      <c r="N394" s="184"/>
      <c r="O394" s="185"/>
      <c r="P394" s="186"/>
      <c r="Q394" s="186"/>
      <c r="R394" s="187"/>
      <c r="S394" s="187"/>
      <c r="T394" s="184"/>
      <c r="U394" s="184"/>
      <c r="V394" s="188"/>
      <c r="W394" s="189"/>
      <c r="X394" s="190"/>
      <c r="Y394" s="185"/>
      <c r="Z394" s="191"/>
      <c r="AA394" s="97"/>
      <c r="AB394" s="192"/>
    </row>
    <row r="395" spans="1:28">
      <c r="A395" s="116"/>
      <c r="B395" s="116"/>
      <c r="C395" s="116"/>
      <c r="D395" s="3"/>
      <c r="E395" s="183"/>
      <c r="F395" s="183"/>
      <c r="G395" s="183"/>
      <c r="H395" s="183"/>
      <c r="I395" s="183"/>
      <c r="J395" s="183"/>
      <c r="K395" s="183"/>
      <c r="L395" s="183"/>
      <c r="M395" s="184"/>
      <c r="N395" s="184"/>
      <c r="O395" s="185"/>
      <c r="P395" s="186"/>
      <c r="Q395" s="186"/>
      <c r="R395" s="187"/>
      <c r="S395" s="187"/>
      <c r="T395" s="184"/>
      <c r="U395" s="184"/>
      <c r="V395" s="188"/>
      <c r="W395" s="189"/>
      <c r="X395" s="190"/>
      <c r="Y395" s="185"/>
      <c r="Z395" s="191"/>
      <c r="AA395" s="97"/>
      <c r="AB395" s="192"/>
    </row>
    <row r="396" spans="1:28">
      <c r="A396" s="116"/>
      <c r="B396" s="116"/>
      <c r="C396" s="116"/>
      <c r="D396" s="3"/>
      <c r="E396" s="183"/>
      <c r="F396" s="183"/>
      <c r="G396" s="183"/>
      <c r="H396" s="183"/>
      <c r="I396" s="183"/>
      <c r="J396" s="183"/>
      <c r="K396" s="183"/>
      <c r="L396" s="183"/>
      <c r="M396" s="184"/>
      <c r="N396" s="184"/>
      <c r="O396" s="185"/>
      <c r="P396" s="186"/>
      <c r="Q396" s="186"/>
      <c r="R396" s="187"/>
      <c r="S396" s="187"/>
      <c r="T396" s="184"/>
      <c r="U396" s="184"/>
      <c r="V396" s="188"/>
      <c r="W396" s="189"/>
      <c r="X396" s="190"/>
      <c r="Y396" s="185"/>
      <c r="Z396" s="191"/>
      <c r="AA396" s="97"/>
      <c r="AB396" s="192"/>
    </row>
    <row r="397" spans="1:28">
      <c r="A397" s="116"/>
      <c r="B397" s="116"/>
      <c r="C397" s="116"/>
      <c r="D397" s="3"/>
      <c r="E397" s="183"/>
      <c r="F397" s="183"/>
      <c r="G397" s="183"/>
      <c r="H397" s="183"/>
      <c r="I397" s="183"/>
      <c r="J397" s="183"/>
      <c r="K397" s="183"/>
      <c r="L397" s="183"/>
      <c r="M397" s="184"/>
      <c r="N397" s="184"/>
      <c r="O397" s="185"/>
      <c r="P397" s="186"/>
      <c r="Q397" s="186"/>
      <c r="R397" s="187"/>
      <c r="S397" s="187"/>
      <c r="T397" s="184"/>
      <c r="U397" s="184"/>
      <c r="V397" s="188"/>
      <c r="W397" s="189"/>
      <c r="X397" s="190"/>
      <c r="Y397" s="185"/>
      <c r="Z397" s="191"/>
      <c r="AA397" s="97"/>
      <c r="AB397" s="192"/>
    </row>
    <row r="398" spans="1:28">
      <c r="A398" s="116"/>
      <c r="B398" s="116"/>
      <c r="C398" s="116"/>
      <c r="D398" s="3"/>
      <c r="E398" s="183"/>
      <c r="F398" s="183"/>
      <c r="G398" s="183"/>
      <c r="H398" s="183"/>
      <c r="I398" s="183"/>
      <c r="J398" s="183"/>
      <c r="K398" s="183"/>
      <c r="L398" s="183"/>
      <c r="M398" s="184"/>
      <c r="N398" s="184"/>
      <c r="O398" s="185"/>
      <c r="P398" s="186"/>
      <c r="Q398" s="186"/>
      <c r="R398" s="187"/>
      <c r="S398" s="187"/>
      <c r="T398" s="184"/>
      <c r="U398" s="184"/>
      <c r="V398" s="188"/>
      <c r="W398" s="189"/>
      <c r="X398" s="190"/>
      <c r="Y398" s="185"/>
      <c r="Z398" s="191"/>
      <c r="AA398" s="97"/>
      <c r="AB398" s="192"/>
    </row>
    <row r="399" spans="1:28">
      <c r="A399" s="116"/>
      <c r="B399" s="116"/>
      <c r="C399" s="116"/>
      <c r="D399" s="3"/>
      <c r="E399" s="183"/>
      <c r="F399" s="183"/>
      <c r="G399" s="183"/>
      <c r="H399" s="183"/>
      <c r="I399" s="183"/>
      <c r="J399" s="183"/>
      <c r="K399" s="183"/>
      <c r="L399" s="183"/>
      <c r="M399" s="184"/>
      <c r="N399" s="184"/>
      <c r="O399" s="185"/>
      <c r="P399" s="186"/>
      <c r="Q399" s="186"/>
      <c r="R399" s="187"/>
      <c r="S399" s="187"/>
      <c r="T399" s="184"/>
      <c r="U399" s="184"/>
      <c r="V399" s="188"/>
      <c r="W399" s="189"/>
      <c r="X399" s="190"/>
      <c r="Y399" s="185"/>
      <c r="Z399" s="191"/>
      <c r="AA399" s="97"/>
      <c r="AB399" s="192"/>
    </row>
    <row r="400" spans="1:28">
      <c r="A400" s="116"/>
      <c r="B400" s="116"/>
      <c r="C400" s="116"/>
      <c r="D400" s="3"/>
      <c r="E400" s="183"/>
      <c r="F400" s="183"/>
      <c r="G400" s="183"/>
      <c r="H400" s="183"/>
      <c r="I400" s="183"/>
      <c r="J400" s="183"/>
      <c r="K400" s="183"/>
      <c r="L400" s="183"/>
      <c r="M400" s="184"/>
      <c r="N400" s="184"/>
      <c r="O400" s="185"/>
      <c r="P400" s="186"/>
      <c r="Q400" s="186"/>
      <c r="R400" s="187"/>
      <c r="S400" s="187"/>
      <c r="T400" s="184"/>
      <c r="U400" s="184"/>
      <c r="V400" s="188"/>
      <c r="W400" s="189"/>
      <c r="X400" s="190"/>
      <c r="Y400" s="185"/>
      <c r="Z400" s="191"/>
      <c r="AA400" s="97"/>
      <c r="AB400" s="192"/>
    </row>
    <row r="401" spans="1:28">
      <c r="A401" s="169"/>
      <c r="B401" s="169"/>
      <c r="C401" s="169"/>
      <c r="D401" s="170"/>
      <c r="E401" s="171"/>
      <c r="F401" s="171"/>
      <c r="G401" s="171"/>
      <c r="H401" s="171"/>
      <c r="I401" s="171"/>
      <c r="J401" s="171"/>
      <c r="K401" s="171"/>
      <c r="L401" s="171"/>
      <c r="M401" s="172"/>
      <c r="N401" s="172"/>
      <c r="O401" s="173"/>
      <c r="P401" s="174"/>
      <c r="Q401" s="174"/>
      <c r="R401" s="175"/>
      <c r="S401" s="175"/>
      <c r="T401" s="172"/>
      <c r="U401" s="172"/>
      <c r="V401" s="176"/>
      <c r="W401" s="177"/>
      <c r="X401" s="178"/>
      <c r="Y401" s="173"/>
      <c r="Z401" s="179"/>
      <c r="AA401" s="180"/>
      <c r="AB401" s="181"/>
    </row>
  </sheetData>
  <sheetProtection formatCells="0" formatColumns="0" formatRows="0" insertColumns="0" insertRows="0" insertHyperlinks="0" deleteColumns="0" deleteRows="0" sort="0" autoFilter="0" pivotTables="0"/>
  <dataConsolidate/>
  <mergeCells count="29">
    <mergeCell ref="AS3:AV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AO3:AR3"/>
    <mergeCell ref="AC3:AF3"/>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157">
    <cfRule type="expression" dxfId="2" priority="2">
      <formula>($B5="G")</formula>
    </cfRule>
    <cfRule type="expression" dxfId="1" priority="1">
      <formula>($AB5=1)</formula>
    </cfRule>
  </conditionalFormatting>
  <hyperlinks>
    <hyperlink ref="AC1:CA1" r:id="rId1" display="http://xlworks.net/" xr:uid="{7C7C77BC-DC9E-4BC8-9C38-BAFC95F4ECB6}"/>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1138</v>
      </c>
      <c r="B1" s="18"/>
      <c r="C1" s="18"/>
      <c r="D1" s="18"/>
      <c r="E1" s="18"/>
      <c r="F1" s="18"/>
      <c r="G1" s="18"/>
      <c r="H1" s="18"/>
      <c r="I1" s="18"/>
      <c r="J1" s="18"/>
      <c r="K1" s="18"/>
      <c r="L1" s="244"/>
      <c r="M1" s="245"/>
      <c r="N1" s="245"/>
      <c r="O1" s="19"/>
      <c r="P1" s="19"/>
      <c r="Q1" s="19"/>
    </row>
    <row r="2" spans="1:17" s="23" customFormat="1" ht="13.8">
      <c r="A2" s="21" t="s">
        <v>1072</v>
      </c>
      <c r="B2" s="22"/>
    </row>
    <row r="3" spans="1:17" s="23" customFormat="1" ht="13.8">
      <c r="A3" s="21" t="s">
        <v>1073</v>
      </c>
      <c r="B3" s="22"/>
    </row>
    <row r="4" spans="1:17" s="23" customFormat="1" ht="13.8">
      <c r="A4" s="246"/>
      <c r="B4" s="246"/>
      <c r="C4" s="24"/>
      <c r="D4" s="25"/>
      <c r="E4" s="25"/>
      <c r="F4" s="25"/>
    </row>
    <row r="5" spans="1:17" s="31" customFormat="1" ht="13.8">
      <c r="A5" s="26"/>
      <c r="B5" s="27"/>
      <c r="C5" s="28"/>
      <c r="D5" s="29"/>
      <c r="E5" s="30"/>
      <c r="F5" s="30"/>
      <c r="G5" s="30"/>
    </row>
    <row r="6" spans="1:17" s="31" customFormat="1" ht="13.8">
      <c r="A6" s="32" t="s">
        <v>1074</v>
      </c>
      <c r="B6" s="33">
        <v>328</v>
      </c>
      <c r="C6" s="31" t="s">
        <v>1</v>
      </c>
      <c r="D6" s="243" t="s">
        <v>1075</v>
      </c>
      <c r="E6" s="243"/>
      <c r="F6" s="243"/>
      <c r="G6" s="243"/>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1076</v>
      </c>
      <c r="B9" s="33">
        <v>59</v>
      </c>
      <c r="C9" s="31" t="s">
        <v>1</v>
      </c>
      <c r="D9" s="242" t="s">
        <v>1077</v>
      </c>
      <c r="E9" s="242"/>
      <c r="F9" s="242"/>
      <c r="G9" s="242"/>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1071</v>
      </c>
      <c r="B12" s="33">
        <v>18</v>
      </c>
      <c r="C12" s="31" t="s">
        <v>1</v>
      </c>
      <c r="D12" s="242" t="s">
        <v>1120</v>
      </c>
      <c r="E12" s="242"/>
      <c r="F12" s="242"/>
      <c r="G12" s="242"/>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1071</v>
      </c>
      <c r="B15" s="33"/>
      <c r="C15" s="31" t="s">
        <v>1</v>
      </c>
      <c r="D15" s="242" t="s">
        <v>1078</v>
      </c>
      <c r="E15" s="242"/>
      <c r="F15" s="242"/>
      <c r="G15" s="242"/>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1079</v>
      </c>
      <c r="B18" s="55">
        <v>0.1798780487804878</v>
      </c>
      <c r="D18" s="242" t="s">
        <v>1080</v>
      </c>
      <c r="E18" s="242"/>
      <c r="F18" s="242"/>
      <c r="G18" s="242"/>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1081</v>
      </c>
      <c r="B21" s="55">
        <v>5.4878048780487805E-2</v>
      </c>
      <c r="D21" s="242" t="s">
        <v>1082</v>
      </c>
      <c r="E21" s="242"/>
      <c r="F21" s="242"/>
      <c r="G21" s="242"/>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1083</v>
      </c>
      <c r="B24" s="65">
        <f>ACTUAL_RATE-PLANNED_RATE</f>
        <v>-0.125</v>
      </c>
      <c r="D24" s="243" t="s">
        <v>1084</v>
      </c>
      <c r="E24" s="243"/>
      <c r="F24" s="243"/>
      <c r="G24" s="243"/>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1" customWidth="1"/>
    <col min="2" max="3" width="10.59765625" style="211" bestFit="1" customWidth="1"/>
    <col min="4" max="4" width="9.09765625" style="211"/>
    <col min="5" max="5" width="10.59765625" style="211" customWidth="1"/>
    <col min="6" max="16384" width="9.09765625" style="211"/>
  </cols>
  <sheetData>
    <row r="1" spans="2:6" ht="36.9" customHeight="1">
      <c r="B1" s="78" t="s">
        <v>1114</v>
      </c>
    </row>
    <row r="2" spans="2:6">
      <c r="B2" s="211" t="s">
        <v>1115</v>
      </c>
    </row>
    <row r="3" spans="2:6">
      <c r="B3" s="211" t="s">
        <v>1116</v>
      </c>
    </row>
    <row r="6" spans="2:6" ht="28.8">
      <c r="B6" s="79" t="s">
        <v>1085</v>
      </c>
      <c r="C6" s="182" t="s">
        <v>1086</v>
      </c>
      <c r="D6" s="182" t="s">
        <v>2</v>
      </c>
      <c r="E6" s="182" t="s">
        <v>1117</v>
      </c>
      <c r="F6" s="210" t="s">
        <v>1118</v>
      </c>
    </row>
    <row r="7" spans="2:6">
      <c r="B7" s="206">
        <v>43375</v>
      </c>
      <c r="C7" s="206">
        <v>43379</v>
      </c>
      <c r="D7" s="207">
        <v>1</v>
      </c>
      <c r="E7" s="207">
        <f>D7</f>
        <v>1</v>
      </c>
      <c r="F7" s="212">
        <f t="shared" ref="F7:F28" si="0">E7/$D$29</f>
        <v>3.8022813688212928E-3</v>
      </c>
    </row>
    <row r="8" spans="2:6">
      <c r="B8" s="208">
        <v>43380</v>
      </c>
      <c r="C8" s="208">
        <v>43386</v>
      </c>
      <c r="D8" s="209">
        <v>10</v>
      </c>
      <c r="E8" s="209">
        <f>E7+D8</f>
        <v>11</v>
      </c>
      <c r="F8" s="213">
        <f t="shared" si="0"/>
        <v>4.1825095057034217E-2</v>
      </c>
    </row>
    <row r="9" spans="2:6">
      <c r="B9" s="208">
        <v>43387</v>
      </c>
      <c r="C9" s="208">
        <v>43393</v>
      </c>
      <c r="D9" s="209">
        <v>15</v>
      </c>
      <c r="E9" s="209">
        <f t="shared" ref="E9:E28" si="1">E8+D9</f>
        <v>26</v>
      </c>
      <c r="F9" s="213">
        <f t="shared" si="0"/>
        <v>9.8859315589353611E-2</v>
      </c>
    </row>
    <row r="10" spans="2:6">
      <c r="B10" s="208">
        <v>43394</v>
      </c>
      <c r="C10" s="208">
        <v>43400</v>
      </c>
      <c r="D10" s="209">
        <v>10</v>
      </c>
      <c r="E10" s="209">
        <f t="shared" si="1"/>
        <v>36</v>
      </c>
      <c r="F10" s="213">
        <f t="shared" si="0"/>
        <v>0.13688212927756654</v>
      </c>
    </row>
    <row r="11" spans="2:6">
      <c r="B11" s="208">
        <v>43401</v>
      </c>
      <c r="C11" s="208">
        <v>43407</v>
      </c>
      <c r="D11" s="209">
        <v>9</v>
      </c>
      <c r="E11" s="209">
        <f t="shared" si="1"/>
        <v>45</v>
      </c>
      <c r="F11" s="213">
        <f t="shared" si="0"/>
        <v>0.17110266159695817</v>
      </c>
    </row>
    <row r="12" spans="2:6">
      <c r="B12" s="208">
        <v>43408</v>
      </c>
      <c r="C12" s="208">
        <v>43414</v>
      </c>
      <c r="D12" s="209">
        <v>12</v>
      </c>
      <c r="E12" s="209">
        <f t="shared" si="1"/>
        <v>57</v>
      </c>
      <c r="F12" s="213">
        <f t="shared" si="0"/>
        <v>0.21673003802281368</v>
      </c>
    </row>
    <row r="13" spans="2:6">
      <c r="B13" s="208">
        <v>43415</v>
      </c>
      <c r="C13" s="208">
        <v>43421</v>
      </c>
      <c r="D13" s="209">
        <v>14</v>
      </c>
      <c r="E13" s="209">
        <f t="shared" si="1"/>
        <v>71</v>
      </c>
      <c r="F13" s="213">
        <f t="shared" si="0"/>
        <v>0.26996197718631176</v>
      </c>
    </row>
    <row r="14" spans="2:6">
      <c r="B14" s="208">
        <v>43422</v>
      </c>
      <c r="C14" s="208">
        <v>43428</v>
      </c>
      <c r="D14" s="209">
        <v>7</v>
      </c>
      <c r="E14" s="209">
        <f t="shared" si="1"/>
        <v>78</v>
      </c>
      <c r="F14" s="213">
        <f t="shared" si="0"/>
        <v>0.29657794676806082</v>
      </c>
    </row>
    <row r="15" spans="2:6">
      <c r="B15" s="208">
        <v>43429</v>
      </c>
      <c r="C15" s="208">
        <v>43435</v>
      </c>
      <c r="D15" s="209">
        <v>8</v>
      </c>
      <c r="E15" s="209">
        <f t="shared" si="1"/>
        <v>86</v>
      </c>
      <c r="F15" s="213">
        <f t="shared" si="0"/>
        <v>0.3269961977186312</v>
      </c>
    </row>
    <row r="16" spans="2:6">
      <c r="B16" s="208">
        <v>43436</v>
      </c>
      <c r="C16" s="208">
        <v>43442</v>
      </c>
      <c r="D16" s="209">
        <v>18</v>
      </c>
      <c r="E16" s="209">
        <f t="shared" si="1"/>
        <v>104</v>
      </c>
      <c r="F16" s="213">
        <f t="shared" si="0"/>
        <v>0.39543726235741444</v>
      </c>
    </row>
    <row r="17" spans="2:6">
      <c r="B17" s="208">
        <v>43443</v>
      </c>
      <c r="C17" s="208">
        <v>43449</v>
      </c>
      <c r="D17" s="209">
        <v>18</v>
      </c>
      <c r="E17" s="209">
        <f t="shared" si="1"/>
        <v>122</v>
      </c>
      <c r="F17" s="213">
        <f t="shared" si="0"/>
        <v>0.46387832699619774</v>
      </c>
    </row>
    <row r="18" spans="2:6">
      <c r="B18" s="208">
        <v>43450</v>
      </c>
      <c r="C18" s="208">
        <v>43456</v>
      </c>
      <c r="D18" s="209">
        <v>17</v>
      </c>
      <c r="E18" s="209">
        <f t="shared" si="1"/>
        <v>139</v>
      </c>
      <c r="F18" s="213">
        <f t="shared" si="0"/>
        <v>0.52851711026615966</v>
      </c>
    </row>
    <row r="19" spans="2:6">
      <c r="B19" s="208">
        <v>43457</v>
      </c>
      <c r="C19" s="208">
        <v>43463</v>
      </c>
      <c r="D19" s="209">
        <v>12</v>
      </c>
      <c r="E19" s="209">
        <f t="shared" si="1"/>
        <v>151</v>
      </c>
      <c r="F19" s="213">
        <f t="shared" si="0"/>
        <v>0.57414448669201523</v>
      </c>
    </row>
    <row r="20" spans="2:6">
      <c r="B20" s="208">
        <v>43464</v>
      </c>
      <c r="C20" s="208">
        <v>43470</v>
      </c>
      <c r="D20" s="209">
        <v>14</v>
      </c>
      <c r="E20" s="209">
        <f t="shared" si="1"/>
        <v>165</v>
      </c>
      <c r="F20" s="213">
        <f t="shared" si="0"/>
        <v>0.62737642585551334</v>
      </c>
    </row>
    <row r="21" spans="2:6">
      <c r="B21" s="208">
        <v>43471</v>
      </c>
      <c r="C21" s="208">
        <v>43477</v>
      </c>
      <c r="D21" s="209">
        <v>21</v>
      </c>
      <c r="E21" s="209">
        <f t="shared" si="1"/>
        <v>186</v>
      </c>
      <c r="F21" s="213">
        <f t="shared" si="0"/>
        <v>0.70722433460076051</v>
      </c>
    </row>
    <row r="22" spans="2:6">
      <c r="B22" s="208">
        <v>43478</v>
      </c>
      <c r="C22" s="208">
        <v>43484</v>
      </c>
      <c r="D22" s="209">
        <v>25</v>
      </c>
      <c r="E22" s="209">
        <f t="shared" si="1"/>
        <v>211</v>
      </c>
      <c r="F22" s="213">
        <f t="shared" si="0"/>
        <v>0.80228136882129275</v>
      </c>
    </row>
    <row r="23" spans="2:6">
      <c r="B23" s="208">
        <v>43485</v>
      </c>
      <c r="C23" s="208">
        <v>43491</v>
      </c>
      <c r="D23" s="209">
        <v>25</v>
      </c>
      <c r="E23" s="209">
        <f t="shared" si="1"/>
        <v>236</v>
      </c>
      <c r="F23" s="213">
        <f t="shared" si="0"/>
        <v>0.89733840304182511</v>
      </c>
    </row>
    <row r="24" spans="2:6">
      <c r="B24" s="208">
        <v>43492</v>
      </c>
      <c r="C24" s="208">
        <v>43498</v>
      </c>
      <c r="D24" s="209">
        <v>8</v>
      </c>
      <c r="E24" s="209">
        <f t="shared" si="1"/>
        <v>244</v>
      </c>
      <c r="F24" s="213">
        <f t="shared" si="0"/>
        <v>0.92775665399239549</v>
      </c>
    </row>
    <row r="25" spans="2:6">
      <c r="B25" s="208">
        <v>43499</v>
      </c>
      <c r="C25" s="208">
        <v>43505</v>
      </c>
      <c r="D25" s="209">
        <v>6</v>
      </c>
      <c r="E25" s="209">
        <f t="shared" si="1"/>
        <v>250</v>
      </c>
      <c r="F25" s="213">
        <f t="shared" si="0"/>
        <v>0.95057034220532322</v>
      </c>
    </row>
    <row r="26" spans="2:6">
      <c r="B26" s="208">
        <v>43506</v>
      </c>
      <c r="C26" s="208">
        <v>43512</v>
      </c>
      <c r="D26" s="209">
        <v>4</v>
      </c>
      <c r="E26" s="209">
        <f t="shared" si="1"/>
        <v>254</v>
      </c>
      <c r="F26" s="213">
        <f t="shared" si="0"/>
        <v>0.96577946768060841</v>
      </c>
    </row>
    <row r="27" spans="2:6">
      <c r="B27" s="208">
        <v>43513</v>
      </c>
      <c r="C27" s="208">
        <v>43519</v>
      </c>
      <c r="D27" s="209">
        <v>5</v>
      </c>
      <c r="E27" s="209">
        <f t="shared" si="1"/>
        <v>259</v>
      </c>
      <c r="F27" s="213">
        <f t="shared" si="0"/>
        <v>0.98479087452471481</v>
      </c>
    </row>
    <row r="28" spans="2:6">
      <c r="B28" s="208">
        <v>43520</v>
      </c>
      <c r="C28" s="208">
        <v>43526</v>
      </c>
      <c r="D28" s="209">
        <v>4</v>
      </c>
      <c r="E28" s="209">
        <f t="shared" si="1"/>
        <v>263</v>
      </c>
      <c r="F28" s="213">
        <f t="shared" si="0"/>
        <v>1</v>
      </c>
    </row>
    <row r="29" spans="2:6">
      <c r="C29" s="211" t="s">
        <v>4</v>
      </c>
      <c r="D29" s="211">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1088</v>
      </c>
      <c r="B1" s="17"/>
      <c r="C1" s="17"/>
      <c r="D1" s="17"/>
      <c r="E1" s="17"/>
      <c r="F1" s="17"/>
      <c r="G1" s="17"/>
      <c r="H1" s="17"/>
    </row>
    <row r="2" spans="1:9" s="81" customFormat="1" ht="78.75" customHeight="1">
      <c r="A2" s="247" t="s">
        <v>1089</v>
      </c>
      <c r="B2" s="247"/>
      <c r="C2" s="247"/>
      <c r="D2" s="247"/>
      <c r="E2" s="247"/>
      <c r="F2" s="247"/>
      <c r="G2" s="247"/>
      <c r="H2" s="247"/>
    </row>
    <row r="3" spans="1:9" s="81" customFormat="1" ht="24.75" customHeight="1">
      <c r="A3" s="248" t="s">
        <v>1090</v>
      </c>
      <c r="B3" s="248"/>
      <c r="D3" s="248" t="s">
        <v>1091</v>
      </c>
      <c r="E3" s="248"/>
      <c r="G3" s="248" t="s">
        <v>1092</v>
      </c>
      <c r="H3" s="248"/>
    </row>
    <row r="4" spans="1:9" s="83" customFormat="1" ht="19.5" customHeight="1">
      <c r="A4" s="82" t="s">
        <v>1093</v>
      </c>
      <c r="B4" s="82" t="s">
        <v>1095</v>
      </c>
      <c r="D4" s="82" t="s">
        <v>1094</v>
      </c>
      <c r="E4" s="82" t="s">
        <v>1096</v>
      </c>
      <c r="G4" s="82" t="s">
        <v>1094</v>
      </c>
      <c r="H4" s="82" t="s">
        <v>1095</v>
      </c>
    </row>
    <row r="5" spans="1:9" ht="17.399999999999999">
      <c r="A5" s="118" t="s">
        <v>1045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1046</v>
      </c>
      <c r="B6" s="119">
        <v>43146</v>
      </c>
      <c r="C6" s="86" t="str">
        <f t="shared" si="0"/>
        <v>(목)</v>
      </c>
      <c r="D6" s="84"/>
      <c r="E6" s="85"/>
      <c r="F6" s="86" t="str">
        <f t="shared" si="1"/>
        <v/>
      </c>
      <c r="G6" s="84"/>
      <c r="H6" s="85"/>
      <c r="I6" s="86" t="str">
        <f t="shared" si="2"/>
        <v/>
      </c>
    </row>
    <row r="7" spans="1:9" ht="17.399999999999999">
      <c r="A7" s="118" t="s">
        <v>1047</v>
      </c>
      <c r="B7" s="119">
        <v>43147</v>
      </c>
      <c r="C7" s="86" t="str">
        <f t="shared" si="0"/>
        <v>(금)</v>
      </c>
      <c r="D7" s="84"/>
      <c r="E7" s="85"/>
      <c r="F7" s="86" t="str">
        <f t="shared" si="1"/>
        <v/>
      </c>
      <c r="G7" s="84"/>
      <c r="H7" s="85"/>
      <c r="I7" s="86" t="str">
        <f t="shared" si="2"/>
        <v/>
      </c>
    </row>
    <row r="8" spans="1:9" ht="17.399999999999999">
      <c r="A8" s="118" t="s">
        <v>1048</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1049</v>
      </c>
      <c r="B19" s="119">
        <v>43466</v>
      </c>
      <c r="C19" s="86" t="str">
        <f t="shared" si="0"/>
        <v>(화)</v>
      </c>
      <c r="D19" s="84"/>
      <c r="E19" s="85"/>
      <c r="F19" s="86" t="str">
        <f t="shared" si="1"/>
        <v/>
      </c>
      <c r="G19" s="84"/>
      <c r="H19" s="85"/>
      <c r="I19" s="86" t="str">
        <f t="shared" si="2"/>
        <v/>
      </c>
      <c r="J19" s="87"/>
    </row>
    <row r="20" spans="1:10" ht="17.399999999999999">
      <c r="A20" s="118" t="s">
        <v>1050</v>
      </c>
      <c r="B20" s="119">
        <v>43500</v>
      </c>
      <c r="C20" s="86" t="str">
        <f t="shared" si="0"/>
        <v>(월)</v>
      </c>
      <c r="D20" s="84"/>
      <c r="E20" s="85"/>
      <c r="F20" s="86" t="str">
        <f t="shared" si="1"/>
        <v/>
      </c>
      <c r="G20" s="84"/>
      <c r="H20" s="85"/>
      <c r="I20" s="86" t="str">
        <f t="shared" si="2"/>
        <v/>
      </c>
      <c r="J20" s="87"/>
    </row>
    <row r="21" spans="1:10" ht="17.399999999999999">
      <c r="A21" s="118" t="s">
        <v>1051</v>
      </c>
      <c r="B21" s="119">
        <v>43501</v>
      </c>
      <c r="C21" s="86" t="str">
        <f t="shared" si="0"/>
        <v>(화)</v>
      </c>
      <c r="D21" s="84"/>
      <c r="E21" s="85"/>
      <c r="F21" s="86" t="str">
        <f t="shared" si="1"/>
        <v/>
      </c>
      <c r="G21" s="84"/>
      <c r="H21" s="85"/>
      <c r="I21" s="86" t="str">
        <f t="shared" si="2"/>
        <v/>
      </c>
    </row>
    <row r="22" spans="1:10" ht="17.399999999999999">
      <c r="A22" s="118" t="s">
        <v>1050</v>
      </c>
      <c r="B22" s="119">
        <v>43502</v>
      </c>
      <c r="C22" s="86" t="str">
        <f t="shared" si="0"/>
        <v>(수)</v>
      </c>
      <c r="D22" s="84"/>
      <c r="E22" s="85"/>
      <c r="F22" s="86" t="str">
        <f t="shared" si="1"/>
        <v/>
      </c>
      <c r="G22" s="84"/>
      <c r="H22" s="85"/>
      <c r="I22" s="86" t="str">
        <f t="shared" si="2"/>
        <v/>
      </c>
    </row>
    <row r="23" spans="1:10" ht="17.399999999999999">
      <c r="A23" s="118" t="s">
        <v>1052</v>
      </c>
      <c r="B23" s="119">
        <v>43525</v>
      </c>
      <c r="C23" s="86" t="str">
        <f t="shared" si="0"/>
        <v>(금)</v>
      </c>
      <c r="D23" s="84"/>
      <c r="E23" s="85"/>
      <c r="F23" s="86" t="str">
        <f t="shared" si="1"/>
        <v/>
      </c>
      <c r="G23" s="84"/>
      <c r="H23" s="85"/>
      <c r="I23" s="86" t="str">
        <f t="shared" si="2"/>
        <v/>
      </c>
    </row>
    <row r="24" spans="1:10" ht="17.399999999999999">
      <c r="A24" s="118" t="s">
        <v>1053</v>
      </c>
      <c r="B24" s="119">
        <v>43591</v>
      </c>
      <c r="C24" s="86" t="str">
        <f t="shared" si="0"/>
        <v>(월)</v>
      </c>
      <c r="D24" s="84"/>
      <c r="E24" s="85"/>
      <c r="F24" s="86" t="str">
        <f t="shared" si="1"/>
        <v/>
      </c>
      <c r="G24" s="84"/>
      <c r="H24" s="85"/>
      <c r="I24" s="86" t="str">
        <f t="shared" si="2"/>
        <v/>
      </c>
    </row>
    <row r="25" spans="1:10" ht="17.399999999999999">
      <c r="A25" s="118" t="s">
        <v>1054</v>
      </c>
      <c r="B25" s="119">
        <v>43622</v>
      </c>
      <c r="C25" s="86" t="str">
        <f t="shared" si="0"/>
        <v>(목)</v>
      </c>
      <c r="D25" s="84"/>
      <c r="E25" s="85"/>
      <c r="F25" s="86" t="str">
        <f t="shared" si="1"/>
        <v/>
      </c>
      <c r="G25" s="84"/>
      <c r="H25" s="85"/>
      <c r="I25" s="86" t="str">
        <f t="shared" si="2"/>
        <v/>
      </c>
    </row>
    <row r="26" spans="1:10" ht="17.399999999999999">
      <c r="A26" s="118" t="s">
        <v>1055</v>
      </c>
      <c r="B26" s="119">
        <v>43692</v>
      </c>
      <c r="C26" s="86" t="str">
        <f t="shared" si="0"/>
        <v>(목)</v>
      </c>
      <c r="D26" s="84"/>
      <c r="E26" s="85"/>
      <c r="F26" s="86" t="str">
        <f t="shared" si="1"/>
        <v/>
      </c>
      <c r="G26" s="84"/>
      <c r="H26" s="85"/>
      <c r="I26" s="86" t="str">
        <f t="shared" si="2"/>
        <v/>
      </c>
    </row>
    <row r="27" spans="1:10" ht="17.399999999999999">
      <c r="A27" s="118" t="s">
        <v>1056</v>
      </c>
      <c r="B27" s="119">
        <v>43720</v>
      </c>
      <c r="C27" s="86" t="str">
        <f t="shared" si="0"/>
        <v>(목)</v>
      </c>
      <c r="D27" s="84"/>
      <c r="E27" s="85"/>
      <c r="F27" s="86" t="str">
        <f t="shared" si="1"/>
        <v/>
      </c>
      <c r="G27" s="84"/>
      <c r="H27" s="85"/>
      <c r="I27" s="86" t="str">
        <f t="shared" si="2"/>
        <v/>
      </c>
    </row>
    <row r="28" spans="1:10" ht="17.399999999999999">
      <c r="A28" s="118" t="s">
        <v>1057</v>
      </c>
      <c r="B28" s="119">
        <v>43721</v>
      </c>
      <c r="C28" s="86" t="str">
        <f t="shared" si="0"/>
        <v>(금)</v>
      </c>
      <c r="D28" s="84"/>
      <c r="E28" s="85"/>
      <c r="F28" s="86" t="str">
        <f t="shared" si="1"/>
        <v/>
      </c>
      <c r="G28" s="84"/>
      <c r="H28" s="85"/>
      <c r="I28" s="86" t="str">
        <f t="shared" si="2"/>
        <v/>
      </c>
    </row>
    <row r="29" spans="1:10" ht="17.399999999999999">
      <c r="A29" s="118" t="s">
        <v>1058</v>
      </c>
      <c r="B29" s="119">
        <v>43741</v>
      </c>
      <c r="C29" s="86" t="str">
        <f t="shared" si="0"/>
        <v>(목)</v>
      </c>
      <c r="D29" s="84"/>
      <c r="E29" s="85"/>
      <c r="F29" s="86" t="str">
        <f t="shared" si="1"/>
        <v/>
      </c>
      <c r="G29" s="84"/>
      <c r="H29" s="85"/>
      <c r="I29" s="86" t="str">
        <f t="shared" si="2"/>
        <v/>
      </c>
    </row>
    <row r="30" spans="1:10" ht="17.399999999999999">
      <c r="A30" s="118" t="s">
        <v>1059</v>
      </c>
      <c r="B30" s="119">
        <v>43747</v>
      </c>
      <c r="C30" s="86" t="str">
        <f t="shared" si="0"/>
        <v>(수)</v>
      </c>
      <c r="D30" s="84"/>
      <c r="E30" s="85"/>
      <c r="F30" s="86" t="str">
        <f t="shared" si="1"/>
        <v/>
      </c>
      <c r="G30" s="84"/>
      <c r="H30" s="85"/>
      <c r="I30" s="86" t="str">
        <f t="shared" si="2"/>
        <v/>
      </c>
    </row>
    <row r="31" spans="1:10" ht="17.399999999999999">
      <c r="A31" s="118" t="s">
        <v>1060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1097</v>
      </c>
      <c r="D305" s="86" t="s">
        <v>1097</v>
      </c>
      <c r="G305" s="86" t="s">
        <v>1097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2019-11-11T11:09:29Z</dcterms:modified>
</cp:coreProperties>
</file>