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ThisWorkbook"/>
  <mc:AlternateContent xmlns:mc="http://schemas.openxmlformats.org/markup-compatibility/2006">
    <mc:Choice Requires="x15">
      <x15ac:absPath xmlns:x15ac="http://schemas.microsoft.com/office/spreadsheetml/2010/11/ac" url="D:\12.Document\01.Project\00. 스케쥴\"/>
    </mc:Choice>
  </mc:AlternateContent>
  <xr:revisionPtr revIDLastSave="0" documentId="13_ncr:1_{0840F0BF-BA0B-486E-9181-7318C0EB512B}" xr6:coauthVersionLast="43" xr6:coauthVersionMax="43" xr10:uidLastSave="{00000000-0000-0000-0000-000000000000}"/>
  <bookViews>
    <workbookView xWindow="-108" yWindow="-108" windowWidth="23256" windowHeight="12576"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Schedule!$M$3:$AB$226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D6" i="2" l="1"/>
  <c r="AJ6" i="2"/>
  <c r="AC7" i="2"/>
  <c r="AD8" i="2"/>
  <c r="AD9" i="2"/>
  <c r="AF10" i="2"/>
  <c r="AH11" i="2"/>
  <c r="AJ12" i="2"/>
  <c r="AD13" i="2"/>
  <c r="AD14" i="2"/>
  <c r="AD15" i="2"/>
  <c r="AD16" i="2"/>
  <c r="AD17" i="2"/>
  <c r="AC20" i="2"/>
  <c r="AK20" i="2"/>
  <c r="AC21" i="2"/>
  <c r="AC22" i="2"/>
  <c r="AC24" i="2"/>
  <c r="AC25" i="2"/>
  <c r="AD27" i="2"/>
  <c r="AD28" i="2"/>
  <c r="AD29" i="2"/>
  <c r="AD30" i="2"/>
  <c r="AD31" i="2"/>
  <c r="AE33" i="2"/>
  <c r="AE34" i="2"/>
  <c r="AE35" i="2"/>
  <c r="AE36" i="2"/>
  <c r="AE37" i="2"/>
  <c r="AF39" i="2"/>
  <c r="AF40" i="2"/>
  <c r="AF41" i="2"/>
  <c r="AF42" i="2"/>
  <c r="AF43" i="2"/>
  <c r="AH45" i="2"/>
  <c r="AH47" i="2"/>
  <c r="AI48" i="2"/>
  <c r="AI49" i="2"/>
  <c r="AJ51" i="2"/>
  <c r="AJ52" i="2"/>
  <c r="AK53" i="2"/>
  <c r="AK54" i="2"/>
  <c r="AC88" i="2"/>
  <c r="AI88" i="2"/>
  <c r="AD89" i="2"/>
  <c r="AD92" i="2"/>
  <c r="AD95" i="2"/>
  <c r="AE96" i="2"/>
  <c r="AD98" i="2"/>
  <c r="AD101" i="2"/>
  <c r="AF102" i="2"/>
  <c r="AD103" i="2"/>
  <c r="AE104" i="2"/>
  <c r="AE105" i="2"/>
  <c r="AF107" i="2"/>
  <c r="AF108" i="2"/>
  <c r="AF109" i="2"/>
  <c r="AF110" i="2"/>
  <c r="AF111" i="2"/>
  <c r="AI113" i="2"/>
  <c r="AI115" i="2"/>
  <c r="AI116" i="2"/>
  <c r="AI117" i="2"/>
  <c r="AD125" i="2"/>
  <c r="AD128" i="2"/>
  <c r="AD131" i="2"/>
  <c r="AD135" i="2"/>
  <c r="AD137" i="2"/>
  <c r="AD138" i="2"/>
  <c r="AE140" i="2"/>
  <c r="AE141" i="2"/>
  <c r="AE143" i="2"/>
  <c r="AE146" i="2"/>
  <c r="AE147" i="2"/>
  <c r="AE149" i="2"/>
  <c r="AE152" i="2"/>
  <c r="AE153" i="2"/>
  <c r="AC155" i="2"/>
  <c r="AC159" i="2"/>
  <c r="AD161" i="2"/>
  <c r="AD165" i="2"/>
  <c r="AD169" i="2"/>
  <c r="AJ169" i="2"/>
  <c r="AD170" i="2"/>
  <c r="AD171" i="2"/>
  <c r="AD172" i="2"/>
  <c r="AF174" i="2"/>
  <c r="AF175" i="2"/>
  <c r="AG176" i="2"/>
  <c r="AF178" i="2"/>
  <c r="AF179" i="2"/>
  <c r="AF180" i="2"/>
  <c r="AG182" i="2"/>
  <c r="AG183" i="2"/>
  <c r="AG184" i="2"/>
  <c r="AJ186" i="2"/>
  <c r="AJ187" i="2"/>
  <c r="AJ188" i="2"/>
  <c r="AF194" i="2"/>
  <c r="AF195" i="2"/>
  <c r="AF196" i="2"/>
  <c r="AF198" i="2"/>
  <c r="AF199" i="2"/>
  <c r="AF200" i="2"/>
  <c r="AF202" i="2"/>
  <c r="AF203" i="2"/>
  <c r="AF204" i="2"/>
  <c r="AF206" i="2"/>
  <c r="AF207" i="2"/>
  <c r="AF208" i="2"/>
  <c r="AG210" i="2"/>
  <c r="AG211" i="2"/>
  <c r="AG212" i="2"/>
  <c r="AD214" i="2"/>
  <c r="AD215" i="2"/>
  <c r="AD216" i="2"/>
  <c r="AE218" i="2"/>
  <c r="AE219" i="2"/>
  <c r="AE220" i="2"/>
  <c r="AE222" i="2"/>
  <c r="AJ222" i="2"/>
  <c r="AE223" i="2"/>
  <c r="AG224" i="2"/>
  <c r="AH225" i="2"/>
  <c r="AH226" i="2"/>
  <c r="AJ227" i="2"/>
  <c r="AG229" i="2"/>
  <c r="AG230" i="2"/>
  <c r="AG231" i="2"/>
  <c r="AG232" i="2"/>
  <c r="AG233" i="2"/>
  <c r="D1" i="2"/>
  <c r="D29" i="4" l="1"/>
  <c r="E7" i="4"/>
  <c r="H121" i="8"/>
  <c r="F7" i="4" l="1"/>
  <c r="E8" i="4"/>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2" i="2"/>
  <c r="AB1"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<sst xmlns="http://schemas.openxmlformats.org/spreadsheetml/2006/main" count="2008" uniqueCount="1370">
  <si>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</si>
  <si>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</si>
  <si>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</si>
  <si>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</si>
  <si>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</si>
  <si>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</si>
  <si>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</si>
  <si>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</si>
  <si>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</si>
  <si>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</si>
  <si>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</si>
  <si>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</si>
  <si>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</si>
  <si>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</si>
  <si>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</si>
  <si>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</si>
  <si>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</si>
  <si>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</si>
  <si>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</si>
  <si>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</si>
  <si>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</si>
  <si>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</si>
  <si>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</si>
  <si>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</si>
  <si>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</si>
  <si>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</si>
  <si>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</si>
  <si>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</si>
  <si>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</si>
  <si>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</si>
  <si>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</si>
  <si>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</si>
  <si>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</si>
  <si>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</si>
  <si>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</si>
  <si>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</si>
  <si>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</si>
  <si>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</si>
  <si>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</si>
  <si>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</si>
  <si>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</si>
  <si>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</si>
  <si>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</si>
  <si>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</si>
  <si>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</si>
  <si>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</si>
  <si>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</si>
  <si>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</si>
  <si>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</si>
  <si>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</si>
  <si>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</si>
  <si>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</si>
  <si>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</si>
  <si>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</si>
  <si>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</si>
  <si>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</si>
  <si>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</si>
  <si>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</si>
  <si>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</si>
  <si>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</si>
  <si>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</si>
  <si>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</si>
  <si>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</si>
  <si>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</si>
  <si>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</si>
  <si>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</si>
  <si>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</si>
  <si>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</si>
  <si>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</si>
  <si>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</si>
  <si>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</si>
  <si>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</si>
  <si>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</si>
  <si>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</si>
  <si>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</si>
  <si>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</si>
  <si>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</si>
  <si>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</si>
  <si>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</si>
  <si>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</si>
  <si>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</si>
  <si>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</si>
  <si>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</si>
  <si>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</si>
  <si>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</si>
  <si>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</si>
  <si>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</si>
  <si>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</si>
  <si>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</si>
  <si>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</si>
  <si>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</si>
  <si>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</si>
  <si>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</si>
  <si>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</si>
  <si>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</si>
  <si>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</si>
  <si>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</si>
  <si>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</si>
  <si>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</si>
  <si>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</si>
  <si>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</si>
  <si>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</si>
  <si>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</si>
  <si>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</si>
  <si>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</si>
  <si>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</si>
  <si>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</si>
  <si>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</si>
  <si>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</si>
  <si>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</si>
  <si>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</si>
  <si>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</si>
  <si>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</si>
  <si>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</si>
  <si>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</si>
  <si>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</si>
  <si>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</si>
  <si>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</si>
  <si>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</si>
  <si>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</si>
  <si>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</si>
  <si>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</si>
  <si>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</si>
  <si>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</si>
  <si>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</si>
  <si>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</si>
  <si>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</si>
  <si>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</si>
  <si>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</si>
  <si>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</si>
  <si>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</si>
  <si>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</si>
  <si>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</si>
  <si>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</si>
  <si>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</si>
  <si>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</si>
  <si>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</si>
  <si>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</si>
  <si>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</si>
  <si>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</si>
  <si>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</si>
  <si>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</si>
  <si>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</si>
  <si>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</si>
  <si>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</si>
  <si>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</si>
  <si>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</si>
  <si>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</si>
  <si>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</si>
  <si>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</si>
  <si>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</si>
  <si>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</si>
  <si>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</si>
  <si>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</si>
  <si>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</si>
  <si>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</si>
  <si>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</si>
  <si>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</si>
  <si>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</si>
  <si>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</si>
  <si>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</si>
  <si>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</si>
  <si>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</si>
  <si>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</si>
  <si>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</si>
  <si>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</si>
  <si>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</si>
  <si>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</si>
  <si>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</si>
  <si>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</si>
  <si>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</si>
  <si>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</si>
  <si>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</si>
  <si>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</si>
  <si>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</si>
  <si>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</si>
  <si>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</si>
  <si>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</si>
  <si>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</si>
  <si>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</si>
  <si>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</si>
  <si>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</si>
  <si>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</si>
  <si>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</si>
  <si>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</si>
  <si>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</si>
  <si>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</si>
  <si>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</si>
  <si>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</si>
  <si>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</si>
  <si>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</si>
  <si>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</si>
  <si>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</si>
  <si>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</si>
  <si>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</si>
  <si>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</si>
  <si>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</si>
  <si>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</si>
  <si>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</si>
  <si>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</si>
  <si>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</si>
  <si>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</si>
  <si>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</si>
  <si>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</si>
  <si>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</si>
  <si>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</si>
  <si>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</si>
  <si>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</si>
  <si>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</si>
  <si>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</si>
  <si>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</si>
  <si>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</si>
  <si>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</si>
  <si>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</si>
  <si>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</si>
  <si>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</si>
  <si>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</si>
  <si>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</si>
  <si>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</si>
  <si>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</si>
  <si>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</si>
  <si>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</si>
  <si>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</si>
  <si>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</si>
  <si>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</si>
  <si>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</si>
  <si>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</si>
  <si>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</si>
  <si>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</si>
  <si>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</si>
  <si>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</si>
  <si>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</si>
  <si>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</si>
  <si>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</si>
  <si>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</si>
  <si>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</si>
  <si>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</si>
  <si>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</si>
  <si>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</si>
  <si>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</si>
  <si>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</si>
  <si>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</si>
  <si>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</si>
  <si>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</si>
  <si>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</si>
  <si>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</si>
  <si>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</si>
  <si>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</si>
  <si>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</si>
  <si>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</si>
  <si>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</si>
  <si>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</si>
  <si>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</si>
  <si>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</si>
  <si>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</si>
  <si>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</si>
  <si>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</si>
  <si>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</si>
  <si>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</si>
  <si>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</si>
  <si>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</si>
  <si>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</si>
  <si>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</si>
  <si>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</si>
  <si>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</si>
  <si>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</si>
  <si>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</si>
  <si>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</si>
  <si>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</si>
  <si>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</si>
  <si>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</si>
  <si>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</si>
  <si>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</si>
  <si>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</si>
  <si>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</si>
  <si>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</si>
  <si>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</si>
  <si>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</si>
  <si>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</si>
  <si>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</si>
  <si>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</si>
  <si>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</si>
  <si>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</si>
  <si>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</si>
  <si>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</si>
  <si>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</si>
  <si>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</si>
  <si>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</si>
  <si>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</si>
  <si>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</si>
  <si>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</si>
  <si>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</si>
  <si>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</si>
  <si>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</si>
  <si>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</si>
  <si>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</si>
  <si>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</si>
  <si>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</si>
  <si>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</si>
  <si>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</si>
  <si>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</si>
  <si>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</si>
  <si>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</si>
  <si>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</si>
  <si>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</si>
  <si>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</si>
  <si>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</si>
  <si>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</si>
  <si>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</si>
  <si>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</si>
  <si>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</si>
  <si>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</si>
  <si>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</si>
  <si>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</si>
  <si>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</si>
  <si>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</si>
  <si>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</si>
  <si>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</si>
  <si>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</si>
  <si>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</si>
  <si>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</si>
  <si>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</si>
  <si>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</si>
  <si>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</si>
  <si>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</si>
  <si>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</si>
  <si>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</si>
  <si>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</si>
  <si>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</si>
  <si>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</si>
  <si>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</si>
  <si>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</si>
  <si>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</si>
  <si>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</si>
  <si>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</si>
  <si>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</si>
  <si>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</si>
  <si>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</si>
  <si>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</si>
  <si>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</si>
  <si>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</si>
  <si>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</si>
  <si>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</si>
  <si>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</si>
  <si>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</si>
  <si>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</si>
  <si>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</si>
  <si>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</si>
  <si>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</si>
  <si>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</si>
  <si>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</si>
  <si>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</si>
  <si>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</si>
  <si>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</si>
  <si>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</si>
  <si>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</si>
  <si>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</si>
  <si>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</si>
  <si>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</si>
  <si>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</si>
  <si>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</si>
  <si>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</si>
  <si>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</si>
  <si>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</si>
  <si>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</si>
  <si>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</si>
  <si>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</si>
  <si>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</si>
  <si>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</si>
  <si>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</si>
  <si>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</si>
  <si>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</si>
  <si>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</si>
  <si>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</si>
  <si>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</si>
  <si>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</si>
  <si>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</si>
  <si>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</si>
  <si>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</si>
  <si>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</si>
  <si>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</si>
  <si>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</si>
  <si>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</si>
  <si>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</si>
  <si>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</si>
  <si>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</si>
  <si>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</si>
  <si>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</si>
  <si>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</si>
  <si>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</si>
  <si>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</si>
  <si>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</si>
  <si>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</si>
  <si>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</si>
  <si>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</si>
  <si>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</si>
  <si>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</si>
  <si>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</si>
  <si>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</si>
  <si>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</si>
  <si>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</si>
  <si>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</si>
  <si>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</si>
  <si>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</si>
  <si>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</si>
  <si>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</si>
  <si>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</si>
  <si>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</si>
  <si>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</si>
  <si>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</si>
  <si>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</si>
  <si>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</si>
  <si>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</si>
  <si>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</si>
  <si>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</si>
  <si>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</si>
  <si>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</si>
  <si>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</si>
  <si>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</si>
  <si>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</si>
  <si>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</si>
  <si>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</si>
  <si>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</si>
  <si>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</si>
  <si>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</si>
  <si>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</si>
  <si>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</si>
  <si>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</si>
  <si>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</si>
  <si>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</si>
  <si>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</si>
  <si>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</si>
  <si>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</si>
  <si>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</si>
  <si>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</si>
  <si>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</si>
  <si>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</si>
  <si>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</si>
  <si>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</si>
  <si>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</si>
  <si>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</si>
  <si>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</si>
  <si>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</si>
  <si>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</si>
  <si>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</si>
  <si>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</si>
  <si>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</si>
  <si>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</si>
  <si>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</si>
  <si>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</si>
  <si>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</si>
  <si>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</si>
  <si>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</si>
  <si>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</si>
  <si>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</si>
  <si>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</si>
  <si>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</si>
  <si>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</si>
  <si>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</si>
  <si>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</si>
  <si>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</si>
  <si>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</si>
  <si>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</si>
  <si>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</si>
  <si>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</si>
  <si>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</si>
  <si>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</si>
  <si>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</si>
  <si>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</si>
  <si>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</si>
  <si>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</si>
  <si>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</si>
  <si>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</si>
  <si>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</si>
  <si>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</si>
  <si>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</si>
  <si>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</si>
  <si>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</si>
  <si>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</si>
  <si>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</si>
  <si>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</si>
  <si>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</si>
  <si>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</si>
  <si>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</si>
  <si>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</si>
  <si>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</si>
  <si>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</si>
  <si>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</si>
  <si>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</si>
  <si>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</si>
  <si>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</si>
  <si>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</si>
  <si>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</si>
  <si>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</si>
  <si>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</si>
  <si>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</si>
  <si>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</si>
  <si>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</si>
  <si>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</si>
  <si>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</si>
  <si>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</si>
  <si>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</si>
  <si>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</si>
  <si>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</si>
  <si>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</si>
  <si>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</si>
  <si>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</si>
  <si>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</si>
  <si>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</si>
  <si>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</si>
  <si>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</si>
  <si>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</si>
  <si>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</si>
  <si>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</si>
  <si>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</si>
  <si>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</si>
  <si>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</si>
  <si>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</si>
  <si>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</si>
  <si>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</si>
  <si>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</si>
  <si>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</si>
  <si>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</si>
  <si>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</si>
  <si>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</si>
  <si>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</si>
  <si>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</si>
  <si>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</si>
  <si>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</si>
  <si>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</si>
  <si>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</si>
  <si>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</si>
  <si>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</si>
  <si>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</si>
  <si>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</si>
  <si>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</si>
  <si>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</si>
  <si>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</si>
  <si>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</si>
  <si>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</si>
  <si>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</si>
  <si>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</si>
  <si>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</si>
  <si>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</si>
  <si>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</si>
  <si>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</si>
  <si>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</si>
  <si>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</si>
  <si>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</si>
  <si>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</si>
  <si>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</si>
  <si>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</si>
  <si>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</si>
  <si>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</si>
  <si>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</si>
  <si>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</si>
  <si>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</si>
  <si>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</si>
  <si>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</si>
  <si>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</si>
  <si>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</si>
  <si>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</si>
  <si>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</si>
  <si>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</si>
  <si>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</si>
  <si>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</si>
  <si>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</si>
  <si>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</si>
  <si>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</si>
  <si>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</si>
  <si>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</si>
  <si>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</si>
  <si>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</si>
  <si>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</si>
  <si>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</si>
  <si>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</si>
  <si>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</si>
  <si>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</si>
  <si>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</si>
  <si>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</si>
  <si>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</si>
  <si>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</si>
  <si>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</si>
  <si>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</si>
  <si>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</si>
  <si>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</si>
  <si>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</si>
  <si>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</si>
  <si>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</si>
  <si>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</si>
  <si>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</si>
  <si>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</si>
  <si>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</si>
  <si>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</si>
  <si>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</si>
  <si>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</si>
  <si>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</si>
  <si>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</si>
  <si>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</si>
  <si>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</si>
  <si>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</si>
  <si>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</si>
  <si>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</si>
  <si>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</si>
  <si>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</si>
  <si>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</si>
  <si>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</si>
  <si>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</si>
  <si>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</si>
  <si>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</si>
  <si>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</si>
  <si>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</si>
  <si>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</si>
  <si>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</si>
  <si>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</si>
  <si>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</si>
  <si>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</si>
  <si>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</si>
  <si>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</si>
  <si>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</si>
  <si>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</si>
  <si>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</si>
  <si>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</si>
  <si>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</si>
  <si>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</si>
  <si>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</si>
  <si>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</si>
  <si>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</si>
  <si>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</si>
  <si>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</si>
  <si>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</si>
  <si>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</si>
  <si>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</si>
  <si>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</si>
  <si>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</si>
  <si>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</si>
  <si>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</si>
  <si>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</si>
  <si>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</si>
  <si>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</si>
  <si>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</si>
  <si>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</si>
  <si>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</si>
  <si>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</si>
  <si>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</si>
  <si>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</si>
  <si>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</si>
  <si>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</si>
  <si>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</si>
  <si>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</si>
  <si>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</si>
  <si>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</si>
  <si>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</si>
  <si>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</si>
  <si>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</si>
  <si>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</si>
  <si>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</si>
  <si>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</si>
  <si>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</si>
  <si>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</si>
  <si>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</si>
  <si>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</si>
  <si>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</si>
  <si>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</si>
  <si>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</si>
  <si>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</si>
  <si>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</si>
  <si>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</si>
  <si>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</si>
  <si>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</si>
  <si>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</si>
  <si>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</si>
  <si>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</si>
  <si>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</si>
  <si>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</si>
  <si>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</si>
  <si>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</si>
  <si>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</si>
  <si>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</si>
  <si>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</si>
  <si>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</si>
  <si>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</si>
  <si>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</si>
  <si>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</si>
  <si>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</si>
  <si>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</si>
  <si>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</si>
  <si>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</si>
  <si>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</si>
  <si>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</si>
  <si>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</si>
  <si>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</si>
  <si>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</si>
  <si>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</si>
  <si>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</si>
  <si>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</si>
  <si>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</si>
  <si>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</si>
  <si>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</si>
  <si>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</si>
  <si>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</si>
  <si>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</si>
  <si>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</si>
  <si>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</si>
  <si>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</si>
  <si>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</si>
  <si>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</si>
  <si>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</si>
  <si>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</si>
  <si>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</si>
  <si>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</si>
  <si>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</si>
  <si>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</si>
  <si>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</si>
  <si>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</si>
  <si>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</si>
  <si>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</si>
  <si>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</si>
  <si>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</si>
  <si>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</si>
  <si>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</si>
  <si>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</si>
  <si>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</si>
  <si>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</si>
  <si>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</si>
  <si>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</si>
  <si>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</si>
  <si>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</si>
  <si>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</si>
  <si>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</si>
  <si>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</si>
  <si>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</si>
  <si>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</si>
  <si>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</si>
  <si>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</si>
  <si>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</si>
  <si>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</si>
  <si>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</si>
  <si>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</si>
  <si>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</si>
  <si>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</si>
  <si>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</si>
  <si>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</si>
  <si>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</si>
  <si>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</si>
  <si>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</si>
  <si>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</si>
  <si>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</si>
  <si>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</si>
  <si>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</si>
  <si>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</si>
  <si>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</si>
  <si>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</si>
  <si>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</si>
  <si>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</si>
  <si>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</si>
  <si>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</si>
  <si>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</si>
  <si>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</si>
  <si>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</si>
  <si>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</si>
  <si>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</si>
  <si>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</si>
  <si>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</si>
  <si>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</si>
  <si>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</si>
  <si>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</si>
  <si>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</si>
  <si>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</si>
  <si>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</si>
  <si>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</si>
  <si>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</si>
  <si>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</si>
  <si>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</si>
  <si>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</si>
  <si>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</si>
  <si>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</si>
  <si>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</si>
  <si>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</si>
  <si>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</si>
  <si>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</si>
  <si>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</si>
  <si>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</si>
  <si>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</si>
  <si>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</si>
  <si>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</si>
  <si>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</si>
  <si>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</si>
  <si>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</si>
  <si>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</si>
  <si>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</si>
  <si>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</si>
  <si>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</si>
  <si>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</si>
  <si>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</si>
  <si>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</si>
  <si>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</si>
  <si>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</si>
  <si>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</si>
  <si>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</si>
  <si>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</si>
  <si>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</si>
  <si>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</si>
  <si>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</si>
  <si>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</si>
  <si>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</si>
  <si>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</si>
  <si>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</si>
  <si>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</si>
  <si>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</si>
  <si>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</si>
  <si>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</si>
  <si>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</si>
  <si>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</si>
  <si>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</si>
  <si>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</si>
  <si>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</si>
  <si>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</si>
  <si>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</si>
  <si>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</si>
  <si>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</si>
  <si>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</si>
  <si>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</si>
  <si>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</si>
  <si>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</si>
  <si>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</si>
  <si>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</si>
  <si>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</si>
  <si>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</si>
  <si>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</si>
  <si>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</si>
  <si>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</si>
  <si>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</si>
  <si>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</si>
  <si>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</si>
  <si>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</si>
  <si>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</si>
  <si>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</si>
  <si>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</si>
  <si>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</si>
  <si>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</si>
  <si>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</si>
  <si>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</si>
  <si>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</si>
  <si>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</si>
  <si>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</si>
  <si>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</si>
  <si>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</si>
  <si>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</si>
  <si>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</si>
  <si>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</si>
  <si>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</si>
  <si>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</si>
  <si>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</si>
  <si>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</si>
  <si>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</si>
  <si>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</si>
  <si>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</si>
  <si>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</si>
  <si>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</si>
  <si>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</si>
  <si>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</si>
  <si>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</si>
  <si>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</si>
  <si>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</si>
  <si>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</si>
  <si>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</si>
  <si>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</si>
  <si>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</si>
  <si>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</si>
  <si>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</si>
  <si>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</si>
  <si>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</si>
  <si>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</si>
  <si>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</si>
  <si>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</si>
  <si>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</si>
  <si>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</si>
  <si>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</si>
  <si>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</si>
  <si>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</si>
  <si>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</si>
  <si>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</si>
  <si>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</si>
  <si>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</si>
  <si>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</si>
  <si>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</si>
  <si>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</si>
  <si>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</si>
  <si>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</si>
  <si>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</si>
  <si>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</si>
  <si>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</si>
  <si>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</si>
  <si>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</si>
  <si>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</si>
  <si>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</si>
  <si>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</si>
  <si>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</si>
  <si>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</si>
  <si>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</si>
  <si>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</si>
  <si>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</si>
  <si>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</si>
  <si>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</si>
  <si>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</si>
  <si>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</si>
  <si>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</si>
  <si>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</si>
  <si>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</si>
  <si>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</si>
  <si>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</si>
  <si>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</si>
  <si>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</si>
  <si>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</si>
  <si>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</si>
  <si>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</si>
  <si>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</si>
  <si>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</si>
  <si>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</si>
  <si>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</si>
  <si>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</si>
  <si>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</si>
  <si>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</si>
  <si>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</si>
  <si>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</si>
  <si>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</si>
  <si>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</si>
  <si>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</si>
  <si>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</si>
  <si>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</si>
  <si>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</si>
  <si>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</si>
  <si>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</si>
  <si>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</si>
  <si>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</si>
  <si>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</si>
  <si>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</si>
  <si>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</si>
  <si>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</si>
  <si>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</si>
  <si>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</si>
  <si>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</si>
  <si>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</si>
  <si>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</si>
  <si>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</si>
  <si>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</si>
  <si>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</si>
  <si>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</si>
  <si>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</si>
  <si>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</si>
  <si>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</si>
  <si>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</si>
  <si>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</si>
  <si>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</si>
  <si>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</si>
  <si>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</si>
  <si>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</si>
  <si>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</si>
  <si>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</si>
  <si>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</si>
  <si>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</si>
  <si>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</si>
  <si>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</si>
  <si>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</si>
  <si>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</si>
  <si>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</si>
  <si>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</si>
  <si>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</si>
  <si>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</si>
  <si>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</si>
  <si>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</si>
  <si>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</si>
  <si>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</si>
  <si>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</si>
  <si>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</si>
  <si>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</si>
  <si>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</si>
  <si>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</si>
  <si>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</si>
  <si>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</si>
  <si>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</si>
  <si>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</si>
  <si>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</si>
  <si>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</si>
  <si>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</si>
  <si>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</si>
  <si>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</si>
  <si>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</si>
  <si>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</si>
  <si>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</si>
  <si>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</si>
  <si>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</si>
  <si>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</si>
  <si>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</si>
  <si>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</si>
  <si>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</si>
  <si>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</si>
  <si>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</si>
  <si>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분석</t>
  </si>
  <si>
    <t>설계</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</si>
  <si>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</si>
  <si>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</si>
  <si>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</si>
  <si>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</si>
  <si>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</si>
  <si>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</si>
  <si>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</si>
  <si>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</si>
  <si>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</si>
  <si>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</si>
  <si>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</si>
  <si>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</si>
  <si>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</si>
  <si>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</si>
  <si>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</si>
  <si>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</si>
  <si>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</si>
  <si>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</si>
  <si>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</si>
  <si>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</si>
  <si>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</si>
  <si>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</si>
  <si>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</si>
  <si>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</si>
  <si>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</si>
  <si>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</si>
  <si>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</si>
  <si>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</si>
  <si>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</si>
  <si>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</si>
  <si>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</si>
  <si>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</si>
  <si>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</si>
  <si>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</si>
  <si>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</si>
  <si>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</si>
  <si>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</si>
  <si>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</si>
  <si>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</si>
  <si>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</si>
  <si>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</si>
  <si>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</si>
  <si>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</si>
  <si>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</si>
  <si>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</si>
  <si>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</si>
  <si>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</si>
  <si>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</si>
  <si>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</si>
  <si>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</si>
  <si>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</si>
  <si>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</si>
  <si>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</si>
  <si>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</si>
  <si>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</si>
  <si>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</si>
  <si>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</si>
  <si>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</si>
  <si>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</si>
  <si>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</si>
  <si>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</si>
  <si>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</si>
  <si>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</si>
  <si>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</si>
  <si>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</si>
  <si>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</si>
  <si>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</si>
  <si>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</si>
  <si>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</si>
  <si>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</si>
  <si>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</si>
  <si>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</si>
  <si>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</si>
  <si>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</si>
  <si>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</si>
  <si>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</si>
  <si>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</si>
  <si>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</si>
  <si>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</si>
  <si>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</si>
  <si>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</si>
  <si>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</si>
  <si>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</si>
  <si>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</si>
  <si>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</si>
  <si>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</si>
  <si>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</si>
  <si>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</si>
  <si>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</si>
  <si>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</si>
  <si>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</si>
  <si>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</si>
  <si>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</si>
  <si>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</si>
  <si>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</si>
  <si>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</si>
  <si>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</si>
  <si>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</si>
  <si>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</si>
  <si>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</si>
  <si>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</si>
  <si>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</si>
  <si>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</si>
  <si>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</si>
  <si>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</si>
  <si>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</si>
  <si>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</si>
  <si>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</si>
  <si>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</si>
  <si>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</si>
  <si>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</si>
  <si>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</si>
  <si>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</si>
  <si>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</si>
  <si>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</si>
  <si>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</si>
  <si>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</si>
  <si>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계획진척율(주별)</t>
  </si>
  <si>
    <t>* 주별로 프로젝트의 계획진적율을 보여줍니다.</t>
  </si>
  <si>
    <t>* "계획진척율" 메뉴를 클릭해야 갱신됨</t>
  </si>
  <si>
    <t>누적_x000D_
Man-Day</t>
  </si>
  <si>
    <t>진척율</t>
  </si>
  <si>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</si>
  <si>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</si>
  <si>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</si>
  <si>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</si>
  <si>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</si>
  <si>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</si>
  <si>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</si>
  <si>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</si>
  <si>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</si>
  <si>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</si>
  <si>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</si>
  <si>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</si>
  <si>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</si>
  <si>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</si>
  <si>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</si>
  <si>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</si>
  <si>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</si>
  <si>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</si>
  <si>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</si>
  <si>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</si>
  <si>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3.2</t>
  </si>
  <si>
    <t>3.3</t>
  </si>
  <si>
    <t>4</t>
  </si>
  <si>
    <t>테스트</t>
  </si>
  <si>
    <t>배포</t>
  </si>
  <si>
    <t>5</t>
  </si>
  <si>
    <t>5.1</t>
  </si>
  <si>
    <t>5.2</t>
  </si>
  <si>
    <t>5.3</t>
  </si>
  <si>
    <t>6</t>
  </si>
  <si>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</si>
  <si>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</si>
  <si>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</si>
  <si>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</si>
  <si>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</si>
  <si>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</si>
  <si>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</si>
  <si>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</si>
  <si>
    <t>GME-Project</t>
    <phoneticPr fontId="2" type="noConversion"/>
  </si>
  <si>
    <t>D:\12.Document\01.Project\00. 스케쥴</t>
    <phoneticPr fontId="8" type="noConversion"/>
  </si>
  <si>
    <t>Thuns for Myanmar</t>
  </si>
  <si>
    <t>Lyhour API for Cambodia deposit</t>
  </si>
  <si>
    <t>Inbound(Online, App) 2nd Phase</t>
  </si>
  <si>
    <t>Shinhan,IBK-KFTC</t>
  </si>
  <si>
    <t>Agrani bank/Islami bank add to new app</t>
  </si>
  <si>
    <t>KJ-Auto remit for multiple-accounts use</t>
  </si>
  <si>
    <t>Registration logic</t>
  </si>
  <si>
    <t>Dynamic receiver setup</t>
  </si>
  <si>
    <t>Send Txn process same as web</t>
  </si>
  <si>
    <t>Resend method not to check anything</t>
  </si>
  <si>
    <t>Channel talk app in new app</t>
  </si>
  <si>
    <t>Popup notice in new app</t>
  </si>
  <si>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</si>
  <si>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</si>
  <si>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2.3</t>
  </si>
  <si>
    <t>2.4</t>
  </si>
  <si>
    <t>2.5</t>
  </si>
  <si>
    <t>2.6</t>
  </si>
  <si>
    <t>2.7</t>
  </si>
  <si>
    <t>2.8</t>
  </si>
  <si>
    <t>2.9</t>
  </si>
  <si>
    <t>2.10</t>
  </si>
  <si>
    <t>2.11</t>
  </si>
  <si>
    <t>3.4</t>
  </si>
  <si>
    <t>3.5</t>
  </si>
  <si>
    <t>3.6</t>
  </si>
  <si>
    <t>3.7</t>
  </si>
  <si>
    <t>3.8</t>
  </si>
  <si>
    <t>3.9</t>
  </si>
  <si>
    <t>3.10</t>
  </si>
  <si>
    <t>3.11</t>
  </si>
  <si>
    <t>4.1</t>
  </si>
  <si>
    <t>4.2</t>
  </si>
  <si>
    <t>4.3</t>
  </si>
  <si>
    <t>4.4</t>
  </si>
  <si>
    <t>4.5</t>
  </si>
  <si>
    <t>4.6</t>
  </si>
  <si>
    <t>4.7</t>
  </si>
  <si>
    <t>4.8</t>
  </si>
  <si>
    <t>4.9</t>
  </si>
  <si>
    <t>4.10</t>
  </si>
  <si>
    <t>4.11</t>
  </si>
  <si>
    <t>4.12</t>
  </si>
  <si>
    <t>4.13</t>
  </si>
  <si>
    <t>DB Design</t>
  </si>
  <si>
    <t>Architecture Design</t>
  </si>
  <si>
    <t>Storyboard</t>
  </si>
  <si>
    <t>3.1.1</t>
  </si>
  <si>
    <t>3.1.2</t>
  </si>
  <si>
    <t>3.1.3</t>
  </si>
  <si>
    <t>3.1.4</t>
  </si>
  <si>
    <t>3.2.1</t>
  </si>
  <si>
    <t>3.2.2</t>
  </si>
  <si>
    <t>3.2.3</t>
  </si>
  <si>
    <t>3.2.4</t>
  </si>
  <si>
    <t>3.3.1</t>
  </si>
  <si>
    <t>3.3.2</t>
  </si>
  <si>
    <t>3.3.3</t>
  </si>
  <si>
    <t>3.3.4</t>
  </si>
  <si>
    <t>3.4.1</t>
  </si>
  <si>
    <t>3.4.2</t>
  </si>
  <si>
    <t>3.4.3</t>
  </si>
  <si>
    <t>3.4.4</t>
  </si>
  <si>
    <t>3.5.1</t>
  </si>
  <si>
    <t>3.5.2</t>
  </si>
  <si>
    <t>3.5.3</t>
  </si>
  <si>
    <t>3.5.4</t>
  </si>
  <si>
    <t>3.6.1</t>
  </si>
  <si>
    <t>3.6.2</t>
  </si>
  <si>
    <t>3.6.3</t>
  </si>
  <si>
    <t>3.6.4</t>
  </si>
  <si>
    <t>3.7.1</t>
  </si>
  <si>
    <t>3.7.2</t>
  </si>
  <si>
    <t>3.7.3</t>
  </si>
  <si>
    <t>3.7.4</t>
  </si>
  <si>
    <t>3.8.1</t>
  </si>
  <si>
    <t>3.8.2</t>
  </si>
  <si>
    <t>3.8.3</t>
  </si>
  <si>
    <t>3.8.4</t>
  </si>
  <si>
    <t>3.9.1</t>
  </si>
  <si>
    <t>3.9.2</t>
  </si>
  <si>
    <t>3.9.3</t>
  </si>
  <si>
    <t>3.9.4</t>
  </si>
  <si>
    <t>3.10.1</t>
  </si>
  <si>
    <t>3.10.2</t>
  </si>
  <si>
    <t>3.10.3</t>
  </si>
  <si>
    <t>3.10.4</t>
  </si>
  <si>
    <t>3.11.1</t>
  </si>
  <si>
    <t>3.11.2</t>
  </si>
  <si>
    <t>3.11.3</t>
  </si>
  <si>
    <t>3.11.4</t>
  </si>
  <si>
    <t>Unit Test</t>
  </si>
  <si>
    <t>Integrated Test</t>
  </si>
  <si>
    <t>5.1.1</t>
  </si>
  <si>
    <t>5.1.2</t>
  </si>
  <si>
    <t>5.2.1</t>
  </si>
  <si>
    <t>5.2.2</t>
  </si>
  <si>
    <t>5.3.1</t>
  </si>
  <si>
    <t>5.3.2</t>
  </si>
  <si>
    <t>5.4</t>
  </si>
  <si>
    <t>5.4.1</t>
  </si>
  <si>
    <t>5.4.2</t>
  </si>
  <si>
    <t>5.5</t>
  </si>
  <si>
    <t>5.5.1</t>
  </si>
  <si>
    <t>5.5.2</t>
  </si>
  <si>
    <t>5.6</t>
  </si>
  <si>
    <t>5.6.1</t>
  </si>
  <si>
    <t>5.6.2</t>
  </si>
  <si>
    <t>5.7</t>
  </si>
  <si>
    <t>5.7.1</t>
  </si>
  <si>
    <t>5.7.2</t>
  </si>
  <si>
    <t>5.8</t>
  </si>
  <si>
    <t>5.8.1</t>
  </si>
  <si>
    <t>5.8.2</t>
  </si>
  <si>
    <t>5.9</t>
  </si>
  <si>
    <t>5.9.1</t>
  </si>
  <si>
    <t>5.9.2</t>
  </si>
  <si>
    <t>5.10</t>
  </si>
  <si>
    <t>5.10.1</t>
  </si>
  <si>
    <t>5.10.2</t>
  </si>
  <si>
    <t>5.11</t>
  </si>
  <si>
    <t>5.11.1</t>
  </si>
  <si>
    <t>5.11.2</t>
  </si>
  <si>
    <t>5.12</t>
  </si>
  <si>
    <t>5.12.1</t>
  </si>
  <si>
    <t>5.12.2</t>
  </si>
  <si>
    <t>5.13</t>
  </si>
  <si>
    <t>5.13.1</t>
  </si>
  <si>
    <t>5.13.2</t>
  </si>
  <si>
    <t>6.1</t>
  </si>
  <si>
    <t>6.2</t>
  </si>
  <si>
    <t>6.3</t>
  </si>
  <si>
    <t>6.4</t>
  </si>
  <si>
    <t>6.5</t>
  </si>
  <si>
    <t>6.6</t>
  </si>
  <si>
    <t>6.7</t>
  </si>
  <si>
    <t>6.8</t>
  </si>
  <si>
    <t>6.9</t>
  </si>
  <si>
    <t>6.10</t>
  </si>
  <si>
    <t>6.11</t>
  </si>
  <si>
    <t>6.12</t>
  </si>
  <si>
    <t>6.13</t>
  </si>
  <si>
    <t>Core</t>
  </si>
  <si>
    <t>Online</t>
  </si>
  <si>
    <t>API</t>
  </si>
  <si>
    <t>iOS,Android</t>
  </si>
  <si>
    <t>4.1.1</t>
  </si>
  <si>
    <t>4.1.2</t>
  </si>
  <si>
    <t>4.1.3</t>
  </si>
  <si>
    <t>4.1.4</t>
  </si>
  <si>
    <t>4.2.1</t>
  </si>
  <si>
    <t>4.2.2</t>
  </si>
  <si>
    <t>4.2.3</t>
  </si>
  <si>
    <t>4.2.4</t>
  </si>
  <si>
    <t>4.3.1</t>
  </si>
  <si>
    <t>4.3.2</t>
  </si>
  <si>
    <t>4.3.3</t>
  </si>
  <si>
    <t>4.3.4</t>
  </si>
  <si>
    <t>4.4.1</t>
  </si>
  <si>
    <t>4.4.2</t>
  </si>
  <si>
    <t>4.4.3</t>
  </si>
  <si>
    <t>4.4.4</t>
  </si>
  <si>
    <t>4.5.1</t>
  </si>
  <si>
    <t>4.5.2</t>
  </si>
  <si>
    <t>4.5.3</t>
  </si>
  <si>
    <t>4.5.4</t>
  </si>
  <si>
    <t>4.6.1</t>
  </si>
  <si>
    <t>4.6.2</t>
  </si>
  <si>
    <t>4.6.3</t>
  </si>
  <si>
    <t>4.6.4</t>
  </si>
  <si>
    <t>4.7.1</t>
  </si>
  <si>
    <t>4.7.2</t>
  </si>
  <si>
    <t>4.7.3</t>
  </si>
  <si>
    <t>4.7.4</t>
  </si>
  <si>
    <t>4.8.1</t>
  </si>
  <si>
    <t>4.8.2</t>
  </si>
  <si>
    <t>4.8.3</t>
  </si>
  <si>
    <t>4.8.4</t>
  </si>
  <si>
    <t>4.9.1</t>
  </si>
  <si>
    <t>4.9.2</t>
  </si>
  <si>
    <t>4.9.3</t>
  </si>
  <si>
    <t>4.9.4</t>
  </si>
  <si>
    <t>4.10.1</t>
  </si>
  <si>
    <t>4.10.2</t>
  </si>
  <si>
    <t>4.10.3</t>
  </si>
  <si>
    <t>4.10.4</t>
  </si>
  <si>
    <t>4.11.1</t>
  </si>
  <si>
    <t>4.11.2</t>
  </si>
  <si>
    <t>4.11.3</t>
  </si>
  <si>
    <t>4.11.4</t>
  </si>
  <si>
    <t>4.12.1</t>
  </si>
  <si>
    <t>4.12.2</t>
  </si>
  <si>
    <t>4.12.3</t>
  </si>
  <si>
    <t>4.12.4</t>
  </si>
  <si>
    <t>4.13.1</t>
  </si>
  <si>
    <t>4.13.2</t>
  </si>
  <si>
    <t>4.13.3</t>
  </si>
  <si>
    <t>4.13.4</t>
  </si>
  <si>
    <t>Funtion Design</t>
  </si>
  <si>
    <t>Saroj</t>
  </si>
  <si>
    <t>Calculate in first screen</t>
  </si>
  <si>
    <t xml:space="preserve">Ryan </t>
  </si>
  <si>
    <t>James,Preyea</t>
  </si>
  <si>
    <t>Max,Pralhad</t>
  </si>
  <si>
    <t>Manoj</t>
  </si>
  <si>
    <t>DB</t>
  </si>
  <si>
    <t>Pralhad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</si>
</sst>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6">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9">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5" fillId="0" borderId="7" xfId="4" applyFont="1" applyFill="1" applyBorder="1" applyAlignment="1" applyProtection="1">
      <alignment horizontal="left" vertical="center"/>
      <protection locked="0"/>
    </xf>
    <xf numFmtId="176" fontId="11" fillId="5"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0" fontId="11" fillId="10" borderId="2" xfId="4" applyNumberFormat="1" applyFont="1" applyFill="1" applyBorder="1" applyAlignment="1" applyProtection="1">
      <alignment horizontal="center"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28</xdr:col>
      <xdr:colOff>82732</xdr:colOff>
      <xdr:row>3</xdr:row>
      <xdr:rowOff>59690</xdr:rowOff>
    </xdr:from>
    <xdr:to>
      <xdr:col>28</xdr:col>
      <xdr:colOff>82732</xdr:colOff>
      <xdr:row>234</xdr:row>
      <xdr:rowOff>152399</xdr:rowOff>
    </xdr:to>
    <xdr:cxnSp macro="">
      <xdr:nvCxnSpPr>
        <xdr:cNvPr id="1100" name="직선 화살표 연결선 1099">
          <a:extLst>
            <a:ext uri="{FF2B5EF4-FFF2-40B4-BE49-F238E27FC236}">
              <a16:creationId xmlns:a16="http://schemas.microsoft.com/office/drawing/2014/main" id="{9E977E70-0A49-4D3B-839B-0AE5AF890F9A}"/>
            </a:ext>
          </a:extLst>
        </xdr:cNvPr>
        <xdr:cNvCxnSpPr/>
      </xdr:nvCxnSpPr>
      <xdr:spPr>
        <a:xfrm>
          <a:off x="8632372" y="753110"/>
          <a:ext cx="0" cy="36729669"/>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24493</xdr:colOff>
      <xdr:row>232</xdr:row>
      <xdr:rowOff>30479</xdr:rowOff>
    </xdr:from>
    <xdr:to>
      <xdr:col>32</xdr:col>
      <xdr:colOff>45176</xdr:colOff>
      <xdr:row>232</xdr:row>
      <xdr:rowOff>144779</xdr:rowOff>
    </xdr:to>
    <xdr:sp macro="" textlink="">
      <xdr:nvSpPr>
        <xdr:cNvPr id="3131" name="직사각형 3130">
          <a:extLst>
            <a:ext uri="{FF2B5EF4-FFF2-40B4-BE49-F238E27FC236}">
              <a16:creationId xmlns:a16="http://schemas.microsoft.com/office/drawing/2014/main" id="{49699354-6404-424E-9D28-B917CC5F3757}"/>
            </a:ext>
          </a:extLst>
        </xdr:cNvPr>
        <xdr:cNvSpPr/>
      </xdr:nvSpPr>
      <xdr:spPr>
        <a:xfrm>
          <a:off x="9149443" y="355206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24493</xdr:colOff>
      <xdr:row>232</xdr:row>
      <xdr:rowOff>87629</xdr:rowOff>
    </xdr:from>
    <xdr:to>
      <xdr:col>32</xdr:col>
      <xdr:colOff>24493</xdr:colOff>
      <xdr:row>232</xdr:row>
      <xdr:rowOff>87629</xdr:rowOff>
    </xdr:to>
    <xdr:cxnSp macro="">
      <xdr:nvCxnSpPr>
        <xdr:cNvPr id="3132" name="직선 화살표 연결선 3131">
          <a:extLst>
            <a:ext uri="{FF2B5EF4-FFF2-40B4-BE49-F238E27FC236}">
              <a16:creationId xmlns:a16="http://schemas.microsoft.com/office/drawing/2014/main" id="{AB4D6B2E-4B4B-488B-9275-7102E269016B}"/>
            </a:ext>
          </a:extLst>
        </xdr:cNvPr>
        <xdr:cNvCxnSpPr/>
      </xdr:nvCxnSpPr>
      <xdr:spPr>
        <a:xfrm>
          <a:off x="9149443" y="35577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24493</xdr:colOff>
      <xdr:row>231</xdr:row>
      <xdr:rowOff>30479</xdr:rowOff>
    </xdr:from>
    <xdr:to>
      <xdr:col>32</xdr:col>
      <xdr:colOff>45176</xdr:colOff>
      <xdr:row>231</xdr:row>
      <xdr:rowOff>144779</xdr:rowOff>
    </xdr:to>
    <xdr:sp macro="" textlink="">
      <xdr:nvSpPr>
        <xdr:cNvPr id="3133" name="직사각형 3132">
          <a:extLst>
            <a:ext uri="{FF2B5EF4-FFF2-40B4-BE49-F238E27FC236}">
              <a16:creationId xmlns:a16="http://schemas.microsoft.com/office/drawing/2014/main" id="{211467AC-C471-427E-922D-605FC71B91C0}"/>
            </a:ext>
          </a:extLst>
        </xdr:cNvPr>
        <xdr:cNvSpPr/>
      </xdr:nvSpPr>
      <xdr:spPr>
        <a:xfrm>
          <a:off x="9149443" y="353682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24493</xdr:colOff>
      <xdr:row>231</xdr:row>
      <xdr:rowOff>87629</xdr:rowOff>
    </xdr:from>
    <xdr:to>
      <xdr:col>32</xdr:col>
      <xdr:colOff>24493</xdr:colOff>
      <xdr:row>231</xdr:row>
      <xdr:rowOff>87629</xdr:rowOff>
    </xdr:to>
    <xdr:cxnSp macro="">
      <xdr:nvCxnSpPr>
        <xdr:cNvPr id="3134" name="직선 화살표 연결선 3133">
          <a:extLst>
            <a:ext uri="{FF2B5EF4-FFF2-40B4-BE49-F238E27FC236}">
              <a16:creationId xmlns:a16="http://schemas.microsoft.com/office/drawing/2014/main" id="{C3B35AFE-7945-4150-A1D5-4ED7C912C509}"/>
            </a:ext>
          </a:extLst>
        </xdr:cNvPr>
        <xdr:cNvCxnSpPr/>
      </xdr:nvCxnSpPr>
      <xdr:spPr>
        <a:xfrm>
          <a:off x="9149443" y="35425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24493</xdr:colOff>
      <xdr:row>230</xdr:row>
      <xdr:rowOff>30479</xdr:rowOff>
    </xdr:from>
    <xdr:to>
      <xdr:col>32</xdr:col>
      <xdr:colOff>45176</xdr:colOff>
      <xdr:row>230</xdr:row>
      <xdr:rowOff>144779</xdr:rowOff>
    </xdr:to>
    <xdr:sp macro="" textlink="">
      <xdr:nvSpPr>
        <xdr:cNvPr id="3135" name="직사각형 3134">
          <a:extLst>
            <a:ext uri="{FF2B5EF4-FFF2-40B4-BE49-F238E27FC236}">
              <a16:creationId xmlns:a16="http://schemas.microsoft.com/office/drawing/2014/main" id="{409372A3-C7FD-4475-91FA-946559D7C61D}"/>
            </a:ext>
          </a:extLst>
        </xdr:cNvPr>
        <xdr:cNvSpPr/>
      </xdr:nvSpPr>
      <xdr:spPr>
        <a:xfrm>
          <a:off x="9149443" y="352158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24493</xdr:colOff>
      <xdr:row>230</xdr:row>
      <xdr:rowOff>87629</xdr:rowOff>
    </xdr:from>
    <xdr:to>
      <xdr:col>32</xdr:col>
      <xdr:colOff>24493</xdr:colOff>
      <xdr:row>230</xdr:row>
      <xdr:rowOff>87629</xdr:rowOff>
    </xdr:to>
    <xdr:cxnSp macro="">
      <xdr:nvCxnSpPr>
        <xdr:cNvPr id="3136" name="직선 화살표 연결선 3135">
          <a:extLst>
            <a:ext uri="{FF2B5EF4-FFF2-40B4-BE49-F238E27FC236}">
              <a16:creationId xmlns:a16="http://schemas.microsoft.com/office/drawing/2014/main" id="{7676AA18-91E8-46B6-8C20-00E6357FC2CC}"/>
            </a:ext>
          </a:extLst>
        </xdr:cNvPr>
        <xdr:cNvCxnSpPr/>
      </xdr:nvCxnSpPr>
      <xdr:spPr>
        <a:xfrm>
          <a:off x="9149443" y="35272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24493</xdr:colOff>
      <xdr:row>229</xdr:row>
      <xdr:rowOff>30479</xdr:rowOff>
    </xdr:from>
    <xdr:to>
      <xdr:col>32</xdr:col>
      <xdr:colOff>45176</xdr:colOff>
      <xdr:row>229</xdr:row>
      <xdr:rowOff>144779</xdr:rowOff>
    </xdr:to>
    <xdr:sp macro="" textlink="">
      <xdr:nvSpPr>
        <xdr:cNvPr id="3137" name="직사각형 3136">
          <a:extLst>
            <a:ext uri="{FF2B5EF4-FFF2-40B4-BE49-F238E27FC236}">
              <a16:creationId xmlns:a16="http://schemas.microsoft.com/office/drawing/2014/main" id="{DDE3D970-0F3D-40F1-8C9D-96F637331B19}"/>
            </a:ext>
          </a:extLst>
        </xdr:cNvPr>
        <xdr:cNvSpPr/>
      </xdr:nvSpPr>
      <xdr:spPr>
        <a:xfrm>
          <a:off x="9149443" y="35063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24493</xdr:colOff>
      <xdr:row>229</xdr:row>
      <xdr:rowOff>87629</xdr:rowOff>
    </xdr:from>
    <xdr:to>
      <xdr:col>32</xdr:col>
      <xdr:colOff>24493</xdr:colOff>
      <xdr:row>229</xdr:row>
      <xdr:rowOff>87629</xdr:rowOff>
    </xdr:to>
    <xdr:cxnSp macro="">
      <xdr:nvCxnSpPr>
        <xdr:cNvPr id="3138" name="직선 화살표 연결선 3137">
          <a:extLst>
            <a:ext uri="{FF2B5EF4-FFF2-40B4-BE49-F238E27FC236}">
              <a16:creationId xmlns:a16="http://schemas.microsoft.com/office/drawing/2014/main" id="{EA6573D2-0BC4-44E3-BB29-1A67181154B7}"/>
            </a:ext>
          </a:extLst>
        </xdr:cNvPr>
        <xdr:cNvCxnSpPr/>
      </xdr:nvCxnSpPr>
      <xdr:spPr>
        <a:xfrm>
          <a:off x="9149443" y="35120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24493</xdr:colOff>
      <xdr:row>228</xdr:row>
      <xdr:rowOff>30479</xdr:rowOff>
    </xdr:from>
    <xdr:to>
      <xdr:col>32</xdr:col>
      <xdr:colOff>45176</xdr:colOff>
      <xdr:row>228</xdr:row>
      <xdr:rowOff>144779</xdr:rowOff>
    </xdr:to>
    <xdr:sp macro="" textlink="">
      <xdr:nvSpPr>
        <xdr:cNvPr id="3139" name="직사각형 3138">
          <a:extLst>
            <a:ext uri="{FF2B5EF4-FFF2-40B4-BE49-F238E27FC236}">
              <a16:creationId xmlns:a16="http://schemas.microsoft.com/office/drawing/2014/main" id="{2883B143-63CB-4D10-8289-4D01586B9E12}"/>
            </a:ext>
          </a:extLst>
        </xdr:cNvPr>
        <xdr:cNvSpPr/>
      </xdr:nvSpPr>
      <xdr:spPr>
        <a:xfrm>
          <a:off x="9149443" y="349110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24493</xdr:colOff>
      <xdr:row>228</xdr:row>
      <xdr:rowOff>87629</xdr:rowOff>
    </xdr:from>
    <xdr:to>
      <xdr:col>32</xdr:col>
      <xdr:colOff>24493</xdr:colOff>
      <xdr:row>228</xdr:row>
      <xdr:rowOff>87629</xdr:rowOff>
    </xdr:to>
    <xdr:cxnSp macro="">
      <xdr:nvCxnSpPr>
        <xdr:cNvPr id="3140" name="직선 화살표 연결선 3139">
          <a:extLst>
            <a:ext uri="{FF2B5EF4-FFF2-40B4-BE49-F238E27FC236}">
              <a16:creationId xmlns:a16="http://schemas.microsoft.com/office/drawing/2014/main" id="{14996A09-79FA-4433-8090-44F0EBF41EDB}"/>
            </a:ext>
          </a:extLst>
        </xdr:cNvPr>
        <xdr:cNvCxnSpPr/>
      </xdr:nvCxnSpPr>
      <xdr:spPr>
        <a:xfrm>
          <a:off x="9149443" y="34968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50891</xdr:colOff>
      <xdr:row>226</xdr:row>
      <xdr:rowOff>30479</xdr:rowOff>
    </xdr:from>
    <xdr:to>
      <xdr:col>35</xdr:col>
      <xdr:colOff>71574</xdr:colOff>
      <xdr:row>226</xdr:row>
      <xdr:rowOff>144779</xdr:rowOff>
    </xdr:to>
    <xdr:sp macro="" textlink="">
      <xdr:nvSpPr>
        <xdr:cNvPr id="3141" name="직사각형 3140">
          <a:extLst>
            <a:ext uri="{FF2B5EF4-FFF2-40B4-BE49-F238E27FC236}">
              <a16:creationId xmlns:a16="http://schemas.microsoft.com/office/drawing/2014/main" id="{9B6EA0F7-179B-48AE-B9DA-F1FF5212E717}"/>
            </a:ext>
          </a:extLst>
        </xdr:cNvPr>
        <xdr:cNvSpPr/>
      </xdr:nvSpPr>
      <xdr:spPr>
        <a:xfrm>
          <a:off x="9604466" y="346062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50891</xdr:colOff>
      <xdr:row>226</xdr:row>
      <xdr:rowOff>87629</xdr:rowOff>
    </xdr:from>
    <xdr:to>
      <xdr:col>35</xdr:col>
      <xdr:colOff>50891</xdr:colOff>
      <xdr:row>226</xdr:row>
      <xdr:rowOff>87629</xdr:rowOff>
    </xdr:to>
    <xdr:cxnSp macro="">
      <xdr:nvCxnSpPr>
        <xdr:cNvPr id="3142" name="직선 화살표 연결선 3141">
          <a:extLst>
            <a:ext uri="{FF2B5EF4-FFF2-40B4-BE49-F238E27FC236}">
              <a16:creationId xmlns:a16="http://schemas.microsoft.com/office/drawing/2014/main" id="{D014B567-AC74-4F05-AA04-80E969FBFADF}"/>
            </a:ext>
          </a:extLst>
        </xdr:cNvPr>
        <xdr:cNvCxnSpPr/>
      </xdr:nvCxnSpPr>
      <xdr:spPr>
        <a:xfrm>
          <a:off x="9604466" y="34663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67763</xdr:colOff>
      <xdr:row>225</xdr:row>
      <xdr:rowOff>30479</xdr:rowOff>
    </xdr:from>
    <xdr:to>
      <xdr:col>33</xdr:col>
      <xdr:colOff>88447</xdr:colOff>
      <xdr:row>225</xdr:row>
      <xdr:rowOff>144779</xdr:rowOff>
    </xdr:to>
    <xdr:sp macro="" textlink="">
      <xdr:nvSpPr>
        <xdr:cNvPr id="3143" name="직사각형 3142">
          <a:extLst>
            <a:ext uri="{FF2B5EF4-FFF2-40B4-BE49-F238E27FC236}">
              <a16:creationId xmlns:a16="http://schemas.microsoft.com/office/drawing/2014/main" id="{D8604A0E-8E2A-4088-91D8-994017D22134}"/>
            </a:ext>
          </a:extLst>
        </xdr:cNvPr>
        <xdr:cNvSpPr/>
      </xdr:nvSpPr>
      <xdr:spPr>
        <a:xfrm>
          <a:off x="9335588" y="34453829"/>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67763</xdr:colOff>
      <xdr:row>225</xdr:row>
      <xdr:rowOff>87629</xdr:rowOff>
    </xdr:from>
    <xdr:to>
      <xdr:col>33</xdr:col>
      <xdr:colOff>67763</xdr:colOff>
      <xdr:row>225</xdr:row>
      <xdr:rowOff>87629</xdr:rowOff>
    </xdr:to>
    <xdr:cxnSp macro="">
      <xdr:nvCxnSpPr>
        <xdr:cNvPr id="3144" name="직선 화살표 연결선 3143">
          <a:extLst>
            <a:ext uri="{FF2B5EF4-FFF2-40B4-BE49-F238E27FC236}">
              <a16:creationId xmlns:a16="http://schemas.microsoft.com/office/drawing/2014/main" id="{51041EAC-CC97-45C7-B33B-9AADD80615EC}"/>
            </a:ext>
          </a:extLst>
        </xdr:cNvPr>
        <xdr:cNvCxnSpPr/>
      </xdr:nvCxnSpPr>
      <xdr:spPr>
        <a:xfrm>
          <a:off x="9335588" y="34510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26398</xdr:colOff>
      <xdr:row>224</xdr:row>
      <xdr:rowOff>30479</xdr:rowOff>
    </xdr:from>
    <xdr:to>
      <xdr:col>33</xdr:col>
      <xdr:colOff>67763</xdr:colOff>
      <xdr:row>224</xdr:row>
      <xdr:rowOff>144779</xdr:rowOff>
    </xdr:to>
    <xdr:sp macro="" textlink="">
      <xdr:nvSpPr>
        <xdr:cNvPr id="3145" name="직사각형 3144">
          <a:extLst>
            <a:ext uri="{FF2B5EF4-FFF2-40B4-BE49-F238E27FC236}">
              <a16:creationId xmlns:a16="http://schemas.microsoft.com/office/drawing/2014/main" id="{1C10F377-E9F2-444A-BD44-39F744BDD617}"/>
            </a:ext>
          </a:extLst>
        </xdr:cNvPr>
        <xdr:cNvSpPr/>
      </xdr:nvSpPr>
      <xdr:spPr>
        <a:xfrm>
          <a:off x="9294223" y="3430142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26398</xdr:colOff>
      <xdr:row>224</xdr:row>
      <xdr:rowOff>87629</xdr:rowOff>
    </xdr:from>
    <xdr:to>
      <xdr:col>33</xdr:col>
      <xdr:colOff>26398</xdr:colOff>
      <xdr:row>224</xdr:row>
      <xdr:rowOff>87629</xdr:rowOff>
    </xdr:to>
    <xdr:cxnSp macro="">
      <xdr:nvCxnSpPr>
        <xdr:cNvPr id="3146" name="직선 화살표 연결선 3145">
          <a:extLst>
            <a:ext uri="{FF2B5EF4-FFF2-40B4-BE49-F238E27FC236}">
              <a16:creationId xmlns:a16="http://schemas.microsoft.com/office/drawing/2014/main" id="{28965961-A2AC-49E3-9A22-59BDA72AE4FF}"/>
            </a:ext>
          </a:extLst>
        </xdr:cNvPr>
        <xdr:cNvCxnSpPr/>
      </xdr:nvCxnSpPr>
      <xdr:spPr>
        <a:xfrm>
          <a:off x="9294223" y="34358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45176</xdr:colOff>
      <xdr:row>223</xdr:row>
      <xdr:rowOff>30479</xdr:rowOff>
    </xdr:from>
    <xdr:to>
      <xdr:col>32</xdr:col>
      <xdr:colOff>86541</xdr:colOff>
      <xdr:row>223</xdr:row>
      <xdr:rowOff>144779</xdr:rowOff>
    </xdr:to>
    <xdr:sp macro="" textlink="">
      <xdr:nvSpPr>
        <xdr:cNvPr id="3147" name="직사각형 3146">
          <a:extLst>
            <a:ext uri="{FF2B5EF4-FFF2-40B4-BE49-F238E27FC236}">
              <a16:creationId xmlns:a16="http://schemas.microsoft.com/office/drawing/2014/main" id="{9504B910-3C30-42A7-85C6-EE0858F3636F}"/>
            </a:ext>
          </a:extLst>
        </xdr:cNvPr>
        <xdr:cNvSpPr/>
      </xdr:nvSpPr>
      <xdr:spPr>
        <a:xfrm>
          <a:off x="9170126" y="3414902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45176</xdr:colOff>
      <xdr:row>223</xdr:row>
      <xdr:rowOff>87629</xdr:rowOff>
    </xdr:from>
    <xdr:to>
      <xdr:col>32</xdr:col>
      <xdr:colOff>45176</xdr:colOff>
      <xdr:row>223</xdr:row>
      <xdr:rowOff>87629</xdr:rowOff>
    </xdr:to>
    <xdr:cxnSp macro="">
      <xdr:nvCxnSpPr>
        <xdr:cNvPr id="3148" name="직선 화살표 연결선 3147">
          <a:extLst>
            <a:ext uri="{FF2B5EF4-FFF2-40B4-BE49-F238E27FC236}">
              <a16:creationId xmlns:a16="http://schemas.microsoft.com/office/drawing/2014/main" id="{A3D66E5B-AB33-4C21-BCF1-9ADF83535A4B}"/>
            </a:ext>
          </a:extLst>
        </xdr:cNvPr>
        <xdr:cNvCxnSpPr/>
      </xdr:nvCxnSpPr>
      <xdr:spPr>
        <a:xfrm>
          <a:off x="9170126" y="34206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222</xdr:row>
      <xdr:rowOff>30479</xdr:rowOff>
    </xdr:from>
    <xdr:to>
      <xdr:col>30</xdr:col>
      <xdr:colOff>82731</xdr:colOff>
      <xdr:row>222</xdr:row>
      <xdr:rowOff>144779</xdr:rowOff>
    </xdr:to>
    <xdr:sp macro="" textlink="">
      <xdr:nvSpPr>
        <xdr:cNvPr id="3149" name="직사각형 3148">
          <a:extLst>
            <a:ext uri="{FF2B5EF4-FFF2-40B4-BE49-F238E27FC236}">
              <a16:creationId xmlns:a16="http://schemas.microsoft.com/office/drawing/2014/main" id="{070C9036-4C5D-4373-BD88-3D3422D6BB34}"/>
            </a:ext>
          </a:extLst>
        </xdr:cNvPr>
        <xdr:cNvSpPr/>
      </xdr:nvSpPr>
      <xdr:spPr>
        <a:xfrm>
          <a:off x="8901249" y="3399662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222</xdr:row>
      <xdr:rowOff>87629</xdr:rowOff>
    </xdr:from>
    <xdr:to>
      <xdr:col>30</xdr:col>
      <xdr:colOff>62049</xdr:colOff>
      <xdr:row>222</xdr:row>
      <xdr:rowOff>87629</xdr:rowOff>
    </xdr:to>
    <xdr:cxnSp macro="">
      <xdr:nvCxnSpPr>
        <xdr:cNvPr id="3150" name="직선 화살표 연결선 3149">
          <a:extLst>
            <a:ext uri="{FF2B5EF4-FFF2-40B4-BE49-F238E27FC236}">
              <a16:creationId xmlns:a16="http://schemas.microsoft.com/office/drawing/2014/main" id="{F2008E95-5D53-4DA0-B889-F57E899CEE32}"/>
            </a:ext>
          </a:extLst>
        </xdr:cNvPr>
        <xdr:cNvCxnSpPr/>
      </xdr:nvCxnSpPr>
      <xdr:spPr>
        <a:xfrm>
          <a:off x="8901249" y="34053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221</xdr:row>
      <xdr:rowOff>30479</xdr:rowOff>
    </xdr:from>
    <xdr:to>
      <xdr:col>35</xdr:col>
      <xdr:colOff>71574</xdr:colOff>
      <xdr:row>221</xdr:row>
      <xdr:rowOff>144779</xdr:rowOff>
    </xdr:to>
    <xdr:sp macro="" textlink="">
      <xdr:nvSpPr>
        <xdr:cNvPr id="3151" name="직사각형 3150">
          <a:extLst>
            <a:ext uri="{FF2B5EF4-FFF2-40B4-BE49-F238E27FC236}">
              <a16:creationId xmlns:a16="http://schemas.microsoft.com/office/drawing/2014/main" id="{1D5D9B70-ABD8-4F08-833F-41E03FAA07EB}"/>
            </a:ext>
          </a:extLst>
        </xdr:cNvPr>
        <xdr:cNvSpPr/>
      </xdr:nvSpPr>
      <xdr:spPr>
        <a:xfrm>
          <a:off x="8901249" y="33844229"/>
          <a:ext cx="7239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221</xdr:row>
      <xdr:rowOff>87629</xdr:rowOff>
    </xdr:from>
    <xdr:to>
      <xdr:col>30</xdr:col>
      <xdr:colOff>62049</xdr:colOff>
      <xdr:row>221</xdr:row>
      <xdr:rowOff>87629</xdr:rowOff>
    </xdr:to>
    <xdr:cxnSp macro="">
      <xdr:nvCxnSpPr>
        <xdr:cNvPr id="3152" name="직선 화살표 연결선 3151">
          <a:extLst>
            <a:ext uri="{FF2B5EF4-FFF2-40B4-BE49-F238E27FC236}">
              <a16:creationId xmlns:a16="http://schemas.microsoft.com/office/drawing/2014/main" id="{1EC05C85-F083-45E6-BA34-A8144BE28836}"/>
            </a:ext>
          </a:extLst>
        </xdr:cNvPr>
        <xdr:cNvCxnSpPr/>
      </xdr:nvCxnSpPr>
      <xdr:spPr>
        <a:xfrm>
          <a:off x="8901249" y="33901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219</xdr:row>
      <xdr:rowOff>30479</xdr:rowOff>
    </xdr:from>
    <xdr:to>
      <xdr:col>30</xdr:col>
      <xdr:colOff>41366</xdr:colOff>
      <xdr:row>219</xdr:row>
      <xdr:rowOff>144779</xdr:rowOff>
    </xdr:to>
    <xdr:sp macro="" textlink="">
      <xdr:nvSpPr>
        <xdr:cNvPr id="3153" name="직사각형 3152">
          <a:extLst>
            <a:ext uri="{FF2B5EF4-FFF2-40B4-BE49-F238E27FC236}">
              <a16:creationId xmlns:a16="http://schemas.microsoft.com/office/drawing/2014/main" id="{7C97E395-E705-4FAB-AACA-91160D9107CE}"/>
            </a:ext>
          </a:extLst>
        </xdr:cNvPr>
        <xdr:cNvSpPr/>
      </xdr:nvSpPr>
      <xdr:spPr>
        <a:xfrm>
          <a:off x="8859883" y="33539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219</xdr:row>
      <xdr:rowOff>87629</xdr:rowOff>
    </xdr:from>
    <xdr:to>
      <xdr:col>30</xdr:col>
      <xdr:colOff>20683</xdr:colOff>
      <xdr:row>219</xdr:row>
      <xdr:rowOff>87629</xdr:rowOff>
    </xdr:to>
    <xdr:cxnSp macro="">
      <xdr:nvCxnSpPr>
        <xdr:cNvPr id="3154" name="직선 화살표 연결선 3153">
          <a:extLst>
            <a:ext uri="{FF2B5EF4-FFF2-40B4-BE49-F238E27FC236}">
              <a16:creationId xmlns:a16="http://schemas.microsoft.com/office/drawing/2014/main" id="{984B724E-E3E1-489C-85A8-597409954FB0}"/>
            </a:ext>
          </a:extLst>
        </xdr:cNvPr>
        <xdr:cNvCxnSpPr/>
      </xdr:nvCxnSpPr>
      <xdr:spPr>
        <a:xfrm>
          <a:off x="8859883" y="33596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218</xdr:row>
      <xdr:rowOff>30479</xdr:rowOff>
    </xdr:from>
    <xdr:to>
      <xdr:col>30</xdr:col>
      <xdr:colOff>20683</xdr:colOff>
      <xdr:row>218</xdr:row>
      <xdr:rowOff>144779</xdr:rowOff>
    </xdr:to>
    <xdr:sp macro="" textlink="">
      <xdr:nvSpPr>
        <xdr:cNvPr id="3155" name="직사각형 3154">
          <a:extLst>
            <a:ext uri="{FF2B5EF4-FFF2-40B4-BE49-F238E27FC236}">
              <a16:creationId xmlns:a16="http://schemas.microsoft.com/office/drawing/2014/main" id="{8C5ECFE6-7B5C-4BCA-BC2B-ADD375E65826}"/>
            </a:ext>
          </a:extLst>
        </xdr:cNvPr>
        <xdr:cNvSpPr/>
      </xdr:nvSpPr>
      <xdr:spPr>
        <a:xfrm>
          <a:off x="8839200" y="333870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218</xdr:row>
      <xdr:rowOff>87629</xdr:rowOff>
    </xdr:from>
    <xdr:to>
      <xdr:col>30</xdr:col>
      <xdr:colOff>0</xdr:colOff>
      <xdr:row>218</xdr:row>
      <xdr:rowOff>87629</xdr:rowOff>
    </xdr:to>
    <xdr:cxnSp macro="">
      <xdr:nvCxnSpPr>
        <xdr:cNvPr id="3156" name="직선 화살표 연결선 3155">
          <a:extLst>
            <a:ext uri="{FF2B5EF4-FFF2-40B4-BE49-F238E27FC236}">
              <a16:creationId xmlns:a16="http://schemas.microsoft.com/office/drawing/2014/main" id="{505B0334-3AD1-4DC4-8FCB-E7B63C249442}"/>
            </a:ext>
          </a:extLst>
        </xdr:cNvPr>
        <xdr:cNvCxnSpPr/>
      </xdr:nvCxnSpPr>
      <xdr:spPr>
        <a:xfrm>
          <a:off x="8839200" y="33444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217</xdr:row>
      <xdr:rowOff>30479</xdr:rowOff>
    </xdr:from>
    <xdr:to>
      <xdr:col>30</xdr:col>
      <xdr:colOff>41366</xdr:colOff>
      <xdr:row>217</xdr:row>
      <xdr:rowOff>144779</xdr:rowOff>
    </xdr:to>
    <xdr:sp macro="" textlink="">
      <xdr:nvSpPr>
        <xdr:cNvPr id="3157" name="직사각형 3156">
          <a:extLst>
            <a:ext uri="{FF2B5EF4-FFF2-40B4-BE49-F238E27FC236}">
              <a16:creationId xmlns:a16="http://schemas.microsoft.com/office/drawing/2014/main" id="{C75C465E-FE61-4C5B-B143-524F5B89A442}"/>
            </a:ext>
          </a:extLst>
        </xdr:cNvPr>
        <xdr:cNvSpPr/>
      </xdr:nvSpPr>
      <xdr:spPr>
        <a:xfrm>
          <a:off x="8839200" y="33234629"/>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217</xdr:row>
      <xdr:rowOff>87629</xdr:rowOff>
    </xdr:from>
    <xdr:to>
      <xdr:col>30</xdr:col>
      <xdr:colOff>0</xdr:colOff>
      <xdr:row>217</xdr:row>
      <xdr:rowOff>87629</xdr:rowOff>
    </xdr:to>
    <xdr:cxnSp macro="">
      <xdr:nvCxnSpPr>
        <xdr:cNvPr id="3158" name="직선 화살표 연결선 3157">
          <a:extLst>
            <a:ext uri="{FF2B5EF4-FFF2-40B4-BE49-F238E27FC236}">
              <a16:creationId xmlns:a16="http://schemas.microsoft.com/office/drawing/2014/main" id="{3EE057EE-6122-416E-9C9F-8519CF6DDF0C}"/>
            </a:ext>
          </a:extLst>
        </xdr:cNvPr>
        <xdr:cNvCxnSpPr/>
      </xdr:nvCxnSpPr>
      <xdr:spPr>
        <a:xfrm>
          <a:off x="8839200" y="33291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80826</xdr:colOff>
      <xdr:row>215</xdr:row>
      <xdr:rowOff>30479</xdr:rowOff>
    </xdr:from>
    <xdr:to>
      <xdr:col>29</xdr:col>
      <xdr:colOff>101509</xdr:colOff>
      <xdr:row>215</xdr:row>
      <xdr:rowOff>144779</xdr:rowOff>
    </xdr:to>
    <xdr:sp macro="" textlink="">
      <xdr:nvSpPr>
        <xdr:cNvPr id="3159" name="직사각형 3158">
          <a:extLst>
            <a:ext uri="{FF2B5EF4-FFF2-40B4-BE49-F238E27FC236}">
              <a16:creationId xmlns:a16="http://schemas.microsoft.com/office/drawing/2014/main" id="{B3A5991E-E743-4C3F-9960-23F4DA30978B}"/>
            </a:ext>
          </a:extLst>
        </xdr:cNvPr>
        <xdr:cNvSpPr/>
      </xdr:nvSpPr>
      <xdr:spPr>
        <a:xfrm>
          <a:off x="8777151" y="329298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80826</xdr:colOff>
      <xdr:row>215</xdr:row>
      <xdr:rowOff>87629</xdr:rowOff>
    </xdr:from>
    <xdr:to>
      <xdr:col>29</xdr:col>
      <xdr:colOff>80826</xdr:colOff>
      <xdr:row>215</xdr:row>
      <xdr:rowOff>87629</xdr:rowOff>
    </xdr:to>
    <xdr:cxnSp macro="">
      <xdr:nvCxnSpPr>
        <xdr:cNvPr id="3160" name="직선 화살표 연결선 3159">
          <a:extLst>
            <a:ext uri="{FF2B5EF4-FFF2-40B4-BE49-F238E27FC236}">
              <a16:creationId xmlns:a16="http://schemas.microsoft.com/office/drawing/2014/main" id="{971A67A1-C1AD-4D0D-B735-DEDFCB0C5846}"/>
            </a:ext>
          </a:extLst>
        </xdr:cNvPr>
        <xdr:cNvCxnSpPr/>
      </xdr:nvCxnSpPr>
      <xdr:spPr>
        <a:xfrm>
          <a:off x="8777151" y="32986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214</xdr:row>
      <xdr:rowOff>30479</xdr:rowOff>
    </xdr:from>
    <xdr:to>
      <xdr:col>29</xdr:col>
      <xdr:colOff>80826</xdr:colOff>
      <xdr:row>214</xdr:row>
      <xdr:rowOff>144779</xdr:rowOff>
    </xdr:to>
    <xdr:sp macro="" textlink="">
      <xdr:nvSpPr>
        <xdr:cNvPr id="3161" name="직사각형 3160">
          <a:extLst>
            <a:ext uri="{FF2B5EF4-FFF2-40B4-BE49-F238E27FC236}">
              <a16:creationId xmlns:a16="http://schemas.microsoft.com/office/drawing/2014/main" id="{A82F3EA8-3786-4E2F-9CD8-4D3C515DA8CD}"/>
            </a:ext>
          </a:extLst>
        </xdr:cNvPr>
        <xdr:cNvSpPr/>
      </xdr:nvSpPr>
      <xdr:spPr>
        <a:xfrm>
          <a:off x="8756469" y="3277742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214</xdr:row>
      <xdr:rowOff>87629</xdr:rowOff>
    </xdr:from>
    <xdr:to>
      <xdr:col>29</xdr:col>
      <xdr:colOff>60144</xdr:colOff>
      <xdr:row>214</xdr:row>
      <xdr:rowOff>87629</xdr:rowOff>
    </xdr:to>
    <xdr:cxnSp macro="">
      <xdr:nvCxnSpPr>
        <xdr:cNvPr id="3162" name="직선 화살표 연결선 3161">
          <a:extLst>
            <a:ext uri="{FF2B5EF4-FFF2-40B4-BE49-F238E27FC236}">
              <a16:creationId xmlns:a16="http://schemas.microsoft.com/office/drawing/2014/main" id="{82B8306A-9385-4C84-B1A2-77682FF0320D}"/>
            </a:ext>
          </a:extLst>
        </xdr:cNvPr>
        <xdr:cNvCxnSpPr/>
      </xdr:nvCxnSpPr>
      <xdr:spPr>
        <a:xfrm>
          <a:off x="8756469" y="32834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213</xdr:row>
      <xdr:rowOff>30479</xdr:rowOff>
    </xdr:from>
    <xdr:to>
      <xdr:col>29</xdr:col>
      <xdr:colOff>101509</xdr:colOff>
      <xdr:row>213</xdr:row>
      <xdr:rowOff>144779</xdr:rowOff>
    </xdr:to>
    <xdr:sp macro="" textlink="">
      <xdr:nvSpPr>
        <xdr:cNvPr id="3163" name="직사각형 3162">
          <a:extLst>
            <a:ext uri="{FF2B5EF4-FFF2-40B4-BE49-F238E27FC236}">
              <a16:creationId xmlns:a16="http://schemas.microsoft.com/office/drawing/2014/main" id="{F2B90E7B-0956-4A87-B603-5B52ED7E9687}"/>
            </a:ext>
          </a:extLst>
        </xdr:cNvPr>
        <xdr:cNvSpPr/>
      </xdr:nvSpPr>
      <xdr:spPr>
        <a:xfrm>
          <a:off x="8756469" y="32625029"/>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213</xdr:row>
      <xdr:rowOff>87629</xdr:rowOff>
    </xdr:from>
    <xdr:to>
      <xdr:col>29</xdr:col>
      <xdr:colOff>60144</xdr:colOff>
      <xdr:row>213</xdr:row>
      <xdr:rowOff>87629</xdr:rowOff>
    </xdr:to>
    <xdr:cxnSp macro="">
      <xdr:nvCxnSpPr>
        <xdr:cNvPr id="3164" name="직선 화살표 연결선 3163">
          <a:extLst>
            <a:ext uri="{FF2B5EF4-FFF2-40B4-BE49-F238E27FC236}">
              <a16:creationId xmlns:a16="http://schemas.microsoft.com/office/drawing/2014/main" id="{BFEB5573-1145-4381-9EE3-E97B079A49E9}"/>
            </a:ext>
          </a:extLst>
        </xdr:cNvPr>
        <xdr:cNvCxnSpPr/>
      </xdr:nvCxnSpPr>
      <xdr:spPr>
        <a:xfrm>
          <a:off x="8756469" y="32682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xdr:colOff>
      <xdr:row>211</xdr:row>
      <xdr:rowOff>30479</xdr:rowOff>
    </xdr:from>
    <xdr:to>
      <xdr:col>32</xdr:col>
      <xdr:colOff>24493</xdr:colOff>
      <xdr:row>211</xdr:row>
      <xdr:rowOff>144779</xdr:rowOff>
    </xdr:to>
    <xdr:sp macro="" textlink="">
      <xdr:nvSpPr>
        <xdr:cNvPr id="3165" name="직사각형 3164">
          <a:extLst>
            <a:ext uri="{FF2B5EF4-FFF2-40B4-BE49-F238E27FC236}">
              <a16:creationId xmlns:a16="http://schemas.microsoft.com/office/drawing/2014/main" id="{8B9E2D86-1A33-4624-B2C4-E5A92CC2C200}"/>
            </a:ext>
          </a:extLst>
        </xdr:cNvPr>
        <xdr:cNvSpPr/>
      </xdr:nvSpPr>
      <xdr:spPr>
        <a:xfrm>
          <a:off x="9128760" y="323202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xdr:colOff>
      <xdr:row>211</xdr:row>
      <xdr:rowOff>87629</xdr:rowOff>
    </xdr:from>
    <xdr:to>
      <xdr:col>32</xdr:col>
      <xdr:colOff>3810</xdr:colOff>
      <xdr:row>211</xdr:row>
      <xdr:rowOff>87629</xdr:rowOff>
    </xdr:to>
    <xdr:cxnSp macro="">
      <xdr:nvCxnSpPr>
        <xdr:cNvPr id="3166" name="직선 화살표 연결선 3165">
          <a:extLst>
            <a:ext uri="{FF2B5EF4-FFF2-40B4-BE49-F238E27FC236}">
              <a16:creationId xmlns:a16="http://schemas.microsoft.com/office/drawing/2014/main" id="{9FAE30CF-6954-49BE-BB3B-BC665148A576}"/>
            </a:ext>
          </a:extLst>
        </xdr:cNvPr>
        <xdr:cNvCxnSpPr/>
      </xdr:nvCxnSpPr>
      <xdr:spPr>
        <a:xfrm>
          <a:off x="9128760" y="32377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xdr:colOff>
      <xdr:row>210</xdr:row>
      <xdr:rowOff>30479</xdr:rowOff>
    </xdr:from>
    <xdr:to>
      <xdr:col>32</xdr:col>
      <xdr:colOff>24493</xdr:colOff>
      <xdr:row>210</xdr:row>
      <xdr:rowOff>144779</xdr:rowOff>
    </xdr:to>
    <xdr:sp macro="" textlink="">
      <xdr:nvSpPr>
        <xdr:cNvPr id="3167" name="직사각형 3166">
          <a:extLst>
            <a:ext uri="{FF2B5EF4-FFF2-40B4-BE49-F238E27FC236}">
              <a16:creationId xmlns:a16="http://schemas.microsoft.com/office/drawing/2014/main" id="{B5B7559B-8C8E-4CE2-867D-429FD59411CA}"/>
            </a:ext>
          </a:extLst>
        </xdr:cNvPr>
        <xdr:cNvSpPr/>
      </xdr:nvSpPr>
      <xdr:spPr>
        <a:xfrm>
          <a:off x="9128760" y="321678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xdr:colOff>
      <xdr:row>210</xdr:row>
      <xdr:rowOff>87629</xdr:rowOff>
    </xdr:from>
    <xdr:to>
      <xdr:col>32</xdr:col>
      <xdr:colOff>3810</xdr:colOff>
      <xdr:row>210</xdr:row>
      <xdr:rowOff>87629</xdr:rowOff>
    </xdr:to>
    <xdr:cxnSp macro="">
      <xdr:nvCxnSpPr>
        <xdr:cNvPr id="3168" name="직선 화살표 연결선 3167">
          <a:extLst>
            <a:ext uri="{FF2B5EF4-FFF2-40B4-BE49-F238E27FC236}">
              <a16:creationId xmlns:a16="http://schemas.microsoft.com/office/drawing/2014/main" id="{C1C4EB0F-4EDF-4B73-8613-D1F3863AB7D2}"/>
            </a:ext>
          </a:extLst>
        </xdr:cNvPr>
        <xdr:cNvCxnSpPr/>
      </xdr:nvCxnSpPr>
      <xdr:spPr>
        <a:xfrm>
          <a:off x="9128760" y="32224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xdr:colOff>
      <xdr:row>209</xdr:row>
      <xdr:rowOff>30479</xdr:rowOff>
    </xdr:from>
    <xdr:to>
      <xdr:col>32</xdr:col>
      <xdr:colOff>24493</xdr:colOff>
      <xdr:row>209</xdr:row>
      <xdr:rowOff>144779</xdr:rowOff>
    </xdr:to>
    <xdr:sp macro="" textlink="">
      <xdr:nvSpPr>
        <xdr:cNvPr id="3169" name="직사각형 3168">
          <a:extLst>
            <a:ext uri="{FF2B5EF4-FFF2-40B4-BE49-F238E27FC236}">
              <a16:creationId xmlns:a16="http://schemas.microsoft.com/office/drawing/2014/main" id="{19D046B6-B912-45E4-8C9D-C33436ADEDE4}"/>
            </a:ext>
          </a:extLst>
        </xdr:cNvPr>
        <xdr:cNvSpPr/>
      </xdr:nvSpPr>
      <xdr:spPr>
        <a:xfrm>
          <a:off x="9128760" y="32015429"/>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xdr:colOff>
      <xdr:row>209</xdr:row>
      <xdr:rowOff>87629</xdr:rowOff>
    </xdr:from>
    <xdr:to>
      <xdr:col>32</xdr:col>
      <xdr:colOff>3810</xdr:colOff>
      <xdr:row>209</xdr:row>
      <xdr:rowOff>87629</xdr:rowOff>
    </xdr:to>
    <xdr:cxnSp macro="">
      <xdr:nvCxnSpPr>
        <xdr:cNvPr id="3170" name="직선 화살표 연결선 3169">
          <a:extLst>
            <a:ext uri="{FF2B5EF4-FFF2-40B4-BE49-F238E27FC236}">
              <a16:creationId xmlns:a16="http://schemas.microsoft.com/office/drawing/2014/main" id="{5D31EF2E-B97B-4B60-87CA-F7515575E1DA}"/>
            </a:ext>
          </a:extLst>
        </xdr:cNvPr>
        <xdr:cNvCxnSpPr/>
      </xdr:nvCxnSpPr>
      <xdr:spPr>
        <a:xfrm>
          <a:off x="9128760" y="32072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84637</xdr:colOff>
      <xdr:row>207</xdr:row>
      <xdr:rowOff>30479</xdr:rowOff>
    </xdr:from>
    <xdr:to>
      <xdr:col>31</xdr:col>
      <xdr:colOff>105319</xdr:colOff>
      <xdr:row>207</xdr:row>
      <xdr:rowOff>144779</xdr:rowOff>
    </xdr:to>
    <xdr:sp macro="" textlink="">
      <xdr:nvSpPr>
        <xdr:cNvPr id="3171" name="직사각형 3170">
          <a:extLst>
            <a:ext uri="{FF2B5EF4-FFF2-40B4-BE49-F238E27FC236}">
              <a16:creationId xmlns:a16="http://schemas.microsoft.com/office/drawing/2014/main" id="{A8C7DCAE-66BE-4006-8645-E09E1F9ED861}"/>
            </a:ext>
          </a:extLst>
        </xdr:cNvPr>
        <xdr:cNvSpPr/>
      </xdr:nvSpPr>
      <xdr:spPr>
        <a:xfrm>
          <a:off x="9066712" y="3171062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84637</xdr:colOff>
      <xdr:row>207</xdr:row>
      <xdr:rowOff>87629</xdr:rowOff>
    </xdr:from>
    <xdr:to>
      <xdr:col>31</xdr:col>
      <xdr:colOff>84637</xdr:colOff>
      <xdr:row>207</xdr:row>
      <xdr:rowOff>87629</xdr:rowOff>
    </xdr:to>
    <xdr:cxnSp macro="">
      <xdr:nvCxnSpPr>
        <xdr:cNvPr id="3172" name="직선 화살표 연결선 3171">
          <a:extLst>
            <a:ext uri="{FF2B5EF4-FFF2-40B4-BE49-F238E27FC236}">
              <a16:creationId xmlns:a16="http://schemas.microsoft.com/office/drawing/2014/main" id="{EC3802BD-1F10-43FF-8172-4EC4F5ACC517}"/>
            </a:ext>
          </a:extLst>
        </xdr:cNvPr>
        <xdr:cNvCxnSpPr/>
      </xdr:nvCxnSpPr>
      <xdr:spPr>
        <a:xfrm>
          <a:off x="9066712" y="31767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84637</xdr:colOff>
      <xdr:row>206</xdr:row>
      <xdr:rowOff>30479</xdr:rowOff>
    </xdr:from>
    <xdr:to>
      <xdr:col>31</xdr:col>
      <xdr:colOff>105319</xdr:colOff>
      <xdr:row>206</xdr:row>
      <xdr:rowOff>144779</xdr:rowOff>
    </xdr:to>
    <xdr:sp macro="" textlink="">
      <xdr:nvSpPr>
        <xdr:cNvPr id="3173" name="직사각형 3172">
          <a:extLst>
            <a:ext uri="{FF2B5EF4-FFF2-40B4-BE49-F238E27FC236}">
              <a16:creationId xmlns:a16="http://schemas.microsoft.com/office/drawing/2014/main" id="{D6A90A72-A6A3-4BD6-8AC4-3A792D69E828}"/>
            </a:ext>
          </a:extLst>
        </xdr:cNvPr>
        <xdr:cNvSpPr/>
      </xdr:nvSpPr>
      <xdr:spPr>
        <a:xfrm>
          <a:off x="9066712" y="3155822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84637</xdr:colOff>
      <xdr:row>206</xdr:row>
      <xdr:rowOff>87629</xdr:rowOff>
    </xdr:from>
    <xdr:to>
      <xdr:col>31</xdr:col>
      <xdr:colOff>84637</xdr:colOff>
      <xdr:row>206</xdr:row>
      <xdr:rowOff>87629</xdr:rowOff>
    </xdr:to>
    <xdr:cxnSp macro="">
      <xdr:nvCxnSpPr>
        <xdr:cNvPr id="3174" name="직선 화살표 연결선 3173">
          <a:extLst>
            <a:ext uri="{FF2B5EF4-FFF2-40B4-BE49-F238E27FC236}">
              <a16:creationId xmlns:a16="http://schemas.microsoft.com/office/drawing/2014/main" id="{A13AD479-6213-4348-AFF0-12A85CA8A4E2}"/>
            </a:ext>
          </a:extLst>
        </xdr:cNvPr>
        <xdr:cNvCxnSpPr/>
      </xdr:nvCxnSpPr>
      <xdr:spPr>
        <a:xfrm>
          <a:off x="9066712" y="31615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84637</xdr:colOff>
      <xdr:row>205</xdr:row>
      <xdr:rowOff>30479</xdr:rowOff>
    </xdr:from>
    <xdr:to>
      <xdr:col>31</xdr:col>
      <xdr:colOff>105319</xdr:colOff>
      <xdr:row>205</xdr:row>
      <xdr:rowOff>144779</xdr:rowOff>
    </xdr:to>
    <xdr:sp macro="" textlink="">
      <xdr:nvSpPr>
        <xdr:cNvPr id="3175" name="직사각형 3174">
          <a:extLst>
            <a:ext uri="{FF2B5EF4-FFF2-40B4-BE49-F238E27FC236}">
              <a16:creationId xmlns:a16="http://schemas.microsoft.com/office/drawing/2014/main" id="{093291AC-A45C-4496-8FD7-BA9E4613BB64}"/>
            </a:ext>
          </a:extLst>
        </xdr:cNvPr>
        <xdr:cNvSpPr/>
      </xdr:nvSpPr>
      <xdr:spPr>
        <a:xfrm>
          <a:off x="9066712" y="31405829"/>
          <a:ext cx="206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84637</xdr:colOff>
      <xdr:row>205</xdr:row>
      <xdr:rowOff>87629</xdr:rowOff>
    </xdr:from>
    <xdr:to>
      <xdr:col>31</xdr:col>
      <xdr:colOff>84637</xdr:colOff>
      <xdr:row>205</xdr:row>
      <xdr:rowOff>87629</xdr:rowOff>
    </xdr:to>
    <xdr:cxnSp macro="">
      <xdr:nvCxnSpPr>
        <xdr:cNvPr id="3176" name="직선 화살표 연결선 3175">
          <a:extLst>
            <a:ext uri="{FF2B5EF4-FFF2-40B4-BE49-F238E27FC236}">
              <a16:creationId xmlns:a16="http://schemas.microsoft.com/office/drawing/2014/main" id="{05C94C56-A511-4F22-B200-439525C42E44}"/>
            </a:ext>
          </a:extLst>
        </xdr:cNvPr>
        <xdr:cNvCxnSpPr/>
      </xdr:nvCxnSpPr>
      <xdr:spPr>
        <a:xfrm>
          <a:off x="9066712" y="31462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63953</xdr:colOff>
      <xdr:row>203</xdr:row>
      <xdr:rowOff>30479</xdr:rowOff>
    </xdr:from>
    <xdr:to>
      <xdr:col>31</xdr:col>
      <xdr:colOff>84637</xdr:colOff>
      <xdr:row>203</xdr:row>
      <xdr:rowOff>144779</xdr:rowOff>
    </xdr:to>
    <xdr:sp macro="" textlink="">
      <xdr:nvSpPr>
        <xdr:cNvPr id="3177" name="직사각형 3176">
          <a:extLst>
            <a:ext uri="{FF2B5EF4-FFF2-40B4-BE49-F238E27FC236}">
              <a16:creationId xmlns:a16="http://schemas.microsoft.com/office/drawing/2014/main" id="{1711C61D-B1B2-4552-9D16-1C0DE2CC5C9D}"/>
            </a:ext>
          </a:extLst>
        </xdr:cNvPr>
        <xdr:cNvSpPr/>
      </xdr:nvSpPr>
      <xdr:spPr>
        <a:xfrm>
          <a:off x="9046028" y="31101029"/>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63953</xdr:colOff>
      <xdr:row>203</xdr:row>
      <xdr:rowOff>87629</xdr:rowOff>
    </xdr:from>
    <xdr:to>
      <xdr:col>31</xdr:col>
      <xdr:colOff>63953</xdr:colOff>
      <xdr:row>203</xdr:row>
      <xdr:rowOff>87629</xdr:rowOff>
    </xdr:to>
    <xdr:cxnSp macro="">
      <xdr:nvCxnSpPr>
        <xdr:cNvPr id="3178" name="직선 화살표 연결선 3177">
          <a:extLst>
            <a:ext uri="{FF2B5EF4-FFF2-40B4-BE49-F238E27FC236}">
              <a16:creationId xmlns:a16="http://schemas.microsoft.com/office/drawing/2014/main" id="{0169AF43-0CDE-4C86-83E9-AE547C6C297B}"/>
            </a:ext>
          </a:extLst>
        </xdr:cNvPr>
        <xdr:cNvCxnSpPr/>
      </xdr:nvCxnSpPr>
      <xdr:spPr>
        <a:xfrm>
          <a:off x="9046028" y="31158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43271</xdr:colOff>
      <xdr:row>202</xdr:row>
      <xdr:rowOff>30479</xdr:rowOff>
    </xdr:from>
    <xdr:to>
      <xdr:col>31</xdr:col>
      <xdr:colOff>63953</xdr:colOff>
      <xdr:row>202</xdr:row>
      <xdr:rowOff>144779</xdr:rowOff>
    </xdr:to>
    <xdr:sp macro="" textlink="">
      <xdr:nvSpPr>
        <xdr:cNvPr id="3179" name="직사각형 3178">
          <a:extLst>
            <a:ext uri="{FF2B5EF4-FFF2-40B4-BE49-F238E27FC236}">
              <a16:creationId xmlns:a16="http://schemas.microsoft.com/office/drawing/2014/main" id="{C4A24791-E45A-412C-BDDB-9D9E88AA2C4E}"/>
            </a:ext>
          </a:extLst>
        </xdr:cNvPr>
        <xdr:cNvSpPr/>
      </xdr:nvSpPr>
      <xdr:spPr>
        <a:xfrm>
          <a:off x="9025346" y="3094862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43271</xdr:colOff>
      <xdr:row>202</xdr:row>
      <xdr:rowOff>87629</xdr:rowOff>
    </xdr:from>
    <xdr:to>
      <xdr:col>31</xdr:col>
      <xdr:colOff>43271</xdr:colOff>
      <xdr:row>202</xdr:row>
      <xdr:rowOff>87629</xdr:rowOff>
    </xdr:to>
    <xdr:cxnSp macro="">
      <xdr:nvCxnSpPr>
        <xdr:cNvPr id="3180" name="직선 화살표 연결선 3179">
          <a:extLst>
            <a:ext uri="{FF2B5EF4-FFF2-40B4-BE49-F238E27FC236}">
              <a16:creationId xmlns:a16="http://schemas.microsoft.com/office/drawing/2014/main" id="{FBB18532-08C5-44EB-9321-58A45CC8C45B}"/>
            </a:ext>
          </a:extLst>
        </xdr:cNvPr>
        <xdr:cNvCxnSpPr/>
      </xdr:nvCxnSpPr>
      <xdr:spPr>
        <a:xfrm>
          <a:off x="9025346" y="31005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43271</xdr:colOff>
      <xdr:row>201</xdr:row>
      <xdr:rowOff>30479</xdr:rowOff>
    </xdr:from>
    <xdr:to>
      <xdr:col>31</xdr:col>
      <xdr:colOff>84637</xdr:colOff>
      <xdr:row>201</xdr:row>
      <xdr:rowOff>144779</xdr:rowOff>
    </xdr:to>
    <xdr:sp macro="" textlink="">
      <xdr:nvSpPr>
        <xdr:cNvPr id="3181" name="직사각형 3180">
          <a:extLst>
            <a:ext uri="{FF2B5EF4-FFF2-40B4-BE49-F238E27FC236}">
              <a16:creationId xmlns:a16="http://schemas.microsoft.com/office/drawing/2014/main" id="{7251B0EE-4972-404F-A00A-2AF7945008DE}"/>
            </a:ext>
          </a:extLst>
        </xdr:cNvPr>
        <xdr:cNvSpPr/>
      </xdr:nvSpPr>
      <xdr:spPr>
        <a:xfrm>
          <a:off x="9025346" y="30796229"/>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43271</xdr:colOff>
      <xdr:row>201</xdr:row>
      <xdr:rowOff>87629</xdr:rowOff>
    </xdr:from>
    <xdr:to>
      <xdr:col>31</xdr:col>
      <xdr:colOff>43271</xdr:colOff>
      <xdr:row>201</xdr:row>
      <xdr:rowOff>87629</xdr:rowOff>
    </xdr:to>
    <xdr:cxnSp macro="">
      <xdr:nvCxnSpPr>
        <xdr:cNvPr id="3182" name="직선 화살표 연결선 3181">
          <a:extLst>
            <a:ext uri="{FF2B5EF4-FFF2-40B4-BE49-F238E27FC236}">
              <a16:creationId xmlns:a16="http://schemas.microsoft.com/office/drawing/2014/main" id="{55A2514C-6095-4838-AE8C-DDC326AC53DE}"/>
            </a:ext>
          </a:extLst>
        </xdr:cNvPr>
        <xdr:cNvCxnSpPr/>
      </xdr:nvCxnSpPr>
      <xdr:spPr>
        <a:xfrm>
          <a:off x="9025346" y="30853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22588</xdr:colOff>
      <xdr:row>199</xdr:row>
      <xdr:rowOff>30479</xdr:rowOff>
    </xdr:from>
    <xdr:to>
      <xdr:col>31</xdr:col>
      <xdr:colOff>43271</xdr:colOff>
      <xdr:row>199</xdr:row>
      <xdr:rowOff>144779</xdr:rowOff>
    </xdr:to>
    <xdr:sp macro="" textlink="">
      <xdr:nvSpPr>
        <xdr:cNvPr id="3183" name="직사각형 3182">
          <a:extLst>
            <a:ext uri="{FF2B5EF4-FFF2-40B4-BE49-F238E27FC236}">
              <a16:creationId xmlns:a16="http://schemas.microsoft.com/office/drawing/2014/main" id="{761709CF-3161-47A6-B16F-B0B1F43CE0C2}"/>
            </a:ext>
          </a:extLst>
        </xdr:cNvPr>
        <xdr:cNvSpPr/>
      </xdr:nvSpPr>
      <xdr:spPr>
        <a:xfrm>
          <a:off x="9004663" y="30491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22588</xdr:colOff>
      <xdr:row>199</xdr:row>
      <xdr:rowOff>87629</xdr:rowOff>
    </xdr:from>
    <xdr:to>
      <xdr:col>31</xdr:col>
      <xdr:colOff>22588</xdr:colOff>
      <xdr:row>199</xdr:row>
      <xdr:rowOff>87629</xdr:rowOff>
    </xdr:to>
    <xdr:cxnSp macro="">
      <xdr:nvCxnSpPr>
        <xdr:cNvPr id="3184" name="직선 화살표 연결선 3183">
          <a:extLst>
            <a:ext uri="{FF2B5EF4-FFF2-40B4-BE49-F238E27FC236}">
              <a16:creationId xmlns:a16="http://schemas.microsoft.com/office/drawing/2014/main" id="{960F0526-4947-4023-ABE6-6FAAFD9BD22D}"/>
            </a:ext>
          </a:extLst>
        </xdr:cNvPr>
        <xdr:cNvCxnSpPr/>
      </xdr:nvCxnSpPr>
      <xdr:spPr>
        <a:xfrm>
          <a:off x="9004663" y="30548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22588</xdr:colOff>
      <xdr:row>198</xdr:row>
      <xdr:rowOff>30479</xdr:rowOff>
    </xdr:from>
    <xdr:to>
      <xdr:col>31</xdr:col>
      <xdr:colOff>43271</xdr:colOff>
      <xdr:row>198</xdr:row>
      <xdr:rowOff>144779</xdr:rowOff>
    </xdr:to>
    <xdr:sp macro="" textlink="">
      <xdr:nvSpPr>
        <xdr:cNvPr id="3185" name="직사각형 3184">
          <a:extLst>
            <a:ext uri="{FF2B5EF4-FFF2-40B4-BE49-F238E27FC236}">
              <a16:creationId xmlns:a16="http://schemas.microsoft.com/office/drawing/2014/main" id="{0FC503DD-1F5A-4966-B60C-8AA9FD8AB210}"/>
            </a:ext>
          </a:extLst>
        </xdr:cNvPr>
        <xdr:cNvSpPr/>
      </xdr:nvSpPr>
      <xdr:spPr>
        <a:xfrm>
          <a:off x="9004663" y="303390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22588</xdr:colOff>
      <xdr:row>198</xdr:row>
      <xdr:rowOff>87629</xdr:rowOff>
    </xdr:from>
    <xdr:to>
      <xdr:col>31</xdr:col>
      <xdr:colOff>22588</xdr:colOff>
      <xdr:row>198</xdr:row>
      <xdr:rowOff>87629</xdr:rowOff>
    </xdr:to>
    <xdr:cxnSp macro="">
      <xdr:nvCxnSpPr>
        <xdr:cNvPr id="3186" name="직선 화살표 연결선 3185">
          <a:extLst>
            <a:ext uri="{FF2B5EF4-FFF2-40B4-BE49-F238E27FC236}">
              <a16:creationId xmlns:a16="http://schemas.microsoft.com/office/drawing/2014/main" id="{187EB936-F98F-4662-BF6B-5D02B685F46C}"/>
            </a:ext>
          </a:extLst>
        </xdr:cNvPr>
        <xdr:cNvCxnSpPr/>
      </xdr:nvCxnSpPr>
      <xdr:spPr>
        <a:xfrm>
          <a:off x="9004663" y="30396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22588</xdr:colOff>
      <xdr:row>197</xdr:row>
      <xdr:rowOff>30479</xdr:rowOff>
    </xdr:from>
    <xdr:to>
      <xdr:col>31</xdr:col>
      <xdr:colOff>43271</xdr:colOff>
      <xdr:row>197</xdr:row>
      <xdr:rowOff>144779</xdr:rowOff>
    </xdr:to>
    <xdr:sp macro="" textlink="">
      <xdr:nvSpPr>
        <xdr:cNvPr id="3187" name="직사각형 3186">
          <a:extLst>
            <a:ext uri="{FF2B5EF4-FFF2-40B4-BE49-F238E27FC236}">
              <a16:creationId xmlns:a16="http://schemas.microsoft.com/office/drawing/2014/main" id="{91EFF867-410D-4FC7-8221-96449BF25468}"/>
            </a:ext>
          </a:extLst>
        </xdr:cNvPr>
        <xdr:cNvSpPr/>
      </xdr:nvSpPr>
      <xdr:spPr>
        <a:xfrm>
          <a:off x="9004663" y="30186629"/>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22588</xdr:colOff>
      <xdr:row>197</xdr:row>
      <xdr:rowOff>87629</xdr:rowOff>
    </xdr:from>
    <xdr:to>
      <xdr:col>31</xdr:col>
      <xdr:colOff>22588</xdr:colOff>
      <xdr:row>197</xdr:row>
      <xdr:rowOff>87629</xdr:rowOff>
    </xdr:to>
    <xdr:cxnSp macro="">
      <xdr:nvCxnSpPr>
        <xdr:cNvPr id="3188" name="직선 화살표 연결선 3187">
          <a:extLst>
            <a:ext uri="{FF2B5EF4-FFF2-40B4-BE49-F238E27FC236}">
              <a16:creationId xmlns:a16="http://schemas.microsoft.com/office/drawing/2014/main" id="{087B2397-7956-4B28-AAC2-194E0F5FF6E5}"/>
            </a:ext>
          </a:extLst>
        </xdr:cNvPr>
        <xdr:cNvCxnSpPr/>
      </xdr:nvCxnSpPr>
      <xdr:spPr>
        <a:xfrm>
          <a:off x="9004663" y="30243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xdr:colOff>
      <xdr:row>195</xdr:row>
      <xdr:rowOff>30479</xdr:rowOff>
    </xdr:from>
    <xdr:to>
      <xdr:col>31</xdr:col>
      <xdr:colOff>22588</xdr:colOff>
      <xdr:row>195</xdr:row>
      <xdr:rowOff>144779</xdr:rowOff>
    </xdr:to>
    <xdr:sp macro="" textlink="">
      <xdr:nvSpPr>
        <xdr:cNvPr id="3189" name="직사각형 3188">
          <a:extLst>
            <a:ext uri="{FF2B5EF4-FFF2-40B4-BE49-F238E27FC236}">
              <a16:creationId xmlns:a16="http://schemas.microsoft.com/office/drawing/2014/main" id="{36C874D2-5402-47E3-91AE-7B7DB3DEB1E7}"/>
            </a:ext>
          </a:extLst>
        </xdr:cNvPr>
        <xdr:cNvSpPr/>
      </xdr:nvSpPr>
      <xdr:spPr>
        <a:xfrm>
          <a:off x="8983980" y="298818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xdr:colOff>
      <xdr:row>195</xdr:row>
      <xdr:rowOff>87629</xdr:rowOff>
    </xdr:from>
    <xdr:to>
      <xdr:col>31</xdr:col>
      <xdr:colOff>1905</xdr:colOff>
      <xdr:row>195</xdr:row>
      <xdr:rowOff>87629</xdr:rowOff>
    </xdr:to>
    <xdr:cxnSp macro="">
      <xdr:nvCxnSpPr>
        <xdr:cNvPr id="3190" name="직선 화살표 연결선 3189">
          <a:extLst>
            <a:ext uri="{FF2B5EF4-FFF2-40B4-BE49-F238E27FC236}">
              <a16:creationId xmlns:a16="http://schemas.microsoft.com/office/drawing/2014/main" id="{82F6268C-8216-40CF-AB90-5E6AC58551C7}"/>
            </a:ext>
          </a:extLst>
        </xdr:cNvPr>
        <xdr:cNvCxnSpPr/>
      </xdr:nvCxnSpPr>
      <xdr:spPr>
        <a:xfrm>
          <a:off x="8983980" y="29938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xdr:colOff>
      <xdr:row>194</xdr:row>
      <xdr:rowOff>30479</xdr:rowOff>
    </xdr:from>
    <xdr:to>
      <xdr:col>31</xdr:col>
      <xdr:colOff>22588</xdr:colOff>
      <xdr:row>194</xdr:row>
      <xdr:rowOff>144779</xdr:rowOff>
    </xdr:to>
    <xdr:sp macro="" textlink="">
      <xdr:nvSpPr>
        <xdr:cNvPr id="3191" name="직사각형 3190">
          <a:extLst>
            <a:ext uri="{FF2B5EF4-FFF2-40B4-BE49-F238E27FC236}">
              <a16:creationId xmlns:a16="http://schemas.microsoft.com/office/drawing/2014/main" id="{0270F1F3-0DF4-4CDC-975F-07D5DD08E4E8}"/>
            </a:ext>
          </a:extLst>
        </xdr:cNvPr>
        <xdr:cNvSpPr/>
      </xdr:nvSpPr>
      <xdr:spPr>
        <a:xfrm>
          <a:off x="8983980" y="29729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xdr:colOff>
      <xdr:row>194</xdr:row>
      <xdr:rowOff>87629</xdr:rowOff>
    </xdr:from>
    <xdr:to>
      <xdr:col>31</xdr:col>
      <xdr:colOff>1905</xdr:colOff>
      <xdr:row>194</xdr:row>
      <xdr:rowOff>87629</xdr:rowOff>
    </xdr:to>
    <xdr:cxnSp macro="">
      <xdr:nvCxnSpPr>
        <xdr:cNvPr id="3192" name="직선 화살표 연결선 3191">
          <a:extLst>
            <a:ext uri="{FF2B5EF4-FFF2-40B4-BE49-F238E27FC236}">
              <a16:creationId xmlns:a16="http://schemas.microsoft.com/office/drawing/2014/main" id="{837A07B6-7366-4138-947B-F363D656B2FE}"/>
            </a:ext>
          </a:extLst>
        </xdr:cNvPr>
        <xdr:cNvCxnSpPr/>
      </xdr:nvCxnSpPr>
      <xdr:spPr>
        <a:xfrm>
          <a:off x="8983980" y="29786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xdr:colOff>
      <xdr:row>193</xdr:row>
      <xdr:rowOff>30479</xdr:rowOff>
    </xdr:from>
    <xdr:to>
      <xdr:col>31</xdr:col>
      <xdr:colOff>22588</xdr:colOff>
      <xdr:row>193</xdr:row>
      <xdr:rowOff>144779</xdr:rowOff>
    </xdr:to>
    <xdr:sp macro="" textlink="">
      <xdr:nvSpPr>
        <xdr:cNvPr id="3193" name="직사각형 3192">
          <a:extLst>
            <a:ext uri="{FF2B5EF4-FFF2-40B4-BE49-F238E27FC236}">
              <a16:creationId xmlns:a16="http://schemas.microsoft.com/office/drawing/2014/main" id="{97BDCA21-FE3F-4669-AA06-10414B5C2392}"/>
            </a:ext>
          </a:extLst>
        </xdr:cNvPr>
        <xdr:cNvSpPr/>
      </xdr:nvSpPr>
      <xdr:spPr>
        <a:xfrm>
          <a:off x="8983980" y="29577029"/>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xdr:colOff>
      <xdr:row>193</xdr:row>
      <xdr:rowOff>87629</xdr:rowOff>
    </xdr:from>
    <xdr:to>
      <xdr:col>31</xdr:col>
      <xdr:colOff>1905</xdr:colOff>
      <xdr:row>193</xdr:row>
      <xdr:rowOff>87629</xdr:rowOff>
    </xdr:to>
    <xdr:cxnSp macro="">
      <xdr:nvCxnSpPr>
        <xdr:cNvPr id="3194" name="직선 화살표 연결선 3193">
          <a:extLst>
            <a:ext uri="{FF2B5EF4-FFF2-40B4-BE49-F238E27FC236}">
              <a16:creationId xmlns:a16="http://schemas.microsoft.com/office/drawing/2014/main" id="{314E0F82-1EE1-4AF0-BFC4-56968C772011}"/>
            </a:ext>
          </a:extLst>
        </xdr:cNvPr>
        <xdr:cNvCxnSpPr/>
      </xdr:nvCxnSpPr>
      <xdr:spPr>
        <a:xfrm>
          <a:off x="8983980" y="29634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30208</xdr:colOff>
      <xdr:row>187</xdr:row>
      <xdr:rowOff>30479</xdr:rowOff>
    </xdr:from>
    <xdr:to>
      <xdr:col>35</xdr:col>
      <xdr:colOff>50891</xdr:colOff>
      <xdr:row>187</xdr:row>
      <xdr:rowOff>144779</xdr:rowOff>
    </xdr:to>
    <xdr:sp macro="" textlink="">
      <xdr:nvSpPr>
        <xdr:cNvPr id="3195" name="직사각형 3194">
          <a:extLst>
            <a:ext uri="{FF2B5EF4-FFF2-40B4-BE49-F238E27FC236}">
              <a16:creationId xmlns:a16="http://schemas.microsoft.com/office/drawing/2014/main" id="{F9E443DA-BEBD-47E3-947D-6E655237C89A}"/>
            </a:ext>
          </a:extLst>
        </xdr:cNvPr>
        <xdr:cNvSpPr/>
      </xdr:nvSpPr>
      <xdr:spPr>
        <a:xfrm>
          <a:off x="9583783" y="286626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30208</xdr:colOff>
      <xdr:row>187</xdr:row>
      <xdr:rowOff>87629</xdr:rowOff>
    </xdr:from>
    <xdr:to>
      <xdr:col>35</xdr:col>
      <xdr:colOff>30208</xdr:colOff>
      <xdr:row>187</xdr:row>
      <xdr:rowOff>87629</xdr:rowOff>
    </xdr:to>
    <xdr:cxnSp macro="">
      <xdr:nvCxnSpPr>
        <xdr:cNvPr id="3196" name="직선 화살표 연결선 3195">
          <a:extLst>
            <a:ext uri="{FF2B5EF4-FFF2-40B4-BE49-F238E27FC236}">
              <a16:creationId xmlns:a16="http://schemas.microsoft.com/office/drawing/2014/main" id="{445F1E7A-9431-43C1-9D8A-F1CFD8BDEECB}"/>
            </a:ext>
          </a:extLst>
        </xdr:cNvPr>
        <xdr:cNvCxnSpPr/>
      </xdr:nvCxnSpPr>
      <xdr:spPr>
        <a:xfrm>
          <a:off x="9583783" y="28719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186</xdr:row>
      <xdr:rowOff>30479</xdr:rowOff>
    </xdr:from>
    <xdr:to>
      <xdr:col>35</xdr:col>
      <xdr:colOff>30208</xdr:colOff>
      <xdr:row>186</xdr:row>
      <xdr:rowOff>144779</xdr:rowOff>
    </xdr:to>
    <xdr:sp macro="" textlink="">
      <xdr:nvSpPr>
        <xdr:cNvPr id="3197" name="직사각형 3196">
          <a:extLst>
            <a:ext uri="{FF2B5EF4-FFF2-40B4-BE49-F238E27FC236}">
              <a16:creationId xmlns:a16="http://schemas.microsoft.com/office/drawing/2014/main" id="{7AD13BB3-A650-426E-8AA8-30060145AEC8}"/>
            </a:ext>
          </a:extLst>
        </xdr:cNvPr>
        <xdr:cNvSpPr/>
      </xdr:nvSpPr>
      <xdr:spPr>
        <a:xfrm>
          <a:off x="9563100" y="285102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186</xdr:row>
      <xdr:rowOff>87629</xdr:rowOff>
    </xdr:from>
    <xdr:to>
      <xdr:col>35</xdr:col>
      <xdr:colOff>9525</xdr:colOff>
      <xdr:row>186</xdr:row>
      <xdr:rowOff>87629</xdr:rowOff>
    </xdr:to>
    <xdr:cxnSp macro="">
      <xdr:nvCxnSpPr>
        <xdr:cNvPr id="3198" name="직선 화살표 연결선 3197">
          <a:extLst>
            <a:ext uri="{FF2B5EF4-FFF2-40B4-BE49-F238E27FC236}">
              <a16:creationId xmlns:a16="http://schemas.microsoft.com/office/drawing/2014/main" id="{50BE083D-FE93-4564-A4B7-A7D0C79D7AE9}"/>
            </a:ext>
          </a:extLst>
        </xdr:cNvPr>
        <xdr:cNvCxnSpPr/>
      </xdr:nvCxnSpPr>
      <xdr:spPr>
        <a:xfrm>
          <a:off x="9563100" y="28567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185</xdr:row>
      <xdr:rowOff>30479</xdr:rowOff>
    </xdr:from>
    <xdr:to>
      <xdr:col>35</xdr:col>
      <xdr:colOff>50891</xdr:colOff>
      <xdr:row>185</xdr:row>
      <xdr:rowOff>144779</xdr:rowOff>
    </xdr:to>
    <xdr:sp macro="" textlink="">
      <xdr:nvSpPr>
        <xdr:cNvPr id="3199" name="직사각형 3198">
          <a:extLst>
            <a:ext uri="{FF2B5EF4-FFF2-40B4-BE49-F238E27FC236}">
              <a16:creationId xmlns:a16="http://schemas.microsoft.com/office/drawing/2014/main" id="{07AF55F9-D90A-4BE9-9A54-DB2585A6BA31}"/>
            </a:ext>
          </a:extLst>
        </xdr:cNvPr>
        <xdr:cNvSpPr/>
      </xdr:nvSpPr>
      <xdr:spPr>
        <a:xfrm>
          <a:off x="9563100" y="28357829"/>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185</xdr:row>
      <xdr:rowOff>87629</xdr:rowOff>
    </xdr:from>
    <xdr:to>
      <xdr:col>35</xdr:col>
      <xdr:colOff>9525</xdr:colOff>
      <xdr:row>185</xdr:row>
      <xdr:rowOff>87629</xdr:rowOff>
    </xdr:to>
    <xdr:cxnSp macro="">
      <xdr:nvCxnSpPr>
        <xdr:cNvPr id="3200" name="직선 화살표 연결선 3199">
          <a:extLst>
            <a:ext uri="{FF2B5EF4-FFF2-40B4-BE49-F238E27FC236}">
              <a16:creationId xmlns:a16="http://schemas.microsoft.com/office/drawing/2014/main" id="{2551F911-C523-4452-9AAC-245F9823AD57}"/>
            </a:ext>
          </a:extLst>
        </xdr:cNvPr>
        <xdr:cNvCxnSpPr/>
      </xdr:nvCxnSpPr>
      <xdr:spPr>
        <a:xfrm>
          <a:off x="9563100" y="28414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45176</xdr:colOff>
      <xdr:row>183</xdr:row>
      <xdr:rowOff>30479</xdr:rowOff>
    </xdr:from>
    <xdr:to>
      <xdr:col>32</xdr:col>
      <xdr:colOff>86541</xdr:colOff>
      <xdr:row>183</xdr:row>
      <xdr:rowOff>144779</xdr:rowOff>
    </xdr:to>
    <xdr:sp macro="" textlink="">
      <xdr:nvSpPr>
        <xdr:cNvPr id="3201" name="직사각형 3200">
          <a:extLst>
            <a:ext uri="{FF2B5EF4-FFF2-40B4-BE49-F238E27FC236}">
              <a16:creationId xmlns:a16="http://schemas.microsoft.com/office/drawing/2014/main" id="{EB53C3CC-A116-4704-9976-52D8949C7D20}"/>
            </a:ext>
          </a:extLst>
        </xdr:cNvPr>
        <xdr:cNvSpPr/>
      </xdr:nvSpPr>
      <xdr:spPr>
        <a:xfrm>
          <a:off x="9170126" y="2805302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45176</xdr:colOff>
      <xdr:row>183</xdr:row>
      <xdr:rowOff>87629</xdr:rowOff>
    </xdr:from>
    <xdr:to>
      <xdr:col>32</xdr:col>
      <xdr:colOff>45176</xdr:colOff>
      <xdr:row>183</xdr:row>
      <xdr:rowOff>87629</xdr:rowOff>
    </xdr:to>
    <xdr:cxnSp macro="">
      <xdr:nvCxnSpPr>
        <xdr:cNvPr id="3202" name="직선 화살표 연결선 3201">
          <a:extLst>
            <a:ext uri="{FF2B5EF4-FFF2-40B4-BE49-F238E27FC236}">
              <a16:creationId xmlns:a16="http://schemas.microsoft.com/office/drawing/2014/main" id="{0BBE1779-C67A-45C1-B007-3FB8FF3F4414}"/>
            </a:ext>
          </a:extLst>
        </xdr:cNvPr>
        <xdr:cNvCxnSpPr/>
      </xdr:nvCxnSpPr>
      <xdr:spPr>
        <a:xfrm>
          <a:off x="9170126" y="28110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xdr:colOff>
      <xdr:row>182</xdr:row>
      <xdr:rowOff>30479</xdr:rowOff>
    </xdr:from>
    <xdr:to>
      <xdr:col>32</xdr:col>
      <xdr:colOff>45176</xdr:colOff>
      <xdr:row>182</xdr:row>
      <xdr:rowOff>144779</xdr:rowOff>
    </xdr:to>
    <xdr:sp macro="" textlink="">
      <xdr:nvSpPr>
        <xdr:cNvPr id="3203" name="직사각형 3202">
          <a:extLst>
            <a:ext uri="{FF2B5EF4-FFF2-40B4-BE49-F238E27FC236}">
              <a16:creationId xmlns:a16="http://schemas.microsoft.com/office/drawing/2014/main" id="{A208F472-D013-4FBF-8E0D-AB026525A1B1}"/>
            </a:ext>
          </a:extLst>
        </xdr:cNvPr>
        <xdr:cNvSpPr/>
      </xdr:nvSpPr>
      <xdr:spPr>
        <a:xfrm>
          <a:off x="9128760" y="27900629"/>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xdr:colOff>
      <xdr:row>182</xdr:row>
      <xdr:rowOff>87629</xdr:rowOff>
    </xdr:from>
    <xdr:to>
      <xdr:col>32</xdr:col>
      <xdr:colOff>3810</xdr:colOff>
      <xdr:row>182</xdr:row>
      <xdr:rowOff>87629</xdr:rowOff>
    </xdr:to>
    <xdr:cxnSp macro="">
      <xdr:nvCxnSpPr>
        <xdr:cNvPr id="3204" name="직선 화살표 연결선 3203">
          <a:extLst>
            <a:ext uri="{FF2B5EF4-FFF2-40B4-BE49-F238E27FC236}">
              <a16:creationId xmlns:a16="http://schemas.microsoft.com/office/drawing/2014/main" id="{0C75DA94-70A6-4FAB-B0BC-1BC18F21CE4D}"/>
            </a:ext>
          </a:extLst>
        </xdr:cNvPr>
        <xdr:cNvCxnSpPr/>
      </xdr:nvCxnSpPr>
      <xdr:spPr>
        <a:xfrm>
          <a:off x="9128760" y="27957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xdr:colOff>
      <xdr:row>181</xdr:row>
      <xdr:rowOff>30479</xdr:rowOff>
    </xdr:from>
    <xdr:to>
      <xdr:col>32</xdr:col>
      <xdr:colOff>86541</xdr:colOff>
      <xdr:row>181</xdr:row>
      <xdr:rowOff>144779</xdr:rowOff>
    </xdr:to>
    <xdr:sp macro="" textlink="">
      <xdr:nvSpPr>
        <xdr:cNvPr id="3205" name="직사각형 3204">
          <a:extLst>
            <a:ext uri="{FF2B5EF4-FFF2-40B4-BE49-F238E27FC236}">
              <a16:creationId xmlns:a16="http://schemas.microsoft.com/office/drawing/2014/main" id="{DAC8D403-C9DC-4C98-B030-68851E991D8A}"/>
            </a:ext>
          </a:extLst>
        </xdr:cNvPr>
        <xdr:cNvSpPr/>
      </xdr:nvSpPr>
      <xdr:spPr>
        <a:xfrm>
          <a:off x="9128760" y="27748229"/>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xdr:colOff>
      <xdr:row>181</xdr:row>
      <xdr:rowOff>87629</xdr:rowOff>
    </xdr:from>
    <xdr:to>
      <xdr:col>32</xdr:col>
      <xdr:colOff>3810</xdr:colOff>
      <xdr:row>181</xdr:row>
      <xdr:rowOff>87629</xdr:rowOff>
    </xdr:to>
    <xdr:cxnSp macro="">
      <xdr:nvCxnSpPr>
        <xdr:cNvPr id="3206" name="직선 화살표 연결선 3205">
          <a:extLst>
            <a:ext uri="{FF2B5EF4-FFF2-40B4-BE49-F238E27FC236}">
              <a16:creationId xmlns:a16="http://schemas.microsoft.com/office/drawing/2014/main" id="{FE740AC6-B9D1-4552-8DC1-2AEA3A993EC5}"/>
            </a:ext>
          </a:extLst>
        </xdr:cNvPr>
        <xdr:cNvCxnSpPr/>
      </xdr:nvCxnSpPr>
      <xdr:spPr>
        <a:xfrm>
          <a:off x="9128760" y="27805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84637</xdr:colOff>
      <xdr:row>179</xdr:row>
      <xdr:rowOff>30479</xdr:rowOff>
    </xdr:from>
    <xdr:to>
      <xdr:col>32</xdr:col>
      <xdr:colOff>45176</xdr:colOff>
      <xdr:row>179</xdr:row>
      <xdr:rowOff>144779</xdr:rowOff>
    </xdr:to>
    <xdr:sp macro="" textlink="">
      <xdr:nvSpPr>
        <xdr:cNvPr id="3207" name="직사각형 3206">
          <a:extLst>
            <a:ext uri="{FF2B5EF4-FFF2-40B4-BE49-F238E27FC236}">
              <a16:creationId xmlns:a16="http://schemas.microsoft.com/office/drawing/2014/main" id="{C499B784-C640-4C1A-9BAD-A396AEDF004B}"/>
            </a:ext>
          </a:extLst>
        </xdr:cNvPr>
        <xdr:cNvSpPr/>
      </xdr:nvSpPr>
      <xdr:spPr>
        <a:xfrm>
          <a:off x="9066712" y="27443429"/>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84637</xdr:colOff>
      <xdr:row>179</xdr:row>
      <xdr:rowOff>87629</xdr:rowOff>
    </xdr:from>
    <xdr:to>
      <xdr:col>31</xdr:col>
      <xdr:colOff>84637</xdr:colOff>
      <xdr:row>179</xdr:row>
      <xdr:rowOff>87629</xdr:rowOff>
    </xdr:to>
    <xdr:cxnSp macro="">
      <xdr:nvCxnSpPr>
        <xdr:cNvPr id="3208" name="직선 화살표 연결선 3207">
          <a:extLst>
            <a:ext uri="{FF2B5EF4-FFF2-40B4-BE49-F238E27FC236}">
              <a16:creationId xmlns:a16="http://schemas.microsoft.com/office/drawing/2014/main" id="{DD3F2240-A471-4BD1-9C2D-DF3721C83097}"/>
            </a:ext>
          </a:extLst>
        </xdr:cNvPr>
        <xdr:cNvCxnSpPr/>
      </xdr:nvCxnSpPr>
      <xdr:spPr>
        <a:xfrm>
          <a:off x="9066712" y="27500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22588</xdr:colOff>
      <xdr:row>178</xdr:row>
      <xdr:rowOff>30479</xdr:rowOff>
    </xdr:from>
    <xdr:to>
      <xdr:col>31</xdr:col>
      <xdr:colOff>84637</xdr:colOff>
      <xdr:row>178</xdr:row>
      <xdr:rowOff>144779</xdr:rowOff>
    </xdr:to>
    <xdr:sp macro="" textlink="">
      <xdr:nvSpPr>
        <xdr:cNvPr id="3209" name="직사각형 3208">
          <a:extLst>
            <a:ext uri="{FF2B5EF4-FFF2-40B4-BE49-F238E27FC236}">
              <a16:creationId xmlns:a16="http://schemas.microsoft.com/office/drawing/2014/main" id="{100D8237-B3F7-4C70-BDF3-0EE21A125DE9}"/>
            </a:ext>
          </a:extLst>
        </xdr:cNvPr>
        <xdr:cNvSpPr/>
      </xdr:nvSpPr>
      <xdr:spPr>
        <a:xfrm>
          <a:off x="9004663" y="27291029"/>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22588</xdr:colOff>
      <xdr:row>178</xdr:row>
      <xdr:rowOff>87629</xdr:rowOff>
    </xdr:from>
    <xdr:to>
      <xdr:col>31</xdr:col>
      <xdr:colOff>22588</xdr:colOff>
      <xdr:row>178</xdr:row>
      <xdr:rowOff>87629</xdr:rowOff>
    </xdr:to>
    <xdr:cxnSp macro="">
      <xdr:nvCxnSpPr>
        <xdr:cNvPr id="3210" name="직선 화살표 연결선 3209">
          <a:extLst>
            <a:ext uri="{FF2B5EF4-FFF2-40B4-BE49-F238E27FC236}">
              <a16:creationId xmlns:a16="http://schemas.microsoft.com/office/drawing/2014/main" id="{9758B7CC-784C-49D2-865F-CBF2B6DE25EB}"/>
            </a:ext>
          </a:extLst>
        </xdr:cNvPr>
        <xdr:cNvCxnSpPr/>
      </xdr:nvCxnSpPr>
      <xdr:spPr>
        <a:xfrm>
          <a:off x="9004663" y="27348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22588</xdr:colOff>
      <xdr:row>177</xdr:row>
      <xdr:rowOff>30479</xdr:rowOff>
    </xdr:from>
    <xdr:to>
      <xdr:col>32</xdr:col>
      <xdr:colOff>45176</xdr:colOff>
      <xdr:row>177</xdr:row>
      <xdr:rowOff>144779</xdr:rowOff>
    </xdr:to>
    <xdr:sp macro="" textlink="">
      <xdr:nvSpPr>
        <xdr:cNvPr id="3211" name="직사각형 3210">
          <a:extLst>
            <a:ext uri="{FF2B5EF4-FFF2-40B4-BE49-F238E27FC236}">
              <a16:creationId xmlns:a16="http://schemas.microsoft.com/office/drawing/2014/main" id="{A7C5CA7C-D637-4B1B-BB12-8E1BB0A2A7F5}"/>
            </a:ext>
          </a:extLst>
        </xdr:cNvPr>
        <xdr:cNvSpPr/>
      </xdr:nvSpPr>
      <xdr:spPr>
        <a:xfrm>
          <a:off x="9004663" y="27138629"/>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22588</xdr:colOff>
      <xdr:row>177</xdr:row>
      <xdr:rowOff>87629</xdr:rowOff>
    </xdr:from>
    <xdr:to>
      <xdr:col>31</xdr:col>
      <xdr:colOff>22588</xdr:colOff>
      <xdr:row>177</xdr:row>
      <xdr:rowOff>87629</xdr:rowOff>
    </xdr:to>
    <xdr:cxnSp macro="">
      <xdr:nvCxnSpPr>
        <xdr:cNvPr id="3212" name="직선 화살표 연결선 3211">
          <a:extLst>
            <a:ext uri="{FF2B5EF4-FFF2-40B4-BE49-F238E27FC236}">
              <a16:creationId xmlns:a16="http://schemas.microsoft.com/office/drawing/2014/main" id="{95B6E39C-1EBD-4E1B-B5B9-7361834147F8}"/>
            </a:ext>
          </a:extLst>
        </xdr:cNvPr>
        <xdr:cNvCxnSpPr/>
      </xdr:nvCxnSpPr>
      <xdr:spPr>
        <a:xfrm>
          <a:off x="9004663" y="27195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xdr:colOff>
      <xdr:row>175</xdr:row>
      <xdr:rowOff>30479</xdr:rowOff>
    </xdr:from>
    <xdr:to>
      <xdr:col>32</xdr:col>
      <xdr:colOff>45176</xdr:colOff>
      <xdr:row>175</xdr:row>
      <xdr:rowOff>144779</xdr:rowOff>
    </xdr:to>
    <xdr:sp macro="" textlink="">
      <xdr:nvSpPr>
        <xdr:cNvPr id="3213" name="직사각형 3212">
          <a:extLst>
            <a:ext uri="{FF2B5EF4-FFF2-40B4-BE49-F238E27FC236}">
              <a16:creationId xmlns:a16="http://schemas.microsoft.com/office/drawing/2014/main" id="{75C51E21-403C-4C9A-A698-BFC40BAACC6A}"/>
            </a:ext>
          </a:extLst>
        </xdr:cNvPr>
        <xdr:cNvSpPr/>
      </xdr:nvSpPr>
      <xdr:spPr>
        <a:xfrm>
          <a:off x="9128760" y="26833829"/>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3810</xdr:colOff>
      <xdr:row>175</xdr:row>
      <xdr:rowOff>87629</xdr:rowOff>
    </xdr:from>
    <xdr:to>
      <xdr:col>32</xdr:col>
      <xdr:colOff>3810</xdr:colOff>
      <xdr:row>175</xdr:row>
      <xdr:rowOff>87629</xdr:rowOff>
    </xdr:to>
    <xdr:cxnSp macro="">
      <xdr:nvCxnSpPr>
        <xdr:cNvPr id="3214" name="직선 화살표 연결선 3213">
          <a:extLst>
            <a:ext uri="{FF2B5EF4-FFF2-40B4-BE49-F238E27FC236}">
              <a16:creationId xmlns:a16="http://schemas.microsoft.com/office/drawing/2014/main" id="{DBFD98F3-1046-4769-8B74-E20F7EAD1F76}"/>
            </a:ext>
          </a:extLst>
        </xdr:cNvPr>
        <xdr:cNvCxnSpPr/>
      </xdr:nvCxnSpPr>
      <xdr:spPr>
        <a:xfrm>
          <a:off x="9128760" y="26890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63953</xdr:colOff>
      <xdr:row>174</xdr:row>
      <xdr:rowOff>30479</xdr:rowOff>
    </xdr:from>
    <xdr:to>
      <xdr:col>31</xdr:col>
      <xdr:colOff>105319</xdr:colOff>
      <xdr:row>174</xdr:row>
      <xdr:rowOff>144779</xdr:rowOff>
    </xdr:to>
    <xdr:sp macro="" textlink="">
      <xdr:nvSpPr>
        <xdr:cNvPr id="3215" name="직사각형 3214">
          <a:extLst>
            <a:ext uri="{FF2B5EF4-FFF2-40B4-BE49-F238E27FC236}">
              <a16:creationId xmlns:a16="http://schemas.microsoft.com/office/drawing/2014/main" id="{F6803BEC-3C55-40E8-8AD8-C65D9796A225}"/>
            </a:ext>
          </a:extLst>
        </xdr:cNvPr>
        <xdr:cNvSpPr/>
      </xdr:nvSpPr>
      <xdr:spPr>
        <a:xfrm>
          <a:off x="9046028" y="26681429"/>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63953</xdr:colOff>
      <xdr:row>174</xdr:row>
      <xdr:rowOff>87629</xdr:rowOff>
    </xdr:from>
    <xdr:to>
      <xdr:col>31</xdr:col>
      <xdr:colOff>63953</xdr:colOff>
      <xdr:row>174</xdr:row>
      <xdr:rowOff>87629</xdr:rowOff>
    </xdr:to>
    <xdr:cxnSp macro="">
      <xdr:nvCxnSpPr>
        <xdr:cNvPr id="3216" name="직선 화살표 연결선 3215">
          <a:extLst>
            <a:ext uri="{FF2B5EF4-FFF2-40B4-BE49-F238E27FC236}">
              <a16:creationId xmlns:a16="http://schemas.microsoft.com/office/drawing/2014/main" id="{AA628DA1-F8D1-4048-BE85-4D231DDE8A90}"/>
            </a:ext>
          </a:extLst>
        </xdr:cNvPr>
        <xdr:cNvCxnSpPr/>
      </xdr:nvCxnSpPr>
      <xdr:spPr>
        <a:xfrm>
          <a:off x="9046028" y="26738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63953</xdr:colOff>
      <xdr:row>173</xdr:row>
      <xdr:rowOff>30479</xdr:rowOff>
    </xdr:from>
    <xdr:to>
      <xdr:col>32</xdr:col>
      <xdr:colOff>45176</xdr:colOff>
      <xdr:row>173</xdr:row>
      <xdr:rowOff>144779</xdr:rowOff>
    </xdr:to>
    <xdr:sp macro="" textlink="">
      <xdr:nvSpPr>
        <xdr:cNvPr id="3217" name="직사각형 3216">
          <a:extLst>
            <a:ext uri="{FF2B5EF4-FFF2-40B4-BE49-F238E27FC236}">
              <a16:creationId xmlns:a16="http://schemas.microsoft.com/office/drawing/2014/main" id="{34B6A515-C207-4533-B004-006AEB5A4677}"/>
            </a:ext>
          </a:extLst>
        </xdr:cNvPr>
        <xdr:cNvSpPr/>
      </xdr:nvSpPr>
      <xdr:spPr>
        <a:xfrm>
          <a:off x="9046028" y="26529029"/>
          <a:ext cx="124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63953</xdr:colOff>
      <xdr:row>173</xdr:row>
      <xdr:rowOff>87629</xdr:rowOff>
    </xdr:from>
    <xdr:to>
      <xdr:col>31</xdr:col>
      <xdr:colOff>63953</xdr:colOff>
      <xdr:row>173</xdr:row>
      <xdr:rowOff>87629</xdr:rowOff>
    </xdr:to>
    <xdr:cxnSp macro="">
      <xdr:nvCxnSpPr>
        <xdr:cNvPr id="3218" name="직선 화살표 연결선 3217">
          <a:extLst>
            <a:ext uri="{FF2B5EF4-FFF2-40B4-BE49-F238E27FC236}">
              <a16:creationId xmlns:a16="http://schemas.microsoft.com/office/drawing/2014/main" id="{F0F928F9-35D0-4943-A17E-6C02953B105D}"/>
            </a:ext>
          </a:extLst>
        </xdr:cNvPr>
        <xdr:cNvCxnSpPr/>
      </xdr:nvCxnSpPr>
      <xdr:spPr>
        <a:xfrm>
          <a:off x="9046028" y="26586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171</xdr:row>
      <xdr:rowOff>30479</xdr:rowOff>
    </xdr:from>
    <xdr:to>
      <xdr:col>29</xdr:col>
      <xdr:colOff>80826</xdr:colOff>
      <xdr:row>171</xdr:row>
      <xdr:rowOff>144779</xdr:rowOff>
    </xdr:to>
    <xdr:sp macro="" textlink="">
      <xdr:nvSpPr>
        <xdr:cNvPr id="3219" name="직사각형 3218">
          <a:extLst>
            <a:ext uri="{FF2B5EF4-FFF2-40B4-BE49-F238E27FC236}">
              <a16:creationId xmlns:a16="http://schemas.microsoft.com/office/drawing/2014/main" id="{206CED25-6204-4A7C-9A94-E019CB4ED5BF}"/>
            </a:ext>
          </a:extLst>
        </xdr:cNvPr>
        <xdr:cNvSpPr/>
      </xdr:nvSpPr>
      <xdr:spPr>
        <a:xfrm>
          <a:off x="8756469" y="2622422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171</xdr:row>
      <xdr:rowOff>87629</xdr:rowOff>
    </xdr:from>
    <xdr:to>
      <xdr:col>29</xdr:col>
      <xdr:colOff>60144</xdr:colOff>
      <xdr:row>171</xdr:row>
      <xdr:rowOff>87629</xdr:rowOff>
    </xdr:to>
    <xdr:cxnSp macro="">
      <xdr:nvCxnSpPr>
        <xdr:cNvPr id="3220" name="직선 화살표 연결선 3219">
          <a:extLst>
            <a:ext uri="{FF2B5EF4-FFF2-40B4-BE49-F238E27FC236}">
              <a16:creationId xmlns:a16="http://schemas.microsoft.com/office/drawing/2014/main" id="{B9CB76BB-9C6D-4B4E-81F1-987420DAD482}"/>
            </a:ext>
          </a:extLst>
        </xdr:cNvPr>
        <xdr:cNvCxnSpPr/>
      </xdr:nvCxnSpPr>
      <xdr:spPr>
        <a:xfrm>
          <a:off x="8756469" y="26281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39460</xdr:colOff>
      <xdr:row>170</xdr:row>
      <xdr:rowOff>30479</xdr:rowOff>
    </xdr:from>
    <xdr:to>
      <xdr:col>29</xdr:col>
      <xdr:colOff>60144</xdr:colOff>
      <xdr:row>170</xdr:row>
      <xdr:rowOff>144779</xdr:rowOff>
    </xdr:to>
    <xdr:sp macro="" textlink="">
      <xdr:nvSpPr>
        <xdr:cNvPr id="3221" name="직사각형 3220">
          <a:extLst>
            <a:ext uri="{FF2B5EF4-FFF2-40B4-BE49-F238E27FC236}">
              <a16:creationId xmlns:a16="http://schemas.microsoft.com/office/drawing/2014/main" id="{B6395516-9E5E-444A-A92B-AB690A53CA1B}"/>
            </a:ext>
          </a:extLst>
        </xdr:cNvPr>
        <xdr:cNvSpPr/>
      </xdr:nvSpPr>
      <xdr:spPr>
        <a:xfrm>
          <a:off x="8735785" y="26071829"/>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39460</xdr:colOff>
      <xdr:row>170</xdr:row>
      <xdr:rowOff>87629</xdr:rowOff>
    </xdr:from>
    <xdr:to>
      <xdr:col>29</xdr:col>
      <xdr:colOff>39460</xdr:colOff>
      <xdr:row>170</xdr:row>
      <xdr:rowOff>87629</xdr:rowOff>
    </xdr:to>
    <xdr:cxnSp macro="">
      <xdr:nvCxnSpPr>
        <xdr:cNvPr id="3222" name="직선 화살표 연결선 3221">
          <a:extLst>
            <a:ext uri="{FF2B5EF4-FFF2-40B4-BE49-F238E27FC236}">
              <a16:creationId xmlns:a16="http://schemas.microsoft.com/office/drawing/2014/main" id="{1FD59779-0D06-4CCD-BBD6-5B1557FB3D71}"/>
            </a:ext>
          </a:extLst>
        </xdr:cNvPr>
        <xdr:cNvCxnSpPr/>
      </xdr:nvCxnSpPr>
      <xdr:spPr>
        <a:xfrm>
          <a:off x="8735785" y="26128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39460</xdr:colOff>
      <xdr:row>169</xdr:row>
      <xdr:rowOff>30480</xdr:rowOff>
    </xdr:from>
    <xdr:to>
      <xdr:col>29</xdr:col>
      <xdr:colOff>80826</xdr:colOff>
      <xdr:row>169</xdr:row>
      <xdr:rowOff>144779</xdr:rowOff>
    </xdr:to>
    <xdr:sp macro="" textlink="">
      <xdr:nvSpPr>
        <xdr:cNvPr id="3223" name="직사각형 3222">
          <a:extLst>
            <a:ext uri="{FF2B5EF4-FFF2-40B4-BE49-F238E27FC236}">
              <a16:creationId xmlns:a16="http://schemas.microsoft.com/office/drawing/2014/main" id="{E47160B5-7CE0-4844-ACAB-F335A7154BF9}"/>
            </a:ext>
          </a:extLst>
        </xdr:cNvPr>
        <xdr:cNvSpPr/>
      </xdr:nvSpPr>
      <xdr:spPr>
        <a:xfrm>
          <a:off x="8735785" y="25919430"/>
          <a:ext cx="41366" cy="114299"/>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39460</xdr:colOff>
      <xdr:row>169</xdr:row>
      <xdr:rowOff>87630</xdr:rowOff>
    </xdr:from>
    <xdr:to>
      <xdr:col>29</xdr:col>
      <xdr:colOff>39460</xdr:colOff>
      <xdr:row>169</xdr:row>
      <xdr:rowOff>87630</xdr:rowOff>
    </xdr:to>
    <xdr:cxnSp macro="">
      <xdr:nvCxnSpPr>
        <xdr:cNvPr id="3224" name="직선 화살표 연결선 3223">
          <a:extLst>
            <a:ext uri="{FF2B5EF4-FFF2-40B4-BE49-F238E27FC236}">
              <a16:creationId xmlns:a16="http://schemas.microsoft.com/office/drawing/2014/main" id="{3FCCFCA4-6C0A-42DF-8BC6-5AAE30A60658}"/>
            </a:ext>
          </a:extLst>
        </xdr:cNvPr>
        <xdr:cNvCxnSpPr/>
      </xdr:nvCxnSpPr>
      <xdr:spPr>
        <a:xfrm>
          <a:off x="8735785" y="2597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39460</xdr:colOff>
      <xdr:row>168</xdr:row>
      <xdr:rowOff>30480</xdr:rowOff>
    </xdr:from>
    <xdr:to>
      <xdr:col>35</xdr:col>
      <xdr:colOff>50891</xdr:colOff>
      <xdr:row>168</xdr:row>
      <xdr:rowOff>144780</xdr:rowOff>
    </xdr:to>
    <xdr:sp macro="" textlink="">
      <xdr:nvSpPr>
        <xdr:cNvPr id="3225" name="직사각형 3224">
          <a:extLst>
            <a:ext uri="{FF2B5EF4-FFF2-40B4-BE49-F238E27FC236}">
              <a16:creationId xmlns:a16="http://schemas.microsoft.com/office/drawing/2014/main" id="{6AF19768-C0E8-4D1D-B13F-589252DA9F2F}"/>
            </a:ext>
          </a:extLst>
        </xdr:cNvPr>
        <xdr:cNvSpPr/>
      </xdr:nvSpPr>
      <xdr:spPr>
        <a:xfrm>
          <a:off x="8735785" y="25767030"/>
          <a:ext cx="868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39460</xdr:colOff>
      <xdr:row>168</xdr:row>
      <xdr:rowOff>87630</xdr:rowOff>
    </xdr:from>
    <xdr:to>
      <xdr:col>29</xdr:col>
      <xdr:colOff>39460</xdr:colOff>
      <xdr:row>168</xdr:row>
      <xdr:rowOff>87630</xdr:rowOff>
    </xdr:to>
    <xdr:cxnSp macro="">
      <xdr:nvCxnSpPr>
        <xdr:cNvPr id="3226" name="직선 화살표 연결선 3225">
          <a:extLst>
            <a:ext uri="{FF2B5EF4-FFF2-40B4-BE49-F238E27FC236}">
              <a16:creationId xmlns:a16="http://schemas.microsoft.com/office/drawing/2014/main" id="{5A102BC9-4A06-49A8-90FC-AF1E1976BEF6}"/>
            </a:ext>
          </a:extLst>
        </xdr:cNvPr>
        <xdr:cNvCxnSpPr/>
      </xdr:nvCxnSpPr>
      <xdr:spPr>
        <a:xfrm>
          <a:off x="8735785" y="2582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164</xdr:row>
      <xdr:rowOff>30480</xdr:rowOff>
    </xdr:from>
    <xdr:to>
      <xdr:col>29</xdr:col>
      <xdr:colOff>101509</xdr:colOff>
      <xdr:row>164</xdr:row>
      <xdr:rowOff>144780</xdr:rowOff>
    </xdr:to>
    <xdr:sp macro="" textlink="">
      <xdr:nvSpPr>
        <xdr:cNvPr id="3227" name="직사각형 3226">
          <a:extLst>
            <a:ext uri="{FF2B5EF4-FFF2-40B4-BE49-F238E27FC236}">
              <a16:creationId xmlns:a16="http://schemas.microsoft.com/office/drawing/2014/main" id="{47BB4CC7-C5CD-4A21-BDD4-DF66A0C37C88}"/>
            </a:ext>
          </a:extLst>
        </xdr:cNvPr>
        <xdr:cNvSpPr/>
      </xdr:nvSpPr>
      <xdr:spPr>
        <a:xfrm>
          <a:off x="8756469" y="25157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164</xdr:row>
      <xdr:rowOff>87630</xdr:rowOff>
    </xdr:from>
    <xdr:to>
      <xdr:col>29</xdr:col>
      <xdr:colOff>60144</xdr:colOff>
      <xdr:row>164</xdr:row>
      <xdr:rowOff>87630</xdr:rowOff>
    </xdr:to>
    <xdr:cxnSp macro="">
      <xdr:nvCxnSpPr>
        <xdr:cNvPr id="3228" name="직선 화살표 연결선 3227">
          <a:extLst>
            <a:ext uri="{FF2B5EF4-FFF2-40B4-BE49-F238E27FC236}">
              <a16:creationId xmlns:a16="http://schemas.microsoft.com/office/drawing/2014/main" id="{42A69075-1008-4DB2-8B2A-48C3CF1F5637}"/>
            </a:ext>
          </a:extLst>
        </xdr:cNvPr>
        <xdr:cNvCxnSpPr/>
      </xdr:nvCxnSpPr>
      <xdr:spPr>
        <a:xfrm>
          <a:off x="8756469" y="2521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160</xdr:row>
      <xdr:rowOff>30480</xdr:rowOff>
    </xdr:from>
    <xdr:to>
      <xdr:col>29</xdr:col>
      <xdr:colOff>101509</xdr:colOff>
      <xdr:row>160</xdr:row>
      <xdr:rowOff>144780</xdr:rowOff>
    </xdr:to>
    <xdr:sp macro="" textlink="">
      <xdr:nvSpPr>
        <xdr:cNvPr id="3229" name="직사각형 3228">
          <a:extLst>
            <a:ext uri="{FF2B5EF4-FFF2-40B4-BE49-F238E27FC236}">
              <a16:creationId xmlns:a16="http://schemas.microsoft.com/office/drawing/2014/main" id="{BF357A14-C500-4D60-8A3C-81C2A816C109}"/>
            </a:ext>
          </a:extLst>
        </xdr:cNvPr>
        <xdr:cNvSpPr/>
      </xdr:nvSpPr>
      <xdr:spPr>
        <a:xfrm>
          <a:off x="8756469" y="245478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160</xdr:row>
      <xdr:rowOff>87630</xdr:rowOff>
    </xdr:from>
    <xdr:to>
      <xdr:col>29</xdr:col>
      <xdr:colOff>60144</xdr:colOff>
      <xdr:row>160</xdr:row>
      <xdr:rowOff>87630</xdr:rowOff>
    </xdr:to>
    <xdr:cxnSp macro="">
      <xdr:nvCxnSpPr>
        <xdr:cNvPr id="3230" name="직선 화살표 연결선 3229">
          <a:extLst>
            <a:ext uri="{FF2B5EF4-FFF2-40B4-BE49-F238E27FC236}">
              <a16:creationId xmlns:a16="http://schemas.microsoft.com/office/drawing/2014/main" id="{80622F24-2326-4FBE-8BB0-3E1A0D32642A}"/>
            </a:ext>
          </a:extLst>
        </xdr:cNvPr>
        <xdr:cNvCxnSpPr/>
      </xdr:nvCxnSpPr>
      <xdr:spPr>
        <a:xfrm>
          <a:off x="8756469" y="2460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78922</xdr:colOff>
      <xdr:row>158</xdr:row>
      <xdr:rowOff>30480</xdr:rowOff>
    </xdr:from>
    <xdr:to>
      <xdr:col>29</xdr:col>
      <xdr:colOff>60144</xdr:colOff>
      <xdr:row>158</xdr:row>
      <xdr:rowOff>144780</xdr:rowOff>
    </xdr:to>
    <xdr:sp macro="" textlink="">
      <xdr:nvSpPr>
        <xdr:cNvPr id="3231" name="직사각형 3230">
          <a:extLst>
            <a:ext uri="{FF2B5EF4-FFF2-40B4-BE49-F238E27FC236}">
              <a16:creationId xmlns:a16="http://schemas.microsoft.com/office/drawing/2014/main" id="{79E802A5-8231-4662-8BEB-2F6A9C1EDF50}"/>
            </a:ext>
          </a:extLst>
        </xdr:cNvPr>
        <xdr:cNvSpPr/>
      </xdr:nvSpPr>
      <xdr:spPr>
        <a:xfrm>
          <a:off x="8632372" y="242430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78922</xdr:colOff>
      <xdr:row>158</xdr:row>
      <xdr:rowOff>87630</xdr:rowOff>
    </xdr:from>
    <xdr:to>
      <xdr:col>28</xdr:col>
      <xdr:colOff>78922</xdr:colOff>
      <xdr:row>158</xdr:row>
      <xdr:rowOff>87630</xdr:rowOff>
    </xdr:to>
    <xdr:cxnSp macro="">
      <xdr:nvCxnSpPr>
        <xdr:cNvPr id="3232" name="직선 화살표 연결선 3231">
          <a:extLst>
            <a:ext uri="{FF2B5EF4-FFF2-40B4-BE49-F238E27FC236}">
              <a16:creationId xmlns:a16="http://schemas.microsoft.com/office/drawing/2014/main" id="{CB5CAF87-4CA0-4534-BE14-13A0CE94D3EF}"/>
            </a:ext>
          </a:extLst>
        </xdr:cNvPr>
        <xdr:cNvCxnSpPr/>
      </xdr:nvCxnSpPr>
      <xdr:spPr>
        <a:xfrm>
          <a:off x="8632372" y="2430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78922</xdr:colOff>
      <xdr:row>154</xdr:row>
      <xdr:rowOff>30480</xdr:rowOff>
    </xdr:from>
    <xdr:to>
      <xdr:col>29</xdr:col>
      <xdr:colOff>60144</xdr:colOff>
      <xdr:row>154</xdr:row>
      <xdr:rowOff>144780</xdr:rowOff>
    </xdr:to>
    <xdr:sp macro="" textlink="">
      <xdr:nvSpPr>
        <xdr:cNvPr id="3233" name="직사각형 3232">
          <a:extLst>
            <a:ext uri="{FF2B5EF4-FFF2-40B4-BE49-F238E27FC236}">
              <a16:creationId xmlns:a16="http://schemas.microsoft.com/office/drawing/2014/main" id="{F870C8BD-DF01-4F3C-8562-D79B385DD303}"/>
            </a:ext>
          </a:extLst>
        </xdr:cNvPr>
        <xdr:cNvSpPr/>
      </xdr:nvSpPr>
      <xdr:spPr>
        <a:xfrm>
          <a:off x="8632372" y="236334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78922</xdr:colOff>
      <xdr:row>154</xdr:row>
      <xdr:rowOff>87630</xdr:rowOff>
    </xdr:from>
    <xdr:to>
      <xdr:col>28</xdr:col>
      <xdr:colOff>78922</xdr:colOff>
      <xdr:row>154</xdr:row>
      <xdr:rowOff>87630</xdr:rowOff>
    </xdr:to>
    <xdr:cxnSp macro="">
      <xdr:nvCxnSpPr>
        <xdr:cNvPr id="3234" name="직선 화살표 연결선 3233">
          <a:extLst>
            <a:ext uri="{FF2B5EF4-FFF2-40B4-BE49-F238E27FC236}">
              <a16:creationId xmlns:a16="http://schemas.microsoft.com/office/drawing/2014/main" id="{FA4FC656-029D-43FE-8D99-ABF349BF582D}"/>
            </a:ext>
          </a:extLst>
        </xdr:cNvPr>
        <xdr:cNvCxnSpPr/>
      </xdr:nvCxnSpPr>
      <xdr:spPr>
        <a:xfrm>
          <a:off x="8632372" y="2369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82731</xdr:colOff>
      <xdr:row>152</xdr:row>
      <xdr:rowOff>30480</xdr:rowOff>
    </xdr:from>
    <xdr:to>
      <xdr:col>30</xdr:col>
      <xdr:colOff>103415</xdr:colOff>
      <xdr:row>152</xdr:row>
      <xdr:rowOff>144780</xdr:rowOff>
    </xdr:to>
    <xdr:sp macro="" textlink="">
      <xdr:nvSpPr>
        <xdr:cNvPr id="3235" name="직사각형 3234">
          <a:extLst>
            <a:ext uri="{FF2B5EF4-FFF2-40B4-BE49-F238E27FC236}">
              <a16:creationId xmlns:a16="http://schemas.microsoft.com/office/drawing/2014/main" id="{3E265720-20D4-475A-9B1E-F77F86FA7C73}"/>
            </a:ext>
          </a:extLst>
        </xdr:cNvPr>
        <xdr:cNvSpPr/>
      </xdr:nvSpPr>
      <xdr:spPr>
        <a:xfrm>
          <a:off x="8921931" y="23328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82731</xdr:colOff>
      <xdr:row>152</xdr:row>
      <xdr:rowOff>87630</xdr:rowOff>
    </xdr:from>
    <xdr:to>
      <xdr:col>30</xdr:col>
      <xdr:colOff>82731</xdr:colOff>
      <xdr:row>152</xdr:row>
      <xdr:rowOff>87630</xdr:rowOff>
    </xdr:to>
    <xdr:cxnSp macro="">
      <xdr:nvCxnSpPr>
        <xdr:cNvPr id="3236" name="직선 화살표 연결선 3235">
          <a:extLst>
            <a:ext uri="{FF2B5EF4-FFF2-40B4-BE49-F238E27FC236}">
              <a16:creationId xmlns:a16="http://schemas.microsoft.com/office/drawing/2014/main" id="{F8A9E23F-9F9B-43FC-A239-0FA9033DE4FC}"/>
            </a:ext>
          </a:extLst>
        </xdr:cNvPr>
        <xdr:cNvCxnSpPr/>
      </xdr:nvCxnSpPr>
      <xdr:spPr>
        <a:xfrm>
          <a:off x="8921931" y="2338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151</xdr:row>
      <xdr:rowOff>30480</xdr:rowOff>
    </xdr:from>
    <xdr:to>
      <xdr:col>30</xdr:col>
      <xdr:colOff>103415</xdr:colOff>
      <xdr:row>151</xdr:row>
      <xdr:rowOff>144780</xdr:rowOff>
    </xdr:to>
    <xdr:sp macro="" textlink="">
      <xdr:nvSpPr>
        <xdr:cNvPr id="3237" name="직사각형 3236">
          <a:extLst>
            <a:ext uri="{FF2B5EF4-FFF2-40B4-BE49-F238E27FC236}">
              <a16:creationId xmlns:a16="http://schemas.microsoft.com/office/drawing/2014/main" id="{3E78661F-5FA8-4F12-857D-8C637410B943}"/>
            </a:ext>
          </a:extLst>
        </xdr:cNvPr>
        <xdr:cNvSpPr/>
      </xdr:nvSpPr>
      <xdr:spPr>
        <a:xfrm>
          <a:off x="8901249" y="23176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151</xdr:row>
      <xdr:rowOff>87630</xdr:rowOff>
    </xdr:from>
    <xdr:to>
      <xdr:col>30</xdr:col>
      <xdr:colOff>62049</xdr:colOff>
      <xdr:row>151</xdr:row>
      <xdr:rowOff>87630</xdr:rowOff>
    </xdr:to>
    <xdr:cxnSp macro="">
      <xdr:nvCxnSpPr>
        <xdr:cNvPr id="3238" name="직선 화살표 연결선 3237">
          <a:extLst>
            <a:ext uri="{FF2B5EF4-FFF2-40B4-BE49-F238E27FC236}">
              <a16:creationId xmlns:a16="http://schemas.microsoft.com/office/drawing/2014/main" id="{F0CC506A-A595-4A51-B61F-BB1A22EC975F}"/>
            </a:ext>
          </a:extLst>
        </xdr:cNvPr>
        <xdr:cNvCxnSpPr/>
      </xdr:nvCxnSpPr>
      <xdr:spPr>
        <a:xfrm>
          <a:off x="8901249" y="2323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148</xdr:row>
      <xdr:rowOff>30480</xdr:rowOff>
    </xdr:from>
    <xdr:to>
      <xdr:col>30</xdr:col>
      <xdr:colOff>103415</xdr:colOff>
      <xdr:row>148</xdr:row>
      <xdr:rowOff>144780</xdr:rowOff>
    </xdr:to>
    <xdr:sp macro="" textlink="">
      <xdr:nvSpPr>
        <xdr:cNvPr id="3239" name="직사각형 3238">
          <a:extLst>
            <a:ext uri="{FF2B5EF4-FFF2-40B4-BE49-F238E27FC236}">
              <a16:creationId xmlns:a16="http://schemas.microsoft.com/office/drawing/2014/main" id="{026FE82A-BE1F-46E1-AE69-11CD8A4A24A0}"/>
            </a:ext>
          </a:extLst>
        </xdr:cNvPr>
        <xdr:cNvSpPr/>
      </xdr:nvSpPr>
      <xdr:spPr>
        <a:xfrm>
          <a:off x="8901249" y="227190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148</xdr:row>
      <xdr:rowOff>87630</xdr:rowOff>
    </xdr:from>
    <xdr:to>
      <xdr:col>30</xdr:col>
      <xdr:colOff>62049</xdr:colOff>
      <xdr:row>148</xdr:row>
      <xdr:rowOff>87630</xdr:rowOff>
    </xdr:to>
    <xdr:cxnSp macro="">
      <xdr:nvCxnSpPr>
        <xdr:cNvPr id="3240" name="직선 화살표 연결선 3239">
          <a:extLst>
            <a:ext uri="{FF2B5EF4-FFF2-40B4-BE49-F238E27FC236}">
              <a16:creationId xmlns:a16="http://schemas.microsoft.com/office/drawing/2014/main" id="{E028C106-DAF1-4725-9B80-19676A8A4BC2}"/>
            </a:ext>
          </a:extLst>
        </xdr:cNvPr>
        <xdr:cNvCxnSpPr/>
      </xdr:nvCxnSpPr>
      <xdr:spPr>
        <a:xfrm>
          <a:off x="8901249" y="2277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146</xdr:row>
      <xdr:rowOff>30480</xdr:rowOff>
    </xdr:from>
    <xdr:to>
      <xdr:col>30</xdr:col>
      <xdr:colOff>62049</xdr:colOff>
      <xdr:row>146</xdr:row>
      <xdr:rowOff>144780</xdr:rowOff>
    </xdr:to>
    <xdr:sp macro="" textlink="">
      <xdr:nvSpPr>
        <xdr:cNvPr id="3241" name="직사각형 3240">
          <a:extLst>
            <a:ext uri="{FF2B5EF4-FFF2-40B4-BE49-F238E27FC236}">
              <a16:creationId xmlns:a16="http://schemas.microsoft.com/office/drawing/2014/main" id="{BE2F198A-0E14-4159-9E86-A5B2FE1E784A}"/>
            </a:ext>
          </a:extLst>
        </xdr:cNvPr>
        <xdr:cNvSpPr/>
      </xdr:nvSpPr>
      <xdr:spPr>
        <a:xfrm>
          <a:off x="8859883" y="22414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146</xdr:row>
      <xdr:rowOff>87630</xdr:rowOff>
    </xdr:from>
    <xdr:to>
      <xdr:col>30</xdr:col>
      <xdr:colOff>20683</xdr:colOff>
      <xdr:row>146</xdr:row>
      <xdr:rowOff>87630</xdr:rowOff>
    </xdr:to>
    <xdr:cxnSp macro="">
      <xdr:nvCxnSpPr>
        <xdr:cNvPr id="3242" name="직선 화살표 연결선 3241">
          <a:extLst>
            <a:ext uri="{FF2B5EF4-FFF2-40B4-BE49-F238E27FC236}">
              <a16:creationId xmlns:a16="http://schemas.microsoft.com/office/drawing/2014/main" id="{2D95FD95-8E28-4D2A-BE4D-2BA33EBB6C67}"/>
            </a:ext>
          </a:extLst>
        </xdr:cNvPr>
        <xdr:cNvCxnSpPr/>
      </xdr:nvCxnSpPr>
      <xdr:spPr>
        <a:xfrm>
          <a:off x="8859883" y="2247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145</xdr:row>
      <xdr:rowOff>30480</xdr:rowOff>
    </xdr:from>
    <xdr:to>
      <xdr:col>30</xdr:col>
      <xdr:colOff>62049</xdr:colOff>
      <xdr:row>145</xdr:row>
      <xdr:rowOff>144780</xdr:rowOff>
    </xdr:to>
    <xdr:sp macro="" textlink="">
      <xdr:nvSpPr>
        <xdr:cNvPr id="3243" name="직사각형 3242">
          <a:extLst>
            <a:ext uri="{FF2B5EF4-FFF2-40B4-BE49-F238E27FC236}">
              <a16:creationId xmlns:a16="http://schemas.microsoft.com/office/drawing/2014/main" id="{79AFD331-9F05-4801-9F9D-AD5D49996FA1}"/>
            </a:ext>
          </a:extLst>
        </xdr:cNvPr>
        <xdr:cNvSpPr/>
      </xdr:nvSpPr>
      <xdr:spPr>
        <a:xfrm>
          <a:off x="8859883" y="22261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145</xdr:row>
      <xdr:rowOff>87630</xdr:rowOff>
    </xdr:from>
    <xdr:to>
      <xdr:col>30</xdr:col>
      <xdr:colOff>20683</xdr:colOff>
      <xdr:row>145</xdr:row>
      <xdr:rowOff>87630</xdr:rowOff>
    </xdr:to>
    <xdr:cxnSp macro="">
      <xdr:nvCxnSpPr>
        <xdr:cNvPr id="3244" name="직선 화살표 연결선 3243">
          <a:extLst>
            <a:ext uri="{FF2B5EF4-FFF2-40B4-BE49-F238E27FC236}">
              <a16:creationId xmlns:a16="http://schemas.microsoft.com/office/drawing/2014/main" id="{6519D461-C509-47A6-BC89-B9C6B21C732D}"/>
            </a:ext>
          </a:extLst>
        </xdr:cNvPr>
        <xdr:cNvCxnSpPr/>
      </xdr:nvCxnSpPr>
      <xdr:spPr>
        <a:xfrm>
          <a:off x="8859883" y="2231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142</xdr:row>
      <xdr:rowOff>30480</xdr:rowOff>
    </xdr:from>
    <xdr:to>
      <xdr:col>30</xdr:col>
      <xdr:colOff>62049</xdr:colOff>
      <xdr:row>142</xdr:row>
      <xdr:rowOff>144780</xdr:rowOff>
    </xdr:to>
    <xdr:sp macro="" textlink="">
      <xdr:nvSpPr>
        <xdr:cNvPr id="3245" name="직사각형 3244">
          <a:extLst>
            <a:ext uri="{FF2B5EF4-FFF2-40B4-BE49-F238E27FC236}">
              <a16:creationId xmlns:a16="http://schemas.microsoft.com/office/drawing/2014/main" id="{F1999837-AC6E-4228-80EC-36E547A2EE78}"/>
            </a:ext>
          </a:extLst>
        </xdr:cNvPr>
        <xdr:cNvSpPr/>
      </xdr:nvSpPr>
      <xdr:spPr>
        <a:xfrm>
          <a:off x="8859883" y="218046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142</xdr:row>
      <xdr:rowOff>87630</xdr:rowOff>
    </xdr:from>
    <xdr:to>
      <xdr:col>30</xdr:col>
      <xdr:colOff>20683</xdr:colOff>
      <xdr:row>142</xdr:row>
      <xdr:rowOff>87630</xdr:rowOff>
    </xdr:to>
    <xdr:cxnSp macro="">
      <xdr:nvCxnSpPr>
        <xdr:cNvPr id="3246" name="직선 화살표 연결선 3245">
          <a:extLst>
            <a:ext uri="{FF2B5EF4-FFF2-40B4-BE49-F238E27FC236}">
              <a16:creationId xmlns:a16="http://schemas.microsoft.com/office/drawing/2014/main" id="{3BFCCC61-65C2-46F6-828D-B6FAA15B4C3F}"/>
            </a:ext>
          </a:extLst>
        </xdr:cNvPr>
        <xdr:cNvCxnSpPr/>
      </xdr:nvCxnSpPr>
      <xdr:spPr>
        <a:xfrm>
          <a:off x="8859883" y="2186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140</xdr:row>
      <xdr:rowOff>30480</xdr:rowOff>
    </xdr:from>
    <xdr:to>
      <xdr:col>30</xdr:col>
      <xdr:colOff>62049</xdr:colOff>
      <xdr:row>140</xdr:row>
      <xdr:rowOff>144780</xdr:rowOff>
    </xdr:to>
    <xdr:sp macro="" textlink="">
      <xdr:nvSpPr>
        <xdr:cNvPr id="3247" name="직사각형 3246">
          <a:extLst>
            <a:ext uri="{FF2B5EF4-FFF2-40B4-BE49-F238E27FC236}">
              <a16:creationId xmlns:a16="http://schemas.microsoft.com/office/drawing/2014/main" id="{7069E5E8-F6FA-4BB7-8419-71521766ACBA}"/>
            </a:ext>
          </a:extLst>
        </xdr:cNvPr>
        <xdr:cNvSpPr/>
      </xdr:nvSpPr>
      <xdr:spPr>
        <a:xfrm>
          <a:off x="8839200" y="21499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140</xdr:row>
      <xdr:rowOff>87630</xdr:rowOff>
    </xdr:from>
    <xdr:to>
      <xdr:col>30</xdr:col>
      <xdr:colOff>0</xdr:colOff>
      <xdr:row>140</xdr:row>
      <xdr:rowOff>87630</xdr:rowOff>
    </xdr:to>
    <xdr:cxnSp macro="">
      <xdr:nvCxnSpPr>
        <xdr:cNvPr id="3248" name="직선 화살표 연결선 3247">
          <a:extLst>
            <a:ext uri="{FF2B5EF4-FFF2-40B4-BE49-F238E27FC236}">
              <a16:creationId xmlns:a16="http://schemas.microsoft.com/office/drawing/2014/main" id="{5551A377-2F57-4D88-9FF4-09AE4D9677B3}"/>
            </a:ext>
          </a:extLst>
        </xdr:cNvPr>
        <xdr:cNvCxnSpPr/>
      </xdr:nvCxnSpPr>
      <xdr:spPr>
        <a:xfrm>
          <a:off x="8839200" y="2155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139</xdr:row>
      <xdr:rowOff>30480</xdr:rowOff>
    </xdr:from>
    <xdr:to>
      <xdr:col>30</xdr:col>
      <xdr:colOff>20683</xdr:colOff>
      <xdr:row>139</xdr:row>
      <xdr:rowOff>144780</xdr:rowOff>
    </xdr:to>
    <xdr:sp macro="" textlink="">
      <xdr:nvSpPr>
        <xdr:cNvPr id="3249" name="직사각형 3248">
          <a:extLst>
            <a:ext uri="{FF2B5EF4-FFF2-40B4-BE49-F238E27FC236}">
              <a16:creationId xmlns:a16="http://schemas.microsoft.com/office/drawing/2014/main" id="{998AE187-455D-41FE-80DC-6B33CD84EB02}"/>
            </a:ext>
          </a:extLst>
        </xdr:cNvPr>
        <xdr:cNvSpPr/>
      </xdr:nvSpPr>
      <xdr:spPr>
        <a:xfrm>
          <a:off x="8839200" y="21347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139</xdr:row>
      <xdr:rowOff>87630</xdr:rowOff>
    </xdr:from>
    <xdr:to>
      <xdr:col>30</xdr:col>
      <xdr:colOff>0</xdr:colOff>
      <xdr:row>139</xdr:row>
      <xdr:rowOff>87630</xdr:rowOff>
    </xdr:to>
    <xdr:cxnSp macro="">
      <xdr:nvCxnSpPr>
        <xdr:cNvPr id="3250" name="직선 화살표 연결선 3249">
          <a:extLst>
            <a:ext uri="{FF2B5EF4-FFF2-40B4-BE49-F238E27FC236}">
              <a16:creationId xmlns:a16="http://schemas.microsoft.com/office/drawing/2014/main" id="{070DA9BA-9B5E-4667-ADDC-2C3308AE04A0}"/>
            </a:ext>
          </a:extLst>
        </xdr:cNvPr>
        <xdr:cNvCxnSpPr/>
      </xdr:nvCxnSpPr>
      <xdr:spPr>
        <a:xfrm>
          <a:off x="8839200" y="2140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39460</xdr:colOff>
      <xdr:row>137</xdr:row>
      <xdr:rowOff>30480</xdr:rowOff>
    </xdr:from>
    <xdr:to>
      <xdr:col>29</xdr:col>
      <xdr:colOff>101509</xdr:colOff>
      <xdr:row>137</xdr:row>
      <xdr:rowOff>144780</xdr:rowOff>
    </xdr:to>
    <xdr:sp macro="" textlink="">
      <xdr:nvSpPr>
        <xdr:cNvPr id="3251" name="직사각형 3250">
          <a:extLst>
            <a:ext uri="{FF2B5EF4-FFF2-40B4-BE49-F238E27FC236}">
              <a16:creationId xmlns:a16="http://schemas.microsoft.com/office/drawing/2014/main" id="{23162EDC-11C2-4885-BBF0-2E2C564210D6}"/>
            </a:ext>
          </a:extLst>
        </xdr:cNvPr>
        <xdr:cNvSpPr/>
      </xdr:nvSpPr>
      <xdr:spPr>
        <a:xfrm>
          <a:off x="8735785" y="210426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39460</xdr:colOff>
      <xdr:row>137</xdr:row>
      <xdr:rowOff>87630</xdr:rowOff>
    </xdr:from>
    <xdr:to>
      <xdr:col>29</xdr:col>
      <xdr:colOff>39460</xdr:colOff>
      <xdr:row>137</xdr:row>
      <xdr:rowOff>87630</xdr:rowOff>
    </xdr:to>
    <xdr:cxnSp macro="">
      <xdr:nvCxnSpPr>
        <xdr:cNvPr id="3252" name="직선 화살표 연결선 3251">
          <a:extLst>
            <a:ext uri="{FF2B5EF4-FFF2-40B4-BE49-F238E27FC236}">
              <a16:creationId xmlns:a16="http://schemas.microsoft.com/office/drawing/2014/main" id="{4EB7287B-5929-4040-A6AA-2E5A4B1024F3}"/>
            </a:ext>
          </a:extLst>
        </xdr:cNvPr>
        <xdr:cNvCxnSpPr/>
      </xdr:nvCxnSpPr>
      <xdr:spPr>
        <a:xfrm>
          <a:off x="8735785" y="2109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39460</xdr:colOff>
      <xdr:row>136</xdr:row>
      <xdr:rowOff>30480</xdr:rowOff>
    </xdr:from>
    <xdr:to>
      <xdr:col>30</xdr:col>
      <xdr:colOff>62049</xdr:colOff>
      <xdr:row>136</xdr:row>
      <xdr:rowOff>144780</xdr:rowOff>
    </xdr:to>
    <xdr:sp macro="" textlink="">
      <xdr:nvSpPr>
        <xdr:cNvPr id="3253" name="직사각형 3252">
          <a:extLst>
            <a:ext uri="{FF2B5EF4-FFF2-40B4-BE49-F238E27FC236}">
              <a16:creationId xmlns:a16="http://schemas.microsoft.com/office/drawing/2014/main" id="{42087638-F81F-45A9-9120-392C59B36001}"/>
            </a:ext>
          </a:extLst>
        </xdr:cNvPr>
        <xdr:cNvSpPr/>
      </xdr:nvSpPr>
      <xdr:spPr>
        <a:xfrm>
          <a:off x="8735785" y="20890230"/>
          <a:ext cx="165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39460</xdr:colOff>
      <xdr:row>136</xdr:row>
      <xdr:rowOff>87630</xdr:rowOff>
    </xdr:from>
    <xdr:to>
      <xdr:col>29</xdr:col>
      <xdr:colOff>39460</xdr:colOff>
      <xdr:row>136</xdr:row>
      <xdr:rowOff>87630</xdr:rowOff>
    </xdr:to>
    <xdr:cxnSp macro="">
      <xdr:nvCxnSpPr>
        <xdr:cNvPr id="3254" name="직선 화살표 연결선 3253">
          <a:extLst>
            <a:ext uri="{FF2B5EF4-FFF2-40B4-BE49-F238E27FC236}">
              <a16:creationId xmlns:a16="http://schemas.microsoft.com/office/drawing/2014/main" id="{8DF66570-FED6-4243-A661-1321B347249B}"/>
            </a:ext>
          </a:extLst>
        </xdr:cNvPr>
        <xdr:cNvCxnSpPr/>
      </xdr:nvCxnSpPr>
      <xdr:spPr>
        <a:xfrm>
          <a:off x="8735785" y="2094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134</xdr:row>
      <xdr:rowOff>30480</xdr:rowOff>
    </xdr:from>
    <xdr:to>
      <xdr:col>29</xdr:col>
      <xdr:colOff>101509</xdr:colOff>
      <xdr:row>134</xdr:row>
      <xdr:rowOff>144780</xdr:rowOff>
    </xdr:to>
    <xdr:sp macro="" textlink="">
      <xdr:nvSpPr>
        <xdr:cNvPr id="3255" name="직사각형 3254">
          <a:extLst>
            <a:ext uri="{FF2B5EF4-FFF2-40B4-BE49-F238E27FC236}">
              <a16:creationId xmlns:a16="http://schemas.microsoft.com/office/drawing/2014/main" id="{B3CA7360-0039-4607-A3D6-F254B4019592}"/>
            </a:ext>
          </a:extLst>
        </xdr:cNvPr>
        <xdr:cNvSpPr/>
      </xdr:nvSpPr>
      <xdr:spPr>
        <a:xfrm>
          <a:off x="8756469" y="20585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134</xdr:row>
      <xdr:rowOff>87630</xdr:rowOff>
    </xdr:from>
    <xdr:to>
      <xdr:col>29</xdr:col>
      <xdr:colOff>60144</xdr:colOff>
      <xdr:row>134</xdr:row>
      <xdr:rowOff>87630</xdr:rowOff>
    </xdr:to>
    <xdr:cxnSp macro="">
      <xdr:nvCxnSpPr>
        <xdr:cNvPr id="3256" name="직선 화살표 연결선 3255">
          <a:extLst>
            <a:ext uri="{FF2B5EF4-FFF2-40B4-BE49-F238E27FC236}">
              <a16:creationId xmlns:a16="http://schemas.microsoft.com/office/drawing/2014/main" id="{54D4DF2B-F450-4022-9C03-69E4F0416F42}"/>
            </a:ext>
          </a:extLst>
        </xdr:cNvPr>
        <xdr:cNvCxnSpPr/>
      </xdr:nvCxnSpPr>
      <xdr:spPr>
        <a:xfrm>
          <a:off x="8756469" y="2064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130</xdr:row>
      <xdr:rowOff>30480</xdr:rowOff>
    </xdr:from>
    <xdr:to>
      <xdr:col>29</xdr:col>
      <xdr:colOff>101509</xdr:colOff>
      <xdr:row>130</xdr:row>
      <xdr:rowOff>144780</xdr:rowOff>
    </xdr:to>
    <xdr:sp macro="" textlink="">
      <xdr:nvSpPr>
        <xdr:cNvPr id="3257" name="직사각형 3256">
          <a:extLst>
            <a:ext uri="{FF2B5EF4-FFF2-40B4-BE49-F238E27FC236}">
              <a16:creationId xmlns:a16="http://schemas.microsoft.com/office/drawing/2014/main" id="{68337ACC-0877-430D-BDA4-F5AF8AA8C2CC}"/>
            </a:ext>
          </a:extLst>
        </xdr:cNvPr>
        <xdr:cNvSpPr/>
      </xdr:nvSpPr>
      <xdr:spPr>
        <a:xfrm>
          <a:off x="8756469" y="199758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130</xdr:row>
      <xdr:rowOff>87630</xdr:rowOff>
    </xdr:from>
    <xdr:to>
      <xdr:col>29</xdr:col>
      <xdr:colOff>60144</xdr:colOff>
      <xdr:row>130</xdr:row>
      <xdr:rowOff>87630</xdr:rowOff>
    </xdr:to>
    <xdr:cxnSp macro="">
      <xdr:nvCxnSpPr>
        <xdr:cNvPr id="3258" name="직선 화살표 연결선 3257">
          <a:extLst>
            <a:ext uri="{FF2B5EF4-FFF2-40B4-BE49-F238E27FC236}">
              <a16:creationId xmlns:a16="http://schemas.microsoft.com/office/drawing/2014/main" id="{A71725C9-DE0A-45D3-AED2-85C01DBAD04F}"/>
            </a:ext>
          </a:extLst>
        </xdr:cNvPr>
        <xdr:cNvCxnSpPr/>
      </xdr:nvCxnSpPr>
      <xdr:spPr>
        <a:xfrm>
          <a:off x="8756469" y="2003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18778</xdr:colOff>
      <xdr:row>127</xdr:row>
      <xdr:rowOff>30480</xdr:rowOff>
    </xdr:from>
    <xdr:to>
      <xdr:col>29</xdr:col>
      <xdr:colOff>39460</xdr:colOff>
      <xdr:row>127</xdr:row>
      <xdr:rowOff>144780</xdr:rowOff>
    </xdr:to>
    <xdr:sp macro="" textlink="">
      <xdr:nvSpPr>
        <xdr:cNvPr id="3259" name="직사각형 3258">
          <a:extLst>
            <a:ext uri="{FF2B5EF4-FFF2-40B4-BE49-F238E27FC236}">
              <a16:creationId xmlns:a16="http://schemas.microsoft.com/office/drawing/2014/main" id="{79CAEFE7-3089-4F26-9334-7A2636404932}"/>
            </a:ext>
          </a:extLst>
        </xdr:cNvPr>
        <xdr:cNvSpPr/>
      </xdr:nvSpPr>
      <xdr:spPr>
        <a:xfrm>
          <a:off x="8715103" y="19518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18778</xdr:colOff>
      <xdr:row>127</xdr:row>
      <xdr:rowOff>87630</xdr:rowOff>
    </xdr:from>
    <xdr:to>
      <xdr:col>29</xdr:col>
      <xdr:colOff>18778</xdr:colOff>
      <xdr:row>127</xdr:row>
      <xdr:rowOff>87630</xdr:rowOff>
    </xdr:to>
    <xdr:cxnSp macro="">
      <xdr:nvCxnSpPr>
        <xdr:cNvPr id="3260" name="직선 화살표 연결선 3259">
          <a:extLst>
            <a:ext uri="{FF2B5EF4-FFF2-40B4-BE49-F238E27FC236}">
              <a16:creationId xmlns:a16="http://schemas.microsoft.com/office/drawing/2014/main" id="{CB3CB806-2152-489A-A57A-06E5B0E94589}"/>
            </a:ext>
          </a:extLst>
        </xdr:cNvPr>
        <xdr:cNvCxnSpPr/>
      </xdr:nvCxnSpPr>
      <xdr:spPr>
        <a:xfrm>
          <a:off x="8715103" y="1957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18778</xdr:colOff>
      <xdr:row>124</xdr:row>
      <xdr:rowOff>30480</xdr:rowOff>
    </xdr:from>
    <xdr:to>
      <xdr:col>29</xdr:col>
      <xdr:colOff>39460</xdr:colOff>
      <xdr:row>124</xdr:row>
      <xdr:rowOff>144780</xdr:rowOff>
    </xdr:to>
    <xdr:sp macro="" textlink="">
      <xdr:nvSpPr>
        <xdr:cNvPr id="3261" name="직사각형 3260">
          <a:extLst>
            <a:ext uri="{FF2B5EF4-FFF2-40B4-BE49-F238E27FC236}">
              <a16:creationId xmlns:a16="http://schemas.microsoft.com/office/drawing/2014/main" id="{EE5F959C-EC10-4384-AA33-52F3B515775A}"/>
            </a:ext>
          </a:extLst>
        </xdr:cNvPr>
        <xdr:cNvSpPr/>
      </xdr:nvSpPr>
      <xdr:spPr>
        <a:xfrm>
          <a:off x="8715103" y="19061430"/>
          <a:ext cx="206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18778</xdr:colOff>
      <xdr:row>124</xdr:row>
      <xdr:rowOff>87630</xdr:rowOff>
    </xdr:from>
    <xdr:to>
      <xdr:col>29</xdr:col>
      <xdr:colOff>18778</xdr:colOff>
      <xdr:row>124</xdr:row>
      <xdr:rowOff>87630</xdr:rowOff>
    </xdr:to>
    <xdr:cxnSp macro="">
      <xdr:nvCxnSpPr>
        <xdr:cNvPr id="3262" name="직선 화살표 연결선 3261">
          <a:extLst>
            <a:ext uri="{FF2B5EF4-FFF2-40B4-BE49-F238E27FC236}">
              <a16:creationId xmlns:a16="http://schemas.microsoft.com/office/drawing/2014/main" id="{8CD8BB3A-E9EE-4FC8-9B6D-843867503C47}"/>
            </a:ext>
          </a:extLst>
        </xdr:cNvPr>
        <xdr:cNvCxnSpPr/>
      </xdr:nvCxnSpPr>
      <xdr:spPr>
        <a:xfrm>
          <a:off x="8715103" y="1911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90351</xdr:colOff>
      <xdr:row>116</xdr:row>
      <xdr:rowOff>30480</xdr:rowOff>
    </xdr:from>
    <xdr:to>
      <xdr:col>34</xdr:col>
      <xdr:colOff>111034</xdr:colOff>
      <xdr:row>116</xdr:row>
      <xdr:rowOff>144780</xdr:rowOff>
    </xdr:to>
    <xdr:sp macro="" textlink="">
      <xdr:nvSpPr>
        <xdr:cNvPr id="3263" name="직사각형 3262">
          <a:extLst>
            <a:ext uri="{FF2B5EF4-FFF2-40B4-BE49-F238E27FC236}">
              <a16:creationId xmlns:a16="http://schemas.microsoft.com/office/drawing/2014/main" id="{328707FE-1157-4DE7-B31E-6793E47F8261}"/>
            </a:ext>
          </a:extLst>
        </xdr:cNvPr>
        <xdr:cNvSpPr/>
      </xdr:nvSpPr>
      <xdr:spPr>
        <a:xfrm>
          <a:off x="9501051" y="1784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90351</xdr:colOff>
      <xdr:row>116</xdr:row>
      <xdr:rowOff>87630</xdr:rowOff>
    </xdr:from>
    <xdr:to>
      <xdr:col>34</xdr:col>
      <xdr:colOff>90351</xdr:colOff>
      <xdr:row>116</xdr:row>
      <xdr:rowOff>87630</xdr:rowOff>
    </xdr:to>
    <xdr:cxnSp macro="">
      <xdr:nvCxnSpPr>
        <xdr:cNvPr id="3264" name="직선 화살표 연결선 3263">
          <a:extLst>
            <a:ext uri="{FF2B5EF4-FFF2-40B4-BE49-F238E27FC236}">
              <a16:creationId xmlns:a16="http://schemas.microsoft.com/office/drawing/2014/main" id="{BAFE8780-74B5-4E11-87E7-72FCFAFB495B}"/>
            </a:ext>
          </a:extLst>
        </xdr:cNvPr>
        <xdr:cNvCxnSpPr/>
      </xdr:nvCxnSpPr>
      <xdr:spPr>
        <a:xfrm>
          <a:off x="9501051" y="1789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48985</xdr:colOff>
      <xdr:row>115</xdr:row>
      <xdr:rowOff>30480</xdr:rowOff>
    </xdr:from>
    <xdr:to>
      <xdr:col>34</xdr:col>
      <xdr:colOff>111034</xdr:colOff>
      <xdr:row>115</xdr:row>
      <xdr:rowOff>144780</xdr:rowOff>
    </xdr:to>
    <xdr:sp macro="" textlink="">
      <xdr:nvSpPr>
        <xdr:cNvPr id="3265" name="직사각형 3264">
          <a:extLst>
            <a:ext uri="{FF2B5EF4-FFF2-40B4-BE49-F238E27FC236}">
              <a16:creationId xmlns:a16="http://schemas.microsoft.com/office/drawing/2014/main" id="{00A47928-CA58-4D8F-A4CC-FBC41AD6253B}"/>
            </a:ext>
          </a:extLst>
        </xdr:cNvPr>
        <xdr:cNvSpPr/>
      </xdr:nvSpPr>
      <xdr:spPr>
        <a:xfrm>
          <a:off x="9459685" y="17689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48985</xdr:colOff>
      <xdr:row>115</xdr:row>
      <xdr:rowOff>87630</xdr:rowOff>
    </xdr:from>
    <xdr:to>
      <xdr:col>34</xdr:col>
      <xdr:colOff>48985</xdr:colOff>
      <xdr:row>115</xdr:row>
      <xdr:rowOff>87630</xdr:rowOff>
    </xdr:to>
    <xdr:cxnSp macro="">
      <xdr:nvCxnSpPr>
        <xdr:cNvPr id="3266" name="직선 화살표 연결선 3265">
          <a:extLst>
            <a:ext uri="{FF2B5EF4-FFF2-40B4-BE49-F238E27FC236}">
              <a16:creationId xmlns:a16="http://schemas.microsoft.com/office/drawing/2014/main" id="{DFF91409-7C0A-47CE-9BB3-76B26A98190D}"/>
            </a:ext>
          </a:extLst>
        </xdr:cNvPr>
        <xdr:cNvCxnSpPr/>
      </xdr:nvCxnSpPr>
      <xdr:spPr>
        <a:xfrm>
          <a:off x="9459685" y="1774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114</xdr:row>
      <xdr:rowOff>30480</xdr:rowOff>
    </xdr:from>
    <xdr:to>
      <xdr:col>34</xdr:col>
      <xdr:colOff>48985</xdr:colOff>
      <xdr:row>114</xdr:row>
      <xdr:rowOff>144780</xdr:rowOff>
    </xdr:to>
    <xdr:sp macro="" textlink="">
      <xdr:nvSpPr>
        <xdr:cNvPr id="3267" name="직사각형 3266">
          <a:extLst>
            <a:ext uri="{FF2B5EF4-FFF2-40B4-BE49-F238E27FC236}">
              <a16:creationId xmlns:a16="http://schemas.microsoft.com/office/drawing/2014/main" id="{4BCCA23A-6541-4F3B-8235-596350296109}"/>
            </a:ext>
          </a:extLst>
        </xdr:cNvPr>
        <xdr:cNvSpPr/>
      </xdr:nvSpPr>
      <xdr:spPr>
        <a:xfrm>
          <a:off x="9439003" y="175374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114</xdr:row>
      <xdr:rowOff>87630</xdr:rowOff>
    </xdr:from>
    <xdr:to>
      <xdr:col>34</xdr:col>
      <xdr:colOff>28303</xdr:colOff>
      <xdr:row>114</xdr:row>
      <xdr:rowOff>87630</xdr:rowOff>
    </xdr:to>
    <xdr:cxnSp macro="">
      <xdr:nvCxnSpPr>
        <xdr:cNvPr id="3268" name="직선 화살표 연결선 3267">
          <a:extLst>
            <a:ext uri="{FF2B5EF4-FFF2-40B4-BE49-F238E27FC236}">
              <a16:creationId xmlns:a16="http://schemas.microsoft.com/office/drawing/2014/main" id="{ACC776AC-1EB9-4FF0-AA01-6B58AF4EFE21}"/>
            </a:ext>
          </a:extLst>
        </xdr:cNvPr>
        <xdr:cNvCxnSpPr/>
      </xdr:nvCxnSpPr>
      <xdr:spPr>
        <a:xfrm>
          <a:off x="9439003" y="1759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112</xdr:row>
      <xdr:rowOff>30480</xdr:rowOff>
    </xdr:from>
    <xdr:to>
      <xdr:col>34</xdr:col>
      <xdr:colOff>111034</xdr:colOff>
      <xdr:row>112</xdr:row>
      <xdr:rowOff>144780</xdr:rowOff>
    </xdr:to>
    <xdr:sp macro="" textlink="">
      <xdr:nvSpPr>
        <xdr:cNvPr id="3269" name="직사각형 3268">
          <a:extLst>
            <a:ext uri="{FF2B5EF4-FFF2-40B4-BE49-F238E27FC236}">
              <a16:creationId xmlns:a16="http://schemas.microsoft.com/office/drawing/2014/main" id="{A1A3DE0C-BB6C-469C-A261-312E5762B024}"/>
            </a:ext>
          </a:extLst>
        </xdr:cNvPr>
        <xdr:cNvSpPr/>
      </xdr:nvSpPr>
      <xdr:spPr>
        <a:xfrm>
          <a:off x="9439003" y="17232630"/>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112</xdr:row>
      <xdr:rowOff>87630</xdr:rowOff>
    </xdr:from>
    <xdr:to>
      <xdr:col>34</xdr:col>
      <xdr:colOff>28303</xdr:colOff>
      <xdr:row>112</xdr:row>
      <xdr:rowOff>87630</xdr:rowOff>
    </xdr:to>
    <xdr:cxnSp macro="">
      <xdr:nvCxnSpPr>
        <xdr:cNvPr id="3270" name="직선 화살표 연결선 3269">
          <a:extLst>
            <a:ext uri="{FF2B5EF4-FFF2-40B4-BE49-F238E27FC236}">
              <a16:creationId xmlns:a16="http://schemas.microsoft.com/office/drawing/2014/main" id="{41262E4F-C24A-4330-8449-F779198193E5}"/>
            </a:ext>
          </a:extLst>
        </xdr:cNvPr>
        <xdr:cNvCxnSpPr/>
      </xdr:nvCxnSpPr>
      <xdr:spPr>
        <a:xfrm>
          <a:off x="9439003" y="1728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63953</xdr:colOff>
      <xdr:row>110</xdr:row>
      <xdr:rowOff>30480</xdr:rowOff>
    </xdr:from>
    <xdr:to>
      <xdr:col>31</xdr:col>
      <xdr:colOff>105319</xdr:colOff>
      <xdr:row>110</xdr:row>
      <xdr:rowOff>144780</xdr:rowOff>
    </xdr:to>
    <xdr:sp macro="" textlink="">
      <xdr:nvSpPr>
        <xdr:cNvPr id="3271" name="직사각형 3270">
          <a:extLst>
            <a:ext uri="{FF2B5EF4-FFF2-40B4-BE49-F238E27FC236}">
              <a16:creationId xmlns:a16="http://schemas.microsoft.com/office/drawing/2014/main" id="{E273023F-9F85-440F-B318-0CD96B717B6B}"/>
            </a:ext>
          </a:extLst>
        </xdr:cNvPr>
        <xdr:cNvSpPr/>
      </xdr:nvSpPr>
      <xdr:spPr>
        <a:xfrm>
          <a:off x="9046028" y="1692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63953</xdr:colOff>
      <xdr:row>110</xdr:row>
      <xdr:rowOff>87630</xdr:rowOff>
    </xdr:from>
    <xdr:to>
      <xdr:col>31</xdr:col>
      <xdr:colOff>63953</xdr:colOff>
      <xdr:row>110</xdr:row>
      <xdr:rowOff>87630</xdr:rowOff>
    </xdr:to>
    <xdr:cxnSp macro="">
      <xdr:nvCxnSpPr>
        <xdr:cNvPr id="3272" name="직선 화살표 연결선 3271">
          <a:extLst>
            <a:ext uri="{FF2B5EF4-FFF2-40B4-BE49-F238E27FC236}">
              <a16:creationId xmlns:a16="http://schemas.microsoft.com/office/drawing/2014/main" id="{C719DD25-B03C-49A5-8ED7-FC9645CC57BA}"/>
            </a:ext>
          </a:extLst>
        </xdr:cNvPr>
        <xdr:cNvCxnSpPr/>
      </xdr:nvCxnSpPr>
      <xdr:spPr>
        <a:xfrm>
          <a:off x="9046028" y="1698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63953</xdr:colOff>
      <xdr:row>109</xdr:row>
      <xdr:rowOff>30480</xdr:rowOff>
    </xdr:from>
    <xdr:to>
      <xdr:col>31</xdr:col>
      <xdr:colOff>84637</xdr:colOff>
      <xdr:row>109</xdr:row>
      <xdr:rowOff>144780</xdr:rowOff>
    </xdr:to>
    <xdr:sp macro="" textlink="">
      <xdr:nvSpPr>
        <xdr:cNvPr id="3273" name="직사각형 3272">
          <a:extLst>
            <a:ext uri="{FF2B5EF4-FFF2-40B4-BE49-F238E27FC236}">
              <a16:creationId xmlns:a16="http://schemas.microsoft.com/office/drawing/2014/main" id="{C8C1D0D1-0C1C-4F6D-B6A4-2D31B485EF55}"/>
            </a:ext>
          </a:extLst>
        </xdr:cNvPr>
        <xdr:cNvSpPr/>
      </xdr:nvSpPr>
      <xdr:spPr>
        <a:xfrm>
          <a:off x="9046028" y="167754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63953</xdr:colOff>
      <xdr:row>109</xdr:row>
      <xdr:rowOff>87630</xdr:rowOff>
    </xdr:from>
    <xdr:to>
      <xdr:col>31</xdr:col>
      <xdr:colOff>63953</xdr:colOff>
      <xdr:row>109</xdr:row>
      <xdr:rowOff>87630</xdr:rowOff>
    </xdr:to>
    <xdr:cxnSp macro="">
      <xdr:nvCxnSpPr>
        <xdr:cNvPr id="3274" name="직선 화살표 연결선 3273">
          <a:extLst>
            <a:ext uri="{FF2B5EF4-FFF2-40B4-BE49-F238E27FC236}">
              <a16:creationId xmlns:a16="http://schemas.microsoft.com/office/drawing/2014/main" id="{A7E98BF2-9D42-40A6-BD30-43F29AD0A291}"/>
            </a:ext>
          </a:extLst>
        </xdr:cNvPr>
        <xdr:cNvCxnSpPr/>
      </xdr:nvCxnSpPr>
      <xdr:spPr>
        <a:xfrm>
          <a:off x="9046028" y="1683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22588</xdr:colOff>
      <xdr:row>108</xdr:row>
      <xdr:rowOff>30480</xdr:rowOff>
    </xdr:from>
    <xdr:to>
      <xdr:col>31</xdr:col>
      <xdr:colOff>63953</xdr:colOff>
      <xdr:row>108</xdr:row>
      <xdr:rowOff>144780</xdr:rowOff>
    </xdr:to>
    <xdr:sp macro="" textlink="">
      <xdr:nvSpPr>
        <xdr:cNvPr id="3275" name="직사각형 3274">
          <a:extLst>
            <a:ext uri="{FF2B5EF4-FFF2-40B4-BE49-F238E27FC236}">
              <a16:creationId xmlns:a16="http://schemas.microsoft.com/office/drawing/2014/main" id="{A519BA64-B7B3-4655-9A15-0703F9EDE5CB}"/>
            </a:ext>
          </a:extLst>
        </xdr:cNvPr>
        <xdr:cNvSpPr/>
      </xdr:nvSpPr>
      <xdr:spPr>
        <a:xfrm>
          <a:off x="9004663" y="166230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22588</xdr:colOff>
      <xdr:row>108</xdr:row>
      <xdr:rowOff>87630</xdr:rowOff>
    </xdr:from>
    <xdr:to>
      <xdr:col>31</xdr:col>
      <xdr:colOff>22588</xdr:colOff>
      <xdr:row>108</xdr:row>
      <xdr:rowOff>87630</xdr:rowOff>
    </xdr:to>
    <xdr:cxnSp macro="">
      <xdr:nvCxnSpPr>
        <xdr:cNvPr id="3276" name="직선 화살표 연결선 3275">
          <a:extLst>
            <a:ext uri="{FF2B5EF4-FFF2-40B4-BE49-F238E27FC236}">
              <a16:creationId xmlns:a16="http://schemas.microsoft.com/office/drawing/2014/main" id="{3DB2203B-883B-4B51-9DCC-2855A8231A21}"/>
            </a:ext>
          </a:extLst>
        </xdr:cNvPr>
        <xdr:cNvCxnSpPr/>
      </xdr:nvCxnSpPr>
      <xdr:spPr>
        <a:xfrm>
          <a:off x="9004663" y="1668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xdr:colOff>
      <xdr:row>107</xdr:row>
      <xdr:rowOff>30480</xdr:rowOff>
    </xdr:from>
    <xdr:to>
      <xdr:col>31</xdr:col>
      <xdr:colOff>22588</xdr:colOff>
      <xdr:row>107</xdr:row>
      <xdr:rowOff>144780</xdr:rowOff>
    </xdr:to>
    <xdr:sp macro="" textlink="">
      <xdr:nvSpPr>
        <xdr:cNvPr id="3277" name="직사각형 3276">
          <a:extLst>
            <a:ext uri="{FF2B5EF4-FFF2-40B4-BE49-F238E27FC236}">
              <a16:creationId xmlns:a16="http://schemas.microsoft.com/office/drawing/2014/main" id="{4B546E69-A048-4E3C-9248-F43418811142}"/>
            </a:ext>
          </a:extLst>
        </xdr:cNvPr>
        <xdr:cNvSpPr/>
      </xdr:nvSpPr>
      <xdr:spPr>
        <a:xfrm>
          <a:off x="8983980" y="16470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xdr:colOff>
      <xdr:row>107</xdr:row>
      <xdr:rowOff>87630</xdr:rowOff>
    </xdr:from>
    <xdr:to>
      <xdr:col>31</xdr:col>
      <xdr:colOff>1905</xdr:colOff>
      <xdr:row>107</xdr:row>
      <xdr:rowOff>87630</xdr:rowOff>
    </xdr:to>
    <xdr:cxnSp macro="">
      <xdr:nvCxnSpPr>
        <xdr:cNvPr id="3278" name="직선 화살표 연결선 3277">
          <a:extLst>
            <a:ext uri="{FF2B5EF4-FFF2-40B4-BE49-F238E27FC236}">
              <a16:creationId xmlns:a16="http://schemas.microsoft.com/office/drawing/2014/main" id="{107D2B60-4B73-45C4-AAA7-4053378C96D8}"/>
            </a:ext>
          </a:extLst>
        </xdr:cNvPr>
        <xdr:cNvCxnSpPr/>
      </xdr:nvCxnSpPr>
      <xdr:spPr>
        <a:xfrm>
          <a:off x="8983980" y="1652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xdr:colOff>
      <xdr:row>106</xdr:row>
      <xdr:rowOff>30480</xdr:rowOff>
    </xdr:from>
    <xdr:to>
      <xdr:col>31</xdr:col>
      <xdr:colOff>105319</xdr:colOff>
      <xdr:row>106</xdr:row>
      <xdr:rowOff>144780</xdr:rowOff>
    </xdr:to>
    <xdr:sp macro="" textlink="">
      <xdr:nvSpPr>
        <xdr:cNvPr id="3279" name="직사각형 3278">
          <a:extLst>
            <a:ext uri="{FF2B5EF4-FFF2-40B4-BE49-F238E27FC236}">
              <a16:creationId xmlns:a16="http://schemas.microsoft.com/office/drawing/2014/main" id="{3CAFED23-9EC2-4FA8-AE2D-BD2152A1A2D9}"/>
            </a:ext>
          </a:extLst>
        </xdr:cNvPr>
        <xdr:cNvSpPr/>
      </xdr:nvSpPr>
      <xdr:spPr>
        <a:xfrm>
          <a:off x="8983980" y="16318230"/>
          <a:ext cx="1034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xdr:colOff>
      <xdr:row>106</xdr:row>
      <xdr:rowOff>87630</xdr:rowOff>
    </xdr:from>
    <xdr:to>
      <xdr:col>31</xdr:col>
      <xdr:colOff>1905</xdr:colOff>
      <xdr:row>106</xdr:row>
      <xdr:rowOff>87630</xdr:rowOff>
    </xdr:to>
    <xdr:cxnSp macro="">
      <xdr:nvCxnSpPr>
        <xdr:cNvPr id="3280" name="직선 화살표 연결선 3279">
          <a:extLst>
            <a:ext uri="{FF2B5EF4-FFF2-40B4-BE49-F238E27FC236}">
              <a16:creationId xmlns:a16="http://schemas.microsoft.com/office/drawing/2014/main" id="{9B20F45B-F719-4A3F-A4E4-6340E5C3F70E}"/>
            </a:ext>
          </a:extLst>
        </xdr:cNvPr>
        <xdr:cNvCxnSpPr/>
      </xdr:nvCxnSpPr>
      <xdr:spPr>
        <a:xfrm>
          <a:off x="8983980" y="1637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104</xdr:row>
      <xdr:rowOff>30480</xdr:rowOff>
    </xdr:from>
    <xdr:to>
      <xdr:col>31</xdr:col>
      <xdr:colOff>22588</xdr:colOff>
      <xdr:row>104</xdr:row>
      <xdr:rowOff>144780</xdr:rowOff>
    </xdr:to>
    <xdr:sp macro="" textlink="">
      <xdr:nvSpPr>
        <xdr:cNvPr id="3281" name="직사각형 3280">
          <a:extLst>
            <a:ext uri="{FF2B5EF4-FFF2-40B4-BE49-F238E27FC236}">
              <a16:creationId xmlns:a16="http://schemas.microsoft.com/office/drawing/2014/main" id="{624560F2-F683-4D74-A1A8-54F140E415CC}"/>
            </a:ext>
          </a:extLst>
        </xdr:cNvPr>
        <xdr:cNvSpPr/>
      </xdr:nvSpPr>
      <xdr:spPr>
        <a:xfrm>
          <a:off x="8859883" y="160134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104</xdr:row>
      <xdr:rowOff>87630</xdr:rowOff>
    </xdr:from>
    <xdr:to>
      <xdr:col>30</xdr:col>
      <xdr:colOff>20683</xdr:colOff>
      <xdr:row>104</xdr:row>
      <xdr:rowOff>87630</xdr:rowOff>
    </xdr:to>
    <xdr:cxnSp macro="">
      <xdr:nvCxnSpPr>
        <xdr:cNvPr id="3282" name="직선 화살표 연결선 3281">
          <a:extLst>
            <a:ext uri="{FF2B5EF4-FFF2-40B4-BE49-F238E27FC236}">
              <a16:creationId xmlns:a16="http://schemas.microsoft.com/office/drawing/2014/main" id="{0A05D786-17E4-4509-A3B7-F5A7DC3C4564}"/>
            </a:ext>
          </a:extLst>
        </xdr:cNvPr>
        <xdr:cNvCxnSpPr/>
      </xdr:nvCxnSpPr>
      <xdr:spPr>
        <a:xfrm>
          <a:off x="8859883" y="1607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103</xdr:row>
      <xdr:rowOff>30480</xdr:rowOff>
    </xdr:from>
    <xdr:to>
      <xdr:col>30</xdr:col>
      <xdr:colOff>103415</xdr:colOff>
      <xdr:row>103</xdr:row>
      <xdr:rowOff>144780</xdr:rowOff>
    </xdr:to>
    <xdr:sp macro="" textlink="">
      <xdr:nvSpPr>
        <xdr:cNvPr id="3283" name="직사각형 3282">
          <a:extLst>
            <a:ext uri="{FF2B5EF4-FFF2-40B4-BE49-F238E27FC236}">
              <a16:creationId xmlns:a16="http://schemas.microsoft.com/office/drawing/2014/main" id="{A96F6F27-EDF8-4388-A89C-659E25105E85}"/>
            </a:ext>
          </a:extLst>
        </xdr:cNvPr>
        <xdr:cNvSpPr/>
      </xdr:nvSpPr>
      <xdr:spPr>
        <a:xfrm>
          <a:off x="8839200" y="158610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103</xdr:row>
      <xdr:rowOff>87630</xdr:rowOff>
    </xdr:from>
    <xdr:to>
      <xdr:col>30</xdr:col>
      <xdr:colOff>0</xdr:colOff>
      <xdr:row>103</xdr:row>
      <xdr:rowOff>87630</xdr:rowOff>
    </xdr:to>
    <xdr:cxnSp macro="">
      <xdr:nvCxnSpPr>
        <xdr:cNvPr id="3284" name="직선 화살표 연결선 3283">
          <a:extLst>
            <a:ext uri="{FF2B5EF4-FFF2-40B4-BE49-F238E27FC236}">
              <a16:creationId xmlns:a16="http://schemas.microsoft.com/office/drawing/2014/main" id="{FCFFF76B-AD65-4094-A29F-93785E5C9388}"/>
            </a:ext>
          </a:extLst>
        </xdr:cNvPr>
        <xdr:cNvCxnSpPr/>
      </xdr:nvCxnSpPr>
      <xdr:spPr>
        <a:xfrm>
          <a:off x="8839200" y="1591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140970</xdr:colOff>
      <xdr:row>102</xdr:row>
      <xdr:rowOff>30480</xdr:rowOff>
    </xdr:from>
    <xdr:to>
      <xdr:col>29</xdr:col>
      <xdr:colOff>101509</xdr:colOff>
      <xdr:row>102</xdr:row>
      <xdr:rowOff>144780</xdr:rowOff>
    </xdr:to>
    <xdr:sp macro="" textlink="">
      <xdr:nvSpPr>
        <xdr:cNvPr id="3285" name="직사각형 3284">
          <a:extLst>
            <a:ext uri="{FF2B5EF4-FFF2-40B4-BE49-F238E27FC236}">
              <a16:creationId xmlns:a16="http://schemas.microsoft.com/office/drawing/2014/main" id="{7B154770-7F39-40D2-B47F-20F8F08277F8}"/>
            </a:ext>
          </a:extLst>
        </xdr:cNvPr>
        <xdr:cNvSpPr/>
      </xdr:nvSpPr>
      <xdr:spPr>
        <a:xfrm>
          <a:off x="8694420" y="15708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140970</xdr:colOff>
      <xdr:row>102</xdr:row>
      <xdr:rowOff>87630</xdr:rowOff>
    </xdr:from>
    <xdr:to>
      <xdr:col>28</xdr:col>
      <xdr:colOff>140970</xdr:colOff>
      <xdr:row>102</xdr:row>
      <xdr:rowOff>87630</xdr:rowOff>
    </xdr:to>
    <xdr:cxnSp macro="">
      <xdr:nvCxnSpPr>
        <xdr:cNvPr id="3286" name="직선 화살표 연결선 3285">
          <a:extLst>
            <a:ext uri="{FF2B5EF4-FFF2-40B4-BE49-F238E27FC236}">
              <a16:creationId xmlns:a16="http://schemas.microsoft.com/office/drawing/2014/main" id="{9F123271-542C-4004-9E8A-67D5DD8C9147}"/>
            </a:ext>
          </a:extLst>
        </xdr:cNvPr>
        <xdr:cNvCxnSpPr/>
      </xdr:nvCxnSpPr>
      <xdr:spPr>
        <a:xfrm>
          <a:off x="8694420" y="1576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xdr:colOff>
      <xdr:row>101</xdr:row>
      <xdr:rowOff>30480</xdr:rowOff>
    </xdr:from>
    <xdr:to>
      <xdr:col>31</xdr:col>
      <xdr:colOff>84637</xdr:colOff>
      <xdr:row>101</xdr:row>
      <xdr:rowOff>144780</xdr:rowOff>
    </xdr:to>
    <xdr:sp macro="" textlink="">
      <xdr:nvSpPr>
        <xdr:cNvPr id="3287" name="직사각형 3286">
          <a:extLst>
            <a:ext uri="{FF2B5EF4-FFF2-40B4-BE49-F238E27FC236}">
              <a16:creationId xmlns:a16="http://schemas.microsoft.com/office/drawing/2014/main" id="{227BA6D3-2DAD-428D-AC3F-DC18A4DA77D2}"/>
            </a:ext>
          </a:extLst>
        </xdr:cNvPr>
        <xdr:cNvSpPr/>
      </xdr:nvSpPr>
      <xdr:spPr>
        <a:xfrm>
          <a:off x="8983980" y="15556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xdr:colOff>
      <xdr:row>101</xdr:row>
      <xdr:rowOff>87630</xdr:rowOff>
    </xdr:from>
    <xdr:to>
      <xdr:col>31</xdr:col>
      <xdr:colOff>1905</xdr:colOff>
      <xdr:row>101</xdr:row>
      <xdr:rowOff>87630</xdr:rowOff>
    </xdr:to>
    <xdr:cxnSp macro="">
      <xdr:nvCxnSpPr>
        <xdr:cNvPr id="3288" name="직선 화살표 연결선 3287">
          <a:extLst>
            <a:ext uri="{FF2B5EF4-FFF2-40B4-BE49-F238E27FC236}">
              <a16:creationId xmlns:a16="http://schemas.microsoft.com/office/drawing/2014/main" id="{0983C37E-7127-4988-8F83-5B5E534E3779}"/>
            </a:ext>
          </a:extLst>
        </xdr:cNvPr>
        <xdr:cNvCxnSpPr/>
      </xdr:nvCxnSpPr>
      <xdr:spPr>
        <a:xfrm>
          <a:off x="8983980" y="1561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140970</xdr:colOff>
      <xdr:row>100</xdr:row>
      <xdr:rowOff>30480</xdr:rowOff>
    </xdr:from>
    <xdr:to>
      <xdr:col>31</xdr:col>
      <xdr:colOff>84637</xdr:colOff>
      <xdr:row>100</xdr:row>
      <xdr:rowOff>144780</xdr:rowOff>
    </xdr:to>
    <xdr:sp macro="" textlink="">
      <xdr:nvSpPr>
        <xdr:cNvPr id="3289" name="직사각형 3288">
          <a:extLst>
            <a:ext uri="{FF2B5EF4-FFF2-40B4-BE49-F238E27FC236}">
              <a16:creationId xmlns:a16="http://schemas.microsoft.com/office/drawing/2014/main" id="{A99E8B19-5908-44FF-B724-9B4A41D48A84}"/>
            </a:ext>
          </a:extLst>
        </xdr:cNvPr>
        <xdr:cNvSpPr/>
      </xdr:nvSpPr>
      <xdr:spPr>
        <a:xfrm>
          <a:off x="8694420" y="154038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140970</xdr:colOff>
      <xdr:row>100</xdr:row>
      <xdr:rowOff>87630</xdr:rowOff>
    </xdr:from>
    <xdr:to>
      <xdr:col>28</xdr:col>
      <xdr:colOff>140970</xdr:colOff>
      <xdr:row>100</xdr:row>
      <xdr:rowOff>87630</xdr:rowOff>
    </xdr:to>
    <xdr:cxnSp macro="">
      <xdr:nvCxnSpPr>
        <xdr:cNvPr id="3290" name="직선 화살표 연결선 3289">
          <a:extLst>
            <a:ext uri="{FF2B5EF4-FFF2-40B4-BE49-F238E27FC236}">
              <a16:creationId xmlns:a16="http://schemas.microsoft.com/office/drawing/2014/main" id="{5A1744B2-C567-424C-8018-6956D0B0F7EB}"/>
            </a:ext>
          </a:extLst>
        </xdr:cNvPr>
        <xdr:cNvCxnSpPr/>
      </xdr:nvCxnSpPr>
      <xdr:spPr>
        <a:xfrm>
          <a:off x="8694420" y="1546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97</xdr:row>
      <xdr:rowOff>30480</xdr:rowOff>
    </xdr:from>
    <xdr:to>
      <xdr:col>31</xdr:col>
      <xdr:colOff>63953</xdr:colOff>
      <xdr:row>97</xdr:row>
      <xdr:rowOff>144780</xdr:rowOff>
    </xdr:to>
    <xdr:sp macro="" textlink="">
      <xdr:nvSpPr>
        <xdr:cNvPr id="3291" name="직사각형 3290">
          <a:extLst>
            <a:ext uri="{FF2B5EF4-FFF2-40B4-BE49-F238E27FC236}">
              <a16:creationId xmlns:a16="http://schemas.microsoft.com/office/drawing/2014/main" id="{B8400611-0888-42A8-BC49-DEE25DE499DC}"/>
            </a:ext>
          </a:extLst>
        </xdr:cNvPr>
        <xdr:cNvSpPr/>
      </xdr:nvSpPr>
      <xdr:spPr>
        <a:xfrm>
          <a:off x="8756469" y="14946630"/>
          <a:ext cx="2895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97</xdr:row>
      <xdr:rowOff>87630</xdr:rowOff>
    </xdr:from>
    <xdr:to>
      <xdr:col>29</xdr:col>
      <xdr:colOff>60144</xdr:colOff>
      <xdr:row>97</xdr:row>
      <xdr:rowOff>87630</xdr:rowOff>
    </xdr:to>
    <xdr:cxnSp macro="">
      <xdr:nvCxnSpPr>
        <xdr:cNvPr id="3292" name="직선 화살표 연결선 3291">
          <a:extLst>
            <a:ext uri="{FF2B5EF4-FFF2-40B4-BE49-F238E27FC236}">
              <a16:creationId xmlns:a16="http://schemas.microsoft.com/office/drawing/2014/main" id="{AA5FE060-F665-424C-B079-DB86F4A77F94}"/>
            </a:ext>
          </a:extLst>
        </xdr:cNvPr>
        <xdr:cNvCxnSpPr/>
      </xdr:nvCxnSpPr>
      <xdr:spPr>
        <a:xfrm>
          <a:off x="8756469" y="1500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95</xdr:row>
      <xdr:rowOff>30480</xdr:rowOff>
    </xdr:from>
    <xdr:to>
      <xdr:col>30</xdr:col>
      <xdr:colOff>103415</xdr:colOff>
      <xdr:row>95</xdr:row>
      <xdr:rowOff>144780</xdr:rowOff>
    </xdr:to>
    <xdr:sp macro="" textlink="">
      <xdr:nvSpPr>
        <xdr:cNvPr id="3293" name="직사각형 3292">
          <a:extLst>
            <a:ext uri="{FF2B5EF4-FFF2-40B4-BE49-F238E27FC236}">
              <a16:creationId xmlns:a16="http://schemas.microsoft.com/office/drawing/2014/main" id="{07899A4F-20B0-4447-8A14-B84FEBA6BA29}"/>
            </a:ext>
          </a:extLst>
        </xdr:cNvPr>
        <xdr:cNvSpPr/>
      </xdr:nvSpPr>
      <xdr:spPr>
        <a:xfrm>
          <a:off x="8880566" y="14641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95</xdr:row>
      <xdr:rowOff>87630</xdr:rowOff>
    </xdr:from>
    <xdr:to>
      <xdr:col>30</xdr:col>
      <xdr:colOff>41366</xdr:colOff>
      <xdr:row>95</xdr:row>
      <xdr:rowOff>87630</xdr:rowOff>
    </xdr:to>
    <xdr:cxnSp macro="">
      <xdr:nvCxnSpPr>
        <xdr:cNvPr id="3294" name="직선 화살표 연결선 3293">
          <a:extLst>
            <a:ext uri="{FF2B5EF4-FFF2-40B4-BE49-F238E27FC236}">
              <a16:creationId xmlns:a16="http://schemas.microsoft.com/office/drawing/2014/main" id="{E5C931A8-EF47-46D1-8074-7C3412189639}"/>
            </a:ext>
          </a:extLst>
        </xdr:cNvPr>
        <xdr:cNvCxnSpPr/>
      </xdr:nvCxnSpPr>
      <xdr:spPr>
        <a:xfrm>
          <a:off x="8880566"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94</xdr:row>
      <xdr:rowOff>30480</xdr:rowOff>
    </xdr:from>
    <xdr:to>
      <xdr:col>31</xdr:col>
      <xdr:colOff>63953</xdr:colOff>
      <xdr:row>94</xdr:row>
      <xdr:rowOff>144780</xdr:rowOff>
    </xdr:to>
    <xdr:sp macro="" textlink="">
      <xdr:nvSpPr>
        <xdr:cNvPr id="3295" name="직사각형 3294">
          <a:extLst>
            <a:ext uri="{FF2B5EF4-FFF2-40B4-BE49-F238E27FC236}">
              <a16:creationId xmlns:a16="http://schemas.microsoft.com/office/drawing/2014/main" id="{7B06DD50-42DE-40A4-94CB-6FC51B1C6FD6}"/>
            </a:ext>
          </a:extLst>
        </xdr:cNvPr>
        <xdr:cNvSpPr/>
      </xdr:nvSpPr>
      <xdr:spPr>
        <a:xfrm>
          <a:off x="8756469" y="14489430"/>
          <a:ext cx="2895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94</xdr:row>
      <xdr:rowOff>87630</xdr:rowOff>
    </xdr:from>
    <xdr:to>
      <xdr:col>29</xdr:col>
      <xdr:colOff>60144</xdr:colOff>
      <xdr:row>94</xdr:row>
      <xdr:rowOff>87630</xdr:rowOff>
    </xdr:to>
    <xdr:cxnSp macro="">
      <xdr:nvCxnSpPr>
        <xdr:cNvPr id="3296" name="직선 화살표 연결선 3295">
          <a:extLst>
            <a:ext uri="{FF2B5EF4-FFF2-40B4-BE49-F238E27FC236}">
              <a16:creationId xmlns:a16="http://schemas.microsoft.com/office/drawing/2014/main" id="{AB8735BC-70CD-4491-95F6-DD6D82103D2F}"/>
            </a:ext>
          </a:extLst>
        </xdr:cNvPr>
        <xdr:cNvCxnSpPr/>
      </xdr:nvCxnSpPr>
      <xdr:spPr>
        <a:xfrm>
          <a:off x="8756469" y="1454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91</xdr:row>
      <xdr:rowOff>30480</xdr:rowOff>
    </xdr:from>
    <xdr:to>
      <xdr:col>29</xdr:col>
      <xdr:colOff>39460</xdr:colOff>
      <xdr:row>91</xdr:row>
      <xdr:rowOff>144780</xdr:rowOff>
    </xdr:to>
    <xdr:sp macro="" textlink="">
      <xdr:nvSpPr>
        <xdr:cNvPr id="3297" name="직사각형 3296">
          <a:extLst>
            <a:ext uri="{FF2B5EF4-FFF2-40B4-BE49-F238E27FC236}">
              <a16:creationId xmlns:a16="http://schemas.microsoft.com/office/drawing/2014/main" id="{EE1DD2BC-C38A-4A5B-9FD8-F64AB428ADBC}"/>
            </a:ext>
          </a:extLst>
        </xdr:cNvPr>
        <xdr:cNvSpPr/>
      </xdr:nvSpPr>
      <xdr:spPr>
        <a:xfrm>
          <a:off x="8611688" y="140322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91</xdr:row>
      <xdr:rowOff>87630</xdr:rowOff>
    </xdr:from>
    <xdr:to>
      <xdr:col>29</xdr:col>
      <xdr:colOff>27051</xdr:colOff>
      <xdr:row>91</xdr:row>
      <xdr:rowOff>87630</xdr:rowOff>
    </xdr:to>
    <xdr:cxnSp macro="">
      <xdr:nvCxnSpPr>
        <xdr:cNvPr id="3298" name="직선 화살표 연결선 3297">
          <a:extLst>
            <a:ext uri="{FF2B5EF4-FFF2-40B4-BE49-F238E27FC236}">
              <a16:creationId xmlns:a16="http://schemas.microsoft.com/office/drawing/2014/main" id="{421C89B9-D2DF-415C-894D-0BED0E20307A}"/>
            </a:ext>
          </a:extLst>
        </xdr:cNvPr>
        <xdr:cNvCxnSpPr/>
      </xdr:nvCxnSpPr>
      <xdr:spPr>
        <a:xfrm>
          <a:off x="8611688" y="14089380"/>
          <a:ext cx="1116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88</xdr:row>
      <xdr:rowOff>30480</xdr:rowOff>
    </xdr:from>
    <xdr:to>
      <xdr:col>29</xdr:col>
      <xdr:colOff>39460</xdr:colOff>
      <xdr:row>88</xdr:row>
      <xdr:rowOff>144780</xdr:rowOff>
    </xdr:to>
    <xdr:sp macro="" textlink="">
      <xdr:nvSpPr>
        <xdr:cNvPr id="3299" name="직사각형 3298">
          <a:extLst>
            <a:ext uri="{FF2B5EF4-FFF2-40B4-BE49-F238E27FC236}">
              <a16:creationId xmlns:a16="http://schemas.microsoft.com/office/drawing/2014/main" id="{B4D8434D-CAE8-419C-B3F1-4F973D6FFBAA}"/>
            </a:ext>
          </a:extLst>
        </xdr:cNvPr>
        <xdr:cNvSpPr/>
      </xdr:nvSpPr>
      <xdr:spPr>
        <a:xfrm>
          <a:off x="8611688" y="135750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88</xdr:row>
      <xdr:rowOff>87630</xdr:rowOff>
    </xdr:from>
    <xdr:to>
      <xdr:col>29</xdr:col>
      <xdr:colOff>27051</xdr:colOff>
      <xdr:row>88</xdr:row>
      <xdr:rowOff>87630</xdr:rowOff>
    </xdr:to>
    <xdr:cxnSp macro="">
      <xdr:nvCxnSpPr>
        <xdr:cNvPr id="3300" name="직선 화살표 연결선 3299">
          <a:extLst>
            <a:ext uri="{FF2B5EF4-FFF2-40B4-BE49-F238E27FC236}">
              <a16:creationId xmlns:a16="http://schemas.microsoft.com/office/drawing/2014/main" id="{D4D043C3-6E75-4C22-94DF-C4F1B4B38CD7}"/>
            </a:ext>
          </a:extLst>
        </xdr:cNvPr>
        <xdr:cNvCxnSpPr/>
      </xdr:nvCxnSpPr>
      <xdr:spPr>
        <a:xfrm>
          <a:off x="8611688" y="13632180"/>
          <a:ext cx="1116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87</xdr:row>
      <xdr:rowOff>30480</xdr:rowOff>
    </xdr:from>
    <xdr:to>
      <xdr:col>34</xdr:col>
      <xdr:colOff>111034</xdr:colOff>
      <xdr:row>87</xdr:row>
      <xdr:rowOff>144780</xdr:rowOff>
    </xdr:to>
    <xdr:sp macro="" textlink="">
      <xdr:nvSpPr>
        <xdr:cNvPr id="3301" name="직사각형 3300">
          <a:extLst>
            <a:ext uri="{FF2B5EF4-FFF2-40B4-BE49-F238E27FC236}">
              <a16:creationId xmlns:a16="http://schemas.microsoft.com/office/drawing/2014/main" id="{2AE2C2B5-99A1-45EB-9A04-7A278407F439}"/>
            </a:ext>
          </a:extLst>
        </xdr:cNvPr>
        <xdr:cNvSpPr/>
      </xdr:nvSpPr>
      <xdr:spPr>
        <a:xfrm>
          <a:off x="8611688" y="13422630"/>
          <a:ext cx="9100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87</xdr:row>
      <xdr:rowOff>87630</xdr:rowOff>
    </xdr:from>
    <xdr:to>
      <xdr:col>28</xdr:col>
      <xdr:colOff>105719</xdr:colOff>
      <xdr:row>87</xdr:row>
      <xdr:rowOff>87630</xdr:rowOff>
    </xdr:to>
    <xdr:cxnSp macro="">
      <xdr:nvCxnSpPr>
        <xdr:cNvPr id="3302" name="직선 화살표 연결선 3301">
          <a:extLst>
            <a:ext uri="{FF2B5EF4-FFF2-40B4-BE49-F238E27FC236}">
              <a16:creationId xmlns:a16="http://schemas.microsoft.com/office/drawing/2014/main" id="{72AFB94D-79E6-407C-8D01-E33B9D4B189E}"/>
            </a:ext>
          </a:extLst>
        </xdr:cNvPr>
        <xdr:cNvCxnSpPr/>
      </xdr:nvCxnSpPr>
      <xdr:spPr>
        <a:xfrm>
          <a:off x="8611688" y="13479780"/>
          <a:ext cx="474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52796</xdr:colOff>
      <xdr:row>53</xdr:row>
      <xdr:rowOff>30480</xdr:rowOff>
    </xdr:from>
    <xdr:to>
      <xdr:col>36</xdr:col>
      <xdr:colOff>94162</xdr:colOff>
      <xdr:row>53</xdr:row>
      <xdr:rowOff>144780</xdr:rowOff>
    </xdr:to>
    <xdr:sp macro="" textlink="">
      <xdr:nvSpPr>
        <xdr:cNvPr id="3303" name="직사각형 3302">
          <a:extLst>
            <a:ext uri="{FF2B5EF4-FFF2-40B4-BE49-F238E27FC236}">
              <a16:creationId xmlns:a16="http://schemas.microsoft.com/office/drawing/2014/main" id="{E55D9B6E-C134-4DA3-AF3E-06CD0B90FB1A}"/>
            </a:ext>
          </a:extLst>
        </xdr:cNvPr>
        <xdr:cNvSpPr/>
      </xdr:nvSpPr>
      <xdr:spPr>
        <a:xfrm>
          <a:off x="9749246" y="8241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52796</xdr:colOff>
      <xdr:row>53</xdr:row>
      <xdr:rowOff>87630</xdr:rowOff>
    </xdr:from>
    <xdr:to>
      <xdr:col>36</xdr:col>
      <xdr:colOff>52796</xdr:colOff>
      <xdr:row>53</xdr:row>
      <xdr:rowOff>87630</xdr:rowOff>
    </xdr:to>
    <xdr:cxnSp macro="">
      <xdr:nvCxnSpPr>
        <xdr:cNvPr id="3304" name="직선 화살표 연결선 3303">
          <a:extLst>
            <a:ext uri="{FF2B5EF4-FFF2-40B4-BE49-F238E27FC236}">
              <a16:creationId xmlns:a16="http://schemas.microsoft.com/office/drawing/2014/main" id="{2C03CA11-4C6D-41A0-A3B5-09EFFE3C2D53}"/>
            </a:ext>
          </a:extLst>
        </xdr:cNvPr>
        <xdr:cNvCxnSpPr/>
      </xdr:nvCxnSpPr>
      <xdr:spPr>
        <a:xfrm>
          <a:off x="9749246"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32113</xdr:colOff>
      <xdr:row>52</xdr:row>
      <xdr:rowOff>30480</xdr:rowOff>
    </xdr:from>
    <xdr:to>
      <xdr:col>36</xdr:col>
      <xdr:colOff>52796</xdr:colOff>
      <xdr:row>52</xdr:row>
      <xdr:rowOff>144780</xdr:rowOff>
    </xdr:to>
    <xdr:sp macro="" textlink="">
      <xdr:nvSpPr>
        <xdr:cNvPr id="3305" name="직사각형 3304">
          <a:extLst>
            <a:ext uri="{FF2B5EF4-FFF2-40B4-BE49-F238E27FC236}">
              <a16:creationId xmlns:a16="http://schemas.microsoft.com/office/drawing/2014/main" id="{79F50788-E199-4B6A-875E-84D7453009D2}"/>
            </a:ext>
          </a:extLst>
        </xdr:cNvPr>
        <xdr:cNvSpPr/>
      </xdr:nvSpPr>
      <xdr:spPr>
        <a:xfrm>
          <a:off x="9728563" y="8088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32113</xdr:colOff>
      <xdr:row>52</xdr:row>
      <xdr:rowOff>87630</xdr:rowOff>
    </xdr:from>
    <xdr:to>
      <xdr:col>36</xdr:col>
      <xdr:colOff>32113</xdr:colOff>
      <xdr:row>52</xdr:row>
      <xdr:rowOff>87630</xdr:rowOff>
    </xdr:to>
    <xdr:cxnSp macro="">
      <xdr:nvCxnSpPr>
        <xdr:cNvPr id="3306" name="직선 화살표 연결선 3305">
          <a:extLst>
            <a:ext uri="{FF2B5EF4-FFF2-40B4-BE49-F238E27FC236}">
              <a16:creationId xmlns:a16="http://schemas.microsoft.com/office/drawing/2014/main" id="{53BFA85F-78E1-45A5-AC48-0A7750862630}"/>
            </a:ext>
          </a:extLst>
        </xdr:cNvPr>
        <xdr:cNvCxnSpPr/>
      </xdr:nvCxnSpPr>
      <xdr:spPr>
        <a:xfrm>
          <a:off x="9728563"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92256</xdr:colOff>
      <xdr:row>51</xdr:row>
      <xdr:rowOff>30480</xdr:rowOff>
    </xdr:from>
    <xdr:to>
      <xdr:col>36</xdr:col>
      <xdr:colOff>32113</xdr:colOff>
      <xdr:row>51</xdr:row>
      <xdr:rowOff>144780</xdr:rowOff>
    </xdr:to>
    <xdr:sp macro="" textlink="">
      <xdr:nvSpPr>
        <xdr:cNvPr id="3307" name="직사각형 3306">
          <a:extLst>
            <a:ext uri="{FF2B5EF4-FFF2-40B4-BE49-F238E27FC236}">
              <a16:creationId xmlns:a16="http://schemas.microsoft.com/office/drawing/2014/main" id="{8FC3AAFF-B8F2-40BE-8745-6308099FE8C2}"/>
            </a:ext>
          </a:extLst>
        </xdr:cNvPr>
        <xdr:cNvSpPr/>
      </xdr:nvSpPr>
      <xdr:spPr>
        <a:xfrm>
          <a:off x="9645831" y="7936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92256</xdr:colOff>
      <xdr:row>51</xdr:row>
      <xdr:rowOff>87630</xdr:rowOff>
    </xdr:from>
    <xdr:to>
      <xdr:col>35</xdr:col>
      <xdr:colOff>92256</xdr:colOff>
      <xdr:row>51</xdr:row>
      <xdr:rowOff>87630</xdr:rowOff>
    </xdr:to>
    <xdr:cxnSp macro="">
      <xdr:nvCxnSpPr>
        <xdr:cNvPr id="3308" name="직선 화살표 연결선 3307">
          <a:extLst>
            <a:ext uri="{FF2B5EF4-FFF2-40B4-BE49-F238E27FC236}">
              <a16:creationId xmlns:a16="http://schemas.microsoft.com/office/drawing/2014/main" id="{8E6E85E7-024C-4E44-B50D-E01E0BFA759D}"/>
            </a:ext>
          </a:extLst>
        </xdr:cNvPr>
        <xdr:cNvCxnSpPr/>
      </xdr:nvCxnSpPr>
      <xdr:spPr>
        <a:xfrm>
          <a:off x="9645831"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92256</xdr:colOff>
      <xdr:row>50</xdr:row>
      <xdr:rowOff>30480</xdr:rowOff>
    </xdr:from>
    <xdr:to>
      <xdr:col>36</xdr:col>
      <xdr:colOff>94162</xdr:colOff>
      <xdr:row>50</xdr:row>
      <xdr:rowOff>144780</xdr:rowOff>
    </xdr:to>
    <xdr:sp macro="" textlink="">
      <xdr:nvSpPr>
        <xdr:cNvPr id="3309" name="직사각형 3308">
          <a:extLst>
            <a:ext uri="{FF2B5EF4-FFF2-40B4-BE49-F238E27FC236}">
              <a16:creationId xmlns:a16="http://schemas.microsoft.com/office/drawing/2014/main" id="{80FCF829-A36F-48D0-9DE2-433CF20053E8}"/>
            </a:ext>
          </a:extLst>
        </xdr:cNvPr>
        <xdr:cNvSpPr/>
      </xdr:nvSpPr>
      <xdr:spPr>
        <a:xfrm>
          <a:off x="9645831" y="7783830"/>
          <a:ext cx="144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92256</xdr:colOff>
      <xdr:row>50</xdr:row>
      <xdr:rowOff>87630</xdr:rowOff>
    </xdr:from>
    <xdr:to>
      <xdr:col>35</xdr:col>
      <xdr:colOff>92256</xdr:colOff>
      <xdr:row>50</xdr:row>
      <xdr:rowOff>87630</xdr:rowOff>
    </xdr:to>
    <xdr:cxnSp macro="">
      <xdr:nvCxnSpPr>
        <xdr:cNvPr id="3310" name="직선 화살표 연결선 3309">
          <a:extLst>
            <a:ext uri="{FF2B5EF4-FFF2-40B4-BE49-F238E27FC236}">
              <a16:creationId xmlns:a16="http://schemas.microsoft.com/office/drawing/2014/main" id="{BA49125A-E999-43AB-AF51-4AFA6C1DD4DC}"/>
            </a:ext>
          </a:extLst>
        </xdr:cNvPr>
        <xdr:cNvCxnSpPr/>
      </xdr:nvCxnSpPr>
      <xdr:spPr>
        <a:xfrm>
          <a:off x="9645831"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xdr:colOff>
      <xdr:row>48</xdr:row>
      <xdr:rowOff>30480</xdr:rowOff>
    </xdr:from>
    <xdr:to>
      <xdr:col>34</xdr:col>
      <xdr:colOff>28303</xdr:colOff>
      <xdr:row>48</xdr:row>
      <xdr:rowOff>144780</xdr:rowOff>
    </xdr:to>
    <xdr:sp macro="" textlink="">
      <xdr:nvSpPr>
        <xdr:cNvPr id="3311" name="직사각형 3310">
          <a:extLst>
            <a:ext uri="{FF2B5EF4-FFF2-40B4-BE49-F238E27FC236}">
              <a16:creationId xmlns:a16="http://schemas.microsoft.com/office/drawing/2014/main" id="{CC14CF78-E27C-45B0-9AA8-8764F268A879}"/>
            </a:ext>
          </a:extLst>
        </xdr:cNvPr>
        <xdr:cNvSpPr/>
      </xdr:nvSpPr>
      <xdr:spPr>
        <a:xfrm>
          <a:off x="9418320" y="7479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xdr:colOff>
      <xdr:row>48</xdr:row>
      <xdr:rowOff>87630</xdr:rowOff>
    </xdr:from>
    <xdr:to>
      <xdr:col>34</xdr:col>
      <xdr:colOff>7620</xdr:colOff>
      <xdr:row>48</xdr:row>
      <xdr:rowOff>87630</xdr:rowOff>
    </xdr:to>
    <xdr:cxnSp macro="">
      <xdr:nvCxnSpPr>
        <xdr:cNvPr id="3312" name="직선 화살표 연결선 3311">
          <a:extLst>
            <a:ext uri="{FF2B5EF4-FFF2-40B4-BE49-F238E27FC236}">
              <a16:creationId xmlns:a16="http://schemas.microsoft.com/office/drawing/2014/main" id="{CB36CA14-6865-49B8-A14F-07823CCF9DA8}"/>
            </a:ext>
          </a:extLst>
        </xdr:cNvPr>
        <xdr:cNvCxnSpPr/>
      </xdr:nvCxnSpPr>
      <xdr:spPr>
        <a:xfrm>
          <a:off x="9418320"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xdr:colOff>
      <xdr:row>47</xdr:row>
      <xdr:rowOff>30480</xdr:rowOff>
    </xdr:from>
    <xdr:to>
      <xdr:col>34</xdr:col>
      <xdr:colOff>28303</xdr:colOff>
      <xdr:row>47</xdr:row>
      <xdr:rowOff>144780</xdr:rowOff>
    </xdr:to>
    <xdr:sp macro="" textlink="">
      <xdr:nvSpPr>
        <xdr:cNvPr id="3313" name="직사각형 3312">
          <a:extLst>
            <a:ext uri="{FF2B5EF4-FFF2-40B4-BE49-F238E27FC236}">
              <a16:creationId xmlns:a16="http://schemas.microsoft.com/office/drawing/2014/main" id="{2CED9011-DAA6-482E-AA4F-1FEF5B8B38BF}"/>
            </a:ext>
          </a:extLst>
        </xdr:cNvPr>
        <xdr:cNvSpPr/>
      </xdr:nvSpPr>
      <xdr:spPr>
        <a:xfrm>
          <a:off x="9418320" y="7326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xdr:colOff>
      <xdr:row>47</xdr:row>
      <xdr:rowOff>87630</xdr:rowOff>
    </xdr:from>
    <xdr:to>
      <xdr:col>34</xdr:col>
      <xdr:colOff>7620</xdr:colOff>
      <xdr:row>47</xdr:row>
      <xdr:rowOff>87630</xdr:rowOff>
    </xdr:to>
    <xdr:cxnSp macro="">
      <xdr:nvCxnSpPr>
        <xdr:cNvPr id="3314" name="직선 화살표 연결선 3313">
          <a:extLst>
            <a:ext uri="{FF2B5EF4-FFF2-40B4-BE49-F238E27FC236}">
              <a16:creationId xmlns:a16="http://schemas.microsoft.com/office/drawing/2014/main" id="{9E81E7AF-751C-4680-9CC5-F8B1BDCEDB0B}"/>
            </a:ext>
          </a:extLst>
        </xdr:cNvPr>
        <xdr:cNvCxnSpPr/>
      </xdr:nvCxnSpPr>
      <xdr:spPr>
        <a:xfrm>
          <a:off x="9418320"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88447</xdr:colOff>
      <xdr:row>46</xdr:row>
      <xdr:rowOff>30480</xdr:rowOff>
    </xdr:from>
    <xdr:to>
      <xdr:col>33</xdr:col>
      <xdr:colOff>109129</xdr:colOff>
      <xdr:row>46</xdr:row>
      <xdr:rowOff>144780</xdr:rowOff>
    </xdr:to>
    <xdr:sp macro="" textlink="">
      <xdr:nvSpPr>
        <xdr:cNvPr id="3315" name="직사각형 3314">
          <a:extLst>
            <a:ext uri="{FF2B5EF4-FFF2-40B4-BE49-F238E27FC236}">
              <a16:creationId xmlns:a16="http://schemas.microsoft.com/office/drawing/2014/main" id="{06EB9744-14EE-42AF-B840-936CE73A38FE}"/>
            </a:ext>
          </a:extLst>
        </xdr:cNvPr>
        <xdr:cNvSpPr/>
      </xdr:nvSpPr>
      <xdr:spPr>
        <a:xfrm>
          <a:off x="9356272" y="7174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88447</xdr:colOff>
      <xdr:row>46</xdr:row>
      <xdr:rowOff>87630</xdr:rowOff>
    </xdr:from>
    <xdr:to>
      <xdr:col>33</xdr:col>
      <xdr:colOff>88447</xdr:colOff>
      <xdr:row>46</xdr:row>
      <xdr:rowOff>87630</xdr:rowOff>
    </xdr:to>
    <xdr:cxnSp macro="">
      <xdr:nvCxnSpPr>
        <xdr:cNvPr id="3316" name="직선 화살표 연결선 3315">
          <a:extLst>
            <a:ext uri="{FF2B5EF4-FFF2-40B4-BE49-F238E27FC236}">
              <a16:creationId xmlns:a16="http://schemas.microsoft.com/office/drawing/2014/main" id="{7A15C4D7-1E41-448D-868B-0667920CAC83}"/>
            </a:ext>
          </a:extLst>
        </xdr:cNvPr>
        <xdr:cNvCxnSpPr/>
      </xdr:nvCxnSpPr>
      <xdr:spPr>
        <a:xfrm>
          <a:off x="9356272"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88447</xdr:colOff>
      <xdr:row>44</xdr:row>
      <xdr:rowOff>30480</xdr:rowOff>
    </xdr:from>
    <xdr:to>
      <xdr:col>34</xdr:col>
      <xdr:colOff>28303</xdr:colOff>
      <xdr:row>44</xdr:row>
      <xdr:rowOff>144780</xdr:rowOff>
    </xdr:to>
    <xdr:sp macro="" textlink="">
      <xdr:nvSpPr>
        <xdr:cNvPr id="3317" name="직사각형 3316">
          <a:extLst>
            <a:ext uri="{FF2B5EF4-FFF2-40B4-BE49-F238E27FC236}">
              <a16:creationId xmlns:a16="http://schemas.microsoft.com/office/drawing/2014/main" id="{1E7A65F7-D235-470D-A296-2C40AA1A6C8B}"/>
            </a:ext>
          </a:extLst>
        </xdr:cNvPr>
        <xdr:cNvSpPr/>
      </xdr:nvSpPr>
      <xdr:spPr>
        <a:xfrm>
          <a:off x="9356272" y="6869430"/>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88447</xdr:colOff>
      <xdr:row>44</xdr:row>
      <xdr:rowOff>87630</xdr:rowOff>
    </xdr:from>
    <xdr:to>
      <xdr:col>33</xdr:col>
      <xdr:colOff>88447</xdr:colOff>
      <xdr:row>44</xdr:row>
      <xdr:rowOff>87630</xdr:rowOff>
    </xdr:to>
    <xdr:cxnSp macro="">
      <xdr:nvCxnSpPr>
        <xdr:cNvPr id="3318" name="직선 화살표 연결선 3317">
          <a:extLst>
            <a:ext uri="{FF2B5EF4-FFF2-40B4-BE49-F238E27FC236}">
              <a16:creationId xmlns:a16="http://schemas.microsoft.com/office/drawing/2014/main" id="{EBAE9A1A-DBEE-4D8E-984D-FFA3631026B2}"/>
            </a:ext>
          </a:extLst>
        </xdr:cNvPr>
        <xdr:cNvCxnSpPr/>
      </xdr:nvCxnSpPr>
      <xdr:spPr>
        <a:xfrm>
          <a:off x="9356272"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84637</xdr:colOff>
      <xdr:row>42</xdr:row>
      <xdr:rowOff>30480</xdr:rowOff>
    </xdr:from>
    <xdr:to>
      <xdr:col>31</xdr:col>
      <xdr:colOff>105319</xdr:colOff>
      <xdr:row>42</xdr:row>
      <xdr:rowOff>144780</xdr:rowOff>
    </xdr:to>
    <xdr:sp macro="" textlink="">
      <xdr:nvSpPr>
        <xdr:cNvPr id="3319" name="직사각형 3318">
          <a:extLst>
            <a:ext uri="{FF2B5EF4-FFF2-40B4-BE49-F238E27FC236}">
              <a16:creationId xmlns:a16="http://schemas.microsoft.com/office/drawing/2014/main" id="{A56FB7F1-F25D-409D-87C2-9DCF079CC04D}"/>
            </a:ext>
          </a:extLst>
        </xdr:cNvPr>
        <xdr:cNvSpPr/>
      </xdr:nvSpPr>
      <xdr:spPr>
        <a:xfrm>
          <a:off x="9066712" y="6564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84637</xdr:colOff>
      <xdr:row>42</xdr:row>
      <xdr:rowOff>87630</xdr:rowOff>
    </xdr:from>
    <xdr:to>
      <xdr:col>31</xdr:col>
      <xdr:colOff>84637</xdr:colOff>
      <xdr:row>42</xdr:row>
      <xdr:rowOff>87630</xdr:rowOff>
    </xdr:to>
    <xdr:cxnSp macro="">
      <xdr:nvCxnSpPr>
        <xdr:cNvPr id="3320" name="직선 화살표 연결선 3319">
          <a:extLst>
            <a:ext uri="{FF2B5EF4-FFF2-40B4-BE49-F238E27FC236}">
              <a16:creationId xmlns:a16="http://schemas.microsoft.com/office/drawing/2014/main" id="{6A4D44BF-8860-474B-9CC1-38FC711F42A4}"/>
            </a:ext>
          </a:extLst>
        </xdr:cNvPr>
        <xdr:cNvCxnSpPr/>
      </xdr:nvCxnSpPr>
      <xdr:spPr>
        <a:xfrm>
          <a:off x="9066712"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43271</xdr:colOff>
      <xdr:row>41</xdr:row>
      <xdr:rowOff>30480</xdr:rowOff>
    </xdr:from>
    <xdr:to>
      <xdr:col>31</xdr:col>
      <xdr:colOff>84637</xdr:colOff>
      <xdr:row>41</xdr:row>
      <xdr:rowOff>144780</xdr:rowOff>
    </xdr:to>
    <xdr:sp macro="" textlink="">
      <xdr:nvSpPr>
        <xdr:cNvPr id="3321" name="직사각형 3320">
          <a:extLst>
            <a:ext uri="{FF2B5EF4-FFF2-40B4-BE49-F238E27FC236}">
              <a16:creationId xmlns:a16="http://schemas.microsoft.com/office/drawing/2014/main" id="{057C3B7F-C6C7-4726-A36A-B8C11E4EA74C}"/>
            </a:ext>
          </a:extLst>
        </xdr:cNvPr>
        <xdr:cNvSpPr/>
      </xdr:nvSpPr>
      <xdr:spPr>
        <a:xfrm>
          <a:off x="9025346" y="6412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43271</xdr:colOff>
      <xdr:row>41</xdr:row>
      <xdr:rowOff>87630</xdr:rowOff>
    </xdr:from>
    <xdr:to>
      <xdr:col>31</xdr:col>
      <xdr:colOff>43271</xdr:colOff>
      <xdr:row>41</xdr:row>
      <xdr:rowOff>87630</xdr:rowOff>
    </xdr:to>
    <xdr:cxnSp macro="">
      <xdr:nvCxnSpPr>
        <xdr:cNvPr id="3322" name="직선 화살표 연결선 3321">
          <a:extLst>
            <a:ext uri="{FF2B5EF4-FFF2-40B4-BE49-F238E27FC236}">
              <a16:creationId xmlns:a16="http://schemas.microsoft.com/office/drawing/2014/main" id="{4A6C404E-89A9-4334-908D-2E79553FC406}"/>
            </a:ext>
          </a:extLst>
        </xdr:cNvPr>
        <xdr:cNvCxnSpPr/>
      </xdr:nvCxnSpPr>
      <xdr:spPr>
        <a:xfrm>
          <a:off x="9025346"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43271</xdr:colOff>
      <xdr:row>40</xdr:row>
      <xdr:rowOff>30480</xdr:rowOff>
    </xdr:from>
    <xdr:to>
      <xdr:col>31</xdr:col>
      <xdr:colOff>63953</xdr:colOff>
      <xdr:row>40</xdr:row>
      <xdr:rowOff>144780</xdr:rowOff>
    </xdr:to>
    <xdr:sp macro="" textlink="">
      <xdr:nvSpPr>
        <xdr:cNvPr id="3323" name="직사각형 3322">
          <a:extLst>
            <a:ext uri="{FF2B5EF4-FFF2-40B4-BE49-F238E27FC236}">
              <a16:creationId xmlns:a16="http://schemas.microsoft.com/office/drawing/2014/main" id="{B3AD5AEB-49AC-47D0-8669-6FE01035D113}"/>
            </a:ext>
          </a:extLst>
        </xdr:cNvPr>
        <xdr:cNvSpPr/>
      </xdr:nvSpPr>
      <xdr:spPr>
        <a:xfrm>
          <a:off x="9025346" y="6259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43271</xdr:colOff>
      <xdr:row>40</xdr:row>
      <xdr:rowOff>87630</xdr:rowOff>
    </xdr:from>
    <xdr:to>
      <xdr:col>31</xdr:col>
      <xdr:colOff>43271</xdr:colOff>
      <xdr:row>40</xdr:row>
      <xdr:rowOff>87630</xdr:rowOff>
    </xdr:to>
    <xdr:cxnSp macro="">
      <xdr:nvCxnSpPr>
        <xdr:cNvPr id="3324" name="직선 화살표 연결선 3323">
          <a:extLst>
            <a:ext uri="{FF2B5EF4-FFF2-40B4-BE49-F238E27FC236}">
              <a16:creationId xmlns:a16="http://schemas.microsoft.com/office/drawing/2014/main" id="{E869937F-EC4A-4DEE-96E6-4845118F800B}"/>
            </a:ext>
          </a:extLst>
        </xdr:cNvPr>
        <xdr:cNvCxnSpPr/>
      </xdr:nvCxnSpPr>
      <xdr:spPr>
        <a:xfrm>
          <a:off x="9025346"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22588</xdr:colOff>
      <xdr:row>39</xdr:row>
      <xdr:rowOff>30480</xdr:rowOff>
    </xdr:from>
    <xdr:to>
      <xdr:col>31</xdr:col>
      <xdr:colOff>43271</xdr:colOff>
      <xdr:row>39</xdr:row>
      <xdr:rowOff>144780</xdr:rowOff>
    </xdr:to>
    <xdr:sp macro="" textlink="">
      <xdr:nvSpPr>
        <xdr:cNvPr id="3325" name="직사각형 3324">
          <a:extLst>
            <a:ext uri="{FF2B5EF4-FFF2-40B4-BE49-F238E27FC236}">
              <a16:creationId xmlns:a16="http://schemas.microsoft.com/office/drawing/2014/main" id="{F9434892-2A59-464A-9DF3-A7DEC6F4598E}"/>
            </a:ext>
          </a:extLst>
        </xdr:cNvPr>
        <xdr:cNvSpPr/>
      </xdr:nvSpPr>
      <xdr:spPr>
        <a:xfrm>
          <a:off x="9004663" y="6107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22588</xdr:colOff>
      <xdr:row>39</xdr:row>
      <xdr:rowOff>87630</xdr:rowOff>
    </xdr:from>
    <xdr:to>
      <xdr:col>31</xdr:col>
      <xdr:colOff>22588</xdr:colOff>
      <xdr:row>39</xdr:row>
      <xdr:rowOff>87630</xdr:rowOff>
    </xdr:to>
    <xdr:cxnSp macro="">
      <xdr:nvCxnSpPr>
        <xdr:cNvPr id="3326" name="직선 화살표 연결선 3325">
          <a:extLst>
            <a:ext uri="{FF2B5EF4-FFF2-40B4-BE49-F238E27FC236}">
              <a16:creationId xmlns:a16="http://schemas.microsoft.com/office/drawing/2014/main" id="{51704EA1-C063-4C54-965A-4C8627CEF0B6}"/>
            </a:ext>
          </a:extLst>
        </xdr:cNvPr>
        <xdr:cNvCxnSpPr/>
      </xdr:nvCxnSpPr>
      <xdr:spPr>
        <a:xfrm>
          <a:off x="9004663"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22588</xdr:colOff>
      <xdr:row>38</xdr:row>
      <xdr:rowOff>30480</xdr:rowOff>
    </xdr:from>
    <xdr:to>
      <xdr:col>31</xdr:col>
      <xdr:colOff>105319</xdr:colOff>
      <xdr:row>38</xdr:row>
      <xdr:rowOff>144780</xdr:rowOff>
    </xdr:to>
    <xdr:sp macro="" textlink="">
      <xdr:nvSpPr>
        <xdr:cNvPr id="3327" name="직사각형 3326">
          <a:extLst>
            <a:ext uri="{FF2B5EF4-FFF2-40B4-BE49-F238E27FC236}">
              <a16:creationId xmlns:a16="http://schemas.microsoft.com/office/drawing/2014/main" id="{102DB27E-FD54-491D-BA29-2FCD8E7400A0}"/>
            </a:ext>
          </a:extLst>
        </xdr:cNvPr>
        <xdr:cNvSpPr/>
      </xdr:nvSpPr>
      <xdr:spPr>
        <a:xfrm>
          <a:off x="9004663" y="5955030"/>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22588</xdr:colOff>
      <xdr:row>38</xdr:row>
      <xdr:rowOff>87630</xdr:rowOff>
    </xdr:from>
    <xdr:to>
      <xdr:col>31</xdr:col>
      <xdr:colOff>22588</xdr:colOff>
      <xdr:row>38</xdr:row>
      <xdr:rowOff>87630</xdr:rowOff>
    </xdr:to>
    <xdr:cxnSp macro="">
      <xdr:nvCxnSpPr>
        <xdr:cNvPr id="3328" name="직선 화살표 연결선 3327">
          <a:extLst>
            <a:ext uri="{FF2B5EF4-FFF2-40B4-BE49-F238E27FC236}">
              <a16:creationId xmlns:a16="http://schemas.microsoft.com/office/drawing/2014/main" id="{22E2CB7D-F171-409D-A460-0CE98BB4E8F3}"/>
            </a:ext>
          </a:extLst>
        </xdr:cNvPr>
        <xdr:cNvCxnSpPr/>
      </xdr:nvCxnSpPr>
      <xdr:spPr>
        <a:xfrm>
          <a:off x="9004663"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82731</xdr:colOff>
      <xdr:row>36</xdr:row>
      <xdr:rowOff>30480</xdr:rowOff>
    </xdr:from>
    <xdr:to>
      <xdr:col>30</xdr:col>
      <xdr:colOff>103415</xdr:colOff>
      <xdr:row>36</xdr:row>
      <xdr:rowOff>144780</xdr:rowOff>
    </xdr:to>
    <xdr:sp macro="" textlink="">
      <xdr:nvSpPr>
        <xdr:cNvPr id="3329" name="직사각형 3328">
          <a:extLst>
            <a:ext uri="{FF2B5EF4-FFF2-40B4-BE49-F238E27FC236}">
              <a16:creationId xmlns:a16="http://schemas.microsoft.com/office/drawing/2014/main" id="{DFA233D9-B702-4888-88C2-12E8B9E8F089}"/>
            </a:ext>
          </a:extLst>
        </xdr:cNvPr>
        <xdr:cNvSpPr/>
      </xdr:nvSpPr>
      <xdr:spPr>
        <a:xfrm>
          <a:off x="8921931" y="5650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82731</xdr:colOff>
      <xdr:row>36</xdr:row>
      <xdr:rowOff>87630</xdr:rowOff>
    </xdr:from>
    <xdr:to>
      <xdr:col>30</xdr:col>
      <xdr:colOff>82731</xdr:colOff>
      <xdr:row>36</xdr:row>
      <xdr:rowOff>87630</xdr:rowOff>
    </xdr:to>
    <xdr:cxnSp macro="">
      <xdr:nvCxnSpPr>
        <xdr:cNvPr id="3330" name="직선 화살표 연결선 3329">
          <a:extLst>
            <a:ext uri="{FF2B5EF4-FFF2-40B4-BE49-F238E27FC236}">
              <a16:creationId xmlns:a16="http://schemas.microsoft.com/office/drawing/2014/main" id="{FF2121E8-BBAC-4F1C-8621-4B1310824DD7}"/>
            </a:ext>
          </a:extLst>
        </xdr:cNvPr>
        <xdr:cNvCxnSpPr/>
      </xdr:nvCxnSpPr>
      <xdr:spPr>
        <a:xfrm>
          <a:off x="8921931"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35</xdr:row>
      <xdr:rowOff>30480</xdr:rowOff>
    </xdr:from>
    <xdr:to>
      <xdr:col>30</xdr:col>
      <xdr:colOff>82731</xdr:colOff>
      <xdr:row>35</xdr:row>
      <xdr:rowOff>144780</xdr:rowOff>
    </xdr:to>
    <xdr:sp macro="" textlink="">
      <xdr:nvSpPr>
        <xdr:cNvPr id="3331" name="직사각형 3330">
          <a:extLst>
            <a:ext uri="{FF2B5EF4-FFF2-40B4-BE49-F238E27FC236}">
              <a16:creationId xmlns:a16="http://schemas.microsoft.com/office/drawing/2014/main" id="{817DE733-363F-4665-BC61-81EB5D40B105}"/>
            </a:ext>
          </a:extLst>
        </xdr:cNvPr>
        <xdr:cNvSpPr/>
      </xdr:nvSpPr>
      <xdr:spPr>
        <a:xfrm>
          <a:off x="8901249" y="5497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35</xdr:row>
      <xdr:rowOff>87630</xdr:rowOff>
    </xdr:from>
    <xdr:to>
      <xdr:col>30</xdr:col>
      <xdr:colOff>62049</xdr:colOff>
      <xdr:row>35</xdr:row>
      <xdr:rowOff>87630</xdr:rowOff>
    </xdr:to>
    <xdr:cxnSp macro="">
      <xdr:nvCxnSpPr>
        <xdr:cNvPr id="3332" name="직선 화살표 연결선 3331">
          <a:extLst>
            <a:ext uri="{FF2B5EF4-FFF2-40B4-BE49-F238E27FC236}">
              <a16:creationId xmlns:a16="http://schemas.microsoft.com/office/drawing/2014/main" id="{BDA565C2-1FEB-4A80-BCE9-C433FA203B61}"/>
            </a:ext>
          </a:extLst>
        </xdr:cNvPr>
        <xdr:cNvCxnSpPr/>
      </xdr:nvCxnSpPr>
      <xdr:spPr>
        <a:xfrm>
          <a:off x="8901249"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34</xdr:row>
      <xdr:rowOff>30480</xdr:rowOff>
    </xdr:from>
    <xdr:to>
      <xdr:col>30</xdr:col>
      <xdr:colOff>62049</xdr:colOff>
      <xdr:row>34</xdr:row>
      <xdr:rowOff>144780</xdr:rowOff>
    </xdr:to>
    <xdr:sp macro="" textlink="">
      <xdr:nvSpPr>
        <xdr:cNvPr id="3333" name="직사각형 3332">
          <a:extLst>
            <a:ext uri="{FF2B5EF4-FFF2-40B4-BE49-F238E27FC236}">
              <a16:creationId xmlns:a16="http://schemas.microsoft.com/office/drawing/2014/main" id="{A4E3854C-E248-45A6-9158-E5F80D431C07}"/>
            </a:ext>
          </a:extLst>
        </xdr:cNvPr>
        <xdr:cNvSpPr/>
      </xdr:nvSpPr>
      <xdr:spPr>
        <a:xfrm>
          <a:off x="8880566" y="534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34</xdr:row>
      <xdr:rowOff>87630</xdr:rowOff>
    </xdr:from>
    <xdr:to>
      <xdr:col>30</xdr:col>
      <xdr:colOff>41366</xdr:colOff>
      <xdr:row>34</xdr:row>
      <xdr:rowOff>87630</xdr:rowOff>
    </xdr:to>
    <xdr:cxnSp macro="">
      <xdr:nvCxnSpPr>
        <xdr:cNvPr id="3334" name="직선 화살표 연결선 3333">
          <a:extLst>
            <a:ext uri="{FF2B5EF4-FFF2-40B4-BE49-F238E27FC236}">
              <a16:creationId xmlns:a16="http://schemas.microsoft.com/office/drawing/2014/main" id="{7657B605-1145-4ED2-85CE-210D6F1734D3}"/>
            </a:ext>
          </a:extLst>
        </xdr:cNvPr>
        <xdr:cNvCxnSpPr/>
      </xdr:nvCxnSpPr>
      <xdr:spPr>
        <a:xfrm>
          <a:off x="8880566"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33</xdr:row>
      <xdr:rowOff>30480</xdr:rowOff>
    </xdr:from>
    <xdr:to>
      <xdr:col>30</xdr:col>
      <xdr:colOff>41366</xdr:colOff>
      <xdr:row>33</xdr:row>
      <xdr:rowOff>144780</xdr:rowOff>
    </xdr:to>
    <xdr:sp macro="" textlink="">
      <xdr:nvSpPr>
        <xdr:cNvPr id="3335" name="직사각형 3334">
          <a:extLst>
            <a:ext uri="{FF2B5EF4-FFF2-40B4-BE49-F238E27FC236}">
              <a16:creationId xmlns:a16="http://schemas.microsoft.com/office/drawing/2014/main" id="{35CF94CD-702F-4DA3-BB41-A649F2E24E90}"/>
            </a:ext>
          </a:extLst>
        </xdr:cNvPr>
        <xdr:cNvSpPr/>
      </xdr:nvSpPr>
      <xdr:spPr>
        <a:xfrm>
          <a:off x="8839200" y="5193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33</xdr:row>
      <xdr:rowOff>87630</xdr:rowOff>
    </xdr:from>
    <xdr:to>
      <xdr:col>30</xdr:col>
      <xdr:colOff>0</xdr:colOff>
      <xdr:row>33</xdr:row>
      <xdr:rowOff>87630</xdr:rowOff>
    </xdr:to>
    <xdr:cxnSp macro="">
      <xdr:nvCxnSpPr>
        <xdr:cNvPr id="3336" name="직선 화살표 연결선 3335">
          <a:extLst>
            <a:ext uri="{FF2B5EF4-FFF2-40B4-BE49-F238E27FC236}">
              <a16:creationId xmlns:a16="http://schemas.microsoft.com/office/drawing/2014/main" id="{E89D434D-A5EE-400A-9FF2-4C4BEFDEAA11}"/>
            </a:ext>
          </a:extLst>
        </xdr:cNvPr>
        <xdr:cNvCxnSpPr/>
      </xdr:nvCxnSpPr>
      <xdr:spPr>
        <a:xfrm>
          <a:off x="8839200"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32</xdr:row>
      <xdr:rowOff>30480</xdr:rowOff>
    </xdr:from>
    <xdr:to>
      <xdr:col>30</xdr:col>
      <xdr:colOff>103415</xdr:colOff>
      <xdr:row>32</xdr:row>
      <xdr:rowOff>144780</xdr:rowOff>
    </xdr:to>
    <xdr:sp macro="" textlink="">
      <xdr:nvSpPr>
        <xdr:cNvPr id="3337" name="직사각형 3336">
          <a:extLst>
            <a:ext uri="{FF2B5EF4-FFF2-40B4-BE49-F238E27FC236}">
              <a16:creationId xmlns:a16="http://schemas.microsoft.com/office/drawing/2014/main" id="{F165F7EA-E7D0-4FE1-B716-7FE2D4AA8339}"/>
            </a:ext>
          </a:extLst>
        </xdr:cNvPr>
        <xdr:cNvSpPr/>
      </xdr:nvSpPr>
      <xdr:spPr>
        <a:xfrm>
          <a:off x="8839200" y="5040630"/>
          <a:ext cx="103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32</xdr:row>
      <xdr:rowOff>87630</xdr:rowOff>
    </xdr:from>
    <xdr:to>
      <xdr:col>30</xdr:col>
      <xdr:colOff>0</xdr:colOff>
      <xdr:row>32</xdr:row>
      <xdr:rowOff>87630</xdr:rowOff>
    </xdr:to>
    <xdr:cxnSp macro="">
      <xdr:nvCxnSpPr>
        <xdr:cNvPr id="3338" name="직선 화살표 연결선 3337">
          <a:extLst>
            <a:ext uri="{FF2B5EF4-FFF2-40B4-BE49-F238E27FC236}">
              <a16:creationId xmlns:a16="http://schemas.microsoft.com/office/drawing/2014/main" id="{DF09A5DA-51C5-4684-9D67-C7FCF71E062C}"/>
            </a:ext>
          </a:extLst>
        </xdr:cNvPr>
        <xdr:cNvCxnSpPr/>
      </xdr:nvCxnSpPr>
      <xdr:spPr>
        <a:xfrm>
          <a:off x="8839200"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30</xdr:row>
      <xdr:rowOff>30480</xdr:rowOff>
    </xdr:from>
    <xdr:to>
      <xdr:col>29</xdr:col>
      <xdr:colOff>80826</xdr:colOff>
      <xdr:row>30</xdr:row>
      <xdr:rowOff>144780</xdr:rowOff>
    </xdr:to>
    <xdr:sp macro="" textlink="">
      <xdr:nvSpPr>
        <xdr:cNvPr id="3339" name="직사각형 3338">
          <a:extLst>
            <a:ext uri="{FF2B5EF4-FFF2-40B4-BE49-F238E27FC236}">
              <a16:creationId xmlns:a16="http://schemas.microsoft.com/office/drawing/2014/main" id="{5B9DE6DA-B961-4D72-B343-080F6AFA46E7}"/>
            </a:ext>
          </a:extLst>
        </xdr:cNvPr>
        <xdr:cNvSpPr/>
      </xdr:nvSpPr>
      <xdr:spPr>
        <a:xfrm>
          <a:off x="8756469" y="4735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30</xdr:row>
      <xdr:rowOff>87630</xdr:rowOff>
    </xdr:from>
    <xdr:to>
      <xdr:col>29</xdr:col>
      <xdr:colOff>60144</xdr:colOff>
      <xdr:row>30</xdr:row>
      <xdr:rowOff>87630</xdr:rowOff>
    </xdr:to>
    <xdr:cxnSp macro="">
      <xdr:nvCxnSpPr>
        <xdr:cNvPr id="3340" name="직선 화살표 연결선 3339">
          <a:extLst>
            <a:ext uri="{FF2B5EF4-FFF2-40B4-BE49-F238E27FC236}">
              <a16:creationId xmlns:a16="http://schemas.microsoft.com/office/drawing/2014/main" id="{9E63BA24-FD3B-4375-BE7B-EC1436C7A423}"/>
            </a:ext>
          </a:extLst>
        </xdr:cNvPr>
        <xdr:cNvCxnSpPr/>
      </xdr:nvCxnSpPr>
      <xdr:spPr>
        <a:xfrm>
          <a:off x="8756469"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39460</xdr:colOff>
      <xdr:row>29</xdr:row>
      <xdr:rowOff>30480</xdr:rowOff>
    </xdr:from>
    <xdr:to>
      <xdr:col>29</xdr:col>
      <xdr:colOff>60144</xdr:colOff>
      <xdr:row>29</xdr:row>
      <xdr:rowOff>144780</xdr:rowOff>
    </xdr:to>
    <xdr:sp macro="" textlink="">
      <xdr:nvSpPr>
        <xdr:cNvPr id="3341" name="직사각형 3340">
          <a:extLst>
            <a:ext uri="{FF2B5EF4-FFF2-40B4-BE49-F238E27FC236}">
              <a16:creationId xmlns:a16="http://schemas.microsoft.com/office/drawing/2014/main" id="{FB8B072A-A45A-4AAB-9B56-94FF260D3997}"/>
            </a:ext>
          </a:extLst>
        </xdr:cNvPr>
        <xdr:cNvSpPr/>
      </xdr:nvSpPr>
      <xdr:spPr>
        <a:xfrm>
          <a:off x="8735785" y="45834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39460</xdr:colOff>
      <xdr:row>29</xdr:row>
      <xdr:rowOff>87630</xdr:rowOff>
    </xdr:from>
    <xdr:to>
      <xdr:col>29</xdr:col>
      <xdr:colOff>39460</xdr:colOff>
      <xdr:row>29</xdr:row>
      <xdr:rowOff>87630</xdr:rowOff>
    </xdr:to>
    <xdr:cxnSp macro="">
      <xdr:nvCxnSpPr>
        <xdr:cNvPr id="3342" name="직선 화살표 연결선 3341">
          <a:extLst>
            <a:ext uri="{FF2B5EF4-FFF2-40B4-BE49-F238E27FC236}">
              <a16:creationId xmlns:a16="http://schemas.microsoft.com/office/drawing/2014/main" id="{1876F301-9BC9-4A4A-92A2-194B2F92D1E1}"/>
            </a:ext>
          </a:extLst>
        </xdr:cNvPr>
        <xdr:cNvCxnSpPr/>
      </xdr:nvCxnSpPr>
      <xdr:spPr>
        <a:xfrm>
          <a:off x="8735785"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18778</xdr:colOff>
      <xdr:row>28</xdr:row>
      <xdr:rowOff>30480</xdr:rowOff>
    </xdr:from>
    <xdr:to>
      <xdr:col>29</xdr:col>
      <xdr:colOff>39460</xdr:colOff>
      <xdr:row>28</xdr:row>
      <xdr:rowOff>144780</xdr:rowOff>
    </xdr:to>
    <xdr:sp macro="" textlink="">
      <xdr:nvSpPr>
        <xdr:cNvPr id="3343" name="직사각형 3342">
          <a:extLst>
            <a:ext uri="{FF2B5EF4-FFF2-40B4-BE49-F238E27FC236}">
              <a16:creationId xmlns:a16="http://schemas.microsoft.com/office/drawing/2014/main" id="{9B9E4B3B-1E7F-4EE9-B9D0-777C5CA72A02}"/>
            </a:ext>
          </a:extLst>
        </xdr:cNvPr>
        <xdr:cNvSpPr/>
      </xdr:nvSpPr>
      <xdr:spPr>
        <a:xfrm>
          <a:off x="8715103" y="4431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18778</xdr:colOff>
      <xdr:row>28</xdr:row>
      <xdr:rowOff>87630</xdr:rowOff>
    </xdr:from>
    <xdr:to>
      <xdr:col>29</xdr:col>
      <xdr:colOff>18778</xdr:colOff>
      <xdr:row>28</xdr:row>
      <xdr:rowOff>87630</xdr:rowOff>
    </xdr:to>
    <xdr:cxnSp macro="">
      <xdr:nvCxnSpPr>
        <xdr:cNvPr id="3344" name="직선 화살표 연결선 3343">
          <a:extLst>
            <a:ext uri="{FF2B5EF4-FFF2-40B4-BE49-F238E27FC236}">
              <a16:creationId xmlns:a16="http://schemas.microsoft.com/office/drawing/2014/main" id="{F14CBAF2-5388-4F85-982F-E78015977C0C}"/>
            </a:ext>
          </a:extLst>
        </xdr:cNvPr>
        <xdr:cNvCxnSpPr/>
      </xdr:nvCxnSpPr>
      <xdr:spPr>
        <a:xfrm>
          <a:off x="8715103"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18778</xdr:colOff>
      <xdr:row>27</xdr:row>
      <xdr:rowOff>30480</xdr:rowOff>
    </xdr:from>
    <xdr:to>
      <xdr:col>29</xdr:col>
      <xdr:colOff>39460</xdr:colOff>
      <xdr:row>27</xdr:row>
      <xdr:rowOff>144780</xdr:rowOff>
    </xdr:to>
    <xdr:sp macro="" textlink="">
      <xdr:nvSpPr>
        <xdr:cNvPr id="3345" name="직사각형 3344">
          <a:extLst>
            <a:ext uri="{FF2B5EF4-FFF2-40B4-BE49-F238E27FC236}">
              <a16:creationId xmlns:a16="http://schemas.microsoft.com/office/drawing/2014/main" id="{6FFD470F-E87B-40A8-B413-7CE67BAE32DC}"/>
            </a:ext>
          </a:extLst>
        </xdr:cNvPr>
        <xdr:cNvSpPr/>
      </xdr:nvSpPr>
      <xdr:spPr>
        <a:xfrm>
          <a:off x="8715103" y="4278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18778</xdr:colOff>
      <xdr:row>27</xdr:row>
      <xdr:rowOff>87630</xdr:rowOff>
    </xdr:from>
    <xdr:to>
      <xdr:col>29</xdr:col>
      <xdr:colOff>18778</xdr:colOff>
      <xdr:row>27</xdr:row>
      <xdr:rowOff>87630</xdr:rowOff>
    </xdr:to>
    <xdr:cxnSp macro="">
      <xdr:nvCxnSpPr>
        <xdr:cNvPr id="3346" name="직선 화살표 연결선 3345">
          <a:extLst>
            <a:ext uri="{FF2B5EF4-FFF2-40B4-BE49-F238E27FC236}">
              <a16:creationId xmlns:a16="http://schemas.microsoft.com/office/drawing/2014/main" id="{E13FF015-57FD-4FBA-82C6-6431566D041D}"/>
            </a:ext>
          </a:extLst>
        </xdr:cNvPr>
        <xdr:cNvCxnSpPr/>
      </xdr:nvCxnSpPr>
      <xdr:spPr>
        <a:xfrm>
          <a:off x="8715103"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18778</xdr:colOff>
      <xdr:row>26</xdr:row>
      <xdr:rowOff>30480</xdr:rowOff>
    </xdr:from>
    <xdr:to>
      <xdr:col>29</xdr:col>
      <xdr:colOff>80826</xdr:colOff>
      <xdr:row>26</xdr:row>
      <xdr:rowOff>144780</xdr:rowOff>
    </xdr:to>
    <xdr:sp macro="" textlink="">
      <xdr:nvSpPr>
        <xdr:cNvPr id="3347" name="직사각형 3346">
          <a:extLst>
            <a:ext uri="{FF2B5EF4-FFF2-40B4-BE49-F238E27FC236}">
              <a16:creationId xmlns:a16="http://schemas.microsoft.com/office/drawing/2014/main" id="{E93505B4-FBFB-46DF-8958-53063B259797}"/>
            </a:ext>
          </a:extLst>
        </xdr:cNvPr>
        <xdr:cNvSpPr/>
      </xdr:nvSpPr>
      <xdr:spPr>
        <a:xfrm>
          <a:off x="8715103" y="41262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18778</xdr:colOff>
      <xdr:row>26</xdr:row>
      <xdr:rowOff>87630</xdr:rowOff>
    </xdr:from>
    <xdr:to>
      <xdr:col>29</xdr:col>
      <xdr:colOff>18778</xdr:colOff>
      <xdr:row>26</xdr:row>
      <xdr:rowOff>87630</xdr:rowOff>
    </xdr:to>
    <xdr:cxnSp macro="">
      <xdr:nvCxnSpPr>
        <xdr:cNvPr id="3348" name="직선 화살표 연결선 3347">
          <a:extLst>
            <a:ext uri="{FF2B5EF4-FFF2-40B4-BE49-F238E27FC236}">
              <a16:creationId xmlns:a16="http://schemas.microsoft.com/office/drawing/2014/main" id="{4CB4C953-2417-4510-A255-6A11EA70673A}"/>
            </a:ext>
          </a:extLst>
        </xdr:cNvPr>
        <xdr:cNvCxnSpPr/>
      </xdr:nvCxnSpPr>
      <xdr:spPr>
        <a:xfrm>
          <a:off x="8715103"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24</xdr:row>
      <xdr:rowOff>30480</xdr:rowOff>
    </xdr:from>
    <xdr:to>
      <xdr:col>28</xdr:col>
      <xdr:colOff>99604</xdr:colOff>
      <xdr:row>24</xdr:row>
      <xdr:rowOff>144780</xdr:rowOff>
    </xdr:to>
    <xdr:sp macro="" textlink="">
      <xdr:nvSpPr>
        <xdr:cNvPr id="3349" name="직사각형 3348">
          <a:extLst>
            <a:ext uri="{FF2B5EF4-FFF2-40B4-BE49-F238E27FC236}">
              <a16:creationId xmlns:a16="http://schemas.microsoft.com/office/drawing/2014/main" id="{37833357-9DA4-43CF-8274-7AD79EF0AF85}"/>
            </a:ext>
          </a:extLst>
        </xdr:cNvPr>
        <xdr:cNvSpPr/>
      </xdr:nvSpPr>
      <xdr:spPr>
        <a:xfrm>
          <a:off x="8611688" y="3821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24</xdr:row>
      <xdr:rowOff>87630</xdr:rowOff>
    </xdr:from>
    <xdr:to>
      <xdr:col>28</xdr:col>
      <xdr:colOff>58238</xdr:colOff>
      <xdr:row>24</xdr:row>
      <xdr:rowOff>87630</xdr:rowOff>
    </xdr:to>
    <xdr:cxnSp macro="">
      <xdr:nvCxnSpPr>
        <xdr:cNvPr id="3350" name="직선 화살표 연결선 3349">
          <a:extLst>
            <a:ext uri="{FF2B5EF4-FFF2-40B4-BE49-F238E27FC236}">
              <a16:creationId xmlns:a16="http://schemas.microsoft.com/office/drawing/2014/main" id="{A44242A9-9FB4-4D0D-86FC-ECDE29DD02DF}"/>
            </a:ext>
          </a:extLst>
        </xdr:cNvPr>
        <xdr:cNvCxnSpPr/>
      </xdr:nvCxnSpPr>
      <xdr:spPr>
        <a:xfrm>
          <a:off x="8611688"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23</xdr:row>
      <xdr:rowOff>30480</xdr:rowOff>
    </xdr:from>
    <xdr:to>
      <xdr:col>28</xdr:col>
      <xdr:colOff>99604</xdr:colOff>
      <xdr:row>23</xdr:row>
      <xdr:rowOff>144780</xdr:rowOff>
    </xdr:to>
    <xdr:sp macro="" textlink="">
      <xdr:nvSpPr>
        <xdr:cNvPr id="3351" name="직사각형 3350">
          <a:extLst>
            <a:ext uri="{FF2B5EF4-FFF2-40B4-BE49-F238E27FC236}">
              <a16:creationId xmlns:a16="http://schemas.microsoft.com/office/drawing/2014/main" id="{C9AFA919-3FD2-45D5-834D-12FDDA4D8105}"/>
            </a:ext>
          </a:extLst>
        </xdr:cNvPr>
        <xdr:cNvSpPr/>
      </xdr:nvSpPr>
      <xdr:spPr>
        <a:xfrm>
          <a:off x="8611688" y="3669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23</xdr:row>
      <xdr:rowOff>87630</xdr:rowOff>
    </xdr:from>
    <xdr:to>
      <xdr:col>28</xdr:col>
      <xdr:colOff>58238</xdr:colOff>
      <xdr:row>23</xdr:row>
      <xdr:rowOff>87630</xdr:rowOff>
    </xdr:to>
    <xdr:cxnSp macro="">
      <xdr:nvCxnSpPr>
        <xdr:cNvPr id="3352" name="직선 화살표 연결선 3351">
          <a:extLst>
            <a:ext uri="{FF2B5EF4-FFF2-40B4-BE49-F238E27FC236}">
              <a16:creationId xmlns:a16="http://schemas.microsoft.com/office/drawing/2014/main" id="{7284579D-F0DD-4E2A-BC90-DA307F3E1DC0}"/>
            </a:ext>
          </a:extLst>
        </xdr:cNvPr>
        <xdr:cNvCxnSpPr/>
      </xdr:nvCxnSpPr>
      <xdr:spPr>
        <a:xfrm>
          <a:off x="8611688"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21</xdr:row>
      <xdr:rowOff>30480</xdr:rowOff>
    </xdr:from>
    <xdr:to>
      <xdr:col>28</xdr:col>
      <xdr:colOff>99604</xdr:colOff>
      <xdr:row>21</xdr:row>
      <xdr:rowOff>144780</xdr:rowOff>
    </xdr:to>
    <xdr:sp macro="" textlink="">
      <xdr:nvSpPr>
        <xdr:cNvPr id="3353" name="직사각형 3352">
          <a:extLst>
            <a:ext uri="{FF2B5EF4-FFF2-40B4-BE49-F238E27FC236}">
              <a16:creationId xmlns:a16="http://schemas.microsoft.com/office/drawing/2014/main" id="{FE0C97F7-B6FB-434E-9708-94634125659B}"/>
            </a:ext>
          </a:extLst>
        </xdr:cNvPr>
        <xdr:cNvSpPr/>
      </xdr:nvSpPr>
      <xdr:spPr>
        <a:xfrm>
          <a:off x="8611688" y="3364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21</xdr:row>
      <xdr:rowOff>87630</xdr:rowOff>
    </xdr:from>
    <xdr:to>
      <xdr:col>28</xdr:col>
      <xdr:colOff>58238</xdr:colOff>
      <xdr:row>21</xdr:row>
      <xdr:rowOff>87630</xdr:rowOff>
    </xdr:to>
    <xdr:cxnSp macro="">
      <xdr:nvCxnSpPr>
        <xdr:cNvPr id="3354" name="직선 화살표 연결선 3353">
          <a:extLst>
            <a:ext uri="{FF2B5EF4-FFF2-40B4-BE49-F238E27FC236}">
              <a16:creationId xmlns:a16="http://schemas.microsoft.com/office/drawing/2014/main" id="{42B36C1B-EDAC-4E16-8AF1-1B26D7F44A51}"/>
            </a:ext>
          </a:extLst>
        </xdr:cNvPr>
        <xdr:cNvCxnSpPr/>
      </xdr:nvCxnSpPr>
      <xdr:spPr>
        <a:xfrm>
          <a:off x="8611688"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20</xdr:row>
      <xdr:rowOff>30480</xdr:rowOff>
    </xdr:from>
    <xdr:to>
      <xdr:col>28</xdr:col>
      <xdr:colOff>99604</xdr:colOff>
      <xdr:row>20</xdr:row>
      <xdr:rowOff>144780</xdr:rowOff>
    </xdr:to>
    <xdr:sp macro="" textlink="">
      <xdr:nvSpPr>
        <xdr:cNvPr id="3355" name="직사각형 3354">
          <a:extLst>
            <a:ext uri="{FF2B5EF4-FFF2-40B4-BE49-F238E27FC236}">
              <a16:creationId xmlns:a16="http://schemas.microsoft.com/office/drawing/2014/main" id="{E602AB52-9D6E-4BE4-BE57-78EE5450E8C2}"/>
            </a:ext>
          </a:extLst>
        </xdr:cNvPr>
        <xdr:cNvSpPr/>
      </xdr:nvSpPr>
      <xdr:spPr>
        <a:xfrm>
          <a:off x="8611688" y="32118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20</xdr:row>
      <xdr:rowOff>87630</xdr:rowOff>
    </xdr:from>
    <xdr:to>
      <xdr:col>28</xdr:col>
      <xdr:colOff>58238</xdr:colOff>
      <xdr:row>20</xdr:row>
      <xdr:rowOff>87630</xdr:rowOff>
    </xdr:to>
    <xdr:cxnSp macro="">
      <xdr:nvCxnSpPr>
        <xdr:cNvPr id="3356" name="직선 화살표 연결선 3355">
          <a:extLst>
            <a:ext uri="{FF2B5EF4-FFF2-40B4-BE49-F238E27FC236}">
              <a16:creationId xmlns:a16="http://schemas.microsoft.com/office/drawing/2014/main" id="{E4DDCF4B-C980-4109-9A23-AE9B26AA0E49}"/>
            </a:ext>
          </a:extLst>
        </xdr:cNvPr>
        <xdr:cNvCxnSpPr/>
      </xdr:nvCxnSpPr>
      <xdr:spPr>
        <a:xfrm>
          <a:off x="8611688"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19</xdr:row>
      <xdr:rowOff>30480</xdr:rowOff>
    </xdr:from>
    <xdr:to>
      <xdr:col>36</xdr:col>
      <xdr:colOff>94162</xdr:colOff>
      <xdr:row>19</xdr:row>
      <xdr:rowOff>144780</xdr:rowOff>
    </xdr:to>
    <xdr:sp macro="" textlink="">
      <xdr:nvSpPr>
        <xdr:cNvPr id="3357" name="직사각형 3356">
          <a:extLst>
            <a:ext uri="{FF2B5EF4-FFF2-40B4-BE49-F238E27FC236}">
              <a16:creationId xmlns:a16="http://schemas.microsoft.com/office/drawing/2014/main" id="{2C588062-1AD0-4C77-B1B7-DE3E07888913}"/>
            </a:ext>
          </a:extLst>
        </xdr:cNvPr>
        <xdr:cNvSpPr/>
      </xdr:nvSpPr>
      <xdr:spPr>
        <a:xfrm>
          <a:off x="8611688" y="3059430"/>
          <a:ext cx="11789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19</xdr:row>
      <xdr:rowOff>87630</xdr:rowOff>
    </xdr:from>
    <xdr:to>
      <xdr:col>28</xdr:col>
      <xdr:colOff>58238</xdr:colOff>
      <xdr:row>19</xdr:row>
      <xdr:rowOff>87630</xdr:rowOff>
    </xdr:to>
    <xdr:cxnSp macro="">
      <xdr:nvCxnSpPr>
        <xdr:cNvPr id="3358" name="직선 화살표 연결선 3357">
          <a:extLst>
            <a:ext uri="{FF2B5EF4-FFF2-40B4-BE49-F238E27FC236}">
              <a16:creationId xmlns:a16="http://schemas.microsoft.com/office/drawing/2014/main" id="{FA3EA1D7-F454-485C-BC78-C8C537F7513F}"/>
            </a:ext>
          </a:extLst>
        </xdr:cNvPr>
        <xdr:cNvCxnSpPr/>
      </xdr:nvCxnSpPr>
      <xdr:spPr>
        <a:xfrm>
          <a:off x="8611688"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80826</xdr:colOff>
      <xdr:row>16</xdr:row>
      <xdr:rowOff>30480</xdr:rowOff>
    </xdr:from>
    <xdr:to>
      <xdr:col>29</xdr:col>
      <xdr:colOff>101509</xdr:colOff>
      <xdr:row>16</xdr:row>
      <xdr:rowOff>144780</xdr:rowOff>
    </xdr:to>
    <xdr:sp macro="" textlink="">
      <xdr:nvSpPr>
        <xdr:cNvPr id="3359" name="직사각형 3358">
          <a:extLst>
            <a:ext uri="{FF2B5EF4-FFF2-40B4-BE49-F238E27FC236}">
              <a16:creationId xmlns:a16="http://schemas.microsoft.com/office/drawing/2014/main" id="{819E7E02-6507-4BBF-9603-60D9B0392282}"/>
            </a:ext>
          </a:extLst>
        </xdr:cNvPr>
        <xdr:cNvSpPr/>
      </xdr:nvSpPr>
      <xdr:spPr>
        <a:xfrm>
          <a:off x="8777151" y="260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80826</xdr:colOff>
      <xdr:row>16</xdr:row>
      <xdr:rowOff>87630</xdr:rowOff>
    </xdr:from>
    <xdr:to>
      <xdr:col>29</xdr:col>
      <xdr:colOff>80826</xdr:colOff>
      <xdr:row>16</xdr:row>
      <xdr:rowOff>87630</xdr:rowOff>
    </xdr:to>
    <xdr:cxnSp macro="">
      <xdr:nvCxnSpPr>
        <xdr:cNvPr id="3360" name="직선 화살표 연결선 3359">
          <a:extLst>
            <a:ext uri="{FF2B5EF4-FFF2-40B4-BE49-F238E27FC236}">
              <a16:creationId xmlns:a16="http://schemas.microsoft.com/office/drawing/2014/main" id="{612949E5-A994-4F4D-9DB1-68B2E4038F2F}"/>
            </a:ext>
          </a:extLst>
        </xdr:cNvPr>
        <xdr:cNvCxnSpPr/>
      </xdr:nvCxnSpPr>
      <xdr:spPr>
        <a:xfrm>
          <a:off x="8777151"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60144</xdr:colOff>
      <xdr:row>15</xdr:row>
      <xdr:rowOff>30480</xdr:rowOff>
    </xdr:from>
    <xdr:to>
      <xdr:col>29</xdr:col>
      <xdr:colOff>80826</xdr:colOff>
      <xdr:row>15</xdr:row>
      <xdr:rowOff>144780</xdr:rowOff>
    </xdr:to>
    <xdr:sp macro="" textlink="">
      <xdr:nvSpPr>
        <xdr:cNvPr id="3361" name="직사각형 3360">
          <a:extLst>
            <a:ext uri="{FF2B5EF4-FFF2-40B4-BE49-F238E27FC236}">
              <a16:creationId xmlns:a16="http://schemas.microsoft.com/office/drawing/2014/main" id="{B3C1634E-758F-474E-98EB-26E60768FD4C}"/>
            </a:ext>
          </a:extLst>
        </xdr:cNvPr>
        <xdr:cNvSpPr/>
      </xdr:nvSpPr>
      <xdr:spPr>
        <a:xfrm>
          <a:off x="8756469" y="2449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60144</xdr:colOff>
      <xdr:row>15</xdr:row>
      <xdr:rowOff>87630</xdr:rowOff>
    </xdr:from>
    <xdr:to>
      <xdr:col>29</xdr:col>
      <xdr:colOff>60144</xdr:colOff>
      <xdr:row>15</xdr:row>
      <xdr:rowOff>87630</xdr:rowOff>
    </xdr:to>
    <xdr:cxnSp macro="">
      <xdr:nvCxnSpPr>
        <xdr:cNvPr id="3362" name="직선 화살표 연결선 3361">
          <a:extLst>
            <a:ext uri="{FF2B5EF4-FFF2-40B4-BE49-F238E27FC236}">
              <a16:creationId xmlns:a16="http://schemas.microsoft.com/office/drawing/2014/main" id="{73730B72-2DFE-4F3D-9E45-F5149854A1E7}"/>
            </a:ext>
          </a:extLst>
        </xdr:cNvPr>
        <xdr:cNvCxnSpPr/>
      </xdr:nvCxnSpPr>
      <xdr:spPr>
        <a:xfrm>
          <a:off x="8756469"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39460</xdr:colOff>
      <xdr:row>14</xdr:row>
      <xdr:rowOff>30480</xdr:rowOff>
    </xdr:from>
    <xdr:to>
      <xdr:col>29</xdr:col>
      <xdr:colOff>60144</xdr:colOff>
      <xdr:row>14</xdr:row>
      <xdr:rowOff>144780</xdr:rowOff>
    </xdr:to>
    <xdr:sp macro="" textlink="">
      <xdr:nvSpPr>
        <xdr:cNvPr id="3363" name="직사각형 3362">
          <a:extLst>
            <a:ext uri="{FF2B5EF4-FFF2-40B4-BE49-F238E27FC236}">
              <a16:creationId xmlns:a16="http://schemas.microsoft.com/office/drawing/2014/main" id="{9391BEE7-76EF-4607-8E8A-88ACE70978F1}"/>
            </a:ext>
          </a:extLst>
        </xdr:cNvPr>
        <xdr:cNvSpPr/>
      </xdr:nvSpPr>
      <xdr:spPr>
        <a:xfrm>
          <a:off x="8735785" y="22974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39460</xdr:colOff>
      <xdr:row>14</xdr:row>
      <xdr:rowOff>87630</xdr:rowOff>
    </xdr:from>
    <xdr:to>
      <xdr:col>29</xdr:col>
      <xdr:colOff>39460</xdr:colOff>
      <xdr:row>14</xdr:row>
      <xdr:rowOff>87630</xdr:rowOff>
    </xdr:to>
    <xdr:cxnSp macro="">
      <xdr:nvCxnSpPr>
        <xdr:cNvPr id="3364" name="직선 화살표 연결선 3363">
          <a:extLst>
            <a:ext uri="{FF2B5EF4-FFF2-40B4-BE49-F238E27FC236}">
              <a16:creationId xmlns:a16="http://schemas.microsoft.com/office/drawing/2014/main" id="{A817E8F4-FE48-4E6D-9572-10269AAB745E}"/>
            </a:ext>
          </a:extLst>
        </xdr:cNvPr>
        <xdr:cNvCxnSpPr/>
      </xdr:nvCxnSpPr>
      <xdr:spPr>
        <a:xfrm>
          <a:off x="8735785"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18778</xdr:colOff>
      <xdr:row>13</xdr:row>
      <xdr:rowOff>30480</xdr:rowOff>
    </xdr:from>
    <xdr:to>
      <xdr:col>29</xdr:col>
      <xdr:colOff>39460</xdr:colOff>
      <xdr:row>13</xdr:row>
      <xdr:rowOff>144780</xdr:rowOff>
    </xdr:to>
    <xdr:sp macro="" textlink="">
      <xdr:nvSpPr>
        <xdr:cNvPr id="3365" name="직사각형 3364">
          <a:extLst>
            <a:ext uri="{FF2B5EF4-FFF2-40B4-BE49-F238E27FC236}">
              <a16:creationId xmlns:a16="http://schemas.microsoft.com/office/drawing/2014/main" id="{42E09F95-2C4D-480B-B1B1-9375C3F65E56}"/>
            </a:ext>
          </a:extLst>
        </xdr:cNvPr>
        <xdr:cNvSpPr/>
      </xdr:nvSpPr>
      <xdr:spPr>
        <a:xfrm>
          <a:off x="8715103" y="2145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18778</xdr:colOff>
      <xdr:row>13</xdr:row>
      <xdr:rowOff>87630</xdr:rowOff>
    </xdr:from>
    <xdr:to>
      <xdr:col>29</xdr:col>
      <xdr:colOff>18778</xdr:colOff>
      <xdr:row>13</xdr:row>
      <xdr:rowOff>87630</xdr:rowOff>
    </xdr:to>
    <xdr:cxnSp macro="">
      <xdr:nvCxnSpPr>
        <xdr:cNvPr id="3366" name="직선 화살표 연결선 3365">
          <a:extLst>
            <a:ext uri="{FF2B5EF4-FFF2-40B4-BE49-F238E27FC236}">
              <a16:creationId xmlns:a16="http://schemas.microsoft.com/office/drawing/2014/main" id="{A2B19C08-B5F6-43F9-9C21-1D56C1D19F75}"/>
            </a:ext>
          </a:extLst>
        </xdr:cNvPr>
        <xdr:cNvCxnSpPr/>
      </xdr:nvCxnSpPr>
      <xdr:spPr>
        <a:xfrm>
          <a:off x="8715103"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140970</xdr:colOff>
      <xdr:row>12</xdr:row>
      <xdr:rowOff>30480</xdr:rowOff>
    </xdr:from>
    <xdr:to>
      <xdr:col>29</xdr:col>
      <xdr:colOff>18778</xdr:colOff>
      <xdr:row>12</xdr:row>
      <xdr:rowOff>144780</xdr:rowOff>
    </xdr:to>
    <xdr:sp macro="" textlink="">
      <xdr:nvSpPr>
        <xdr:cNvPr id="3367" name="직사각형 3366">
          <a:extLst>
            <a:ext uri="{FF2B5EF4-FFF2-40B4-BE49-F238E27FC236}">
              <a16:creationId xmlns:a16="http://schemas.microsoft.com/office/drawing/2014/main" id="{A41010F3-33E0-4EED-A8CC-761B2F7E8022}"/>
            </a:ext>
          </a:extLst>
        </xdr:cNvPr>
        <xdr:cNvSpPr/>
      </xdr:nvSpPr>
      <xdr:spPr>
        <a:xfrm>
          <a:off x="8694420" y="199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140970</xdr:colOff>
      <xdr:row>12</xdr:row>
      <xdr:rowOff>87630</xdr:rowOff>
    </xdr:from>
    <xdr:to>
      <xdr:col>28</xdr:col>
      <xdr:colOff>140970</xdr:colOff>
      <xdr:row>12</xdr:row>
      <xdr:rowOff>87630</xdr:rowOff>
    </xdr:to>
    <xdr:cxnSp macro="">
      <xdr:nvCxnSpPr>
        <xdr:cNvPr id="3368" name="직선 화살표 연결선 3367">
          <a:extLst>
            <a:ext uri="{FF2B5EF4-FFF2-40B4-BE49-F238E27FC236}">
              <a16:creationId xmlns:a16="http://schemas.microsoft.com/office/drawing/2014/main" id="{F7B8D8DB-CF78-40F9-8B94-A8A766306388}"/>
            </a:ext>
          </a:extLst>
        </xdr:cNvPr>
        <xdr:cNvCxnSpPr/>
      </xdr:nvCxnSpPr>
      <xdr:spPr>
        <a:xfrm>
          <a:off x="8694420"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71574</xdr:colOff>
      <xdr:row>11</xdr:row>
      <xdr:rowOff>30480</xdr:rowOff>
    </xdr:from>
    <xdr:to>
      <xdr:col>35</xdr:col>
      <xdr:colOff>92256</xdr:colOff>
      <xdr:row>11</xdr:row>
      <xdr:rowOff>144780</xdr:rowOff>
    </xdr:to>
    <xdr:sp macro="" textlink="">
      <xdr:nvSpPr>
        <xdr:cNvPr id="3369" name="직사각형 3368">
          <a:extLst>
            <a:ext uri="{FF2B5EF4-FFF2-40B4-BE49-F238E27FC236}">
              <a16:creationId xmlns:a16="http://schemas.microsoft.com/office/drawing/2014/main" id="{69495993-3D84-4B0D-A315-5F01FB947D5B}"/>
            </a:ext>
          </a:extLst>
        </xdr:cNvPr>
        <xdr:cNvSpPr/>
      </xdr:nvSpPr>
      <xdr:spPr>
        <a:xfrm>
          <a:off x="9625149" y="1840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71574</xdr:colOff>
      <xdr:row>11</xdr:row>
      <xdr:rowOff>87630</xdr:rowOff>
    </xdr:from>
    <xdr:to>
      <xdr:col>35</xdr:col>
      <xdr:colOff>71574</xdr:colOff>
      <xdr:row>11</xdr:row>
      <xdr:rowOff>87630</xdr:rowOff>
    </xdr:to>
    <xdr:cxnSp macro="">
      <xdr:nvCxnSpPr>
        <xdr:cNvPr id="3370" name="직선 화살표 연결선 3369">
          <a:extLst>
            <a:ext uri="{FF2B5EF4-FFF2-40B4-BE49-F238E27FC236}">
              <a16:creationId xmlns:a16="http://schemas.microsoft.com/office/drawing/2014/main" id="{C12CADCE-F8D1-41F4-8D63-96FDE77CC2EF}"/>
            </a:ext>
          </a:extLst>
        </xdr:cNvPr>
        <xdr:cNvCxnSpPr/>
      </xdr:nvCxnSpPr>
      <xdr:spPr>
        <a:xfrm>
          <a:off x="9625149"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67763</xdr:colOff>
      <xdr:row>10</xdr:row>
      <xdr:rowOff>30480</xdr:rowOff>
    </xdr:from>
    <xdr:to>
      <xdr:col>33</xdr:col>
      <xdr:colOff>88447</xdr:colOff>
      <xdr:row>10</xdr:row>
      <xdr:rowOff>144780</xdr:rowOff>
    </xdr:to>
    <xdr:sp macro="" textlink="">
      <xdr:nvSpPr>
        <xdr:cNvPr id="3371" name="직사각형 3370">
          <a:extLst>
            <a:ext uri="{FF2B5EF4-FFF2-40B4-BE49-F238E27FC236}">
              <a16:creationId xmlns:a16="http://schemas.microsoft.com/office/drawing/2014/main" id="{6657703B-A459-43F0-B062-85CCB03A5E88}"/>
            </a:ext>
          </a:extLst>
        </xdr:cNvPr>
        <xdr:cNvSpPr/>
      </xdr:nvSpPr>
      <xdr:spPr>
        <a:xfrm>
          <a:off x="9335588" y="16878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67763</xdr:colOff>
      <xdr:row>10</xdr:row>
      <xdr:rowOff>87630</xdr:rowOff>
    </xdr:from>
    <xdr:to>
      <xdr:col>33</xdr:col>
      <xdr:colOff>67763</xdr:colOff>
      <xdr:row>10</xdr:row>
      <xdr:rowOff>87630</xdr:rowOff>
    </xdr:to>
    <xdr:cxnSp macro="">
      <xdr:nvCxnSpPr>
        <xdr:cNvPr id="3372" name="직선 화살표 연결선 3371">
          <a:extLst>
            <a:ext uri="{FF2B5EF4-FFF2-40B4-BE49-F238E27FC236}">
              <a16:creationId xmlns:a16="http://schemas.microsoft.com/office/drawing/2014/main" id="{BED040EB-548A-4933-A717-E34285018827}"/>
            </a:ext>
          </a:extLst>
        </xdr:cNvPr>
        <xdr:cNvCxnSpPr/>
      </xdr:nvCxnSpPr>
      <xdr:spPr>
        <a:xfrm>
          <a:off x="9335588"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xdr:colOff>
      <xdr:row>9</xdr:row>
      <xdr:rowOff>30480</xdr:rowOff>
    </xdr:from>
    <xdr:to>
      <xdr:col>31</xdr:col>
      <xdr:colOff>22588</xdr:colOff>
      <xdr:row>9</xdr:row>
      <xdr:rowOff>144780</xdr:rowOff>
    </xdr:to>
    <xdr:sp macro="" textlink="">
      <xdr:nvSpPr>
        <xdr:cNvPr id="3373" name="직사각형 3372">
          <a:extLst>
            <a:ext uri="{FF2B5EF4-FFF2-40B4-BE49-F238E27FC236}">
              <a16:creationId xmlns:a16="http://schemas.microsoft.com/office/drawing/2014/main" id="{8CEBDF5F-767A-4C5F-9111-D7984B54B90E}"/>
            </a:ext>
          </a:extLst>
        </xdr:cNvPr>
        <xdr:cNvSpPr/>
      </xdr:nvSpPr>
      <xdr:spPr>
        <a:xfrm>
          <a:off x="8983980" y="153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1905</xdr:colOff>
      <xdr:row>9</xdr:row>
      <xdr:rowOff>87630</xdr:rowOff>
    </xdr:from>
    <xdr:to>
      <xdr:col>31</xdr:col>
      <xdr:colOff>1905</xdr:colOff>
      <xdr:row>9</xdr:row>
      <xdr:rowOff>87630</xdr:rowOff>
    </xdr:to>
    <xdr:cxnSp macro="">
      <xdr:nvCxnSpPr>
        <xdr:cNvPr id="3374" name="직선 화살표 연결선 3373">
          <a:extLst>
            <a:ext uri="{FF2B5EF4-FFF2-40B4-BE49-F238E27FC236}">
              <a16:creationId xmlns:a16="http://schemas.microsoft.com/office/drawing/2014/main" id="{A0393864-85CB-4F5B-9A95-7A66ECA5FBF3}"/>
            </a:ext>
          </a:extLst>
        </xdr:cNvPr>
        <xdr:cNvCxnSpPr/>
      </xdr:nvCxnSpPr>
      <xdr:spPr>
        <a:xfrm>
          <a:off x="8983980"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80826</xdr:colOff>
      <xdr:row>8</xdr:row>
      <xdr:rowOff>30480</xdr:rowOff>
    </xdr:from>
    <xdr:to>
      <xdr:col>29</xdr:col>
      <xdr:colOff>101509</xdr:colOff>
      <xdr:row>8</xdr:row>
      <xdr:rowOff>144780</xdr:rowOff>
    </xdr:to>
    <xdr:sp macro="" textlink="">
      <xdr:nvSpPr>
        <xdr:cNvPr id="3375" name="직사각형 3374">
          <a:extLst>
            <a:ext uri="{FF2B5EF4-FFF2-40B4-BE49-F238E27FC236}">
              <a16:creationId xmlns:a16="http://schemas.microsoft.com/office/drawing/2014/main" id="{7E72CF74-742F-43A1-9F1A-9C18E39F4CDC}"/>
            </a:ext>
          </a:extLst>
        </xdr:cNvPr>
        <xdr:cNvSpPr/>
      </xdr:nvSpPr>
      <xdr:spPr>
        <a:xfrm>
          <a:off x="8777151" y="1383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80826</xdr:colOff>
      <xdr:row>8</xdr:row>
      <xdr:rowOff>87630</xdr:rowOff>
    </xdr:from>
    <xdr:to>
      <xdr:col>29</xdr:col>
      <xdr:colOff>80826</xdr:colOff>
      <xdr:row>8</xdr:row>
      <xdr:rowOff>87630</xdr:rowOff>
    </xdr:to>
    <xdr:cxnSp macro="">
      <xdr:nvCxnSpPr>
        <xdr:cNvPr id="3376" name="직선 화살표 연결선 3375">
          <a:extLst>
            <a:ext uri="{FF2B5EF4-FFF2-40B4-BE49-F238E27FC236}">
              <a16:creationId xmlns:a16="http://schemas.microsoft.com/office/drawing/2014/main" id="{C365EBFB-7E36-4E6C-A36B-CF7BA5139896}"/>
            </a:ext>
          </a:extLst>
        </xdr:cNvPr>
        <xdr:cNvCxnSpPr/>
      </xdr:nvCxnSpPr>
      <xdr:spPr>
        <a:xfrm>
          <a:off x="8777151"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140970</xdr:colOff>
      <xdr:row>7</xdr:row>
      <xdr:rowOff>30480</xdr:rowOff>
    </xdr:from>
    <xdr:to>
      <xdr:col>29</xdr:col>
      <xdr:colOff>18778</xdr:colOff>
      <xdr:row>7</xdr:row>
      <xdr:rowOff>144780</xdr:rowOff>
    </xdr:to>
    <xdr:sp macro="" textlink="">
      <xdr:nvSpPr>
        <xdr:cNvPr id="3377" name="직사각형 3376">
          <a:extLst>
            <a:ext uri="{FF2B5EF4-FFF2-40B4-BE49-F238E27FC236}">
              <a16:creationId xmlns:a16="http://schemas.microsoft.com/office/drawing/2014/main" id="{E97DB9CE-DA9B-43D7-B75B-BB2DA840A20D}"/>
            </a:ext>
          </a:extLst>
        </xdr:cNvPr>
        <xdr:cNvSpPr/>
      </xdr:nvSpPr>
      <xdr:spPr>
        <a:xfrm>
          <a:off x="8694420" y="1230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140970</xdr:colOff>
      <xdr:row>7</xdr:row>
      <xdr:rowOff>87630</xdr:rowOff>
    </xdr:from>
    <xdr:to>
      <xdr:col>28</xdr:col>
      <xdr:colOff>140970</xdr:colOff>
      <xdr:row>7</xdr:row>
      <xdr:rowOff>87630</xdr:rowOff>
    </xdr:to>
    <xdr:cxnSp macro="">
      <xdr:nvCxnSpPr>
        <xdr:cNvPr id="3378" name="직선 화살표 연결선 3377">
          <a:extLst>
            <a:ext uri="{FF2B5EF4-FFF2-40B4-BE49-F238E27FC236}">
              <a16:creationId xmlns:a16="http://schemas.microsoft.com/office/drawing/2014/main" id="{5C6CB998-5ACF-4CF2-98D2-DD1C37B45B6D}"/>
            </a:ext>
          </a:extLst>
        </xdr:cNvPr>
        <xdr:cNvCxnSpPr/>
      </xdr:nvCxnSpPr>
      <xdr:spPr>
        <a:xfrm>
          <a:off x="8694420"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6</xdr:row>
      <xdr:rowOff>30480</xdr:rowOff>
    </xdr:from>
    <xdr:to>
      <xdr:col>28</xdr:col>
      <xdr:colOff>99604</xdr:colOff>
      <xdr:row>6</xdr:row>
      <xdr:rowOff>144780</xdr:rowOff>
    </xdr:to>
    <xdr:sp macro="" textlink="">
      <xdr:nvSpPr>
        <xdr:cNvPr id="3379" name="직사각형 3378">
          <a:extLst>
            <a:ext uri="{FF2B5EF4-FFF2-40B4-BE49-F238E27FC236}">
              <a16:creationId xmlns:a16="http://schemas.microsoft.com/office/drawing/2014/main" id="{50E11704-D4CC-44D4-860C-66BF2D06A938}"/>
            </a:ext>
          </a:extLst>
        </xdr:cNvPr>
        <xdr:cNvSpPr/>
      </xdr:nvSpPr>
      <xdr:spPr>
        <a:xfrm>
          <a:off x="8611688" y="1078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6</xdr:row>
      <xdr:rowOff>87630</xdr:rowOff>
    </xdr:from>
    <xdr:to>
      <xdr:col>28</xdr:col>
      <xdr:colOff>99604</xdr:colOff>
      <xdr:row>6</xdr:row>
      <xdr:rowOff>87630</xdr:rowOff>
    </xdr:to>
    <xdr:cxnSp macro="">
      <xdr:nvCxnSpPr>
        <xdr:cNvPr id="3380" name="직선 화살표 연결선 3379">
          <a:extLst>
            <a:ext uri="{FF2B5EF4-FFF2-40B4-BE49-F238E27FC236}">
              <a16:creationId xmlns:a16="http://schemas.microsoft.com/office/drawing/2014/main" id="{EF46636F-6DCC-4639-9BD9-2C305D945D48}"/>
            </a:ext>
          </a:extLst>
        </xdr:cNvPr>
        <xdr:cNvCxnSpPr/>
      </xdr:nvCxnSpPr>
      <xdr:spPr>
        <a:xfrm>
          <a:off x="8611688" y="1135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58238</xdr:colOff>
      <xdr:row>5</xdr:row>
      <xdr:rowOff>30480</xdr:rowOff>
    </xdr:from>
    <xdr:to>
      <xdr:col>35</xdr:col>
      <xdr:colOff>92256</xdr:colOff>
      <xdr:row>5</xdr:row>
      <xdr:rowOff>144780</xdr:rowOff>
    </xdr:to>
    <xdr:sp macro="" textlink="">
      <xdr:nvSpPr>
        <xdr:cNvPr id="3381" name="직사각형 3380">
          <a:extLst>
            <a:ext uri="{FF2B5EF4-FFF2-40B4-BE49-F238E27FC236}">
              <a16:creationId xmlns:a16="http://schemas.microsoft.com/office/drawing/2014/main" id="{6866712C-AFF8-4CB6-9DC1-68E4A73C9667}"/>
            </a:ext>
          </a:extLst>
        </xdr:cNvPr>
        <xdr:cNvSpPr/>
      </xdr:nvSpPr>
      <xdr:spPr>
        <a:xfrm>
          <a:off x="8611688" y="925830"/>
          <a:ext cx="10341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58238</xdr:colOff>
      <xdr:row>5</xdr:row>
      <xdr:rowOff>87630</xdr:rowOff>
    </xdr:from>
    <xdr:to>
      <xdr:col>29</xdr:col>
      <xdr:colOff>87720</xdr:colOff>
      <xdr:row>5</xdr:row>
      <xdr:rowOff>87630</xdr:rowOff>
    </xdr:to>
    <xdr:cxnSp macro="">
      <xdr:nvCxnSpPr>
        <xdr:cNvPr id="3382" name="직선 화살표 연결선 3381">
          <a:extLst>
            <a:ext uri="{FF2B5EF4-FFF2-40B4-BE49-F238E27FC236}">
              <a16:creationId xmlns:a16="http://schemas.microsoft.com/office/drawing/2014/main" id="{46C08EE4-F825-4FA8-B3C9-74F067201B6B}"/>
            </a:ext>
          </a:extLst>
        </xdr:cNvPr>
        <xdr:cNvCxnSpPr/>
      </xdr:nvCxnSpPr>
      <xdr:spPr>
        <a:xfrm>
          <a:off x="8611688" y="982980"/>
          <a:ext cx="1723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990</v>
      </c>
      <c r="C8" s="101" t="s">
        <v>1128</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1161</v>
      </c>
      <c r="D11" s="99" t="s">
        <v>26</v>
      </c>
      <c r="E11" s="108">
        <v>1</v>
      </c>
      <c r="F11" s="109" t="s">
        <v>27</v>
      </c>
      <c r="G11" s="110">
        <v>43650</v>
      </c>
      <c r="H11" s="109" t="s">
        <v>28</v>
      </c>
      <c r="I11" s="110">
        <v>43708</v>
      </c>
      <c r="J11" s="102" t="s">
        <v>418</v>
      </c>
      <c r="K11" s="102" t="s">
        <v>1129</v>
      </c>
      <c r="L11" s="102" t="s">
        <v>415</v>
      </c>
      <c r="M11" s="102">
        <v>0</v>
      </c>
      <c r="N11" s="107" t="s">
        <v>29</v>
      </c>
      <c r="O11" s="99">
        <v>0</v>
      </c>
      <c r="P11" s="99" t="s">
        <v>30</v>
      </c>
      <c r="Q11" s="107" t="s">
        <v>1134</v>
      </c>
      <c r="R11" s="102" t="s">
        <v>420</v>
      </c>
      <c r="S11" s="102">
        <v>2</v>
      </c>
      <c r="T11" s="102" t="s">
        <v>425</v>
      </c>
      <c r="U11" s="102">
        <v>0</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986</v>
      </c>
      <c r="AE12" s="102">
        <v>1</v>
      </c>
    </row>
    <row r="13" spans="1:64">
      <c r="A13" s="101" t="s">
        <v>402</v>
      </c>
      <c r="B13" s="107" t="s">
        <v>31</v>
      </c>
      <c r="C13" s="99">
        <v>1</v>
      </c>
      <c r="D13" s="107" t="s">
        <v>32</v>
      </c>
      <c r="E13" s="99" t="s">
        <v>1135</v>
      </c>
      <c r="F13" s="99" t="s">
        <v>33</v>
      </c>
      <c r="G13" s="109" t="s">
        <v>1162</v>
      </c>
      <c r="H13" s="109" t="s">
        <v>34</v>
      </c>
      <c r="I13" s="102" t="s">
        <v>1048</v>
      </c>
    </row>
    <row r="14" spans="1:64">
      <c r="A14" s="101" t="s">
        <v>403</v>
      </c>
      <c r="B14" s="108" t="s">
        <v>35</v>
      </c>
      <c r="C14" s="108" t="s">
        <v>1136</v>
      </c>
      <c r="D14" s="108" t="s">
        <v>36</v>
      </c>
      <c r="E14" s="108" t="s">
        <v>1137</v>
      </c>
      <c r="F14" s="108" t="s">
        <v>37</v>
      </c>
      <c r="G14" s="108" t="s">
        <v>1103</v>
      </c>
      <c r="H14" s="108" t="s">
        <v>38</v>
      </c>
      <c r="I14" s="108" t="b">
        <v>0</v>
      </c>
      <c r="J14" s="108" t="s">
        <v>39</v>
      </c>
      <c r="K14" s="108" t="s">
        <v>1115</v>
      </c>
      <c r="L14" s="108" t="s">
        <v>40</v>
      </c>
      <c r="M14" s="108" t="s">
        <v>1104</v>
      </c>
      <c r="N14" s="108" t="s">
        <v>41</v>
      </c>
      <c r="O14" s="108" t="s">
        <v>1103</v>
      </c>
      <c r="P14" s="108" t="s">
        <v>42</v>
      </c>
      <c r="Q14" s="108" t="b">
        <v>0</v>
      </c>
      <c r="R14" s="108" t="s">
        <v>43</v>
      </c>
      <c r="S14" s="108" t="s">
        <v>1138</v>
      </c>
      <c r="T14" s="108" t="s">
        <v>44</v>
      </c>
      <c r="U14" s="108" t="s">
        <v>1116</v>
      </c>
      <c r="V14" s="108" t="s">
        <v>45</v>
      </c>
      <c r="W14" s="108" t="s">
        <v>1103</v>
      </c>
      <c r="X14" s="108" t="s">
        <v>46</v>
      </c>
      <c r="Y14" s="108" t="b">
        <v>1</v>
      </c>
      <c r="Z14" s="108" t="s">
        <v>47</v>
      </c>
      <c r="AA14" s="108" t="s">
        <v>1105</v>
      </c>
      <c r="AB14" s="108" t="s">
        <v>48</v>
      </c>
      <c r="AC14" s="108" t="s">
        <v>1117</v>
      </c>
      <c r="AD14" s="108" t="s">
        <v>49</v>
      </c>
      <c r="AE14" s="108" t="s">
        <v>1139</v>
      </c>
      <c r="AF14" s="108" t="s">
        <v>50</v>
      </c>
      <c r="AG14" s="108" t="b">
        <v>1</v>
      </c>
      <c r="AH14" s="108" t="s">
        <v>51</v>
      </c>
      <c r="AI14" s="108" t="s">
        <v>1107</v>
      </c>
      <c r="AJ14" s="108" t="s">
        <v>52</v>
      </c>
      <c r="AK14" s="108" t="s">
        <v>1072</v>
      </c>
      <c r="AL14" s="108" t="s">
        <v>53</v>
      </c>
      <c r="AM14" s="108" t="s">
        <v>1140</v>
      </c>
      <c r="AN14" s="108" t="s">
        <v>54</v>
      </c>
      <c r="AO14" s="108" t="b">
        <v>0</v>
      </c>
      <c r="AP14" s="108" t="s">
        <v>55</v>
      </c>
      <c r="AQ14" s="108" t="s">
        <v>1070</v>
      </c>
      <c r="AR14" s="108" t="s">
        <v>56</v>
      </c>
      <c r="AS14" s="108" t="s">
        <v>1073</v>
      </c>
      <c r="AT14" s="108" t="s">
        <v>57</v>
      </c>
      <c r="AU14" s="108" t="s">
        <v>1108</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1074</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932</v>
      </c>
      <c r="B1" s="124" t="s">
        <v>933</v>
      </c>
      <c r="C1" s="125" t="s">
        <v>934</v>
      </c>
      <c r="D1" s="125" t="s">
        <v>67</v>
      </c>
      <c r="E1" s="125" t="s">
        <v>68</v>
      </c>
    </row>
    <row r="2" spans="1:5" ht="79.2">
      <c r="A2" s="126" t="s">
        <v>1141</v>
      </c>
      <c r="B2" s="139">
        <v>1</v>
      </c>
      <c r="D2" s="127" t="s">
        <v>935</v>
      </c>
      <c r="E2" s="140" t="s">
        <v>611</v>
      </c>
    </row>
    <row r="3" spans="1:5" ht="112.5" customHeight="1">
      <c r="A3" s="128">
        <v>450</v>
      </c>
      <c r="B3" s="139">
        <v>2</v>
      </c>
      <c r="D3" s="127" t="s">
        <v>537</v>
      </c>
      <c r="E3" s="140" t="s">
        <v>936</v>
      </c>
    </row>
    <row r="4" spans="1:5" ht="52.8">
      <c r="B4" s="139">
        <v>3</v>
      </c>
      <c r="D4" s="127" t="s">
        <v>937</v>
      </c>
      <c r="E4" s="140" t="s">
        <v>612</v>
      </c>
    </row>
    <row r="5" spans="1:5" ht="52.8">
      <c r="B5" s="139">
        <v>4</v>
      </c>
      <c r="D5" s="127" t="s">
        <v>938</v>
      </c>
      <c r="E5" s="140" t="s">
        <v>613</v>
      </c>
    </row>
    <row r="6" spans="1:5" ht="52.8">
      <c r="B6" s="139">
        <v>5</v>
      </c>
      <c r="D6" s="127" t="s">
        <v>939</v>
      </c>
      <c r="E6" s="140" t="s">
        <v>614</v>
      </c>
    </row>
    <row r="7" spans="1:5" ht="39.6">
      <c r="B7" s="139">
        <v>6</v>
      </c>
      <c r="D7" s="127" t="s">
        <v>940</v>
      </c>
      <c r="E7" s="140" t="s">
        <v>615</v>
      </c>
    </row>
    <row r="8" spans="1:5">
      <c r="B8" s="139">
        <v>7</v>
      </c>
      <c r="D8" s="127" t="s">
        <v>926</v>
      </c>
      <c r="E8" s="140" t="s">
        <v>941</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942</v>
      </c>
      <c r="D20" s="128" t="s">
        <v>943</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944</v>
      </c>
      <c r="D46" s="127" t="s">
        <v>945</v>
      </c>
      <c r="E46" s="166" t="s">
        <v>946</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947</v>
      </c>
      <c r="E61" s="128" t="s">
        <v>948</v>
      </c>
      <c r="F61" s="130"/>
    </row>
    <row r="62" spans="1:6" ht="14.4">
      <c r="B62" s="139">
        <v>154</v>
      </c>
      <c r="D62" s="127" t="s">
        <v>104</v>
      </c>
      <c r="E62" s="168" t="s">
        <v>930</v>
      </c>
    </row>
    <row r="63" spans="1:6" ht="14.4">
      <c r="B63" s="139">
        <v>155</v>
      </c>
      <c r="D63" s="127" t="s">
        <v>105</v>
      </c>
      <c r="E63" s="168" t="s">
        <v>949</v>
      </c>
    </row>
    <row r="64" spans="1:6">
      <c r="A64" s="131"/>
      <c r="B64" s="139">
        <v>156</v>
      </c>
      <c r="C64" s="138" t="s">
        <v>950</v>
      </c>
      <c r="D64" s="128" t="s">
        <v>951</v>
      </c>
      <c r="E64" s="128" t="s">
        <v>952</v>
      </c>
      <c r="F64" s="130"/>
    </row>
    <row r="65" spans="1:6">
      <c r="A65" s="131"/>
      <c r="B65" s="139">
        <v>157</v>
      </c>
      <c r="C65" s="138" t="s">
        <v>532</v>
      </c>
      <c r="D65" s="128" t="s">
        <v>953</v>
      </c>
      <c r="E65" s="128" t="s">
        <v>954</v>
      </c>
      <c r="F65" s="130"/>
    </row>
    <row r="66" spans="1:6">
      <c r="A66" s="131"/>
      <c r="B66" s="139">
        <v>158</v>
      </c>
      <c r="C66" s="138" t="s">
        <v>532</v>
      </c>
      <c r="D66" s="128" t="s">
        <v>955</v>
      </c>
      <c r="E66" s="128" t="s">
        <v>956</v>
      </c>
      <c r="F66" s="130"/>
    </row>
    <row r="67" spans="1:6">
      <c r="A67" s="131"/>
      <c r="B67" s="139">
        <v>159</v>
      </c>
      <c r="C67" s="138" t="s">
        <v>950</v>
      </c>
      <c r="D67" s="128" t="s">
        <v>927</v>
      </c>
      <c r="E67" s="128" t="s">
        <v>957</v>
      </c>
      <c r="F67" s="130"/>
    </row>
    <row r="68" spans="1:6">
      <c r="B68" s="139">
        <v>160</v>
      </c>
      <c r="D68" s="127" t="s">
        <v>106</v>
      </c>
      <c r="E68" s="140" t="s">
        <v>958</v>
      </c>
    </row>
    <row r="69" spans="1:6">
      <c r="B69" s="139">
        <v>161</v>
      </c>
      <c r="D69" s="127" t="s">
        <v>107</v>
      </c>
      <c r="E69" s="140" t="s">
        <v>959</v>
      </c>
    </row>
    <row r="70" spans="1:6">
      <c r="B70" s="139">
        <v>162</v>
      </c>
      <c r="D70" s="127" t="s">
        <v>960</v>
      </c>
      <c r="E70" s="140" t="s">
        <v>928</v>
      </c>
    </row>
    <row r="71" spans="1:6">
      <c r="B71" s="139">
        <v>163</v>
      </c>
      <c r="D71" s="127" t="s">
        <v>108</v>
      </c>
      <c r="E71" s="140" t="s">
        <v>961</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962</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1071</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963</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964</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965</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966</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967</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968</v>
      </c>
    </row>
    <row r="210" spans="2:5">
      <c r="B210" s="139">
        <v>302</v>
      </c>
      <c r="D210" s="127" t="s">
        <v>504</v>
      </c>
      <c r="E210" s="140" t="s">
        <v>969</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944</v>
      </c>
      <c r="D221" s="127" t="s">
        <v>970</v>
      </c>
      <c r="E221" s="166" t="s">
        <v>971</v>
      </c>
    </row>
    <row r="222" spans="2:5">
      <c r="B222" s="139">
        <v>314</v>
      </c>
      <c r="D222" s="127" t="s">
        <v>211</v>
      </c>
      <c r="E222" s="140" t="s">
        <v>972</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973</v>
      </c>
      <c r="E232" s="128" t="s">
        <v>540</v>
      </c>
      <c r="F232" s="130"/>
    </row>
    <row r="233" spans="1:6">
      <c r="A233" s="129"/>
      <c r="B233" s="139">
        <v>325</v>
      </c>
      <c r="C233" s="138" t="s">
        <v>532</v>
      </c>
      <c r="D233" s="128" t="s">
        <v>974</v>
      </c>
      <c r="E233" s="128" t="s">
        <v>923</v>
      </c>
      <c r="F233" s="130"/>
    </row>
    <row r="234" spans="1:6">
      <c r="A234" s="129"/>
      <c r="B234" s="139">
        <v>326</v>
      </c>
      <c r="C234" s="138" t="s">
        <v>942</v>
      </c>
      <c r="D234" s="128" t="s">
        <v>975</v>
      </c>
      <c r="E234" s="128" t="s">
        <v>976</v>
      </c>
      <c r="F234" s="130"/>
    </row>
    <row r="235" spans="1:6">
      <c r="B235" s="139">
        <v>327</v>
      </c>
      <c r="D235" s="127" t="s">
        <v>220</v>
      </c>
      <c r="E235" s="140" t="s">
        <v>584</v>
      </c>
    </row>
    <row r="236" spans="1:6" ht="14.4">
      <c r="B236" s="139">
        <v>328</v>
      </c>
      <c r="D236" s="127" t="s">
        <v>221</v>
      </c>
      <c r="E236" s="168" t="s">
        <v>929</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977</v>
      </c>
      <c r="E260" s="167" t="s">
        <v>978</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979</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944</v>
      </c>
      <c r="D336" s="134" t="s">
        <v>980</v>
      </c>
      <c r="E336" s="134" t="s">
        <v>981</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924</v>
      </c>
      <c r="E374" s="128" t="s">
        <v>982</v>
      </c>
      <c r="F374" s="130"/>
    </row>
    <row r="375" spans="1:6">
      <c r="A375" s="129"/>
      <c r="B375" s="139">
        <v>467</v>
      </c>
      <c r="C375" s="138" t="s">
        <v>532</v>
      </c>
      <c r="D375" s="128" t="s">
        <v>983</v>
      </c>
      <c r="E375" s="128" t="s">
        <v>925</v>
      </c>
      <c r="F375" s="130"/>
    </row>
    <row r="376" spans="1:6" ht="14.4">
      <c r="B376" s="139">
        <v>468</v>
      </c>
      <c r="D376" s="127" t="s">
        <v>341</v>
      </c>
      <c r="E376" s="168" t="s">
        <v>931</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984</v>
      </c>
      <c r="E408" s="134" t="s">
        <v>985</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987</v>
      </c>
      <c r="E435" s="140" t="s">
        <v>997</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988</v>
      </c>
      <c r="B2" s="94" t="s">
        <v>0</v>
      </c>
      <c r="C2" s="95" t="s">
        <v>991</v>
      </c>
      <c r="D2" s="95">
        <v>43375</v>
      </c>
      <c r="E2" s="96">
        <v>43376</v>
      </c>
      <c r="F2" s="95">
        <v>43375</v>
      </c>
      <c r="G2" s="95">
        <v>43379</v>
      </c>
      <c r="H2" s="92">
        <v>1</v>
      </c>
    </row>
    <row r="3" spans="1:8">
      <c r="A3" s="93" t="s">
        <v>449</v>
      </c>
      <c r="B3" s="94" t="s">
        <v>427</v>
      </c>
      <c r="C3" s="95" t="s">
        <v>991</v>
      </c>
      <c r="D3" s="95">
        <v>43379</v>
      </c>
      <c r="E3" s="96">
        <v>43385</v>
      </c>
      <c r="F3" s="95">
        <v>43375</v>
      </c>
      <c r="G3" s="95">
        <v>43379</v>
      </c>
      <c r="H3" s="92">
        <v>0</v>
      </c>
    </row>
    <row r="4" spans="1:8">
      <c r="A4" s="93" t="s">
        <v>449</v>
      </c>
      <c r="B4" s="94" t="s">
        <v>427</v>
      </c>
      <c r="C4" s="95" t="s">
        <v>989</v>
      </c>
      <c r="D4" s="95">
        <v>43379</v>
      </c>
      <c r="E4" s="96">
        <v>43385</v>
      </c>
      <c r="F4" s="95">
        <v>43375</v>
      </c>
      <c r="G4" s="95">
        <v>43379</v>
      </c>
      <c r="H4" s="92">
        <v>0</v>
      </c>
    </row>
    <row r="5" spans="1:8">
      <c r="A5" s="93" t="s">
        <v>449</v>
      </c>
      <c r="B5" s="94" t="s">
        <v>427</v>
      </c>
      <c r="C5" s="95" t="s">
        <v>1045</v>
      </c>
      <c r="D5" s="95">
        <v>43379</v>
      </c>
      <c r="E5" s="96">
        <v>43385</v>
      </c>
      <c r="F5" s="95">
        <v>43375</v>
      </c>
      <c r="G5" s="95">
        <v>43379</v>
      </c>
      <c r="H5" s="92">
        <v>0</v>
      </c>
    </row>
    <row r="6" spans="1:8">
      <c r="A6" s="93" t="s">
        <v>449</v>
      </c>
      <c r="B6" s="94" t="s">
        <v>427</v>
      </c>
      <c r="C6" s="95" t="s">
        <v>991</v>
      </c>
      <c r="D6" s="95">
        <v>43379</v>
      </c>
      <c r="E6" s="96">
        <v>43385</v>
      </c>
      <c r="F6" s="95">
        <v>43380</v>
      </c>
      <c r="G6" s="95">
        <v>43386</v>
      </c>
      <c r="H6" s="92">
        <v>1.3333333333333333</v>
      </c>
    </row>
    <row r="7" spans="1:8">
      <c r="A7" s="93" t="s">
        <v>449</v>
      </c>
      <c r="B7" s="94" t="s">
        <v>427</v>
      </c>
      <c r="C7" s="95" t="s">
        <v>989</v>
      </c>
      <c r="D7" s="95">
        <v>43379</v>
      </c>
      <c r="E7" s="96">
        <v>43385</v>
      </c>
      <c r="F7" s="95">
        <v>43380</v>
      </c>
      <c r="G7" s="95">
        <v>43386</v>
      </c>
      <c r="H7" s="92">
        <v>1.3333333333333333</v>
      </c>
    </row>
    <row r="8" spans="1:8">
      <c r="A8" s="93" t="s">
        <v>449</v>
      </c>
      <c r="B8" s="94" t="s">
        <v>427</v>
      </c>
      <c r="C8" s="95" t="s">
        <v>1045</v>
      </c>
      <c r="D8" s="95">
        <v>43379</v>
      </c>
      <c r="E8" s="96">
        <v>43385</v>
      </c>
      <c r="F8" s="95">
        <v>43380</v>
      </c>
      <c r="G8" s="95">
        <v>43386</v>
      </c>
      <c r="H8" s="92">
        <v>1.3333333333333333</v>
      </c>
    </row>
    <row r="9" spans="1:8">
      <c r="A9" s="93" t="s">
        <v>450</v>
      </c>
      <c r="B9" s="94" t="s">
        <v>438</v>
      </c>
      <c r="C9" s="95" t="s">
        <v>991</v>
      </c>
      <c r="D9" s="95">
        <v>43397</v>
      </c>
      <c r="E9" s="96">
        <v>43397</v>
      </c>
      <c r="F9" s="95">
        <v>43394</v>
      </c>
      <c r="G9" s="95">
        <v>43400</v>
      </c>
      <c r="H9" s="92">
        <v>1</v>
      </c>
    </row>
    <row r="10" spans="1:8">
      <c r="A10" s="93" t="s">
        <v>431</v>
      </c>
      <c r="B10" s="94" t="s">
        <v>439</v>
      </c>
      <c r="C10" s="95" t="s">
        <v>989</v>
      </c>
      <c r="D10" s="95">
        <v>43400</v>
      </c>
      <c r="E10" s="96">
        <v>43404</v>
      </c>
      <c r="F10" s="95">
        <v>43394</v>
      </c>
      <c r="G10" s="95">
        <v>43400</v>
      </c>
      <c r="H10" s="92">
        <v>0</v>
      </c>
    </row>
    <row r="11" spans="1:8">
      <c r="A11" s="93" t="s">
        <v>431</v>
      </c>
      <c r="B11" s="94" t="s">
        <v>439</v>
      </c>
      <c r="C11" s="95" t="s">
        <v>989</v>
      </c>
      <c r="D11" s="95">
        <v>43400</v>
      </c>
      <c r="E11" s="96">
        <v>43404</v>
      </c>
      <c r="F11" s="95">
        <v>43401</v>
      </c>
      <c r="G11" s="95">
        <v>43407</v>
      </c>
      <c r="H11" s="92">
        <v>3</v>
      </c>
    </row>
    <row r="12" spans="1:8">
      <c r="A12" s="93" t="s">
        <v>432</v>
      </c>
      <c r="B12" s="94" t="s">
        <v>440</v>
      </c>
      <c r="C12" s="95" t="s">
        <v>989</v>
      </c>
      <c r="D12" s="95">
        <v>43432</v>
      </c>
      <c r="E12" s="96">
        <v>43432</v>
      </c>
      <c r="F12" s="95">
        <v>43429</v>
      </c>
      <c r="G12" s="95">
        <v>43435</v>
      </c>
      <c r="H12" s="92">
        <v>1</v>
      </c>
    </row>
    <row r="13" spans="1:8">
      <c r="A13" s="93" t="s">
        <v>433</v>
      </c>
      <c r="B13" s="94" t="s">
        <v>441</v>
      </c>
      <c r="C13" s="95" t="s">
        <v>1091</v>
      </c>
      <c r="D13" s="95">
        <v>43468</v>
      </c>
      <c r="E13" s="96">
        <v>43493</v>
      </c>
      <c r="F13" s="95">
        <v>43464</v>
      </c>
      <c r="G13" s="95">
        <v>43470</v>
      </c>
      <c r="H13" s="92">
        <v>2</v>
      </c>
    </row>
    <row r="14" spans="1:8">
      <c r="A14" s="93" t="s">
        <v>433</v>
      </c>
      <c r="B14" s="94" t="s">
        <v>441</v>
      </c>
      <c r="C14" s="95" t="s">
        <v>1091</v>
      </c>
      <c r="D14" s="95">
        <v>43468</v>
      </c>
      <c r="E14" s="96">
        <v>43493</v>
      </c>
      <c r="F14" s="95">
        <v>43471</v>
      </c>
      <c r="G14" s="95">
        <v>43477</v>
      </c>
      <c r="H14" s="92">
        <v>5</v>
      </c>
    </row>
    <row r="15" spans="1:8">
      <c r="A15" s="93" t="s">
        <v>433</v>
      </c>
      <c r="B15" s="94" t="s">
        <v>441</v>
      </c>
      <c r="C15" s="95" t="s">
        <v>1091</v>
      </c>
      <c r="D15" s="95">
        <v>43468</v>
      </c>
      <c r="E15" s="96">
        <v>43493</v>
      </c>
      <c r="F15" s="95">
        <v>43478</v>
      </c>
      <c r="G15" s="95">
        <v>43484</v>
      </c>
      <c r="H15" s="92">
        <v>5</v>
      </c>
    </row>
    <row r="16" spans="1:8">
      <c r="A16" s="93" t="s">
        <v>433</v>
      </c>
      <c r="B16" s="94" t="s">
        <v>441</v>
      </c>
      <c r="C16" s="95" t="s">
        <v>1091</v>
      </c>
      <c r="D16" s="95">
        <v>43468</v>
      </c>
      <c r="E16" s="96">
        <v>43493</v>
      </c>
      <c r="F16" s="95">
        <v>43485</v>
      </c>
      <c r="G16" s="95">
        <v>43491</v>
      </c>
      <c r="H16" s="92">
        <v>5</v>
      </c>
    </row>
    <row r="17" spans="1:8">
      <c r="A17" s="93" t="s">
        <v>433</v>
      </c>
      <c r="B17" s="94" t="s">
        <v>441</v>
      </c>
      <c r="C17" s="95" t="s">
        <v>1091</v>
      </c>
      <c r="D17" s="95">
        <v>43468</v>
      </c>
      <c r="E17" s="96">
        <v>43493</v>
      </c>
      <c r="F17" s="95">
        <v>43492</v>
      </c>
      <c r="G17" s="95">
        <v>43498</v>
      </c>
      <c r="H17" s="92">
        <v>1</v>
      </c>
    </row>
    <row r="18" spans="1:8">
      <c r="A18" s="93" t="s">
        <v>434</v>
      </c>
      <c r="B18" s="94" t="s">
        <v>998</v>
      </c>
      <c r="C18" s="95" t="s">
        <v>1091</v>
      </c>
      <c r="D18" s="95">
        <v>43397</v>
      </c>
      <c r="E18" s="96">
        <v>43397</v>
      </c>
      <c r="F18" s="95">
        <v>43394</v>
      </c>
      <c r="G18" s="95">
        <v>43400</v>
      </c>
      <c r="H18" s="92">
        <v>1</v>
      </c>
    </row>
    <row r="19" spans="1:8">
      <c r="A19" s="93" t="s">
        <v>435</v>
      </c>
      <c r="B19" s="94" t="s">
        <v>442</v>
      </c>
      <c r="C19" s="95" t="s">
        <v>991</v>
      </c>
      <c r="D19" s="95">
        <v>43501</v>
      </c>
      <c r="E19" s="96">
        <v>43505</v>
      </c>
      <c r="F19" s="95">
        <v>43499</v>
      </c>
      <c r="G19" s="95">
        <v>43505</v>
      </c>
      <c r="H19" s="92">
        <v>2</v>
      </c>
    </row>
    <row r="20" spans="1:8">
      <c r="A20" s="93" t="s">
        <v>436</v>
      </c>
      <c r="B20" s="94" t="s">
        <v>443</v>
      </c>
      <c r="C20" s="95" t="s">
        <v>991</v>
      </c>
      <c r="D20" s="95">
        <v>43508</v>
      </c>
      <c r="E20" s="96">
        <v>43526</v>
      </c>
      <c r="F20" s="95">
        <v>43506</v>
      </c>
      <c r="G20" s="95">
        <v>43512</v>
      </c>
      <c r="H20" s="92">
        <v>4</v>
      </c>
    </row>
    <row r="21" spans="1:8">
      <c r="A21" s="93" t="s">
        <v>436</v>
      </c>
      <c r="B21" s="94" t="s">
        <v>443</v>
      </c>
      <c r="C21" s="95" t="s">
        <v>991</v>
      </c>
      <c r="D21" s="95">
        <v>43508</v>
      </c>
      <c r="E21" s="96">
        <v>43526</v>
      </c>
      <c r="F21" s="95">
        <v>43513</v>
      </c>
      <c r="G21" s="95">
        <v>43519</v>
      </c>
      <c r="H21" s="92">
        <v>5</v>
      </c>
    </row>
    <row r="22" spans="1:8">
      <c r="A22" s="93" t="s">
        <v>436</v>
      </c>
      <c r="B22" s="94" t="s">
        <v>443</v>
      </c>
      <c r="C22" s="95" t="s">
        <v>991</v>
      </c>
      <c r="D22" s="95">
        <v>43508</v>
      </c>
      <c r="E22" s="96">
        <v>43526</v>
      </c>
      <c r="F22" s="95">
        <v>43520</v>
      </c>
      <c r="G22" s="95">
        <v>43526</v>
      </c>
      <c r="H22" s="92">
        <v>4</v>
      </c>
    </row>
    <row r="23" spans="1:8">
      <c r="A23" s="93" t="s">
        <v>437</v>
      </c>
      <c r="B23" s="94" t="s">
        <v>444</v>
      </c>
      <c r="C23" s="95" t="s">
        <v>991</v>
      </c>
      <c r="D23" s="95">
        <v>43526</v>
      </c>
      <c r="E23" s="96">
        <v>43526</v>
      </c>
      <c r="F23" s="95">
        <v>43520</v>
      </c>
      <c r="G23" s="95">
        <v>43526</v>
      </c>
      <c r="H23" s="92">
        <v>0</v>
      </c>
    </row>
    <row r="24" spans="1:8">
      <c r="A24" s="93" t="s">
        <v>451</v>
      </c>
      <c r="B24" s="94" t="s">
        <v>445</v>
      </c>
      <c r="C24" s="95" t="s">
        <v>991</v>
      </c>
      <c r="D24" s="95">
        <v>43526</v>
      </c>
      <c r="E24" s="96">
        <v>43526</v>
      </c>
      <c r="F24" s="95">
        <v>43520</v>
      </c>
      <c r="G24" s="95">
        <v>43526</v>
      </c>
      <c r="H24" s="92">
        <v>0</v>
      </c>
    </row>
    <row r="25" spans="1:8">
      <c r="A25" s="93" t="s">
        <v>992</v>
      </c>
      <c r="B25" s="94" t="s">
        <v>446</v>
      </c>
      <c r="C25" s="95" t="s">
        <v>1046</v>
      </c>
      <c r="D25" s="95">
        <v>43379</v>
      </c>
      <c r="E25" s="96">
        <v>43397</v>
      </c>
      <c r="F25" s="95">
        <v>43375</v>
      </c>
      <c r="G25" s="95">
        <v>43379</v>
      </c>
      <c r="H25" s="92">
        <v>0</v>
      </c>
    </row>
    <row r="26" spans="1:8">
      <c r="A26" s="93" t="s">
        <v>992</v>
      </c>
      <c r="B26" s="94" t="s">
        <v>446</v>
      </c>
      <c r="C26" s="95" t="s">
        <v>1038</v>
      </c>
      <c r="D26" s="95">
        <v>43379</v>
      </c>
      <c r="E26" s="96">
        <v>43397</v>
      </c>
      <c r="F26" s="95">
        <v>43375</v>
      </c>
      <c r="G26" s="95">
        <v>43379</v>
      </c>
      <c r="H26" s="92">
        <v>0</v>
      </c>
    </row>
    <row r="27" spans="1:8">
      <c r="A27" s="93" t="s">
        <v>992</v>
      </c>
      <c r="B27" s="94" t="s">
        <v>446</v>
      </c>
      <c r="C27" s="95" t="s">
        <v>1047</v>
      </c>
      <c r="D27" s="95">
        <v>43379</v>
      </c>
      <c r="E27" s="96">
        <v>43397</v>
      </c>
      <c r="F27" s="95">
        <v>43375</v>
      </c>
      <c r="G27" s="95">
        <v>43379</v>
      </c>
      <c r="H27" s="92">
        <v>0</v>
      </c>
    </row>
    <row r="28" spans="1:8">
      <c r="A28" s="93" t="s">
        <v>992</v>
      </c>
      <c r="B28" s="94" t="s">
        <v>446</v>
      </c>
      <c r="C28" s="95" t="s">
        <v>1046</v>
      </c>
      <c r="D28" s="95">
        <v>43379</v>
      </c>
      <c r="E28" s="96">
        <v>43397</v>
      </c>
      <c r="F28" s="95">
        <v>43380</v>
      </c>
      <c r="G28" s="95">
        <v>43386</v>
      </c>
      <c r="H28" s="92">
        <v>1.3333333333333333</v>
      </c>
    </row>
    <row r="29" spans="1:8">
      <c r="A29" s="93" t="s">
        <v>992</v>
      </c>
      <c r="B29" s="94" t="s">
        <v>446</v>
      </c>
      <c r="C29" s="95" t="s">
        <v>1038</v>
      </c>
      <c r="D29" s="95">
        <v>43379</v>
      </c>
      <c r="E29" s="96">
        <v>43397</v>
      </c>
      <c r="F29" s="95">
        <v>43380</v>
      </c>
      <c r="G29" s="95">
        <v>43386</v>
      </c>
      <c r="H29" s="92">
        <v>1.3333333333333333</v>
      </c>
    </row>
    <row r="30" spans="1:8">
      <c r="A30" s="93" t="s">
        <v>992</v>
      </c>
      <c r="B30" s="94" t="s">
        <v>446</v>
      </c>
      <c r="C30" s="95" t="s">
        <v>1047</v>
      </c>
      <c r="D30" s="95">
        <v>43379</v>
      </c>
      <c r="E30" s="96">
        <v>43397</v>
      </c>
      <c r="F30" s="95">
        <v>43380</v>
      </c>
      <c r="G30" s="95">
        <v>43386</v>
      </c>
      <c r="H30" s="92">
        <v>1.3333333333333333</v>
      </c>
    </row>
    <row r="31" spans="1:8">
      <c r="A31" s="93" t="s">
        <v>992</v>
      </c>
      <c r="B31" s="94" t="s">
        <v>446</v>
      </c>
      <c r="C31" s="95" t="s">
        <v>1046</v>
      </c>
      <c r="D31" s="95">
        <v>43379</v>
      </c>
      <c r="E31" s="96">
        <v>43397</v>
      </c>
      <c r="F31" s="95">
        <v>43387</v>
      </c>
      <c r="G31" s="95">
        <v>43393</v>
      </c>
      <c r="H31" s="92">
        <v>1.6666666666666667</v>
      </c>
    </row>
    <row r="32" spans="1:8">
      <c r="A32" s="93" t="s">
        <v>992</v>
      </c>
      <c r="B32" s="94" t="s">
        <v>446</v>
      </c>
      <c r="C32" s="95" t="s">
        <v>1038</v>
      </c>
      <c r="D32" s="95">
        <v>43379</v>
      </c>
      <c r="E32" s="96">
        <v>43397</v>
      </c>
      <c r="F32" s="95">
        <v>43387</v>
      </c>
      <c r="G32" s="95">
        <v>43393</v>
      </c>
      <c r="H32" s="92">
        <v>1.6666666666666667</v>
      </c>
    </row>
    <row r="33" spans="1:8">
      <c r="A33" s="93" t="s">
        <v>992</v>
      </c>
      <c r="B33" s="94" t="s">
        <v>446</v>
      </c>
      <c r="C33" s="95" t="s">
        <v>1047</v>
      </c>
      <c r="D33" s="95">
        <v>43379</v>
      </c>
      <c r="E33" s="96">
        <v>43397</v>
      </c>
      <c r="F33" s="95">
        <v>43387</v>
      </c>
      <c r="G33" s="95">
        <v>43393</v>
      </c>
      <c r="H33" s="92">
        <v>1.6666666666666667</v>
      </c>
    </row>
    <row r="34" spans="1:8">
      <c r="A34" s="93" t="s">
        <v>992</v>
      </c>
      <c r="B34" s="94" t="s">
        <v>446</v>
      </c>
      <c r="C34" s="95" t="s">
        <v>1046</v>
      </c>
      <c r="D34" s="95">
        <v>43379</v>
      </c>
      <c r="E34" s="96">
        <v>43397</v>
      </c>
      <c r="F34" s="95">
        <v>43394</v>
      </c>
      <c r="G34" s="95">
        <v>43400</v>
      </c>
      <c r="H34" s="92">
        <v>1</v>
      </c>
    </row>
    <row r="35" spans="1:8">
      <c r="A35" s="93" t="s">
        <v>992</v>
      </c>
      <c r="B35" s="94" t="s">
        <v>446</v>
      </c>
      <c r="C35" s="95" t="s">
        <v>1038</v>
      </c>
      <c r="D35" s="95">
        <v>43379</v>
      </c>
      <c r="E35" s="96">
        <v>43397</v>
      </c>
      <c r="F35" s="95">
        <v>43394</v>
      </c>
      <c r="G35" s="95">
        <v>43400</v>
      </c>
      <c r="H35" s="92">
        <v>1</v>
      </c>
    </row>
    <row r="36" spans="1:8">
      <c r="A36" s="93" t="s">
        <v>992</v>
      </c>
      <c r="B36" s="94" t="s">
        <v>446</v>
      </c>
      <c r="C36" s="95" t="s">
        <v>1047</v>
      </c>
      <c r="D36" s="95">
        <v>43379</v>
      </c>
      <c r="E36" s="96">
        <v>43397</v>
      </c>
      <c r="F36" s="95">
        <v>43394</v>
      </c>
      <c r="G36" s="95">
        <v>43400</v>
      </c>
      <c r="H36" s="92">
        <v>1</v>
      </c>
    </row>
    <row r="37" spans="1:8">
      <c r="A37" s="93" t="s">
        <v>993</v>
      </c>
      <c r="B37" s="94" t="s">
        <v>447</v>
      </c>
      <c r="C37" s="95" t="s">
        <v>1038</v>
      </c>
      <c r="D37" s="95">
        <v>43385</v>
      </c>
      <c r="E37" s="96">
        <v>43396</v>
      </c>
      <c r="F37" s="95">
        <v>43380</v>
      </c>
      <c r="G37" s="95">
        <v>43386</v>
      </c>
      <c r="H37" s="92">
        <v>1</v>
      </c>
    </row>
    <row r="38" spans="1:8">
      <c r="A38" s="93" t="s">
        <v>993</v>
      </c>
      <c r="B38" s="94" t="s">
        <v>447</v>
      </c>
      <c r="C38" s="95" t="s">
        <v>1038</v>
      </c>
      <c r="D38" s="95">
        <v>43385</v>
      </c>
      <c r="E38" s="96">
        <v>43396</v>
      </c>
      <c r="F38" s="95">
        <v>43387</v>
      </c>
      <c r="G38" s="95">
        <v>43393</v>
      </c>
      <c r="H38" s="92">
        <v>5</v>
      </c>
    </row>
    <row r="39" spans="1:8">
      <c r="A39" s="93" t="s">
        <v>993</v>
      </c>
      <c r="B39" s="94" t="s">
        <v>447</v>
      </c>
      <c r="C39" s="95" t="s">
        <v>1038</v>
      </c>
      <c r="D39" s="95">
        <v>43385</v>
      </c>
      <c r="E39" s="96">
        <v>43396</v>
      </c>
      <c r="F39" s="95">
        <v>43394</v>
      </c>
      <c r="G39" s="95">
        <v>43400</v>
      </c>
      <c r="H39" s="92">
        <v>2</v>
      </c>
    </row>
    <row r="40" spans="1:8">
      <c r="A40" s="93" t="s">
        <v>994</v>
      </c>
      <c r="B40" s="94" t="s">
        <v>448</v>
      </c>
      <c r="C40" s="95" t="s">
        <v>1038</v>
      </c>
      <c r="D40" s="95">
        <v>43385</v>
      </c>
      <c r="E40" s="96">
        <v>43396</v>
      </c>
      <c r="F40" s="95">
        <v>43380</v>
      </c>
      <c r="G40" s="95">
        <v>43386</v>
      </c>
      <c r="H40" s="92">
        <v>1</v>
      </c>
    </row>
    <row r="41" spans="1:8">
      <c r="A41" s="93" t="s">
        <v>994</v>
      </c>
      <c r="B41" s="94" t="s">
        <v>448</v>
      </c>
      <c r="C41" s="95" t="s">
        <v>1038</v>
      </c>
      <c r="D41" s="95">
        <v>43385</v>
      </c>
      <c r="E41" s="96">
        <v>43396</v>
      </c>
      <c r="F41" s="95">
        <v>43387</v>
      </c>
      <c r="G41" s="95">
        <v>43393</v>
      </c>
      <c r="H41" s="92">
        <v>5</v>
      </c>
    </row>
    <row r="42" spans="1:8">
      <c r="A42" s="93" t="s">
        <v>994</v>
      </c>
      <c r="B42" s="94" t="s">
        <v>448</v>
      </c>
      <c r="C42" s="95" t="s">
        <v>1038</v>
      </c>
      <c r="D42" s="95">
        <v>43385</v>
      </c>
      <c r="E42" s="96">
        <v>43396</v>
      </c>
      <c r="F42" s="95">
        <v>43394</v>
      </c>
      <c r="G42" s="95">
        <v>43400</v>
      </c>
      <c r="H42" s="92">
        <v>2</v>
      </c>
    </row>
    <row r="43" spans="1:8">
      <c r="A43" s="93" t="s">
        <v>995</v>
      </c>
      <c r="B43" s="94" t="s">
        <v>1001</v>
      </c>
      <c r="C43" s="95" t="s">
        <v>1039</v>
      </c>
      <c r="D43" s="95">
        <v>43399</v>
      </c>
      <c r="E43" s="96">
        <v>43417</v>
      </c>
      <c r="F43" s="95">
        <v>43394</v>
      </c>
      <c r="G43" s="95">
        <v>43400</v>
      </c>
      <c r="H43" s="92">
        <v>1</v>
      </c>
    </row>
    <row r="44" spans="1:8">
      <c r="A44" s="93" t="s">
        <v>995</v>
      </c>
      <c r="B44" s="94" t="s">
        <v>1001</v>
      </c>
      <c r="C44" s="95" t="s">
        <v>1039</v>
      </c>
      <c r="D44" s="95">
        <v>43399</v>
      </c>
      <c r="E44" s="96">
        <v>43417</v>
      </c>
      <c r="F44" s="95">
        <v>43401</v>
      </c>
      <c r="G44" s="95">
        <v>43407</v>
      </c>
      <c r="H44" s="92">
        <v>5</v>
      </c>
    </row>
    <row r="45" spans="1:8">
      <c r="A45" s="93" t="s">
        <v>995</v>
      </c>
      <c r="B45" s="94" t="s">
        <v>1001</v>
      </c>
      <c r="C45" s="95" t="s">
        <v>1039</v>
      </c>
      <c r="D45" s="95">
        <v>43399</v>
      </c>
      <c r="E45" s="96">
        <v>43417</v>
      </c>
      <c r="F45" s="95">
        <v>43408</v>
      </c>
      <c r="G45" s="95">
        <v>43414</v>
      </c>
      <c r="H45" s="92">
        <v>5</v>
      </c>
    </row>
    <row r="46" spans="1:8">
      <c r="A46" s="93" t="s">
        <v>995</v>
      </c>
      <c r="B46" s="94" t="s">
        <v>1001</v>
      </c>
      <c r="C46" s="95" t="s">
        <v>1039</v>
      </c>
      <c r="D46" s="95">
        <v>43399</v>
      </c>
      <c r="E46" s="96">
        <v>43417</v>
      </c>
      <c r="F46" s="95">
        <v>43415</v>
      </c>
      <c r="G46" s="95">
        <v>43421</v>
      </c>
      <c r="H46" s="92">
        <v>2</v>
      </c>
    </row>
    <row r="47" spans="1:8">
      <c r="A47" s="93" t="s">
        <v>1002</v>
      </c>
      <c r="B47" s="94" t="s">
        <v>1003</v>
      </c>
      <c r="C47" s="95" t="s">
        <v>1040</v>
      </c>
      <c r="D47" s="95">
        <v>43406</v>
      </c>
      <c r="E47" s="96">
        <v>43417</v>
      </c>
      <c r="F47" s="95">
        <v>43401</v>
      </c>
      <c r="G47" s="95">
        <v>43407</v>
      </c>
      <c r="H47" s="92">
        <v>1</v>
      </c>
    </row>
    <row r="48" spans="1:8">
      <c r="A48" s="93" t="s">
        <v>1002</v>
      </c>
      <c r="B48" s="94" t="s">
        <v>1003</v>
      </c>
      <c r="C48" s="95" t="s">
        <v>1040</v>
      </c>
      <c r="D48" s="95">
        <v>43406</v>
      </c>
      <c r="E48" s="96">
        <v>43417</v>
      </c>
      <c r="F48" s="95">
        <v>43408</v>
      </c>
      <c r="G48" s="95">
        <v>43414</v>
      </c>
      <c r="H48" s="92">
        <v>5</v>
      </c>
    </row>
    <row r="49" spans="1:8">
      <c r="A49" s="93" t="s">
        <v>1002</v>
      </c>
      <c r="B49" s="94" t="s">
        <v>1003</v>
      </c>
      <c r="C49" s="95" t="s">
        <v>1040</v>
      </c>
      <c r="D49" s="95">
        <v>43406</v>
      </c>
      <c r="E49" s="96">
        <v>43417</v>
      </c>
      <c r="F49" s="95">
        <v>43415</v>
      </c>
      <c r="G49" s="95">
        <v>43421</v>
      </c>
      <c r="H49" s="92">
        <v>2</v>
      </c>
    </row>
    <row r="50" spans="1:8">
      <c r="A50" s="93" t="s">
        <v>1004</v>
      </c>
      <c r="B50" s="94" t="s">
        <v>1005</v>
      </c>
      <c r="C50" s="95" t="s">
        <v>1041</v>
      </c>
      <c r="D50" s="95">
        <v>43413</v>
      </c>
      <c r="E50" s="96">
        <v>43424</v>
      </c>
      <c r="F50" s="95">
        <v>43408</v>
      </c>
      <c r="G50" s="95">
        <v>43414</v>
      </c>
      <c r="H50" s="92">
        <v>1</v>
      </c>
    </row>
    <row r="51" spans="1:8">
      <c r="A51" s="93" t="s">
        <v>1004</v>
      </c>
      <c r="B51" s="94" t="s">
        <v>1005</v>
      </c>
      <c r="C51" s="95" t="s">
        <v>1041</v>
      </c>
      <c r="D51" s="95">
        <v>43413</v>
      </c>
      <c r="E51" s="96">
        <v>43424</v>
      </c>
      <c r="F51" s="95">
        <v>43415</v>
      </c>
      <c r="G51" s="95">
        <v>43421</v>
      </c>
      <c r="H51" s="92">
        <v>5</v>
      </c>
    </row>
    <row r="52" spans="1:8">
      <c r="A52" s="93" t="s">
        <v>1004</v>
      </c>
      <c r="B52" s="94" t="s">
        <v>1005</v>
      </c>
      <c r="C52" s="95" t="s">
        <v>1041</v>
      </c>
      <c r="D52" s="95">
        <v>43413</v>
      </c>
      <c r="E52" s="96">
        <v>43424</v>
      </c>
      <c r="F52" s="95">
        <v>43422</v>
      </c>
      <c r="G52" s="95">
        <v>43428</v>
      </c>
      <c r="H52" s="92">
        <v>2</v>
      </c>
    </row>
    <row r="53" spans="1:8">
      <c r="A53" s="93" t="s">
        <v>1006</v>
      </c>
      <c r="B53" s="94" t="s">
        <v>1007</v>
      </c>
      <c r="C53" s="95" t="s">
        <v>1042</v>
      </c>
      <c r="D53" s="95">
        <v>43413</v>
      </c>
      <c r="E53" s="96">
        <v>43431</v>
      </c>
      <c r="F53" s="95">
        <v>43408</v>
      </c>
      <c r="G53" s="95">
        <v>43414</v>
      </c>
      <c r="H53" s="92">
        <v>1</v>
      </c>
    </row>
    <row r="54" spans="1:8">
      <c r="A54" s="93" t="s">
        <v>1006</v>
      </c>
      <c r="B54" s="94" t="s">
        <v>1007</v>
      </c>
      <c r="C54" s="95" t="s">
        <v>1042</v>
      </c>
      <c r="D54" s="95">
        <v>43413</v>
      </c>
      <c r="E54" s="96">
        <v>43431</v>
      </c>
      <c r="F54" s="95">
        <v>43415</v>
      </c>
      <c r="G54" s="95">
        <v>43421</v>
      </c>
      <c r="H54" s="92">
        <v>5</v>
      </c>
    </row>
    <row r="55" spans="1:8">
      <c r="A55" s="93" t="s">
        <v>1006</v>
      </c>
      <c r="B55" s="94" t="s">
        <v>1007</v>
      </c>
      <c r="C55" s="95" t="s">
        <v>1042</v>
      </c>
      <c r="D55" s="95">
        <v>43413</v>
      </c>
      <c r="E55" s="96">
        <v>43431</v>
      </c>
      <c r="F55" s="95">
        <v>43422</v>
      </c>
      <c r="G55" s="95">
        <v>43428</v>
      </c>
      <c r="H55" s="92">
        <v>5</v>
      </c>
    </row>
    <row r="56" spans="1:8">
      <c r="A56" s="93" t="s">
        <v>1006</v>
      </c>
      <c r="B56" s="94" t="s">
        <v>1007</v>
      </c>
      <c r="C56" s="95" t="s">
        <v>1042</v>
      </c>
      <c r="D56" s="95">
        <v>43413</v>
      </c>
      <c r="E56" s="96">
        <v>43431</v>
      </c>
      <c r="F56" s="95">
        <v>43429</v>
      </c>
      <c r="G56" s="95">
        <v>43435</v>
      </c>
      <c r="H56" s="92">
        <v>2</v>
      </c>
    </row>
    <row r="57" spans="1:8">
      <c r="A57" s="93" t="s">
        <v>996</v>
      </c>
      <c r="B57" s="94" t="s">
        <v>1008</v>
      </c>
      <c r="C57" s="95" t="s">
        <v>1042</v>
      </c>
      <c r="D57" s="95">
        <v>43434</v>
      </c>
      <c r="E57" s="96">
        <v>43438</v>
      </c>
      <c r="F57" s="95">
        <v>43429</v>
      </c>
      <c r="G57" s="95">
        <v>43435</v>
      </c>
      <c r="H57" s="92">
        <v>1</v>
      </c>
    </row>
    <row r="58" spans="1:8">
      <c r="A58" s="93" t="s">
        <v>996</v>
      </c>
      <c r="B58" s="94" t="s">
        <v>1008</v>
      </c>
      <c r="C58" s="95" t="s">
        <v>1042</v>
      </c>
      <c r="D58" s="95">
        <v>43434</v>
      </c>
      <c r="E58" s="96">
        <v>43438</v>
      </c>
      <c r="F58" s="95">
        <v>43436</v>
      </c>
      <c r="G58" s="95">
        <v>43442</v>
      </c>
      <c r="H58" s="92">
        <v>2</v>
      </c>
    </row>
    <row r="59" spans="1:8">
      <c r="A59" s="93" t="s">
        <v>1009</v>
      </c>
      <c r="B59" s="94" t="s">
        <v>1010</v>
      </c>
      <c r="C59" s="95" t="s">
        <v>1042</v>
      </c>
      <c r="D59" s="95">
        <v>43434</v>
      </c>
      <c r="E59" s="96">
        <v>43438</v>
      </c>
      <c r="F59" s="95">
        <v>43429</v>
      </c>
      <c r="G59" s="95">
        <v>43435</v>
      </c>
      <c r="H59" s="92">
        <v>1</v>
      </c>
    </row>
    <row r="60" spans="1:8">
      <c r="A60" s="93" t="s">
        <v>1009</v>
      </c>
      <c r="B60" s="94" t="s">
        <v>1010</v>
      </c>
      <c r="C60" s="95" t="s">
        <v>1042</v>
      </c>
      <c r="D60" s="95">
        <v>43434</v>
      </c>
      <c r="E60" s="96">
        <v>43438</v>
      </c>
      <c r="F60" s="95">
        <v>43436</v>
      </c>
      <c r="G60" s="95">
        <v>43442</v>
      </c>
      <c r="H60" s="92">
        <v>2</v>
      </c>
    </row>
    <row r="61" spans="1:8">
      <c r="A61" s="93" t="s">
        <v>1011</v>
      </c>
      <c r="B61" s="94" t="s">
        <v>1012</v>
      </c>
      <c r="C61" s="95" t="s">
        <v>1043</v>
      </c>
      <c r="D61" s="95">
        <v>43434</v>
      </c>
      <c r="E61" s="96">
        <v>43438</v>
      </c>
      <c r="F61" s="95">
        <v>43429</v>
      </c>
      <c r="G61" s="95">
        <v>43435</v>
      </c>
      <c r="H61" s="92">
        <v>1</v>
      </c>
    </row>
    <row r="62" spans="1:8">
      <c r="A62" s="93" t="s">
        <v>1011</v>
      </c>
      <c r="B62" s="94" t="s">
        <v>1012</v>
      </c>
      <c r="C62" s="95" t="s">
        <v>1043</v>
      </c>
      <c r="D62" s="95">
        <v>43434</v>
      </c>
      <c r="E62" s="96">
        <v>43438</v>
      </c>
      <c r="F62" s="95">
        <v>43436</v>
      </c>
      <c r="G62" s="95">
        <v>43442</v>
      </c>
      <c r="H62" s="92">
        <v>2</v>
      </c>
    </row>
    <row r="63" spans="1:8">
      <c r="A63" s="93" t="s">
        <v>1013</v>
      </c>
      <c r="B63" s="94" t="s">
        <v>1014</v>
      </c>
      <c r="C63" s="95" t="s">
        <v>1044</v>
      </c>
      <c r="D63" s="95">
        <v>43441</v>
      </c>
      <c r="E63" s="96">
        <v>43445</v>
      </c>
      <c r="F63" s="95">
        <v>43436</v>
      </c>
      <c r="G63" s="95">
        <v>43442</v>
      </c>
      <c r="H63" s="92">
        <v>1</v>
      </c>
    </row>
    <row r="64" spans="1:8">
      <c r="A64" s="93" t="s">
        <v>1013</v>
      </c>
      <c r="B64" s="94" t="s">
        <v>1014</v>
      </c>
      <c r="C64" s="95" t="s">
        <v>1044</v>
      </c>
      <c r="D64" s="95">
        <v>43441</v>
      </c>
      <c r="E64" s="96">
        <v>43445</v>
      </c>
      <c r="F64" s="95">
        <v>43443</v>
      </c>
      <c r="G64" s="95">
        <v>43449</v>
      </c>
      <c r="H64" s="92">
        <v>2</v>
      </c>
    </row>
    <row r="65" spans="1:8">
      <c r="A65" s="93" t="s">
        <v>1015</v>
      </c>
      <c r="B65" s="94" t="s">
        <v>1016</v>
      </c>
      <c r="C65" s="95" t="s">
        <v>1044</v>
      </c>
      <c r="D65" s="95">
        <v>43441</v>
      </c>
      <c r="E65" s="96">
        <v>43452</v>
      </c>
      <c r="F65" s="95">
        <v>43436</v>
      </c>
      <c r="G65" s="95">
        <v>43442</v>
      </c>
      <c r="H65" s="92">
        <v>1</v>
      </c>
    </row>
    <row r="66" spans="1:8">
      <c r="A66" s="93" t="s">
        <v>1015</v>
      </c>
      <c r="B66" s="94" t="s">
        <v>1016</v>
      </c>
      <c r="C66" s="95" t="s">
        <v>1044</v>
      </c>
      <c r="D66" s="95">
        <v>43441</v>
      </c>
      <c r="E66" s="96">
        <v>43452</v>
      </c>
      <c r="F66" s="95">
        <v>43443</v>
      </c>
      <c r="G66" s="95">
        <v>43449</v>
      </c>
      <c r="H66" s="92">
        <v>5</v>
      </c>
    </row>
    <row r="67" spans="1:8">
      <c r="A67" s="93" t="s">
        <v>1015</v>
      </c>
      <c r="B67" s="94" t="s">
        <v>1016</v>
      </c>
      <c r="C67" s="95" t="s">
        <v>1044</v>
      </c>
      <c r="D67" s="95">
        <v>43441</v>
      </c>
      <c r="E67" s="96">
        <v>43452</v>
      </c>
      <c r="F67" s="95">
        <v>43450</v>
      </c>
      <c r="G67" s="95">
        <v>43456</v>
      </c>
      <c r="H67" s="92">
        <v>2</v>
      </c>
    </row>
    <row r="68" spans="1:8">
      <c r="A68" s="93" t="s">
        <v>1017</v>
      </c>
      <c r="B68" s="94" t="s">
        <v>1018</v>
      </c>
      <c r="C68" s="95" t="s">
        <v>1043</v>
      </c>
      <c r="D68" s="95">
        <v>43434</v>
      </c>
      <c r="E68" s="96">
        <v>43493</v>
      </c>
      <c r="F68" s="95">
        <v>43429</v>
      </c>
      <c r="G68" s="95">
        <v>43435</v>
      </c>
      <c r="H68" s="92">
        <v>0.5</v>
      </c>
    </row>
    <row r="69" spans="1:8">
      <c r="A69" s="93" t="s">
        <v>1017</v>
      </c>
      <c r="B69" s="94" t="s">
        <v>1018</v>
      </c>
      <c r="C69" s="95" t="s">
        <v>1044</v>
      </c>
      <c r="D69" s="95">
        <v>43434</v>
      </c>
      <c r="E69" s="96">
        <v>43493</v>
      </c>
      <c r="F69" s="95">
        <v>43429</v>
      </c>
      <c r="G69" s="95">
        <v>43435</v>
      </c>
      <c r="H69" s="92">
        <v>0.5</v>
      </c>
    </row>
    <row r="70" spans="1:8">
      <c r="A70" s="93" t="s">
        <v>1017</v>
      </c>
      <c r="B70" s="94" t="s">
        <v>1018</v>
      </c>
      <c r="C70" s="95" t="s">
        <v>1043</v>
      </c>
      <c r="D70" s="95">
        <v>43434</v>
      </c>
      <c r="E70" s="96">
        <v>43493</v>
      </c>
      <c r="F70" s="95">
        <v>43436</v>
      </c>
      <c r="G70" s="95">
        <v>43442</v>
      </c>
      <c r="H70" s="92">
        <v>2.5</v>
      </c>
    </row>
    <row r="71" spans="1:8">
      <c r="A71" s="93" t="s">
        <v>1017</v>
      </c>
      <c r="B71" s="94" t="s">
        <v>1018</v>
      </c>
      <c r="C71" s="95" t="s">
        <v>1044</v>
      </c>
      <c r="D71" s="95">
        <v>43434</v>
      </c>
      <c r="E71" s="96">
        <v>43493</v>
      </c>
      <c r="F71" s="95">
        <v>43436</v>
      </c>
      <c r="G71" s="95">
        <v>43442</v>
      </c>
      <c r="H71" s="92">
        <v>2.5</v>
      </c>
    </row>
    <row r="72" spans="1:8">
      <c r="A72" s="93" t="s">
        <v>1017</v>
      </c>
      <c r="B72" s="94" t="s">
        <v>1018</v>
      </c>
      <c r="C72" s="95" t="s">
        <v>1043</v>
      </c>
      <c r="D72" s="95">
        <v>43434</v>
      </c>
      <c r="E72" s="96">
        <v>43493</v>
      </c>
      <c r="F72" s="95">
        <v>43443</v>
      </c>
      <c r="G72" s="95">
        <v>43449</v>
      </c>
      <c r="H72" s="92">
        <v>2.5</v>
      </c>
    </row>
    <row r="73" spans="1:8">
      <c r="A73" s="93" t="s">
        <v>1017</v>
      </c>
      <c r="B73" s="94" t="s">
        <v>1018</v>
      </c>
      <c r="C73" s="95" t="s">
        <v>1044</v>
      </c>
      <c r="D73" s="95">
        <v>43434</v>
      </c>
      <c r="E73" s="96">
        <v>43493</v>
      </c>
      <c r="F73" s="95">
        <v>43443</v>
      </c>
      <c r="G73" s="95">
        <v>43449</v>
      </c>
      <c r="H73" s="92">
        <v>2.5</v>
      </c>
    </row>
    <row r="74" spans="1:8">
      <c r="A74" s="93" t="s">
        <v>1017</v>
      </c>
      <c r="B74" s="94" t="s">
        <v>1018</v>
      </c>
      <c r="C74" s="95" t="s">
        <v>1043</v>
      </c>
      <c r="D74" s="95">
        <v>43434</v>
      </c>
      <c r="E74" s="96">
        <v>43493</v>
      </c>
      <c r="F74" s="95">
        <v>43450</v>
      </c>
      <c r="G74" s="95">
        <v>43456</v>
      </c>
      <c r="H74" s="92">
        <v>2.5</v>
      </c>
    </row>
    <row r="75" spans="1:8">
      <c r="A75" s="93" t="s">
        <v>1017</v>
      </c>
      <c r="B75" s="94" t="s">
        <v>1018</v>
      </c>
      <c r="C75" s="95" t="s">
        <v>1044</v>
      </c>
      <c r="D75" s="95">
        <v>43434</v>
      </c>
      <c r="E75" s="96">
        <v>43493</v>
      </c>
      <c r="F75" s="95">
        <v>43450</v>
      </c>
      <c r="G75" s="95">
        <v>43456</v>
      </c>
      <c r="H75" s="92">
        <v>2.5</v>
      </c>
    </row>
    <row r="76" spans="1:8">
      <c r="A76" s="93" t="s">
        <v>1017</v>
      </c>
      <c r="B76" s="94" t="s">
        <v>1018</v>
      </c>
      <c r="C76" s="95" t="s">
        <v>1043</v>
      </c>
      <c r="D76" s="95">
        <v>43434</v>
      </c>
      <c r="E76" s="96">
        <v>43493</v>
      </c>
      <c r="F76" s="95">
        <v>43457</v>
      </c>
      <c r="G76" s="95">
        <v>43463</v>
      </c>
      <c r="H76" s="92">
        <v>2</v>
      </c>
    </row>
    <row r="77" spans="1:8">
      <c r="A77" s="93" t="s">
        <v>1017</v>
      </c>
      <c r="B77" s="94" t="s">
        <v>1018</v>
      </c>
      <c r="C77" s="95" t="s">
        <v>1044</v>
      </c>
      <c r="D77" s="95">
        <v>43434</v>
      </c>
      <c r="E77" s="96">
        <v>43493</v>
      </c>
      <c r="F77" s="95">
        <v>43457</v>
      </c>
      <c r="G77" s="95">
        <v>43463</v>
      </c>
      <c r="H77" s="92">
        <v>2</v>
      </c>
    </row>
    <row r="78" spans="1:8">
      <c r="A78" s="93" t="s">
        <v>1017</v>
      </c>
      <c r="B78" s="94" t="s">
        <v>1018</v>
      </c>
      <c r="C78" s="95" t="s">
        <v>1043</v>
      </c>
      <c r="D78" s="95">
        <v>43434</v>
      </c>
      <c r="E78" s="96">
        <v>43493</v>
      </c>
      <c r="F78" s="95">
        <v>43464</v>
      </c>
      <c r="G78" s="95">
        <v>43470</v>
      </c>
      <c r="H78" s="92">
        <v>2</v>
      </c>
    </row>
    <row r="79" spans="1:8">
      <c r="A79" s="93" t="s">
        <v>1017</v>
      </c>
      <c r="B79" s="94" t="s">
        <v>1018</v>
      </c>
      <c r="C79" s="95" t="s">
        <v>1044</v>
      </c>
      <c r="D79" s="95">
        <v>43434</v>
      </c>
      <c r="E79" s="96">
        <v>43493</v>
      </c>
      <c r="F79" s="95">
        <v>43464</v>
      </c>
      <c r="G79" s="95">
        <v>43470</v>
      </c>
      <c r="H79" s="92">
        <v>2</v>
      </c>
    </row>
    <row r="80" spans="1:8">
      <c r="A80" s="93" t="s">
        <v>1017</v>
      </c>
      <c r="B80" s="94" t="s">
        <v>1018</v>
      </c>
      <c r="C80" s="95" t="s">
        <v>1043</v>
      </c>
      <c r="D80" s="95">
        <v>43434</v>
      </c>
      <c r="E80" s="96">
        <v>43493</v>
      </c>
      <c r="F80" s="95">
        <v>43471</v>
      </c>
      <c r="G80" s="95">
        <v>43477</v>
      </c>
      <c r="H80" s="92">
        <v>2.5</v>
      </c>
    </row>
    <row r="81" spans="1:8">
      <c r="A81" s="93" t="s">
        <v>1017</v>
      </c>
      <c r="B81" s="94" t="s">
        <v>1018</v>
      </c>
      <c r="C81" s="95" t="s">
        <v>1044</v>
      </c>
      <c r="D81" s="95">
        <v>43434</v>
      </c>
      <c r="E81" s="96">
        <v>43493</v>
      </c>
      <c r="F81" s="95">
        <v>43471</v>
      </c>
      <c r="G81" s="95">
        <v>43477</v>
      </c>
      <c r="H81" s="92">
        <v>2.5</v>
      </c>
    </row>
    <row r="82" spans="1:8">
      <c r="A82" s="93" t="s">
        <v>1017</v>
      </c>
      <c r="B82" s="94" t="s">
        <v>1018</v>
      </c>
      <c r="C82" s="95" t="s">
        <v>1043</v>
      </c>
      <c r="D82" s="95">
        <v>43434</v>
      </c>
      <c r="E82" s="96">
        <v>43493</v>
      </c>
      <c r="F82" s="95">
        <v>43478</v>
      </c>
      <c r="G82" s="95">
        <v>43484</v>
      </c>
      <c r="H82" s="92">
        <v>2.5</v>
      </c>
    </row>
    <row r="83" spans="1:8">
      <c r="A83" s="93" t="s">
        <v>1017</v>
      </c>
      <c r="B83" s="94" t="s">
        <v>1018</v>
      </c>
      <c r="C83" s="95" t="s">
        <v>1044</v>
      </c>
      <c r="D83" s="95">
        <v>43434</v>
      </c>
      <c r="E83" s="96">
        <v>43493</v>
      </c>
      <c r="F83" s="95">
        <v>43478</v>
      </c>
      <c r="G83" s="95">
        <v>43484</v>
      </c>
      <c r="H83" s="92">
        <v>2.5</v>
      </c>
    </row>
    <row r="84" spans="1:8">
      <c r="A84" s="93" t="s">
        <v>1017</v>
      </c>
      <c r="B84" s="94" t="s">
        <v>1018</v>
      </c>
      <c r="C84" s="95" t="s">
        <v>1043</v>
      </c>
      <c r="D84" s="95">
        <v>43434</v>
      </c>
      <c r="E84" s="96">
        <v>43493</v>
      </c>
      <c r="F84" s="95">
        <v>43485</v>
      </c>
      <c r="G84" s="95">
        <v>43491</v>
      </c>
      <c r="H84" s="92">
        <v>2.5</v>
      </c>
    </row>
    <row r="85" spans="1:8">
      <c r="A85" s="93" t="s">
        <v>1017</v>
      </c>
      <c r="B85" s="94" t="s">
        <v>1018</v>
      </c>
      <c r="C85" s="95" t="s">
        <v>1044</v>
      </c>
      <c r="D85" s="95">
        <v>43434</v>
      </c>
      <c r="E85" s="96">
        <v>43493</v>
      </c>
      <c r="F85" s="95">
        <v>43485</v>
      </c>
      <c r="G85" s="95">
        <v>43491</v>
      </c>
      <c r="H85" s="92">
        <v>2.5</v>
      </c>
    </row>
    <row r="86" spans="1:8">
      <c r="A86" s="93" t="s">
        <v>1017</v>
      </c>
      <c r="B86" s="94" t="s">
        <v>1018</v>
      </c>
      <c r="C86" s="95" t="s">
        <v>1043</v>
      </c>
      <c r="D86" s="95">
        <v>43434</v>
      </c>
      <c r="E86" s="96">
        <v>43493</v>
      </c>
      <c r="F86" s="95">
        <v>43492</v>
      </c>
      <c r="G86" s="95">
        <v>43498</v>
      </c>
      <c r="H86" s="92">
        <v>0.5</v>
      </c>
    </row>
    <row r="87" spans="1:8">
      <c r="A87" s="93" t="s">
        <v>1017</v>
      </c>
      <c r="B87" s="94" t="s">
        <v>1018</v>
      </c>
      <c r="C87" s="95" t="s">
        <v>1044</v>
      </c>
      <c r="D87" s="95">
        <v>43434</v>
      </c>
      <c r="E87" s="96">
        <v>43493</v>
      </c>
      <c r="F87" s="95">
        <v>43492</v>
      </c>
      <c r="G87" s="95">
        <v>43498</v>
      </c>
      <c r="H87" s="92">
        <v>0.5</v>
      </c>
    </row>
    <row r="88" spans="1:8">
      <c r="A88" s="93" t="s">
        <v>1019</v>
      </c>
      <c r="B88" s="94" t="s">
        <v>1020</v>
      </c>
      <c r="C88" s="95" t="s">
        <v>1043</v>
      </c>
      <c r="D88" s="95">
        <v>43434</v>
      </c>
      <c r="E88" s="96">
        <v>43493</v>
      </c>
      <c r="F88" s="95">
        <v>43429</v>
      </c>
      <c r="G88" s="95">
        <v>43435</v>
      </c>
      <c r="H88" s="92">
        <v>1</v>
      </c>
    </row>
    <row r="89" spans="1:8">
      <c r="A89" s="93" t="s">
        <v>1019</v>
      </c>
      <c r="B89" s="94" t="s">
        <v>1020</v>
      </c>
      <c r="C89" s="95" t="s">
        <v>1043</v>
      </c>
      <c r="D89" s="95">
        <v>43434</v>
      </c>
      <c r="E89" s="96">
        <v>43493</v>
      </c>
      <c r="F89" s="95">
        <v>43436</v>
      </c>
      <c r="G89" s="95">
        <v>43442</v>
      </c>
      <c r="H89" s="92">
        <v>5</v>
      </c>
    </row>
    <row r="90" spans="1:8">
      <c r="A90" s="93" t="s">
        <v>1019</v>
      </c>
      <c r="B90" s="94" t="s">
        <v>1020</v>
      </c>
      <c r="C90" s="95" t="s">
        <v>1043</v>
      </c>
      <c r="D90" s="95">
        <v>43434</v>
      </c>
      <c r="E90" s="96">
        <v>43493</v>
      </c>
      <c r="F90" s="95">
        <v>43443</v>
      </c>
      <c r="G90" s="95">
        <v>43449</v>
      </c>
      <c r="H90" s="92">
        <v>5</v>
      </c>
    </row>
    <row r="91" spans="1:8">
      <c r="A91" s="93" t="s">
        <v>1019</v>
      </c>
      <c r="B91" s="94" t="s">
        <v>1020</v>
      </c>
      <c r="C91" s="95" t="s">
        <v>1043</v>
      </c>
      <c r="D91" s="95">
        <v>43434</v>
      </c>
      <c r="E91" s="96">
        <v>43493</v>
      </c>
      <c r="F91" s="95">
        <v>43450</v>
      </c>
      <c r="G91" s="95">
        <v>43456</v>
      </c>
      <c r="H91" s="92">
        <v>5</v>
      </c>
    </row>
    <row r="92" spans="1:8">
      <c r="A92" s="93" t="s">
        <v>1019</v>
      </c>
      <c r="B92" s="94" t="s">
        <v>1020</v>
      </c>
      <c r="C92" s="95" t="s">
        <v>1043</v>
      </c>
      <c r="D92" s="95">
        <v>43434</v>
      </c>
      <c r="E92" s="96">
        <v>43493</v>
      </c>
      <c r="F92" s="95">
        <v>43457</v>
      </c>
      <c r="G92" s="95">
        <v>43463</v>
      </c>
      <c r="H92" s="92">
        <v>4</v>
      </c>
    </row>
    <row r="93" spans="1:8">
      <c r="A93" s="93" t="s">
        <v>1019</v>
      </c>
      <c r="B93" s="94" t="s">
        <v>1020</v>
      </c>
      <c r="C93" s="95" t="s">
        <v>1043</v>
      </c>
      <c r="D93" s="95">
        <v>43434</v>
      </c>
      <c r="E93" s="96">
        <v>43493</v>
      </c>
      <c r="F93" s="95">
        <v>43464</v>
      </c>
      <c r="G93" s="95">
        <v>43470</v>
      </c>
      <c r="H93" s="92">
        <v>4</v>
      </c>
    </row>
    <row r="94" spans="1:8">
      <c r="A94" s="93" t="s">
        <v>1019</v>
      </c>
      <c r="B94" s="94" t="s">
        <v>1020</v>
      </c>
      <c r="C94" s="95" t="s">
        <v>1043</v>
      </c>
      <c r="D94" s="95">
        <v>43434</v>
      </c>
      <c r="E94" s="96">
        <v>43493</v>
      </c>
      <c r="F94" s="95">
        <v>43471</v>
      </c>
      <c r="G94" s="95">
        <v>43477</v>
      </c>
      <c r="H94" s="92">
        <v>5</v>
      </c>
    </row>
    <row r="95" spans="1:8">
      <c r="A95" s="93" t="s">
        <v>1019</v>
      </c>
      <c r="B95" s="94" t="s">
        <v>1020</v>
      </c>
      <c r="C95" s="95" t="s">
        <v>1043</v>
      </c>
      <c r="D95" s="95">
        <v>43434</v>
      </c>
      <c r="E95" s="96">
        <v>43493</v>
      </c>
      <c r="F95" s="95">
        <v>43478</v>
      </c>
      <c r="G95" s="95">
        <v>43484</v>
      </c>
      <c r="H95" s="92">
        <v>5</v>
      </c>
    </row>
    <row r="96" spans="1:8">
      <c r="A96" s="93" t="s">
        <v>1019</v>
      </c>
      <c r="B96" s="94" t="s">
        <v>1020</v>
      </c>
      <c r="C96" s="95" t="s">
        <v>1043</v>
      </c>
      <c r="D96" s="95">
        <v>43434</v>
      </c>
      <c r="E96" s="96">
        <v>43493</v>
      </c>
      <c r="F96" s="95">
        <v>43485</v>
      </c>
      <c r="G96" s="95">
        <v>43491</v>
      </c>
      <c r="H96" s="92">
        <v>5</v>
      </c>
    </row>
    <row r="97" spans="1:8">
      <c r="A97" s="93" t="s">
        <v>1019</v>
      </c>
      <c r="B97" s="94" t="s">
        <v>1020</v>
      </c>
      <c r="C97" s="95" t="s">
        <v>1043</v>
      </c>
      <c r="D97" s="95">
        <v>43434</v>
      </c>
      <c r="E97" s="96">
        <v>43493</v>
      </c>
      <c r="F97" s="95">
        <v>43492</v>
      </c>
      <c r="G97" s="95">
        <v>43498</v>
      </c>
      <c r="H97" s="92">
        <v>1</v>
      </c>
    </row>
    <row r="98" spans="1:8">
      <c r="A98" s="93" t="s">
        <v>1021</v>
      </c>
      <c r="B98" s="94" t="s">
        <v>1022</v>
      </c>
      <c r="C98" s="95" t="s">
        <v>1044</v>
      </c>
      <c r="D98" s="95">
        <v>43448</v>
      </c>
      <c r="E98" s="96">
        <v>43493</v>
      </c>
      <c r="F98" s="95">
        <v>43443</v>
      </c>
      <c r="G98" s="95">
        <v>43449</v>
      </c>
      <c r="H98" s="92">
        <v>1</v>
      </c>
    </row>
    <row r="99" spans="1:8">
      <c r="A99" s="93" t="s">
        <v>1021</v>
      </c>
      <c r="B99" s="94" t="s">
        <v>1022</v>
      </c>
      <c r="C99" s="95" t="s">
        <v>1044</v>
      </c>
      <c r="D99" s="95">
        <v>43448</v>
      </c>
      <c r="E99" s="96">
        <v>43493</v>
      </c>
      <c r="F99" s="95">
        <v>43450</v>
      </c>
      <c r="G99" s="95">
        <v>43456</v>
      </c>
      <c r="H99" s="92">
        <v>5</v>
      </c>
    </row>
    <row r="100" spans="1:8">
      <c r="A100" s="93" t="s">
        <v>1021</v>
      </c>
      <c r="B100" s="94" t="s">
        <v>1022</v>
      </c>
      <c r="C100" s="95" t="s">
        <v>1044</v>
      </c>
      <c r="D100" s="95">
        <v>43448</v>
      </c>
      <c r="E100" s="96">
        <v>43493</v>
      </c>
      <c r="F100" s="95">
        <v>43457</v>
      </c>
      <c r="G100" s="95">
        <v>43463</v>
      </c>
      <c r="H100" s="92">
        <v>4</v>
      </c>
    </row>
    <row r="101" spans="1:8">
      <c r="A101" s="93" t="s">
        <v>1021</v>
      </c>
      <c r="B101" s="94" t="s">
        <v>1022</v>
      </c>
      <c r="C101" s="95" t="s">
        <v>1044</v>
      </c>
      <c r="D101" s="95">
        <v>43448</v>
      </c>
      <c r="E101" s="96">
        <v>43493</v>
      </c>
      <c r="F101" s="95">
        <v>43464</v>
      </c>
      <c r="G101" s="95">
        <v>43470</v>
      </c>
      <c r="H101" s="92">
        <v>4</v>
      </c>
    </row>
    <row r="102" spans="1:8">
      <c r="A102" s="93" t="s">
        <v>1021</v>
      </c>
      <c r="B102" s="94" t="s">
        <v>1022</v>
      </c>
      <c r="C102" s="95" t="s">
        <v>1044</v>
      </c>
      <c r="D102" s="95">
        <v>43448</v>
      </c>
      <c r="E102" s="96">
        <v>43493</v>
      </c>
      <c r="F102" s="95">
        <v>43471</v>
      </c>
      <c r="G102" s="95">
        <v>43477</v>
      </c>
      <c r="H102" s="92">
        <v>5</v>
      </c>
    </row>
    <row r="103" spans="1:8">
      <c r="A103" s="93" t="s">
        <v>1021</v>
      </c>
      <c r="B103" s="94" t="s">
        <v>1022</v>
      </c>
      <c r="C103" s="95" t="s">
        <v>1044</v>
      </c>
      <c r="D103" s="95">
        <v>43448</v>
      </c>
      <c r="E103" s="96">
        <v>43493</v>
      </c>
      <c r="F103" s="95">
        <v>43478</v>
      </c>
      <c r="G103" s="95">
        <v>43484</v>
      </c>
      <c r="H103" s="92">
        <v>5</v>
      </c>
    </row>
    <row r="104" spans="1:8">
      <c r="A104" s="93" t="s">
        <v>1021</v>
      </c>
      <c r="B104" s="94" t="s">
        <v>1022</v>
      </c>
      <c r="C104" s="95" t="s">
        <v>1044</v>
      </c>
      <c r="D104" s="95">
        <v>43448</v>
      </c>
      <c r="E104" s="96">
        <v>43493</v>
      </c>
      <c r="F104" s="95">
        <v>43485</v>
      </c>
      <c r="G104" s="95">
        <v>43491</v>
      </c>
      <c r="H104" s="92">
        <v>5</v>
      </c>
    </row>
    <row r="105" spans="1:8">
      <c r="A105" s="93" t="s">
        <v>1021</v>
      </c>
      <c r="B105" s="94" t="s">
        <v>1022</v>
      </c>
      <c r="C105" s="95" t="s">
        <v>1044</v>
      </c>
      <c r="D105" s="95">
        <v>43448</v>
      </c>
      <c r="E105" s="96">
        <v>43493</v>
      </c>
      <c r="F105" s="95">
        <v>43492</v>
      </c>
      <c r="G105" s="95">
        <v>43498</v>
      </c>
      <c r="H105" s="92">
        <v>1</v>
      </c>
    </row>
    <row r="106" spans="1:8">
      <c r="A106" s="93" t="s">
        <v>1023</v>
      </c>
      <c r="B106" s="94" t="s">
        <v>1024</v>
      </c>
      <c r="C106" s="95" t="s">
        <v>1042</v>
      </c>
      <c r="D106" s="95">
        <v>43476</v>
      </c>
      <c r="E106" s="96">
        <v>43494</v>
      </c>
      <c r="F106" s="95">
        <v>43471</v>
      </c>
      <c r="G106" s="95">
        <v>43477</v>
      </c>
      <c r="H106" s="92">
        <v>1</v>
      </c>
    </row>
    <row r="107" spans="1:8">
      <c r="A107" s="93" t="s">
        <v>1023</v>
      </c>
      <c r="B107" s="94" t="s">
        <v>1024</v>
      </c>
      <c r="C107" s="95" t="s">
        <v>1042</v>
      </c>
      <c r="D107" s="95">
        <v>43476</v>
      </c>
      <c r="E107" s="96">
        <v>43494</v>
      </c>
      <c r="F107" s="95">
        <v>43478</v>
      </c>
      <c r="G107" s="95">
        <v>43484</v>
      </c>
      <c r="H107" s="92">
        <v>5</v>
      </c>
    </row>
    <row r="108" spans="1:8">
      <c r="A108" s="93" t="s">
        <v>1023</v>
      </c>
      <c r="B108" s="94" t="s">
        <v>1024</v>
      </c>
      <c r="C108" s="95" t="s">
        <v>1042</v>
      </c>
      <c r="D108" s="95">
        <v>43476</v>
      </c>
      <c r="E108" s="96">
        <v>43494</v>
      </c>
      <c r="F108" s="95">
        <v>43485</v>
      </c>
      <c r="G108" s="95">
        <v>43491</v>
      </c>
      <c r="H108" s="92">
        <v>5</v>
      </c>
    </row>
    <row r="109" spans="1:8">
      <c r="A109" s="93" t="s">
        <v>1023</v>
      </c>
      <c r="B109" s="94" t="s">
        <v>1024</v>
      </c>
      <c r="C109" s="95" t="s">
        <v>1042</v>
      </c>
      <c r="D109" s="95">
        <v>43476</v>
      </c>
      <c r="E109" s="96">
        <v>43494</v>
      </c>
      <c r="F109" s="95">
        <v>43492</v>
      </c>
      <c r="G109" s="95">
        <v>43498</v>
      </c>
      <c r="H109" s="92">
        <v>2</v>
      </c>
    </row>
    <row r="110" spans="1:8">
      <c r="A110" s="93" t="s">
        <v>1025</v>
      </c>
      <c r="B110" s="94" t="s">
        <v>1026</v>
      </c>
      <c r="C110" s="95" t="s">
        <v>1042</v>
      </c>
      <c r="D110" s="95">
        <v>43497</v>
      </c>
      <c r="E110" s="96">
        <v>43501</v>
      </c>
      <c r="F110" s="95">
        <v>43492</v>
      </c>
      <c r="G110" s="95">
        <v>43498</v>
      </c>
      <c r="H110" s="92">
        <v>1</v>
      </c>
    </row>
    <row r="111" spans="1:8">
      <c r="A111" s="93" t="s">
        <v>1025</v>
      </c>
      <c r="B111" s="94" t="s">
        <v>1026</v>
      </c>
      <c r="C111" s="95" t="s">
        <v>1042</v>
      </c>
      <c r="D111" s="95">
        <v>43497</v>
      </c>
      <c r="E111" s="96">
        <v>43501</v>
      </c>
      <c r="F111" s="95">
        <v>43499</v>
      </c>
      <c r="G111" s="95">
        <v>43505</v>
      </c>
      <c r="H111" s="92">
        <v>0</v>
      </c>
    </row>
    <row r="112" spans="1:8">
      <c r="A112" s="93" t="s">
        <v>1028</v>
      </c>
      <c r="B112" s="94" t="s">
        <v>1029</v>
      </c>
      <c r="C112" s="95" t="s">
        <v>1042</v>
      </c>
      <c r="D112" s="95">
        <v>43497</v>
      </c>
      <c r="E112" s="96">
        <v>43499</v>
      </c>
      <c r="F112" s="95">
        <v>43492</v>
      </c>
      <c r="G112" s="95">
        <v>43498</v>
      </c>
      <c r="H112" s="92">
        <v>1</v>
      </c>
    </row>
    <row r="113" spans="1:8">
      <c r="A113" s="93" t="s">
        <v>1028</v>
      </c>
      <c r="B113" s="94" t="s">
        <v>1029</v>
      </c>
      <c r="C113" s="95" t="s">
        <v>1042</v>
      </c>
      <c r="D113" s="95">
        <v>43497</v>
      </c>
      <c r="E113" s="96">
        <v>43499</v>
      </c>
      <c r="F113" s="95">
        <v>43499</v>
      </c>
      <c r="G113" s="95">
        <v>43505</v>
      </c>
      <c r="H113" s="92">
        <v>0</v>
      </c>
    </row>
    <row r="114" spans="1:8">
      <c r="A114" s="93" t="s">
        <v>1030</v>
      </c>
      <c r="B114" s="94" t="s">
        <v>1031</v>
      </c>
      <c r="C114" s="95" t="s">
        <v>1042</v>
      </c>
      <c r="D114" s="95">
        <v>43501</v>
      </c>
      <c r="E114" s="96">
        <v>43503</v>
      </c>
      <c r="F114" s="95">
        <v>43499</v>
      </c>
      <c r="G114" s="95">
        <v>43505</v>
      </c>
      <c r="H114" s="92">
        <v>0.5</v>
      </c>
    </row>
    <row r="115" spans="1:8">
      <c r="A115" s="93" t="s">
        <v>1030</v>
      </c>
      <c r="B115" s="94" t="s">
        <v>1031</v>
      </c>
      <c r="C115" s="95" t="s">
        <v>1041</v>
      </c>
      <c r="D115" s="95">
        <v>43501</v>
      </c>
      <c r="E115" s="96">
        <v>43503</v>
      </c>
      <c r="F115" s="95">
        <v>43499</v>
      </c>
      <c r="G115" s="95">
        <v>43505</v>
      </c>
      <c r="H115" s="92">
        <v>0.5</v>
      </c>
    </row>
    <row r="116" spans="1:8">
      <c r="A116" s="93" t="s">
        <v>1032</v>
      </c>
      <c r="B116" s="94" t="s">
        <v>1033</v>
      </c>
      <c r="C116" s="95" t="s">
        <v>1042</v>
      </c>
      <c r="D116" s="95">
        <v>43501</v>
      </c>
      <c r="E116" s="96">
        <v>43503</v>
      </c>
      <c r="F116" s="95">
        <v>43499</v>
      </c>
      <c r="G116" s="95">
        <v>43505</v>
      </c>
      <c r="H116" s="92">
        <v>0.5</v>
      </c>
    </row>
    <row r="117" spans="1:8">
      <c r="A117" s="93" t="s">
        <v>1032</v>
      </c>
      <c r="B117" s="94" t="s">
        <v>1033</v>
      </c>
      <c r="C117" s="95" t="s">
        <v>1043</v>
      </c>
      <c r="D117" s="95">
        <v>43501</v>
      </c>
      <c r="E117" s="96">
        <v>43503</v>
      </c>
      <c r="F117" s="95">
        <v>43499</v>
      </c>
      <c r="G117" s="95">
        <v>43505</v>
      </c>
      <c r="H117" s="92">
        <v>0.5</v>
      </c>
    </row>
    <row r="118" spans="1:8">
      <c r="A118" s="93" t="s">
        <v>1034</v>
      </c>
      <c r="B118" s="94" t="s">
        <v>1035</v>
      </c>
      <c r="C118" s="95" t="s">
        <v>1042</v>
      </c>
      <c r="D118" s="95">
        <v>43501</v>
      </c>
      <c r="E118" s="96">
        <v>43503</v>
      </c>
      <c r="F118" s="95">
        <v>43499</v>
      </c>
      <c r="G118" s="95">
        <v>43505</v>
      </c>
      <c r="H118" s="92">
        <v>0.5</v>
      </c>
    </row>
    <row r="119" spans="1:8">
      <c r="A119" s="93" t="s">
        <v>1034</v>
      </c>
      <c r="B119" s="94" t="s">
        <v>1035</v>
      </c>
      <c r="C119" s="95" t="s">
        <v>1043</v>
      </c>
      <c r="D119" s="95">
        <v>43501</v>
      </c>
      <c r="E119" s="96">
        <v>43503</v>
      </c>
      <c r="F119" s="95">
        <v>43499</v>
      </c>
      <c r="G119" s="95">
        <v>43505</v>
      </c>
      <c r="H119" s="92">
        <v>0.5</v>
      </c>
    </row>
    <row r="120" spans="1:8">
      <c r="A120" s="93" t="s">
        <v>1036</v>
      </c>
      <c r="B120" s="94" t="s">
        <v>1037</v>
      </c>
      <c r="C120" s="95" t="s">
        <v>1042</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CT271"/>
  <sheetViews>
    <sheetView tabSelected="1" zoomScale="130" zoomScaleNormal="130" zoomScalePageLayoutView="55" workbookViewId="0">
      <pane ySplit="4" topLeftCell="A100" activePane="bottomLeft" state="frozen"/>
      <selection activeCell="E5" sqref="E5"/>
      <selection pane="bottomLeft" activeCell="N111" sqref="N111"/>
    </sheetView>
  </sheetViews>
  <sheetFormatPr defaultColWidth="10" defaultRowHeight="12" outlineLevelRow="2"/>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98" width="1.8984375" style="114" customWidth="1"/>
    <col min="99" max="16384" width="10" style="114"/>
  </cols>
  <sheetData>
    <row r="1" spans="1:98"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2019-07-04~2019-08-31 [계획:15.03% 실적:3.66%]</v>
      </c>
      <c r="AC1" s="229" t="s">
        <v>1175</v>
      </c>
      <c r="AD1" s="229"/>
      <c r="AE1" s="229"/>
      <c r="AF1" s="229"/>
      <c r="AG1" s="229"/>
      <c r="AH1" s="229"/>
      <c r="AI1" s="229"/>
      <c r="AJ1" s="229"/>
      <c r="AK1" s="229"/>
      <c r="AL1" s="229"/>
      <c r="AM1" s="229"/>
      <c r="AN1" s="229"/>
      <c r="AO1" s="229"/>
      <c r="AP1" s="229"/>
      <c r="AQ1" s="229"/>
      <c r="AR1" s="229"/>
      <c r="AS1" s="229"/>
      <c r="AT1" s="229"/>
      <c r="AU1" s="229"/>
      <c r="AV1" s="229"/>
      <c r="AW1" s="229"/>
      <c r="AX1" s="229"/>
      <c r="AY1" s="229"/>
      <c r="AZ1" s="229"/>
      <c r="BA1" s="229"/>
      <c r="BB1" s="229"/>
      <c r="BC1" s="229"/>
      <c r="BD1" s="229"/>
      <c r="BE1" s="229"/>
      <c r="BF1" s="229"/>
      <c r="BG1" s="229"/>
      <c r="BH1" s="229"/>
      <c r="BI1" s="229"/>
      <c r="BJ1" s="229"/>
      <c r="BK1" s="229"/>
      <c r="BL1" s="229"/>
      <c r="BM1" s="229"/>
      <c r="BN1" s="229"/>
      <c r="BO1" s="229"/>
      <c r="BP1" s="229"/>
      <c r="BQ1" s="229"/>
      <c r="BR1" s="229"/>
      <c r="BS1" s="229"/>
      <c r="BT1" s="229"/>
      <c r="BU1" s="229"/>
      <c r="BV1" s="229"/>
      <c r="BW1" s="229"/>
      <c r="BX1" s="229"/>
      <c r="BY1" s="229"/>
      <c r="BZ1" s="229"/>
      <c r="CA1" s="229"/>
    </row>
    <row r="2" spans="1:98" s="158" customFormat="1" ht="15" customHeight="1">
      <c r="A2" s="159"/>
      <c r="B2" s="159"/>
      <c r="C2" s="160"/>
      <c r="D2" s="240"/>
      <c r="E2" s="240"/>
      <c r="F2" s="240"/>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1176</v>
      </c>
    </row>
    <row r="3" spans="1:98" s="1" customFormat="1" ht="19.95" customHeight="1">
      <c r="A3" s="231" t="s">
        <v>1153</v>
      </c>
      <c r="B3" s="233" t="s">
        <v>1154</v>
      </c>
      <c r="C3" s="235" t="s">
        <v>1131</v>
      </c>
      <c r="D3" s="236" t="s">
        <v>1111</v>
      </c>
      <c r="E3" s="237" t="s">
        <v>1112</v>
      </c>
      <c r="F3" s="238"/>
      <c r="G3" s="238"/>
      <c r="H3" s="238"/>
      <c r="I3" s="238"/>
      <c r="J3" s="238"/>
      <c r="K3" s="239"/>
      <c r="L3" s="220" t="s">
        <v>1109</v>
      </c>
      <c r="M3" s="220" t="s">
        <v>1125</v>
      </c>
      <c r="N3" s="220" t="s">
        <v>1113</v>
      </c>
      <c r="O3" s="241" t="s">
        <v>1155</v>
      </c>
      <c r="P3" s="219" t="s">
        <v>1156</v>
      </c>
      <c r="Q3" s="219" t="s">
        <v>1157</v>
      </c>
      <c r="R3" s="219" t="s">
        <v>1126</v>
      </c>
      <c r="S3" s="219" t="s">
        <v>1158</v>
      </c>
      <c r="T3" s="222" t="s">
        <v>1159</v>
      </c>
      <c r="U3" s="222" t="s">
        <v>1110</v>
      </c>
      <c r="V3" s="223" t="s">
        <v>1160</v>
      </c>
      <c r="W3" s="224" t="s">
        <v>1114</v>
      </c>
      <c r="X3" s="225" t="s">
        <v>1102</v>
      </c>
      <c r="Y3" s="220" t="s">
        <v>1130</v>
      </c>
      <c r="Z3" s="233" t="s">
        <v>1123</v>
      </c>
      <c r="AA3" s="226" t="s">
        <v>1127</v>
      </c>
      <c r="AB3" s="221" t="s">
        <v>1106</v>
      </c>
      <c r="AC3" s="227">
        <v>43647</v>
      </c>
      <c r="AD3" s="228"/>
      <c r="AE3" s="228"/>
      <c r="AF3" s="228"/>
      <c r="AG3" s="228">
        <v>43675</v>
      </c>
      <c r="AH3" s="228"/>
      <c r="AI3" s="228"/>
      <c r="AJ3" s="228"/>
      <c r="AK3" s="228">
        <v>43703</v>
      </c>
      <c r="AL3" s="228"/>
      <c r="AM3" s="228"/>
      <c r="AN3" s="230"/>
    </row>
    <row r="4" spans="1:98" s="2" customFormat="1" ht="4.95" customHeight="1">
      <c r="A4" s="232"/>
      <c r="B4" s="234"/>
      <c r="C4" s="231"/>
      <c r="D4" s="236"/>
      <c r="E4" s="237"/>
      <c r="F4" s="238"/>
      <c r="G4" s="238"/>
      <c r="H4" s="238"/>
      <c r="I4" s="238"/>
      <c r="J4" s="238"/>
      <c r="K4" s="239"/>
      <c r="L4" s="220"/>
      <c r="M4" s="220"/>
      <c r="N4" s="220"/>
      <c r="O4" s="241"/>
      <c r="P4" s="219"/>
      <c r="Q4" s="219"/>
      <c r="R4" s="219"/>
      <c r="S4" s="219"/>
      <c r="T4" s="220"/>
      <c r="U4" s="220"/>
      <c r="V4" s="223"/>
      <c r="W4" s="224"/>
      <c r="X4" s="225"/>
      <c r="Y4" s="220"/>
      <c r="Z4" s="233"/>
      <c r="AA4" s="226"/>
      <c r="AB4" s="221"/>
      <c r="AC4" s="112">
        <v>43647</v>
      </c>
      <c r="AD4" s="113">
        <v>43654</v>
      </c>
      <c r="AE4" s="113">
        <v>43661</v>
      </c>
      <c r="AF4" s="113">
        <v>43668</v>
      </c>
      <c r="AG4" s="113">
        <v>43675</v>
      </c>
      <c r="AH4" s="113">
        <v>43682</v>
      </c>
      <c r="AI4" s="113">
        <v>43689</v>
      </c>
      <c r="AJ4" s="113">
        <v>43696</v>
      </c>
      <c r="AK4" s="113">
        <v>43703</v>
      </c>
      <c r="AL4" s="113">
        <v>43710</v>
      </c>
      <c r="AM4" s="113"/>
      <c r="AN4" s="115"/>
      <c r="AO4" s="121"/>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row>
    <row r="5" spans="1:98">
      <c r="A5" s="116"/>
      <c r="B5" s="116"/>
      <c r="C5" s="116">
        <v>1</v>
      </c>
      <c r="D5" s="3" t="s">
        <v>1066</v>
      </c>
      <c r="E5" s="184" t="s">
        <v>538</v>
      </c>
      <c r="F5" s="184"/>
      <c r="G5" s="184"/>
      <c r="H5" s="184"/>
      <c r="I5" s="184"/>
      <c r="J5" s="184"/>
      <c r="K5" s="184"/>
      <c r="L5" s="184"/>
      <c r="M5" s="185"/>
      <c r="N5" s="185"/>
      <c r="O5" s="186"/>
      <c r="P5" s="187">
        <v>0</v>
      </c>
      <c r="Q5" s="187">
        <v>0</v>
      </c>
      <c r="R5" s="188">
        <v>0</v>
      </c>
      <c r="S5" s="188">
        <v>0</v>
      </c>
      <c r="T5" s="185"/>
      <c r="U5" s="185"/>
      <c r="V5" s="189">
        <v>0</v>
      </c>
      <c r="W5" s="190">
        <v>0</v>
      </c>
      <c r="X5" s="191"/>
      <c r="Y5" s="186"/>
      <c r="Z5" s="192"/>
      <c r="AA5" s="97">
        <v>0</v>
      </c>
      <c r="AB5" s="193">
        <v>0</v>
      </c>
      <c r="AC5" s="123"/>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row>
    <row r="6" spans="1:98">
      <c r="A6" s="116"/>
      <c r="B6" s="116" t="s">
        <v>1065</v>
      </c>
      <c r="C6" s="116">
        <v>1</v>
      </c>
      <c r="D6" s="3" t="s">
        <v>1067</v>
      </c>
      <c r="E6" s="215" t="s">
        <v>999</v>
      </c>
      <c r="F6" s="184"/>
      <c r="G6" s="184"/>
      <c r="H6" s="184"/>
      <c r="I6" s="184"/>
      <c r="J6" s="184"/>
      <c r="K6" s="184"/>
      <c r="L6" s="184"/>
      <c r="M6" s="185">
        <v>43650</v>
      </c>
      <c r="N6" s="185">
        <v>43699</v>
      </c>
      <c r="O6" s="186"/>
      <c r="P6" s="187">
        <v>12</v>
      </c>
      <c r="Q6" s="187">
        <v>5</v>
      </c>
      <c r="R6" s="188">
        <v>35</v>
      </c>
      <c r="S6" s="188">
        <v>4</v>
      </c>
      <c r="T6" s="185"/>
      <c r="U6" s="185"/>
      <c r="V6" s="189">
        <v>0</v>
      </c>
      <c r="W6" s="190">
        <v>0</v>
      </c>
      <c r="X6" s="191"/>
      <c r="Y6" s="186"/>
      <c r="Z6" s="192"/>
      <c r="AA6" s="97">
        <v>0.41666666666666669</v>
      </c>
      <c r="AB6" s="193">
        <v>0.16666666666666666</v>
      </c>
      <c r="AC6" s="123"/>
      <c r="AD6" s="4" t="str">
        <f>"    " &amp; TEXT(AB6,"#0.00%") &amp; " "</f>
        <v xml:space="preserve">    16.67% </v>
      </c>
      <c r="AE6" s="4"/>
      <c r="AF6" s="4"/>
      <c r="AG6" s="4"/>
      <c r="AH6" s="4"/>
      <c r="AI6" s="4"/>
      <c r="AJ6" s="4" t="str">
        <f>"    " &amp; "분석" &amp; " " &amp; IF(M6="","",TEXT(M6,"M/D-")) &amp; IF(N6="","",TEXT(N6,"M/D")) &amp; " "</f>
        <v xml:space="preserve">    분석 7/4-8/22 </v>
      </c>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row>
    <row r="7" spans="1:98" outlineLevel="1">
      <c r="A7" s="116"/>
      <c r="B7" s="116"/>
      <c r="C7" s="116">
        <v>2</v>
      </c>
      <c r="D7" s="3" t="s">
        <v>1068</v>
      </c>
      <c r="E7" s="215"/>
      <c r="F7" s="217" t="s">
        <v>1163</v>
      </c>
      <c r="G7" s="184"/>
      <c r="H7" s="184"/>
      <c r="I7" s="184"/>
      <c r="J7" s="184"/>
      <c r="K7" s="184"/>
      <c r="L7" s="184"/>
      <c r="M7" s="185">
        <v>43650</v>
      </c>
      <c r="N7" s="185">
        <v>43651</v>
      </c>
      <c r="O7" s="186"/>
      <c r="P7" s="187">
        <v>2</v>
      </c>
      <c r="Q7" s="187">
        <v>2</v>
      </c>
      <c r="R7" s="188">
        <v>2</v>
      </c>
      <c r="S7" s="188">
        <v>2</v>
      </c>
      <c r="T7" s="185"/>
      <c r="U7" s="185"/>
      <c r="V7" s="189"/>
      <c r="W7" s="190">
        <v>0</v>
      </c>
      <c r="X7" s="191">
        <v>1</v>
      </c>
      <c r="Y7" s="186" t="s">
        <v>1366</v>
      </c>
      <c r="Z7" s="192"/>
      <c r="AA7" s="97">
        <v>1</v>
      </c>
      <c r="AB7" s="193">
        <v>1</v>
      </c>
      <c r="AC7" s="123" t="str">
        <f>"     " &amp; TEXT(AB7,"#0.00%") &amp; " " &amp; "Thuns for Myanmar" &amp; "(Max,Pralhad)" &amp; " " &amp; IF(M7="","",TEXT(M7,"M/D-")) &amp; IF(N7="","",TEXT(N7,"M/D")) &amp; " "</f>
        <v xml:space="preserve">     100.00% Thuns for Myanmar(Max,Pralhad) 7/4-7/5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row>
    <row r="8" spans="1:98" outlineLevel="1">
      <c r="A8" s="116"/>
      <c r="B8" s="116"/>
      <c r="C8" s="116">
        <v>2</v>
      </c>
      <c r="D8" s="3" t="s">
        <v>1069</v>
      </c>
      <c r="E8" s="215"/>
      <c r="F8" s="217" t="s">
        <v>1164</v>
      </c>
      <c r="G8" s="184"/>
      <c r="H8" s="184"/>
      <c r="I8" s="184"/>
      <c r="J8" s="184"/>
      <c r="K8" s="184"/>
      <c r="L8" s="184"/>
      <c r="M8" s="185">
        <v>43654</v>
      </c>
      <c r="N8" s="185">
        <v>43654</v>
      </c>
      <c r="O8" s="186"/>
      <c r="P8" s="187">
        <v>1</v>
      </c>
      <c r="Q8" s="187">
        <v>1</v>
      </c>
      <c r="R8" s="188">
        <v>1</v>
      </c>
      <c r="S8" s="188">
        <v>1</v>
      </c>
      <c r="T8" s="185"/>
      <c r="U8" s="185"/>
      <c r="V8" s="189"/>
      <c r="W8" s="190">
        <v>0</v>
      </c>
      <c r="X8" s="191">
        <v>1</v>
      </c>
      <c r="Y8" s="186" t="s">
        <v>1366</v>
      </c>
      <c r="Z8" s="192"/>
      <c r="AA8" s="97">
        <v>1</v>
      </c>
      <c r="AB8" s="193">
        <v>0</v>
      </c>
      <c r="AC8" s="123"/>
      <c r="AD8" s="4" t="str">
        <f>"" &amp; TEXT(AB8,"#0.00%") &amp; " " &amp; "Lyhour API for Cambodia deposit" &amp; "(Max,Pralhad)" &amp; " " &amp; IF(M8="","",TEXT(M8,"M/D-")) &amp; IF(N8="","",TEXT(N8,"M/D")) &amp; " "</f>
        <v xml:space="preserve">0.00% Lyhour API for Cambodia deposit(Max,Pralhad) 7/8-7/8 </v>
      </c>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row>
    <row r="9" spans="1:98" outlineLevel="1">
      <c r="A9" s="116"/>
      <c r="B9" s="116"/>
      <c r="C9" s="116">
        <v>2</v>
      </c>
      <c r="D9" s="3" t="s">
        <v>1177</v>
      </c>
      <c r="E9" s="184"/>
      <c r="F9" s="217" t="s">
        <v>1165</v>
      </c>
      <c r="G9" s="184"/>
      <c r="H9" s="184"/>
      <c r="I9" s="184"/>
      <c r="J9" s="184"/>
      <c r="K9" s="184"/>
      <c r="L9" s="184"/>
      <c r="M9" s="185">
        <v>43658</v>
      </c>
      <c r="N9" s="185">
        <v>43658</v>
      </c>
      <c r="O9" s="186"/>
      <c r="P9" s="187">
        <v>1</v>
      </c>
      <c r="Q9" s="187">
        <v>0</v>
      </c>
      <c r="R9" s="188">
        <v>1</v>
      </c>
      <c r="S9" s="188">
        <v>0</v>
      </c>
      <c r="T9" s="185"/>
      <c r="U9" s="185"/>
      <c r="V9" s="189"/>
      <c r="W9" s="190">
        <v>0</v>
      </c>
      <c r="X9" s="191">
        <v>1</v>
      </c>
      <c r="Y9" s="186" t="s">
        <v>1366</v>
      </c>
      <c r="Z9" s="192"/>
      <c r="AA9" s="97">
        <v>0</v>
      </c>
      <c r="AB9" s="193">
        <v>0</v>
      </c>
      <c r="AC9" s="123"/>
      <c r="AD9" s="4" t="str">
        <f>"    " &amp; TEXT(AB9,"#0.00%") &amp; " " &amp; "Inbound(Online, App) 2nd Phase" &amp; "(Max,Pralhad)" &amp; " " &amp; IF(M9="","",TEXT(M9,"M/D-")) &amp; IF(N9="","",TEXT(N9,"M/D")) &amp; " "</f>
        <v xml:space="preserve">    0.00% Inbound(Online, App) 2nd Phase(Max,Pralhad) 7/12-7/12 </v>
      </c>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row>
    <row r="10" spans="1:98" outlineLevel="1">
      <c r="A10" s="116"/>
      <c r="B10" s="116"/>
      <c r="C10" s="116">
        <v>2</v>
      </c>
      <c r="D10" s="3" t="s">
        <v>1178</v>
      </c>
      <c r="E10" s="184"/>
      <c r="F10" s="217" t="s">
        <v>1166</v>
      </c>
      <c r="G10" s="184"/>
      <c r="H10" s="184"/>
      <c r="I10" s="184"/>
      <c r="J10" s="184"/>
      <c r="K10" s="184"/>
      <c r="L10" s="184"/>
      <c r="M10" s="185">
        <v>43668</v>
      </c>
      <c r="N10" s="185">
        <v>43668</v>
      </c>
      <c r="O10" s="186"/>
      <c r="P10" s="187">
        <v>1</v>
      </c>
      <c r="Q10" s="187">
        <v>0</v>
      </c>
      <c r="R10" s="188">
        <v>1</v>
      </c>
      <c r="S10" s="188">
        <v>0</v>
      </c>
      <c r="T10" s="185"/>
      <c r="U10" s="185"/>
      <c r="V10" s="189"/>
      <c r="W10" s="190">
        <v>0</v>
      </c>
      <c r="X10" s="191">
        <v>1</v>
      </c>
      <c r="Y10" s="186" t="s">
        <v>1366</v>
      </c>
      <c r="Z10" s="192"/>
      <c r="AA10" s="97">
        <v>0</v>
      </c>
      <c r="AB10" s="193">
        <v>0</v>
      </c>
      <c r="AC10" s="123"/>
      <c r="AD10" s="4"/>
      <c r="AE10" s="4"/>
      <c r="AF10" s="4" t="str">
        <f>"" &amp; TEXT(AB10,"#0.00%") &amp; " " &amp; "Shinhan,IBK-KFTC" &amp; "(Max,Pralhad)" &amp; " " &amp; IF(M10="","",TEXT(M10,"M/D-")) &amp; IF(N10="","",TEXT(N10,"M/D")) &amp; " "</f>
        <v xml:space="preserve">0.00% Shinhan,IBK-KFTC(Max,Pralhad) 7/22-7/22 </v>
      </c>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row>
    <row r="11" spans="1:98" outlineLevel="1">
      <c r="A11" s="116"/>
      <c r="B11" s="116"/>
      <c r="C11" s="116">
        <v>2</v>
      </c>
      <c r="D11" s="3" t="s">
        <v>1179</v>
      </c>
      <c r="E11" s="184"/>
      <c r="F11" s="217" t="s">
        <v>1167</v>
      </c>
      <c r="G11" s="184"/>
      <c r="H11" s="184"/>
      <c r="I11" s="184"/>
      <c r="J11" s="184"/>
      <c r="K11" s="184"/>
      <c r="L11" s="184"/>
      <c r="M11" s="185">
        <v>43685</v>
      </c>
      <c r="N11" s="185">
        <v>43685</v>
      </c>
      <c r="O11" s="186"/>
      <c r="P11" s="187">
        <v>1</v>
      </c>
      <c r="Q11" s="187">
        <v>0</v>
      </c>
      <c r="R11" s="188">
        <v>1</v>
      </c>
      <c r="S11" s="188">
        <v>0</v>
      </c>
      <c r="T11" s="185"/>
      <c r="U11" s="185"/>
      <c r="V11" s="189"/>
      <c r="W11" s="190">
        <v>0</v>
      </c>
      <c r="X11" s="191">
        <v>1</v>
      </c>
      <c r="Y11" s="186" t="s">
        <v>1366</v>
      </c>
      <c r="Z11" s="192"/>
      <c r="AA11" s="97">
        <v>0</v>
      </c>
      <c r="AB11" s="193">
        <v>0</v>
      </c>
      <c r="AC11" s="123"/>
      <c r="AD11" s="4"/>
      <c r="AE11" s="4"/>
      <c r="AF11" s="4"/>
      <c r="AG11" s="4"/>
      <c r="AH11" s="4" t="str">
        <f>"   " &amp; TEXT(AB11,"#0.00%") &amp; " " &amp; "Agrani bank/Islami bank add to new app" &amp; "(Max,Pralhad)" &amp; " " &amp; IF(M11="","",TEXT(M11,"M/D-")) &amp; IF(N11="","",TEXT(N11,"M/D")) &amp; " "</f>
        <v xml:space="preserve">   0.00% Agrani bank/Islami bank add to new app(Max,Pralhad) 8/8-8/8 </v>
      </c>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row>
    <row r="12" spans="1:98" outlineLevel="1">
      <c r="A12" s="116"/>
      <c r="B12" s="116"/>
      <c r="C12" s="116">
        <v>2</v>
      </c>
      <c r="D12" s="3" t="s">
        <v>1180</v>
      </c>
      <c r="E12" s="184"/>
      <c r="F12" s="217" t="s">
        <v>1168</v>
      </c>
      <c r="G12" s="184"/>
      <c r="H12" s="184"/>
      <c r="I12" s="184"/>
      <c r="J12" s="184"/>
      <c r="K12" s="184"/>
      <c r="L12" s="184"/>
      <c r="M12" s="185">
        <v>43699</v>
      </c>
      <c r="N12" s="185">
        <v>43699</v>
      </c>
      <c r="O12" s="186"/>
      <c r="P12" s="187">
        <v>1</v>
      </c>
      <c r="Q12" s="187">
        <v>0</v>
      </c>
      <c r="R12" s="188">
        <v>1</v>
      </c>
      <c r="S12" s="188">
        <v>0</v>
      </c>
      <c r="T12" s="185"/>
      <c r="U12" s="185"/>
      <c r="V12" s="189"/>
      <c r="W12" s="190">
        <v>0</v>
      </c>
      <c r="X12" s="191">
        <v>1</v>
      </c>
      <c r="Y12" s="186" t="s">
        <v>1366</v>
      </c>
      <c r="Z12" s="192"/>
      <c r="AA12" s="97">
        <v>0</v>
      </c>
      <c r="AB12" s="193">
        <v>0</v>
      </c>
      <c r="AC12" s="123"/>
      <c r="AD12" s="4"/>
      <c r="AE12" s="4"/>
      <c r="AF12" s="4"/>
      <c r="AG12" s="4"/>
      <c r="AH12" s="4"/>
      <c r="AI12" s="4"/>
      <c r="AJ12" s="4" t="str">
        <f>"   " &amp; TEXT(AB12,"#0.00%") &amp; " " &amp; "KJ-Auto remit for multiple-accounts use" &amp; "(Max,Pralhad)" &amp; " " &amp; IF(M12="","",TEXT(M12,"M/D-")) &amp; IF(N12="","",TEXT(N12,"M/D")) &amp; " "</f>
        <v xml:space="preserve">   0.00% KJ-Auto remit for multiple-accounts use(Max,Pralhad) 8/22-8/22 </v>
      </c>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row>
    <row r="13" spans="1:98" outlineLevel="1">
      <c r="A13" s="116"/>
      <c r="B13" s="116"/>
      <c r="C13" s="116">
        <v>2</v>
      </c>
      <c r="D13" s="3" t="s">
        <v>1181</v>
      </c>
      <c r="E13" s="184"/>
      <c r="F13" s="217" t="s">
        <v>1169</v>
      </c>
      <c r="G13" s="184"/>
      <c r="H13" s="184"/>
      <c r="I13" s="184"/>
      <c r="J13" s="184"/>
      <c r="K13" s="184"/>
      <c r="L13" s="184"/>
      <c r="M13" s="185">
        <v>43654</v>
      </c>
      <c r="N13" s="185">
        <v>43654</v>
      </c>
      <c r="O13" s="186"/>
      <c r="P13" s="187">
        <v>1</v>
      </c>
      <c r="Q13" s="187">
        <v>1</v>
      </c>
      <c r="R13" s="188">
        <v>1</v>
      </c>
      <c r="S13" s="188">
        <v>1</v>
      </c>
      <c r="T13" s="185"/>
      <c r="U13" s="185"/>
      <c r="V13" s="189"/>
      <c r="W13" s="190">
        <v>0</v>
      </c>
      <c r="X13" s="191">
        <v>1</v>
      </c>
      <c r="Y13" s="186" t="s">
        <v>1366</v>
      </c>
      <c r="Z13" s="192"/>
      <c r="AA13" s="97">
        <v>1</v>
      </c>
      <c r="AB13" s="193">
        <v>0</v>
      </c>
      <c r="AC13" s="123"/>
      <c r="AD13" s="4" t="str">
        <f>"" &amp; TEXT(AB13,"#0.00%") &amp; " " &amp; "Registration logic" &amp; "(Max,Pralhad)" &amp; " " &amp; IF(M13="","",TEXT(M13,"M/D-")) &amp; IF(N13="","",TEXT(N13,"M/D")) &amp; " "</f>
        <v xml:space="preserve">0.00% Registration logic(Max,Pralhad) 7/8-7/8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row>
    <row r="14" spans="1:98" outlineLevel="1">
      <c r="A14" s="116"/>
      <c r="B14" s="116"/>
      <c r="C14" s="116">
        <v>2</v>
      </c>
      <c r="D14" s="3" t="s">
        <v>1182</v>
      </c>
      <c r="E14" s="184"/>
      <c r="F14" s="217" t="s">
        <v>1363</v>
      </c>
      <c r="G14" s="184"/>
      <c r="H14" s="184"/>
      <c r="I14" s="184"/>
      <c r="J14" s="184"/>
      <c r="K14" s="184"/>
      <c r="L14" s="184"/>
      <c r="M14" s="185">
        <v>43655</v>
      </c>
      <c r="N14" s="185">
        <v>43655</v>
      </c>
      <c r="O14" s="186"/>
      <c r="P14" s="187">
        <v>1</v>
      </c>
      <c r="Q14" s="187">
        <v>1</v>
      </c>
      <c r="R14" s="188">
        <v>1</v>
      </c>
      <c r="S14" s="188">
        <v>1</v>
      </c>
      <c r="T14" s="185"/>
      <c r="U14" s="185"/>
      <c r="V14" s="189"/>
      <c r="W14" s="190">
        <v>0</v>
      </c>
      <c r="X14" s="191">
        <v>1</v>
      </c>
      <c r="Y14" s="186" t="s">
        <v>1366</v>
      </c>
      <c r="Z14" s="192"/>
      <c r="AA14" s="97">
        <v>1</v>
      </c>
      <c r="AB14" s="193">
        <v>0</v>
      </c>
      <c r="AC14" s="123"/>
      <c r="AD14" s="4" t="str">
        <f>" " &amp; TEXT(AB14,"#0.00%") &amp; " " &amp; "Calculate in first screen" &amp; "(Max,Pralhad)" &amp; " " &amp; IF(M14="","",TEXT(M14,"M/D-")) &amp; IF(N14="","",TEXT(N14,"M/D")) &amp; " "</f>
        <v xml:space="preserve"> 0.00% Calculate in first screen(Max,Pralhad) 7/9-7/9 </v>
      </c>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row>
    <row r="15" spans="1:98" outlineLevel="1">
      <c r="A15" s="116"/>
      <c r="B15" s="116"/>
      <c r="C15" s="116">
        <v>2</v>
      </c>
      <c r="D15" s="3" t="s">
        <v>1183</v>
      </c>
      <c r="E15" s="184"/>
      <c r="F15" s="217" t="s">
        <v>1170</v>
      </c>
      <c r="G15" s="184"/>
      <c r="H15" s="184"/>
      <c r="I15" s="184"/>
      <c r="J15" s="184"/>
      <c r="K15" s="184"/>
      <c r="L15" s="184"/>
      <c r="M15" s="185">
        <v>43656</v>
      </c>
      <c r="N15" s="185">
        <v>43656</v>
      </c>
      <c r="O15" s="186"/>
      <c r="P15" s="187">
        <v>1</v>
      </c>
      <c r="Q15" s="187">
        <v>0</v>
      </c>
      <c r="R15" s="188">
        <v>1</v>
      </c>
      <c r="S15" s="188">
        <v>0</v>
      </c>
      <c r="T15" s="185"/>
      <c r="U15" s="185"/>
      <c r="V15" s="189"/>
      <c r="W15" s="190">
        <v>0</v>
      </c>
      <c r="X15" s="191">
        <v>1</v>
      </c>
      <c r="Y15" s="186" t="s">
        <v>1366</v>
      </c>
      <c r="Z15" s="192"/>
      <c r="AA15" s="97">
        <v>0</v>
      </c>
      <c r="AB15" s="193">
        <v>0</v>
      </c>
      <c r="AC15" s="123"/>
      <c r="AD15" s="4" t="str">
        <f>"  " &amp; TEXT(AB15,"#0.00%") &amp; " " &amp; "Dynamic receiver setup" &amp; "(Max,Pralhad)" &amp; " " &amp; IF(M15="","",TEXT(M15,"M/D-")) &amp; IF(N15="","",TEXT(N15,"M/D")) &amp; " "</f>
        <v xml:space="preserve">  0.00% Dynamic receiver setup(Max,Pralhad) 7/10-7/10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row>
    <row r="16" spans="1:98" outlineLevel="1">
      <c r="A16" s="116"/>
      <c r="B16" s="116"/>
      <c r="C16" s="116">
        <v>2</v>
      </c>
      <c r="D16" s="3" t="s">
        <v>1184</v>
      </c>
      <c r="E16" s="184"/>
      <c r="F16" s="217" t="s">
        <v>1171</v>
      </c>
      <c r="G16" s="184"/>
      <c r="H16" s="184"/>
      <c r="I16" s="184"/>
      <c r="J16" s="184"/>
      <c r="K16" s="184"/>
      <c r="L16" s="184"/>
      <c r="M16" s="185">
        <v>43657</v>
      </c>
      <c r="N16" s="185">
        <v>43657</v>
      </c>
      <c r="O16" s="186"/>
      <c r="P16" s="187">
        <v>1</v>
      </c>
      <c r="Q16" s="187">
        <v>0</v>
      </c>
      <c r="R16" s="188">
        <v>1</v>
      </c>
      <c r="S16" s="188">
        <v>0</v>
      </c>
      <c r="T16" s="185"/>
      <c r="U16" s="185"/>
      <c r="V16" s="189"/>
      <c r="W16" s="190">
        <v>0</v>
      </c>
      <c r="X16" s="191">
        <v>1</v>
      </c>
      <c r="Y16" s="186" t="s">
        <v>1366</v>
      </c>
      <c r="Z16" s="192"/>
      <c r="AA16" s="97">
        <v>0</v>
      </c>
      <c r="AB16" s="193">
        <v>0</v>
      </c>
      <c r="AC16" s="123"/>
      <c r="AD16" s="4" t="str">
        <f>"   " &amp; TEXT(AB16,"#0.00%") &amp; " " &amp; "Send Txn process same as web" &amp; "(Max,Pralhad)" &amp; " " &amp; IF(M16="","",TEXT(M16,"M/D-")) &amp; IF(N16="","",TEXT(N16,"M/D")) &amp; " "</f>
        <v xml:space="preserve">   0.00% Send Txn process same as web(Max,Pralhad) 7/11-7/11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row>
    <row r="17" spans="1:98" outlineLevel="1">
      <c r="A17" s="116"/>
      <c r="B17" s="116"/>
      <c r="C17" s="116">
        <v>2</v>
      </c>
      <c r="D17" s="3" t="s">
        <v>1185</v>
      </c>
      <c r="E17" s="184"/>
      <c r="F17" s="217" t="s">
        <v>1172</v>
      </c>
      <c r="G17" s="184"/>
      <c r="H17" s="184"/>
      <c r="I17" s="184"/>
      <c r="J17" s="184"/>
      <c r="K17" s="184"/>
      <c r="L17" s="184"/>
      <c r="M17" s="185">
        <v>43658</v>
      </c>
      <c r="N17" s="185">
        <v>43658</v>
      </c>
      <c r="O17" s="186"/>
      <c r="P17" s="187">
        <v>1</v>
      </c>
      <c r="Q17" s="187">
        <v>0</v>
      </c>
      <c r="R17" s="188">
        <v>1</v>
      </c>
      <c r="S17" s="188">
        <v>0</v>
      </c>
      <c r="T17" s="185"/>
      <c r="U17" s="185"/>
      <c r="V17" s="189"/>
      <c r="W17" s="190">
        <v>0</v>
      </c>
      <c r="X17" s="191">
        <v>1</v>
      </c>
      <c r="Y17" s="186" t="s">
        <v>1366</v>
      </c>
      <c r="Z17" s="192"/>
      <c r="AA17" s="97">
        <v>0</v>
      </c>
      <c r="AB17" s="193">
        <v>0</v>
      </c>
      <c r="AC17" s="123"/>
      <c r="AD17" s="4" t="str">
        <f>"    " &amp; TEXT(AB17,"#0.00%") &amp; " " &amp; "Resend method not to check anything" &amp; "(Max,Pralhad)" &amp; " " &amp; IF(M17="","",TEXT(M17,"M/D-")) &amp; IF(N17="","",TEXT(N17,"M/D")) &amp; " "</f>
        <v xml:space="preserve">    0.00% Resend method not to check anything(Max,Pralhad) 7/12-7/12 </v>
      </c>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row>
    <row r="18" spans="1:98" outlineLevel="1">
      <c r="A18" s="116"/>
      <c r="B18" s="116"/>
      <c r="C18" s="116">
        <v>0</v>
      </c>
      <c r="D18" s="3"/>
      <c r="E18" s="184"/>
      <c r="F18" s="217"/>
      <c r="G18" s="184"/>
      <c r="H18" s="184"/>
      <c r="I18" s="184"/>
      <c r="J18" s="184"/>
      <c r="K18" s="184"/>
      <c r="L18" s="184"/>
      <c r="M18" s="185"/>
      <c r="N18" s="185"/>
      <c r="O18" s="186"/>
      <c r="P18" s="187"/>
      <c r="Q18" s="187"/>
      <c r="R18" s="188">
        <v>0</v>
      </c>
      <c r="S18" s="188">
        <v>0</v>
      </c>
      <c r="T18" s="185"/>
      <c r="U18" s="185"/>
      <c r="V18" s="189"/>
      <c r="W18" s="190">
        <v>0</v>
      </c>
      <c r="X18" s="191"/>
      <c r="Y18" s="186"/>
      <c r="Z18" s="192"/>
      <c r="AA18" s="97"/>
      <c r="AB18" s="193">
        <v>0</v>
      </c>
      <c r="AC18" s="123"/>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row>
    <row r="19" spans="1:98" outlineLevel="1">
      <c r="A19" s="116"/>
      <c r="B19" s="116"/>
      <c r="C19" s="116">
        <v>0</v>
      </c>
      <c r="D19" s="3"/>
      <c r="E19" s="184"/>
      <c r="F19" s="217"/>
      <c r="G19" s="184"/>
      <c r="H19" s="184"/>
      <c r="I19" s="184"/>
      <c r="J19" s="184"/>
      <c r="K19" s="184"/>
      <c r="L19" s="184"/>
      <c r="M19" s="185"/>
      <c r="N19" s="185"/>
      <c r="O19" s="186"/>
      <c r="P19" s="187"/>
      <c r="Q19" s="187"/>
      <c r="R19" s="188">
        <v>0</v>
      </c>
      <c r="S19" s="188">
        <v>0</v>
      </c>
      <c r="T19" s="185"/>
      <c r="U19" s="185"/>
      <c r="V19" s="189"/>
      <c r="W19" s="190">
        <v>0</v>
      </c>
      <c r="X19" s="191"/>
      <c r="Y19" s="186"/>
      <c r="Z19" s="192"/>
      <c r="AA19" s="97"/>
      <c r="AB19" s="193">
        <v>0</v>
      </c>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row>
    <row r="20" spans="1:98">
      <c r="A20" s="116"/>
      <c r="B20" s="116" t="s">
        <v>1065</v>
      </c>
      <c r="C20" s="116">
        <v>1</v>
      </c>
      <c r="D20" s="3" t="s">
        <v>1132</v>
      </c>
      <c r="E20" s="215" t="s">
        <v>1000</v>
      </c>
      <c r="F20" s="184"/>
      <c r="G20" s="184"/>
      <c r="H20" s="184"/>
      <c r="I20" s="184"/>
      <c r="J20" s="184"/>
      <c r="K20" s="184"/>
      <c r="L20" s="184"/>
      <c r="M20" s="185">
        <v>43650</v>
      </c>
      <c r="N20" s="185">
        <v>43706</v>
      </c>
      <c r="O20" s="186"/>
      <c r="P20" s="187">
        <v>28</v>
      </c>
      <c r="Q20" s="187">
        <v>8</v>
      </c>
      <c r="R20" s="188">
        <v>40</v>
      </c>
      <c r="S20" s="188">
        <v>4</v>
      </c>
      <c r="T20" s="185"/>
      <c r="U20" s="185"/>
      <c r="V20" s="189">
        <v>0</v>
      </c>
      <c r="W20" s="190">
        <v>0</v>
      </c>
      <c r="X20" s="191"/>
      <c r="Y20" s="186"/>
      <c r="Z20" s="192"/>
      <c r="AA20" s="97">
        <v>0.2857142857142857</v>
      </c>
      <c r="AB20" s="193">
        <v>0</v>
      </c>
      <c r="AC20" s="123" t="str">
        <f>"   " &amp; TEXT(AB20,"#0.00%") &amp; " "</f>
        <v xml:space="preserve">   0.00% </v>
      </c>
      <c r="AD20" s="4"/>
      <c r="AE20" s="4"/>
      <c r="AF20" s="4"/>
      <c r="AG20" s="4"/>
      <c r="AH20" s="4"/>
      <c r="AI20" s="4"/>
      <c r="AJ20" s="4"/>
      <c r="AK20" s="4" t="str">
        <f>"    " &amp; "설계" &amp; " " &amp; IF(M20="","",TEXT(M20,"M/D-")) &amp; IF(N20="","",TEXT(N20,"M/D")) &amp; " "</f>
        <v xml:space="preserve">    설계 7/4-8/29 </v>
      </c>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row>
    <row r="21" spans="1:98" outlineLevel="1">
      <c r="A21" s="116"/>
      <c r="B21" s="116" t="s">
        <v>1065</v>
      </c>
      <c r="C21" s="116">
        <v>2</v>
      </c>
      <c r="D21" s="3" t="s">
        <v>1133</v>
      </c>
      <c r="E21" s="215"/>
      <c r="F21" s="217" t="s">
        <v>1163</v>
      </c>
      <c r="G21" s="217"/>
      <c r="H21" s="184"/>
      <c r="I21" s="184"/>
      <c r="J21" s="184"/>
      <c r="K21" s="184"/>
      <c r="L21" s="184"/>
      <c r="M21" s="185">
        <v>43650</v>
      </c>
      <c r="N21" s="185">
        <v>43651</v>
      </c>
      <c r="O21" s="186"/>
      <c r="P21" s="187">
        <v>6</v>
      </c>
      <c r="Q21" s="187">
        <v>6</v>
      </c>
      <c r="R21" s="188">
        <v>2</v>
      </c>
      <c r="S21" s="188">
        <v>2</v>
      </c>
      <c r="T21" s="185"/>
      <c r="U21" s="185"/>
      <c r="V21" s="189">
        <v>0</v>
      </c>
      <c r="W21" s="190">
        <v>0</v>
      </c>
      <c r="X21" s="191"/>
      <c r="Y21" s="186"/>
      <c r="Z21" s="192"/>
      <c r="AA21" s="97">
        <v>1</v>
      </c>
      <c r="AB21" s="193">
        <v>0</v>
      </c>
      <c r="AC21" s="123" t="str">
        <f>"   " &amp; TEXT(AB21,"#0.00%") &amp; " " &amp; "Thuns for Myanmar" &amp; " " &amp; IF(M21="","",TEXT(M21,"M/D-")) &amp; IF(N21="","",TEXT(N21,"M/D")) &amp; " "</f>
        <v xml:space="preserve">   0.00% Thuns for Myanmar 7/4-7/5 </v>
      </c>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row>
    <row r="22" spans="1:98" outlineLevel="2">
      <c r="A22" s="116"/>
      <c r="B22" s="116"/>
      <c r="C22" s="116">
        <v>3</v>
      </c>
      <c r="D22" s="3" t="s">
        <v>1210</v>
      </c>
      <c r="E22" s="215"/>
      <c r="F22" s="218"/>
      <c r="G22" s="217" t="s">
        <v>1208</v>
      </c>
      <c r="H22" s="184"/>
      <c r="I22" s="184"/>
      <c r="J22" s="184"/>
      <c r="K22" s="184"/>
      <c r="L22" s="184"/>
      <c r="M22" s="185">
        <v>43650</v>
      </c>
      <c r="N22" s="185">
        <v>43651</v>
      </c>
      <c r="O22" s="186"/>
      <c r="P22" s="187">
        <v>2</v>
      </c>
      <c r="Q22" s="187">
        <v>2</v>
      </c>
      <c r="R22" s="188">
        <v>2</v>
      </c>
      <c r="S22" s="188">
        <v>2</v>
      </c>
      <c r="T22" s="185"/>
      <c r="U22" s="185"/>
      <c r="V22" s="189"/>
      <c r="W22" s="190">
        <v>0</v>
      </c>
      <c r="X22" s="191">
        <v>1</v>
      </c>
      <c r="Y22" s="186" t="s">
        <v>1366</v>
      </c>
      <c r="Z22" s="192"/>
      <c r="AA22" s="97">
        <v>1</v>
      </c>
      <c r="AB22" s="193">
        <v>0</v>
      </c>
      <c r="AC22" s="123" t="str">
        <f>"   " &amp; TEXT(AB22,"#0.00%") &amp; " " &amp; "Architecture Design" &amp; "(Max,Pralhad)" &amp; " " &amp; IF(M22="","",TEXT(M22,"M/D-")) &amp; IF(N22="","",TEXT(N22,"M/D")) &amp; " "</f>
        <v xml:space="preserve">   0.00% Architecture Design(Max,Pralhad) 7/4-7/5 </v>
      </c>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row>
    <row r="23" spans="1:98" outlineLevel="2">
      <c r="A23" s="116"/>
      <c r="B23" s="116"/>
      <c r="C23" s="116">
        <v>3</v>
      </c>
      <c r="D23" s="3" t="s">
        <v>1211</v>
      </c>
      <c r="E23" s="215"/>
      <c r="F23" s="218"/>
      <c r="G23" s="217" t="s">
        <v>1207</v>
      </c>
      <c r="H23" s="184"/>
      <c r="I23" s="184"/>
      <c r="J23" s="184"/>
      <c r="K23" s="184"/>
      <c r="L23" s="184"/>
      <c r="M23" s="185"/>
      <c r="N23" s="185"/>
      <c r="O23" s="186"/>
      <c r="P23" s="187">
        <v>0</v>
      </c>
      <c r="Q23" s="187">
        <v>0</v>
      </c>
      <c r="R23" s="188">
        <v>0</v>
      </c>
      <c r="S23" s="188">
        <v>0</v>
      </c>
      <c r="T23" s="185"/>
      <c r="U23" s="185"/>
      <c r="V23" s="189">
        <v>0</v>
      </c>
      <c r="W23" s="190">
        <v>0</v>
      </c>
      <c r="X23" s="191">
        <v>1</v>
      </c>
      <c r="Y23" s="186" t="s">
        <v>1366</v>
      </c>
      <c r="Z23" s="192"/>
      <c r="AA23" s="97">
        <v>0</v>
      </c>
      <c r="AB23" s="193">
        <v>0</v>
      </c>
      <c r="AC23" s="123"/>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row>
    <row r="24" spans="1:98" outlineLevel="2">
      <c r="A24" s="116"/>
      <c r="B24" s="116"/>
      <c r="C24" s="116">
        <v>3</v>
      </c>
      <c r="D24" s="3" t="s">
        <v>1212</v>
      </c>
      <c r="E24" s="215"/>
      <c r="F24" s="218"/>
      <c r="G24" s="217" t="s">
        <v>1361</v>
      </c>
      <c r="H24" s="184"/>
      <c r="I24" s="184"/>
      <c r="J24" s="184"/>
      <c r="K24" s="184"/>
      <c r="L24" s="184"/>
      <c r="M24" s="185">
        <v>43650</v>
      </c>
      <c r="N24" s="185">
        <v>43651</v>
      </c>
      <c r="O24" s="186"/>
      <c r="P24" s="187">
        <v>2</v>
      </c>
      <c r="Q24" s="187">
        <v>2</v>
      </c>
      <c r="R24" s="188">
        <v>2</v>
      </c>
      <c r="S24" s="188">
        <v>2</v>
      </c>
      <c r="T24" s="185"/>
      <c r="U24" s="185"/>
      <c r="V24" s="189"/>
      <c r="W24" s="190">
        <v>0</v>
      </c>
      <c r="X24" s="191">
        <v>1</v>
      </c>
      <c r="Y24" s="186" t="s">
        <v>1366</v>
      </c>
      <c r="Z24" s="192"/>
      <c r="AA24" s="97">
        <v>1</v>
      </c>
      <c r="AB24" s="193">
        <v>0</v>
      </c>
      <c r="AC24" s="123" t="str">
        <f>"   " &amp; TEXT(AB24,"#0.00%") &amp; " " &amp; "Funtion Design" &amp; "(Max,Pralhad)" &amp; " " &amp; IF(M24="","",TEXT(M24,"M/D-")) &amp; IF(N24="","",TEXT(N24,"M/D")) &amp; " "</f>
        <v xml:space="preserve">   0.00% Funtion Design(Max,Pralhad) 7/4-7/5 </v>
      </c>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row>
    <row r="25" spans="1:98" outlineLevel="2">
      <c r="A25" s="116"/>
      <c r="B25" s="116"/>
      <c r="C25" s="116">
        <v>3</v>
      </c>
      <c r="D25" s="3" t="s">
        <v>1213</v>
      </c>
      <c r="E25" s="215"/>
      <c r="F25" s="218"/>
      <c r="G25" s="217" t="s">
        <v>1209</v>
      </c>
      <c r="H25" s="184"/>
      <c r="I25" s="184"/>
      <c r="J25" s="184"/>
      <c r="K25" s="184"/>
      <c r="L25" s="184"/>
      <c r="M25" s="185">
        <v>43650</v>
      </c>
      <c r="N25" s="185">
        <v>43651</v>
      </c>
      <c r="O25" s="186"/>
      <c r="P25" s="187">
        <v>2</v>
      </c>
      <c r="Q25" s="187">
        <v>2</v>
      </c>
      <c r="R25" s="188">
        <v>2</v>
      </c>
      <c r="S25" s="188">
        <v>2</v>
      </c>
      <c r="T25" s="185"/>
      <c r="U25" s="185"/>
      <c r="V25" s="189"/>
      <c r="W25" s="190">
        <v>0</v>
      </c>
      <c r="X25" s="191">
        <v>1</v>
      </c>
      <c r="Y25" s="186" t="s">
        <v>1366</v>
      </c>
      <c r="Z25" s="192"/>
      <c r="AA25" s="97">
        <v>1</v>
      </c>
      <c r="AB25" s="193">
        <v>0</v>
      </c>
      <c r="AC25" s="123" t="str">
        <f>"   " &amp; TEXT(AB25,"#0.00%") &amp; " " &amp; "Storyboard" &amp; "(Max,Pralhad)" &amp; " " &amp; IF(M25="","",TEXT(M25,"M/D-")) &amp; IF(N25="","",TEXT(N25,"M/D")) &amp; " "</f>
        <v xml:space="preserve">   0.00% Storyboard(Max,Pralhad) 7/4-7/5 </v>
      </c>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row>
    <row r="26" spans="1:98" outlineLevel="2">
      <c r="A26" s="116"/>
      <c r="B26" s="116"/>
      <c r="C26" s="116">
        <v>0</v>
      </c>
      <c r="D26" s="3"/>
      <c r="E26" s="215"/>
      <c r="F26" s="217"/>
      <c r="G26" s="217"/>
      <c r="H26" s="184"/>
      <c r="I26" s="184"/>
      <c r="J26" s="184"/>
      <c r="K26" s="184"/>
      <c r="L26" s="184"/>
      <c r="M26" s="185"/>
      <c r="N26" s="185"/>
      <c r="O26" s="186"/>
      <c r="P26" s="187"/>
      <c r="Q26" s="187"/>
      <c r="R26" s="188">
        <v>0</v>
      </c>
      <c r="S26" s="188">
        <v>0</v>
      </c>
      <c r="T26" s="185"/>
      <c r="U26" s="185"/>
      <c r="V26" s="189"/>
      <c r="W26" s="190">
        <v>0</v>
      </c>
      <c r="X26" s="191"/>
      <c r="Y26" s="186"/>
      <c r="Z26" s="192"/>
      <c r="AA26" s="97"/>
      <c r="AB26" s="193"/>
      <c r="AC26" s="123"/>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row>
    <row r="27" spans="1:98" outlineLevel="1">
      <c r="A27" s="116"/>
      <c r="B27" s="116" t="s">
        <v>1065</v>
      </c>
      <c r="C27" s="116">
        <v>2</v>
      </c>
      <c r="D27" s="3" t="s">
        <v>1143</v>
      </c>
      <c r="E27" s="215"/>
      <c r="F27" s="217" t="s">
        <v>1164</v>
      </c>
      <c r="G27" s="217"/>
      <c r="H27" s="184"/>
      <c r="I27" s="184"/>
      <c r="J27" s="184"/>
      <c r="K27" s="184"/>
      <c r="L27" s="184"/>
      <c r="M27" s="185">
        <v>43655</v>
      </c>
      <c r="N27" s="185">
        <v>43657</v>
      </c>
      <c r="O27" s="186"/>
      <c r="P27" s="187">
        <v>4</v>
      </c>
      <c r="Q27" s="187">
        <v>2</v>
      </c>
      <c r="R27" s="188">
        <v>3</v>
      </c>
      <c r="S27" s="188">
        <v>1</v>
      </c>
      <c r="T27" s="185"/>
      <c r="U27" s="185"/>
      <c r="V27" s="189">
        <v>0</v>
      </c>
      <c r="W27" s="190">
        <v>0</v>
      </c>
      <c r="X27" s="191"/>
      <c r="Y27" s="186"/>
      <c r="Z27" s="192"/>
      <c r="AA27" s="97">
        <v>0.5</v>
      </c>
      <c r="AB27" s="193">
        <v>0</v>
      </c>
      <c r="AC27" s="123"/>
      <c r="AD27" s="4" t="str">
        <f>" " &amp; TEXT(AB27,"#0.00%") &amp; " " &amp; "Lyhour API for Cambodia deposit" &amp; " " &amp; IF(M27="","",TEXT(M27,"M/D-")) &amp; IF(N27="","",TEXT(N27,"M/D")) &amp; " "</f>
        <v xml:space="preserve"> 0.00% Lyhour API for Cambodia deposit 7/9-7/11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row>
    <row r="28" spans="1:98" outlineLevel="2">
      <c r="A28" s="116"/>
      <c r="B28" s="116"/>
      <c r="C28" s="116">
        <v>3</v>
      </c>
      <c r="D28" s="3" t="s">
        <v>1214</v>
      </c>
      <c r="E28" s="215"/>
      <c r="F28" s="218"/>
      <c r="G28" s="217" t="s">
        <v>1208</v>
      </c>
      <c r="H28" s="184"/>
      <c r="I28" s="184"/>
      <c r="J28" s="184"/>
      <c r="K28" s="184"/>
      <c r="L28" s="184"/>
      <c r="M28" s="185">
        <v>43655</v>
      </c>
      <c r="N28" s="185">
        <v>43655</v>
      </c>
      <c r="O28" s="186"/>
      <c r="P28" s="187">
        <v>1</v>
      </c>
      <c r="Q28" s="187">
        <v>1</v>
      </c>
      <c r="R28" s="188">
        <v>1</v>
      </c>
      <c r="S28" s="188">
        <v>1</v>
      </c>
      <c r="T28" s="185"/>
      <c r="U28" s="185"/>
      <c r="V28" s="189"/>
      <c r="W28" s="190">
        <v>0</v>
      </c>
      <c r="X28" s="191">
        <v>1</v>
      </c>
      <c r="Y28" s="186" t="s">
        <v>1366</v>
      </c>
      <c r="Z28" s="192"/>
      <c r="AA28" s="97">
        <v>1</v>
      </c>
      <c r="AB28" s="193">
        <v>0</v>
      </c>
      <c r="AC28" s="123"/>
      <c r="AD28" s="4" t="str">
        <f>" " &amp; TEXT(AB28,"#0.00%") &amp; " " &amp; "Architecture Design" &amp; "(Max,Pralhad)" &amp; " " &amp; IF(M28="","",TEXT(M28,"M/D-")) &amp; IF(N28="","",TEXT(N28,"M/D")) &amp; " "</f>
        <v xml:space="preserve"> 0.00% Architecture Design(Max,Pralhad) 7/9-7/9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row>
    <row r="29" spans="1:98" outlineLevel="2">
      <c r="A29" s="116"/>
      <c r="B29" s="116"/>
      <c r="C29" s="116">
        <v>3</v>
      </c>
      <c r="D29" s="3" t="s">
        <v>1215</v>
      </c>
      <c r="E29" s="215"/>
      <c r="F29" s="218"/>
      <c r="G29" s="217" t="s">
        <v>1207</v>
      </c>
      <c r="H29" s="184"/>
      <c r="I29" s="184"/>
      <c r="J29" s="184"/>
      <c r="K29" s="184"/>
      <c r="L29" s="184"/>
      <c r="M29" s="185">
        <v>43655</v>
      </c>
      <c r="N29" s="185">
        <v>43655</v>
      </c>
      <c r="O29" s="186"/>
      <c r="P29" s="187">
        <v>1</v>
      </c>
      <c r="Q29" s="187">
        <v>1</v>
      </c>
      <c r="R29" s="188">
        <v>1</v>
      </c>
      <c r="S29" s="188">
        <v>1</v>
      </c>
      <c r="T29" s="185"/>
      <c r="U29" s="185"/>
      <c r="V29" s="189"/>
      <c r="W29" s="190">
        <v>0</v>
      </c>
      <c r="X29" s="191">
        <v>1</v>
      </c>
      <c r="Y29" s="186" t="s">
        <v>1366</v>
      </c>
      <c r="Z29" s="192"/>
      <c r="AA29" s="97">
        <v>1</v>
      </c>
      <c r="AB29" s="193">
        <v>0</v>
      </c>
      <c r="AC29" s="123"/>
      <c r="AD29" s="4" t="str">
        <f>" " &amp; TEXT(AB29,"#0.00%") &amp; " " &amp; "DB Design" &amp; "(Max,Pralhad)" &amp; " " &amp; IF(M29="","",TEXT(M29,"M/D-")) &amp; IF(N29="","",TEXT(N29,"M/D")) &amp; " "</f>
        <v xml:space="preserve"> 0.00% DB Design(Max,Pralhad) 7/9-7/9 </v>
      </c>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row>
    <row r="30" spans="1:98" outlineLevel="2">
      <c r="A30" s="116"/>
      <c r="B30" s="116"/>
      <c r="C30" s="116">
        <v>3</v>
      </c>
      <c r="D30" s="3" t="s">
        <v>1216</v>
      </c>
      <c r="E30" s="215"/>
      <c r="F30" s="218"/>
      <c r="G30" s="217" t="s">
        <v>1361</v>
      </c>
      <c r="H30" s="184"/>
      <c r="I30" s="184"/>
      <c r="J30" s="184"/>
      <c r="K30" s="184"/>
      <c r="L30" s="184"/>
      <c r="M30" s="185">
        <v>43656</v>
      </c>
      <c r="N30" s="185">
        <v>43656</v>
      </c>
      <c r="O30" s="186"/>
      <c r="P30" s="187">
        <v>1</v>
      </c>
      <c r="Q30" s="187">
        <v>0</v>
      </c>
      <c r="R30" s="188">
        <v>1</v>
      </c>
      <c r="S30" s="188">
        <v>0</v>
      </c>
      <c r="T30" s="185"/>
      <c r="U30" s="185"/>
      <c r="V30" s="189"/>
      <c r="W30" s="190">
        <v>0</v>
      </c>
      <c r="X30" s="191">
        <v>1</v>
      </c>
      <c r="Y30" s="186" t="s">
        <v>1366</v>
      </c>
      <c r="Z30" s="192"/>
      <c r="AA30" s="97">
        <v>0</v>
      </c>
      <c r="AB30" s="193">
        <v>0</v>
      </c>
      <c r="AC30" s="123"/>
      <c r="AD30" s="4" t="str">
        <f>"  " &amp; TEXT(AB30,"#0.00%") &amp; " " &amp; "Funtion Design" &amp; "(Max,Pralhad)" &amp; " " &amp; IF(M30="","",TEXT(M30,"M/D-")) &amp; IF(N30="","",TEXT(N30,"M/D")) &amp; " "</f>
        <v xml:space="preserve">  0.00% Funtion Design(Max,Pralhad) 7/10-7/10 </v>
      </c>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row>
    <row r="31" spans="1:98" outlineLevel="2">
      <c r="A31" s="116"/>
      <c r="B31" s="116"/>
      <c r="C31" s="116">
        <v>3</v>
      </c>
      <c r="D31" s="3" t="s">
        <v>1217</v>
      </c>
      <c r="E31" s="215"/>
      <c r="F31" s="218"/>
      <c r="G31" s="217" t="s">
        <v>1209</v>
      </c>
      <c r="H31" s="184"/>
      <c r="I31" s="184"/>
      <c r="J31" s="184"/>
      <c r="K31" s="184"/>
      <c r="L31" s="184"/>
      <c r="M31" s="185">
        <v>43657</v>
      </c>
      <c r="N31" s="185">
        <v>43657</v>
      </c>
      <c r="O31" s="186"/>
      <c r="P31" s="187">
        <v>1</v>
      </c>
      <c r="Q31" s="187">
        <v>0</v>
      </c>
      <c r="R31" s="188">
        <v>1</v>
      </c>
      <c r="S31" s="188">
        <v>0</v>
      </c>
      <c r="T31" s="185"/>
      <c r="U31" s="185"/>
      <c r="V31" s="189"/>
      <c r="W31" s="190">
        <v>0</v>
      </c>
      <c r="X31" s="191">
        <v>1</v>
      </c>
      <c r="Y31" s="186" t="s">
        <v>1366</v>
      </c>
      <c r="Z31" s="192"/>
      <c r="AA31" s="97">
        <v>0</v>
      </c>
      <c r="AB31" s="193">
        <v>0</v>
      </c>
      <c r="AC31" s="123"/>
      <c r="AD31" s="4" t="str">
        <f>"   " &amp; TEXT(AB31,"#0.00%") &amp; " " &amp; "Storyboard" &amp; "(Max,Pralhad)" &amp; " " &amp; IF(M31="","",TEXT(M31,"M/D-")) &amp; IF(N31="","",TEXT(N31,"M/D")) &amp; " "</f>
        <v xml:space="preserve">   0.00% Storyboard(Max,Pralhad) 7/11-7/11 </v>
      </c>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row>
    <row r="32" spans="1:98" outlineLevel="2">
      <c r="A32" s="116"/>
      <c r="B32" s="116"/>
      <c r="C32" s="116">
        <v>0</v>
      </c>
      <c r="D32" s="3"/>
      <c r="E32" s="215"/>
      <c r="F32" s="218"/>
      <c r="G32" s="217"/>
      <c r="H32" s="184"/>
      <c r="I32" s="184"/>
      <c r="J32" s="184"/>
      <c r="K32" s="184"/>
      <c r="L32" s="184"/>
      <c r="M32" s="185"/>
      <c r="N32" s="185"/>
      <c r="O32" s="186"/>
      <c r="P32" s="187"/>
      <c r="Q32" s="187"/>
      <c r="R32" s="188">
        <v>0</v>
      </c>
      <c r="S32" s="188">
        <v>0</v>
      </c>
      <c r="T32" s="185"/>
      <c r="U32" s="185"/>
      <c r="V32" s="189"/>
      <c r="W32" s="190">
        <v>0</v>
      </c>
      <c r="X32" s="191"/>
      <c r="Y32" s="186"/>
      <c r="Z32" s="192"/>
      <c r="AA32" s="97"/>
      <c r="AB32" s="193"/>
      <c r="AC32" s="123"/>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row>
    <row r="33" spans="1:98" outlineLevel="1">
      <c r="A33" s="116"/>
      <c r="B33" s="116" t="s">
        <v>1065</v>
      </c>
      <c r="C33" s="116">
        <v>2</v>
      </c>
      <c r="D33" s="3" t="s">
        <v>1144</v>
      </c>
      <c r="E33" s="215"/>
      <c r="F33" s="217" t="s">
        <v>1165</v>
      </c>
      <c r="G33" s="217"/>
      <c r="H33" s="184"/>
      <c r="I33" s="184"/>
      <c r="J33" s="184"/>
      <c r="K33" s="184"/>
      <c r="L33" s="184"/>
      <c r="M33" s="185">
        <v>43661</v>
      </c>
      <c r="N33" s="185">
        <v>43665</v>
      </c>
      <c r="O33" s="186"/>
      <c r="P33" s="187">
        <v>5</v>
      </c>
      <c r="Q33" s="187">
        <v>0</v>
      </c>
      <c r="R33" s="188">
        <v>5</v>
      </c>
      <c r="S33" s="188">
        <v>0</v>
      </c>
      <c r="T33" s="185"/>
      <c r="U33" s="185"/>
      <c r="V33" s="189">
        <v>0</v>
      </c>
      <c r="W33" s="190">
        <v>0</v>
      </c>
      <c r="X33" s="191"/>
      <c r="Y33" s="186"/>
      <c r="Z33" s="192"/>
      <c r="AA33" s="97">
        <v>0</v>
      </c>
      <c r="AB33" s="193">
        <v>0</v>
      </c>
      <c r="AC33" s="123"/>
      <c r="AD33" s="4"/>
      <c r="AE33" s="4" t="str">
        <f>"" &amp; TEXT(AB33,"#0.00%") &amp; " " &amp; "Inbound(Online, App) 2nd Phase" &amp; " " &amp; IF(M33="","",TEXT(M33,"M/D-")) &amp; IF(N33="","",TEXT(N33,"M/D")) &amp; " "</f>
        <v xml:space="preserve">0.00% Inbound(Online, App) 2nd Phase 7/15-7/19 </v>
      </c>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row>
    <row r="34" spans="1:98" outlineLevel="2">
      <c r="A34" s="116"/>
      <c r="B34" s="116"/>
      <c r="C34" s="116">
        <v>3</v>
      </c>
      <c r="D34" s="3" t="s">
        <v>1218</v>
      </c>
      <c r="E34" s="215"/>
      <c r="F34" s="218"/>
      <c r="G34" s="217" t="s">
        <v>1208</v>
      </c>
      <c r="H34" s="184"/>
      <c r="I34" s="184"/>
      <c r="J34" s="184"/>
      <c r="K34" s="184"/>
      <c r="L34" s="184"/>
      <c r="M34" s="185">
        <v>43661</v>
      </c>
      <c r="N34" s="185">
        <v>43662</v>
      </c>
      <c r="O34" s="186"/>
      <c r="P34" s="187">
        <v>2</v>
      </c>
      <c r="Q34" s="187">
        <v>0</v>
      </c>
      <c r="R34" s="188">
        <v>2</v>
      </c>
      <c r="S34" s="188">
        <v>0</v>
      </c>
      <c r="T34" s="185"/>
      <c r="U34" s="185"/>
      <c r="V34" s="189"/>
      <c r="W34" s="190">
        <v>0</v>
      </c>
      <c r="X34" s="191">
        <v>1</v>
      </c>
      <c r="Y34" s="186" t="s">
        <v>1366</v>
      </c>
      <c r="Z34" s="192"/>
      <c r="AA34" s="97">
        <v>0</v>
      </c>
      <c r="AB34" s="193">
        <v>0</v>
      </c>
      <c r="AC34" s="123"/>
      <c r="AD34" s="4"/>
      <c r="AE34" s="4" t="str">
        <f>"" &amp; TEXT(AB34,"#0.00%") &amp; " " &amp; "Architecture Design" &amp; "(Max,Pralhad)" &amp; " " &amp; IF(M34="","",TEXT(M34,"M/D-")) &amp; IF(N34="","",TEXT(N34,"M/D")) &amp; " "</f>
        <v xml:space="preserve">0.00% Architecture Design(Max,Pralhad) 7/15-7/16 </v>
      </c>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row>
    <row r="35" spans="1:98" outlineLevel="2">
      <c r="A35" s="116"/>
      <c r="B35" s="116"/>
      <c r="C35" s="116">
        <v>3</v>
      </c>
      <c r="D35" s="3" t="s">
        <v>1219</v>
      </c>
      <c r="E35" s="215"/>
      <c r="F35" s="218"/>
      <c r="G35" s="217" t="s">
        <v>1207</v>
      </c>
      <c r="H35" s="184"/>
      <c r="I35" s="184"/>
      <c r="J35" s="184"/>
      <c r="K35" s="184"/>
      <c r="L35" s="184"/>
      <c r="M35" s="185">
        <v>43663</v>
      </c>
      <c r="N35" s="185">
        <v>43663</v>
      </c>
      <c r="O35" s="186"/>
      <c r="P35" s="187">
        <v>1</v>
      </c>
      <c r="Q35" s="187">
        <v>0</v>
      </c>
      <c r="R35" s="188">
        <v>1</v>
      </c>
      <c r="S35" s="188">
        <v>0</v>
      </c>
      <c r="T35" s="185"/>
      <c r="U35" s="185"/>
      <c r="V35" s="189"/>
      <c r="W35" s="190">
        <v>0</v>
      </c>
      <c r="X35" s="191">
        <v>1</v>
      </c>
      <c r="Y35" s="186" t="s">
        <v>1366</v>
      </c>
      <c r="Z35" s="192"/>
      <c r="AA35" s="97">
        <v>0</v>
      </c>
      <c r="AB35" s="193">
        <v>0</v>
      </c>
      <c r="AC35" s="123"/>
      <c r="AD35" s="4"/>
      <c r="AE35" s="4" t="str">
        <f>"  " &amp; TEXT(AB35,"#0.00%") &amp; " " &amp; "DB Design" &amp; "(Max,Pralhad)" &amp; " " &amp; IF(M35="","",TEXT(M35,"M/D-")) &amp; IF(N35="","",TEXT(N35,"M/D")) &amp; " "</f>
        <v xml:space="preserve">  0.00% DB Design(Max,Pralhad) 7/17-7/17 </v>
      </c>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row>
    <row r="36" spans="1:98" outlineLevel="2">
      <c r="A36" s="116"/>
      <c r="B36" s="116"/>
      <c r="C36" s="116">
        <v>3</v>
      </c>
      <c r="D36" s="3" t="s">
        <v>1220</v>
      </c>
      <c r="E36" s="215"/>
      <c r="F36" s="218"/>
      <c r="G36" s="217" t="s">
        <v>1361</v>
      </c>
      <c r="H36" s="184"/>
      <c r="I36" s="184"/>
      <c r="J36" s="184"/>
      <c r="K36" s="184"/>
      <c r="L36" s="184"/>
      <c r="M36" s="185">
        <v>43664</v>
      </c>
      <c r="N36" s="185">
        <v>43664</v>
      </c>
      <c r="O36" s="186"/>
      <c r="P36" s="187">
        <v>1</v>
      </c>
      <c r="Q36" s="187">
        <v>0</v>
      </c>
      <c r="R36" s="188">
        <v>1</v>
      </c>
      <c r="S36" s="188">
        <v>0</v>
      </c>
      <c r="T36" s="185"/>
      <c r="U36" s="185"/>
      <c r="V36" s="189"/>
      <c r="W36" s="190">
        <v>0</v>
      </c>
      <c r="X36" s="191">
        <v>1</v>
      </c>
      <c r="Y36" s="186" t="s">
        <v>1366</v>
      </c>
      <c r="Z36" s="192"/>
      <c r="AA36" s="97">
        <v>0</v>
      </c>
      <c r="AB36" s="193">
        <v>0</v>
      </c>
      <c r="AC36" s="123"/>
      <c r="AD36" s="4"/>
      <c r="AE36" s="4" t="str">
        <f>"   " &amp; TEXT(AB36,"#0.00%") &amp; " " &amp; "Funtion Design" &amp; "(Max,Pralhad)" &amp; " " &amp; IF(M36="","",TEXT(M36,"M/D-")) &amp; IF(N36="","",TEXT(N36,"M/D")) &amp; " "</f>
        <v xml:space="preserve">   0.00% Funtion Design(Max,Pralhad) 7/18-7/18 </v>
      </c>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row>
    <row r="37" spans="1:98" outlineLevel="2">
      <c r="A37" s="116"/>
      <c r="B37" s="116"/>
      <c r="C37" s="116">
        <v>3</v>
      </c>
      <c r="D37" s="3" t="s">
        <v>1221</v>
      </c>
      <c r="E37" s="215"/>
      <c r="F37" s="218"/>
      <c r="G37" s="217" t="s">
        <v>1209</v>
      </c>
      <c r="H37" s="184"/>
      <c r="I37" s="184"/>
      <c r="J37" s="184"/>
      <c r="K37" s="184"/>
      <c r="L37" s="184"/>
      <c r="M37" s="185">
        <v>43665</v>
      </c>
      <c r="N37" s="185">
        <v>43665</v>
      </c>
      <c r="O37" s="186"/>
      <c r="P37" s="187">
        <v>1</v>
      </c>
      <c r="Q37" s="187">
        <v>0</v>
      </c>
      <c r="R37" s="188">
        <v>1</v>
      </c>
      <c r="S37" s="188">
        <v>0</v>
      </c>
      <c r="T37" s="185"/>
      <c r="U37" s="185"/>
      <c r="V37" s="189"/>
      <c r="W37" s="190">
        <v>0</v>
      </c>
      <c r="X37" s="191">
        <v>1</v>
      </c>
      <c r="Y37" s="186" t="s">
        <v>1366</v>
      </c>
      <c r="Z37" s="192"/>
      <c r="AA37" s="97">
        <v>0</v>
      </c>
      <c r="AB37" s="193">
        <v>0</v>
      </c>
      <c r="AC37" s="123"/>
      <c r="AD37" s="4"/>
      <c r="AE37" s="4" t="str">
        <f>"    " &amp; TEXT(AB37,"#0.00%") &amp; " " &amp; "Storyboard" &amp; "(Max,Pralhad)" &amp; " " &amp; IF(M37="","",TEXT(M37,"M/D-")) &amp; IF(N37="","",TEXT(N37,"M/D")) &amp; " "</f>
        <v xml:space="preserve">    0.00% Storyboard(Max,Pralhad) 7/19-7/19 </v>
      </c>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row>
    <row r="38" spans="1:98" outlineLevel="2">
      <c r="A38" s="116"/>
      <c r="B38" s="116"/>
      <c r="C38" s="116">
        <v>0</v>
      </c>
      <c r="D38" s="3"/>
      <c r="E38" s="215"/>
      <c r="F38" s="218"/>
      <c r="G38" s="217"/>
      <c r="H38" s="184"/>
      <c r="I38" s="184"/>
      <c r="J38" s="184"/>
      <c r="K38" s="184"/>
      <c r="L38" s="184"/>
      <c r="M38" s="185"/>
      <c r="N38" s="185"/>
      <c r="O38" s="186"/>
      <c r="P38" s="187"/>
      <c r="Q38" s="187"/>
      <c r="R38" s="188">
        <v>0</v>
      </c>
      <c r="S38" s="188">
        <v>0</v>
      </c>
      <c r="T38" s="185"/>
      <c r="U38" s="185"/>
      <c r="V38" s="189"/>
      <c r="W38" s="190">
        <v>0</v>
      </c>
      <c r="X38" s="191"/>
      <c r="Y38" s="186"/>
      <c r="Z38" s="192"/>
      <c r="AA38" s="97"/>
      <c r="AB38" s="193"/>
      <c r="AC38" s="123"/>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row>
    <row r="39" spans="1:98" outlineLevel="1">
      <c r="A39" s="116"/>
      <c r="B39" s="116" t="s">
        <v>1065</v>
      </c>
      <c r="C39" s="116">
        <v>2</v>
      </c>
      <c r="D39" s="3" t="s">
        <v>1186</v>
      </c>
      <c r="E39" s="215"/>
      <c r="F39" s="217" t="s">
        <v>1166</v>
      </c>
      <c r="G39" s="217"/>
      <c r="H39" s="184"/>
      <c r="I39" s="184"/>
      <c r="J39" s="184"/>
      <c r="K39" s="184"/>
      <c r="L39" s="184"/>
      <c r="M39" s="185">
        <v>43669</v>
      </c>
      <c r="N39" s="185">
        <v>43672</v>
      </c>
      <c r="O39" s="186"/>
      <c r="P39" s="187">
        <v>5</v>
      </c>
      <c r="Q39" s="187">
        <v>0</v>
      </c>
      <c r="R39" s="188">
        <v>4</v>
      </c>
      <c r="S39" s="188">
        <v>0</v>
      </c>
      <c r="T39" s="185"/>
      <c r="U39" s="185"/>
      <c r="V39" s="189">
        <v>0</v>
      </c>
      <c r="W39" s="190">
        <v>0</v>
      </c>
      <c r="X39" s="191"/>
      <c r="Y39" s="186"/>
      <c r="Z39" s="192"/>
      <c r="AA39" s="97">
        <v>0</v>
      </c>
      <c r="AB39" s="193">
        <v>0</v>
      </c>
      <c r="AC39" s="123"/>
      <c r="AD39" s="4"/>
      <c r="AE39" s="4"/>
      <c r="AF39" s="4" t="str">
        <f>" " &amp; TEXT(AB39,"#0.00%") &amp; " " &amp; "Shinhan,IBK-KFTC" &amp; " " &amp; IF(M39="","",TEXT(M39,"M/D-")) &amp; IF(N39="","",TEXT(N39,"M/D")) &amp; " "</f>
        <v xml:space="preserve"> 0.00% Shinhan,IBK-KFTC 7/23-7/26 </v>
      </c>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row>
    <row r="40" spans="1:98" outlineLevel="2">
      <c r="A40" s="116"/>
      <c r="B40" s="116"/>
      <c r="C40" s="116">
        <v>3</v>
      </c>
      <c r="D40" s="3" t="s">
        <v>1222</v>
      </c>
      <c r="E40" s="215"/>
      <c r="F40" s="218"/>
      <c r="G40" s="217" t="s">
        <v>1208</v>
      </c>
      <c r="H40" s="184"/>
      <c r="I40" s="184"/>
      <c r="J40" s="184"/>
      <c r="K40" s="184"/>
      <c r="L40" s="184"/>
      <c r="M40" s="185">
        <v>43669</v>
      </c>
      <c r="N40" s="185">
        <v>43669</v>
      </c>
      <c r="O40" s="186"/>
      <c r="P40" s="187">
        <v>1</v>
      </c>
      <c r="Q40" s="187">
        <v>0</v>
      </c>
      <c r="R40" s="188">
        <v>1</v>
      </c>
      <c r="S40" s="188">
        <v>0</v>
      </c>
      <c r="T40" s="185"/>
      <c r="U40" s="185"/>
      <c r="V40" s="189"/>
      <c r="W40" s="190">
        <v>0</v>
      </c>
      <c r="X40" s="191">
        <v>1</v>
      </c>
      <c r="Y40" s="186" t="s">
        <v>1366</v>
      </c>
      <c r="Z40" s="192"/>
      <c r="AA40" s="97">
        <v>0</v>
      </c>
      <c r="AB40" s="193">
        <v>0</v>
      </c>
      <c r="AC40" s="123"/>
      <c r="AD40" s="4"/>
      <c r="AE40" s="4"/>
      <c r="AF40" s="4" t="str">
        <f>" " &amp; TEXT(AB40,"#0.00%") &amp; " " &amp; "Architecture Design" &amp; "(Max,Pralhad)" &amp; " " &amp; IF(M40="","",TEXT(M40,"M/D-")) &amp; IF(N40="","",TEXT(N40,"M/D")) &amp; " "</f>
        <v xml:space="preserve"> 0.00% Architecture Design(Max,Pralhad) 7/23-7/23 </v>
      </c>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row>
    <row r="41" spans="1:98" outlineLevel="2">
      <c r="A41" s="116"/>
      <c r="B41" s="116"/>
      <c r="C41" s="116">
        <v>3</v>
      </c>
      <c r="D41" s="3" t="s">
        <v>1223</v>
      </c>
      <c r="E41" s="215"/>
      <c r="F41" s="218"/>
      <c r="G41" s="217" t="s">
        <v>1207</v>
      </c>
      <c r="H41" s="184"/>
      <c r="I41" s="184"/>
      <c r="J41" s="184"/>
      <c r="K41" s="184"/>
      <c r="L41" s="184"/>
      <c r="M41" s="185">
        <v>43670</v>
      </c>
      <c r="N41" s="185">
        <v>43670</v>
      </c>
      <c r="O41" s="186"/>
      <c r="P41" s="187">
        <v>1</v>
      </c>
      <c r="Q41" s="187">
        <v>0</v>
      </c>
      <c r="R41" s="188">
        <v>1</v>
      </c>
      <c r="S41" s="188">
        <v>0</v>
      </c>
      <c r="T41" s="185"/>
      <c r="U41" s="185"/>
      <c r="V41" s="189"/>
      <c r="W41" s="190">
        <v>0</v>
      </c>
      <c r="X41" s="191">
        <v>1</v>
      </c>
      <c r="Y41" s="186" t="s">
        <v>1366</v>
      </c>
      <c r="Z41" s="192"/>
      <c r="AA41" s="97">
        <v>0</v>
      </c>
      <c r="AB41" s="193">
        <v>0</v>
      </c>
      <c r="AC41" s="123"/>
      <c r="AD41" s="4"/>
      <c r="AE41" s="4"/>
      <c r="AF41" s="4" t="str">
        <f>"  " &amp; TEXT(AB41,"#0.00%") &amp; " " &amp; "DB Design" &amp; "(Max,Pralhad)" &amp; " " &amp; IF(M41="","",TEXT(M41,"M/D-")) &amp; IF(N41="","",TEXT(N41,"M/D")) &amp; " "</f>
        <v xml:space="preserve">  0.00% DB Design(Max,Pralhad) 7/24-7/24 </v>
      </c>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row>
    <row r="42" spans="1:98" outlineLevel="2">
      <c r="A42" s="116"/>
      <c r="B42" s="116"/>
      <c r="C42" s="116">
        <v>3</v>
      </c>
      <c r="D42" s="3" t="s">
        <v>1224</v>
      </c>
      <c r="E42" s="215"/>
      <c r="F42" s="218"/>
      <c r="G42" s="217" t="s">
        <v>1361</v>
      </c>
      <c r="H42" s="184"/>
      <c r="I42" s="184"/>
      <c r="J42" s="184"/>
      <c r="K42" s="184"/>
      <c r="L42" s="184"/>
      <c r="M42" s="185">
        <v>43670</v>
      </c>
      <c r="N42" s="185">
        <v>43671</v>
      </c>
      <c r="O42" s="186"/>
      <c r="P42" s="187">
        <v>2</v>
      </c>
      <c r="Q42" s="187">
        <v>0</v>
      </c>
      <c r="R42" s="188">
        <v>2</v>
      </c>
      <c r="S42" s="188">
        <v>0</v>
      </c>
      <c r="T42" s="185"/>
      <c r="U42" s="185"/>
      <c r="V42" s="189"/>
      <c r="W42" s="190">
        <v>0</v>
      </c>
      <c r="X42" s="191">
        <v>1</v>
      </c>
      <c r="Y42" s="186" t="s">
        <v>1366</v>
      </c>
      <c r="Z42" s="192"/>
      <c r="AA42" s="97">
        <v>0</v>
      </c>
      <c r="AB42" s="193">
        <v>0</v>
      </c>
      <c r="AC42" s="123"/>
      <c r="AD42" s="4"/>
      <c r="AE42" s="4"/>
      <c r="AF42" s="4" t="str">
        <f>"  " &amp; TEXT(AB42,"#0.00%") &amp; " " &amp; "Funtion Design" &amp; "(Max,Pralhad)" &amp; " " &amp; IF(M42="","",TEXT(M42,"M/D-")) &amp; IF(N42="","",TEXT(N42,"M/D")) &amp; " "</f>
        <v xml:space="preserve">  0.00% Funtion Design(Max,Pralhad) 7/24-7/25 </v>
      </c>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row>
    <row r="43" spans="1:98" outlineLevel="2">
      <c r="A43" s="116"/>
      <c r="B43" s="116"/>
      <c r="C43" s="116">
        <v>3</v>
      </c>
      <c r="D43" s="3" t="s">
        <v>1225</v>
      </c>
      <c r="E43" s="215"/>
      <c r="F43" s="218"/>
      <c r="G43" s="217" t="s">
        <v>1209</v>
      </c>
      <c r="H43" s="184"/>
      <c r="I43" s="184"/>
      <c r="J43" s="184"/>
      <c r="K43" s="184"/>
      <c r="L43" s="184"/>
      <c r="M43" s="185">
        <v>43672</v>
      </c>
      <c r="N43" s="185">
        <v>43672</v>
      </c>
      <c r="O43" s="186"/>
      <c r="P43" s="187">
        <v>1</v>
      </c>
      <c r="Q43" s="187">
        <v>0</v>
      </c>
      <c r="R43" s="188">
        <v>1</v>
      </c>
      <c r="S43" s="188">
        <v>0</v>
      </c>
      <c r="T43" s="185"/>
      <c r="U43" s="185"/>
      <c r="V43" s="189"/>
      <c r="W43" s="190">
        <v>0</v>
      </c>
      <c r="X43" s="191">
        <v>1</v>
      </c>
      <c r="Y43" s="186" t="s">
        <v>1366</v>
      </c>
      <c r="Z43" s="192"/>
      <c r="AA43" s="97">
        <v>0</v>
      </c>
      <c r="AB43" s="193">
        <v>0</v>
      </c>
      <c r="AC43" s="123"/>
      <c r="AD43" s="4"/>
      <c r="AE43" s="4"/>
      <c r="AF43" s="4" t="str">
        <f>"    " &amp; TEXT(AB43,"#0.00%") &amp; " " &amp; "Storyboard" &amp; "(Max,Pralhad)" &amp; " " &amp; IF(M43="","",TEXT(M43,"M/D-")) &amp; IF(N43="","",TEXT(N43,"M/D")) &amp; " "</f>
        <v xml:space="preserve">    0.00% Storyboard(Max,Pralhad) 7/26-7/26 </v>
      </c>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row>
    <row r="44" spans="1:98" outlineLevel="2">
      <c r="A44" s="116"/>
      <c r="B44" s="116"/>
      <c r="C44" s="116">
        <v>0</v>
      </c>
      <c r="D44" s="3"/>
      <c r="E44" s="215"/>
      <c r="F44" s="218"/>
      <c r="G44" s="217"/>
      <c r="H44" s="184"/>
      <c r="I44" s="184"/>
      <c r="J44" s="184"/>
      <c r="K44" s="184"/>
      <c r="L44" s="184"/>
      <c r="M44" s="185"/>
      <c r="N44" s="185"/>
      <c r="O44" s="186"/>
      <c r="P44" s="187"/>
      <c r="Q44" s="187"/>
      <c r="R44" s="188">
        <v>0</v>
      </c>
      <c r="S44" s="188">
        <v>0</v>
      </c>
      <c r="T44" s="185"/>
      <c r="U44" s="185"/>
      <c r="V44" s="189"/>
      <c r="W44" s="190">
        <v>0</v>
      </c>
      <c r="X44" s="191"/>
      <c r="Y44" s="186"/>
      <c r="Z44" s="192"/>
      <c r="AA44" s="97"/>
      <c r="AB44" s="193"/>
      <c r="AC44" s="123"/>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row>
    <row r="45" spans="1:98" outlineLevel="1">
      <c r="A45" s="116"/>
      <c r="B45" s="116" t="s">
        <v>1065</v>
      </c>
      <c r="C45" s="116">
        <v>2</v>
      </c>
      <c r="D45" s="3" t="s">
        <v>1187</v>
      </c>
      <c r="E45" s="215"/>
      <c r="F45" s="217" t="s">
        <v>1167</v>
      </c>
      <c r="G45" s="217"/>
      <c r="H45" s="184"/>
      <c r="I45" s="184"/>
      <c r="J45" s="184"/>
      <c r="K45" s="184"/>
      <c r="L45" s="184"/>
      <c r="M45" s="185">
        <v>43686</v>
      </c>
      <c r="N45" s="185">
        <v>43689</v>
      </c>
      <c r="O45" s="186"/>
      <c r="P45" s="187">
        <v>3</v>
      </c>
      <c r="Q45" s="187">
        <v>0</v>
      </c>
      <c r="R45" s="188">
        <v>2</v>
      </c>
      <c r="S45" s="188">
        <v>0</v>
      </c>
      <c r="T45" s="185"/>
      <c r="U45" s="185"/>
      <c r="V45" s="189">
        <v>0</v>
      </c>
      <c r="W45" s="190">
        <v>0</v>
      </c>
      <c r="X45" s="191"/>
      <c r="Y45" s="186"/>
      <c r="Z45" s="192"/>
      <c r="AA45" s="97">
        <v>0</v>
      </c>
      <c r="AB45" s="193">
        <v>0</v>
      </c>
      <c r="AC45" s="123"/>
      <c r="AD45" s="4"/>
      <c r="AE45" s="4"/>
      <c r="AF45" s="4"/>
      <c r="AG45" s="4"/>
      <c r="AH45" s="4" t="str">
        <f>"    " &amp; TEXT(AB45,"#0.00%") &amp; " " &amp; "Agrani bank/Islami bank add to new app" &amp; " " &amp; IF(M45="","",TEXT(M45,"M/D-")) &amp; IF(N45="","",TEXT(N45,"M/D")) &amp; " "</f>
        <v xml:space="preserve">    0.00% Agrani bank/Islami bank add to new app 8/9-8/12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row>
    <row r="46" spans="1:98" outlineLevel="2">
      <c r="A46" s="116"/>
      <c r="B46" s="116"/>
      <c r="C46" s="116">
        <v>3</v>
      </c>
      <c r="D46" s="3" t="s">
        <v>1226</v>
      </c>
      <c r="E46" s="215"/>
      <c r="F46" s="218"/>
      <c r="G46" s="217" t="s">
        <v>1208</v>
      </c>
      <c r="H46" s="184"/>
      <c r="I46" s="184"/>
      <c r="J46" s="184"/>
      <c r="K46" s="184"/>
      <c r="L46" s="184"/>
      <c r="M46" s="185"/>
      <c r="N46" s="185"/>
      <c r="O46" s="186"/>
      <c r="P46" s="187">
        <v>0</v>
      </c>
      <c r="Q46" s="187">
        <v>0</v>
      </c>
      <c r="R46" s="188">
        <v>0</v>
      </c>
      <c r="S46" s="188">
        <v>0</v>
      </c>
      <c r="T46" s="185"/>
      <c r="U46" s="185"/>
      <c r="V46" s="189">
        <v>0</v>
      </c>
      <c r="W46" s="190">
        <v>0</v>
      </c>
      <c r="X46" s="191"/>
      <c r="Y46" s="186" t="s">
        <v>1366</v>
      </c>
      <c r="Z46" s="192"/>
      <c r="AA46" s="97">
        <v>0</v>
      </c>
      <c r="AB46" s="193">
        <v>0</v>
      </c>
      <c r="AC46" s="123"/>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row>
    <row r="47" spans="1:98" outlineLevel="2">
      <c r="A47" s="116"/>
      <c r="B47" s="116"/>
      <c r="C47" s="116">
        <v>3</v>
      </c>
      <c r="D47" s="3" t="s">
        <v>1227</v>
      </c>
      <c r="E47" s="215"/>
      <c r="F47" s="218"/>
      <c r="G47" s="217" t="s">
        <v>1207</v>
      </c>
      <c r="H47" s="184"/>
      <c r="I47" s="184"/>
      <c r="J47" s="184"/>
      <c r="K47" s="184"/>
      <c r="L47" s="184"/>
      <c r="M47" s="185">
        <v>43686</v>
      </c>
      <c r="N47" s="185">
        <v>43686</v>
      </c>
      <c r="O47" s="186"/>
      <c r="P47" s="187">
        <v>1</v>
      </c>
      <c r="Q47" s="187">
        <v>0</v>
      </c>
      <c r="R47" s="188">
        <v>1</v>
      </c>
      <c r="S47" s="188">
        <v>0</v>
      </c>
      <c r="T47" s="185"/>
      <c r="U47" s="185"/>
      <c r="V47" s="189"/>
      <c r="W47" s="190">
        <v>0</v>
      </c>
      <c r="X47" s="191">
        <v>1</v>
      </c>
      <c r="Y47" s="186" t="s">
        <v>1366</v>
      </c>
      <c r="Z47" s="192"/>
      <c r="AA47" s="97">
        <v>0</v>
      </c>
      <c r="AB47" s="193">
        <v>0</v>
      </c>
      <c r="AC47" s="123"/>
      <c r="AD47" s="4"/>
      <c r="AE47" s="4"/>
      <c r="AF47" s="4"/>
      <c r="AG47" s="4"/>
      <c r="AH47" s="4" t="str">
        <f>"    " &amp; TEXT(AB47,"#0.00%") &amp; " " &amp; "DB Design" &amp; "(Max,Pralhad)" &amp; " " &amp; IF(M47="","",TEXT(M47,"M/D-")) &amp; IF(N47="","",TEXT(N47,"M/D")) &amp; " "</f>
        <v xml:space="preserve">    0.00% DB Design(Max,Pralhad) 8/9-8/9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row>
    <row r="48" spans="1:98" outlineLevel="2">
      <c r="A48" s="116"/>
      <c r="B48" s="116"/>
      <c r="C48" s="116">
        <v>3</v>
      </c>
      <c r="D48" s="3" t="s">
        <v>1228</v>
      </c>
      <c r="E48" s="215"/>
      <c r="F48" s="218"/>
      <c r="G48" s="217" t="s">
        <v>1361</v>
      </c>
      <c r="H48" s="184"/>
      <c r="I48" s="184"/>
      <c r="J48" s="184"/>
      <c r="K48" s="184"/>
      <c r="L48" s="184"/>
      <c r="M48" s="185">
        <v>43689</v>
      </c>
      <c r="N48" s="185">
        <v>43689</v>
      </c>
      <c r="O48" s="186"/>
      <c r="P48" s="187">
        <v>1</v>
      </c>
      <c r="Q48" s="187">
        <v>0</v>
      </c>
      <c r="R48" s="188">
        <v>1</v>
      </c>
      <c r="S48" s="188">
        <v>0</v>
      </c>
      <c r="T48" s="185"/>
      <c r="U48" s="185"/>
      <c r="V48" s="189"/>
      <c r="W48" s="190">
        <v>0</v>
      </c>
      <c r="X48" s="191">
        <v>1</v>
      </c>
      <c r="Y48" s="186" t="s">
        <v>1366</v>
      </c>
      <c r="Z48" s="192"/>
      <c r="AA48" s="97">
        <v>0</v>
      </c>
      <c r="AB48" s="193">
        <v>0</v>
      </c>
      <c r="AC48" s="123"/>
      <c r="AD48" s="4"/>
      <c r="AE48" s="4"/>
      <c r="AF48" s="4"/>
      <c r="AG48" s="4"/>
      <c r="AH48" s="4"/>
      <c r="AI48" s="4" t="str">
        <f>"" &amp; TEXT(AB48,"#0.00%") &amp; " " &amp; "Funtion Design" &amp; "(Max,Pralhad)" &amp; " " &amp; IF(M48="","",TEXT(M48,"M/D-")) &amp; IF(N48="","",TEXT(N48,"M/D")) &amp; " "</f>
        <v xml:space="preserve">0.00% Funtion Design(Max,Pralhad) 8/12-8/12 </v>
      </c>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row>
    <row r="49" spans="1:98" outlineLevel="2">
      <c r="A49" s="116"/>
      <c r="B49" s="116"/>
      <c r="C49" s="116">
        <v>3</v>
      </c>
      <c r="D49" s="3" t="s">
        <v>1229</v>
      </c>
      <c r="E49" s="215"/>
      <c r="F49" s="218"/>
      <c r="G49" s="217" t="s">
        <v>1209</v>
      </c>
      <c r="H49" s="184"/>
      <c r="I49" s="184"/>
      <c r="J49" s="184"/>
      <c r="K49" s="184"/>
      <c r="L49" s="184"/>
      <c r="M49" s="185">
        <v>43689</v>
      </c>
      <c r="N49" s="185">
        <v>43689</v>
      </c>
      <c r="O49" s="186"/>
      <c r="P49" s="187">
        <v>1</v>
      </c>
      <c r="Q49" s="187">
        <v>0</v>
      </c>
      <c r="R49" s="188">
        <v>1</v>
      </c>
      <c r="S49" s="188">
        <v>0</v>
      </c>
      <c r="T49" s="185"/>
      <c r="U49" s="185"/>
      <c r="V49" s="189"/>
      <c r="W49" s="190">
        <v>0</v>
      </c>
      <c r="X49" s="191">
        <v>1</v>
      </c>
      <c r="Y49" s="186" t="s">
        <v>1366</v>
      </c>
      <c r="Z49" s="192"/>
      <c r="AA49" s="97">
        <v>0</v>
      </c>
      <c r="AB49" s="193">
        <v>0</v>
      </c>
      <c r="AC49" s="123"/>
      <c r="AD49" s="4"/>
      <c r="AE49" s="4"/>
      <c r="AF49" s="4"/>
      <c r="AG49" s="4"/>
      <c r="AH49" s="4"/>
      <c r="AI49" s="4" t="str">
        <f>"" &amp; TEXT(AB49,"#0.00%") &amp; " " &amp; "Storyboard" &amp; "(Max,Pralhad)" &amp; " " &amp; IF(M49="","",TEXT(M49,"M/D-")) &amp; IF(N49="","",TEXT(N49,"M/D")) &amp; " "</f>
        <v xml:space="preserve">0.00% Storyboard(Max,Pralhad) 8/12-8/12 </v>
      </c>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row>
    <row r="50" spans="1:98" outlineLevel="2">
      <c r="A50" s="116"/>
      <c r="B50" s="116"/>
      <c r="C50" s="116">
        <v>0</v>
      </c>
      <c r="D50" s="3"/>
      <c r="E50" s="215"/>
      <c r="F50" s="218"/>
      <c r="G50" s="217"/>
      <c r="H50" s="184"/>
      <c r="I50" s="184"/>
      <c r="J50" s="184"/>
      <c r="K50" s="184"/>
      <c r="L50" s="184"/>
      <c r="M50" s="185"/>
      <c r="N50" s="185"/>
      <c r="O50" s="186"/>
      <c r="P50" s="187"/>
      <c r="Q50" s="187"/>
      <c r="R50" s="188">
        <v>0</v>
      </c>
      <c r="S50" s="188">
        <v>0</v>
      </c>
      <c r="T50" s="185"/>
      <c r="U50" s="185"/>
      <c r="V50" s="189"/>
      <c r="W50" s="190">
        <v>0</v>
      </c>
      <c r="X50" s="191"/>
      <c r="Y50" s="186"/>
      <c r="Z50" s="192"/>
      <c r="AA50" s="97"/>
      <c r="AB50" s="193"/>
      <c r="AC50" s="123"/>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row>
    <row r="51" spans="1:98" outlineLevel="1">
      <c r="A51" s="116"/>
      <c r="B51" s="116" t="s">
        <v>1065</v>
      </c>
      <c r="C51" s="116">
        <v>2</v>
      </c>
      <c r="D51" s="3" t="s">
        <v>1188</v>
      </c>
      <c r="E51" s="215"/>
      <c r="F51" s="217" t="s">
        <v>1168</v>
      </c>
      <c r="G51" s="217"/>
      <c r="H51" s="184"/>
      <c r="I51" s="184"/>
      <c r="J51" s="184"/>
      <c r="K51" s="184"/>
      <c r="L51" s="184"/>
      <c r="M51" s="185">
        <v>43700</v>
      </c>
      <c r="N51" s="185">
        <v>43706</v>
      </c>
      <c r="O51" s="186"/>
      <c r="P51" s="187">
        <v>5</v>
      </c>
      <c r="Q51" s="187">
        <v>0</v>
      </c>
      <c r="R51" s="188">
        <v>5</v>
      </c>
      <c r="S51" s="188">
        <v>0</v>
      </c>
      <c r="T51" s="185"/>
      <c r="U51" s="185"/>
      <c r="V51" s="189">
        <v>0</v>
      </c>
      <c r="W51" s="190">
        <v>0</v>
      </c>
      <c r="X51" s="191"/>
      <c r="Y51" s="186"/>
      <c r="Z51" s="192"/>
      <c r="AA51" s="97">
        <v>0</v>
      </c>
      <c r="AB51" s="193">
        <v>0</v>
      </c>
      <c r="AC51" s="123"/>
      <c r="AD51" s="4"/>
      <c r="AE51" s="4"/>
      <c r="AF51" s="4"/>
      <c r="AG51" s="4"/>
      <c r="AH51" s="4"/>
      <c r="AI51" s="4"/>
      <c r="AJ51" s="4" t="str">
        <f>"    " &amp; TEXT(AB51,"#0.00%") &amp; " " &amp; "KJ-Auto remit for multiple-accounts use" &amp; " " &amp; IF(M51="","",TEXT(M51,"M/D-")) &amp; IF(N51="","",TEXT(N51,"M/D")) &amp; " "</f>
        <v xml:space="preserve">    0.00% KJ-Auto remit for multiple-accounts use 8/23-8/29 </v>
      </c>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row>
    <row r="52" spans="1:98" outlineLevel="2">
      <c r="A52" s="116"/>
      <c r="B52" s="116"/>
      <c r="C52" s="116">
        <v>3</v>
      </c>
      <c r="D52" s="3" t="s">
        <v>1230</v>
      </c>
      <c r="E52" s="215"/>
      <c r="F52" s="218"/>
      <c r="G52" s="217" t="s">
        <v>1208</v>
      </c>
      <c r="H52" s="184"/>
      <c r="I52" s="184"/>
      <c r="J52" s="184"/>
      <c r="K52" s="184"/>
      <c r="L52" s="184"/>
      <c r="M52" s="185">
        <v>43700</v>
      </c>
      <c r="N52" s="185">
        <v>43703</v>
      </c>
      <c r="O52" s="186"/>
      <c r="P52" s="187">
        <v>2</v>
      </c>
      <c r="Q52" s="187">
        <v>0</v>
      </c>
      <c r="R52" s="188">
        <v>2</v>
      </c>
      <c r="S52" s="188">
        <v>0</v>
      </c>
      <c r="T52" s="185"/>
      <c r="U52" s="185"/>
      <c r="V52" s="189"/>
      <c r="W52" s="190">
        <v>0</v>
      </c>
      <c r="X52" s="191">
        <v>1</v>
      </c>
      <c r="Y52" s="186" t="s">
        <v>1366</v>
      </c>
      <c r="Z52" s="192"/>
      <c r="AA52" s="97">
        <v>0</v>
      </c>
      <c r="AB52" s="193">
        <v>0</v>
      </c>
      <c r="AC52" s="123"/>
      <c r="AD52" s="4"/>
      <c r="AE52" s="4"/>
      <c r="AF52" s="4"/>
      <c r="AG52" s="4"/>
      <c r="AH52" s="4"/>
      <c r="AI52" s="4"/>
      <c r="AJ52" s="4" t="str">
        <f>"    " &amp; TEXT(AB52,"#0.00%") &amp; " " &amp; "Architecture Design" &amp; "(Max,Pralhad)" &amp; " " &amp; IF(M52="","",TEXT(M52,"M/D-")) &amp; IF(N52="","",TEXT(N52,"M/D")) &amp; " "</f>
        <v xml:space="preserve">    0.00% Architecture Design(Max,Pralhad) 8/23-8/26 </v>
      </c>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row>
    <row r="53" spans="1:98" outlineLevel="2">
      <c r="A53" s="116"/>
      <c r="B53" s="116"/>
      <c r="C53" s="116">
        <v>3</v>
      </c>
      <c r="D53" s="3" t="s">
        <v>1231</v>
      </c>
      <c r="E53" s="215"/>
      <c r="F53" s="218"/>
      <c r="G53" s="217" t="s">
        <v>1207</v>
      </c>
      <c r="H53" s="184"/>
      <c r="I53" s="184"/>
      <c r="J53" s="184"/>
      <c r="K53" s="184"/>
      <c r="L53" s="184"/>
      <c r="M53" s="185">
        <v>43704</v>
      </c>
      <c r="N53" s="185">
        <v>43704</v>
      </c>
      <c r="O53" s="186"/>
      <c r="P53" s="187">
        <v>1</v>
      </c>
      <c r="Q53" s="187">
        <v>0</v>
      </c>
      <c r="R53" s="188">
        <v>1</v>
      </c>
      <c r="S53" s="188">
        <v>0</v>
      </c>
      <c r="T53" s="185"/>
      <c r="U53" s="185"/>
      <c r="V53" s="189"/>
      <c r="W53" s="190">
        <v>0</v>
      </c>
      <c r="X53" s="191">
        <v>1</v>
      </c>
      <c r="Y53" s="186" t="s">
        <v>1366</v>
      </c>
      <c r="Z53" s="192"/>
      <c r="AA53" s="97">
        <v>0</v>
      </c>
      <c r="AB53" s="193">
        <v>0</v>
      </c>
      <c r="AC53" s="123"/>
      <c r="AD53" s="4"/>
      <c r="AE53" s="4"/>
      <c r="AF53" s="4"/>
      <c r="AG53" s="4"/>
      <c r="AH53" s="4"/>
      <c r="AI53" s="4"/>
      <c r="AJ53" s="4"/>
      <c r="AK53" s="4" t="str">
        <f>" " &amp; TEXT(AB53,"#0.00%") &amp; " " &amp; "DB Design" &amp; "(Max,Pralhad)" &amp; " " &amp; IF(M53="","",TEXT(M53,"M/D-")) &amp; IF(N53="","",TEXT(N53,"M/D")) &amp; " "</f>
        <v xml:space="preserve"> 0.00% DB Design(Max,Pralhad) 8/27-8/27 </v>
      </c>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row>
    <row r="54" spans="1:98" outlineLevel="2">
      <c r="A54" s="116"/>
      <c r="B54" s="116"/>
      <c r="C54" s="116">
        <v>3</v>
      </c>
      <c r="D54" s="3" t="s">
        <v>1232</v>
      </c>
      <c r="E54" s="215"/>
      <c r="F54" s="218"/>
      <c r="G54" s="217" t="s">
        <v>1361</v>
      </c>
      <c r="H54" s="184"/>
      <c r="I54" s="184"/>
      <c r="J54" s="184"/>
      <c r="K54" s="184"/>
      <c r="L54" s="184"/>
      <c r="M54" s="185">
        <v>43705</v>
      </c>
      <c r="N54" s="185">
        <v>43706</v>
      </c>
      <c r="O54" s="186"/>
      <c r="P54" s="187">
        <v>2</v>
      </c>
      <c r="Q54" s="187">
        <v>0</v>
      </c>
      <c r="R54" s="188">
        <v>2</v>
      </c>
      <c r="S54" s="188">
        <v>0</v>
      </c>
      <c r="T54" s="185"/>
      <c r="U54" s="185"/>
      <c r="V54" s="189"/>
      <c r="W54" s="190">
        <v>0</v>
      </c>
      <c r="X54" s="191">
        <v>1</v>
      </c>
      <c r="Y54" s="186" t="s">
        <v>1366</v>
      </c>
      <c r="Z54" s="192"/>
      <c r="AA54" s="97">
        <v>0</v>
      </c>
      <c r="AB54" s="193">
        <v>0</v>
      </c>
      <c r="AC54" s="123"/>
      <c r="AD54" s="4"/>
      <c r="AE54" s="4"/>
      <c r="AF54" s="4"/>
      <c r="AG54" s="4"/>
      <c r="AH54" s="4"/>
      <c r="AI54" s="4"/>
      <c r="AJ54" s="4"/>
      <c r="AK54" s="4" t="str">
        <f>"  " &amp; TEXT(AB54,"#0.00%") &amp; " " &amp; "Funtion Design" &amp; "(Max,Pralhad)" &amp; " " &amp; IF(M54="","",TEXT(M54,"M/D-")) &amp; IF(N54="","",TEXT(N54,"M/D")) &amp; " "</f>
        <v xml:space="preserve">  0.00% Funtion Design(Max,Pralhad) 8/28-8/29 </v>
      </c>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row>
    <row r="55" spans="1:98" outlineLevel="2">
      <c r="A55" s="116"/>
      <c r="B55" s="116"/>
      <c r="C55" s="116">
        <v>3</v>
      </c>
      <c r="D55" s="3" t="s">
        <v>1233</v>
      </c>
      <c r="E55" s="215"/>
      <c r="F55" s="218"/>
      <c r="G55" s="217" t="s">
        <v>1209</v>
      </c>
      <c r="H55" s="184"/>
      <c r="I55" s="184"/>
      <c r="J55" s="184"/>
      <c r="K55" s="184"/>
      <c r="L55" s="184"/>
      <c r="M55" s="185"/>
      <c r="N55" s="185"/>
      <c r="O55" s="186"/>
      <c r="P55" s="187">
        <v>0</v>
      </c>
      <c r="Q55" s="187">
        <v>0</v>
      </c>
      <c r="R55" s="188">
        <v>0</v>
      </c>
      <c r="S55" s="188">
        <v>0</v>
      </c>
      <c r="T55" s="185"/>
      <c r="U55" s="185"/>
      <c r="V55" s="189">
        <v>0</v>
      </c>
      <c r="W55" s="190">
        <v>0</v>
      </c>
      <c r="X55" s="191"/>
      <c r="Y55" s="186" t="s">
        <v>1366</v>
      </c>
      <c r="Z55" s="192"/>
      <c r="AA55" s="97">
        <v>0</v>
      </c>
      <c r="AB55" s="193">
        <v>0</v>
      </c>
      <c r="AC55" s="123"/>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row>
    <row r="56" spans="1:98" outlineLevel="2">
      <c r="A56" s="116"/>
      <c r="B56" s="116"/>
      <c r="C56" s="116">
        <v>0</v>
      </c>
      <c r="D56" s="3"/>
      <c r="E56" s="215"/>
      <c r="F56" s="218"/>
      <c r="G56" s="217"/>
      <c r="H56" s="184"/>
      <c r="I56" s="184"/>
      <c r="J56" s="184"/>
      <c r="K56" s="184"/>
      <c r="L56" s="184"/>
      <c r="M56" s="185"/>
      <c r="N56" s="185"/>
      <c r="O56" s="186"/>
      <c r="P56" s="187"/>
      <c r="Q56" s="187"/>
      <c r="R56" s="188">
        <v>0</v>
      </c>
      <c r="S56" s="188">
        <v>0</v>
      </c>
      <c r="T56" s="185"/>
      <c r="U56" s="185"/>
      <c r="V56" s="189"/>
      <c r="W56" s="190">
        <v>0</v>
      </c>
      <c r="X56" s="191"/>
      <c r="Y56" s="186"/>
      <c r="Z56" s="192"/>
      <c r="AA56" s="97"/>
      <c r="AB56" s="193"/>
      <c r="AC56" s="123"/>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row>
    <row r="57" spans="1:98" outlineLevel="1">
      <c r="A57" s="116"/>
      <c r="B57" s="116" t="s">
        <v>1065</v>
      </c>
      <c r="C57" s="116">
        <v>2</v>
      </c>
      <c r="D57" s="3" t="s">
        <v>1189</v>
      </c>
      <c r="E57" s="215"/>
      <c r="F57" s="217" t="s">
        <v>1169</v>
      </c>
      <c r="G57" s="217"/>
      <c r="H57" s="184"/>
      <c r="I57" s="184"/>
      <c r="J57" s="184"/>
      <c r="K57" s="184"/>
      <c r="L57" s="184"/>
      <c r="M57" s="185"/>
      <c r="N57" s="185"/>
      <c r="O57" s="186"/>
      <c r="P57" s="187">
        <v>0</v>
      </c>
      <c r="Q57" s="187">
        <v>0</v>
      </c>
      <c r="R57" s="188">
        <v>0</v>
      </c>
      <c r="S57" s="188">
        <v>0</v>
      </c>
      <c r="T57" s="185"/>
      <c r="U57" s="185"/>
      <c r="V57" s="189">
        <v>0</v>
      </c>
      <c r="W57" s="190">
        <v>0</v>
      </c>
      <c r="X57" s="191"/>
      <c r="Y57" s="186"/>
      <c r="Z57" s="192"/>
      <c r="AA57" s="97">
        <v>0</v>
      </c>
      <c r="AB57" s="193">
        <v>0</v>
      </c>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row>
    <row r="58" spans="1:98" outlineLevel="2">
      <c r="A58" s="116"/>
      <c r="B58" s="116"/>
      <c r="C58" s="116">
        <v>3</v>
      </c>
      <c r="D58" s="3" t="s">
        <v>1234</v>
      </c>
      <c r="E58" s="215"/>
      <c r="F58" s="218"/>
      <c r="G58" s="217" t="s">
        <v>1208</v>
      </c>
      <c r="H58" s="184"/>
      <c r="I58" s="184"/>
      <c r="J58" s="184"/>
      <c r="K58" s="184"/>
      <c r="L58" s="184"/>
      <c r="M58" s="185"/>
      <c r="N58" s="185"/>
      <c r="O58" s="186"/>
      <c r="P58" s="187">
        <v>0</v>
      </c>
      <c r="Q58" s="187">
        <v>0</v>
      </c>
      <c r="R58" s="188">
        <v>0</v>
      </c>
      <c r="S58" s="188">
        <v>0</v>
      </c>
      <c r="T58" s="185"/>
      <c r="U58" s="185"/>
      <c r="V58" s="189">
        <v>0</v>
      </c>
      <c r="W58" s="190">
        <v>0</v>
      </c>
      <c r="X58" s="191">
        <v>1</v>
      </c>
      <c r="Y58" s="186" t="s">
        <v>1366</v>
      </c>
      <c r="Z58" s="192"/>
      <c r="AA58" s="97">
        <v>0</v>
      </c>
      <c r="AB58" s="193">
        <v>0</v>
      </c>
      <c r="AC58" s="123"/>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row>
    <row r="59" spans="1:98" outlineLevel="2">
      <c r="A59" s="116"/>
      <c r="B59" s="116"/>
      <c r="C59" s="116">
        <v>3</v>
      </c>
      <c r="D59" s="3" t="s">
        <v>1235</v>
      </c>
      <c r="E59" s="215"/>
      <c r="F59" s="218"/>
      <c r="G59" s="217" t="s">
        <v>1207</v>
      </c>
      <c r="H59" s="184"/>
      <c r="I59" s="184"/>
      <c r="J59" s="184"/>
      <c r="K59" s="184"/>
      <c r="L59" s="184"/>
      <c r="M59" s="185"/>
      <c r="N59" s="185"/>
      <c r="O59" s="186"/>
      <c r="P59" s="187">
        <v>0</v>
      </c>
      <c r="Q59" s="187">
        <v>0</v>
      </c>
      <c r="R59" s="188">
        <v>0</v>
      </c>
      <c r="S59" s="188">
        <v>0</v>
      </c>
      <c r="T59" s="185"/>
      <c r="U59" s="185"/>
      <c r="V59" s="189">
        <v>0</v>
      </c>
      <c r="W59" s="190">
        <v>0</v>
      </c>
      <c r="X59" s="191">
        <v>1</v>
      </c>
      <c r="Y59" s="186" t="s">
        <v>1366</v>
      </c>
      <c r="Z59" s="192"/>
      <c r="AA59" s="97">
        <v>0</v>
      </c>
      <c r="AB59" s="193">
        <v>0</v>
      </c>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row>
    <row r="60" spans="1:98" outlineLevel="2">
      <c r="A60" s="116"/>
      <c r="B60" s="116"/>
      <c r="C60" s="116">
        <v>3</v>
      </c>
      <c r="D60" s="3" t="s">
        <v>1236</v>
      </c>
      <c r="E60" s="215"/>
      <c r="F60" s="218"/>
      <c r="G60" s="217" t="s">
        <v>1361</v>
      </c>
      <c r="H60" s="184"/>
      <c r="I60" s="184"/>
      <c r="J60" s="184"/>
      <c r="K60" s="184"/>
      <c r="L60" s="184"/>
      <c r="M60" s="185"/>
      <c r="N60" s="185"/>
      <c r="O60" s="186"/>
      <c r="P60" s="187">
        <v>0</v>
      </c>
      <c r="Q60" s="187">
        <v>0</v>
      </c>
      <c r="R60" s="188">
        <v>0</v>
      </c>
      <c r="S60" s="188">
        <v>0</v>
      </c>
      <c r="T60" s="185"/>
      <c r="U60" s="185"/>
      <c r="V60" s="189">
        <v>0</v>
      </c>
      <c r="W60" s="190">
        <v>0</v>
      </c>
      <c r="X60" s="191">
        <v>1</v>
      </c>
      <c r="Y60" s="186" t="s">
        <v>1366</v>
      </c>
      <c r="Z60" s="192"/>
      <c r="AA60" s="97">
        <v>0</v>
      </c>
      <c r="AB60" s="193">
        <v>0</v>
      </c>
      <c r="AC60" s="123"/>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row>
    <row r="61" spans="1:98" outlineLevel="2">
      <c r="A61" s="116"/>
      <c r="B61" s="116"/>
      <c r="C61" s="116">
        <v>3</v>
      </c>
      <c r="D61" s="3" t="s">
        <v>1237</v>
      </c>
      <c r="E61" s="215"/>
      <c r="F61" s="218"/>
      <c r="G61" s="217" t="s">
        <v>1209</v>
      </c>
      <c r="H61" s="184"/>
      <c r="I61" s="184"/>
      <c r="J61" s="184"/>
      <c r="K61" s="184"/>
      <c r="L61" s="184"/>
      <c r="M61" s="185"/>
      <c r="N61" s="185"/>
      <c r="O61" s="186"/>
      <c r="P61" s="187">
        <v>0</v>
      </c>
      <c r="Q61" s="187">
        <v>0</v>
      </c>
      <c r="R61" s="188">
        <v>0</v>
      </c>
      <c r="S61" s="188">
        <v>0</v>
      </c>
      <c r="T61" s="185"/>
      <c r="U61" s="185"/>
      <c r="V61" s="189">
        <v>0</v>
      </c>
      <c r="W61" s="190">
        <v>0</v>
      </c>
      <c r="X61" s="191">
        <v>1</v>
      </c>
      <c r="Y61" s="186" t="s">
        <v>1366</v>
      </c>
      <c r="Z61" s="192"/>
      <c r="AA61" s="97">
        <v>0</v>
      </c>
      <c r="AB61" s="193">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row>
    <row r="62" spans="1:98" outlineLevel="2">
      <c r="A62" s="116"/>
      <c r="B62" s="116"/>
      <c r="C62" s="116">
        <v>0</v>
      </c>
      <c r="D62" s="3"/>
      <c r="E62" s="215"/>
      <c r="F62" s="218"/>
      <c r="G62" s="217"/>
      <c r="H62" s="184"/>
      <c r="I62" s="184"/>
      <c r="J62" s="184"/>
      <c r="K62" s="184"/>
      <c r="L62" s="184"/>
      <c r="M62" s="185"/>
      <c r="N62" s="185"/>
      <c r="O62" s="186"/>
      <c r="P62" s="187"/>
      <c r="Q62" s="187"/>
      <c r="R62" s="188">
        <v>0</v>
      </c>
      <c r="S62" s="188">
        <v>0</v>
      </c>
      <c r="T62" s="185"/>
      <c r="U62" s="185"/>
      <c r="V62" s="189"/>
      <c r="W62" s="190">
        <v>0</v>
      </c>
      <c r="X62" s="191"/>
      <c r="Y62" s="186"/>
      <c r="Z62" s="192"/>
      <c r="AA62" s="97"/>
      <c r="AB62" s="193"/>
      <c r="AC62" s="123"/>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row>
    <row r="63" spans="1:98" outlineLevel="1">
      <c r="A63" s="116"/>
      <c r="B63" s="116" t="s">
        <v>1065</v>
      </c>
      <c r="C63" s="116">
        <v>2</v>
      </c>
      <c r="D63" s="3" t="s">
        <v>1190</v>
      </c>
      <c r="E63" s="215"/>
      <c r="F63" s="217" t="s">
        <v>1363</v>
      </c>
      <c r="G63" s="217"/>
      <c r="H63" s="184"/>
      <c r="I63" s="184"/>
      <c r="J63" s="184"/>
      <c r="K63" s="184"/>
      <c r="L63" s="184"/>
      <c r="M63" s="185"/>
      <c r="N63" s="185"/>
      <c r="O63" s="186"/>
      <c r="P63" s="187">
        <v>0</v>
      </c>
      <c r="Q63" s="187">
        <v>0</v>
      </c>
      <c r="R63" s="188">
        <v>0</v>
      </c>
      <c r="S63" s="188">
        <v>0</v>
      </c>
      <c r="T63" s="185"/>
      <c r="U63" s="185"/>
      <c r="V63" s="189">
        <v>0</v>
      </c>
      <c r="W63" s="190">
        <v>0</v>
      </c>
      <c r="X63" s="191"/>
      <c r="Y63" s="186"/>
      <c r="Z63" s="192"/>
      <c r="AA63" s="97">
        <v>0</v>
      </c>
      <c r="AB63" s="193">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row>
    <row r="64" spans="1:98" outlineLevel="2">
      <c r="A64" s="116"/>
      <c r="B64" s="116"/>
      <c r="C64" s="116">
        <v>3</v>
      </c>
      <c r="D64" s="3" t="s">
        <v>1238</v>
      </c>
      <c r="E64" s="215"/>
      <c r="F64" s="218"/>
      <c r="G64" s="217" t="s">
        <v>1208</v>
      </c>
      <c r="H64" s="184"/>
      <c r="I64" s="184"/>
      <c r="J64" s="184"/>
      <c r="K64" s="184"/>
      <c r="L64" s="184"/>
      <c r="M64" s="185"/>
      <c r="N64" s="185"/>
      <c r="O64" s="186"/>
      <c r="P64" s="187">
        <v>0</v>
      </c>
      <c r="Q64" s="187">
        <v>0</v>
      </c>
      <c r="R64" s="188">
        <v>0</v>
      </c>
      <c r="S64" s="188">
        <v>0</v>
      </c>
      <c r="T64" s="185"/>
      <c r="U64" s="185"/>
      <c r="V64" s="189">
        <v>0</v>
      </c>
      <c r="W64" s="190">
        <v>0</v>
      </c>
      <c r="X64" s="191">
        <v>1</v>
      </c>
      <c r="Y64" s="186" t="s">
        <v>1366</v>
      </c>
      <c r="Z64" s="192"/>
      <c r="AA64" s="97">
        <v>0</v>
      </c>
      <c r="AB64" s="193">
        <v>0</v>
      </c>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row>
    <row r="65" spans="1:98" outlineLevel="2">
      <c r="A65" s="116"/>
      <c r="B65" s="116"/>
      <c r="C65" s="116">
        <v>3</v>
      </c>
      <c r="D65" s="3" t="s">
        <v>1239</v>
      </c>
      <c r="E65" s="215"/>
      <c r="F65" s="218"/>
      <c r="G65" s="217" t="s">
        <v>1207</v>
      </c>
      <c r="H65" s="184"/>
      <c r="I65" s="184"/>
      <c r="J65" s="184"/>
      <c r="K65" s="184"/>
      <c r="L65" s="184"/>
      <c r="M65" s="185"/>
      <c r="N65" s="185"/>
      <c r="O65" s="186"/>
      <c r="P65" s="187">
        <v>0</v>
      </c>
      <c r="Q65" s="187">
        <v>0</v>
      </c>
      <c r="R65" s="188">
        <v>0</v>
      </c>
      <c r="S65" s="188">
        <v>0</v>
      </c>
      <c r="T65" s="185"/>
      <c r="U65" s="185"/>
      <c r="V65" s="189">
        <v>0</v>
      </c>
      <c r="W65" s="190">
        <v>0</v>
      </c>
      <c r="X65" s="191">
        <v>1</v>
      </c>
      <c r="Y65" s="186" t="s">
        <v>1366</v>
      </c>
      <c r="Z65" s="192"/>
      <c r="AA65" s="97">
        <v>0</v>
      </c>
      <c r="AB65" s="193">
        <v>0</v>
      </c>
      <c r="AC65" s="123"/>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row>
    <row r="66" spans="1:98" outlineLevel="2">
      <c r="A66" s="116"/>
      <c r="B66" s="116"/>
      <c r="C66" s="116">
        <v>3</v>
      </c>
      <c r="D66" s="3" t="s">
        <v>1240</v>
      </c>
      <c r="E66" s="215"/>
      <c r="F66" s="218"/>
      <c r="G66" s="217" t="s">
        <v>1361</v>
      </c>
      <c r="H66" s="184"/>
      <c r="I66" s="184"/>
      <c r="J66" s="184"/>
      <c r="K66" s="184"/>
      <c r="L66" s="184"/>
      <c r="M66" s="185"/>
      <c r="N66" s="185"/>
      <c r="O66" s="186"/>
      <c r="P66" s="187">
        <v>0</v>
      </c>
      <c r="Q66" s="187">
        <v>0</v>
      </c>
      <c r="R66" s="188">
        <v>0</v>
      </c>
      <c r="S66" s="188">
        <v>0</v>
      </c>
      <c r="T66" s="185"/>
      <c r="U66" s="185"/>
      <c r="V66" s="189">
        <v>0</v>
      </c>
      <c r="W66" s="190">
        <v>0</v>
      </c>
      <c r="X66" s="191">
        <v>1</v>
      </c>
      <c r="Y66" s="186" t="s">
        <v>1366</v>
      </c>
      <c r="Z66" s="192"/>
      <c r="AA66" s="97">
        <v>0</v>
      </c>
      <c r="AB66" s="193">
        <v>0</v>
      </c>
      <c r="AC66" s="123"/>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row>
    <row r="67" spans="1:98" outlineLevel="2">
      <c r="A67" s="116"/>
      <c r="B67" s="116"/>
      <c r="C67" s="116">
        <v>3</v>
      </c>
      <c r="D67" s="3" t="s">
        <v>1241</v>
      </c>
      <c r="E67" s="215"/>
      <c r="F67" s="218"/>
      <c r="G67" s="217" t="s">
        <v>1209</v>
      </c>
      <c r="H67" s="184"/>
      <c r="I67" s="184"/>
      <c r="J67" s="184"/>
      <c r="K67" s="184"/>
      <c r="L67" s="184"/>
      <c r="M67" s="185"/>
      <c r="N67" s="185"/>
      <c r="O67" s="186"/>
      <c r="P67" s="187">
        <v>0</v>
      </c>
      <c r="Q67" s="187">
        <v>0</v>
      </c>
      <c r="R67" s="188">
        <v>0</v>
      </c>
      <c r="S67" s="188">
        <v>0</v>
      </c>
      <c r="T67" s="185"/>
      <c r="U67" s="185"/>
      <c r="V67" s="189">
        <v>0</v>
      </c>
      <c r="W67" s="190">
        <v>0</v>
      </c>
      <c r="X67" s="191">
        <v>1</v>
      </c>
      <c r="Y67" s="186" t="s">
        <v>1366</v>
      </c>
      <c r="Z67" s="192"/>
      <c r="AA67" s="97">
        <v>0</v>
      </c>
      <c r="AB67" s="193">
        <v>0</v>
      </c>
      <c r="AC67" s="123"/>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row>
    <row r="68" spans="1:98" outlineLevel="2">
      <c r="A68" s="116"/>
      <c r="B68" s="116"/>
      <c r="C68" s="116">
        <v>0</v>
      </c>
      <c r="D68" s="3"/>
      <c r="E68" s="215"/>
      <c r="F68" s="218"/>
      <c r="G68" s="217"/>
      <c r="H68" s="184"/>
      <c r="I68" s="184"/>
      <c r="J68" s="184"/>
      <c r="K68" s="184"/>
      <c r="L68" s="184"/>
      <c r="M68" s="185"/>
      <c r="N68" s="185"/>
      <c r="O68" s="186"/>
      <c r="P68" s="187"/>
      <c r="Q68" s="187"/>
      <c r="R68" s="188">
        <v>0</v>
      </c>
      <c r="S68" s="188">
        <v>0</v>
      </c>
      <c r="T68" s="185"/>
      <c r="U68" s="185"/>
      <c r="V68" s="189"/>
      <c r="W68" s="190">
        <v>0</v>
      </c>
      <c r="X68" s="191"/>
      <c r="Y68" s="186"/>
      <c r="Z68" s="192"/>
      <c r="AA68" s="97"/>
      <c r="AB68" s="193"/>
      <c r="AC68" s="123"/>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row>
    <row r="69" spans="1:98" outlineLevel="1">
      <c r="A69" s="116"/>
      <c r="B69" s="116" t="s">
        <v>1065</v>
      </c>
      <c r="C69" s="116">
        <v>2</v>
      </c>
      <c r="D69" s="3" t="s">
        <v>1191</v>
      </c>
      <c r="E69" s="215"/>
      <c r="F69" s="217" t="s">
        <v>1170</v>
      </c>
      <c r="G69" s="217"/>
      <c r="H69" s="184"/>
      <c r="I69" s="184"/>
      <c r="J69" s="184"/>
      <c r="K69" s="184"/>
      <c r="L69" s="184"/>
      <c r="M69" s="185"/>
      <c r="N69" s="185"/>
      <c r="O69" s="186"/>
      <c r="P69" s="187">
        <v>0</v>
      </c>
      <c r="Q69" s="187">
        <v>0</v>
      </c>
      <c r="R69" s="188">
        <v>0</v>
      </c>
      <c r="S69" s="188">
        <v>0</v>
      </c>
      <c r="T69" s="185"/>
      <c r="U69" s="185"/>
      <c r="V69" s="189">
        <v>0</v>
      </c>
      <c r="W69" s="190">
        <v>0</v>
      </c>
      <c r="X69" s="191"/>
      <c r="Y69" s="186"/>
      <c r="Z69" s="192"/>
      <c r="AA69" s="97">
        <v>0</v>
      </c>
      <c r="AB69" s="193">
        <v>0</v>
      </c>
      <c r="AC69" s="123"/>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row>
    <row r="70" spans="1:98" outlineLevel="2">
      <c r="A70" s="116"/>
      <c r="B70" s="116"/>
      <c r="C70" s="116">
        <v>3</v>
      </c>
      <c r="D70" s="3" t="s">
        <v>1242</v>
      </c>
      <c r="E70" s="215"/>
      <c r="F70" s="218"/>
      <c r="G70" s="217" t="s">
        <v>1208</v>
      </c>
      <c r="H70" s="184"/>
      <c r="I70" s="184"/>
      <c r="J70" s="184"/>
      <c r="K70" s="184"/>
      <c r="L70" s="184"/>
      <c r="M70" s="185"/>
      <c r="N70" s="185"/>
      <c r="O70" s="186"/>
      <c r="P70" s="187">
        <v>0</v>
      </c>
      <c r="Q70" s="187">
        <v>0</v>
      </c>
      <c r="R70" s="188">
        <v>0</v>
      </c>
      <c r="S70" s="188">
        <v>0</v>
      </c>
      <c r="T70" s="185"/>
      <c r="U70" s="185"/>
      <c r="V70" s="189">
        <v>0</v>
      </c>
      <c r="W70" s="190">
        <v>0</v>
      </c>
      <c r="X70" s="191">
        <v>1</v>
      </c>
      <c r="Y70" s="186" t="s">
        <v>1366</v>
      </c>
      <c r="Z70" s="192"/>
      <c r="AA70" s="97">
        <v>0</v>
      </c>
      <c r="AB70" s="193">
        <v>0</v>
      </c>
      <c r="AC70" s="123"/>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row>
    <row r="71" spans="1:98" outlineLevel="2">
      <c r="A71" s="116"/>
      <c r="B71" s="116"/>
      <c r="C71" s="116">
        <v>3</v>
      </c>
      <c r="D71" s="3" t="s">
        <v>1243</v>
      </c>
      <c r="E71" s="215"/>
      <c r="F71" s="218"/>
      <c r="G71" s="217" t="s">
        <v>1207</v>
      </c>
      <c r="H71" s="184"/>
      <c r="I71" s="184"/>
      <c r="J71" s="184"/>
      <c r="K71" s="184"/>
      <c r="L71" s="184"/>
      <c r="M71" s="185"/>
      <c r="N71" s="185"/>
      <c r="O71" s="186"/>
      <c r="P71" s="187">
        <v>0</v>
      </c>
      <c r="Q71" s="187">
        <v>0</v>
      </c>
      <c r="R71" s="188">
        <v>0</v>
      </c>
      <c r="S71" s="188">
        <v>0</v>
      </c>
      <c r="T71" s="185"/>
      <c r="U71" s="185"/>
      <c r="V71" s="189">
        <v>0</v>
      </c>
      <c r="W71" s="190">
        <v>0</v>
      </c>
      <c r="X71" s="191">
        <v>1</v>
      </c>
      <c r="Y71" s="186" t="s">
        <v>1366</v>
      </c>
      <c r="Z71" s="192"/>
      <c r="AA71" s="97">
        <v>0</v>
      </c>
      <c r="AB71" s="193">
        <v>0</v>
      </c>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row>
    <row r="72" spans="1:98" outlineLevel="2">
      <c r="A72" s="116"/>
      <c r="B72" s="116"/>
      <c r="C72" s="116">
        <v>3</v>
      </c>
      <c r="D72" s="3" t="s">
        <v>1244</v>
      </c>
      <c r="E72" s="215"/>
      <c r="F72" s="218"/>
      <c r="G72" s="217" t="s">
        <v>1361</v>
      </c>
      <c r="H72" s="184"/>
      <c r="I72" s="184"/>
      <c r="J72" s="184"/>
      <c r="K72" s="184"/>
      <c r="L72" s="184"/>
      <c r="M72" s="185"/>
      <c r="N72" s="185"/>
      <c r="O72" s="186"/>
      <c r="P72" s="187">
        <v>0</v>
      </c>
      <c r="Q72" s="187">
        <v>0</v>
      </c>
      <c r="R72" s="188">
        <v>0</v>
      </c>
      <c r="S72" s="188">
        <v>0</v>
      </c>
      <c r="T72" s="185"/>
      <c r="U72" s="185"/>
      <c r="V72" s="189">
        <v>0</v>
      </c>
      <c r="W72" s="190">
        <v>0</v>
      </c>
      <c r="X72" s="191">
        <v>1</v>
      </c>
      <c r="Y72" s="186" t="s">
        <v>1366</v>
      </c>
      <c r="Z72" s="192"/>
      <c r="AA72" s="97">
        <v>0</v>
      </c>
      <c r="AB72" s="193">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row>
    <row r="73" spans="1:98" outlineLevel="2">
      <c r="A73" s="116"/>
      <c r="B73" s="116"/>
      <c r="C73" s="116">
        <v>3</v>
      </c>
      <c r="D73" s="3" t="s">
        <v>1245</v>
      </c>
      <c r="E73" s="215"/>
      <c r="F73" s="218"/>
      <c r="G73" s="217" t="s">
        <v>1209</v>
      </c>
      <c r="H73" s="184"/>
      <c r="I73" s="184"/>
      <c r="J73" s="184"/>
      <c r="K73" s="184"/>
      <c r="L73" s="184"/>
      <c r="M73" s="185"/>
      <c r="N73" s="185"/>
      <c r="O73" s="186"/>
      <c r="P73" s="187">
        <v>0</v>
      </c>
      <c r="Q73" s="187">
        <v>0</v>
      </c>
      <c r="R73" s="188">
        <v>0</v>
      </c>
      <c r="S73" s="188">
        <v>0</v>
      </c>
      <c r="T73" s="185"/>
      <c r="U73" s="185"/>
      <c r="V73" s="189">
        <v>0</v>
      </c>
      <c r="W73" s="190">
        <v>0</v>
      </c>
      <c r="X73" s="191">
        <v>1</v>
      </c>
      <c r="Y73" s="186" t="s">
        <v>1366</v>
      </c>
      <c r="Z73" s="192"/>
      <c r="AA73" s="97">
        <v>0</v>
      </c>
      <c r="AB73" s="193">
        <v>0</v>
      </c>
      <c r="AC73" s="123"/>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row>
    <row r="74" spans="1:98" outlineLevel="2">
      <c r="A74" s="116"/>
      <c r="B74" s="116"/>
      <c r="C74" s="116">
        <v>0</v>
      </c>
      <c r="D74" s="3"/>
      <c r="E74" s="215"/>
      <c r="F74" s="218"/>
      <c r="G74" s="217"/>
      <c r="H74" s="184"/>
      <c r="I74" s="184"/>
      <c r="J74" s="184"/>
      <c r="K74" s="184"/>
      <c r="L74" s="184"/>
      <c r="M74" s="185"/>
      <c r="N74" s="185"/>
      <c r="O74" s="186"/>
      <c r="P74" s="187"/>
      <c r="Q74" s="187"/>
      <c r="R74" s="188">
        <v>0</v>
      </c>
      <c r="S74" s="188">
        <v>0</v>
      </c>
      <c r="T74" s="185"/>
      <c r="U74" s="185"/>
      <c r="V74" s="189"/>
      <c r="W74" s="190">
        <v>0</v>
      </c>
      <c r="X74" s="191"/>
      <c r="Y74" s="186"/>
      <c r="Z74" s="192"/>
      <c r="AA74" s="97"/>
      <c r="AB74" s="193"/>
      <c r="AC74" s="123"/>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row>
    <row r="75" spans="1:98" outlineLevel="1">
      <c r="A75" s="116"/>
      <c r="B75" s="116" t="s">
        <v>1065</v>
      </c>
      <c r="C75" s="116">
        <v>2</v>
      </c>
      <c r="D75" s="3" t="s">
        <v>1192</v>
      </c>
      <c r="E75" s="215"/>
      <c r="F75" s="217" t="s">
        <v>1171</v>
      </c>
      <c r="G75" s="217"/>
      <c r="H75" s="184"/>
      <c r="I75" s="184"/>
      <c r="J75" s="184"/>
      <c r="K75" s="184"/>
      <c r="L75" s="184"/>
      <c r="M75" s="185"/>
      <c r="N75" s="185"/>
      <c r="O75" s="186"/>
      <c r="P75" s="187">
        <v>0</v>
      </c>
      <c r="Q75" s="187">
        <v>0</v>
      </c>
      <c r="R75" s="188">
        <v>0</v>
      </c>
      <c r="S75" s="188">
        <v>0</v>
      </c>
      <c r="T75" s="185"/>
      <c r="U75" s="185"/>
      <c r="V75" s="189">
        <v>0</v>
      </c>
      <c r="W75" s="190">
        <v>0</v>
      </c>
      <c r="X75" s="191"/>
      <c r="Y75" s="186"/>
      <c r="Z75" s="192"/>
      <c r="AA75" s="97">
        <v>0</v>
      </c>
      <c r="AB75" s="193">
        <v>0</v>
      </c>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row>
    <row r="76" spans="1:98" outlineLevel="2">
      <c r="A76" s="116"/>
      <c r="B76" s="116"/>
      <c r="C76" s="116">
        <v>3</v>
      </c>
      <c r="D76" s="3" t="s">
        <v>1246</v>
      </c>
      <c r="E76" s="215"/>
      <c r="F76" s="218"/>
      <c r="G76" s="217" t="s">
        <v>1208</v>
      </c>
      <c r="H76" s="184"/>
      <c r="I76" s="184"/>
      <c r="J76" s="184"/>
      <c r="K76" s="184"/>
      <c r="L76" s="184"/>
      <c r="M76" s="185"/>
      <c r="N76" s="185"/>
      <c r="O76" s="186"/>
      <c r="P76" s="187">
        <v>0</v>
      </c>
      <c r="Q76" s="187">
        <v>0</v>
      </c>
      <c r="R76" s="188">
        <v>0</v>
      </c>
      <c r="S76" s="188">
        <v>0</v>
      </c>
      <c r="T76" s="185"/>
      <c r="U76" s="185"/>
      <c r="V76" s="189">
        <v>0</v>
      </c>
      <c r="W76" s="190">
        <v>0</v>
      </c>
      <c r="X76" s="191">
        <v>1</v>
      </c>
      <c r="Y76" s="186" t="s">
        <v>1366</v>
      </c>
      <c r="Z76" s="192"/>
      <c r="AA76" s="97">
        <v>0</v>
      </c>
      <c r="AB76" s="193">
        <v>0</v>
      </c>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row>
    <row r="77" spans="1:98" outlineLevel="2">
      <c r="A77" s="116"/>
      <c r="B77" s="116"/>
      <c r="C77" s="116">
        <v>3</v>
      </c>
      <c r="D77" s="3" t="s">
        <v>1247</v>
      </c>
      <c r="E77" s="215"/>
      <c r="F77" s="218"/>
      <c r="G77" s="217" t="s">
        <v>1207</v>
      </c>
      <c r="H77" s="184"/>
      <c r="I77" s="184"/>
      <c r="J77" s="184"/>
      <c r="K77" s="184"/>
      <c r="L77" s="184"/>
      <c r="M77" s="185"/>
      <c r="N77" s="185"/>
      <c r="O77" s="186"/>
      <c r="P77" s="187">
        <v>0</v>
      </c>
      <c r="Q77" s="187">
        <v>0</v>
      </c>
      <c r="R77" s="188">
        <v>0</v>
      </c>
      <c r="S77" s="188">
        <v>0</v>
      </c>
      <c r="T77" s="185"/>
      <c r="U77" s="185"/>
      <c r="V77" s="189">
        <v>0</v>
      </c>
      <c r="W77" s="190">
        <v>0</v>
      </c>
      <c r="X77" s="191">
        <v>1</v>
      </c>
      <c r="Y77" s="186" t="s">
        <v>1366</v>
      </c>
      <c r="Z77" s="192"/>
      <c r="AA77" s="97">
        <v>0</v>
      </c>
      <c r="AB77" s="193">
        <v>0</v>
      </c>
      <c r="AC77" s="123"/>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row>
    <row r="78" spans="1:98" outlineLevel="2">
      <c r="A78" s="116"/>
      <c r="B78" s="116"/>
      <c r="C78" s="116">
        <v>3</v>
      </c>
      <c r="D78" s="3" t="s">
        <v>1248</v>
      </c>
      <c r="E78" s="215"/>
      <c r="F78" s="218"/>
      <c r="G78" s="217" t="s">
        <v>1361</v>
      </c>
      <c r="H78" s="184"/>
      <c r="I78" s="184"/>
      <c r="J78" s="184"/>
      <c r="K78" s="184"/>
      <c r="L78" s="184"/>
      <c r="M78" s="185"/>
      <c r="N78" s="185"/>
      <c r="O78" s="186"/>
      <c r="P78" s="187">
        <v>0</v>
      </c>
      <c r="Q78" s="187">
        <v>0</v>
      </c>
      <c r="R78" s="188">
        <v>0</v>
      </c>
      <c r="S78" s="188">
        <v>0</v>
      </c>
      <c r="T78" s="185"/>
      <c r="U78" s="185"/>
      <c r="V78" s="189">
        <v>0</v>
      </c>
      <c r="W78" s="190">
        <v>0</v>
      </c>
      <c r="X78" s="191">
        <v>1</v>
      </c>
      <c r="Y78" s="186" t="s">
        <v>1366</v>
      </c>
      <c r="Z78" s="192"/>
      <c r="AA78" s="97">
        <v>0</v>
      </c>
      <c r="AB78" s="193">
        <v>0</v>
      </c>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row>
    <row r="79" spans="1:98" outlineLevel="2">
      <c r="A79" s="116"/>
      <c r="B79" s="116"/>
      <c r="C79" s="116">
        <v>3</v>
      </c>
      <c r="D79" s="3" t="s">
        <v>1249</v>
      </c>
      <c r="E79" s="215"/>
      <c r="F79" s="218"/>
      <c r="G79" s="217" t="s">
        <v>1209</v>
      </c>
      <c r="H79" s="184"/>
      <c r="I79" s="184"/>
      <c r="J79" s="184"/>
      <c r="K79" s="184"/>
      <c r="L79" s="184"/>
      <c r="M79" s="185"/>
      <c r="N79" s="185"/>
      <c r="O79" s="186"/>
      <c r="P79" s="187">
        <v>0</v>
      </c>
      <c r="Q79" s="187">
        <v>0</v>
      </c>
      <c r="R79" s="188">
        <v>0</v>
      </c>
      <c r="S79" s="188">
        <v>0</v>
      </c>
      <c r="T79" s="185"/>
      <c r="U79" s="185"/>
      <c r="V79" s="189">
        <v>0</v>
      </c>
      <c r="W79" s="190">
        <v>0</v>
      </c>
      <c r="X79" s="191">
        <v>1</v>
      </c>
      <c r="Y79" s="186" t="s">
        <v>1366</v>
      </c>
      <c r="Z79" s="192"/>
      <c r="AA79" s="97">
        <v>0</v>
      </c>
      <c r="AB79" s="193">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row>
    <row r="80" spans="1:98" outlineLevel="2">
      <c r="A80" s="116"/>
      <c r="B80" s="116"/>
      <c r="C80" s="116">
        <v>0</v>
      </c>
      <c r="D80" s="3"/>
      <c r="E80" s="215"/>
      <c r="F80" s="218"/>
      <c r="G80" s="217"/>
      <c r="H80" s="184"/>
      <c r="I80" s="184"/>
      <c r="J80" s="184"/>
      <c r="K80" s="184"/>
      <c r="L80" s="184"/>
      <c r="M80" s="185"/>
      <c r="N80" s="185"/>
      <c r="O80" s="186"/>
      <c r="P80" s="187"/>
      <c r="Q80" s="187"/>
      <c r="R80" s="188">
        <v>0</v>
      </c>
      <c r="S80" s="188">
        <v>0</v>
      </c>
      <c r="T80" s="185"/>
      <c r="U80" s="185"/>
      <c r="V80" s="189"/>
      <c r="W80" s="190">
        <v>0</v>
      </c>
      <c r="X80" s="191"/>
      <c r="Y80" s="186"/>
      <c r="Z80" s="192"/>
      <c r="AA80" s="97"/>
      <c r="AB80" s="193"/>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row>
    <row r="81" spans="1:98" outlineLevel="1">
      <c r="A81" s="116"/>
      <c r="B81" s="116" t="s">
        <v>1065</v>
      </c>
      <c r="C81" s="116">
        <v>2</v>
      </c>
      <c r="D81" s="3" t="s">
        <v>1193</v>
      </c>
      <c r="E81" s="215"/>
      <c r="F81" s="217" t="s">
        <v>1172</v>
      </c>
      <c r="G81" s="217"/>
      <c r="H81" s="184"/>
      <c r="I81" s="184"/>
      <c r="J81" s="184"/>
      <c r="K81" s="184"/>
      <c r="L81" s="184"/>
      <c r="M81" s="185"/>
      <c r="N81" s="185"/>
      <c r="O81" s="186"/>
      <c r="P81" s="187">
        <v>0</v>
      </c>
      <c r="Q81" s="187">
        <v>0</v>
      </c>
      <c r="R81" s="188">
        <v>0</v>
      </c>
      <c r="S81" s="188">
        <v>0</v>
      </c>
      <c r="T81" s="185"/>
      <c r="U81" s="185"/>
      <c r="V81" s="189">
        <v>0</v>
      </c>
      <c r="W81" s="190">
        <v>0</v>
      </c>
      <c r="X81" s="191"/>
      <c r="Y81" s="186"/>
      <c r="Z81" s="192"/>
      <c r="AA81" s="97">
        <v>0</v>
      </c>
      <c r="AB81" s="193">
        <v>0</v>
      </c>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row>
    <row r="82" spans="1:98" outlineLevel="2">
      <c r="A82" s="116"/>
      <c r="B82" s="116"/>
      <c r="C82" s="116">
        <v>3</v>
      </c>
      <c r="D82" s="3" t="s">
        <v>1250</v>
      </c>
      <c r="E82" s="215"/>
      <c r="F82" s="218"/>
      <c r="G82" s="217" t="s">
        <v>1208</v>
      </c>
      <c r="H82" s="184"/>
      <c r="I82" s="184"/>
      <c r="J82" s="184"/>
      <c r="K82" s="184"/>
      <c r="L82" s="184"/>
      <c r="M82" s="185"/>
      <c r="N82" s="185"/>
      <c r="O82" s="186"/>
      <c r="P82" s="187">
        <v>0</v>
      </c>
      <c r="Q82" s="187">
        <v>0</v>
      </c>
      <c r="R82" s="188">
        <v>0</v>
      </c>
      <c r="S82" s="188">
        <v>0</v>
      </c>
      <c r="T82" s="185"/>
      <c r="U82" s="185"/>
      <c r="V82" s="189">
        <v>0</v>
      </c>
      <c r="W82" s="190">
        <v>0</v>
      </c>
      <c r="X82" s="191">
        <v>1</v>
      </c>
      <c r="Y82" s="186" t="s">
        <v>1366</v>
      </c>
      <c r="Z82" s="192"/>
      <c r="AA82" s="97">
        <v>0</v>
      </c>
      <c r="AB82" s="193">
        <v>0</v>
      </c>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row>
    <row r="83" spans="1:98" outlineLevel="2">
      <c r="A83" s="116"/>
      <c r="B83" s="116"/>
      <c r="C83" s="116">
        <v>3</v>
      </c>
      <c r="D83" s="3" t="s">
        <v>1251</v>
      </c>
      <c r="E83" s="215"/>
      <c r="F83" s="218"/>
      <c r="G83" s="217" t="s">
        <v>1207</v>
      </c>
      <c r="H83" s="184"/>
      <c r="I83" s="184"/>
      <c r="J83" s="184"/>
      <c r="K83" s="184"/>
      <c r="L83" s="184"/>
      <c r="M83" s="185"/>
      <c r="N83" s="185"/>
      <c r="O83" s="186"/>
      <c r="P83" s="187">
        <v>0</v>
      </c>
      <c r="Q83" s="187">
        <v>0</v>
      </c>
      <c r="R83" s="188">
        <v>0</v>
      </c>
      <c r="S83" s="188">
        <v>0</v>
      </c>
      <c r="T83" s="185"/>
      <c r="U83" s="185"/>
      <c r="V83" s="189">
        <v>0</v>
      </c>
      <c r="W83" s="190">
        <v>0</v>
      </c>
      <c r="X83" s="191">
        <v>1</v>
      </c>
      <c r="Y83" s="186" t="s">
        <v>1366</v>
      </c>
      <c r="Z83" s="192"/>
      <c r="AA83" s="97">
        <v>0</v>
      </c>
      <c r="AB83" s="193">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row>
    <row r="84" spans="1:98" outlineLevel="2">
      <c r="A84" s="116"/>
      <c r="B84" s="116"/>
      <c r="C84" s="116">
        <v>3</v>
      </c>
      <c r="D84" s="3" t="s">
        <v>1252</v>
      </c>
      <c r="E84" s="215"/>
      <c r="F84" s="218"/>
      <c r="G84" s="217" t="s">
        <v>1361</v>
      </c>
      <c r="H84" s="184"/>
      <c r="I84" s="184"/>
      <c r="J84" s="184"/>
      <c r="K84" s="184"/>
      <c r="L84" s="184"/>
      <c r="M84" s="185"/>
      <c r="N84" s="185"/>
      <c r="O84" s="186"/>
      <c r="P84" s="187">
        <v>0</v>
      </c>
      <c r="Q84" s="187">
        <v>0</v>
      </c>
      <c r="R84" s="188">
        <v>0</v>
      </c>
      <c r="S84" s="188">
        <v>0</v>
      </c>
      <c r="T84" s="185"/>
      <c r="U84" s="185"/>
      <c r="V84" s="189">
        <v>0</v>
      </c>
      <c r="W84" s="190">
        <v>0</v>
      </c>
      <c r="X84" s="191">
        <v>1</v>
      </c>
      <c r="Y84" s="186" t="s">
        <v>1366</v>
      </c>
      <c r="Z84" s="192"/>
      <c r="AA84" s="97">
        <v>0</v>
      </c>
      <c r="AB84" s="193">
        <v>0</v>
      </c>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row>
    <row r="85" spans="1:98" outlineLevel="2">
      <c r="A85" s="116"/>
      <c r="B85" s="116"/>
      <c r="C85" s="116">
        <v>3</v>
      </c>
      <c r="D85" s="3" t="s">
        <v>1253</v>
      </c>
      <c r="E85" s="215"/>
      <c r="F85" s="218"/>
      <c r="G85" s="217" t="s">
        <v>1209</v>
      </c>
      <c r="H85" s="184"/>
      <c r="I85" s="184"/>
      <c r="J85" s="184"/>
      <c r="K85" s="184"/>
      <c r="L85" s="184"/>
      <c r="M85" s="185"/>
      <c r="N85" s="185"/>
      <c r="O85" s="186"/>
      <c r="P85" s="187">
        <v>0</v>
      </c>
      <c r="Q85" s="187">
        <v>0</v>
      </c>
      <c r="R85" s="188">
        <v>0</v>
      </c>
      <c r="S85" s="188">
        <v>0</v>
      </c>
      <c r="T85" s="185"/>
      <c r="U85" s="185"/>
      <c r="V85" s="189">
        <v>0</v>
      </c>
      <c r="W85" s="190">
        <v>0</v>
      </c>
      <c r="X85" s="191">
        <v>1</v>
      </c>
      <c r="Y85" s="186" t="s">
        <v>1366</v>
      </c>
      <c r="Z85" s="192"/>
      <c r="AA85" s="97">
        <v>0</v>
      </c>
      <c r="AB85" s="193">
        <v>0</v>
      </c>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row>
    <row r="86" spans="1:98" outlineLevel="2">
      <c r="A86" s="116"/>
      <c r="B86" s="116"/>
      <c r="C86" s="116">
        <v>0</v>
      </c>
      <c r="D86" s="3"/>
      <c r="E86" s="215"/>
      <c r="F86" s="218"/>
      <c r="G86" s="217"/>
      <c r="H86" s="184"/>
      <c r="I86" s="184"/>
      <c r="J86" s="184"/>
      <c r="K86" s="184"/>
      <c r="L86" s="184"/>
      <c r="M86" s="185"/>
      <c r="N86" s="185"/>
      <c r="O86" s="186"/>
      <c r="P86" s="187"/>
      <c r="Q86" s="187"/>
      <c r="R86" s="188">
        <v>0</v>
      </c>
      <c r="S86" s="188">
        <v>0</v>
      </c>
      <c r="T86" s="185"/>
      <c r="U86" s="185"/>
      <c r="V86" s="189"/>
      <c r="W86" s="190">
        <v>0</v>
      </c>
      <c r="X86" s="191"/>
      <c r="Y86" s="186"/>
      <c r="Z86" s="192"/>
      <c r="AA86" s="97"/>
      <c r="AB86" s="193"/>
      <c r="AC86" s="123"/>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row>
    <row r="87" spans="1:98" outlineLevel="2">
      <c r="A87" s="116"/>
      <c r="B87" s="116"/>
      <c r="C87" s="116">
        <v>0</v>
      </c>
      <c r="D87" s="3"/>
      <c r="E87" s="184"/>
      <c r="F87" s="184"/>
      <c r="G87" s="184"/>
      <c r="H87" s="184"/>
      <c r="I87" s="184"/>
      <c r="J87" s="184"/>
      <c r="K87" s="184"/>
      <c r="L87" s="184"/>
      <c r="M87" s="185"/>
      <c r="N87" s="185"/>
      <c r="O87" s="186"/>
      <c r="P87" s="187"/>
      <c r="Q87" s="187"/>
      <c r="R87" s="188">
        <v>0</v>
      </c>
      <c r="S87" s="188">
        <v>0</v>
      </c>
      <c r="T87" s="185"/>
      <c r="U87" s="185"/>
      <c r="V87" s="189"/>
      <c r="W87" s="190">
        <v>0</v>
      </c>
      <c r="X87" s="191"/>
      <c r="Y87" s="186"/>
      <c r="Z87" s="192"/>
      <c r="AA87" s="97"/>
      <c r="AB87" s="193">
        <v>0</v>
      </c>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row>
    <row r="88" spans="1:98">
      <c r="A88" s="116"/>
      <c r="B88" s="116" t="s">
        <v>1065</v>
      </c>
      <c r="C88" s="116">
        <v>1</v>
      </c>
      <c r="D88" s="3" t="s">
        <v>1145</v>
      </c>
      <c r="E88" s="215" t="s">
        <v>1027</v>
      </c>
      <c r="F88" s="184"/>
      <c r="G88" s="184"/>
      <c r="H88" s="184"/>
      <c r="I88" s="184"/>
      <c r="J88" s="184"/>
      <c r="K88" s="184"/>
      <c r="L88" s="184"/>
      <c r="M88" s="185">
        <v>43650</v>
      </c>
      <c r="N88" s="185">
        <v>43693</v>
      </c>
      <c r="O88" s="186"/>
      <c r="P88" s="187">
        <v>69</v>
      </c>
      <c r="Q88" s="187">
        <v>10</v>
      </c>
      <c r="R88" s="188">
        <v>31</v>
      </c>
      <c r="S88" s="188">
        <v>4</v>
      </c>
      <c r="T88" s="185"/>
      <c r="U88" s="185"/>
      <c r="V88" s="189">
        <v>0</v>
      </c>
      <c r="W88" s="190">
        <v>0</v>
      </c>
      <c r="X88" s="191"/>
      <c r="Y88" s="186"/>
      <c r="Z88" s="192"/>
      <c r="AA88" s="97">
        <v>0.14492753623188406</v>
      </c>
      <c r="AB88" s="193">
        <v>5.2173913043478265E-2</v>
      </c>
      <c r="AC88" s="123" t="str">
        <f>"     " &amp; TEXT(AB88,"#0.00%") &amp; " "</f>
        <v xml:space="preserve">     5.22% </v>
      </c>
      <c r="AD88" s="4"/>
      <c r="AE88" s="4"/>
      <c r="AF88" s="4"/>
      <c r="AG88" s="4"/>
      <c r="AH88" s="4"/>
      <c r="AI88" s="4" t="str">
        <f>"     " &amp; "구현" &amp; " " &amp; IF(M88="","",TEXT(M88,"M/D-")) &amp; IF(N88="","",TEXT(N88,"M/D")) &amp; " "</f>
        <v xml:space="preserve">     구현 7/4-8/16 </v>
      </c>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row>
    <row r="89" spans="1:98" outlineLevel="1">
      <c r="A89" s="116"/>
      <c r="B89" s="116" t="s">
        <v>1065</v>
      </c>
      <c r="C89" s="116">
        <v>2</v>
      </c>
      <c r="D89" s="3" t="s">
        <v>1194</v>
      </c>
      <c r="E89" s="215"/>
      <c r="F89" s="217" t="s">
        <v>1163</v>
      </c>
      <c r="G89" s="217"/>
      <c r="H89" s="184"/>
      <c r="I89" s="184"/>
      <c r="J89" s="184"/>
      <c r="K89" s="184"/>
      <c r="L89" s="184"/>
      <c r="M89" s="185">
        <v>43650</v>
      </c>
      <c r="N89" s="185">
        <v>43655</v>
      </c>
      <c r="O89" s="186"/>
      <c r="P89" s="187">
        <v>4</v>
      </c>
      <c r="Q89" s="187">
        <v>4</v>
      </c>
      <c r="R89" s="188">
        <v>4</v>
      </c>
      <c r="S89" s="188">
        <v>4</v>
      </c>
      <c r="T89" s="185"/>
      <c r="U89" s="185"/>
      <c r="V89" s="189">
        <v>0</v>
      </c>
      <c r="W89" s="190">
        <v>0</v>
      </c>
      <c r="X89" s="191"/>
      <c r="Y89" s="186"/>
      <c r="Z89" s="192"/>
      <c r="AA89" s="97">
        <v>1</v>
      </c>
      <c r="AB89" s="193">
        <v>0.9</v>
      </c>
      <c r="AC89" s="123"/>
      <c r="AD89" s="4" t="str">
        <f>" " &amp; TEXT(AB89,"#0.00%") &amp; " " &amp; "Thuns for Myanmar" &amp; " " &amp; IF(M89="","",TEXT(M89,"M/D-")) &amp; IF(N89="","",TEXT(N89,"M/D")) &amp; " "</f>
        <v xml:space="preserve"> 90.00% Thuns for Myanmar 7/4-7/9 </v>
      </c>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row>
    <row r="90" spans="1:98" outlineLevel="2">
      <c r="A90" s="116"/>
      <c r="B90" s="116"/>
      <c r="C90" s="116">
        <v>3</v>
      </c>
      <c r="D90" s="3" t="s">
        <v>1309</v>
      </c>
      <c r="E90" s="215"/>
      <c r="F90" s="217"/>
      <c r="G90" s="217" t="s">
        <v>1305</v>
      </c>
      <c r="H90" s="184"/>
      <c r="I90" s="184"/>
      <c r="J90" s="184"/>
      <c r="K90" s="184"/>
      <c r="L90" s="184"/>
      <c r="M90" s="185"/>
      <c r="N90" s="185"/>
      <c r="O90" s="186"/>
      <c r="P90" s="187">
        <v>0</v>
      </c>
      <c r="Q90" s="187">
        <v>0</v>
      </c>
      <c r="R90" s="188">
        <v>0</v>
      </c>
      <c r="S90" s="188">
        <v>0</v>
      </c>
      <c r="T90" s="185"/>
      <c r="U90" s="185"/>
      <c r="V90" s="189">
        <v>0</v>
      </c>
      <c r="W90" s="190">
        <v>0</v>
      </c>
      <c r="X90" s="191"/>
      <c r="Y90" s="186"/>
      <c r="Z90" s="192"/>
      <c r="AA90" s="97">
        <v>0</v>
      </c>
      <c r="AB90" s="193">
        <v>0</v>
      </c>
      <c r="AC90" s="123"/>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row>
    <row r="91" spans="1:98" outlineLevel="2">
      <c r="A91" s="116"/>
      <c r="B91" s="116"/>
      <c r="C91" s="116">
        <v>3</v>
      </c>
      <c r="D91" s="3" t="s">
        <v>1310</v>
      </c>
      <c r="E91" s="215"/>
      <c r="F91" s="217"/>
      <c r="G91" s="217" t="s">
        <v>1306</v>
      </c>
      <c r="H91" s="184"/>
      <c r="I91" s="184"/>
      <c r="J91" s="184"/>
      <c r="K91" s="184"/>
      <c r="L91" s="184"/>
      <c r="M91" s="185"/>
      <c r="N91" s="185"/>
      <c r="O91" s="186"/>
      <c r="P91" s="187">
        <v>0</v>
      </c>
      <c r="Q91" s="187">
        <v>0</v>
      </c>
      <c r="R91" s="188">
        <v>0</v>
      </c>
      <c r="S91" s="188">
        <v>0</v>
      </c>
      <c r="T91" s="185"/>
      <c r="U91" s="185"/>
      <c r="V91" s="189">
        <v>0</v>
      </c>
      <c r="W91" s="190">
        <v>0</v>
      </c>
      <c r="X91" s="191"/>
      <c r="Y91" s="186"/>
      <c r="Z91" s="192"/>
      <c r="AA91" s="97">
        <v>0</v>
      </c>
      <c r="AB91" s="193">
        <v>0</v>
      </c>
      <c r="AC91" s="123"/>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row>
    <row r="92" spans="1:98" outlineLevel="2">
      <c r="A92" s="116"/>
      <c r="B92" s="116"/>
      <c r="C92" s="116">
        <v>3</v>
      </c>
      <c r="D92" s="3" t="s">
        <v>1311</v>
      </c>
      <c r="E92" s="215"/>
      <c r="F92" s="217"/>
      <c r="G92" s="217" t="s">
        <v>1307</v>
      </c>
      <c r="H92" s="184"/>
      <c r="I92" s="184"/>
      <c r="J92" s="184"/>
      <c r="K92" s="184"/>
      <c r="L92" s="184"/>
      <c r="M92" s="185">
        <v>43650</v>
      </c>
      <c r="N92" s="185">
        <v>43655</v>
      </c>
      <c r="O92" s="186"/>
      <c r="P92" s="187">
        <v>4</v>
      </c>
      <c r="Q92" s="187">
        <v>4</v>
      </c>
      <c r="R92" s="188">
        <v>4</v>
      </c>
      <c r="S92" s="188">
        <v>4</v>
      </c>
      <c r="T92" s="185"/>
      <c r="U92" s="185"/>
      <c r="V92" s="189"/>
      <c r="W92" s="190">
        <v>0</v>
      </c>
      <c r="X92" s="191">
        <v>1</v>
      </c>
      <c r="Y92" s="186" t="s">
        <v>1362</v>
      </c>
      <c r="Z92" s="192"/>
      <c r="AA92" s="97">
        <v>1</v>
      </c>
      <c r="AB92" s="193">
        <v>0.9</v>
      </c>
      <c r="AC92" s="123"/>
      <c r="AD92" s="4" t="str">
        <f>" " &amp; TEXT(AB92,"#0.00%") &amp; " " &amp; "API" &amp; "(Saroj)" &amp; " " &amp; IF(M92="","",TEXT(M92,"M/D-")) &amp; IF(N92="","",TEXT(N92,"M/D")) &amp; " "</f>
        <v xml:space="preserve"> 90.00% API(Saroj) 7/4-7/9 </v>
      </c>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row>
    <row r="93" spans="1:98" outlineLevel="2">
      <c r="A93" s="116"/>
      <c r="B93" s="116"/>
      <c r="C93" s="116">
        <v>3</v>
      </c>
      <c r="D93" s="3" t="s">
        <v>1312</v>
      </c>
      <c r="E93" s="215"/>
      <c r="F93" s="217"/>
      <c r="G93" s="217" t="s">
        <v>1308</v>
      </c>
      <c r="H93" s="184"/>
      <c r="I93" s="184"/>
      <c r="J93" s="184"/>
      <c r="K93" s="184"/>
      <c r="L93" s="184"/>
      <c r="M93" s="185"/>
      <c r="N93" s="185"/>
      <c r="O93" s="186"/>
      <c r="P93" s="187">
        <v>0</v>
      </c>
      <c r="Q93" s="187">
        <v>0</v>
      </c>
      <c r="R93" s="188">
        <v>0</v>
      </c>
      <c r="S93" s="188">
        <v>0</v>
      </c>
      <c r="T93" s="185"/>
      <c r="U93" s="185"/>
      <c r="V93" s="189">
        <v>0</v>
      </c>
      <c r="W93" s="190">
        <v>0</v>
      </c>
      <c r="X93" s="191"/>
      <c r="Y93" s="186"/>
      <c r="Z93" s="192"/>
      <c r="AA93" s="97">
        <v>0</v>
      </c>
      <c r="AB93" s="193">
        <v>0</v>
      </c>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row>
    <row r="94" spans="1:98" outlineLevel="2">
      <c r="A94" s="116"/>
      <c r="B94" s="116"/>
      <c r="C94" s="116">
        <v>0</v>
      </c>
      <c r="D94" s="3"/>
      <c r="E94" s="215"/>
      <c r="F94" s="217"/>
      <c r="G94" s="217"/>
      <c r="H94" s="184"/>
      <c r="I94" s="184"/>
      <c r="J94" s="184"/>
      <c r="K94" s="184"/>
      <c r="L94" s="184"/>
      <c r="M94" s="185"/>
      <c r="N94" s="185"/>
      <c r="O94" s="186"/>
      <c r="P94" s="187"/>
      <c r="Q94" s="187"/>
      <c r="R94" s="188">
        <v>0</v>
      </c>
      <c r="S94" s="188">
        <v>0</v>
      </c>
      <c r="T94" s="185"/>
      <c r="U94" s="185"/>
      <c r="V94" s="189"/>
      <c r="W94" s="190">
        <v>0</v>
      </c>
      <c r="X94" s="191"/>
      <c r="Y94" s="186"/>
      <c r="Z94" s="192"/>
      <c r="AA94" s="97"/>
      <c r="AB94" s="193"/>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row>
    <row r="95" spans="1:98" outlineLevel="1">
      <c r="A95" s="116"/>
      <c r="B95" s="116" t="s">
        <v>1065</v>
      </c>
      <c r="C95" s="116">
        <v>2</v>
      </c>
      <c r="D95" s="3" t="s">
        <v>1195</v>
      </c>
      <c r="E95" s="215"/>
      <c r="F95" s="217" t="s">
        <v>1164</v>
      </c>
      <c r="G95" s="217"/>
      <c r="H95" s="184"/>
      <c r="I95" s="184"/>
      <c r="J95" s="184"/>
      <c r="K95" s="184"/>
      <c r="L95" s="184"/>
      <c r="M95" s="185">
        <v>43657</v>
      </c>
      <c r="N95" s="185">
        <v>43670</v>
      </c>
      <c r="O95" s="186"/>
      <c r="P95" s="187">
        <v>13</v>
      </c>
      <c r="Q95" s="187">
        <v>0</v>
      </c>
      <c r="R95" s="188">
        <v>10</v>
      </c>
      <c r="S95" s="188">
        <v>0</v>
      </c>
      <c r="T95" s="185"/>
      <c r="U95" s="185"/>
      <c r="V95" s="189">
        <v>0</v>
      </c>
      <c r="W95" s="190">
        <v>0</v>
      </c>
      <c r="X95" s="191"/>
      <c r="Y95" s="186"/>
      <c r="Z95" s="192"/>
      <c r="AA95" s="97">
        <v>0</v>
      </c>
      <c r="AB95" s="193">
        <v>0</v>
      </c>
      <c r="AC95" s="123"/>
      <c r="AD95" s="4" t="str">
        <f>"   " &amp; TEXT(AB95,"#0.00%") &amp; " " &amp; "Lyhour API for Cambodia deposit" &amp; " " &amp; IF(M95="","",TEXT(M95,"M/D-")) &amp; IF(N95="","",TEXT(N95,"M/D")) &amp; " "</f>
        <v xml:space="preserve">   0.00% Lyhour API for Cambodia deposit 7/11-7/24 </v>
      </c>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row>
    <row r="96" spans="1:98" outlineLevel="2">
      <c r="A96" s="116"/>
      <c r="B96" s="116"/>
      <c r="C96" s="116">
        <v>3</v>
      </c>
      <c r="D96" s="3" t="s">
        <v>1313</v>
      </c>
      <c r="E96" s="215"/>
      <c r="F96" s="217"/>
      <c r="G96" s="217" t="s">
        <v>1305</v>
      </c>
      <c r="H96" s="184"/>
      <c r="I96" s="184"/>
      <c r="J96" s="184"/>
      <c r="K96" s="184"/>
      <c r="L96" s="184"/>
      <c r="M96" s="185">
        <v>43663</v>
      </c>
      <c r="N96" s="185">
        <v>43665</v>
      </c>
      <c r="O96" s="186"/>
      <c r="P96" s="187">
        <v>3</v>
      </c>
      <c r="Q96" s="187">
        <v>0</v>
      </c>
      <c r="R96" s="188">
        <v>3</v>
      </c>
      <c r="S96" s="188">
        <v>0</v>
      </c>
      <c r="T96" s="185"/>
      <c r="U96" s="185"/>
      <c r="V96" s="189"/>
      <c r="W96" s="190">
        <v>0</v>
      </c>
      <c r="X96" s="191">
        <v>1</v>
      </c>
      <c r="Y96" s="186" t="s">
        <v>1362</v>
      </c>
      <c r="Z96" s="192"/>
      <c r="AA96" s="97">
        <v>0</v>
      </c>
      <c r="AB96" s="193">
        <v>0</v>
      </c>
      <c r="AC96" s="123"/>
      <c r="AD96" s="4"/>
      <c r="AE96" s="4" t="str">
        <f>"  " &amp; TEXT(AB96,"#0.00%") &amp; " " &amp; "Core" &amp; "(Saroj)" &amp; " " &amp; IF(M96="","",TEXT(M96,"M/D-")) &amp; IF(N96="","",TEXT(N96,"M/D")) &amp; " "</f>
        <v xml:space="preserve">  0.00% Core(Saroj) 7/17-7/19 </v>
      </c>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row>
    <row r="97" spans="1:98" outlineLevel="2">
      <c r="A97" s="116"/>
      <c r="B97" s="116"/>
      <c r="C97" s="116">
        <v>3</v>
      </c>
      <c r="D97" s="3" t="s">
        <v>1314</v>
      </c>
      <c r="E97" s="215"/>
      <c r="F97" s="217"/>
      <c r="G97" s="217" t="s">
        <v>1306</v>
      </c>
      <c r="H97" s="184"/>
      <c r="I97" s="184"/>
      <c r="J97" s="184"/>
      <c r="K97" s="184"/>
      <c r="L97" s="184"/>
      <c r="M97" s="185"/>
      <c r="N97" s="185"/>
      <c r="O97" s="186"/>
      <c r="P97" s="187">
        <v>0</v>
      </c>
      <c r="Q97" s="187">
        <v>0</v>
      </c>
      <c r="R97" s="188">
        <v>0</v>
      </c>
      <c r="S97" s="188">
        <v>0</v>
      </c>
      <c r="T97" s="185"/>
      <c r="U97" s="185"/>
      <c r="V97" s="189">
        <v>0</v>
      </c>
      <c r="W97" s="190">
        <v>0</v>
      </c>
      <c r="X97" s="191"/>
      <c r="Y97" s="186"/>
      <c r="Z97" s="192"/>
      <c r="AA97" s="97">
        <v>0</v>
      </c>
      <c r="AB97" s="193">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row>
    <row r="98" spans="1:98" outlineLevel="2">
      <c r="A98" s="116"/>
      <c r="B98" s="116"/>
      <c r="C98" s="116">
        <v>3</v>
      </c>
      <c r="D98" s="3" t="s">
        <v>1315</v>
      </c>
      <c r="E98" s="215"/>
      <c r="F98" s="217"/>
      <c r="G98" s="217" t="s">
        <v>1307</v>
      </c>
      <c r="H98" s="184"/>
      <c r="I98" s="184"/>
      <c r="J98" s="184"/>
      <c r="K98" s="184"/>
      <c r="L98" s="184"/>
      <c r="M98" s="185">
        <v>43657</v>
      </c>
      <c r="N98" s="185">
        <v>43670</v>
      </c>
      <c r="O98" s="186"/>
      <c r="P98" s="187">
        <v>10</v>
      </c>
      <c r="Q98" s="187">
        <v>0</v>
      </c>
      <c r="R98" s="188">
        <v>10</v>
      </c>
      <c r="S98" s="188">
        <v>0</v>
      </c>
      <c r="T98" s="185"/>
      <c r="U98" s="185"/>
      <c r="V98" s="189"/>
      <c r="W98" s="190">
        <v>0</v>
      </c>
      <c r="X98" s="191">
        <v>1</v>
      </c>
      <c r="Y98" s="186" t="s">
        <v>1362</v>
      </c>
      <c r="Z98" s="192"/>
      <c r="AA98" s="97">
        <v>0</v>
      </c>
      <c r="AB98" s="193">
        <v>0</v>
      </c>
      <c r="AC98" s="123"/>
      <c r="AD98" s="4" t="str">
        <f>"   " &amp; TEXT(AB98,"#0.00%") &amp; " " &amp; "API" &amp; "(Saroj)" &amp; " " &amp; IF(M98="","",TEXT(M98,"M/D-")) &amp; IF(N98="","",TEXT(N98,"M/D")) &amp; " "</f>
        <v xml:space="preserve">   0.00% API(Saroj) 7/11-7/24 </v>
      </c>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row>
    <row r="99" spans="1:98" outlineLevel="2">
      <c r="A99" s="116"/>
      <c r="B99" s="116"/>
      <c r="C99" s="116">
        <v>3</v>
      </c>
      <c r="D99" s="3" t="s">
        <v>1316</v>
      </c>
      <c r="E99" s="215"/>
      <c r="F99" s="217"/>
      <c r="G99" s="217" t="s">
        <v>1308</v>
      </c>
      <c r="H99" s="184"/>
      <c r="I99" s="184"/>
      <c r="J99" s="184"/>
      <c r="K99" s="184"/>
      <c r="L99" s="184"/>
      <c r="M99" s="185"/>
      <c r="N99" s="185"/>
      <c r="O99" s="186"/>
      <c r="P99" s="187">
        <v>0</v>
      </c>
      <c r="Q99" s="187">
        <v>0</v>
      </c>
      <c r="R99" s="188">
        <v>0</v>
      </c>
      <c r="S99" s="188">
        <v>0</v>
      </c>
      <c r="T99" s="185"/>
      <c r="U99" s="185"/>
      <c r="V99" s="189">
        <v>0</v>
      </c>
      <c r="W99" s="190">
        <v>0</v>
      </c>
      <c r="X99" s="191"/>
      <c r="Y99" s="186"/>
      <c r="Z99" s="192"/>
      <c r="AA99" s="97">
        <v>0</v>
      </c>
      <c r="AB99" s="193">
        <v>0</v>
      </c>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row>
    <row r="100" spans="1:98" outlineLevel="2">
      <c r="A100" s="116"/>
      <c r="B100" s="116"/>
      <c r="C100" s="116">
        <v>0</v>
      </c>
      <c r="D100" s="3"/>
      <c r="E100" s="215"/>
      <c r="F100" s="217"/>
      <c r="G100" s="217"/>
      <c r="H100" s="184"/>
      <c r="I100" s="184"/>
      <c r="J100" s="184"/>
      <c r="K100" s="184"/>
      <c r="L100" s="184"/>
      <c r="M100" s="185"/>
      <c r="N100" s="185"/>
      <c r="O100" s="186"/>
      <c r="P100" s="187"/>
      <c r="Q100" s="187"/>
      <c r="R100" s="188">
        <v>0</v>
      </c>
      <c r="S100" s="188">
        <v>0</v>
      </c>
      <c r="T100" s="185"/>
      <c r="U100" s="185"/>
      <c r="V100" s="189"/>
      <c r="W100" s="190">
        <v>0</v>
      </c>
      <c r="X100" s="191"/>
      <c r="Y100" s="186"/>
      <c r="Z100" s="192"/>
      <c r="AA100" s="97"/>
      <c r="AB100" s="193"/>
      <c r="AC100" s="123"/>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row>
    <row r="101" spans="1:98" outlineLevel="1">
      <c r="A101" s="116"/>
      <c r="B101" s="116" t="s">
        <v>1065</v>
      </c>
      <c r="C101" s="116">
        <v>2</v>
      </c>
      <c r="D101" s="3" t="s">
        <v>1196</v>
      </c>
      <c r="E101" s="215"/>
      <c r="F101" s="217" t="s">
        <v>1165</v>
      </c>
      <c r="G101" s="217"/>
      <c r="H101" s="184"/>
      <c r="I101" s="184"/>
      <c r="J101" s="184"/>
      <c r="K101" s="184"/>
      <c r="L101" s="184"/>
      <c r="M101" s="185">
        <v>43654</v>
      </c>
      <c r="N101" s="185">
        <v>43671</v>
      </c>
      <c r="O101" s="186"/>
      <c r="P101" s="187">
        <v>19</v>
      </c>
      <c r="Q101" s="187">
        <v>2</v>
      </c>
      <c r="R101" s="188">
        <v>14</v>
      </c>
      <c r="S101" s="188">
        <v>2</v>
      </c>
      <c r="T101" s="185"/>
      <c r="U101" s="185"/>
      <c r="V101" s="189">
        <v>0</v>
      </c>
      <c r="W101" s="190">
        <v>0</v>
      </c>
      <c r="X101" s="191"/>
      <c r="Y101" s="186"/>
      <c r="Z101" s="192"/>
      <c r="AA101" s="97">
        <v>0.10526315789473684</v>
      </c>
      <c r="AB101" s="193">
        <v>0</v>
      </c>
      <c r="AC101" s="123"/>
      <c r="AD101" s="4" t="str">
        <f>"" &amp; TEXT(AB101,"#0.00%") &amp; " " &amp; "Inbound(Online, App) 2nd Phase" &amp; " " &amp; IF(M101="","",TEXT(M101,"M/D-")) &amp; IF(N101="","",TEXT(N101,"M/D")) &amp; " "</f>
        <v xml:space="preserve">0.00% Inbound(Online, App) 2nd Phase 7/8-7/25 </v>
      </c>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row>
    <row r="102" spans="1:98" outlineLevel="2">
      <c r="A102" s="116"/>
      <c r="B102" s="116"/>
      <c r="C102" s="116">
        <v>3</v>
      </c>
      <c r="D102" s="3" t="s">
        <v>1317</v>
      </c>
      <c r="E102" s="215"/>
      <c r="F102" s="217"/>
      <c r="G102" s="217" t="s">
        <v>1305</v>
      </c>
      <c r="H102" s="184"/>
      <c r="I102" s="184"/>
      <c r="J102" s="184"/>
      <c r="K102" s="184"/>
      <c r="L102" s="184"/>
      <c r="M102" s="185">
        <v>43668</v>
      </c>
      <c r="N102" s="185">
        <v>43671</v>
      </c>
      <c r="O102" s="186"/>
      <c r="P102" s="187">
        <v>4</v>
      </c>
      <c r="Q102" s="187">
        <v>0</v>
      </c>
      <c r="R102" s="188">
        <v>4</v>
      </c>
      <c r="S102" s="188">
        <v>0</v>
      </c>
      <c r="T102" s="185"/>
      <c r="U102" s="185"/>
      <c r="V102" s="189"/>
      <c r="W102" s="190">
        <v>0</v>
      </c>
      <c r="X102" s="191">
        <v>1</v>
      </c>
      <c r="Y102" s="186" t="s">
        <v>1367</v>
      </c>
      <c r="Z102" s="192"/>
      <c r="AA102" s="97">
        <v>0</v>
      </c>
      <c r="AB102" s="193">
        <v>0</v>
      </c>
      <c r="AC102" s="123"/>
      <c r="AD102" s="4"/>
      <c r="AE102" s="4"/>
      <c r="AF102" s="4" t="str">
        <f>"" &amp; TEXT(AB102,"#0.00%") &amp; " " &amp; "Core" &amp; "(Manoj)" &amp; " " &amp; IF(M102="","",TEXT(M102,"M/D-")) &amp; IF(N102="","",TEXT(N102,"M/D")) &amp; " "</f>
        <v xml:space="preserve">0.00% Core(Manoj) 7/22-7/25 </v>
      </c>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row>
    <row r="103" spans="1:98" outlineLevel="2">
      <c r="A103" s="116"/>
      <c r="B103" s="116"/>
      <c r="C103" s="116">
        <v>3</v>
      </c>
      <c r="D103" s="3" t="s">
        <v>1318</v>
      </c>
      <c r="E103" s="215"/>
      <c r="F103" s="217"/>
      <c r="G103" s="217" t="s">
        <v>1306</v>
      </c>
      <c r="H103" s="184"/>
      <c r="I103" s="184"/>
      <c r="J103" s="184"/>
      <c r="K103" s="184"/>
      <c r="L103" s="184"/>
      <c r="M103" s="185">
        <v>43654</v>
      </c>
      <c r="N103" s="185">
        <v>43658</v>
      </c>
      <c r="O103" s="186"/>
      <c r="P103" s="187">
        <v>5</v>
      </c>
      <c r="Q103" s="187">
        <v>2</v>
      </c>
      <c r="R103" s="188">
        <v>5</v>
      </c>
      <c r="S103" s="188">
        <v>2</v>
      </c>
      <c r="T103" s="185"/>
      <c r="U103" s="185"/>
      <c r="V103" s="189"/>
      <c r="W103" s="190">
        <v>0</v>
      </c>
      <c r="X103" s="191">
        <v>1</v>
      </c>
      <c r="Y103" s="186" t="s">
        <v>1367</v>
      </c>
      <c r="Z103" s="192"/>
      <c r="AA103" s="97">
        <v>0.4</v>
      </c>
      <c r="AB103" s="193">
        <v>0</v>
      </c>
      <c r="AC103" s="123"/>
      <c r="AD103" s="4" t="str">
        <f>"" &amp; TEXT(AB103,"#0.00%") &amp; " " &amp; "Online" &amp; "(Manoj)" &amp; " " &amp; IF(M103="","",TEXT(M103,"M/D-")) &amp; IF(N103="","",TEXT(N103,"M/D")) &amp; " "</f>
        <v xml:space="preserve">0.00% Online(Manoj) 7/8-7/12 </v>
      </c>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row>
    <row r="104" spans="1:98" outlineLevel="2">
      <c r="A104" s="116"/>
      <c r="B104" s="116"/>
      <c r="C104" s="116">
        <v>3</v>
      </c>
      <c r="D104" s="3" t="s">
        <v>1319</v>
      </c>
      <c r="E104" s="215"/>
      <c r="F104" s="217"/>
      <c r="G104" s="217" t="s">
        <v>1307</v>
      </c>
      <c r="H104" s="184"/>
      <c r="I104" s="184"/>
      <c r="J104" s="184"/>
      <c r="K104" s="184"/>
      <c r="L104" s="184"/>
      <c r="M104" s="185">
        <v>43661</v>
      </c>
      <c r="N104" s="185">
        <v>43665</v>
      </c>
      <c r="O104" s="186"/>
      <c r="P104" s="187">
        <v>5</v>
      </c>
      <c r="Q104" s="187">
        <v>0</v>
      </c>
      <c r="R104" s="188">
        <v>5</v>
      </c>
      <c r="S104" s="188">
        <v>0</v>
      </c>
      <c r="T104" s="185"/>
      <c r="U104" s="185"/>
      <c r="V104" s="189"/>
      <c r="W104" s="190">
        <v>0</v>
      </c>
      <c r="X104" s="191">
        <v>1</v>
      </c>
      <c r="Y104" s="186" t="s">
        <v>1367</v>
      </c>
      <c r="Z104" s="192"/>
      <c r="AA104" s="97">
        <v>0</v>
      </c>
      <c r="AB104" s="193">
        <v>0</v>
      </c>
      <c r="AC104" s="123"/>
      <c r="AD104" s="4"/>
      <c r="AE104" s="4" t="str">
        <f>"" &amp; TEXT(AB104,"#0.00%") &amp; " " &amp; "API" &amp; "(Manoj)" &amp; " " &amp; IF(M104="","",TEXT(M104,"M/D-")) &amp; IF(N104="","",TEXT(N104,"M/D")) &amp; " "</f>
        <v xml:space="preserve">0.00% API(Manoj) 7/15-7/19 </v>
      </c>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row>
    <row r="105" spans="1:98" outlineLevel="2">
      <c r="A105" s="116"/>
      <c r="B105" s="116"/>
      <c r="C105" s="116">
        <v>3</v>
      </c>
      <c r="D105" s="3" t="s">
        <v>1320</v>
      </c>
      <c r="E105" s="215"/>
      <c r="F105" s="217"/>
      <c r="G105" s="217" t="s">
        <v>1308</v>
      </c>
      <c r="H105" s="184"/>
      <c r="I105" s="184"/>
      <c r="J105" s="184"/>
      <c r="K105" s="184"/>
      <c r="L105" s="184"/>
      <c r="M105" s="185">
        <v>43662</v>
      </c>
      <c r="N105" s="185">
        <v>43668</v>
      </c>
      <c r="O105" s="186"/>
      <c r="P105" s="187">
        <v>5</v>
      </c>
      <c r="Q105" s="187">
        <v>0</v>
      </c>
      <c r="R105" s="188">
        <v>5</v>
      </c>
      <c r="S105" s="188">
        <v>0</v>
      </c>
      <c r="T105" s="185"/>
      <c r="U105" s="185"/>
      <c r="V105" s="189"/>
      <c r="W105" s="190">
        <v>0</v>
      </c>
      <c r="X105" s="191">
        <v>1</v>
      </c>
      <c r="Y105" s="186" t="s">
        <v>1365</v>
      </c>
      <c r="Z105" s="192"/>
      <c r="AA105" s="97">
        <v>0</v>
      </c>
      <c r="AB105" s="193">
        <v>0</v>
      </c>
      <c r="AC105" s="123"/>
      <c r="AD105" s="4"/>
      <c r="AE105" s="4" t="str">
        <f>" " &amp; TEXT(AB105,"#0.00%") &amp; " " &amp; "iOS,Android" &amp; "(James,Preyea)" &amp; " " &amp; IF(M105="","",TEXT(M105,"M/D-")) &amp; IF(N105="","",TEXT(N105,"M/D")) &amp; " "</f>
        <v xml:space="preserve"> 0.00% iOS,Android(James,Preyea) 7/16-7/22 </v>
      </c>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row>
    <row r="106" spans="1:98" outlineLevel="2">
      <c r="A106" s="116"/>
      <c r="B106" s="116"/>
      <c r="C106" s="116">
        <v>0</v>
      </c>
      <c r="D106" s="3"/>
      <c r="E106" s="215"/>
      <c r="F106" s="217"/>
      <c r="G106" s="217"/>
      <c r="H106" s="184"/>
      <c r="I106" s="184"/>
      <c r="J106" s="184"/>
      <c r="K106" s="184"/>
      <c r="L106" s="184"/>
      <c r="M106" s="185"/>
      <c r="N106" s="185"/>
      <c r="O106" s="186"/>
      <c r="P106" s="187"/>
      <c r="Q106" s="187"/>
      <c r="R106" s="188">
        <v>0</v>
      </c>
      <c r="S106" s="188">
        <v>0</v>
      </c>
      <c r="T106" s="185"/>
      <c r="U106" s="185"/>
      <c r="V106" s="189"/>
      <c r="W106" s="190">
        <v>0</v>
      </c>
      <c r="X106" s="191"/>
      <c r="Y106" s="186"/>
      <c r="Z106" s="192"/>
      <c r="AA106" s="97"/>
      <c r="AB106" s="193"/>
      <c r="AC106" s="123"/>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row>
    <row r="107" spans="1:98" outlineLevel="1">
      <c r="A107" s="116"/>
      <c r="B107" s="116" t="s">
        <v>1065</v>
      </c>
      <c r="C107" s="116">
        <v>2</v>
      </c>
      <c r="D107" s="3" t="s">
        <v>1197</v>
      </c>
      <c r="E107" s="215"/>
      <c r="F107" s="217" t="s">
        <v>1166</v>
      </c>
      <c r="G107" s="217"/>
      <c r="H107" s="184"/>
      <c r="I107" s="184"/>
      <c r="J107" s="184"/>
      <c r="K107" s="184"/>
      <c r="L107" s="184"/>
      <c r="M107" s="185">
        <v>43668</v>
      </c>
      <c r="N107" s="185">
        <v>43672</v>
      </c>
      <c r="O107" s="186"/>
      <c r="P107" s="187">
        <v>6</v>
      </c>
      <c r="Q107" s="187">
        <v>0</v>
      </c>
      <c r="R107" s="188">
        <v>5</v>
      </c>
      <c r="S107" s="188">
        <v>0</v>
      </c>
      <c r="T107" s="185"/>
      <c r="U107" s="185"/>
      <c r="V107" s="189">
        <v>0</v>
      </c>
      <c r="W107" s="190">
        <v>0</v>
      </c>
      <c r="X107" s="191"/>
      <c r="Y107" s="186"/>
      <c r="Z107" s="192"/>
      <c r="AA107" s="97">
        <v>0</v>
      </c>
      <c r="AB107" s="193">
        <v>0</v>
      </c>
      <c r="AC107" s="123"/>
      <c r="AD107" s="4"/>
      <c r="AE107" s="4"/>
      <c r="AF107" s="4" t="str">
        <f>"" &amp; TEXT(AB107,"#0.00%") &amp; " " &amp; "Shinhan,IBK-KFTC" &amp; " " &amp; IF(M107="","",TEXT(M107,"M/D-")) &amp; IF(N107="","",TEXT(N107,"M/D")) &amp; " "</f>
        <v xml:space="preserve">0.00% Shinhan,IBK-KFTC 7/22-7/26 </v>
      </c>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row>
    <row r="108" spans="1:98" outlineLevel="2">
      <c r="A108" s="116"/>
      <c r="B108" s="116"/>
      <c r="C108" s="116">
        <v>3</v>
      </c>
      <c r="D108" s="3" t="s">
        <v>1321</v>
      </c>
      <c r="E108" s="215"/>
      <c r="F108" s="217"/>
      <c r="G108" s="217" t="s">
        <v>1305</v>
      </c>
      <c r="H108" s="184"/>
      <c r="I108" s="184"/>
      <c r="J108" s="184"/>
      <c r="K108" s="184"/>
      <c r="L108" s="184"/>
      <c r="M108" s="185">
        <v>43668</v>
      </c>
      <c r="N108" s="185">
        <v>43668</v>
      </c>
      <c r="O108" s="186"/>
      <c r="P108" s="187">
        <v>1</v>
      </c>
      <c r="Q108" s="187">
        <v>0</v>
      </c>
      <c r="R108" s="188">
        <v>1</v>
      </c>
      <c r="S108" s="188">
        <v>0</v>
      </c>
      <c r="T108" s="185"/>
      <c r="U108" s="185"/>
      <c r="V108" s="189"/>
      <c r="W108" s="190">
        <v>0</v>
      </c>
      <c r="X108" s="191">
        <v>1</v>
      </c>
      <c r="Y108" s="186" t="s">
        <v>1364</v>
      </c>
      <c r="Z108" s="192"/>
      <c r="AA108" s="97">
        <v>0</v>
      </c>
      <c r="AB108" s="193">
        <v>0</v>
      </c>
      <c r="AC108" s="123"/>
      <c r="AD108" s="4"/>
      <c r="AE108" s="4"/>
      <c r="AF108" s="4" t="str">
        <f>"" &amp; TEXT(AB108,"#0.00%") &amp; " " &amp; "Core" &amp; "(Ryan )" &amp; " " &amp; IF(M108="","",TEXT(M108,"M/D-")) &amp; IF(N108="","",TEXT(N108,"M/D")) &amp; " "</f>
        <v xml:space="preserve">0.00% Core(Ryan ) 7/22-7/22 </v>
      </c>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row>
    <row r="109" spans="1:98" outlineLevel="2">
      <c r="A109" s="116"/>
      <c r="B109" s="116"/>
      <c r="C109" s="116">
        <v>3</v>
      </c>
      <c r="D109" s="3" t="s">
        <v>1322</v>
      </c>
      <c r="E109" s="215"/>
      <c r="F109" s="217"/>
      <c r="G109" s="217" t="s">
        <v>1306</v>
      </c>
      <c r="H109" s="184"/>
      <c r="I109" s="184"/>
      <c r="J109" s="184"/>
      <c r="K109" s="184"/>
      <c r="L109" s="184"/>
      <c r="M109" s="185">
        <v>43669</v>
      </c>
      <c r="N109" s="185">
        <v>43670</v>
      </c>
      <c r="O109" s="186"/>
      <c r="P109" s="187">
        <v>2</v>
      </c>
      <c r="Q109" s="187">
        <v>0</v>
      </c>
      <c r="R109" s="188">
        <v>2</v>
      </c>
      <c r="S109" s="188">
        <v>0</v>
      </c>
      <c r="T109" s="185"/>
      <c r="U109" s="185"/>
      <c r="V109" s="189"/>
      <c r="W109" s="190">
        <v>0</v>
      </c>
      <c r="X109" s="191">
        <v>1</v>
      </c>
      <c r="Y109" s="186" t="s">
        <v>1364</v>
      </c>
      <c r="Z109" s="192"/>
      <c r="AA109" s="97">
        <v>0</v>
      </c>
      <c r="AB109" s="193">
        <v>0</v>
      </c>
      <c r="AC109" s="123"/>
      <c r="AD109" s="4"/>
      <c r="AE109" s="4"/>
      <c r="AF109" s="4" t="str">
        <f>" " &amp; TEXT(AB109,"#0.00%") &amp; " " &amp; "Online" &amp; "(Ryan )" &amp; " " &amp; IF(M109="","",TEXT(M109,"M/D-")) &amp; IF(N109="","",TEXT(N109,"M/D")) &amp; " "</f>
        <v xml:space="preserve"> 0.00% Online(Ryan ) 7/23-7/24 </v>
      </c>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row>
    <row r="110" spans="1:98" outlineLevel="2">
      <c r="A110" s="116"/>
      <c r="B110" s="116"/>
      <c r="C110" s="116">
        <v>3</v>
      </c>
      <c r="D110" s="3" t="s">
        <v>1323</v>
      </c>
      <c r="E110" s="215"/>
      <c r="F110" s="217"/>
      <c r="G110" s="217" t="s">
        <v>1307</v>
      </c>
      <c r="H110" s="184"/>
      <c r="I110" s="184"/>
      <c r="J110" s="184"/>
      <c r="K110" s="184"/>
      <c r="L110" s="184"/>
      <c r="M110" s="185">
        <v>43671</v>
      </c>
      <c r="N110" s="185">
        <v>43671</v>
      </c>
      <c r="O110" s="186"/>
      <c r="P110" s="187">
        <v>1</v>
      </c>
      <c r="Q110" s="187">
        <v>0</v>
      </c>
      <c r="R110" s="188">
        <v>1</v>
      </c>
      <c r="S110" s="188">
        <v>0</v>
      </c>
      <c r="T110" s="185"/>
      <c r="U110" s="185"/>
      <c r="V110" s="189"/>
      <c r="W110" s="190">
        <v>0</v>
      </c>
      <c r="X110" s="191">
        <v>1</v>
      </c>
      <c r="Y110" s="186" t="s">
        <v>1364</v>
      </c>
      <c r="Z110" s="192"/>
      <c r="AA110" s="97">
        <v>0</v>
      </c>
      <c r="AB110" s="193">
        <v>0</v>
      </c>
      <c r="AC110" s="123"/>
      <c r="AD110" s="4"/>
      <c r="AE110" s="4"/>
      <c r="AF110" s="4" t="str">
        <f>"   " &amp; TEXT(AB110,"#0.00%") &amp; " " &amp; "API" &amp; "(Ryan )" &amp; " " &amp; IF(M110="","",TEXT(M110,"M/D-")) &amp; IF(N110="","",TEXT(N110,"M/D")) &amp; " "</f>
        <v xml:space="preserve">   0.00% API(Ryan ) 7/25-7/25 </v>
      </c>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row>
    <row r="111" spans="1:98" outlineLevel="2">
      <c r="A111" s="116"/>
      <c r="B111" s="116"/>
      <c r="C111" s="116">
        <v>3</v>
      </c>
      <c r="D111" s="3" t="s">
        <v>1324</v>
      </c>
      <c r="E111" s="215"/>
      <c r="F111" s="217"/>
      <c r="G111" s="217" t="s">
        <v>1308</v>
      </c>
      <c r="H111" s="184"/>
      <c r="I111" s="184"/>
      <c r="J111" s="184"/>
      <c r="K111" s="184"/>
      <c r="L111" s="184"/>
      <c r="M111" s="185">
        <v>43671</v>
      </c>
      <c r="N111" s="185">
        <v>43672</v>
      </c>
      <c r="O111" s="186"/>
      <c r="P111" s="187">
        <v>2</v>
      </c>
      <c r="Q111" s="187">
        <v>0</v>
      </c>
      <c r="R111" s="188">
        <v>2</v>
      </c>
      <c r="S111" s="188">
        <v>0</v>
      </c>
      <c r="T111" s="185"/>
      <c r="U111" s="185"/>
      <c r="V111" s="189"/>
      <c r="W111" s="190">
        <v>0</v>
      </c>
      <c r="X111" s="191">
        <v>1</v>
      </c>
      <c r="Y111" s="186" t="s">
        <v>1365</v>
      </c>
      <c r="Z111" s="192"/>
      <c r="AA111" s="97">
        <v>0</v>
      </c>
      <c r="AB111" s="193">
        <v>0</v>
      </c>
      <c r="AC111" s="123"/>
      <c r="AD111" s="4"/>
      <c r="AE111" s="4"/>
      <c r="AF111" s="4" t="str">
        <f>"   " &amp; TEXT(AB111,"#0.00%") &amp; " " &amp; "iOS,Android" &amp; "(James,Preyea)" &amp; " " &amp; IF(M111="","",TEXT(M111,"M/D-")) &amp; IF(N111="","",TEXT(N111,"M/D")) &amp; " "</f>
        <v xml:space="preserve">   0.00% iOS,Android(James,Preyea) 7/25-7/26 </v>
      </c>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row>
    <row r="112" spans="1:98" outlineLevel="2">
      <c r="A112" s="116"/>
      <c r="B112" s="116"/>
      <c r="C112" s="116">
        <v>0</v>
      </c>
      <c r="D112" s="3"/>
      <c r="E112" s="215"/>
      <c r="F112" s="217"/>
      <c r="G112" s="217"/>
      <c r="H112" s="184"/>
      <c r="I112" s="184"/>
      <c r="J112" s="184"/>
      <c r="K112" s="184"/>
      <c r="L112" s="184"/>
      <c r="M112" s="185"/>
      <c r="N112" s="185"/>
      <c r="O112" s="186"/>
      <c r="P112" s="187"/>
      <c r="Q112" s="187"/>
      <c r="R112" s="188">
        <v>0</v>
      </c>
      <c r="S112" s="188">
        <v>0</v>
      </c>
      <c r="T112" s="185"/>
      <c r="U112" s="185"/>
      <c r="V112" s="189"/>
      <c r="W112" s="190">
        <v>0</v>
      </c>
      <c r="X112" s="191"/>
      <c r="Y112" s="186"/>
      <c r="Z112" s="192"/>
      <c r="AA112" s="97"/>
      <c r="AB112" s="193"/>
      <c r="AC112" s="123"/>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row>
    <row r="113" spans="1:98" outlineLevel="1">
      <c r="A113" s="116"/>
      <c r="B113" s="116" t="s">
        <v>1065</v>
      </c>
      <c r="C113" s="116">
        <v>2</v>
      </c>
      <c r="D113" s="3" t="s">
        <v>1198</v>
      </c>
      <c r="E113" s="215"/>
      <c r="F113" s="217" t="s">
        <v>1167</v>
      </c>
      <c r="G113" s="217"/>
      <c r="H113" s="184"/>
      <c r="I113" s="184"/>
      <c r="J113" s="184"/>
      <c r="K113" s="184"/>
      <c r="L113" s="184"/>
      <c r="M113" s="185">
        <v>43690</v>
      </c>
      <c r="N113" s="185">
        <v>43693</v>
      </c>
      <c r="O113" s="186"/>
      <c r="P113" s="187">
        <v>4</v>
      </c>
      <c r="Q113" s="187">
        <v>0</v>
      </c>
      <c r="R113" s="188">
        <v>3</v>
      </c>
      <c r="S113" s="188">
        <v>0</v>
      </c>
      <c r="T113" s="185"/>
      <c r="U113" s="185"/>
      <c r="V113" s="189">
        <v>0</v>
      </c>
      <c r="W113" s="190">
        <v>0</v>
      </c>
      <c r="X113" s="191"/>
      <c r="Y113" s="186"/>
      <c r="Z113" s="192"/>
      <c r="AA113" s="97">
        <v>0</v>
      </c>
      <c r="AB113" s="193">
        <v>0</v>
      </c>
      <c r="AC113" s="123"/>
      <c r="AD113" s="4"/>
      <c r="AE113" s="4"/>
      <c r="AF113" s="4"/>
      <c r="AG113" s="4"/>
      <c r="AH113" s="4"/>
      <c r="AI113" s="4" t="str">
        <f>" " &amp; TEXT(AB113,"#0.00%") &amp; " " &amp; "Agrani bank/Islami bank add to new app" &amp; " " &amp; IF(M113="","",TEXT(M113,"M/D-")) &amp; IF(N113="","",TEXT(N113,"M/D")) &amp; " "</f>
        <v xml:space="preserve"> 0.00% Agrani bank/Islami bank add to new app 8/13-8/16 </v>
      </c>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row>
    <row r="114" spans="1:98" outlineLevel="2">
      <c r="A114" s="116"/>
      <c r="B114" s="116"/>
      <c r="C114" s="116">
        <v>3</v>
      </c>
      <c r="D114" s="3" t="s">
        <v>1325</v>
      </c>
      <c r="E114" s="215"/>
      <c r="F114" s="217"/>
      <c r="G114" s="217" t="s">
        <v>1305</v>
      </c>
      <c r="H114" s="184"/>
      <c r="I114" s="184"/>
      <c r="J114" s="184"/>
      <c r="K114" s="184"/>
      <c r="L114" s="184"/>
      <c r="M114" s="185"/>
      <c r="N114" s="185"/>
      <c r="O114" s="186"/>
      <c r="P114" s="187">
        <v>0</v>
      </c>
      <c r="Q114" s="187">
        <v>0</v>
      </c>
      <c r="R114" s="188">
        <v>0</v>
      </c>
      <c r="S114" s="188">
        <v>0</v>
      </c>
      <c r="T114" s="185"/>
      <c r="U114" s="185"/>
      <c r="V114" s="189">
        <v>0</v>
      </c>
      <c r="W114" s="190">
        <v>0</v>
      </c>
      <c r="X114" s="191"/>
      <c r="Y114" s="186"/>
      <c r="Z114" s="192"/>
      <c r="AA114" s="97">
        <v>0</v>
      </c>
      <c r="AB114" s="193">
        <v>0</v>
      </c>
      <c r="AC114" s="123"/>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row>
    <row r="115" spans="1:98" outlineLevel="2">
      <c r="A115" s="116"/>
      <c r="B115" s="116"/>
      <c r="C115" s="116">
        <v>3</v>
      </c>
      <c r="D115" s="3" t="s">
        <v>1326</v>
      </c>
      <c r="E115" s="215"/>
      <c r="F115" s="217"/>
      <c r="G115" s="217" t="s">
        <v>1368</v>
      </c>
      <c r="H115" s="184"/>
      <c r="I115" s="184"/>
      <c r="J115" s="184"/>
      <c r="K115" s="184"/>
      <c r="L115" s="184"/>
      <c r="M115" s="185">
        <v>43690</v>
      </c>
      <c r="N115" s="185">
        <v>43690</v>
      </c>
      <c r="O115" s="186"/>
      <c r="P115" s="187">
        <v>1</v>
      </c>
      <c r="Q115" s="187">
        <v>0</v>
      </c>
      <c r="R115" s="188">
        <v>1</v>
      </c>
      <c r="S115" s="188">
        <v>0</v>
      </c>
      <c r="T115" s="185"/>
      <c r="U115" s="185"/>
      <c r="V115" s="189"/>
      <c r="W115" s="190">
        <v>0</v>
      </c>
      <c r="X115" s="191">
        <v>1</v>
      </c>
      <c r="Y115" s="186" t="s">
        <v>1369</v>
      </c>
      <c r="Z115" s="192"/>
      <c r="AA115" s="97">
        <v>0</v>
      </c>
      <c r="AB115" s="193">
        <v>0</v>
      </c>
      <c r="AC115" s="123"/>
      <c r="AD115" s="4"/>
      <c r="AE115" s="4"/>
      <c r="AF115" s="4"/>
      <c r="AG115" s="4"/>
      <c r="AH115" s="4"/>
      <c r="AI115" s="4" t="str">
        <f>" " &amp; TEXT(AB115,"#0.00%") &amp; " " &amp; "DB" &amp; "(Pralhad)" &amp; " " &amp; IF(M115="","",TEXT(M115,"M/D-")) &amp; IF(N115="","",TEXT(N115,"M/D")) &amp; " "</f>
        <v xml:space="preserve"> 0.00% DB(Pralhad) 8/13-8/13 </v>
      </c>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row>
    <row r="116" spans="1:98" outlineLevel="2">
      <c r="A116" s="116"/>
      <c r="B116" s="116"/>
      <c r="C116" s="116">
        <v>3</v>
      </c>
      <c r="D116" s="3" t="s">
        <v>1327</v>
      </c>
      <c r="E116" s="215"/>
      <c r="F116" s="217"/>
      <c r="G116" s="217" t="s">
        <v>1307</v>
      </c>
      <c r="H116" s="184"/>
      <c r="I116" s="184"/>
      <c r="J116" s="184"/>
      <c r="K116" s="184"/>
      <c r="L116" s="184"/>
      <c r="M116" s="185">
        <v>43691</v>
      </c>
      <c r="N116" s="185">
        <v>43693</v>
      </c>
      <c r="O116" s="186"/>
      <c r="P116" s="187">
        <v>2</v>
      </c>
      <c r="Q116" s="187">
        <v>0</v>
      </c>
      <c r="R116" s="188">
        <v>2</v>
      </c>
      <c r="S116" s="188">
        <v>0</v>
      </c>
      <c r="T116" s="185"/>
      <c r="U116" s="185"/>
      <c r="V116" s="189"/>
      <c r="W116" s="190">
        <v>0</v>
      </c>
      <c r="X116" s="191">
        <v>1</v>
      </c>
      <c r="Y116" s="186" t="s">
        <v>1369</v>
      </c>
      <c r="Z116" s="192"/>
      <c r="AA116" s="97">
        <v>0</v>
      </c>
      <c r="AB116" s="193">
        <v>0</v>
      </c>
      <c r="AC116" s="123"/>
      <c r="AD116" s="4"/>
      <c r="AE116" s="4"/>
      <c r="AF116" s="4"/>
      <c r="AG116" s="4"/>
      <c r="AH116" s="4"/>
      <c r="AI116" s="4" t="str">
        <f>"  " &amp; TEXT(AB116,"#0.00%") &amp; " " &amp; "API" &amp; "(Pralhad)" &amp; " " &amp; IF(M116="","",TEXT(M116,"M/D-")) &amp; IF(N116="","",TEXT(N116,"M/D")) &amp; " "</f>
        <v xml:space="preserve">  0.00% API(Pralhad) 8/14-8/16 </v>
      </c>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row>
    <row r="117" spans="1:98" outlineLevel="2">
      <c r="A117" s="116"/>
      <c r="B117" s="116"/>
      <c r="C117" s="116">
        <v>3</v>
      </c>
      <c r="D117" s="3" t="s">
        <v>1328</v>
      </c>
      <c r="E117" s="215"/>
      <c r="F117" s="217"/>
      <c r="G117" s="217" t="s">
        <v>1308</v>
      </c>
      <c r="H117" s="184"/>
      <c r="I117" s="184"/>
      <c r="J117" s="184"/>
      <c r="K117" s="184"/>
      <c r="L117" s="184"/>
      <c r="M117" s="185">
        <v>43693</v>
      </c>
      <c r="N117" s="185">
        <v>43693</v>
      </c>
      <c r="O117" s="186"/>
      <c r="P117" s="187">
        <v>1</v>
      </c>
      <c r="Q117" s="187">
        <v>0</v>
      </c>
      <c r="R117" s="188">
        <v>1</v>
      </c>
      <c r="S117" s="188">
        <v>0</v>
      </c>
      <c r="T117" s="185"/>
      <c r="U117" s="185"/>
      <c r="V117" s="189"/>
      <c r="W117" s="190">
        <v>0</v>
      </c>
      <c r="X117" s="191">
        <v>1</v>
      </c>
      <c r="Y117" s="186" t="s">
        <v>1365</v>
      </c>
      <c r="Z117" s="192"/>
      <c r="AA117" s="97">
        <v>0</v>
      </c>
      <c r="AB117" s="193">
        <v>0</v>
      </c>
      <c r="AC117" s="123"/>
      <c r="AD117" s="4"/>
      <c r="AE117" s="4"/>
      <c r="AF117" s="4"/>
      <c r="AG117" s="4"/>
      <c r="AH117" s="4"/>
      <c r="AI117" s="4" t="str">
        <f>"    " &amp; TEXT(AB117,"#0.00%") &amp; " " &amp; "iOS,Android" &amp; "(James,Preyea)" &amp; " " &amp; IF(M117="","",TEXT(M117,"M/D-")) &amp; IF(N117="","",TEXT(N117,"M/D")) &amp; " "</f>
        <v xml:space="preserve">    0.00% iOS,Android(James,Preyea) 8/16-8/16 </v>
      </c>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row>
    <row r="118" spans="1:98" outlineLevel="2">
      <c r="A118" s="116"/>
      <c r="B118" s="116"/>
      <c r="C118" s="116">
        <v>0</v>
      </c>
      <c r="D118" s="3"/>
      <c r="E118" s="215"/>
      <c r="F118" s="217"/>
      <c r="G118" s="217"/>
      <c r="H118" s="184"/>
      <c r="I118" s="184"/>
      <c r="J118" s="184"/>
      <c r="K118" s="184"/>
      <c r="L118" s="184"/>
      <c r="M118" s="185"/>
      <c r="N118" s="185"/>
      <c r="O118" s="186"/>
      <c r="P118" s="187"/>
      <c r="Q118" s="187"/>
      <c r="R118" s="188">
        <v>0</v>
      </c>
      <c r="S118" s="188">
        <v>0</v>
      </c>
      <c r="T118" s="185"/>
      <c r="U118" s="185"/>
      <c r="V118" s="189"/>
      <c r="W118" s="190">
        <v>0</v>
      </c>
      <c r="X118" s="191"/>
      <c r="Y118" s="186"/>
      <c r="Z118" s="192"/>
      <c r="AA118" s="97"/>
      <c r="AB118" s="193"/>
      <c r="AC118" s="123"/>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row>
    <row r="119" spans="1:98" outlineLevel="1">
      <c r="A119" s="116"/>
      <c r="B119" s="116" t="s">
        <v>1065</v>
      </c>
      <c r="C119" s="116">
        <v>2</v>
      </c>
      <c r="D119" s="3" t="s">
        <v>1199</v>
      </c>
      <c r="E119" s="215"/>
      <c r="F119" s="217" t="s">
        <v>1168</v>
      </c>
      <c r="G119" s="217"/>
      <c r="H119" s="184"/>
      <c r="I119" s="184"/>
      <c r="J119" s="184"/>
      <c r="K119" s="184"/>
      <c r="L119" s="184"/>
      <c r="M119" s="185"/>
      <c r="N119" s="185"/>
      <c r="O119" s="186"/>
      <c r="P119" s="187">
        <v>0</v>
      </c>
      <c r="Q119" s="187">
        <v>0</v>
      </c>
      <c r="R119" s="188">
        <v>0</v>
      </c>
      <c r="S119" s="188">
        <v>0</v>
      </c>
      <c r="T119" s="185"/>
      <c r="U119" s="185"/>
      <c r="V119" s="189">
        <v>0</v>
      </c>
      <c r="W119" s="190">
        <v>0</v>
      </c>
      <c r="X119" s="191"/>
      <c r="Y119" s="186"/>
      <c r="Z119" s="192"/>
      <c r="AA119" s="97">
        <v>0</v>
      </c>
      <c r="AB119" s="193">
        <v>0</v>
      </c>
      <c r="AC119" s="123"/>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row>
    <row r="120" spans="1:98" outlineLevel="2">
      <c r="A120" s="116"/>
      <c r="B120" s="116"/>
      <c r="C120" s="116">
        <v>3</v>
      </c>
      <c r="D120" s="3" t="s">
        <v>1329</v>
      </c>
      <c r="E120" s="215"/>
      <c r="F120" s="217"/>
      <c r="G120" s="217" t="s">
        <v>1305</v>
      </c>
      <c r="H120" s="184"/>
      <c r="I120" s="184"/>
      <c r="J120" s="184"/>
      <c r="K120" s="184"/>
      <c r="L120" s="184"/>
      <c r="M120" s="185"/>
      <c r="N120" s="185"/>
      <c r="O120" s="186"/>
      <c r="P120" s="187">
        <v>0</v>
      </c>
      <c r="Q120" s="187">
        <v>0</v>
      </c>
      <c r="R120" s="188">
        <v>0</v>
      </c>
      <c r="S120" s="188">
        <v>0</v>
      </c>
      <c r="T120" s="185"/>
      <c r="U120" s="185"/>
      <c r="V120" s="189">
        <v>0</v>
      </c>
      <c r="W120" s="190">
        <v>0</v>
      </c>
      <c r="X120" s="191"/>
      <c r="Y120" s="186"/>
      <c r="Z120" s="192"/>
      <c r="AA120" s="97">
        <v>0</v>
      </c>
      <c r="AB120" s="193">
        <v>0</v>
      </c>
      <c r="AC120" s="123"/>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row>
    <row r="121" spans="1:98" outlineLevel="2">
      <c r="A121" s="116"/>
      <c r="B121" s="116"/>
      <c r="C121" s="116">
        <v>3</v>
      </c>
      <c r="D121" s="3" t="s">
        <v>1330</v>
      </c>
      <c r="E121" s="215"/>
      <c r="F121" s="217"/>
      <c r="G121" s="217" t="s">
        <v>1306</v>
      </c>
      <c r="H121" s="184"/>
      <c r="I121" s="184"/>
      <c r="J121" s="184"/>
      <c r="K121" s="184"/>
      <c r="L121" s="184"/>
      <c r="M121" s="185"/>
      <c r="N121" s="185"/>
      <c r="O121" s="186"/>
      <c r="P121" s="187">
        <v>0</v>
      </c>
      <c r="Q121" s="187">
        <v>0</v>
      </c>
      <c r="R121" s="188">
        <v>0</v>
      </c>
      <c r="S121" s="188">
        <v>0</v>
      </c>
      <c r="T121" s="185"/>
      <c r="U121" s="185"/>
      <c r="V121" s="189">
        <v>0</v>
      </c>
      <c r="W121" s="190">
        <v>0</v>
      </c>
      <c r="X121" s="191"/>
      <c r="Y121" s="186"/>
      <c r="Z121" s="192"/>
      <c r="AA121" s="97">
        <v>0</v>
      </c>
      <c r="AB121" s="193">
        <v>0</v>
      </c>
      <c r="AC121" s="123"/>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row>
    <row r="122" spans="1:98" outlineLevel="2">
      <c r="A122" s="116"/>
      <c r="B122" s="116"/>
      <c r="C122" s="116">
        <v>3</v>
      </c>
      <c r="D122" s="3" t="s">
        <v>1331</v>
      </c>
      <c r="E122" s="215"/>
      <c r="F122" s="217"/>
      <c r="G122" s="217" t="s">
        <v>1307</v>
      </c>
      <c r="H122" s="184"/>
      <c r="I122" s="184"/>
      <c r="J122" s="184"/>
      <c r="K122" s="184"/>
      <c r="L122" s="184"/>
      <c r="M122" s="185"/>
      <c r="N122" s="185"/>
      <c r="O122" s="186"/>
      <c r="P122" s="187">
        <v>0</v>
      </c>
      <c r="Q122" s="187">
        <v>0</v>
      </c>
      <c r="R122" s="188">
        <v>0</v>
      </c>
      <c r="S122" s="188">
        <v>0</v>
      </c>
      <c r="T122" s="185"/>
      <c r="U122" s="185"/>
      <c r="V122" s="189">
        <v>0</v>
      </c>
      <c r="W122" s="190">
        <v>0</v>
      </c>
      <c r="X122" s="191"/>
      <c r="Y122" s="186"/>
      <c r="Z122" s="192"/>
      <c r="AA122" s="97">
        <v>0</v>
      </c>
      <c r="AB122" s="193">
        <v>0</v>
      </c>
      <c r="AC122" s="123"/>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row>
    <row r="123" spans="1:98" outlineLevel="2">
      <c r="A123" s="116"/>
      <c r="B123" s="116"/>
      <c r="C123" s="116">
        <v>3</v>
      </c>
      <c r="D123" s="3" t="s">
        <v>1332</v>
      </c>
      <c r="E123" s="215"/>
      <c r="F123" s="217"/>
      <c r="G123" s="217" t="s">
        <v>1308</v>
      </c>
      <c r="H123" s="184"/>
      <c r="I123" s="184"/>
      <c r="J123" s="184"/>
      <c r="K123" s="184"/>
      <c r="L123" s="184"/>
      <c r="M123" s="185"/>
      <c r="N123" s="185"/>
      <c r="O123" s="186"/>
      <c r="P123" s="187">
        <v>0</v>
      </c>
      <c r="Q123" s="187">
        <v>0</v>
      </c>
      <c r="R123" s="188">
        <v>0</v>
      </c>
      <c r="S123" s="188">
        <v>0</v>
      </c>
      <c r="T123" s="185"/>
      <c r="U123" s="185"/>
      <c r="V123" s="189">
        <v>0</v>
      </c>
      <c r="W123" s="190">
        <v>0</v>
      </c>
      <c r="X123" s="191"/>
      <c r="Y123" s="186"/>
      <c r="Z123" s="192"/>
      <c r="AA123" s="97">
        <v>0</v>
      </c>
      <c r="AB123" s="193">
        <v>0</v>
      </c>
      <c r="AC123" s="123"/>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row>
    <row r="124" spans="1:98" outlineLevel="2">
      <c r="A124" s="116"/>
      <c r="B124" s="116"/>
      <c r="C124" s="116">
        <v>0</v>
      </c>
      <c r="D124" s="3"/>
      <c r="E124" s="215"/>
      <c r="F124" s="217"/>
      <c r="G124" s="217"/>
      <c r="H124" s="184"/>
      <c r="I124" s="184"/>
      <c r="J124" s="184"/>
      <c r="K124" s="184"/>
      <c r="L124" s="184"/>
      <c r="M124" s="185"/>
      <c r="N124" s="185"/>
      <c r="O124" s="186"/>
      <c r="P124" s="187"/>
      <c r="Q124" s="187"/>
      <c r="R124" s="188">
        <v>0</v>
      </c>
      <c r="S124" s="188">
        <v>0</v>
      </c>
      <c r="T124" s="185"/>
      <c r="U124" s="185"/>
      <c r="V124" s="189"/>
      <c r="W124" s="190">
        <v>0</v>
      </c>
      <c r="X124" s="191"/>
      <c r="Y124" s="186"/>
      <c r="Z124" s="192"/>
      <c r="AA124" s="97"/>
      <c r="AB124" s="193"/>
      <c r="AC124" s="123"/>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row>
    <row r="125" spans="1:98" outlineLevel="1">
      <c r="A125" s="116"/>
      <c r="B125" s="116" t="s">
        <v>1065</v>
      </c>
      <c r="C125" s="116">
        <v>2</v>
      </c>
      <c r="D125" s="3" t="s">
        <v>1200</v>
      </c>
      <c r="E125" s="215"/>
      <c r="F125" s="217" t="s">
        <v>1169</v>
      </c>
      <c r="G125" s="217"/>
      <c r="H125" s="184"/>
      <c r="I125" s="184"/>
      <c r="J125" s="184"/>
      <c r="K125" s="184"/>
      <c r="L125" s="184"/>
      <c r="M125" s="185">
        <v>43655</v>
      </c>
      <c r="N125" s="185">
        <v>43655</v>
      </c>
      <c r="O125" s="186"/>
      <c r="P125" s="187">
        <v>1</v>
      </c>
      <c r="Q125" s="187">
        <v>1</v>
      </c>
      <c r="R125" s="188">
        <v>1</v>
      </c>
      <c r="S125" s="188">
        <v>1</v>
      </c>
      <c r="T125" s="185"/>
      <c r="U125" s="185"/>
      <c r="V125" s="189">
        <v>0</v>
      </c>
      <c r="W125" s="190">
        <v>0</v>
      </c>
      <c r="X125" s="191"/>
      <c r="Y125" s="186"/>
      <c r="Z125" s="192"/>
      <c r="AA125" s="97">
        <v>1</v>
      </c>
      <c r="AB125" s="193">
        <v>0</v>
      </c>
      <c r="AC125" s="123"/>
      <c r="AD125" s="4" t="str">
        <f>" " &amp; TEXT(AB125,"#0.00%") &amp; " " &amp; "Registration logic" &amp; " " &amp; IF(M125="","",TEXT(M125,"M/D-")) &amp; IF(N125="","",TEXT(N125,"M/D")) &amp; " "</f>
        <v xml:space="preserve"> 0.00% Registration logic 7/9-7/9 </v>
      </c>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row>
    <row r="126" spans="1:98" outlineLevel="2">
      <c r="A126" s="116"/>
      <c r="B126" s="116"/>
      <c r="C126" s="116">
        <v>3</v>
      </c>
      <c r="D126" s="3" t="s">
        <v>1333</v>
      </c>
      <c r="E126" s="215"/>
      <c r="F126" s="217"/>
      <c r="G126" s="217" t="s">
        <v>1305</v>
      </c>
      <c r="H126" s="184"/>
      <c r="I126" s="184"/>
      <c r="J126" s="184"/>
      <c r="K126" s="184"/>
      <c r="L126" s="184"/>
      <c r="M126" s="185"/>
      <c r="N126" s="185"/>
      <c r="O126" s="186"/>
      <c r="P126" s="187">
        <v>0</v>
      </c>
      <c r="Q126" s="187">
        <v>0</v>
      </c>
      <c r="R126" s="188">
        <v>0</v>
      </c>
      <c r="S126" s="188">
        <v>0</v>
      </c>
      <c r="T126" s="185"/>
      <c r="U126" s="185"/>
      <c r="V126" s="189">
        <v>0</v>
      </c>
      <c r="W126" s="190">
        <v>0</v>
      </c>
      <c r="X126" s="191">
        <v>1</v>
      </c>
      <c r="Y126" s="186"/>
      <c r="Z126" s="192"/>
      <c r="AA126" s="97">
        <v>0</v>
      </c>
      <c r="AB126" s="193">
        <v>0</v>
      </c>
      <c r="AC126" s="123"/>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row>
    <row r="127" spans="1:98" outlineLevel="2">
      <c r="A127" s="116"/>
      <c r="B127" s="116"/>
      <c r="C127" s="116">
        <v>3</v>
      </c>
      <c r="D127" s="3" t="s">
        <v>1334</v>
      </c>
      <c r="E127" s="215"/>
      <c r="F127" s="217"/>
      <c r="G127" s="217" t="s">
        <v>1306</v>
      </c>
      <c r="H127" s="184"/>
      <c r="I127" s="184"/>
      <c r="J127" s="184"/>
      <c r="K127" s="184"/>
      <c r="L127" s="184"/>
      <c r="M127" s="185"/>
      <c r="N127" s="185"/>
      <c r="O127" s="186"/>
      <c r="P127" s="187">
        <v>0</v>
      </c>
      <c r="Q127" s="187">
        <v>0</v>
      </c>
      <c r="R127" s="188">
        <v>0</v>
      </c>
      <c r="S127" s="188">
        <v>0</v>
      </c>
      <c r="T127" s="185"/>
      <c r="U127" s="185"/>
      <c r="V127" s="189">
        <v>0</v>
      </c>
      <c r="W127" s="190">
        <v>0</v>
      </c>
      <c r="X127" s="191"/>
      <c r="Y127" s="186"/>
      <c r="Z127" s="192"/>
      <c r="AA127" s="97">
        <v>0</v>
      </c>
      <c r="AB127" s="193">
        <v>0</v>
      </c>
      <c r="AC127" s="123"/>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row>
    <row r="128" spans="1:98" outlineLevel="2">
      <c r="A128" s="116"/>
      <c r="B128" s="116"/>
      <c r="C128" s="116">
        <v>3</v>
      </c>
      <c r="D128" s="3" t="s">
        <v>1335</v>
      </c>
      <c r="E128" s="215"/>
      <c r="F128" s="217"/>
      <c r="G128" s="217" t="s">
        <v>1307</v>
      </c>
      <c r="H128" s="184"/>
      <c r="I128" s="184"/>
      <c r="J128" s="184"/>
      <c r="K128" s="184"/>
      <c r="L128" s="184"/>
      <c r="M128" s="185">
        <v>43655</v>
      </c>
      <c r="N128" s="185">
        <v>43655</v>
      </c>
      <c r="O128" s="186"/>
      <c r="P128" s="187">
        <v>1</v>
      </c>
      <c r="Q128" s="187">
        <v>1</v>
      </c>
      <c r="R128" s="188">
        <v>1</v>
      </c>
      <c r="S128" s="188">
        <v>1</v>
      </c>
      <c r="T128" s="185"/>
      <c r="U128" s="185"/>
      <c r="V128" s="189"/>
      <c r="W128" s="190">
        <v>0</v>
      </c>
      <c r="X128" s="191">
        <v>1</v>
      </c>
      <c r="Y128" s="186" t="s">
        <v>1364</v>
      </c>
      <c r="Z128" s="192"/>
      <c r="AA128" s="97">
        <v>1</v>
      </c>
      <c r="AB128" s="193">
        <v>0</v>
      </c>
      <c r="AC128" s="123"/>
      <c r="AD128" s="4" t="str">
        <f>" " &amp; TEXT(AB128,"#0.00%") &amp; " " &amp; "API" &amp; "(Ryan )" &amp; " " &amp; IF(M128="","",TEXT(M128,"M/D-")) &amp; IF(N128="","",TEXT(N128,"M/D")) &amp; " "</f>
        <v xml:space="preserve"> 0.00% API(Ryan ) 7/9-7/9 </v>
      </c>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row>
    <row r="129" spans="1:98" outlineLevel="2">
      <c r="A129" s="116"/>
      <c r="B129" s="116"/>
      <c r="C129" s="116">
        <v>3</v>
      </c>
      <c r="D129" s="3" t="s">
        <v>1336</v>
      </c>
      <c r="E129" s="215"/>
      <c r="F129" s="217"/>
      <c r="G129" s="217" t="s">
        <v>1308</v>
      </c>
      <c r="H129" s="184"/>
      <c r="I129" s="184"/>
      <c r="J129" s="184"/>
      <c r="K129" s="184"/>
      <c r="L129" s="184"/>
      <c r="M129" s="185"/>
      <c r="N129" s="185"/>
      <c r="O129" s="186"/>
      <c r="P129" s="187">
        <v>0</v>
      </c>
      <c r="Q129" s="187">
        <v>0</v>
      </c>
      <c r="R129" s="188">
        <v>0</v>
      </c>
      <c r="S129" s="188">
        <v>0</v>
      </c>
      <c r="T129" s="185"/>
      <c r="U129" s="185"/>
      <c r="V129" s="189">
        <v>0</v>
      </c>
      <c r="W129" s="190">
        <v>0</v>
      </c>
      <c r="X129" s="191"/>
      <c r="Y129" s="186" t="s">
        <v>1365</v>
      </c>
      <c r="Z129" s="192"/>
      <c r="AA129" s="97">
        <v>0</v>
      </c>
      <c r="AB129" s="193">
        <v>0</v>
      </c>
      <c r="AC129" s="123"/>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row>
    <row r="130" spans="1:98" outlineLevel="2">
      <c r="A130" s="116"/>
      <c r="B130" s="116"/>
      <c r="C130" s="116">
        <v>0</v>
      </c>
      <c r="D130" s="3"/>
      <c r="E130" s="215"/>
      <c r="F130" s="217"/>
      <c r="G130" s="217"/>
      <c r="H130" s="184"/>
      <c r="I130" s="184"/>
      <c r="J130" s="184"/>
      <c r="K130" s="184"/>
      <c r="L130" s="184"/>
      <c r="M130" s="185"/>
      <c r="N130" s="185"/>
      <c r="O130" s="186"/>
      <c r="P130" s="187"/>
      <c r="Q130" s="187"/>
      <c r="R130" s="188">
        <v>0</v>
      </c>
      <c r="S130" s="188">
        <v>0</v>
      </c>
      <c r="T130" s="185"/>
      <c r="U130" s="185"/>
      <c r="V130" s="189"/>
      <c r="W130" s="190">
        <v>0</v>
      </c>
      <c r="X130" s="191"/>
      <c r="Y130" s="186"/>
      <c r="Z130" s="192"/>
      <c r="AA130" s="97"/>
      <c r="AB130" s="193"/>
      <c r="AC130" s="123"/>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row>
    <row r="131" spans="1:98" outlineLevel="1">
      <c r="A131" s="116"/>
      <c r="B131" s="116" t="s">
        <v>1065</v>
      </c>
      <c r="C131" s="116">
        <v>2</v>
      </c>
      <c r="D131" s="3" t="s">
        <v>1201</v>
      </c>
      <c r="E131" s="215"/>
      <c r="F131" s="217" t="s">
        <v>1363</v>
      </c>
      <c r="G131" s="217"/>
      <c r="H131" s="184"/>
      <c r="I131" s="184"/>
      <c r="J131" s="184"/>
      <c r="K131" s="184"/>
      <c r="L131" s="184"/>
      <c r="M131" s="185">
        <v>43657</v>
      </c>
      <c r="N131" s="185">
        <v>43658</v>
      </c>
      <c r="O131" s="186"/>
      <c r="P131" s="187">
        <v>2</v>
      </c>
      <c r="Q131" s="187">
        <v>0</v>
      </c>
      <c r="R131" s="188">
        <v>2</v>
      </c>
      <c r="S131" s="188">
        <v>0</v>
      </c>
      <c r="T131" s="185"/>
      <c r="U131" s="185"/>
      <c r="V131" s="189">
        <v>0</v>
      </c>
      <c r="W131" s="190">
        <v>0</v>
      </c>
      <c r="X131" s="191"/>
      <c r="Y131" s="186"/>
      <c r="Z131" s="192"/>
      <c r="AA131" s="97">
        <v>0</v>
      </c>
      <c r="AB131" s="193">
        <v>0</v>
      </c>
      <c r="AC131" s="123"/>
      <c r="AD131" s="4" t="str">
        <f>"   " &amp; TEXT(AB131,"#0.00%") &amp; " " &amp; "Calculate in first screen" &amp; " " &amp; IF(M131="","",TEXT(M131,"M/D-")) &amp; IF(N131="","",TEXT(N131,"M/D")) &amp; " "</f>
        <v xml:space="preserve">   0.00% Calculate in first screen 7/11-7/12 </v>
      </c>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row>
    <row r="132" spans="1:98" outlineLevel="2">
      <c r="A132" s="116"/>
      <c r="B132" s="116"/>
      <c r="C132" s="116">
        <v>3</v>
      </c>
      <c r="D132" s="3" t="s">
        <v>1337</v>
      </c>
      <c r="E132" s="215"/>
      <c r="F132" s="217"/>
      <c r="G132" s="217" t="s">
        <v>1305</v>
      </c>
      <c r="H132" s="184"/>
      <c r="I132" s="184"/>
      <c r="J132" s="184"/>
      <c r="K132" s="184"/>
      <c r="L132" s="184"/>
      <c r="M132" s="185"/>
      <c r="N132" s="185"/>
      <c r="O132" s="186"/>
      <c r="P132" s="187">
        <v>0</v>
      </c>
      <c r="Q132" s="187">
        <v>0</v>
      </c>
      <c r="R132" s="188">
        <v>0</v>
      </c>
      <c r="S132" s="188">
        <v>0</v>
      </c>
      <c r="T132" s="185"/>
      <c r="U132" s="185"/>
      <c r="V132" s="189">
        <v>0</v>
      </c>
      <c r="W132" s="190">
        <v>0</v>
      </c>
      <c r="X132" s="191">
        <v>1</v>
      </c>
      <c r="Y132" s="186"/>
      <c r="Z132" s="192"/>
      <c r="AA132" s="97">
        <v>0</v>
      </c>
      <c r="AB132" s="193">
        <v>0</v>
      </c>
      <c r="AC132" s="123"/>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row>
    <row r="133" spans="1:98" outlineLevel="2">
      <c r="A133" s="116"/>
      <c r="B133" s="116"/>
      <c r="C133" s="116">
        <v>3</v>
      </c>
      <c r="D133" s="3" t="s">
        <v>1338</v>
      </c>
      <c r="E133" s="215"/>
      <c r="F133" s="217"/>
      <c r="G133" s="217" t="s">
        <v>1306</v>
      </c>
      <c r="H133" s="184"/>
      <c r="I133" s="184"/>
      <c r="J133" s="184"/>
      <c r="K133" s="184"/>
      <c r="L133" s="184"/>
      <c r="M133" s="185"/>
      <c r="N133" s="185"/>
      <c r="O133" s="186"/>
      <c r="P133" s="187">
        <v>0</v>
      </c>
      <c r="Q133" s="187">
        <v>0</v>
      </c>
      <c r="R133" s="188">
        <v>0</v>
      </c>
      <c r="S133" s="188">
        <v>0</v>
      </c>
      <c r="T133" s="185"/>
      <c r="U133" s="185"/>
      <c r="V133" s="189">
        <v>0</v>
      </c>
      <c r="W133" s="190">
        <v>0</v>
      </c>
      <c r="X133" s="191"/>
      <c r="Y133" s="186"/>
      <c r="Z133" s="192"/>
      <c r="AA133" s="97">
        <v>0</v>
      </c>
      <c r="AB133" s="193">
        <v>0</v>
      </c>
      <c r="AC133" s="123"/>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row>
    <row r="134" spans="1:98" outlineLevel="2">
      <c r="A134" s="116"/>
      <c r="B134" s="116"/>
      <c r="C134" s="116">
        <v>3</v>
      </c>
      <c r="D134" s="3" t="s">
        <v>1339</v>
      </c>
      <c r="E134" s="215"/>
      <c r="F134" s="217"/>
      <c r="G134" s="217" t="s">
        <v>1307</v>
      </c>
      <c r="H134" s="184"/>
      <c r="I134" s="184"/>
      <c r="J134" s="184"/>
      <c r="K134" s="184"/>
      <c r="L134" s="184"/>
      <c r="M134" s="185"/>
      <c r="N134" s="185"/>
      <c r="O134" s="186"/>
      <c r="P134" s="187">
        <v>0</v>
      </c>
      <c r="Q134" s="187">
        <v>0</v>
      </c>
      <c r="R134" s="188">
        <v>0</v>
      </c>
      <c r="S134" s="188">
        <v>0</v>
      </c>
      <c r="T134" s="185"/>
      <c r="U134" s="185"/>
      <c r="V134" s="189">
        <v>0</v>
      </c>
      <c r="W134" s="190">
        <v>0</v>
      </c>
      <c r="X134" s="191">
        <v>1</v>
      </c>
      <c r="Y134" s="186"/>
      <c r="Z134" s="192"/>
      <c r="AA134" s="97">
        <v>0</v>
      </c>
      <c r="AB134" s="193">
        <v>0</v>
      </c>
      <c r="AC134" s="123"/>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row>
    <row r="135" spans="1:98" outlineLevel="2">
      <c r="A135" s="116"/>
      <c r="B135" s="116"/>
      <c r="C135" s="116">
        <v>3</v>
      </c>
      <c r="D135" s="3" t="s">
        <v>1340</v>
      </c>
      <c r="E135" s="215"/>
      <c r="F135" s="217"/>
      <c r="G135" s="217" t="s">
        <v>1308</v>
      </c>
      <c r="H135" s="184"/>
      <c r="I135" s="184"/>
      <c r="J135" s="184"/>
      <c r="K135" s="184"/>
      <c r="L135" s="184"/>
      <c r="M135" s="185">
        <v>43657</v>
      </c>
      <c r="N135" s="185">
        <v>43658</v>
      </c>
      <c r="O135" s="186"/>
      <c r="P135" s="187">
        <v>2</v>
      </c>
      <c r="Q135" s="187">
        <v>0</v>
      </c>
      <c r="R135" s="188">
        <v>2</v>
      </c>
      <c r="S135" s="188">
        <v>0</v>
      </c>
      <c r="T135" s="185"/>
      <c r="U135" s="185"/>
      <c r="V135" s="189"/>
      <c r="W135" s="190">
        <v>0</v>
      </c>
      <c r="X135" s="191">
        <v>1</v>
      </c>
      <c r="Y135" s="186" t="s">
        <v>1365</v>
      </c>
      <c r="Z135" s="192"/>
      <c r="AA135" s="97">
        <v>0</v>
      </c>
      <c r="AB135" s="193">
        <v>0</v>
      </c>
      <c r="AC135" s="123"/>
      <c r="AD135" s="4" t="str">
        <f>"   " &amp; TEXT(AB135,"#0.00%") &amp; " " &amp; "iOS,Android" &amp; "(James,Preyea)" &amp; " " &amp; IF(M135="","",TEXT(M135,"M/D-")) &amp; IF(N135="","",TEXT(N135,"M/D")) &amp; " "</f>
        <v xml:space="preserve">   0.00% iOS,Android(James,Preyea) 7/11-7/12 </v>
      </c>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row>
    <row r="136" spans="1:98" outlineLevel="2">
      <c r="A136" s="116"/>
      <c r="B136" s="116"/>
      <c r="C136" s="116">
        <v>0</v>
      </c>
      <c r="D136" s="3"/>
      <c r="E136" s="215"/>
      <c r="F136" s="217"/>
      <c r="G136" s="217"/>
      <c r="H136" s="184"/>
      <c r="I136" s="184"/>
      <c r="J136" s="184"/>
      <c r="K136" s="184"/>
      <c r="L136" s="184"/>
      <c r="M136" s="185"/>
      <c r="N136" s="185"/>
      <c r="O136" s="186"/>
      <c r="P136" s="187"/>
      <c r="Q136" s="187"/>
      <c r="R136" s="188">
        <v>0</v>
      </c>
      <c r="S136" s="188">
        <v>0</v>
      </c>
      <c r="T136" s="185"/>
      <c r="U136" s="185"/>
      <c r="V136" s="189"/>
      <c r="W136" s="190">
        <v>0</v>
      </c>
      <c r="X136" s="191"/>
      <c r="Y136" s="186"/>
      <c r="Z136" s="192"/>
      <c r="AA136" s="97"/>
      <c r="AB136" s="193"/>
      <c r="AC136" s="123"/>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row>
    <row r="137" spans="1:98" outlineLevel="1">
      <c r="A137" s="116"/>
      <c r="B137" s="116" t="s">
        <v>1065</v>
      </c>
      <c r="C137" s="116">
        <v>2</v>
      </c>
      <c r="D137" s="3" t="s">
        <v>1202</v>
      </c>
      <c r="E137" s="215"/>
      <c r="F137" s="217" t="s">
        <v>1170</v>
      </c>
      <c r="G137" s="217"/>
      <c r="H137" s="184"/>
      <c r="I137" s="184"/>
      <c r="J137" s="184"/>
      <c r="K137" s="184"/>
      <c r="L137" s="184"/>
      <c r="M137" s="185">
        <v>43656</v>
      </c>
      <c r="N137" s="185">
        <v>43663</v>
      </c>
      <c r="O137" s="186"/>
      <c r="P137" s="187">
        <v>7</v>
      </c>
      <c r="Q137" s="187">
        <v>0</v>
      </c>
      <c r="R137" s="188">
        <v>6</v>
      </c>
      <c r="S137" s="188">
        <v>0</v>
      </c>
      <c r="T137" s="185"/>
      <c r="U137" s="185"/>
      <c r="V137" s="189">
        <v>0</v>
      </c>
      <c r="W137" s="190">
        <v>0</v>
      </c>
      <c r="X137" s="191"/>
      <c r="Y137" s="186"/>
      <c r="Z137" s="192"/>
      <c r="AA137" s="97">
        <v>0</v>
      </c>
      <c r="AB137" s="193">
        <v>0</v>
      </c>
      <c r="AC137" s="123"/>
      <c r="AD137" s="4" t="str">
        <f>"  " &amp; TEXT(AB137,"#0.00%") &amp; " " &amp; "Dynamic receiver setup" &amp; " " &amp; IF(M137="","",TEXT(M137,"M/D-")) &amp; IF(N137="","",TEXT(N137,"M/D")) &amp; " "</f>
        <v xml:space="preserve">  0.00% Dynamic receiver setup 7/10-7/17 </v>
      </c>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row>
    <row r="138" spans="1:98" outlineLevel="2">
      <c r="A138" s="116"/>
      <c r="B138" s="116"/>
      <c r="C138" s="116">
        <v>3</v>
      </c>
      <c r="D138" s="3" t="s">
        <v>1341</v>
      </c>
      <c r="E138" s="215"/>
      <c r="F138" s="217"/>
      <c r="G138" s="217" t="s">
        <v>1305</v>
      </c>
      <c r="H138" s="184"/>
      <c r="I138" s="184"/>
      <c r="J138" s="184"/>
      <c r="K138" s="184"/>
      <c r="L138" s="184"/>
      <c r="M138" s="185">
        <v>43656</v>
      </c>
      <c r="N138" s="185">
        <v>43658</v>
      </c>
      <c r="O138" s="186"/>
      <c r="P138" s="187">
        <v>3</v>
      </c>
      <c r="Q138" s="187">
        <v>0</v>
      </c>
      <c r="R138" s="188">
        <v>3</v>
      </c>
      <c r="S138" s="188">
        <v>0</v>
      </c>
      <c r="T138" s="185"/>
      <c r="U138" s="185"/>
      <c r="V138" s="189"/>
      <c r="W138" s="190">
        <v>0</v>
      </c>
      <c r="X138" s="191">
        <v>1</v>
      </c>
      <c r="Y138" s="186" t="s">
        <v>1364</v>
      </c>
      <c r="Z138" s="192"/>
      <c r="AA138" s="97">
        <v>0</v>
      </c>
      <c r="AB138" s="193">
        <v>0</v>
      </c>
      <c r="AC138" s="123"/>
      <c r="AD138" s="4" t="str">
        <f>"  " &amp; TEXT(AB138,"#0.00%") &amp; " " &amp; "Core" &amp; "(Ryan )" &amp; " " &amp; IF(M138="","",TEXT(M138,"M/D-")) &amp; IF(N138="","",TEXT(N138,"M/D")) &amp; " "</f>
        <v xml:space="preserve">  0.00% Core(Ryan ) 7/10-7/12 </v>
      </c>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row>
    <row r="139" spans="1:98" outlineLevel="2">
      <c r="A139" s="116"/>
      <c r="B139" s="116"/>
      <c r="C139" s="116">
        <v>3</v>
      </c>
      <c r="D139" s="3" t="s">
        <v>1342</v>
      </c>
      <c r="E139" s="215"/>
      <c r="F139" s="217"/>
      <c r="G139" s="217" t="s">
        <v>1306</v>
      </c>
      <c r="H139" s="184"/>
      <c r="I139" s="184"/>
      <c r="J139" s="184"/>
      <c r="K139" s="184"/>
      <c r="L139" s="184"/>
      <c r="M139" s="185"/>
      <c r="N139" s="185"/>
      <c r="O139" s="186"/>
      <c r="P139" s="187">
        <v>0</v>
      </c>
      <c r="Q139" s="187">
        <v>0</v>
      </c>
      <c r="R139" s="188">
        <v>0</v>
      </c>
      <c r="S139" s="188">
        <v>0</v>
      </c>
      <c r="T139" s="185"/>
      <c r="U139" s="185"/>
      <c r="V139" s="189">
        <v>0</v>
      </c>
      <c r="W139" s="190">
        <v>0</v>
      </c>
      <c r="X139" s="191"/>
      <c r="Y139" s="186"/>
      <c r="Z139" s="192"/>
      <c r="AA139" s="97">
        <v>0</v>
      </c>
      <c r="AB139" s="193">
        <v>0</v>
      </c>
      <c r="AC139" s="123"/>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row>
    <row r="140" spans="1:98" outlineLevel="2">
      <c r="A140" s="116"/>
      <c r="B140" s="116"/>
      <c r="C140" s="116">
        <v>3</v>
      </c>
      <c r="D140" s="3" t="s">
        <v>1343</v>
      </c>
      <c r="E140" s="215"/>
      <c r="F140" s="217"/>
      <c r="G140" s="217" t="s">
        <v>1307</v>
      </c>
      <c r="H140" s="184"/>
      <c r="I140" s="184"/>
      <c r="J140" s="184"/>
      <c r="K140" s="184"/>
      <c r="L140" s="184"/>
      <c r="M140" s="185">
        <v>43661</v>
      </c>
      <c r="N140" s="185">
        <v>43661</v>
      </c>
      <c r="O140" s="186"/>
      <c r="P140" s="187">
        <v>1</v>
      </c>
      <c r="Q140" s="187">
        <v>0</v>
      </c>
      <c r="R140" s="188">
        <v>1</v>
      </c>
      <c r="S140" s="188">
        <v>0</v>
      </c>
      <c r="T140" s="185"/>
      <c r="U140" s="185"/>
      <c r="V140" s="189"/>
      <c r="W140" s="190">
        <v>0</v>
      </c>
      <c r="X140" s="191">
        <v>1</v>
      </c>
      <c r="Y140" s="186" t="s">
        <v>1364</v>
      </c>
      <c r="Z140" s="192"/>
      <c r="AA140" s="97">
        <v>0</v>
      </c>
      <c r="AB140" s="193">
        <v>0</v>
      </c>
      <c r="AC140" s="123"/>
      <c r="AD140" s="4"/>
      <c r="AE140" s="4" t="str">
        <f>"" &amp; TEXT(AB140,"#0.00%") &amp; " " &amp; "API" &amp; "(Ryan )" &amp; " " &amp; IF(M140="","",TEXT(M140,"M/D-")) &amp; IF(N140="","",TEXT(N140,"M/D")) &amp; " "</f>
        <v xml:space="preserve">0.00% API(Ryan ) 7/15-7/15 </v>
      </c>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row>
    <row r="141" spans="1:98" outlineLevel="2">
      <c r="A141" s="116"/>
      <c r="B141" s="116"/>
      <c r="C141" s="116">
        <v>3</v>
      </c>
      <c r="D141" s="3" t="s">
        <v>1344</v>
      </c>
      <c r="E141" s="215"/>
      <c r="F141" s="217"/>
      <c r="G141" s="217" t="s">
        <v>1308</v>
      </c>
      <c r="H141" s="184"/>
      <c r="I141" s="184"/>
      <c r="J141" s="184"/>
      <c r="K141" s="184"/>
      <c r="L141" s="184"/>
      <c r="M141" s="185">
        <v>43661</v>
      </c>
      <c r="N141" s="185">
        <v>43663</v>
      </c>
      <c r="O141" s="186"/>
      <c r="P141" s="187">
        <v>3</v>
      </c>
      <c r="Q141" s="187">
        <v>0</v>
      </c>
      <c r="R141" s="188">
        <v>3</v>
      </c>
      <c r="S141" s="188">
        <v>0</v>
      </c>
      <c r="T141" s="185"/>
      <c r="U141" s="185"/>
      <c r="V141" s="189"/>
      <c r="W141" s="190">
        <v>0</v>
      </c>
      <c r="X141" s="191">
        <v>1</v>
      </c>
      <c r="Y141" s="186" t="s">
        <v>1365</v>
      </c>
      <c r="Z141" s="192"/>
      <c r="AA141" s="97">
        <v>0</v>
      </c>
      <c r="AB141" s="193">
        <v>0</v>
      </c>
      <c r="AC141" s="123"/>
      <c r="AD141" s="4"/>
      <c r="AE141" s="4" t="str">
        <f>"" &amp; TEXT(AB141,"#0.00%") &amp; " " &amp; "iOS,Android" &amp; "(James,Preyea)" &amp; " " &amp; IF(M141="","",TEXT(M141,"M/D-")) &amp; IF(N141="","",TEXT(N141,"M/D")) &amp; " "</f>
        <v xml:space="preserve">0.00% iOS,Android(James,Preyea) 7/15-7/17 </v>
      </c>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row>
    <row r="142" spans="1:98" outlineLevel="2">
      <c r="A142" s="116"/>
      <c r="B142" s="116"/>
      <c r="C142" s="116">
        <v>0</v>
      </c>
      <c r="D142" s="3"/>
      <c r="E142" s="215"/>
      <c r="F142" s="217"/>
      <c r="G142" s="217"/>
      <c r="H142" s="184"/>
      <c r="I142" s="184"/>
      <c r="J142" s="184"/>
      <c r="K142" s="184"/>
      <c r="L142" s="184"/>
      <c r="M142" s="185"/>
      <c r="N142" s="185"/>
      <c r="O142" s="186"/>
      <c r="P142" s="187"/>
      <c r="Q142" s="187"/>
      <c r="R142" s="188">
        <v>0</v>
      </c>
      <c r="S142" s="188">
        <v>0</v>
      </c>
      <c r="T142" s="185"/>
      <c r="U142" s="185"/>
      <c r="V142" s="189"/>
      <c r="W142" s="190">
        <v>0</v>
      </c>
      <c r="X142" s="191"/>
      <c r="Y142" s="186"/>
      <c r="Z142" s="192"/>
      <c r="AA142" s="97"/>
      <c r="AB142" s="193"/>
      <c r="AC142" s="123"/>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row>
    <row r="143" spans="1:98" outlineLevel="1">
      <c r="A143" s="116"/>
      <c r="B143" s="116" t="s">
        <v>1065</v>
      </c>
      <c r="C143" s="116">
        <v>2</v>
      </c>
      <c r="D143" s="3" t="s">
        <v>1203</v>
      </c>
      <c r="E143" s="215"/>
      <c r="F143" s="217" t="s">
        <v>1171</v>
      </c>
      <c r="G143" s="217"/>
      <c r="H143" s="184"/>
      <c r="I143" s="184"/>
      <c r="J143" s="184"/>
      <c r="K143" s="184"/>
      <c r="L143" s="184"/>
      <c r="M143" s="185">
        <v>43662</v>
      </c>
      <c r="N143" s="185">
        <v>43663</v>
      </c>
      <c r="O143" s="186"/>
      <c r="P143" s="187">
        <v>4</v>
      </c>
      <c r="Q143" s="187">
        <v>0</v>
      </c>
      <c r="R143" s="188">
        <v>2</v>
      </c>
      <c r="S143" s="188">
        <v>0</v>
      </c>
      <c r="T143" s="185"/>
      <c r="U143" s="185"/>
      <c r="V143" s="189">
        <v>0</v>
      </c>
      <c r="W143" s="190">
        <v>0</v>
      </c>
      <c r="X143" s="191"/>
      <c r="Y143" s="186"/>
      <c r="Z143" s="192"/>
      <c r="AA143" s="97">
        <v>0</v>
      </c>
      <c r="AB143" s="193">
        <v>0</v>
      </c>
      <c r="AC143" s="123"/>
      <c r="AD143" s="4"/>
      <c r="AE143" s="4" t="str">
        <f>" " &amp; TEXT(AB143,"#0.00%") &amp; " " &amp; "Send Txn process same as web" &amp; " " &amp; IF(M143="","",TEXT(M143,"M/D-")) &amp; IF(N143="","",TEXT(N143,"M/D")) &amp; " "</f>
        <v xml:space="preserve"> 0.00% Send Txn process same as web 7/16-7/17 </v>
      </c>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row>
    <row r="144" spans="1:98" outlineLevel="2">
      <c r="A144" s="116"/>
      <c r="B144" s="116"/>
      <c r="C144" s="116">
        <v>3</v>
      </c>
      <c r="D144" s="3" t="s">
        <v>1345</v>
      </c>
      <c r="E144" s="215"/>
      <c r="F144" s="217"/>
      <c r="G144" s="217" t="s">
        <v>1305</v>
      </c>
      <c r="H144" s="184"/>
      <c r="I144" s="184"/>
      <c r="J144" s="184"/>
      <c r="K144" s="184"/>
      <c r="L144" s="184"/>
      <c r="M144" s="185"/>
      <c r="N144" s="185"/>
      <c r="O144" s="186"/>
      <c r="P144" s="187">
        <v>0</v>
      </c>
      <c r="Q144" s="187">
        <v>0</v>
      </c>
      <c r="R144" s="188">
        <v>0</v>
      </c>
      <c r="S144" s="188">
        <v>0</v>
      </c>
      <c r="T144" s="185"/>
      <c r="U144" s="185"/>
      <c r="V144" s="189">
        <v>0</v>
      </c>
      <c r="W144" s="190">
        <v>0</v>
      </c>
      <c r="X144" s="191">
        <v>1</v>
      </c>
      <c r="Y144" s="186"/>
      <c r="Z144" s="192"/>
      <c r="AA144" s="97">
        <v>0</v>
      </c>
      <c r="AB144" s="193">
        <v>0</v>
      </c>
      <c r="AC144" s="123"/>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row>
    <row r="145" spans="1:98" outlineLevel="2">
      <c r="A145" s="116"/>
      <c r="B145" s="116"/>
      <c r="C145" s="116">
        <v>3</v>
      </c>
      <c r="D145" s="3" t="s">
        <v>1346</v>
      </c>
      <c r="E145" s="215"/>
      <c r="F145" s="217"/>
      <c r="G145" s="217" t="s">
        <v>1306</v>
      </c>
      <c r="H145" s="184"/>
      <c r="I145" s="184"/>
      <c r="J145" s="184"/>
      <c r="K145" s="184"/>
      <c r="L145" s="184"/>
      <c r="M145" s="185"/>
      <c r="N145" s="185"/>
      <c r="O145" s="186"/>
      <c r="P145" s="187">
        <v>0</v>
      </c>
      <c r="Q145" s="187">
        <v>0</v>
      </c>
      <c r="R145" s="188">
        <v>0</v>
      </c>
      <c r="S145" s="188">
        <v>0</v>
      </c>
      <c r="T145" s="185"/>
      <c r="U145" s="185"/>
      <c r="V145" s="189">
        <v>0</v>
      </c>
      <c r="W145" s="190">
        <v>0</v>
      </c>
      <c r="X145" s="191"/>
      <c r="Y145" s="186"/>
      <c r="Z145" s="192"/>
      <c r="AA145" s="97">
        <v>0</v>
      </c>
      <c r="AB145" s="193">
        <v>0</v>
      </c>
      <c r="AC145" s="123"/>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row>
    <row r="146" spans="1:98" outlineLevel="2">
      <c r="A146" s="116"/>
      <c r="B146" s="116"/>
      <c r="C146" s="116">
        <v>3</v>
      </c>
      <c r="D146" s="3" t="s">
        <v>1347</v>
      </c>
      <c r="E146" s="215"/>
      <c r="F146" s="217"/>
      <c r="G146" s="217" t="s">
        <v>1307</v>
      </c>
      <c r="H146" s="184"/>
      <c r="I146" s="184"/>
      <c r="J146" s="184"/>
      <c r="K146" s="184"/>
      <c r="L146" s="184"/>
      <c r="M146" s="185">
        <v>43662</v>
      </c>
      <c r="N146" s="185">
        <v>43663</v>
      </c>
      <c r="O146" s="186"/>
      <c r="P146" s="187">
        <v>2</v>
      </c>
      <c r="Q146" s="187">
        <v>0</v>
      </c>
      <c r="R146" s="188">
        <v>2</v>
      </c>
      <c r="S146" s="188">
        <v>0</v>
      </c>
      <c r="T146" s="185"/>
      <c r="U146" s="185"/>
      <c r="V146" s="189"/>
      <c r="W146" s="190">
        <v>0</v>
      </c>
      <c r="X146" s="191">
        <v>1</v>
      </c>
      <c r="Y146" s="186" t="s">
        <v>1364</v>
      </c>
      <c r="Z146" s="192"/>
      <c r="AA146" s="97">
        <v>0</v>
      </c>
      <c r="AB146" s="193">
        <v>0</v>
      </c>
      <c r="AC146" s="123"/>
      <c r="AD146" s="4"/>
      <c r="AE146" s="4" t="str">
        <f>" " &amp; TEXT(AB146,"#0.00%") &amp; " " &amp; "API" &amp; "(Ryan )" &amp; " " &amp; IF(M146="","",TEXT(M146,"M/D-")) &amp; IF(N146="","",TEXT(N146,"M/D")) &amp; " "</f>
        <v xml:space="preserve"> 0.00% API(Ryan ) 7/16-7/17 </v>
      </c>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row>
    <row r="147" spans="1:98" outlineLevel="2">
      <c r="A147" s="116"/>
      <c r="B147" s="116"/>
      <c r="C147" s="116">
        <v>3</v>
      </c>
      <c r="D147" s="3" t="s">
        <v>1348</v>
      </c>
      <c r="E147" s="215"/>
      <c r="F147" s="217"/>
      <c r="G147" s="217" t="s">
        <v>1308</v>
      </c>
      <c r="H147" s="184"/>
      <c r="I147" s="184"/>
      <c r="J147" s="184"/>
      <c r="K147" s="184"/>
      <c r="L147" s="184"/>
      <c r="M147" s="185">
        <v>43662</v>
      </c>
      <c r="N147" s="185">
        <v>43663</v>
      </c>
      <c r="O147" s="186"/>
      <c r="P147" s="187">
        <v>2</v>
      </c>
      <c r="Q147" s="187">
        <v>0</v>
      </c>
      <c r="R147" s="188">
        <v>2</v>
      </c>
      <c r="S147" s="188">
        <v>0</v>
      </c>
      <c r="T147" s="185"/>
      <c r="U147" s="185"/>
      <c r="V147" s="189"/>
      <c r="W147" s="190">
        <v>0</v>
      </c>
      <c r="X147" s="191">
        <v>1</v>
      </c>
      <c r="Y147" s="186" t="s">
        <v>1365</v>
      </c>
      <c r="Z147" s="192"/>
      <c r="AA147" s="97">
        <v>0</v>
      </c>
      <c r="AB147" s="193">
        <v>0</v>
      </c>
      <c r="AC147" s="123"/>
      <c r="AD147" s="4"/>
      <c r="AE147" s="4" t="str">
        <f>" " &amp; TEXT(AB147,"#0.00%") &amp; " " &amp; "iOS,Android" &amp; "(James,Preyea)" &amp; " " &amp; IF(M147="","",TEXT(M147,"M/D-")) &amp; IF(N147="","",TEXT(N147,"M/D")) &amp; " "</f>
        <v xml:space="preserve"> 0.00% iOS,Android(James,Preyea) 7/16-7/17 </v>
      </c>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row>
    <row r="148" spans="1:98" outlineLevel="2">
      <c r="A148" s="116"/>
      <c r="B148" s="116"/>
      <c r="C148" s="116">
        <v>0</v>
      </c>
      <c r="D148" s="3"/>
      <c r="E148" s="215"/>
      <c r="F148" s="217"/>
      <c r="G148" s="217"/>
      <c r="H148" s="184"/>
      <c r="I148" s="184"/>
      <c r="J148" s="184"/>
      <c r="K148" s="184"/>
      <c r="L148" s="184"/>
      <c r="M148" s="185"/>
      <c r="N148" s="185"/>
      <c r="O148" s="186"/>
      <c r="P148" s="187"/>
      <c r="Q148" s="187"/>
      <c r="R148" s="188">
        <v>0</v>
      </c>
      <c r="S148" s="188">
        <v>0</v>
      </c>
      <c r="T148" s="185"/>
      <c r="U148" s="185"/>
      <c r="V148" s="189"/>
      <c r="W148" s="190">
        <v>0</v>
      </c>
      <c r="X148" s="191"/>
      <c r="Y148" s="186"/>
      <c r="Z148" s="192"/>
      <c r="AA148" s="97"/>
      <c r="AB148" s="193"/>
      <c r="AC148" s="123"/>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row>
    <row r="149" spans="1:98" outlineLevel="1">
      <c r="A149" s="116"/>
      <c r="B149" s="116" t="s">
        <v>1065</v>
      </c>
      <c r="C149" s="116">
        <v>2</v>
      </c>
      <c r="D149" s="3" t="s">
        <v>1204</v>
      </c>
      <c r="E149" s="215"/>
      <c r="F149" s="217" t="s">
        <v>1172</v>
      </c>
      <c r="G149" s="217"/>
      <c r="H149" s="184"/>
      <c r="I149" s="184"/>
      <c r="J149" s="184"/>
      <c r="K149" s="184"/>
      <c r="L149" s="184"/>
      <c r="M149" s="185">
        <v>43664</v>
      </c>
      <c r="N149" s="185">
        <v>43665</v>
      </c>
      <c r="O149" s="186"/>
      <c r="P149" s="187">
        <v>3</v>
      </c>
      <c r="Q149" s="187">
        <v>0</v>
      </c>
      <c r="R149" s="188">
        <v>2</v>
      </c>
      <c r="S149" s="188">
        <v>0</v>
      </c>
      <c r="T149" s="185"/>
      <c r="U149" s="185"/>
      <c r="V149" s="189">
        <v>0</v>
      </c>
      <c r="W149" s="190">
        <v>0</v>
      </c>
      <c r="X149" s="191"/>
      <c r="Y149" s="186"/>
      <c r="Z149" s="192"/>
      <c r="AA149" s="97">
        <v>0</v>
      </c>
      <c r="AB149" s="193">
        <v>0</v>
      </c>
      <c r="AC149" s="123"/>
      <c r="AD149" s="4"/>
      <c r="AE149" s="4" t="str">
        <f>"   " &amp; TEXT(AB149,"#0.00%") &amp; " " &amp; "Resend method not to check anything" &amp; " " &amp; IF(M149="","",TEXT(M149,"M/D-")) &amp; IF(N149="","",TEXT(N149,"M/D")) &amp; " "</f>
        <v xml:space="preserve">   0.00% Resend method not to check anything 7/18-7/19 </v>
      </c>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row>
    <row r="150" spans="1:98" outlineLevel="2">
      <c r="A150" s="116"/>
      <c r="B150" s="116"/>
      <c r="C150" s="116">
        <v>3</v>
      </c>
      <c r="D150" s="3" t="s">
        <v>1349</v>
      </c>
      <c r="E150" s="215"/>
      <c r="F150" s="217"/>
      <c r="G150" s="217" t="s">
        <v>1305</v>
      </c>
      <c r="H150" s="184"/>
      <c r="I150" s="184"/>
      <c r="J150" s="184"/>
      <c r="K150" s="184"/>
      <c r="L150" s="184"/>
      <c r="M150" s="185"/>
      <c r="N150" s="185"/>
      <c r="O150" s="186"/>
      <c r="P150" s="187">
        <v>0</v>
      </c>
      <c r="Q150" s="187">
        <v>0</v>
      </c>
      <c r="R150" s="188">
        <v>0</v>
      </c>
      <c r="S150" s="188">
        <v>0</v>
      </c>
      <c r="T150" s="185"/>
      <c r="U150" s="185"/>
      <c r="V150" s="189">
        <v>0</v>
      </c>
      <c r="W150" s="190">
        <v>0</v>
      </c>
      <c r="X150" s="191">
        <v>1</v>
      </c>
      <c r="Y150" s="186"/>
      <c r="Z150" s="192"/>
      <c r="AA150" s="97">
        <v>0</v>
      </c>
      <c r="AB150" s="193">
        <v>0</v>
      </c>
      <c r="AC150" s="123"/>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row>
    <row r="151" spans="1:98" outlineLevel="2">
      <c r="A151" s="116"/>
      <c r="B151" s="116"/>
      <c r="C151" s="116">
        <v>3</v>
      </c>
      <c r="D151" s="3" t="s">
        <v>1350</v>
      </c>
      <c r="E151" s="215"/>
      <c r="F151" s="217"/>
      <c r="G151" s="217" t="s">
        <v>1306</v>
      </c>
      <c r="H151" s="184"/>
      <c r="I151" s="184"/>
      <c r="J151" s="184"/>
      <c r="K151" s="184"/>
      <c r="L151" s="184"/>
      <c r="M151" s="185"/>
      <c r="N151" s="185"/>
      <c r="O151" s="186"/>
      <c r="P151" s="187">
        <v>0</v>
      </c>
      <c r="Q151" s="187">
        <v>0</v>
      </c>
      <c r="R151" s="188">
        <v>0</v>
      </c>
      <c r="S151" s="188">
        <v>0</v>
      </c>
      <c r="T151" s="185"/>
      <c r="U151" s="185"/>
      <c r="V151" s="189">
        <v>0</v>
      </c>
      <c r="W151" s="190">
        <v>0</v>
      </c>
      <c r="X151" s="191"/>
      <c r="Y151" s="186"/>
      <c r="Z151" s="192"/>
      <c r="AA151" s="97">
        <v>0</v>
      </c>
      <c r="AB151" s="193">
        <v>0</v>
      </c>
      <c r="AC151" s="123"/>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row>
    <row r="152" spans="1:98" outlineLevel="2">
      <c r="A152" s="116"/>
      <c r="B152" s="116"/>
      <c r="C152" s="116">
        <v>3</v>
      </c>
      <c r="D152" s="3" t="s">
        <v>1351</v>
      </c>
      <c r="E152" s="215"/>
      <c r="F152" s="217"/>
      <c r="G152" s="217" t="s">
        <v>1307</v>
      </c>
      <c r="H152" s="184"/>
      <c r="I152" s="184"/>
      <c r="J152" s="184"/>
      <c r="K152" s="184"/>
      <c r="L152" s="184"/>
      <c r="M152" s="185">
        <v>43664</v>
      </c>
      <c r="N152" s="185">
        <v>43665</v>
      </c>
      <c r="O152" s="186"/>
      <c r="P152" s="187">
        <v>2</v>
      </c>
      <c r="Q152" s="187">
        <v>0</v>
      </c>
      <c r="R152" s="188">
        <v>2</v>
      </c>
      <c r="S152" s="188">
        <v>0</v>
      </c>
      <c r="T152" s="185"/>
      <c r="U152" s="185"/>
      <c r="V152" s="189"/>
      <c r="W152" s="190">
        <v>0</v>
      </c>
      <c r="X152" s="191">
        <v>1</v>
      </c>
      <c r="Y152" s="186" t="s">
        <v>1364</v>
      </c>
      <c r="Z152" s="192"/>
      <c r="AA152" s="97">
        <v>0</v>
      </c>
      <c r="AB152" s="193">
        <v>0</v>
      </c>
      <c r="AC152" s="123"/>
      <c r="AD152" s="4"/>
      <c r="AE152" s="4" t="str">
        <f>"   " &amp; TEXT(AB152,"#0.00%") &amp; " " &amp; "API" &amp; "(Ryan )" &amp; " " &amp; IF(M152="","",TEXT(M152,"M/D-")) &amp; IF(N152="","",TEXT(N152,"M/D")) &amp; " "</f>
        <v xml:space="preserve">   0.00% API(Ryan ) 7/18-7/19 </v>
      </c>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row>
    <row r="153" spans="1:98" outlineLevel="2">
      <c r="A153" s="116"/>
      <c r="B153" s="116"/>
      <c r="C153" s="116">
        <v>3</v>
      </c>
      <c r="D153" s="3" t="s">
        <v>1352</v>
      </c>
      <c r="E153" s="215"/>
      <c r="F153" s="217"/>
      <c r="G153" s="217" t="s">
        <v>1308</v>
      </c>
      <c r="H153" s="184"/>
      <c r="I153" s="184"/>
      <c r="J153" s="184"/>
      <c r="K153" s="184"/>
      <c r="L153" s="184"/>
      <c r="M153" s="185">
        <v>43665</v>
      </c>
      <c r="N153" s="185">
        <v>43665</v>
      </c>
      <c r="O153" s="186"/>
      <c r="P153" s="187">
        <v>1</v>
      </c>
      <c r="Q153" s="187">
        <v>0</v>
      </c>
      <c r="R153" s="188">
        <v>1</v>
      </c>
      <c r="S153" s="188">
        <v>0</v>
      </c>
      <c r="T153" s="185"/>
      <c r="U153" s="185"/>
      <c r="V153" s="189"/>
      <c r="W153" s="190">
        <v>0</v>
      </c>
      <c r="X153" s="191">
        <v>1</v>
      </c>
      <c r="Y153" s="186" t="s">
        <v>1365</v>
      </c>
      <c r="Z153" s="192"/>
      <c r="AA153" s="97">
        <v>0</v>
      </c>
      <c r="AB153" s="193">
        <v>0</v>
      </c>
      <c r="AC153" s="123"/>
      <c r="AD153" s="4"/>
      <c r="AE153" s="4" t="str">
        <f>"    " &amp; TEXT(AB153,"#0.00%") &amp; " " &amp; "iOS,Android" &amp; "(James,Preyea)" &amp; " " &amp; IF(M153="","",TEXT(M153,"M/D-")) &amp; IF(N153="","",TEXT(N153,"M/D")) &amp; " "</f>
        <v xml:space="preserve">    0.00% iOS,Android(James,Preyea) 7/19-7/19 </v>
      </c>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row>
    <row r="154" spans="1:98" outlineLevel="2">
      <c r="A154" s="116"/>
      <c r="B154" s="116"/>
      <c r="C154" s="116">
        <v>0</v>
      </c>
      <c r="D154" s="3"/>
      <c r="E154" s="215"/>
      <c r="F154" s="217"/>
      <c r="G154" s="217"/>
      <c r="H154" s="184"/>
      <c r="I154" s="184"/>
      <c r="J154" s="184"/>
      <c r="K154" s="184"/>
      <c r="L154" s="184"/>
      <c r="M154" s="185"/>
      <c r="N154" s="185"/>
      <c r="O154" s="186"/>
      <c r="P154" s="187"/>
      <c r="Q154" s="187"/>
      <c r="R154" s="188">
        <v>0</v>
      </c>
      <c r="S154" s="188">
        <v>0</v>
      </c>
      <c r="T154" s="185"/>
      <c r="U154" s="185"/>
      <c r="V154" s="189"/>
      <c r="W154" s="190">
        <v>0</v>
      </c>
      <c r="X154" s="191"/>
      <c r="Y154" s="186"/>
      <c r="Z154" s="192"/>
      <c r="AA154" s="97"/>
      <c r="AB154" s="193"/>
      <c r="AC154" s="123"/>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row>
    <row r="155" spans="1:98" outlineLevel="1">
      <c r="A155" s="116"/>
      <c r="B155" s="116" t="s">
        <v>1065</v>
      </c>
      <c r="C155" s="116">
        <v>2</v>
      </c>
      <c r="D155" s="3" t="s">
        <v>1205</v>
      </c>
      <c r="E155" s="215"/>
      <c r="F155" s="217" t="s">
        <v>1173</v>
      </c>
      <c r="G155" s="217"/>
      <c r="H155" s="184"/>
      <c r="I155" s="184"/>
      <c r="J155" s="184"/>
      <c r="K155" s="184"/>
      <c r="L155" s="184"/>
      <c r="M155" s="185">
        <v>43651</v>
      </c>
      <c r="N155" s="185">
        <v>43656</v>
      </c>
      <c r="O155" s="186"/>
      <c r="P155" s="187">
        <v>4</v>
      </c>
      <c r="Q155" s="187">
        <v>3</v>
      </c>
      <c r="R155" s="188">
        <v>4</v>
      </c>
      <c r="S155" s="188">
        <v>3</v>
      </c>
      <c r="T155" s="185"/>
      <c r="U155" s="185"/>
      <c r="V155" s="189">
        <v>0</v>
      </c>
      <c r="W155" s="190">
        <v>0</v>
      </c>
      <c r="X155" s="191"/>
      <c r="Y155" s="186"/>
      <c r="Z155" s="192"/>
      <c r="AA155" s="97">
        <v>0.75</v>
      </c>
      <c r="AB155" s="193">
        <v>0</v>
      </c>
      <c r="AC155" s="123" t="str">
        <f>"    " &amp; TEXT(AB155,"#0.00%") &amp; " " &amp; "Channel talk app in new app" &amp; " " &amp; IF(M155="","",TEXT(M155,"M/D-")) &amp; IF(N155="","",TEXT(N155,"M/D")) &amp; " "</f>
        <v xml:space="preserve">    0.00% Channel talk app in new app 7/5-7/10 </v>
      </c>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row>
    <row r="156" spans="1:98" outlineLevel="2">
      <c r="A156" s="116"/>
      <c r="B156" s="116"/>
      <c r="C156" s="116">
        <v>3</v>
      </c>
      <c r="D156" s="3" t="s">
        <v>1353</v>
      </c>
      <c r="E156" s="215"/>
      <c r="F156" s="217"/>
      <c r="G156" s="217" t="s">
        <v>1305</v>
      </c>
      <c r="H156" s="184"/>
      <c r="I156" s="184"/>
      <c r="J156" s="184"/>
      <c r="K156" s="184"/>
      <c r="L156" s="184"/>
      <c r="M156" s="185"/>
      <c r="N156" s="185"/>
      <c r="O156" s="186"/>
      <c r="P156" s="187">
        <v>0</v>
      </c>
      <c r="Q156" s="187">
        <v>0</v>
      </c>
      <c r="R156" s="188">
        <v>0</v>
      </c>
      <c r="S156" s="188">
        <v>0</v>
      </c>
      <c r="T156" s="185"/>
      <c r="U156" s="185"/>
      <c r="V156" s="189">
        <v>0</v>
      </c>
      <c r="W156" s="190">
        <v>0</v>
      </c>
      <c r="X156" s="191"/>
      <c r="Y156" s="186"/>
      <c r="Z156" s="192"/>
      <c r="AA156" s="97">
        <v>0</v>
      </c>
      <c r="AB156" s="193">
        <v>0</v>
      </c>
      <c r="AC156" s="123"/>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row>
    <row r="157" spans="1:98" outlineLevel="2">
      <c r="A157" s="116"/>
      <c r="B157" s="116"/>
      <c r="C157" s="116">
        <v>3</v>
      </c>
      <c r="D157" s="3" t="s">
        <v>1354</v>
      </c>
      <c r="E157" s="215"/>
      <c r="F157" s="217"/>
      <c r="G157" s="217" t="s">
        <v>1306</v>
      </c>
      <c r="H157" s="184"/>
      <c r="I157" s="184"/>
      <c r="J157" s="184"/>
      <c r="K157" s="184"/>
      <c r="L157" s="184"/>
      <c r="M157" s="185"/>
      <c r="N157" s="185"/>
      <c r="O157" s="186"/>
      <c r="P157" s="187">
        <v>0</v>
      </c>
      <c r="Q157" s="187">
        <v>0</v>
      </c>
      <c r="R157" s="188">
        <v>0</v>
      </c>
      <c r="S157" s="188">
        <v>0</v>
      </c>
      <c r="T157" s="185"/>
      <c r="U157" s="185"/>
      <c r="V157" s="189">
        <v>0</v>
      </c>
      <c r="W157" s="190">
        <v>0</v>
      </c>
      <c r="X157" s="191"/>
      <c r="Y157" s="186"/>
      <c r="Z157" s="192"/>
      <c r="AA157" s="97">
        <v>0</v>
      </c>
      <c r="AB157" s="193">
        <v>0</v>
      </c>
      <c r="AC157" s="123"/>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row>
    <row r="158" spans="1:98" outlineLevel="2">
      <c r="A158" s="116"/>
      <c r="B158" s="116"/>
      <c r="C158" s="116">
        <v>3</v>
      </c>
      <c r="D158" s="3" t="s">
        <v>1355</v>
      </c>
      <c r="E158" s="215"/>
      <c r="F158" s="217"/>
      <c r="G158" s="217" t="s">
        <v>1307</v>
      </c>
      <c r="H158" s="184"/>
      <c r="I158" s="184"/>
      <c r="J158" s="184"/>
      <c r="K158" s="184"/>
      <c r="L158" s="184"/>
      <c r="M158" s="185"/>
      <c r="N158" s="185"/>
      <c r="O158" s="186"/>
      <c r="P158" s="187">
        <v>0</v>
      </c>
      <c r="Q158" s="187">
        <v>0</v>
      </c>
      <c r="R158" s="188">
        <v>0</v>
      </c>
      <c r="S158" s="188">
        <v>0</v>
      </c>
      <c r="T158" s="185"/>
      <c r="U158" s="185"/>
      <c r="V158" s="189">
        <v>0</v>
      </c>
      <c r="W158" s="190">
        <v>0</v>
      </c>
      <c r="X158" s="191"/>
      <c r="Y158" s="186"/>
      <c r="Z158" s="192"/>
      <c r="AA158" s="97">
        <v>0</v>
      </c>
      <c r="AB158" s="193">
        <v>0</v>
      </c>
      <c r="AC158" s="123"/>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row>
    <row r="159" spans="1:98" outlineLevel="2">
      <c r="A159" s="116"/>
      <c r="B159" s="116"/>
      <c r="C159" s="116">
        <v>3</v>
      </c>
      <c r="D159" s="3" t="s">
        <v>1356</v>
      </c>
      <c r="E159" s="215"/>
      <c r="F159" s="217"/>
      <c r="G159" s="217" t="s">
        <v>1308</v>
      </c>
      <c r="H159" s="184"/>
      <c r="I159" s="184"/>
      <c r="J159" s="184"/>
      <c r="K159" s="184"/>
      <c r="L159" s="184"/>
      <c r="M159" s="185">
        <v>43651</v>
      </c>
      <c r="N159" s="185">
        <v>43656</v>
      </c>
      <c r="O159" s="186"/>
      <c r="P159" s="187">
        <v>4</v>
      </c>
      <c r="Q159" s="187">
        <v>3</v>
      </c>
      <c r="R159" s="188">
        <v>4</v>
      </c>
      <c r="S159" s="188">
        <v>3</v>
      </c>
      <c r="T159" s="185"/>
      <c r="U159" s="185"/>
      <c r="V159" s="189"/>
      <c r="W159" s="190">
        <v>0</v>
      </c>
      <c r="X159" s="191">
        <v>1</v>
      </c>
      <c r="Y159" s="186" t="s">
        <v>1365</v>
      </c>
      <c r="Z159" s="192"/>
      <c r="AA159" s="97">
        <v>0.75</v>
      </c>
      <c r="AB159" s="193">
        <v>0</v>
      </c>
      <c r="AC159" s="123" t="str">
        <f>"    " &amp; TEXT(AB159,"#0.00%") &amp; " " &amp; "iOS,Android" &amp; "(James,Preyea)" &amp; " " &amp; IF(M159="","",TEXT(M159,"M/D-")) &amp; IF(N159="","",TEXT(N159,"M/D")) &amp; " "</f>
        <v xml:space="preserve">    0.00% iOS,Android(James,Preyea) 7/5-7/10 </v>
      </c>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row>
    <row r="160" spans="1:98" outlineLevel="2">
      <c r="A160" s="116"/>
      <c r="B160" s="116"/>
      <c r="C160" s="116">
        <v>0</v>
      </c>
      <c r="D160" s="3"/>
      <c r="E160" s="215"/>
      <c r="F160" s="217"/>
      <c r="G160" s="217"/>
      <c r="H160" s="184"/>
      <c r="I160" s="184"/>
      <c r="J160" s="184"/>
      <c r="K160" s="184"/>
      <c r="L160" s="184"/>
      <c r="M160" s="185"/>
      <c r="N160" s="185"/>
      <c r="O160" s="186"/>
      <c r="P160" s="187"/>
      <c r="Q160" s="187"/>
      <c r="R160" s="188">
        <v>0</v>
      </c>
      <c r="S160" s="188">
        <v>0</v>
      </c>
      <c r="T160" s="185"/>
      <c r="U160" s="185"/>
      <c r="V160" s="189"/>
      <c r="W160" s="190">
        <v>0</v>
      </c>
      <c r="X160" s="191"/>
      <c r="Y160" s="186"/>
      <c r="Z160" s="192"/>
      <c r="AA160" s="97"/>
      <c r="AB160" s="193"/>
      <c r="AC160" s="123"/>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row>
    <row r="161" spans="1:98" outlineLevel="1">
      <c r="A161" s="116"/>
      <c r="B161" s="116" t="s">
        <v>1065</v>
      </c>
      <c r="C161" s="116">
        <v>2</v>
      </c>
      <c r="D161" s="3" t="s">
        <v>1206</v>
      </c>
      <c r="E161" s="215"/>
      <c r="F161" s="217" t="s">
        <v>1174</v>
      </c>
      <c r="G161" s="217"/>
      <c r="H161" s="184"/>
      <c r="I161" s="184"/>
      <c r="J161" s="184"/>
      <c r="K161" s="184"/>
      <c r="L161" s="184"/>
      <c r="M161" s="185">
        <v>43657</v>
      </c>
      <c r="N161" s="185">
        <v>43658</v>
      </c>
      <c r="O161" s="186"/>
      <c r="P161" s="187">
        <v>2</v>
      </c>
      <c r="Q161" s="187">
        <v>0</v>
      </c>
      <c r="R161" s="188">
        <v>2</v>
      </c>
      <c r="S161" s="188">
        <v>0</v>
      </c>
      <c r="T161" s="185"/>
      <c r="U161" s="185"/>
      <c r="V161" s="189">
        <v>0</v>
      </c>
      <c r="W161" s="190">
        <v>0</v>
      </c>
      <c r="X161" s="191"/>
      <c r="Y161" s="186"/>
      <c r="Z161" s="192"/>
      <c r="AA161" s="97">
        <v>0</v>
      </c>
      <c r="AB161" s="193">
        <v>0</v>
      </c>
      <c r="AC161" s="123"/>
      <c r="AD161" s="4" t="str">
        <f>"   " &amp; TEXT(AB161,"#0.00%") &amp; " " &amp; "Popup notice in new app" &amp; " " &amp; IF(M161="","",TEXT(M161,"M/D-")) &amp; IF(N161="","",TEXT(N161,"M/D")) &amp; " "</f>
        <v xml:space="preserve">   0.00% Popup notice in new app 7/11-7/12 </v>
      </c>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row>
    <row r="162" spans="1:98" outlineLevel="2">
      <c r="A162" s="116"/>
      <c r="B162" s="116"/>
      <c r="C162" s="116">
        <v>3</v>
      </c>
      <c r="D162" s="3" t="s">
        <v>1357</v>
      </c>
      <c r="E162" s="215"/>
      <c r="F162" s="217"/>
      <c r="G162" s="217" t="s">
        <v>1305</v>
      </c>
      <c r="H162" s="184"/>
      <c r="I162" s="184"/>
      <c r="J162" s="184"/>
      <c r="K162" s="184"/>
      <c r="L162" s="184"/>
      <c r="M162" s="185"/>
      <c r="N162" s="185"/>
      <c r="O162" s="186"/>
      <c r="P162" s="187">
        <v>0</v>
      </c>
      <c r="Q162" s="187">
        <v>0</v>
      </c>
      <c r="R162" s="188">
        <v>0</v>
      </c>
      <c r="S162" s="188">
        <v>0</v>
      </c>
      <c r="T162" s="185"/>
      <c r="U162" s="185"/>
      <c r="V162" s="189">
        <v>0</v>
      </c>
      <c r="W162" s="190">
        <v>0</v>
      </c>
      <c r="X162" s="191"/>
      <c r="Y162" s="186"/>
      <c r="Z162" s="192"/>
      <c r="AA162" s="97">
        <v>0</v>
      </c>
      <c r="AB162" s="193">
        <v>0</v>
      </c>
      <c r="AC162" s="123"/>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row>
    <row r="163" spans="1:98" outlineLevel="2">
      <c r="A163" s="116"/>
      <c r="B163" s="116"/>
      <c r="C163" s="116">
        <v>3</v>
      </c>
      <c r="D163" s="3" t="s">
        <v>1358</v>
      </c>
      <c r="E163" s="215"/>
      <c r="F163" s="217"/>
      <c r="G163" s="217" t="s">
        <v>1306</v>
      </c>
      <c r="H163" s="184"/>
      <c r="I163" s="184"/>
      <c r="J163" s="184"/>
      <c r="K163" s="184"/>
      <c r="L163" s="184"/>
      <c r="M163" s="185"/>
      <c r="N163" s="185"/>
      <c r="O163" s="186"/>
      <c r="P163" s="187">
        <v>0</v>
      </c>
      <c r="Q163" s="187">
        <v>0</v>
      </c>
      <c r="R163" s="188">
        <v>0</v>
      </c>
      <c r="S163" s="188">
        <v>0</v>
      </c>
      <c r="T163" s="185"/>
      <c r="U163" s="185"/>
      <c r="V163" s="189">
        <v>0</v>
      </c>
      <c r="W163" s="190">
        <v>0</v>
      </c>
      <c r="X163" s="191"/>
      <c r="Y163" s="186"/>
      <c r="Z163" s="192"/>
      <c r="AA163" s="97">
        <v>0</v>
      </c>
      <c r="AB163" s="193">
        <v>0</v>
      </c>
      <c r="AC163" s="123"/>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row>
    <row r="164" spans="1:98" outlineLevel="2">
      <c r="A164" s="116"/>
      <c r="B164" s="116"/>
      <c r="C164" s="116">
        <v>3</v>
      </c>
      <c r="D164" s="3" t="s">
        <v>1359</v>
      </c>
      <c r="E164" s="215"/>
      <c r="F164" s="217"/>
      <c r="G164" s="217" t="s">
        <v>1307</v>
      </c>
      <c r="H164" s="184"/>
      <c r="I164" s="184"/>
      <c r="J164" s="184"/>
      <c r="K164" s="184"/>
      <c r="L164" s="184"/>
      <c r="M164" s="185"/>
      <c r="N164" s="185"/>
      <c r="O164" s="186"/>
      <c r="P164" s="187">
        <v>0</v>
      </c>
      <c r="Q164" s="187">
        <v>0</v>
      </c>
      <c r="R164" s="188">
        <v>0</v>
      </c>
      <c r="S164" s="188">
        <v>0</v>
      </c>
      <c r="T164" s="185"/>
      <c r="U164" s="185"/>
      <c r="V164" s="189">
        <v>0</v>
      </c>
      <c r="W164" s="190">
        <v>0</v>
      </c>
      <c r="X164" s="191"/>
      <c r="Y164" s="186"/>
      <c r="Z164" s="192"/>
      <c r="AA164" s="97">
        <v>0</v>
      </c>
      <c r="AB164" s="193">
        <v>0</v>
      </c>
      <c r="AC164" s="123"/>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row>
    <row r="165" spans="1:98" outlineLevel="2">
      <c r="A165" s="116"/>
      <c r="B165" s="116"/>
      <c r="C165" s="116">
        <v>3</v>
      </c>
      <c r="D165" s="3" t="s">
        <v>1360</v>
      </c>
      <c r="E165" s="215"/>
      <c r="F165" s="217"/>
      <c r="G165" s="217" t="s">
        <v>1308</v>
      </c>
      <c r="H165" s="184"/>
      <c r="I165" s="184"/>
      <c r="J165" s="184"/>
      <c r="K165" s="184"/>
      <c r="L165" s="184"/>
      <c r="M165" s="185">
        <v>43657</v>
      </c>
      <c r="N165" s="185">
        <v>43658</v>
      </c>
      <c r="O165" s="186"/>
      <c r="P165" s="187">
        <v>2</v>
      </c>
      <c r="Q165" s="187">
        <v>0</v>
      </c>
      <c r="R165" s="188">
        <v>2</v>
      </c>
      <c r="S165" s="188">
        <v>0</v>
      </c>
      <c r="T165" s="185"/>
      <c r="U165" s="185"/>
      <c r="V165" s="189"/>
      <c r="W165" s="190">
        <v>0</v>
      </c>
      <c r="X165" s="191">
        <v>1</v>
      </c>
      <c r="Y165" s="186" t="s">
        <v>1365</v>
      </c>
      <c r="Z165" s="192"/>
      <c r="AA165" s="97">
        <v>0</v>
      </c>
      <c r="AB165" s="193">
        <v>0</v>
      </c>
      <c r="AC165" s="123"/>
      <c r="AD165" s="4" t="str">
        <f>"   " &amp; TEXT(AB165,"#0.00%") &amp; " " &amp; "iOS,Android" &amp; "(James,Preyea)" &amp; " " &amp; IF(M165="","",TEXT(M165,"M/D-")) &amp; IF(N165="","",TEXT(N165,"M/D")) &amp; " "</f>
        <v xml:space="preserve">   0.00% iOS,Android(James,Preyea) 7/11-7/12 </v>
      </c>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row>
    <row r="166" spans="1:98" outlineLevel="2">
      <c r="A166" s="116"/>
      <c r="B166" s="116"/>
      <c r="C166" s="116">
        <v>0</v>
      </c>
      <c r="D166" s="3"/>
      <c r="E166" s="215"/>
      <c r="F166" s="184"/>
      <c r="G166" s="184"/>
      <c r="H166" s="184"/>
      <c r="I166" s="184"/>
      <c r="J166" s="184"/>
      <c r="K166" s="184"/>
      <c r="L166" s="184"/>
      <c r="M166" s="185"/>
      <c r="N166" s="185"/>
      <c r="O166" s="186"/>
      <c r="P166" s="187"/>
      <c r="Q166" s="187"/>
      <c r="R166" s="188">
        <v>0</v>
      </c>
      <c r="S166" s="188">
        <v>0</v>
      </c>
      <c r="T166" s="185"/>
      <c r="U166" s="185"/>
      <c r="V166" s="189"/>
      <c r="W166" s="190">
        <v>0</v>
      </c>
      <c r="X166" s="191"/>
      <c r="Y166" s="186"/>
      <c r="Z166" s="192"/>
      <c r="AA166" s="97"/>
      <c r="AB166" s="193"/>
      <c r="AC166" s="123"/>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row>
    <row r="167" spans="1:98" outlineLevel="2">
      <c r="A167" s="116"/>
      <c r="B167" s="116"/>
      <c r="C167" s="116">
        <v>0</v>
      </c>
      <c r="D167" s="3"/>
      <c r="E167" s="184"/>
      <c r="F167" s="184"/>
      <c r="G167" s="184"/>
      <c r="H167" s="184"/>
      <c r="I167" s="184"/>
      <c r="J167" s="184"/>
      <c r="K167" s="184"/>
      <c r="L167" s="184"/>
      <c r="M167" s="185"/>
      <c r="N167" s="185"/>
      <c r="O167" s="186"/>
      <c r="P167" s="187"/>
      <c r="Q167" s="187"/>
      <c r="R167" s="188">
        <v>0</v>
      </c>
      <c r="S167" s="188">
        <v>0</v>
      </c>
      <c r="T167" s="185"/>
      <c r="U167" s="185"/>
      <c r="V167" s="189"/>
      <c r="W167" s="190">
        <v>0</v>
      </c>
      <c r="X167" s="191"/>
      <c r="Y167" s="186"/>
      <c r="Z167" s="192"/>
      <c r="AA167" s="97"/>
      <c r="AB167" s="193"/>
      <c r="AC167" s="123"/>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row>
    <row r="168" spans="1:98" outlineLevel="2">
      <c r="A168" s="116"/>
      <c r="B168" s="116"/>
      <c r="C168" s="116">
        <v>0</v>
      </c>
      <c r="D168" s="3"/>
      <c r="E168" s="184"/>
      <c r="F168" s="184"/>
      <c r="G168" s="184"/>
      <c r="H168" s="184"/>
      <c r="I168" s="184"/>
      <c r="J168" s="184"/>
      <c r="K168" s="184"/>
      <c r="L168" s="184"/>
      <c r="M168" s="185"/>
      <c r="N168" s="185"/>
      <c r="O168" s="186"/>
      <c r="P168" s="187"/>
      <c r="Q168" s="187"/>
      <c r="R168" s="188">
        <v>0</v>
      </c>
      <c r="S168" s="188">
        <v>0</v>
      </c>
      <c r="T168" s="185"/>
      <c r="U168" s="185"/>
      <c r="V168" s="189"/>
      <c r="W168" s="190">
        <v>0</v>
      </c>
      <c r="X168" s="191"/>
      <c r="Y168" s="186"/>
      <c r="Z168" s="192"/>
      <c r="AA168" s="97"/>
      <c r="AB168" s="193"/>
      <c r="AC168" s="123"/>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row>
    <row r="169" spans="1:98">
      <c r="A169" s="116"/>
      <c r="B169" s="116" t="s">
        <v>1065</v>
      </c>
      <c r="C169" s="116">
        <v>1</v>
      </c>
      <c r="D169" s="3" t="s">
        <v>1148</v>
      </c>
      <c r="E169" s="215" t="s">
        <v>1146</v>
      </c>
      <c r="F169" s="184"/>
      <c r="G169" s="184"/>
      <c r="H169" s="184"/>
      <c r="I169" s="184"/>
      <c r="J169" s="184"/>
      <c r="K169" s="184"/>
      <c r="L169" s="184"/>
      <c r="M169" s="185">
        <v>43656</v>
      </c>
      <c r="N169" s="185">
        <v>43697</v>
      </c>
      <c r="O169" s="186"/>
      <c r="P169" s="187">
        <v>32</v>
      </c>
      <c r="Q169" s="187">
        <v>0</v>
      </c>
      <c r="R169" s="188">
        <v>29</v>
      </c>
      <c r="S169" s="188">
        <v>0</v>
      </c>
      <c r="T169" s="185"/>
      <c r="U169" s="185"/>
      <c r="V169" s="189">
        <v>0</v>
      </c>
      <c r="W169" s="190">
        <v>0</v>
      </c>
      <c r="X169" s="191"/>
      <c r="Y169" s="186"/>
      <c r="Z169" s="192"/>
      <c r="AA169" s="97">
        <v>0</v>
      </c>
      <c r="AB169" s="193">
        <v>0</v>
      </c>
      <c r="AC169" s="123"/>
      <c r="AD169" s="4" t="str">
        <f>"  " &amp; TEXT(AB169,"#0.00%") &amp; " "</f>
        <v xml:space="preserve">  0.00% </v>
      </c>
      <c r="AE169" s="4"/>
      <c r="AF169" s="4"/>
      <c r="AG169" s="4"/>
      <c r="AH169" s="4"/>
      <c r="AI169" s="4"/>
      <c r="AJ169" s="4" t="str">
        <f>"  " &amp; "테스트" &amp; " " &amp; IF(M169="","",TEXT(M169,"M/D-")) &amp; IF(N169="","",TEXT(N169,"M/D")) &amp; " "</f>
        <v xml:space="preserve">  테스트 7/10-8/20 </v>
      </c>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row>
    <row r="170" spans="1:98" outlineLevel="1">
      <c r="A170" s="116"/>
      <c r="B170" s="116" t="s">
        <v>1065</v>
      </c>
      <c r="C170" s="116">
        <v>2</v>
      </c>
      <c r="D170" s="3" t="s">
        <v>1149</v>
      </c>
      <c r="E170" s="216"/>
      <c r="F170" s="217" t="s">
        <v>1163</v>
      </c>
      <c r="G170" s="217"/>
      <c r="H170" s="184"/>
      <c r="I170" s="184"/>
      <c r="J170" s="184"/>
      <c r="K170" s="184"/>
      <c r="L170" s="184"/>
      <c r="M170" s="185">
        <v>43656</v>
      </c>
      <c r="N170" s="185">
        <v>43657</v>
      </c>
      <c r="O170" s="186"/>
      <c r="P170" s="187">
        <v>2</v>
      </c>
      <c r="Q170" s="187">
        <v>0</v>
      </c>
      <c r="R170" s="188">
        <v>2</v>
      </c>
      <c r="S170" s="188">
        <v>0</v>
      </c>
      <c r="T170" s="185"/>
      <c r="U170" s="185"/>
      <c r="V170" s="189">
        <v>0</v>
      </c>
      <c r="W170" s="190">
        <v>0</v>
      </c>
      <c r="X170" s="191"/>
      <c r="Y170" s="186"/>
      <c r="Z170" s="192"/>
      <c r="AA170" s="97">
        <v>0</v>
      </c>
      <c r="AB170" s="193">
        <v>0</v>
      </c>
      <c r="AC170" s="123"/>
      <c r="AD170" s="4" t="str">
        <f>"  " &amp; TEXT(AB170,"#0.00%") &amp; " " &amp; "Thuns for Myanmar" &amp; " " &amp; IF(M170="","",TEXT(M170,"M/D-")) &amp; IF(N170="","",TEXT(N170,"M/D")) &amp; " "</f>
        <v xml:space="preserve">  0.00% Thuns for Myanmar 7/10-7/11 </v>
      </c>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row>
    <row r="171" spans="1:98" outlineLevel="2">
      <c r="A171" s="116"/>
      <c r="B171" s="116"/>
      <c r="C171" s="116">
        <v>3</v>
      </c>
      <c r="D171" s="3" t="s">
        <v>1256</v>
      </c>
      <c r="E171" s="216"/>
      <c r="F171" s="217"/>
      <c r="G171" s="217" t="s">
        <v>1254</v>
      </c>
      <c r="H171" s="184"/>
      <c r="I171" s="184"/>
      <c r="J171" s="184"/>
      <c r="K171" s="184"/>
      <c r="L171" s="184"/>
      <c r="M171" s="185">
        <v>43656</v>
      </c>
      <c r="N171" s="185">
        <v>43656</v>
      </c>
      <c r="O171" s="186"/>
      <c r="P171" s="187">
        <v>1</v>
      </c>
      <c r="Q171" s="187">
        <v>0</v>
      </c>
      <c r="R171" s="188">
        <v>1</v>
      </c>
      <c r="S171" s="188">
        <v>0</v>
      </c>
      <c r="T171" s="185"/>
      <c r="U171" s="185"/>
      <c r="V171" s="189"/>
      <c r="W171" s="190">
        <v>0</v>
      </c>
      <c r="X171" s="191">
        <v>1</v>
      </c>
      <c r="Y171" s="186" t="s">
        <v>1366</v>
      </c>
      <c r="Z171" s="192"/>
      <c r="AA171" s="97">
        <v>0</v>
      </c>
      <c r="AB171" s="193">
        <v>0</v>
      </c>
      <c r="AC171" s="123"/>
      <c r="AD171" s="4" t="str">
        <f>"  " &amp; TEXT(AB171,"#0.00%") &amp; " " &amp; "Unit Test" &amp; "(Max,Pralhad)" &amp; " " &amp; IF(M171="","",TEXT(M171,"M/D-")) &amp; IF(N171="","",TEXT(N171,"M/D")) &amp; " "</f>
        <v xml:space="preserve">  0.00% Unit Test(Max,Pralhad) 7/10-7/10 </v>
      </c>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row>
    <row r="172" spans="1:98" outlineLevel="2">
      <c r="A172" s="116"/>
      <c r="B172" s="116"/>
      <c r="C172" s="116">
        <v>3</v>
      </c>
      <c r="D172" s="3" t="s">
        <v>1257</v>
      </c>
      <c r="E172" s="216"/>
      <c r="F172" s="217"/>
      <c r="G172" s="217" t="s">
        <v>1255</v>
      </c>
      <c r="H172" s="184"/>
      <c r="I172" s="184"/>
      <c r="J172" s="184"/>
      <c r="K172" s="184"/>
      <c r="L172" s="184"/>
      <c r="M172" s="185">
        <v>43657</v>
      </c>
      <c r="N172" s="185">
        <v>43657</v>
      </c>
      <c r="O172" s="186"/>
      <c r="P172" s="187">
        <v>1</v>
      </c>
      <c r="Q172" s="187">
        <v>0</v>
      </c>
      <c r="R172" s="188">
        <v>1</v>
      </c>
      <c r="S172" s="188">
        <v>0</v>
      </c>
      <c r="T172" s="185"/>
      <c r="U172" s="185"/>
      <c r="V172" s="189"/>
      <c r="W172" s="190">
        <v>0</v>
      </c>
      <c r="X172" s="191">
        <v>1</v>
      </c>
      <c r="Y172" s="186" t="s">
        <v>1366</v>
      </c>
      <c r="Z172" s="192"/>
      <c r="AA172" s="97">
        <v>0</v>
      </c>
      <c r="AB172" s="193">
        <v>0</v>
      </c>
      <c r="AC172" s="123"/>
      <c r="AD172" s="4" t="str">
        <f>"   " &amp; TEXT(AB172,"#0.00%") &amp; " " &amp; "Integrated Test" &amp; "(Max,Pralhad)" &amp; " " &amp; IF(M172="","",TEXT(M172,"M/D-")) &amp; IF(N172="","",TEXT(N172,"M/D")) &amp; " "</f>
        <v xml:space="preserve">   0.00% Integrated Test(Max,Pralhad) 7/11-7/11 </v>
      </c>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row>
    <row r="173" spans="1:98" outlineLevel="2">
      <c r="A173" s="116"/>
      <c r="B173" s="116"/>
      <c r="C173" s="116">
        <v>0</v>
      </c>
      <c r="D173" s="3"/>
      <c r="E173" s="216"/>
      <c r="F173" s="217"/>
      <c r="G173" s="217"/>
      <c r="H173" s="184"/>
      <c r="I173" s="184"/>
      <c r="J173" s="184"/>
      <c r="K173" s="184"/>
      <c r="L173" s="184"/>
      <c r="M173" s="185"/>
      <c r="N173" s="185"/>
      <c r="O173" s="186"/>
      <c r="P173" s="187"/>
      <c r="Q173" s="187"/>
      <c r="R173" s="188">
        <v>0</v>
      </c>
      <c r="S173" s="188">
        <v>0</v>
      </c>
      <c r="T173" s="185"/>
      <c r="U173" s="185"/>
      <c r="V173" s="189"/>
      <c r="W173" s="190">
        <v>0</v>
      </c>
      <c r="X173" s="191"/>
      <c r="Y173" s="186"/>
      <c r="Z173" s="192"/>
      <c r="AA173" s="97"/>
      <c r="AB173" s="193"/>
      <c r="AC173" s="123"/>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row>
    <row r="174" spans="1:98" outlineLevel="1">
      <c r="A174" s="116"/>
      <c r="B174" s="116" t="s">
        <v>1065</v>
      </c>
      <c r="C174" s="116">
        <v>2</v>
      </c>
      <c r="D174" s="3" t="s">
        <v>1150</v>
      </c>
      <c r="E174" s="184"/>
      <c r="F174" s="217" t="s">
        <v>1164</v>
      </c>
      <c r="G174" s="217"/>
      <c r="H174" s="184"/>
      <c r="I174" s="184"/>
      <c r="J174" s="184"/>
      <c r="K174" s="184"/>
      <c r="L174" s="184"/>
      <c r="M174" s="185">
        <v>43671</v>
      </c>
      <c r="N174" s="185">
        <v>43676</v>
      </c>
      <c r="O174" s="186"/>
      <c r="P174" s="187">
        <v>4</v>
      </c>
      <c r="Q174" s="187">
        <v>0</v>
      </c>
      <c r="R174" s="188">
        <v>4</v>
      </c>
      <c r="S174" s="188">
        <v>0</v>
      </c>
      <c r="T174" s="185"/>
      <c r="U174" s="185"/>
      <c r="V174" s="189">
        <v>0</v>
      </c>
      <c r="W174" s="190">
        <v>0</v>
      </c>
      <c r="X174" s="191"/>
      <c r="Y174" s="186"/>
      <c r="Z174" s="192"/>
      <c r="AA174" s="97">
        <v>0</v>
      </c>
      <c r="AB174" s="193">
        <v>0</v>
      </c>
      <c r="AC174" s="123"/>
      <c r="AD174" s="4"/>
      <c r="AE174" s="4"/>
      <c r="AF174" s="4" t="str">
        <f>"   " &amp; TEXT(AB174,"#0.00%") &amp; " " &amp; "Lyhour API for Cambodia deposit" &amp; " " &amp; IF(M174="","",TEXT(M174,"M/D-")) &amp; IF(N174="","",TEXT(N174,"M/D")) &amp; " "</f>
        <v xml:space="preserve">   0.00% Lyhour API for Cambodia deposit 7/25-7/30 </v>
      </c>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row>
    <row r="175" spans="1:98" outlineLevel="2">
      <c r="A175" s="116"/>
      <c r="B175" s="116"/>
      <c r="C175" s="116">
        <v>3</v>
      </c>
      <c r="D175" s="3" t="s">
        <v>1258</v>
      </c>
      <c r="E175" s="216"/>
      <c r="F175" s="217"/>
      <c r="G175" s="217" t="s">
        <v>1254</v>
      </c>
      <c r="H175" s="184"/>
      <c r="I175" s="184"/>
      <c r="J175" s="184"/>
      <c r="K175" s="184"/>
      <c r="L175" s="184"/>
      <c r="M175" s="185">
        <v>43671</v>
      </c>
      <c r="N175" s="185">
        <v>43672</v>
      </c>
      <c r="O175" s="186"/>
      <c r="P175" s="187">
        <v>2</v>
      </c>
      <c r="Q175" s="187">
        <v>0</v>
      </c>
      <c r="R175" s="188">
        <v>2</v>
      </c>
      <c r="S175" s="188">
        <v>0</v>
      </c>
      <c r="T175" s="185"/>
      <c r="U175" s="185"/>
      <c r="V175" s="189"/>
      <c r="W175" s="190">
        <v>0</v>
      </c>
      <c r="X175" s="191">
        <v>1</v>
      </c>
      <c r="Y175" s="186" t="s">
        <v>1366</v>
      </c>
      <c r="Z175" s="192"/>
      <c r="AA175" s="97">
        <v>0</v>
      </c>
      <c r="AB175" s="193">
        <v>0</v>
      </c>
      <c r="AC175" s="123"/>
      <c r="AD175" s="4"/>
      <c r="AE175" s="4"/>
      <c r="AF175" s="4" t="str">
        <f>"   " &amp; TEXT(AB175,"#0.00%") &amp; " " &amp; "Unit Test" &amp; "(Max,Pralhad)" &amp; " " &amp; IF(M175="","",TEXT(M175,"M/D-")) &amp; IF(N175="","",TEXT(N175,"M/D")) &amp; " "</f>
        <v xml:space="preserve">   0.00% Unit Test(Max,Pralhad) 7/25-7/26 </v>
      </c>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row>
    <row r="176" spans="1:98" outlineLevel="2">
      <c r="A176" s="116"/>
      <c r="B176" s="116"/>
      <c r="C176" s="116">
        <v>3</v>
      </c>
      <c r="D176" s="3" t="s">
        <v>1259</v>
      </c>
      <c r="E176" s="216"/>
      <c r="F176" s="217"/>
      <c r="G176" s="217" t="s">
        <v>1255</v>
      </c>
      <c r="H176" s="184"/>
      <c r="I176" s="184"/>
      <c r="J176" s="184"/>
      <c r="K176" s="184"/>
      <c r="L176" s="184"/>
      <c r="M176" s="185">
        <v>43675</v>
      </c>
      <c r="N176" s="185">
        <v>43676</v>
      </c>
      <c r="O176" s="186"/>
      <c r="P176" s="187">
        <v>2</v>
      </c>
      <c r="Q176" s="187">
        <v>0</v>
      </c>
      <c r="R176" s="188">
        <v>2</v>
      </c>
      <c r="S176" s="188">
        <v>0</v>
      </c>
      <c r="T176" s="185"/>
      <c r="U176" s="185"/>
      <c r="V176" s="189"/>
      <c r="W176" s="190">
        <v>0</v>
      </c>
      <c r="X176" s="191">
        <v>1</v>
      </c>
      <c r="Y176" s="186" t="s">
        <v>1366</v>
      </c>
      <c r="Z176" s="192"/>
      <c r="AA176" s="97">
        <v>0</v>
      </c>
      <c r="AB176" s="193">
        <v>0</v>
      </c>
      <c r="AC176" s="123"/>
      <c r="AD176" s="4"/>
      <c r="AE176" s="4"/>
      <c r="AF176" s="4"/>
      <c r="AG176" s="4" t="str">
        <f>"" &amp; TEXT(AB176,"#0.00%") &amp; " " &amp; "Integrated Test" &amp; "(Max,Pralhad)" &amp; " " &amp; IF(M176="","",TEXT(M176,"M/D-")) &amp; IF(N176="","",TEXT(N176,"M/D")) &amp; " "</f>
        <v xml:space="preserve">0.00% Integrated Test(Max,Pralhad) 7/29-7/30 </v>
      </c>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row>
    <row r="177" spans="1:98" outlineLevel="2">
      <c r="A177" s="116"/>
      <c r="B177" s="116"/>
      <c r="C177" s="116">
        <v>0</v>
      </c>
      <c r="D177" s="3"/>
      <c r="E177" s="215"/>
      <c r="F177" s="217"/>
      <c r="G177" s="217"/>
      <c r="H177" s="184"/>
      <c r="I177" s="184"/>
      <c r="J177" s="184"/>
      <c r="K177" s="184"/>
      <c r="L177" s="184"/>
      <c r="M177" s="185"/>
      <c r="N177" s="185"/>
      <c r="O177" s="186"/>
      <c r="P177" s="187"/>
      <c r="Q177" s="187"/>
      <c r="R177" s="188">
        <v>0</v>
      </c>
      <c r="S177" s="188">
        <v>0</v>
      </c>
      <c r="T177" s="185"/>
      <c r="U177" s="185"/>
      <c r="V177" s="189"/>
      <c r="W177" s="190">
        <v>0</v>
      </c>
      <c r="X177" s="191"/>
      <c r="Y177" s="186"/>
      <c r="Z177" s="192"/>
      <c r="AA177" s="97"/>
      <c r="AB177" s="193"/>
      <c r="AC177" s="123"/>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row>
    <row r="178" spans="1:98" outlineLevel="1">
      <c r="A178" s="116"/>
      <c r="B178" s="116" t="s">
        <v>1065</v>
      </c>
      <c r="C178" s="116">
        <v>2</v>
      </c>
      <c r="D178" s="3" t="s">
        <v>1151</v>
      </c>
      <c r="E178" s="184"/>
      <c r="F178" s="217" t="s">
        <v>1165</v>
      </c>
      <c r="G178" s="217"/>
      <c r="H178" s="184"/>
      <c r="I178" s="184"/>
      <c r="J178" s="184"/>
      <c r="K178" s="184"/>
      <c r="L178" s="184"/>
      <c r="M178" s="185">
        <v>43669</v>
      </c>
      <c r="N178" s="185">
        <v>43676</v>
      </c>
      <c r="O178" s="186"/>
      <c r="P178" s="187">
        <v>6</v>
      </c>
      <c r="Q178" s="187">
        <v>0</v>
      </c>
      <c r="R178" s="188">
        <v>6</v>
      </c>
      <c r="S178" s="188">
        <v>0</v>
      </c>
      <c r="T178" s="185"/>
      <c r="U178" s="185"/>
      <c r="V178" s="189">
        <v>0</v>
      </c>
      <c r="W178" s="190">
        <v>0</v>
      </c>
      <c r="X178" s="191"/>
      <c r="Y178" s="186"/>
      <c r="Z178" s="192"/>
      <c r="AA178" s="97">
        <v>0</v>
      </c>
      <c r="AB178" s="193">
        <v>0</v>
      </c>
      <c r="AC178" s="123"/>
      <c r="AD178" s="4"/>
      <c r="AE178" s="4"/>
      <c r="AF178" s="4" t="str">
        <f>" " &amp; TEXT(AB178,"#0.00%") &amp; " " &amp; "Inbound(Online, App) 2nd Phase" &amp; " " &amp; IF(M178="","",TEXT(M178,"M/D-")) &amp; IF(N178="","",TEXT(N178,"M/D")) &amp; " "</f>
        <v xml:space="preserve"> 0.00% Inbound(Online, App) 2nd Phase 7/23-7/30 </v>
      </c>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row>
    <row r="179" spans="1:98" outlineLevel="2">
      <c r="A179" s="116"/>
      <c r="B179" s="116"/>
      <c r="C179" s="116">
        <v>3</v>
      </c>
      <c r="D179" s="3" t="s">
        <v>1260</v>
      </c>
      <c r="E179" s="216"/>
      <c r="F179" s="217"/>
      <c r="G179" s="217" t="s">
        <v>1254</v>
      </c>
      <c r="H179" s="184"/>
      <c r="I179" s="184"/>
      <c r="J179" s="184"/>
      <c r="K179" s="184"/>
      <c r="L179" s="184"/>
      <c r="M179" s="185">
        <v>43669</v>
      </c>
      <c r="N179" s="185">
        <v>43671</v>
      </c>
      <c r="O179" s="186"/>
      <c r="P179" s="187">
        <v>3</v>
      </c>
      <c r="Q179" s="187">
        <v>0</v>
      </c>
      <c r="R179" s="188">
        <v>3</v>
      </c>
      <c r="S179" s="188">
        <v>0</v>
      </c>
      <c r="T179" s="185"/>
      <c r="U179" s="185"/>
      <c r="V179" s="189"/>
      <c r="W179" s="190">
        <v>0</v>
      </c>
      <c r="X179" s="191">
        <v>1</v>
      </c>
      <c r="Y179" s="186" t="s">
        <v>1366</v>
      </c>
      <c r="Z179" s="192"/>
      <c r="AA179" s="97">
        <v>0</v>
      </c>
      <c r="AB179" s="193">
        <v>0</v>
      </c>
      <c r="AC179" s="123"/>
      <c r="AD179" s="4"/>
      <c r="AE179" s="4"/>
      <c r="AF179" s="4" t="str">
        <f>" " &amp; TEXT(AB179,"#0.00%") &amp; " " &amp; "Unit Test" &amp; "(Max,Pralhad)" &amp; " " &amp; IF(M179="","",TEXT(M179,"M/D-")) &amp; IF(N179="","",TEXT(N179,"M/D")) &amp; " "</f>
        <v xml:space="preserve"> 0.00% Unit Test(Max,Pralhad) 7/23-7/25 </v>
      </c>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row>
    <row r="180" spans="1:98" outlineLevel="2">
      <c r="A180" s="116"/>
      <c r="B180" s="116"/>
      <c r="C180" s="116">
        <v>3</v>
      </c>
      <c r="D180" s="3" t="s">
        <v>1261</v>
      </c>
      <c r="E180" s="216"/>
      <c r="F180" s="217"/>
      <c r="G180" s="217" t="s">
        <v>1255</v>
      </c>
      <c r="H180" s="184"/>
      <c r="I180" s="184"/>
      <c r="J180" s="184"/>
      <c r="K180" s="184"/>
      <c r="L180" s="184"/>
      <c r="M180" s="185">
        <v>43672</v>
      </c>
      <c r="N180" s="185">
        <v>43676</v>
      </c>
      <c r="O180" s="186"/>
      <c r="P180" s="187">
        <v>3</v>
      </c>
      <c r="Q180" s="187">
        <v>0</v>
      </c>
      <c r="R180" s="188">
        <v>3</v>
      </c>
      <c r="S180" s="188">
        <v>0</v>
      </c>
      <c r="T180" s="185"/>
      <c r="U180" s="185"/>
      <c r="V180" s="189"/>
      <c r="W180" s="190">
        <v>0</v>
      </c>
      <c r="X180" s="191">
        <v>1</v>
      </c>
      <c r="Y180" s="186" t="s">
        <v>1366</v>
      </c>
      <c r="Z180" s="192"/>
      <c r="AA180" s="97">
        <v>0</v>
      </c>
      <c r="AB180" s="193">
        <v>0</v>
      </c>
      <c r="AC180" s="123"/>
      <c r="AD180" s="4"/>
      <c r="AE180" s="4"/>
      <c r="AF180" s="4" t="str">
        <f>"    " &amp; TEXT(AB180,"#0.00%") &amp; " " &amp; "Integrated Test" &amp; "(Max,Pralhad)" &amp; " " &amp; IF(M180="","",TEXT(M180,"M/D-")) &amp; IF(N180="","",TEXT(N180,"M/D")) &amp; " "</f>
        <v xml:space="preserve">    0.00% Integrated Test(Max,Pralhad) 7/26-7/30 </v>
      </c>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row>
    <row r="181" spans="1:98" outlineLevel="2">
      <c r="A181" s="116"/>
      <c r="B181" s="116"/>
      <c r="C181" s="116">
        <v>0</v>
      </c>
      <c r="D181" s="3"/>
      <c r="E181" s="184"/>
      <c r="F181" s="217"/>
      <c r="G181" s="217"/>
      <c r="H181" s="184"/>
      <c r="I181" s="184"/>
      <c r="J181" s="184"/>
      <c r="K181" s="184"/>
      <c r="L181" s="184"/>
      <c r="M181" s="185"/>
      <c r="N181" s="185"/>
      <c r="O181" s="186"/>
      <c r="P181" s="187"/>
      <c r="Q181" s="187"/>
      <c r="R181" s="188">
        <v>0</v>
      </c>
      <c r="S181" s="188">
        <v>0</v>
      </c>
      <c r="T181" s="185"/>
      <c r="U181" s="185"/>
      <c r="V181" s="189"/>
      <c r="W181" s="190">
        <v>0</v>
      </c>
      <c r="X181" s="191"/>
      <c r="Y181" s="186"/>
      <c r="Z181" s="192"/>
      <c r="AA181" s="97"/>
      <c r="AB181" s="193"/>
      <c r="AC181" s="123"/>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row>
    <row r="182" spans="1:98" outlineLevel="1">
      <c r="A182" s="116"/>
      <c r="B182" s="116" t="s">
        <v>1065</v>
      </c>
      <c r="C182" s="116">
        <v>2</v>
      </c>
      <c r="D182" s="3" t="s">
        <v>1262</v>
      </c>
      <c r="E182" s="184"/>
      <c r="F182" s="217" t="s">
        <v>1166</v>
      </c>
      <c r="G182" s="217"/>
      <c r="H182" s="184"/>
      <c r="I182" s="184"/>
      <c r="J182" s="184"/>
      <c r="K182" s="184"/>
      <c r="L182" s="184"/>
      <c r="M182" s="185">
        <v>43675</v>
      </c>
      <c r="N182" s="185">
        <v>43678</v>
      </c>
      <c r="O182" s="186"/>
      <c r="P182" s="187">
        <v>4</v>
      </c>
      <c r="Q182" s="187">
        <v>0</v>
      </c>
      <c r="R182" s="188">
        <v>4</v>
      </c>
      <c r="S182" s="188">
        <v>0</v>
      </c>
      <c r="T182" s="185"/>
      <c r="U182" s="185"/>
      <c r="V182" s="189">
        <v>0</v>
      </c>
      <c r="W182" s="190">
        <v>0</v>
      </c>
      <c r="X182" s="191"/>
      <c r="Y182" s="186"/>
      <c r="Z182" s="192"/>
      <c r="AA182" s="97">
        <v>0</v>
      </c>
      <c r="AB182" s="193">
        <v>0</v>
      </c>
      <c r="AC182" s="123"/>
      <c r="AD182" s="4"/>
      <c r="AE182" s="4"/>
      <c r="AF182" s="4"/>
      <c r="AG182" s="4" t="str">
        <f>"" &amp; TEXT(AB182,"#0.00%") &amp; " " &amp; "Shinhan,IBK-KFTC" &amp; " " &amp; IF(M182="","",TEXT(M182,"M/D-")) &amp; IF(N182="","",TEXT(N182,"M/D")) &amp; " "</f>
        <v xml:space="preserve">0.00% Shinhan,IBK-KFTC 7/29-8/1 </v>
      </c>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row>
    <row r="183" spans="1:98" outlineLevel="2">
      <c r="A183" s="116"/>
      <c r="B183" s="116"/>
      <c r="C183" s="116">
        <v>3</v>
      </c>
      <c r="D183" s="3" t="s">
        <v>1263</v>
      </c>
      <c r="E183" s="216"/>
      <c r="F183" s="217"/>
      <c r="G183" s="217" t="s">
        <v>1254</v>
      </c>
      <c r="H183" s="184"/>
      <c r="I183" s="184"/>
      <c r="J183" s="184"/>
      <c r="K183" s="184"/>
      <c r="L183" s="184"/>
      <c r="M183" s="185">
        <v>43675</v>
      </c>
      <c r="N183" s="185">
        <v>43676</v>
      </c>
      <c r="O183" s="186"/>
      <c r="P183" s="187">
        <v>2</v>
      </c>
      <c r="Q183" s="187">
        <v>0</v>
      </c>
      <c r="R183" s="188">
        <v>2</v>
      </c>
      <c r="S183" s="188">
        <v>0</v>
      </c>
      <c r="T183" s="185"/>
      <c r="U183" s="185"/>
      <c r="V183" s="189"/>
      <c r="W183" s="190">
        <v>0</v>
      </c>
      <c r="X183" s="191">
        <v>1</v>
      </c>
      <c r="Y183" s="186" t="s">
        <v>1366</v>
      </c>
      <c r="Z183" s="192"/>
      <c r="AA183" s="97">
        <v>0</v>
      </c>
      <c r="AB183" s="193">
        <v>0</v>
      </c>
      <c r="AC183" s="123"/>
      <c r="AD183" s="4"/>
      <c r="AE183" s="4"/>
      <c r="AF183" s="4"/>
      <c r="AG183" s="4" t="str">
        <f>"" &amp; TEXT(AB183,"#0.00%") &amp; " " &amp; "Unit Test" &amp; "(Max,Pralhad)" &amp; " " &amp; IF(M183="","",TEXT(M183,"M/D-")) &amp; IF(N183="","",TEXT(N183,"M/D")) &amp; " "</f>
        <v xml:space="preserve">0.00% Unit Test(Max,Pralhad) 7/29-7/30 </v>
      </c>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row>
    <row r="184" spans="1:98" outlineLevel="2">
      <c r="A184" s="116"/>
      <c r="B184" s="116"/>
      <c r="C184" s="116">
        <v>3</v>
      </c>
      <c r="D184" s="3" t="s">
        <v>1264</v>
      </c>
      <c r="E184" s="216"/>
      <c r="F184" s="217"/>
      <c r="G184" s="217" t="s">
        <v>1255</v>
      </c>
      <c r="H184" s="184"/>
      <c r="I184" s="184"/>
      <c r="J184" s="184"/>
      <c r="K184" s="184"/>
      <c r="L184" s="184"/>
      <c r="M184" s="185">
        <v>43677</v>
      </c>
      <c r="N184" s="185">
        <v>43678</v>
      </c>
      <c r="O184" s="186"/>
      <c r="P184" s="187">
        <v>2</v>
      </c>
      <c r="Q184" s="187">
        <v>0</v>
      </c>
      <c r="R184" s="188">
        <v>2</v>
      </c>
      <c r="S184" s="188">
        <v>0</v>
      </c>
      <c r="T184" s="185"/>
      <c r="U184" s="185"/>
      <c r="V184" s="189"/>
      <c r="W184" s="190">
        <v>0</v>
      </c>
      <c r="X184" s="191">
        <v>1</v>
      </c>
      <c r="Y184" s="186" t="s">
        <v>1366</v>
      </c>
      <c r="Z184" s="192"/>
      <c r="AA184" s="97">
        <v>0</v>
      </c>
      <c r="AB184" s="193">
        <v>0</v>
      </c>
      <c r="AC184" s="123"/>
      <c r="AD184" s="4"/>
      <c r="AE184" s="4"/>
      <c r="AF184" s="4"/>
      <c r="AG184" s="4" t="str">
        <f>"  " &amp; TEXT(AB184,"#0.00%") &amp; " " &amp; "Integrated Test" &amp; "(Max,Pralhad)" &amp; " " &amp; IF(M184="","",TEXT(M184,"M/D-")) &amp; IF(N184="","",TEXT(N184,"M/D")) &amp; " "</f>
        <v xml:space="preserve">  0.00% Integrated Test(Max,Pralhad) 7/31-8/1 </v>
      </c>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row>
    <row r="185" spans="1:98" outlineLevel="2">
      <c r="A185" s="116"/>
      <c r="B185" s="116"/>
      <c r="C185" s="116">
        <v>0</v>
      </c>
      <c r="D185" s="3"/>
      <c r="E185" s="184"/>
      <c r="F185" s="217"/>
      <c r="G185" s="217"/>
      <c r="H185" s="184"/>
      <c r="I185" s="184"/>
      <c r="J185" s="184"/>
      <c r="K185" s="184"/>
      <c r="L185" s="184"/>
      <c r="M185" s="185"/>
      <c r="N185" s="185"/>
      <c r="O185" s="186"/>
      <c r="P185" s="187"/>
      <c r="Q185" s="187"/>
      <c r="R185" s="188">
        <v>0</v>
      </c>
      <c r="S185" s="188">
        <v>0</v>
      </c>
      <c r="T185" s="185"/>
      <c r="U185" s="185"/>
      <c r="V185" s="189"/>
      <c r="W185" s="190">
        <v>0</v>
      </c>
      <c r="X185" s="191"/>
      <c r="Y185" s="186"/>
      <c r="Z185" s="192"/>
      <c r="AA185" s="97"/>
      <c r="AB185" s="193"/>
      <c r="AC185" s="123"/>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row>
    <row r="186" spans="1:98" outlineLevel="1">
      <c r="A186" s="116"/>
      <c r="B186" s="116" t="s">
        <v>1065</v>
      </c>
      <c r="C186" s="116">
        <v>2</v>
      </c>
      <c r="D186" s="3" t="s">
        <v>1265</v>
      </c>
      <c r="E186" s="184"/>
      <c r="F186" s="217" t="s">
        <v>1167</v>
      </c>
      <c r="G186" s="217"/>
      <c r="H186" s="184"/>
      <c r="I186" s="184"/>
      <c r="J186" s="184"/>
      <c r="K186" s="184"/>
      <c r="L186" s="184"/>
      <c r="M186" s="185">
        <v>43696</v>
      </c>
      <c r="N186" s="185">
        <v>43697</v>
      </c>
      <c r="O186" s="186"/>
      <c r="P186" s="187">
        <v>2</v>
      </c>
      <c r="Q186" s="187">
        <v>0</v>
      </c>
      <c r="R186" s="188">
        <v>2</v>
      </c>
      <c r="S186" s="188">
        <v>0</v>
      </c>
      <c r="T186" s="185"/>
      <c r="U186" s="185"/>
      <c r="V186" s="189">
        <v>0</v>
      </c>
      <c r="W186" s="190">
        <v>0</v>
      </c>
      <c r="X186" s="191"/>
      <c r="Y186" s="186"/>
      <c r="Z186" s="192"/>
      <c r="AA186" s="97">
        <v>0</v>
      </c>
      <c r="AB186" s="193">
        <v>0</v>
      </c>
      <c r="AC186" s="123"/>
      <c r="AD186" s="4"/>
      <c r="AE186" s="4"/>
      <c r="AF186" s="4"/>
      <c r="AG186" s="4"/>
      <c r="AH186" s="4"/>
      <c r="AI186" s="4"/>
      <c r="AJ186" s="4" t="str">
        <f>"" &amp; TEXT(AB186,"#0.00%") &amp; " " &amp; "Agrani bank/Islami bank add to new app" &amp; " " &amp; IF(M186="","",TEXT(M186,"M/D-")) &amp; IF(N186="","",TEXT(N186,"M/D")) &amp; " "</f>
        <v xml:space="preserve">0.00% Agrani bank/Islami bank add to new app 8/19-8/20 </v>
      </c>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row>
    <row r="187" spans="1:98" outlineLevel="2">
      <c r="A187" s="116"/>
      <c r="B187" s="116"/>
      <c r="C187" s="116">
        <v>3</v>
      </c>
      <c r="D187" s="3" t="s">
        <v>1266</v>
      </c>
      <c r="E187" s="216"/>
      <c r="F187" s="217"/>
      <c r="G187" s="217" t="s">
        <v>1254</v>
      </c>
      <c r="H187" s="184"/>
      <c r="I187" s="184"/>
      <c r="J187" s="184"/>
      <c r="K187" s="184"/>
      <c r="L187" s="184"/>
      <c r="M187" s="185">
        <v>43696</v>
      </c>
      <c r="N187" s="185">
        <v>43696</v>
      </c>
      <c r="O187" s="186"/>
      <c r="P187" s="187">
        <v>1</v>
      </c>
      <c r="Q187" s="187">
        <v>0</v>
      </c>
      <c r="R187" s="188">
        <v>1</v>
      </c>
      <c r="S187" s="188">
        <v>0</v>
      </c>
      <c r="T187" s="185"/>
      <c r="U187" s="185"/>
      <c r="V187" s="189"/>
      <c r="W187" s="190">
        <v>0</v>
      </c>
      <c r="X187" s="191">
        <v>1</v>
      </c>
      <c r="Y187" s="186" t="s">
        <v>1366</v>
      </c>
      <c r="Z187" s="192"/>
      <c r="AA187" s="97">
        <v>0</v>
      </c>
      <c r="AB187" s="193">
        <v>0</v>
      </c>
      <c r="AC187" s="123"/>
      <c r="AD187" s="4"/>
      <c r="AE187" s="4"/>
      <c r="AF187" s="4"/>
      <c r="AG187" s="4"/>
      <c r="AH187" s="4"/>
      <c r="AI187" s="4"/>
      <c r="AJ187" s="4" t="str">
        <f>"" &amp; TEXT(AB187,"#0.00%") &amp; " " &amp; "Unit Test" &amp; "(Max,Pralhad)" &amp; " " &amp; IF(M187="","",TEXT(M187,"M/D-")) &amp; IF(N187="","",TEXT(N187,"M/D")) &amp; " "</f>
        <v xml:space="preserve">0.00% Unit Test(Max,Pralhad) 8/19-8/19 </v>
      </c>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row>
    <row r="188" spans="1:98" outlineLevel="2">
      <c r="A188" s="116"/>
      <c r="B188" s="116"/>
      <c r="C188" s="116">
        <v>3</v>
      </c>
      <c r="D188" s="3" t="s">
        <v>1267</v>
      </c>
      <c r="E188" s="216"/>
      <c r="F188" s="217"/>
      <c r="G188" s="217" t="s">
        <v>1255</v>
      </c>
      <c r="H188" s="184"/>
      <c r="I188" s="184"/>
      <c r="J188" s="184"/>
      <c r="K188" s="184"/>
      <c r="L188" s="184"/>
      <c r="M188" s="185">
        <v>43697</v>
      </c>
      <c r="N188" s="185">
        <v>43697</v>
      </c>
      <c r="O188" s="186"/>
      <c r="P188" s="187">
        <v>1</v>
      </c>
      <c r="Q188" s="187">
        <v>0</v>
      </c>
      <c r="R188" s="188">
        <v>1</v>
      </c>
      <c r="S188" s="188">
        <v>0</v>
      </c>
      <c r="T188" s="185"/>
      <c r="U188" s="185"/>
      <c r="V188" s="189"/>
      <c r="W188" s="190">
        <v>0</v>
      </c>
      <c r="X188" s="191">
        <v>1</v>
      </c>
      <c r="Y188" s="186" t="s">
        <v>1366</v>
      </c>
      <c r="Z188" s="192"/>
      <c r="AA188" s="97">
        <v>0</v>
      </c>
      <c r="AB188" s="193">
        <v>0</v>
      </c>
      <c r="AC188" s="123"/>
      <c r="AD188" s="4"/>
      <c r="AE188" s="4"/>
      <c r="AF188" s="4"/>
      <c r="AG188" s="4"/>
      <c r="AH188" s="4"/>
      <c r="AI188" s="4"/>
      <c r="AJ188" s="4" t="str">
        <f>" " &amp; TEXT(AB188,"#0.00%") &amp; " " &amp; "Integrated Test" &amp; "(Max,Pralhad)" &amp; " " &amp; IF(M188="","",TEXT(M188,"M/D-")) &amp; IF(N188="","",TEXT(N188,"M/D")) &amp; " "</f>
        <v xml:space="preserve"> 0.00% Integrated Test(Max,Pralhad) 8/20-8/20 </v>
      </c>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row>
    <row r="189" spans="1:98" outlineLevel="2">
      <c r="A189" s="116"/>
      <c r="B189" s="116"/>
      <c r="C189" s="116">
        <v>0</v>
      </c>
      <c r="D189" s="3"/>
      <c r="E189" s="184"/>
      <c r="F189" s="217"/>
      <c r="G189" s="217"/>
      <c r="H189" s="184"/>
      <c r="I189" s="184"/>
      <c r="J189" s="184"/>
      <c r="K189" s="184"/>
      <c r="L189" s="184"/>
      <c r="M189" s="185"/>
      <c r="N189" s="185"/>
      <c r="O189" s="186"/>
      <c r="P189" s="187"/>
      <c r="Q189" s="187"/>
      <c r="R189" s="188">
        <v>0</v>
      </c>
      <c r="S189" s="188">
        <v>0</v>
      </c>
      <c r="T189" s="185"/>
      <c r="U189" s="185"/>
      <c r="V189" s="189"/>
      <c r="W189" s="190">
        <v>0</v>
      </c>
      <c r="X189" s="191"/>
      <c r="Y189" s="186"/>
      <c r="Z189" s="192"/>
      <c r="AA189" s="97"/>
      <c r="AB189" s="193"/>
      <c r="AC189" s="123"/>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row>
    <row r="190" spans="1:98" outlineLevel="1">
      <c r="A190" s="116"/>
      <c r="B190" s="116" t="s">
        <v>1065</v>
      </c>
      <c r="C190" s="116">
        <v>2</v>
      </c>
      <c r="D190" s="3" t="s">
        <v>1268</v>
      </c>
      <c r="E190" s="184"/>
      <c r="F190" s="217" t="s">
        <v>1168</v>
      </c>
      <c r="G190" s="217"/>
      <c r="H190" s="184"/>
      <c r="I190" s="184"/>
      <c r="J190" s="184"/>
      <c r="K190" s="184"/>
      <c r="L190" s="184"/>
      <c r="M190" s="185"/>
      <c r="N190" s="185"/>
      <c r="O190" s="186"/>
      <c r="P190" s="187">
        <v>0</v>
      </c>
      <c r="Q190" s="187">
        <v>0</v>
      </c>
      <c r="R190" s="188">
        <v>0</v>
      </c>
      <c r="S190" s="188">
        <v>0</v>
      </c>
      <c r="T190" s="185"/>
      <c r="U190" s="185"/>
      <c r="V190" s="189">
        <v>0</v>
      </c>
      <c r="W190" s="190">
        <v>0</v>
      </c>
      <c r="X190" s="191"/>
      <c r="Y190" s="186"/>
      <c r="Z190" s="192"/>
      <c r="AA190" s="97">
        <v>0</v>
      </c>
      <c r="AB190" s="193">
        <v>0</v>
      </c>
      <c r="AC190" s="123"/>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row>
    <row r="191" spans="1:98" outlineLevel="2">
      <c r="A191" s="116"/>
      <c r="B191" s="116"/>
      <c r="C191" s="116">
        <v>3</v>
      </c>
      <c r="D191" s="3" t="s">
        <v>1269</v>
      </c>
      <c r="E191" s="216"/>
      <c r="F191" s="217"/>
      <c r="G191" s="217" t="s">
        <v>1254</v>
      </c>
      <c r="H191" s="184"/>
      <c r="I191" s="184"/>
      <c r="J191" s="184"/>
      <c r="K191" s="184"/>
      <c r="L191" s="184"/>
      <c r="M191" s="185"/>
      <c r="N191" s="185"/>
      <c r="O191" s="186"/>
      <c r="P191" s="187">
        <v>0</v>
      </c>
      <c r="Q191" s="187">
        <v>0</v>
      </c>
      <c r="R191" s="188">
        <v>0</v>
      </c>
      <c r="S191" s="188">
        <v>0</v>
      </c>
      <c r="T191" s="185"/>
      <c r="U191" s="185"/>
      <c r="V191" s="189">
        <v>0</v>
      </c>
      <c r="W191" s="190">
        <v>0</v>
      </c>
      <c r="X191" s="191"/>
      <c r="Y191" s="186"/>
      <c r="Z191" s="192"/>
      <c r="AA191" s="97">
        <v>0</v>
      </c>
      <c r="AB191" s="193">
        <v>0</v>
      </c>
      <c r="AC191" s="123"/>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row>
    <row r="192" spans="1:98" outlineLevel="2">
      <c r="A192" s="116"/>
      <c r="B192" s="116"/>
      <c r="C192" s="116">
        <v>3</v>
      </c>
      <c r="D192" s="3" t="s">
        <v>1270</v>
      </c>
      <c r="E192" s="216"/>
      <c r="F192" s="217"/>
      <c r="G192" s="217" t="s">
        <v>1255</v>
      </c>
      <c r="H192" s="184"/>
      <c r="I192" s="184"/>
      <c r="J192" s="184"/>
      <c r="K192" s="184"/>
      <c r="L192" s="184"/>
      <c r="M192" s="185"/>
      <c r="N192" s="185"/>
      <c r="O192" s="186"/>
      <c r="P192" s="187">
        <v>0</v>
      </c>
      <c r="Q192" s="187">
        <v>0</v>
      </c>
      <c r="R192" s="188">
        <v>0</v>
      </c>
      <c r="S192" s="188">
        <v>0</v>
      </c>
      <c r="T192" s="185"/>
      <c r="U192" s="185"/>
      <c r="V192" s="189">
        <v>0</v>
      </c>
      <c r="W192" s="190">
        <v>0</v>
      </c>
      <c r="X192" s="191"/>
      <c r="Y192" s="186"/>
      <c r="Z192" s="192"/>
      <c r="AA192" s="97">
        <v>0</v>
      </c>
      <c r="AB192" s="193">
        <v>0</v>
      </c>
      <c r="AC192" s="123"/>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row>
    <row r="193" spans="1:98" outlineLevel="2">
      <c r="A193" s="116"/>
      <c r="B193" s="116"/>
      <c r="C193" s="116">
        <v>0</v>
      </c>
      <c r="D193" s="3"/>
      <c r="E193" s="184"/>
      <c r="F193" s="217"/>
      <c r="G193" s="217"/>
      <c r="H193" s="184"/>
      <c r="I193" s="184"/>
      <c r="J193" s="184"/>
      <c r="K193" s="184"/>
      <c r="L193" s="184"/>
      <c r="M193" s="185"/>
      <c r="N193" s="185"/>
      <c r="O193" s="186"/>
      <c r="P193" s="187"/>
      <c r="Q193" s="187"/>
      <c r="R193" s="188">
        <v>0</v>
      </c>
      <c r="S193" s="188">
        <v>0</v>
      </c>
      <c r="T193" s="185"/>
      <c r="U193" s="185"/>
      <c r="V193" s="189"/>
      <c r="W193" s="190">
        <v>0</v>
      </c>
      <c r="X193" s="191"/>
      <c r="Y193" s="186"/>
      <c r="Z193" s="192"/>
      <c r="AA193" s="97"/>
      <c r="AB193" s="193"/>
      <c r="AC193" s="123"/>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row>
    <row r="194" spans="1:98" outlineLevel="1">
      <c r="A194" s="116"/>
      <c r="B194" s="116" t="s">
        <v>1065</v>
      </c>
      <c r="C194" s="116">
        <v>2</v>
      </c>
      <c r="D194" s="3" t="s">
        <v>1271</v>
      </c>
      <c r="E194" s="184"/>
      <c r="F194" s="217" t="s">
        <v>1169</v>
      </c>
      <c r="G194" s="217"/>
      <c r="H194" s="184"/>
      <c r="I194" s="184"/>
      <c r="J194" s="184"/>
      <c r="K194" s="184"/>
      <c r="L194" s="184"/>
      <c r="M194" s="185">
        <v>43668</v>
      </c>
      <c r="N194" s="185">
        <v>43668</v>
      </c>
      <c r="O194" s="186"/>
      <c r="P194" s="187">
        <v>2</v>
      </c>
      <c r="Q194" s="187">
        <v>0</v>
      </c>
      <c r="R194" s="188">
        <v>1</v>
      </c>
      <c r="S194" s="188">
        <v>0</v>
      </c>
      <c r="T194" s="185"/>
      <c r="U194" s="185"/>
      <c r="V194" s="189">
        <v>0</v>
      </c>
      <c r="W194" s="190">
        <v>0</v>
      </c>
      <c r="X194" s="191"/>
      <c r="Y194" s="186"/>
      <c r="Z194" s="192"/>
      <c r="AA194" s="97">
        <v>0</v>
      </c>
      <c r="AB194" s="193">
        <v>0</v>
      </c>
      <c r="AC194" s="123"/>
      <c r="AD194" s="4"/>
      <c r="AE194" s="4"/>
      <c r="AF194" s="4" t="str">
        <f>"" &amp; TEXT(AB194,"#0.00%") &amp; " " &amp; "Registration logic" &amp; " " &amp; IF(M194="","",TEXT(M194,"M/D-")) &amp; IF(N194="","",TEXT(N194,"M/D")) &amp; " "</f>
        <v xml:space="preserve">0.00% Registration logic 7/22-7/22 </v>
      </c>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row>
    <row r="195" spans="1:98" outlineLevel="2">
      <c r="A195" s="116"/>
      <c r="B195" s="116"/>
      <c r="C195" s="116">
        <v>3</v>
      </c>
      <c r="D195" s="3" t="s">
        <v>1272</v>
      </c>
      <c r="E195" s="216"/>
      <c r="F195" s="217"/>
      <c r="G195" s="217" t="s">
        <v>1254</v>
      </c>
      <c r="H195" s="184"/>
      <c r="I195" s="184"/>
      <c r="J195" s="184"/>
      <c r="K195" s="184"/>
      <c r="L195" s="184"/>
      <c r="M195" s="185">
        <v>43668</v>
      </c>
      <c r="N195" s="185">
        <v>43668</v>
      </c>
      <c r="O195" s="186"/>
      <c r="P195" s="187">
        <v>1</v>
      </c>
      <c r="Q195" s="187">
        <v>0</v>
      </c>
      <c r="R195" s="188">
        <v>1</v>
      </c>
      <c r="S195" s="188">
        <v>0</v>
      </c>
      <c r="T195" s="185"/>
      <c r="U195" s="185"/>
      <c r="V195" s="189"/>
      <c r="W195" s="190">
        <v>0</v>
      </c>
      <c r="X195" s="191">
        <v>1</v>
      </c>
      <c r="Y195" s="186" t="s">
        <v>1366</v>
      </c>
      <c r="Z195" s="192"/>
      <c r="AA195" s="97">
        <v>0</v>
      </c>
      <c r="AB195" s="193">
        <v>0</v>
      </c>
      <c r="AC195" s="123"/>
      <c r="AD195" s="4"/>
      <c r="AE195" s="4"/>
      <c r="AF195" s="4" t="str">
        <f>"" &amp; TEXT(AB195,"#0.00%") &amp; " " &amp; "Unit Test" &amp; "(Max,Pralhad)" &amp; " " &amp; IF(M195="","",TEXT(M195,"M/D-")) &amp; IF(N195="","",TEXT(N195,"M/D")) &amp; " "</f>
        <v xml:space="preserve">0.00% Unit Test(Max,Pralhad) 7/22-7/22 </v>
      </c>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row>
    <row r="196" spans="1:98" outlineLevel="2">
      <c r="A196" s="116"/>
      <c r="B196" s="116"/>
      <c r="C196" s="116">
        <v>3</v>
      </c>
      <c r="D196" s="3" t="s">
        <v>1273</v>
      </c>
      <c r="E196" s="216"/>
      <c r="F196" s="217"/>
      <c r="G196" s="217" t="s">
        <v>1255</v>
      </c>
      <c r="H196" s="184"/>
      <c r="I196" s="184"/>
      <c r="J196" s="184"/>
      <c r="K196" s="184"/>
      <c r="L196" s="184"/>
      <c r="M196" s="185">
        <v>43668</v>
      </c>
      <c r="N196" s="185">
        <v>43668</v>
      </c>
      <c r="O196" s="186"/>
      <c r="P196" s="187">
        <v>1</v>
      </c>
      <c r="Q196" s="187">
        <v>0</v>
      </c>
      <c r="R196" s="188">
        <v>1</v>
      </c>
      <c r="S196" s="188">
        <v>0</v>
      </c>
      <c r="T196" s="185"/>
      <c r="U196" s="185"/>
      <c r="V196" s="189"/>
      <c r="W196" s="190">
        <v>0</v>
      </c>
      <c r="X196" s="191">
        <v>1</v>
      </c>
      <c r="Y196" s="186" t="s">
        <v>1366</v>
      </c>
      <c r="Z196" s="192"/>
      <c r="AA196" s="97">
        <v>0</v>
      </c>
      <c r="AB196" s="193">
        <v>0</v>
      </c>
      <c r="AC196" s="123"/>
      <c r="AD196" s="4"/>
      <c r="AE196" s="4"/>
      <c r="AF196" s="4" t="str">
        <f>"" &amp; TEXT(AB196,"#0.00%") &amp; " " &amp; "Integrated Test" &amp; "(Max,Pralhad)" &amp; " " &amp; IF(M196="","",TEXT(M196,"M/D-")) &amp; IF(N196="","",TEXT(N196,"M/D")) &amp; " "</f>
        <v xml:space="preserve">0.00% Integrated Test(Max,Pralhad) 7/22-7/22 </v>
      </c>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row>
    <row r="197" spans="1:98" outlineLevel="2">
      <c r="A197" s="116"/>
      <c r="B197" s="116"/>
      <c r="C197" s="116">
        <v>0</v>
      </c>
      <c r="D197" s="3"/>
      <c r="E197" s="184"/>
      <c r="F197" s="217"/>
      <c r="G197" s="217"/>
      <c r="H197" s="184"/>
      <c r="I197" s="184"/>
      <c r="J197" s="184"/>
      <c r="K197" s="184"/>
      <c r="L197" s="184"/>
      <c r="M197" s="185"/>
      <c r="N197" s="185"/>
      <c r="O197" s="186"/>
      <c r="P197" s="187"/>
      <c r="Q197" s="187"/>
      <c r="R197" s="188">
        <v>0</v>
      </c>
      <c r="S197" s="188">
        <v>0</v>
      </c>
      <c r="T197" s="185"/>
      <c r="U197" s="185"/>
      <c r="V197" s="189"/>
      <c r="W197" s="190">
        <v>0</v>
      </c>
      <c r="X197" s="191"/>
      <c r="Y197" s="186"/>
      <c r="Z197" s="192"/>
      <c r="AA197" s="97"/>
      <c r="AB197" s="193"/>
      <c r="AC197" s="123"/>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row>
    <row r="198" spans="1:98" outlineLevel="1">
      <c r="A198" s="116"/>
      <c r="B198" s="116" t="s">
        <v>1065</v>
      </c>
      <c r="C198" s="116">
        <v>2</v>
      </c>
      <c r="D198" s="3" t="s">
        <v>1274</v>
      </c>
      <c r="E198" s="184"/>
      <c r="F198" s="217" t="s">
        <v>1363</v>
      </c>
      <c r="G198" s="217"/>
      <c r="H198" s="184"/>
      <c r="I198" s="184"/>
      <c r="J198" s="184"/>
      <c r="K198" s="184"/>
      <c r="L198" s="184"/>
      <c r="M198" s="185">
        <v>43669</v>
      </c>
      <c r="N198" s="185">
        <v>43669</v>
      </c>
      <c r="O198" s="186"/>
      <c r="P198" s="187">
        <v>2</v>
      </c>
      <c r="Q198" s="187">
        <v>0</v>
      </c>
      <c r="R198" s="188">
        <v>1</v>
      </c>
      <c r="S198" s="188">
        <v>0</v>
      </c>
      <c r="T198" s="185"/>
      <c r="U198" s="185"/>
      <c r="V198" s="189">
        <v>0</v>
      </c>
      <c r="W198" s="190">
        <v>0</v>
      </c>
      <c r="X198" s="191"/>
      <c r="Y198" s="186"/>
      <c r="Z198" s="192"/>
      <c r="AA198" s="97">
        <v>0</v>
      </c>
      <c r="AB198" s="193">
        <v>0</v>
      </c>
      <c r="AC198" s="123"/>
      <c r="AD198" s="4"/>
      <c r="AE198" s="4"/>
      <c r="AF198" s="4" t="str">
        <f>" " &amp; TEXT(AB198,"#0.00%") &amp; " " &amp; "Calculate in first screen" &amp; " " &amp; IF(M198="","",TEXT(M198,"M/D-")) &amp; IF(N198="","",TEXT(N198,"M/D")) &amp; " "</f>
        <v xml:space="preserve"> 0.00% Calculate in first screen 7/23-7/23 </v>
      </c>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row>
    <row r="199" spans="1:98" outlineLevel="2">
      <c r="A199" s="116"/>
      <c r="B199" s="116"/>
      <c r="C199" s="116">
        <v>3</v>
      </c>
      <c r="D199" s="3" t="s">
        <v>1275</v>
      </c>
      <c r="E199" s="216"/>
      <c r="F199" s="217"/>
      <c r="G199" s="217" t="s">
        <v>1254</v>
      </c>
      <c r="H199" s="184"/>
      <c r="I199" s="184"/>
      <c r="J199" s="184"/>
      <c r="K199" s="184"/>
      <c r="L199" s="184"/>
      <c r="M199" s="185">
        <v>43669</v>
      </c>
      <c r="N199" s="185">
        <v>43669</v>
      </c>
      <c r="O199" s="186"/>
      <c r="P199" s="187">
        <v>1</v>
      </c>
      <c r="Q199" s="187">
        <v>0</v>
      </c>
      <c r="R199" s="188">
        <v>1</v>
      </c>
      <c r="S199" s="188">
        <v>0</v>
      </c>
      <c r="T199" s="185"/>
      <c r="U199" s="185"/>
      <c r="V199" s="189"/>
      <c r="W199" s="190">
        <v>0</v>
      </c>
      <c r="X199" s="191">
        <v>1</v>
      </c>
      <c r="Y199" s="186" t="s">
        <v>1366</v>
      </c>
      <c r="Z199" s="192"/>
      <c r="AA199" s="97">
        <v>0</v>
      </c>
      <c r="AB199" s="193">
        <v>0</v>
      </c>
      <c r="AC199" s="123"/>
      <c r="AD199" s="4"/>
      <c r="AE199" s="4"/>
      <c r="AF199" s="4" t="str">
        <f>" " &amp; TEXT(AB199,"#0.00%") &amp; " " &amp; "Unit Test" &amp; "(Max,Pralhad)" &amp; " " &amp; IF(M199="","",TEXT(M199,"M/D-")) &amp; IF(N199="","",TEXT(N199,"M/D")) &amp; " "</f>
        <v xml:space="preserve"> 0.00% Unit Test(Max,Pralhad) 7/23-7/23 </v>
      </c>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row>
    <row r="200" spans="1:98" outlineLevel="2">
      <c r="A200" s="116"/>
      <c r="B200" s="116"/>
      <c r="C200" s="116">
        <v>3</v>
      </c>
      <c r="D200" s="3" t="s">
        <v>1276</v>
      </c>
      <c r="E200" s="216"/>
      <c r="F200" s="217"/>
      <c r="G200" s="217" t="s">
        <v>1255</v>
      </c>
      <c r="H200" s="184"/>
      <c r="I200" s="184"/>
      <c r="J200" s="184"/>
      <c r="K200" s="184"/>
      <c r="L200" s="184"/>
      <c r="M200" s="185">
        <v>43669</v>
      </c>
      <c r="N200" s="185">
        <v>43669</v>
      </c>
      <c r="O200" s="186"/>
      <c r="P200" s="187">
        <v>1</v>
      </c>
      <c r="Q200" s="187">
        <v>0</v>
      </c>
      <c r="R200" s="188">
        <v>1</v>
      </c>
      <c r="S200" s="188">
        <v>0</v>
      </c>
      <c r="T200" s="185"/>
      <c r="U200" s="185"/>
      <c r="V200" s="189"/>
      <c r="W200" s="190">
        <v>0</v>
      </c>
      <c r="X200" s="191">
        <v>1</v>
      </c>
      <c r="Y200" s="186" t="s">
        <v>1366</v>
      </c>
      <c r="Z200" s="192"/>
      <c r="AA200" s="97">
        <v>0</v>
      </c>
      <c r="AB200" s="193">
        <v>0</v>
      </c>
      <c r="AC200" s="123"/>
      <c r="AD200" s="4"/>
      <c r="AE200" s="4"/>
      <c r="AF200" s="4" t="str">
        <f>" " &amp; TEXT(AB200,"#0.00%") &amp; " " &amp; "Integrated Test" &amp; "(Max,Pralhad)" &amp; " " &amp; IF(M200="","",TEXT(M200,"M/D-")) &amp; IF(N200="","",TEXT(N200,"M/D")) &amp; " "</f>
        <v xml:space="preserve"> 0.00% Integrated Test(Max,Pralhad) 7/23-7/23 </v>
      </c>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row>
    <row r="201" spans="1:98" outlineLevel="2">
      <c r="A201" s="116"/>
      <c r="B201" s="116"/>
      <c r="C201" s="116">
        <v>0</v>
      </c>
      <c r="D201" s="3"/>
      <c r="E201" s="184"/>
      <c r="F201" s="217"/>
      <c r="G201" s="217"/>
      <c r="H201" s="184"/>
      <c r="I201" s="184"/>
      <c r="J201" s="184"/>
      <c r="K201" s="184"/>
      <c r="L201" s="184"/>
      <c r="M201" s="185"/>
      <c r="N201" s="185"/>
      <c r="O201" s="186"/>
      <c r="P201" s="187"/>
      <c r="Q201" s="187"/>
      <c r="R201" s="188">
        <v>0</v>
      </c>
      <c r="S201" s="188">
        <v>0</v>
      </c>
      <c r="T201" s="185"/>
      <c r="U201" s="185"/>
      <c r="V201" s="189"/>
      <c r="W201" s="190">
        <v>0</v>
      </c>
      <c r="X201" s="191"/>
      <c r="Y201" s="186"/>
      <c r="Z201" s="192"/>
      <c r="AA201" s="97"/>
      <c r="AB201" s="193"/>
      <c r="AC201" s="123"/>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row>
    <row r="202" spans="1:98" outlineLevel="1">
      <c r="A202" s="116"/>
      <c r="B202" s="116" t="s">
        <v>1065</v>
      </c>
      <c r="C202" s="116">
        <v>2</v>
      </c>
      <c r="D202" s="3" t="s">
        <v>1277</v>
      </c>
      <c r="E202" s="184"/>
      <c r="F202" s="217" t="s">
        <v>1170</v>
      </c>
      <c r="G202" s="217"/>
      <c r="H202" s="184"/>
      <c r="I202" s="184"/>
      <c r="J202" s="184"/>
      <c r="K202" s="184"/>
      <c r="L202" s="184"/>
      <c r="M202" s="185">
        <v>43670</v>
      </c>
      <c r="N202" s="185">
        <v>43671</v>
      </c>
      <c r="O202" s="186"/>
      <c r="P202" s="187">
        <v>2</v>
      </c>
      <c r="Q202" s="187">
        <v>0</v>
      </c>
      <c r="R202" s="188">
        <v>2</v>
      </c>
      <c r="S202" s="188">
        <v>0</v>
      </c>
      <c r="T202" s="185"/>
      <c r="U202" s="185"/>
      <c r="V202" s="189">
        <v>0</v>
      </c>
      <c r="W202" s="190">
        <v>0</v>
      </c>
      <c r="X202" s="191"/>
      <c r="Y202" s="186"/>
      <c r="Z202" s="192"/>
      <c r="AA202" s="97">
        <v>0</v>
      </c>
      <c r="AB202" s="193">
        <v>0</v>
      </c>
      <c r="AC202" s="123"/>
      <c r="AD202" s="4"/>
      <c r="AE202" s="4"/>
      <c r="AF202" s="4" t="str">
        <f>"  " &amp; TEXT(AB202,"#0.00%") &amp; " " &amp; "Dynamic receiver setup" &amp; " " &amp; IF(M202="","",TEXT(M202,"M/D-")) &amp; IF(N202="","",TEXT(N202,"M/D")) &amp; " "</f>
        <v xml:space="preserve">  0.00% Dynamic receiver setup 7/24-7/25 </v>
      </c>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row>
    <row r="203" spans="1:98" outlineLevel="2">
      <c r="A203" s="116"/>
      <c r="B203" s="116"/>
      <c r="C203" s="116">
        <v>3</v>
      </c>
      <c r="D203" s="3" t="s">
        <v>1278</v>
      </c>
      <c r="E203" s="216"/>
      <c r="F203" s="217"/>
      <c r="G203" s="217" t="s">
        <v>1254</v>
      </c>
      <c r="H203" s="184"/>
      <c r="I203" s="184"/>
      <c r="J203" s="184"/>
      <c r="K203" s="184"/>
      <c r="L203" s="184"/>
      <c r="M203" s="185">
        <v>43670</v>
      </c>
      <c r="N203" s="185">
        <v>43670</v>
      </c>
      <c r="O203" s="186"/>
      <c r="P203" s="187">
        <v>1</v>
      </c>
      <c r="Q203" s="187">
        <v>0</v>
      </c>
      <c r="R203" s="188">
        <v>1</v>
      </c>
      <c r="S203" s="188">
        <v>0</v>
      </c>
      <c r="T203" s="185"/>
      <c r="U203" s="185"/>
      <c r="V203" s="189"/>
      <c r="W203" s="190">
        <v>0</v>
      </c>
      <c r="X203" s="191">
        <v>1</v>
      </c>
      <c r="Y203" s="186" t="s">
        <v>1366</v>
      </c>
      <c r="Z203" s="192"/>
      <c r="AA203" s="97">
        <v>0</v>
      </c>
      <c r="AB203" s="193">
        <v>0</v>
      </c>
      <c r="AC203" s="123"/>
      <c r="AD203" s="4"/>
      <c r="AE203" s="4"/>
      <c r="AF203" s="4" t="str">
        <f>"  " &amp; TEXT(AB203,"#0.00%") &amp; " " &amp; "Unit Test" &amp; "(Max,Pralhad)" &amp; " " &amp; IF(M203="","",TEXT(M203,"M/D-")) &amp; IF(N203="","",TEXT(N203,"M/D")) &amp; " "</f>
        <v xml:space="preserve">  0.00% Unit Test(Max,Pralhad) 7/24-7/24 </v>
      </c>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row>
    <row r="204" spans="1:98" outlineLevel="2">
      <c r="A204" s="116"/>
      <c r="B204" s="116"/>
      <c r="C204" s="116">
        <v>3</v>
      </c>
      <c r="D204" s="3" t="s">
        <v>1279</v>
      </c>
      <c r="E204" s="216"/>
      <c r="F204" s="217"/>
      <c r="G204" s="217" t="s">
        <v>1255</v>
      </c>
      <c r="H204" s="184"/>
      <c r="I204" s="184"/>
      <c r="J204" s="184"/>
      <c r="K204" s="184"/>
      <c r="L204" s="184"/>
      <c r="M204" s="185">
        <v>43671</v>
      </c>
      <c r="N204" s="185">
        <v>43671</v>
      </c>
      <c r="O204" s="186"/>
      <c r="P204" s="187">
        <v>1</v>
      </c>
      <c r="Q204" s="187">
        <v>0</v>
      </c>
      <c r="R204" s="188">
        <v>1</v>
      </c>
      <c r="S204" s="188">
        <v>0</v>
      </c>
      <c r="T204" s="185"/>
      <c r="U204" s="185"/>
      <c r="V204" s="189"/>
      <c r="W204" s="190">
        <v>0</v>
      </c>
      <c r="X204" s="191">
        <v>1</v>
      </c>
      <c r="Y204" s="186" t="s">
        <v>1366</v>
      </c>
      <c r="Z204" s="192"/>
      <c r="AA204" s="97">
        <v>0</v>
      </c>
      <c r="AB204" s="193">
        <v>0</v>
      </c>
      <c r="AC204" s="123"/>
      <c r="AD204" s="4"/>
      <c r="AE204" s="4"/>
      <c r="AF204" s="4" t="str">
        <f>"   " &amp; TEXT(AB204,"#0.00%") &amp; " " &amp; "Integrated Test" &amp; "(Max,Pralhad)" &amp; " " &amp; IF(M204="","",TEXT(M204,"M/D-")) &amp; IF(N204="","",TEXT(N204,"M/D")) &amp; " "</f>
        <v xml:space="preserve">   0.00% Integrated Test(Max,Pralhad) 7/25-7/25 </v>
      </c>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row>
    <row r="205" spans="1:98" outlineLevel="2">
      <c r="A205" s="116"/>
      <c r="B205" s="116"/>
      <c r="C205" s="116">
        <v>0</v>
      </c>
      <c r="D205" s="3"/>
      <c r="E205" s="184"/>
      <c r="F205" s="217"/>
      <c r="G205" s="217"/>
      <c r="H205" s="184"/>
      <c r="I205" s="184"/>
      <c r="J205" s="184"/>
      <c r="K205" s="184"/>
      <c r="L205" s="184"/>
      <c r="M205" s="185"/>
      <c r="N205" s="185"/>
      <c r="O205" s="186"/>
      <c r="P205" s="187"/>
      <c r="Q205" s="187"/>
      <c r="R205" s="188">
        <v>0</v>
      </c>
      <c r="S205" s="188">
        <v>0</v>
      </c>
      <c r="T205" s="185"/>
      <c r="U205" s="185"/>
      <c r="V205" s="189"/>
      <c r="W205" s="190">
        <v>0</v>
      </c>
      <c r="X205" s="191"/>
      <c r="Y205" s="186"/>
      <c r="Z205" s="192"/>
      <c r="AA205" s="97"/>
      <c r="AB205" s="193"/>
      <c r="AC205" s="123"/>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row>
    <row r="206" spans="1:98" outlineLevel="1">
      <c r="A206" s="116"/>
      <c r="B206" s="116" t="s">
        <v>1065</v>
      </c>
      <c r="C206" s="116">
        <v>2</v>
      </c>
      <c r="D206" s="3" t="s">
        <v>1280</v>
      </c>
      <c r="E206" s="184"/>
      <c r="F206" s="217" t="s">
        <v>1171</v>
      </c>
      <c r="G206" s="217"/>
      <c r="H206" s="184"/>
      <c r="I206" s="184"/>
      <c r="J206" s="184"/>
      <c r="K206" s="184"/>
      <c r="L206" s="184"/>
      <c r="M206" s="185">
        <v>43672</v>
      </c>
      <c r="N206" s="185">
        <v>43672</v>
      </c>
      <c r="O206" s="186"/>
      <c r="P206" s="187">
        <v>2</v>
      </c>
      <c r="Q206" s="187">
        <v>0</v>
      </c>
      <c r="R206" s="188">
        <v>1</v>
      </c>
      <c r="S206" s="188">
        <v>0</v>
      </c>
      <c r="T206" s="185"/>
      <c r="U206" s="185"/>
      <c r="V206" s="189">
        <v>0</v>
      </c>
      <c r="W206" s="190">
        <v>0</v>
      </c>
      <c r="X206" s="191"/>
      <c r="Y206" s="186"/>
      <c r="Z206" s="192"/>
      <c r="AA206" s="97">
        <v>0</v>
      </c>
      <c r="AB206" s="193">
        <v>0</v>
      </c>
      <c r="AC206" s="123"/>
      <c r="AD206" s="4"/>
      <c r="AE206" s="4"/>
      <c r="AF206" s="4" t="str">
        <f>"    " &amp; TEXT(AB206,"#0.00%") &amp; " " &amp; "Send Txn process same as web" &amp; " " &amp; IF(M206="","",TEXT(M206,"M/D-")) &amp; IF(N206="","",TEXT(N206,"M/D")) &amp; " "</f>
        <v xml:space="preserve">    0.00% Send Txn process same as web 7/26-7/26 </v>
      </c>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row>
    <row r="207" spans="1:98" outlineLevel="2">
      <c r="A207" s="116"/>
      <c r="B207" s="116"/>
      <c r="C207" s="116">
        <v>3</v>
      </c>
      <c r="D207" s="3" t="s">
        <v>1281</v>
      </c>
      <c r="E207" s="216"/>
      <c r="F207" s="217"/>
      <c r="G207" s="217" t="s">
        <v>1254</v>
      </c>
      <c r="H207" s="184"/>
      <c r="I207" s="184"/>
      <c r="J207" s="184"/>
      <c r="K207" s="184"/>
      <c r="L207" s="184"/>
      <c r="M207" s="185">
        <v>43672</v>
      </c>
      <c r="N207" s="185">
        <v>43672</v>
      </c>
      <c r="O207" s="186"/>
      <c r="P207" s="187">
        <v>1</v>
      </c>
      <c r="Q207" s="187">
        <v>0</v>
      </c>
      <c r="R207" s="188">
        <v>1</v>
      </c>
      <c r="S207" s="188">
        <v>0</v>
      </c>
      <c r="T207" s="185"/>
      <c r="U207" s="185"/>
      <c r="V207" s="189"/>
      <c r="W207" s="190">
        <v>0</v>
      </c>
      <c r="X207" s="191">
        <v>1</v>
      </c>
      <c r="Y207" s="186" t="s">
        <v>1366</v>
      </c>
      <c r="Z207" s="192"/>
      <c r="AA207" s="97">
        <v>0</v>
      </c>
      <c r="AB207" s="193">
        <v>0</v>
      </c>
      <c r="AC207" s="123"/>
      <c r="AD207" s="4"/>
      <c r="AE207" s="4"/>
      <c r="AF207" s="4" t="str">
        <f>"    " &amp; TEXT(AB207,"#0.00%") &amp; " " &amp; "Unit Test" &amp; "(Max,Pralhad)" &amp; " " &amp; IF(M207="","",TEXT(M207,"M/D-")) &amp; IF(N207="","",TEXT(N207,"M/D")) &amp; " "</f>
        <v xml:space="preserve">    0.00% Unit Test(Max,Pralhad) 7/26-7/26 </v>
      </c>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row>
    <row r="208" spans="1:98" outlineLevel="2">
      <c r="A208" s="116"/>
      <c r="B208" s="116"/>
      <c r="C208" s="116">
        <v>3</v>
      </c>
      <c r="D208" s="3" t="s">
        <v>1282</v>
      </c>
      <c r="E208" s="216"/>
      <c r="F208" s="217"/>
      <c r="G208" s="217" t="s">
        <v>1255</v>
      </c>
      <c r="H208" s="184"/>
      <c r="I208" s="184"/>
      <c r="J208" s="184"/>
      <c r="K208" s="184"/>
      <c r="L208" s="184"/>
      <c r="M208" s="185">
        <v>43672</v>
      </c>
      <c r="N208" s="185">
        <v>43672</v>
      </c>
      <c r="O208" s="186"/>
      <c r="P208" s="187">
        <v>1</v>
      </c>
      <c r="Q208" s="187">
        <v>0</v>
      </c>
      <c r="R208" s="188">
        <v>1</v>
      </c>
      <c r="S208" s="188">
        <v>0</v>
      </c>
      <c r="T208" s="185"/>
      <c r="U208" s="185"/>
      <c r="V208" s="189"/>
      <c r="W208" s="190">
        <v>0</v>
      </c>
      <c r="X208" s="191">
        <v>1</v>
      </c>
      <c r="Y208" s="186" t="s">
        <v>1366</v>
      </c>
      <c r="Z208" s="192"/>
      <c r="AA208" s="97">
        <v>0</v>
      </c>
      <c r="AB208" s="193">
        <v>0</v>
      </c>
      <c r="AC208" s="123"/>
      <c r="AD208" s="4"/>
      <c r="AE208" s="4"/>
      <c r="AF208" s="4" t="str">
        <f>"    " &amp; TEXT(AB208,"#0.00%") &amp; " " &amp; "Integrated Test" &amp; "(Max,Pralhad)" &amp; " " &amp; IF(M208="","",TEXT(M208,"M/D-")) &amp; IF(N208="","",TEXT(N208,"M/D")) &amp; " "</f>
        <v xml:space="preserve">    0.00% Integrated Test(Max,Pralhad) 7/26-7/26 </v>
      </c>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row>
    <row r="209" spans="1:98" outlineLevel="2">
      <c r="A209" s="116"/>
      <c r="B209" s="116"/>
      <c r="C209" s="116">
        <v>0</v>
      </c>
      <c r="D209" s="3"/>
      <c r="E209" s="184"/>
      <c r="F209" s="217"/>
      <c r="G209" s="217"/>
      <c r="H209" s="184"/>
      <c r="I209" s="184"/>
      <c r="J209" s="184"/>
      <c r="K209" s="184"/>
      <c r="L209" s="184"/>
      <c r="M209" s="185"/>
      <c r="N209" s="185"/>
      <c r="O209" s="186"/>
      <c r="P209" s="187"/>
      <c r="Q209" s="187"/>
      <c r="R209" s="188">
        <v>0</v>
      </c>
      <c r="S209" s="188">
        <v>0</v>
      </c>
      <c r="T209" s="185"/>
      <c r="U209" s="185"/>
      <c r="V209" s="189"/>
      <c r="W209" s="190">
        <v>0</v>
      </c>
      <c r="X209" s="191"/>
      <c r="Y209" s="186"/>
      <c r="Z209" s="192"/>
      <c r="AA209" s="97"/>
      <c r="AB209" s="193"/>
      <c r="AC209" s="123"/>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row>
    <row r="210" spans="1:98" outlineLevel="1">
      <c r="A210" s="116"/>
      <c r="B210" s="116" t="s">
        <v>1065</v>
      </c>
      <c r="C210" s="116">
        <v>2</v>
      </c>
      <c r="D210" s="3" t="s">
        <v>1283</v>
      </c>
      <c r="E210" s="184"/>
      <c r="F210" s="217" t="s">
        <v>1172</v>
      </c>
      <c r="G210" s="217"/>
      <c r="H210" s="184"/>
      <c r="I210" s="184"/>
      <c r="J210" s="184"/>
      <c r="K210" s="184"/>
      <c r="L210" s="184"/>
      <c r="M210" s="185">
        <v>43675</v>
      </c>
      <c r="N210" s="185">
        <v>43675</v>
      </c>
      <c r="O210" s="186"/>
      <c r="P210" s="187">
        <v>2</v>
      </c>
      <c r="Q210" s="187">
        <v>0</v>
      </c>
      <c r="R210" s="188">
        <v>1</v>
      </c>
      <c r="S210" s="188">
        <v>0</v>
      </c>
      <c r="T210" s="185"/>
      <c r="U210" s="185"/>
      <c r="V210" s="189">
        <v>0</v>
      </c>
      <c r="W210" s="190">
        <v>0</v>
      </c>
      <c r="X210" s="191"/>
      <c r="Y210" s="186"/>
      <c r="Z210" s="192"/>
      <c r="AA210" s="97">
        <v>0</v>
      </c>
      <c r="AB210" s="193">
        <v>0</v>
      </c>
      <c r="AC210" s="123"/>
      <c r="AD210" s="4"/>
      <c r="AE210" s="4"/>
      <c r="AF210" s="4"/>
      <c r="AG210" s="4" t="str">
        <f>"" &amp; TEXT(AB210,"#0.00%") &amp; " " &amp; "Resend method not to check anything" &amp; " " &amp; IF(M210="","",TEXT(M210,"M/D-")) &amp; IF(N210="","",TEXT(N210,"M/D")) &amp; " "</f>
        <v xml:space="preserve">0.00% Resend method not to check anything 7/29-7/29 </v>
      </c>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row>
    <row r="211" spans="1:98" outlineLevel="2">
      <c r="A211" s="116"/>
      <c r="B211" s="116"/>
      <c r="C211" s="116">
        <v>3</v>
      </c>
      <c r="D211" s="3" t="s">
        <v>1284</v>
      </c>
      <c r="E211" s="216"/>
      <c r="F211" s="217"/>
      <c r="G211" s="217" t="s">
        <v>1254</v>
      </c>
      <c r="H211" s="184"/>
      <c r="I211" s="184"/>
      <c r="J211" s="184"/>
      <c r="K211" s="184"/>
      <c r="L211" s="184"/>
      <c r="M211" s="185">
        <v>43675</v>
      </c>
      <c r="N211" s="185">
        <v>43675</v>
      </c>
      <c r="O211" s="186"/>
      <c r="P211" s="187">
        <v>1</v>
      </c>
      <c r="Q211" s="187">
        <v>0</v>
      </c>
      <c r="R211" s="188">
        <v>1</v>
      </c>
      <c r="S211" s="188">
        <v>0</v>
      </c>
      <c r="T211" s="185"/>
      <c r="U211" s="185"/>
      <c r="V211" s="189"/>
      <c r="W211" s="190">
        <v>0</v>
      </c>
      <c r="X211" s="191">
        <v>1</v>
      </c>
      <c r="Y211" s="186" t="s">
        <v>1366</v>
      </c>
      <c r="Z211" s="192"/>
      <c r="AA211" s="97">
        <v>0</v>
      </c>
      <c r="AB211" s="193">
        <v>0</v>
      </c>
      <c r="AC211" s="123"/>
      <c r="AD211" s="4"/>
      <c r="AE211" s="4"/>
      <c r="AF211" s="4"/>
      <c r="AG211" s="4" t="str">
        <f>"" &amp; TEXT(AB211,"#0.00%") &amp; " " &amp; "Unit Test" &amp; "(Max,Pralhad)" &amp; " " &amp; IF(M211="","",TEXT(M211,"M/D-")) &amp; IF(N211="","",TEXT(N211,"M/D")) &amp; " "</f>
        <v xml:space="preserve">0.00% Unit Test(Max,Pralhad) 7/29-7/29 </v>
      </c>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row>
    <row r="212" spans="1:98" outlineLevel="2">
      <c r="A212" s="116"/>
      <c r="B212" s="116"/>
      <c r="C212" s="116">
        <v>3</v>
      </c>
      <c r="D212" s="3" t="s">
        <v>1285</v>
      </c>
      <c r="E212" s="216"/>
      <c r="F212" s="217"/>
      <c r="G212" s="217" t="s">
        <v>1255</v>
      </c>
      <c r="H212" s="184"/>
      <c r="I212" s="184"/>
      <c r="J212" s="184"/>
      <c r="K212" s="184"/>
      <c r="L212" s="184"/>
      <c r="M212" s="185">
        <v>43675</v>
      </c>
      <c r="N212" s="185">
        <v>43675</v>
      </c>
      <c r="O212" s="186"/>
      <c r="P212" s="187">
        <v>1</v>
      </c>
      <c r="Q212" s="187">
        <v>0</v>
      </c>
      <c r="R212" s="188">
        <v>1</v>
      </c>
      <c r="S212" s="188">
        <v>0</v>
      </c>
      <c r="T212" s="185"/>
      <c r="U212" s="185"/>
      <c r="V212" s="189"/>
      <c r="W212" s="190">
        <v>0</v>
      </c>
      <c r="X212" s="191">
        <v>1</v>
      </c>
      <c r="Y212" s="186" t="s">
        <v>1366</v>
      </c>
      <c r="Z212" s="192"/>
      <c r="AA212" s="97">
        <v>0</v>
      </c>
      <c r="AB212" s="193">
        <v>0</v>
      </c>
      <c r="AC212" s="123"/>
      <c r="AD212" s="4"/>
      <c r="AE212" s="4"/>
      <c r="AF212" s="4"/>
      <c r="AG212" s="4" t="str">
        <f>"" &amp; TEXT(AB212,"#0.00%") &amp; " " &amp; "Integrated Test" &amp; "(Max,Pralhad)" &amp; " " &amp; IF(M212="","",TEXT(M212,"M/D-")) &amp; IF(N212="","",TEXT(N212,"M/D")) &amp; " "</f>
        <v xml:space="preserve">0.00% Integrated Test(Max,Pralhad) 7/29-7/29 </v>
      </c>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row>
    <row r="213" spans="1:98" outlineLevel="2">
      <c r="A213" s="116"/>
      <c r="B213" s="116"/>
      <c r="C213" s="116">
        <v>0</v>
      </c>
      <c r="D213" s="3"/>
      <c r="E213" s="184"/>
      <c r="F213" s="217"/>
      <c r="G213" s="217"/>
      <c r="H213" s="184"/>
      <c r="I213" s="184"/>
      <c r="J213" s="184"/>
      <c r="K213" s="184"/>
      <c r="L213" s="184"/>
      <c r="M213" s="185"/>
      <c r="N213" s="185"/>
      <c r="O213" s="186"/>
      <c r="P213" s="187"/>
      <c r="Q213" s="187"/>
      <c r="R213" s="188">
        <v>0</v>
      </c>
      <c r="S213" s="188">
        <v>0</v>
      </c>
      <c r="T213" s="185"/>
      <c r="U213" s="185"/>
      <c r="V213" s="189"/>
      <c r="W213" s="190">
        <v>0</v>
      </c>
      <c r="X213" s="191"/>
      <c r="Y213" s="186"/>
      <c r="Z213" s="192"/>
      <c r="AA213" s="97"/>
      <c r="AB213" s="193"/>
      <c r="AC213" s="123"/>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row>
    <row r="214" spans="1:98" outlineLevel="1">
      <c r="A214" s="116"/>
      <c r="B214" s="116" t="s">
        <v>1065</v>
      </c>
      <c r="C214" s="116">
        <v>2</v>
      </c>
      <c r="D214" s="3" t="s">
        <v>1286</v>
      </c>
      <c r="E214" s="184"/>
      <c r="F214" s="217" t="s">
        <v>1173</v>
      </c>
      <c r="G214" s="217"/>
      <c r="H214" s="184"/>
      <c r="I214" s="184"/>
      <c r="J214" s="184"/>
      <c r="K214" s="184"/>
      <c r="L214" s="184"/>
      <c r="M214" s="185">
        <v>43657</v>
      </c>
      <c r="N214" s="185">
        <v>43658</v>
      </c>
      <c r="O214" s="186"/>
      <c r="P214" s="187">
        <v>2</v>
      </c>
      <c r="Q214" s="187">
        <v>0</v>
      </c>
      <c r="R214" s="188">
        <v>2</v>
      </c>
      <c r="S214" s="188">
        <v>0</v>
      </c>
      <c r="T214" s="185"/>
      <c r="U214" s="185"/>
      <c r="V214" s="189">
        <v>0</v>
      </c>
      <c r="W214" s="190">
        <v>0</v>
      </c>
      <c r="X214" s="191"/>
      <c r="Y214" s="186"/>
      <c r="Z214" s="192"/>
      <c r="AA214" s="97">
        <v>0</v>
      </c>
      <c r="AB214" s="193">
        <v>0</v>
      </c>
      <c r="AC214" s="123"/>
      <c r="AD214" s="4" t="str">
        <f>"   " &amp; TEXT(AB214,"#0.00%") &amp; " " &amp; "Channel talk app in new app" &amp; " " &amp; IF(M214="","",TEXT(M214,"M/D-")) &amp; IF(N214="","",TEXT(N214,"M/D")) &amp; " "</f>
        <v xml:space="preserve">   0.00% Channel talk app in new app 7/11-7/12 </v>
      </c>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row>
    <row r="215" spans="1:98" outlineLevel="2">
      <c r="A215" s="116"/>
      <c r="B215" s="116"/>
      <c r="C215" s="116">
        <v>3</v>
      </c>
      <c r="D215" s="3" t="s">
        <v>1287</v>
      </c>
      <c r="E215" s="216"/>
      <c r="F215" s="217"/>
      <c r="G215" s="217" t="s">
        <v>1254</v>
      </c>
      <c r="H215" s="184"/>
      <c r="I215" s="184"/>
      <c r="J215" s="184"/>
      <c r="K215" s="184"/>
      <c r="L215" s="184"/>
      <c r="M215" s="185">
        <v>43657</v>
      </c>
      <c r="N215" s="185">
        <v>43657</v>
      </c>
      <c r="O215" s="186"/>
      <c r="P215" s="187">
        <v>1</v>
      </c>
      <c r="Q215" s="187">
        <v>0</v>
      </c>
      <c r="R215" s="188">
        <v>1</v>
      </c>
      <c r="S215" s="188">
        <v>0</v>
      </c>
      <c r="T215" s="185"/>
      <c r="U215" s="185"/>
      <c r="V215" s="189"/>
      <c r="W215" s="190">
        <v>0</v>
      </c>
      <c r="X215" s="191">
        <v>1</v>
      </c>
      <c r="Y215" s="186" t="s">
        <v>1366</v>
      </c>
      <c r="Z215" s="192"/>
      <c r="AA215" s="97">
        <v>0</v>
      </c>
      <c r="AB215" s="193">
        <v>0</v>
      </c>
      <c r="AC215" s="123"/>
      <c r="AD215" s="4" t="str">
        <f>"   " &amp; TEXT(AB215,"#0.00%") &amp; " " &amp; "Unit Test" &amp; "(Max,Pralhad)" &amp; " " &amp; IF(M215="","",TEXT(M215,"M/D-")) &amp; IF(N215="","",TEXT(N215,"M/D")) &amp; " "</f>
        <v xml:space="preserve">   0.00% Unit Test(Max,Pralhad) 7/11-7/11 </v>
      </c>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row>
    <row r="216" spans="1:98" outlineLevel="2">
      <c r="A216" s="116"/>
      <c r="B216" s="116"/>
      <c r="C216" s="116">
        <v>3</v>
      </c>
      <c r="D216" s="3" t="s">
        <v>1288</v>
      </c>
      <c r="E216" s="216"/>
      <c r="F216" s="217"/>
      <c r="G216" s="217" t="s">
        <v>1255</v>
      </c>
      <c r="H216" s="184"/>
      <c r="I216" s="184"/>
      <c r="J216" s="184"/>
      <c r="K216" s="184"/>
      <c r="L216" s="184"/>
      <c r="M216" s="185">
        <v>43658</v>
      </c>
      <c r="N216" s="185">
        <v>43658</v>
      </c>
      <c r="O216" s="186"/>
      <c r="P216" s="187">
        <v>1</v>
      </c>
      <c r="Q216" s="187">
        <v>0</v>
      </c>
      <c r="R216" s="188">
        <v>1</v>
      </c>
      <c r="S216" s="188">
        <v>0</v>
      </c>
      <c r="T216" s="185"/>
      <c r="U216" s="185"/>
      <c r="V216" s="189"/>
      <c r="W216" s="190">
        <v>0</v>
      </c>
      <c r="X216" s="191">
        <v>1</v>
      </c>
      <c r="Y216" s="186" t="s">
        <v>1366</v>
      </c>
      <c r="Z216" s="192"/>
      <c r="AA216" s="97">
        <v>0</v>
      </c>
      <c r="AB216" s="193">
        <v>0</v>
      </c>
      <c r="AC216" s="123"/>
      <c r="AD216" s="4" t="str">
        <f>"    " &amp; TEXT(AB216,"#0.00%") &amp; " " &amp; "Integrated Test" &amp; "(Max,Pralhad)" &amp; " " &amp; IF(M216="","",TEXT(M216,"M/D-")) &amp; IF(N216="","",TEXT(N216,"M/D")) &amp; " "</f>
        <v xml:space="preserve">    0.00% Integrated Test(Max,Pralhad) 7/12-7/12 </v>
      </c>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row>
    <row r="217" spans="1:98" outlineLevel="2">
      <c r="A217" s="116"/>
      <c r="B217" s="116"/>
      <c r="C217" s="116">
        <v>0</v>
      </c>
      <c r="D217" s="3"/>
      <c r="E217" s="184"/>
      <c r="F217" s="217"/>
      <c r="G217" s="217"/>
      <c r="H217" s="184"/>
      <c r="I217" s="184"/>
      <c r="J217" s="184"/>
      <c r="K217" s="184"/>
      <c r="L217" s="184"/>
      <c r="M217" s="185"/>
      <c r="N217" s="185"/>
      <c r="O217" s="186"/>
      <c r="P217" s="187"/>
      <c r="Q217" s="187"/>
      <c r="R217" s="188">
        <v>0</v>
      </c>
      <c r="S217" s="188">
        <v>0</v>
      </c>
      <c r="T217" s="185"/>
      <c r="U217" s="185"/>
      <c r="V217" s="189"/>
      <c r="W217" s="190">
        <v>0</v>
      </c>
      <c r="X217" s="191"/>
      <c r="Y217" s="186"/>
      <c r="Z217" s="192"/>
      <c r="AA217" s="97"/>
      <c r="AB217" s="193"/>
      <c r="AC217" s="123"/>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row>
    <row r="218" spans="1:98" outlineLevel="1">
      <c r="A218" s="116"/>
      <c r="B218" s="116" t="s">
        <v>1065</v>
      </c>
      <c r="C218" s="116">
        <v>2</v>
      </c>
      <c r="D218" s="3" t="s">
        <v>1289</v>
      </c>
      <c r="E218" s="184"/>
      <c r="F218" s="217" t="s">
        <v>1174</v>
      </c>
      <c r="G218" s="217"/>
      <c r="H218" s="184"/>
      <c r="I218" s="184"/>
      <c r="J218" s="184"/>
      <c r="K218" s="184"/>
      <c r="L218" s="184"/>
      <c r="M218" s="185">
        <v>43661</v>
      </c>
      <c r="N218" s="185">
        <v>43662</v>
      </c>
      <c r="O218" s="186"/>
      <c r="P218" s="187">
        <v>2</v>
      </c>
      <c r="Q218" s="187">
        <v>0</v>
      </c>
      <c r="R218" s="188">
        <v>2</v>
      </c>
      <c r="S218" s="188">
        <v>0</v>
      </c>
      <c r="T218" s="185"/>
      <c r="U218" s="185"/>
      <c r="V218" s="189">
        <v>0</v>
      </c>
      <c r="W218" s="190">
        <v>0</v>
      </c>
      <c r="X218" s="191"/>
      <c r="Y218" s="186"/>
      <c r="Z218" s="192"/>
      <c r="AA218" s="97">
        <v>0</v>
      </c>
      <c r="AB218" s="193">
        <v>0</v>
      </c>
      <c r="AC218" s="123"/>
      <c r="AD218" s="4"/>
      <c r="AE218" s="4" t="str">
        <f>"" &amp; TEXT(AB218,"#0.00%") &amp; " " &amp; "Popup notice in new app" &amp; " " &amp; IF(M218="","",TEXT(M218,"M/D-")) &amp; IF(N218="","",TEXT(N218,"M/D")) &amp; " "</f>
        <v xml:space="preserve">0.00% Popup notice in new app 7/15-7/16 </v>
      </c>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row>
    <row r="219" spans="1:98" outlineLevel="2">
      <c r="A219" s="116"/>
      <c r="B219" s="116"/>
      <c r="C219" s="116">
        <v>3</v>
      </c>
      <c r="D219" s="3" t="s">
        <v>1290</v>
      </c>
      <c r="E219" s="216"/>
      <c r="F219" s="217"/>
      <c r="G219" s="217" t="s">
        <v>1254</v>
      </c>
      <c r="H219" s="184"/>
      <c r="I219" s="184"/>
      <c r="J219" s="184"/>
      <c r="K219" s="184"/>
      <c r="L219" s="184"/>
      <c r="M219" s="185">
        <v>43661</v>
      </c>
      <c r="N219" s="185">
        <v>43661</v>
      </c>
      <c r="O219" s="186"/>
      <c r="P219" s="187">
        <v>1</v>
      </c>
      <c r="Q219" s="187">
        <v>0</v>
      </c>
      <c r="R219" s="188">
        <v>1</v>
      </c>
      <c r="S219" s="188">
        <v>0</v>
      </c>
      <c r="T219" s="185"/>
      <c r="U219" s="185"/>
      <c r="V219" s="189"/>
      <c r="W219" s="190">
        <v>0</v>
      </c>
      <c r="X219" s="191">
        <v>1</v>
      </c>
      <c r="Y219" s="186" t="s">
        <v>1366</v>
      </c>
      <c r="Z219" s="192"/>
      <c r="AA219" s="97">
        <v>0</v>
      </c>
      <c r="AB219" s="193">
        <v>0</v>
      </c>
      <c r="AC219" s="123"/>
      <c r="AD219" s="4"/>
      <c r="AE219" s="4" t="str">
        <f>"" &amp; TEXT(AB219,"#0.00%") &amp; " " &amp; "Unit Test" &amp; "(Max,Pralhad)" &amp; " " &amp; IF(M219="","",TEXT(M219,"M/D-")) &amp; IF(N219="","",TEXT(N219,"M/D")) &amp; " "</f>
        <v xml:space="preserve">0.00% Unit Test(Max,Pralhad) 7/15-7/15 </v>
      </c>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row>
    <row r="220" spans="1:98" outlineLevel="2">
      <c r="A220" s="116"/>
      <c r="B220" s="116"/>
      <c r="C220" s="116">
        <v>3</v>
      </c>
      <c r="D220" s="3" t="s">
        <v>1291</v>
      </c>
      <c r="E220" s="216"/>
      <c r="F220" s="217"/>
      <c r="G220" s="217" t="s">
        <v>1255</v>
      </c>
      <c r="H220" s="184"/>
      <c r="I220" s="184"/>
      <c r="J220" s="184"/>
      <c r="K220" s="184"/>
      <c r="L220" s="184"/>
      <c r="M220" s="185">
        <v>43662</v>
      </c>
      <c r="N220" s="185">
        <v>43662</v>
      </c>
      <c r="O220" s="186"/>
      <c r="P220" s="187">
        <v>1</v>
      </c>
      <c r="Q220" s="187">
        <v>0</v>
      </c>
      <c r="R220" s="188">
        <v>1</v>
      </c>
      <c r="S220" s="188">
        <v>0</v>
      </c>
      <c r="T220" s="185"/>
      <c r="U220" s="185"/>
      <c r="V220" s="189"/>
      <c r="W220" s="190">
        <v>0</v>
      </c>
      <c r="X220" s="191">
        <v>1</v>
      </c>
      <c r="Y220" s="186" t="s">
        <v>1366</v>
      </c>
      <c r="Z220" s="192"/>
      <c r="AA220" s="97">
        <v>0</v>
      </c>
      <c r="AB220" s="193">
        <v>0</v>
      </c>
      <c r="AC220" s="123"/>
      <c r="AD220" s="4"/>
      <c r="AE220" s="4" t="str">
        <f>" " &amp; TEXT(AB220,"#0.00%") &amp; " " &amp; "Integrated Test" &amp; "(Max,Pralhad)" &amp; " " &amp; IF(M220="","",TEXT(M220,"M/D-")) &amp; IF(N220="","",TEXT(N220,"M/D")) &amp; " "</f>
        <v xml:space="preserve"> 0.00% Integrated Test(Max,Pralhad) 7/16-7/16 </v>
      </c>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row>
    <row r="221" spans="1:98" outlineLevel="2">
      <c r="A221" s="116"/>
      <c r="B221" s="116"/>
      <c r="C221" s="116">
        <v>0</v>
      </c>
      <c r="D221" s="3"/>
      <c r="E221" s="184"/>
      <c r="F221" s="184"/>
      <c r="G221" s="184"/>
      <c r="H221" s="184"/>
      <c r="I221" s="184"/>
      <c r="J221" s="184"/>
      <c r="K221" s="184"/>
      <c r="L221" s="184"/>
      <c r="M221" s="185"/>
      <c r="N221" s="185"/>
      <c r="O221" s="186"/>
      <c r="P221" s="187"/>
      <c r="Q221" s="187"/>
      <c r="R221" s="188">
        <v>0</v>
      </c>
      <c r="S221" s="188">
        <v>0</v>
      </c>
      <c r="T221" s="185"/>
      <c r="U221" s="185"/>
      <c r="V221" s="189"/>
      <c r="W221" s="190">
        <v>0</v>
      </c>
      <c r="X221" s="191"/>
      <c r="Y221" s="186"/>
      <c r="Z221" s="192"/>
      <c r="AA221" s="97"/>
      <c r="AB221" s="193"/>
      <c r="AC221" s="123"/>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row>
    <row r="222" spans="1:98">
      <c r="A222" s="116"/>
      <c r="B222" s="116" t="s">
        <v>1065</v>
      </c>
      <c r="C222" s="116">
        <v>1</v>
      </c>
      <c r="D222" s="3" t="s">
        <v>1152</v>
      </c>
      <c r="E222" s="215" t="s">
        <v>1147</v>
      </c>
      <c r="F222" s="184"/>
      <c r="G222" s="184"/>
      <c r="H222" s="184"/>
      <c r="I222" s="184"/>
      <c r="J222" s="184"/>
      <c r="K222" s="184"/>
      <c r="L222" s="184"/>
      <c r="M222" s="185">
        <v>43664</v>
      </c>
      <c r="N222" s="185">
        <v>43698</v>
      </c>
      <c r="O222" s="186"/>
      <c r="P222" s="187">
        <v>12</v>
      </c>
      <c r="Q222" s="187">
        <v>0</v>
      </c>
      <c r="R222" s="188">
        <v>24</v>
      </c>
      <c r="S222" s="188">
        <v>0</v>
      </c>
      <c r="T222" s="185"/>
      <c r="U222" s="185"/>
      <c r="V222" s="189">
        <v>0</v>
      </c>
      <c r="W222" s="190">
        <v>0</v>
      </c>
      <c r="X222" s="191"/>
      <c r="Y222" s="186"/>
      <c r="Z222" s="192"/>
      <c r="AA222" s="97">
        <v>0</v>
      </c>
      <c r="AB222" s="193">
        <v>0</v>
      </c>
      <c r="AC222" s="123"/>
      <c r="AD222" s="4"/>
      <c r="AE222" s="4" t="str">
        <f>"   " &amp; TEXT(AB222,"#0.00%") &amp; " "</f>
        <v xml:space="preserve">   0.00% </v>
      </c>
      <c r="AF222" s="4"/>
      <c r="AG222" s="4"/>
      <c r="AH222" s="4"/>
      <c r="AI222" s="4"/>
      <c r="AJ222" s="4" t="str">
        <f>"   " &amp; "배포" &amp; " " &amp; IF(M222="","",TEXT(M222,"M/D-")) &amp; IF(N222="","",TEXT(N222,"M/D")) &amp; " "</f>
        <v xml:space="preserve">   배포 7/18-8/21 </v>
      </c>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row>
    <row r="223" spans="1:98" outlineLevel="1">
      <c r="A223" s="116"/>
      <c r="B223" s="116"/>
      <c r="C223" s="116">
        <v>2</v>
      </c>
      <c r="D223" s="3" t="s">
        <v>1292</v>
      </c>
      <c r="E223" s="216"/>
      <c r="F223" s="217" t="s">
        <v>1163</v>
      </c>
      <c r="G223" s="184"/>
      <c r="H223" s="184"/>
      <c r="I223" s="184"/>
      <c r="J223" s="184"/>
      <c r="K223" s="184"/>
      <c r="L223" s="184"/>
      <c r="M223" s="185">
        <v>43664</v>
      </c>
      <c r="N223" s="185">
        <v>43664</v>
      </c>
      <c r="O223" s="186"/>
      <c r="P223" s="187">
        <v>1</v>
      </c>
      <c r="Q223" s="187">
        <v>0</v>
      </c>
      <c r="R223" s="188">
        <v>1</v>
      </c>
      <c r="S223" s="188">
        <v>0</v>
      </c>
      <c r="T223" s="185"/>
      <c r="U223" s="185"/>
      <c r="V223" s="189"/>
      <c r="W223" s="190">
        <v>0</v>
      </c>
      <c r="X223" s="191">
        <v>1</v>
      </c>
      <c r="Y223" s="186" t="s">
        <v>1366</v>
      </c>
      <c r="Z223" s="192"/>
      <c r="AA223" s="97">
        <v>0</v>
      </c>
      <c r="AB223" s="193">
        <v>0</v>
      </c>
      <c r="AC223" s="123"/>
      <c r="AD223" s="4"/>
      <c r="AE223" s="4" t="str">
        <f>"   " &amp; TEXT(AB223,"#0.00%") &amp; " " &amp; "Thuns for Myanmar" &amp; "(Max,Pralhad)" &amp; " " &amp; IF(M223="","",TEXT(M223,"M/D-")) &amp; IF(N223="","",TEXT(N223,"M/D")) &amp; " "</f>
        <v xml:space="preserve">   0.00% Thuns for Myanmar(Max,Pralhad) 7/18-7/18 </v>
      </c>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row>
    <row r="224" spans="1:98" outlineLevel="1">
      <c r="A224" s="116"/>
      <c r="B224" s="116"/>
      <c r="C224" s="116">
        <v>2</v>
      </c>
      <c r="D224" s="3" t="s">
        <v>1293</v>
      </c>
      <c r="E224" s="184"/>
      <c r="F224" s="217" t="s">
        <v>1164</v>
      </c>
      <c r="G224" s="184"/>
      <c r="H224" s="184"/>
      <c r="I224" s="184"/>
      <c r="J224" s="184"/>
      <c r="K224" s="184"/>
      <c r="L224" s="184"/>
      <c r="M224" s="185">
        <v>43677</v>
      </c>
      <c r="N224" s="185">
        <v>43678</v>
      </c>
      <c r="O224" s="186"/>
      <c r="P224" s="187">
        <v>2</v>
      </c>
      <c r="Q224" s="187">
        <v>0</v>
      </c>
      <c r="R224" s="188">
        <v>2</v>
      </c>
      <c r="S224" s="188">
        <v>0</v>
      </c>
      <c r="T224" s="185"/>
      <c r="U224" s="185"/>
      <c r="V224" s="189"/>
      <c r="W224" s="190">
        <v>0</v>
      </c>
      <c r="X224" s="191">
        <v>1</v>
      </c>
      <c r="Y224" s="186" t="s">
        <v>1366</v>
      </c>
      <c r="Z224" s="192"/>
      <c r="AA224" s="97">
        <v>0</v>
      </c>
      <c r="AB224" s="193">
        <v>0</v>
      </c>
      <c r="AC224" s="123"/>
      <c r="AD224" s="4"/>
      <c r="AE224" s="4"/>
      <c r="AF224" s="4"/>
      <c r="AG224" s="4" t="str">
        <f>"  " &amp; TEXT(AB224,"#0.00%") &amp; " " &amp; "Lyhour API for Cambodia deposit" &amp; "(Max,Pralhad)" &amp; " " &amp; IF(M224="","",TEXT(M224,"M/D-")) &amp; IF(N224="","",TEXT(N224,"M/D")) &amp; " "</f>
        <v xml:space="preserve">  0.00% Lyhour API for Cambodia deposit(Max,Pralhad) 7/31-8/1 </v>
      </c>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row>
    <row r="225" spans="1:98" outlineLevel="1">
      <c r="A225" s="116"/>
      <c r="B225" s="116"/>
      <c r="C225" s="116">
        <v>2</v>
      </c>
      <c r="D225" s="3" t="s">
        <v>1294</v>
      </c>
      <c r="E225" s="184"/>
      <c r="F225" s="217" t="s">
        <v>1165</v>
      </c>
      <c r="G225" s="184"/>
      <c r="H225" s="184"/>
      <c r="I225" s="184"/>
      <c r="J225" s="184"/>
      <c r="K225" s="184"/>
      <c r="L225" s="184"/>
      <c r="M225" s="185">
        <v>43683</v>
      </c>
      <c r="N225" s="185">
        <v>43684</v>
      </c>
      <c r="O225" s="186"/>
      <c r="P225" s="187">
        <v>2</v>
      </c>
      <c r="Q225" s="187">
        <v>0</v>
      </c>
      <c r="R225" s="188">
        <v>2</v>
      </c>
      <c r="S225" s="188">
        <v>0</v>
      </c>
      <c r="T225" s="185"/>
      <c r="U225" s="185"/>
      <c r="V225" s="189"/>
      <c r="W225" s="190">
        <v>0</v>
      </c>
      <c r="X225" s="191">
        <v>1</v>
      </c>
      <c r="Y225" s="186" t="s">
        <v>1366</v>
      </c>
      <c r="Z225" s="192"/>
      <c r="AA225" s="97">
        <v>0</v>
      </c>
      <c r="AB225" s="193">
        <v>0</v>
      </c>
      <c r="AC225" s="123"/>
      <c r="AD225" s="4"/>
      <c r="AE225" s="4"/>
      <c r="AF225" s="4"/>
      <c r="AG225" s="4"/>
      <c r="AH225" s="4" t="str">
        <f>" " &amp; TEXT(AB225,"#0.00%") &amp; " " &amp; "Inbound(Online, App) 2nd Phase" &amp; "(Max,Pralhad)" &amp; " " &amp; IF(M225="","",TEXT(M225,"M/D-")) &amp; IF(N225="","",TEXT(N225,"M/D")) &amp; " "</f>
        <v xml:space="preserve"> 0.00% Inbound(Online, App) 2nd Phase(Max,Pralhad) 8/6-8/7 </v>
      </c>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row>
    <row r="226" spans="1:98" outlineLevel="1">
      <c r="A226" s="116"/>
      <c r="B226" s="116"/>
      <c r="C226" s="116">
        <v>2</v>
      </c>
      <c r="D226" s="3" t="s">
        <v>1295</v>
      </c>
      <c r="E226" s="184"/>
      <c r="F226" s="217" t="s">
        <v>1166</v>
      </c>
      <c r="G226" s="184"/>
      <c r="H226" s="184"/>
      <c r="I226" s="184"/>
      <c r="J226" s="184"/>
      <c r="K226" s="184"/>
      <c r="L226" s="184"/>
      <c r="M226" s="185">
        <v>43685</v>
      </c>
      <c r="N226" s="185">
        <v>43685</v>
      </c>
      <c r="O226" s="186"/>
      <c r="P226" s="187">
        <v>1</v>
      </c>
      <c r="Q226" s="187">
        <v>0</v>
      </c>
      <c r="R226" s="188">
        <v>1</v>
      </c>
      <c r="S226" s="188">
        <v>0</v>
      </c>
      <c r="T226" s="185"/>
      <c r="U226" s="185"/>
      <c r="V226" s="189"/>
      <c r="W226" s="190">
        <v>0</v>
      </c>
      <c r="X226" s="191">
        <v>1</v>
      </c>
      <c r="Y226" s="186" t="s">
        <v>1366</v>
      </c>
      <c r="Z226" s="192"/>
      <c r="AA226" s="97">
        <v>0</v>
      </c>
      <c r="AB226" s="193">
        <v>0</v>
      </c>
      <c r="AC226" s="123"/>
      <c r="AD226" s="4"/>
      <c r="AE226" s="4"/>
      <c r="AF226" s="4"/>
      <c r="AG226" s="4"/>
      <c r="AH226" s="4" t="str">
        <f>"   " &amp; TEXT(AB226,"#0.00%") &amp; " " &amp; "Shinhan,IBK-KFTC" &amp; "(Max,Pralhad)" &amp; " " &amp; IF(M226="","",TEXT(M226,"M/D-")) &amp; IF(N226="","",TEXT(N226,"M/D")) &amp; " "</f>
        <v xml:space="preserve">   0.00% Shinhan,IBK-KFTC(Max,Pralhad) 8/8-8/8 </v>
      </c>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row>
    <row r="227" spans="1:98" outlineLevel="1">
      <c r="A227" s="116"/>
      <c r="B227" s="116"/>
      <c r="C227" s="116">
        <v>2</v>
      </c>
      <c r="D227" s="3" t="s">
        <v>1296</v>
      </c>
      <c r="E227" s="184"/>
      <c r="F227" s="217" t="s">
        <v>1167</v>
      </c>
      <c r="G227" s="184"/>
      <c r="H227" s="184"/>
      <c r="I227" s="184"/>
      <c r="J227" s="184"/>
      <c r="K227" s="184"/>
      <c r="L227" s="184"/>
      <c r="M227" s="185">
        <v>43698</v>
      </c>
      <c r="N227" s="185">
        <v>43698</v>
      </c>
      <c r="O227" s="186"/>
      <c r="P227" s="187">
        <v>1</v>
      </c>
      <c r="Q227" s="187">
        <v>0</v>
      </c>
      <c r="R227" s="188">
        <v>1</v>
      </c>
      <c r="S227" s="188">
        <v>0</v>
      </c>
      <c r="T227" s="185"/>
      <c r="U227" s="185"/>
      <c r="V227" s="189"/>
      <c r="W227" s="190">
        <v>0</v>
      </c>
      <c r="X227" s="191">
        <v>1</v>
      </c>
      <c r="Y227" s="186" t="s">
        <v>1366</v>
      </c>
      <c r="Z227" s="192"/>
      <c r="AA227" s="97">
        <v>0</v>
      </c>
      <c r="AB227" s="193">
        <v>0</v>
      </c>
      <c r="AC227" s="123"/>
      <c r="AD227" s="4"/>
      <c r="AE227" s="4"/>
      <c r="AF227" s="4"/>
      <c r="AG227" s="4"/>
      <c r="AH227" s="4"/>
      <c r="AI227" s="4"/>
      <c r="AJ227" s="4" t="str">
        <f>"  " &amp; TEXT(AB227,"#0.00%") &amp; " " &amp; "Agrani bank/Islami bank add to new app" &amp; "(Max,Pralhad)" &amp; " " &amp; IF(M227="","",TEXT(M227,"M/D-")) &amp; IF(N227="","",TEXT(N227,"M/D")) &amp; " "</f>
        <v xml:space="preserve">  0.00% Agrani bank/Islami bank add to new app(Max,Pralhad) 8/21-8/21 </v>
      </c>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row>
    <row r="228" spans="1:98" outlineLevel="1">
      <c r="A228" s="116"/>
      <c r="B228" s="116"/>
      <c r="C228" s="116">
        <v>2</v>
      </c>
      <c r="D228" s="3" t="s">
        <v>1297</v>
      </c>
      <c r="E228" s="184"/>
      <c r="F228" s="217" t="s">
        <v>1168</v>
      </c>
      <c r="G228" s="184"/>
      <c r="H228" s="184"/>
      <c r="I228" s="184"/>
      <c r="J228" s="184"/>
      <c r="K228" s="184"/>
      <c r="L228" s="184"/>
      <c r="M228" s="185"/>
      <c r="N228" s="185"/>
      <c r="O228" s="186"/>
      <c r="P228" s="187">
        <v>0</v>
      </c>
      <c r="Q228" s="187">
        <v>0</v>
      </c>
      <c r="R228" s="188">
        <v>0</v>
      </c>
      <c r="S228" s="188">
        <v>0</v>
      </c>
      <c r="T228" s="185"/>
      <c r="U228" s="185"/>
      <c r="V228" s="189">
        <v>0</v>
      </c>
      <c r="W228" s="190">
        <v>0</v>
      </c>
      <c r="X228" s="191"/>
      <c r="Y228" s="186" t="s">
        <v>1366</v>
      </c>
      <c r="Z228" s="192"/>
      <c r="AA228" s="97">
        <v>0</v>
      </c>
      <c r="AB228" s="193">
        <v>0</v>
      </c>
      <c r="AC228" s="123"/>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row>
    <row r="229" spans="1:98" outlineLevel="1">
      <c r="A229" s="116"/>
      <c r="B229" s="116"/>
      <c r="C229" s="116">
        <v>2</v>
      </c>
      <c r="D229" s="3" t="s">
        <v>1298</v>
      </c>
      <c r="E229" s="184"/>
      <c r="F229" s="217" t="s">
        <v>1169</v>
      </c>
      <c r="G229" s="184"/>
      <c r="H229" s="184"/>
      <c r="I229" s="184"/>
      <c r="J229" s="184"/>
      <c r="K229" s="184"/>
      <c r="L229" s="184"/>
      <c r="M229" s="185">
        <v>43676</v>
      </c>
      <c r="N229" s="185">
        <v>43676</v>
      </c>
      <c r="O229" s="186"/>
      <c r="P229" s="187">
        <v>1</v>
      </c>
      <c r="Q229" s="187">
        <v>0</v>
      </c>
      <c r="R229" s="188">
        <v>1</v>
      </c>
      <c r="S229" s="188">
        <v>0</v>
      </c>
      <c r="T229" s="185"/>
      <c r="U229" s="185"/>
      <c r="V229" s="189"/>
      <c r="W229" s="190">
        <v>0</v>
      </c>
      <c r="X229" s="191">
        <v>1</v>
      </c>
      <c r="Y229" s="186" t="s">
        <v>1366</v>
      </c>
      <c r="Z229" s="192"/>
      <c r="AA229" s="97">
        <v>0</v>
      </c>
      <c r="AB229" s="193">
        <v>0</v>
      </c>
      <c r="AC229" s="123"/>
      <c r="AD229" s="4"/>
      <c r="AE229" s="4"/>
      <c r="AF229" s="4"/>
      <c r="AG229" s="4" t="str">
        <f>" " &amp; TEXT(AB229,"#0.00%") &amp; " " &amp; "Registration logic" &amp; "(Max,Pralhad)" &amp; " " &amp; IF(M229="","",TEXT(M229,"M/D-")) &amp; IF(N229="","",TEXT(N229,"M/D")) &amp; " "</f>
        <v xml:space="preserve"> 0.00% Registration logic(Max,Pralhad) 7/30-7/30 </v>
      </c>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row>
    <row r="230" spans="1:98" outlineLevel="1">
      <c r="A230" s="116"/>
      <c r="B230" s="116"/>
      <c r="C230" s="116">
        <v>2</v>
      </c>
      <c r="D230" s="3" t="s">
        <v>1299</v>
      </c>
      <c r="E230" s="184"/>
      <c r="F230" s="217" t="s">
        <v>1363</v>
      </c>
      <c r="G230" s="184"/>
      <c r="H230" s="184"/>
      <c r="I230" s="184"/>
      <c r="J230" s="184"/>
      <c r="K230" s="184"/>
      <c r="L230" s="184"/>
      <c r="M230" s="185">
        <v>43676</v>
      </c>
      <c r="N230" s="185">
        <v>43676</v>
      </c>
      <c r="O230" s="186"/>
      <c r="P230" s="187">
        <v>1</v>
      </c>
      <c r="Q230" s="187">
        <v>0</v>
      </c>
      <c r="R230" s="188">
        <v>1</v>
      </c>
      <c r="S230" s="188">
        <v>0</v>
      </c>
      <c r="T230" s="185"/>
      <c r="U230" s="185"/>
      <c r="V230" s="189"/>
      <c r="W230" s="190">
        <v>0</v>
      </c>
      <c r="X230" s="191">
        <v>1</v>
      </c>
      <c r="Y230" s="186" t="s">
        <v>1366</v>
      </c>
      <c r="Z230" s="192"/>
      <c r="AA230" s="97">
        <v>0</v>
      </c>
      <c r="AB230" s="193">
        <v>0</v>
      </c>
      <c r="AC230" s="123"/>
      <c r="AD230" s="4"/>
      <c r="AE230" s="4"/>
      <c r="AF230" s="4"/>
      <c r="AG230" s="4" t="str">
        <f>" " &amp; TEXT(AB230,"#0.00%") &amp; " " &amp; "Calculate in first screen" &amp; "(Max,Pralhad)" &amp; " " &amp; IF(M230="","",TEXT(M230,"M/D-")) &amp; IF(N230="","",TEXT(N230,"M/D")) &amp; " "</f>
        <v xml:space="preserve"> 0.00% Calculate in first screen(Max,Pralhad) 7/30-7/30 </v>
      </c>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row>
    <row r="231" spans="1:98" outlineLevel="1">
      <c r="A231" s="116"/>
      <c r="B231" s="116"/>
      <c r="C231" s="116">
        <v>2</v>
      </c>
      <c r="D231" s="3" t="s">
        <v>1300</v>
      </c>
      <c r="E231" s="184"/>
      <c r="F231" s="217" t="s">
        <v>1170</v>
      </c>
      <c r="G231" s="184"/>
      <c r="H231" s="184"/>
      <c r="I231" s="184"/>
      <c r="J231" s="184"/>
      <c r="K231" s="184"/>
      <c r="L231" s="184"/>
      <c r="M231" s="185">
        <v>43676</v>
      </c>
      <c r="N231" s="185">
        <v>43676</v>
      </c>
      <c r="O231" s="186"/>
      <c r="P231" s="187">
        <v>1</v>
      </c>
      <c r="Q231" s="187">
        <v>0</v>
      </c>
      <c r="R231" s="188">
        <v>1</v>
      </c>
      <c r="S231" s="188">
        <v>0</v>
      </c>
      <c r="T231" s="185"/>
      <c r="U231" s="185"/>
      <c r="V231" s="189"/>
      <c r="W231" s="190">
        <v>0</v>
      </c>
      <c r="X231" s="191">
        <v>1</v>
      </c>
      <c r="Y231" s="186" t="s">
        <v>1366</v>
      </c>
      <c r="Z231" s="192"/>
      <c r="AA231" s="97">
        <v>0</v>
      </c>
      <c r="AB231" s="193">
        <v>0</v>
      </c>
      <c r="AC231" s="123"/>
      <c r="AD231" s="4"/>
      <c r="AE231" s="4"/>
      <c r="AF231" s="4"/>
      <c r="AG231" s="4" t="str">
        <f>" " &amp; TEXT(AB231,"#0.00%") &amp; " " &amp; "Dynamic receiver setup" &amp; "(Max,Pralhad)" &amp; " " &amp; IF(M231="","",TEXT(M231,"M/D-")) &amp; IF(N231="","",TEXT(N231,"M/D")) &amp; " "</f>
        <v xml:space="preserve"> 0.00% Dynamic receiver setup(Max,Pralhad) 7/30-7/30 </v>
      </c>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row>
    <row r="232" spans="1:98" outlineLevel="1">
      <c r="A232" s="116"/>
      <c r="B232" s="116"/>
      <c r="C232" s="116">
        <v>2</v>
      </c>
      <c r="D232" s="3" t="s">
        <v>1301</v>
      </c>
      <c r="E232" s="184"/>
      <c r="F232" s="217" t="s">
        <v>1171</v>
      </c>
      <c r="G232" s="184"/>
      <c r="H232" s="184"/>
      <c r="I232" s="184"/>
      <c r="J232" s="184"/>
      <c r="K232" s="184"/>
      <c r="L232" s="184"/>
      <c r="M232" s="185">
        <v>43676</v>
      </c>
      <c r="N232" s="185">
        <v>43676</v>
      </c>
      <c r="O232" s="186"/>
      <c r="P232" s="187">
        <v>1</v>
      </c>
      <c r="Q232" s="187">
        <v>0</v>
      </c>
      <c r="R232" s="188">
        <v>1</v>
      </c>
      <c r="S232" s="188">
        <v>0</v>
      </c>
      <c r="T232" s="185"/>
      <c r="U232" s="185"/>
      <c r="V232" s="189"/>
      <c r="W232" s="190">
        <v>0</v>
      </c>
      <c r="X232" s="191">
        <v>1</v>
      </c>
      <c r="Y232" s="186" t="s">
        <v>1366</v>
      </c>
      <c r="Z232" s="192"/>
      <c r="AA232" s="97">
        <v>0</v>
      </c>
      <c r="AB232" s="193">
        <v>0</v>
      </c>
      <c r="AC232" s="123"/>
      <c r="AD232" s="4"/>
      <c r="AE232" s="4"/>
      <c r="AF232" s="4"/>
      <c r="AG232" s="4" t="str">
        <f>" " &amp; TEXT(AB232,"#0.00%") &amp; " " &amp; "Send Txn process same as web" &amp; "(Max,Pralhad)" &amp; " " &amp; IF(M232="","",TEXT(M232,"M/D-")) &amp; IF(N232="","",TEXT(N232,"M/D")) &amp; " "</f>
        <v xml:space="preserve"> 0.00% Send Txn process same as web(Max,Pralhad) 7/30-7/30 </v>
      </c>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row>
    <row r="233" spans="1:98" outlineLevel="1">
      <c r="A233" s="116"/>
      <c r="B233" s="116"/>
      <c r="C233" s="116">
        <v>2</v>
      </c>
      <c r="D233" s="3" t="s">
        <v>1302</v>
      </c>
      <c r="E233" s="184"/>
      <c r="F233" s="217" t="s">
        <v>1172</v>
      </c>
      <c r="G233" s="184"/>
      <c r="H233" s="184"/>
      <c r="I233" s="184"/>
      <c r="J233" s="184"/>
      <c r="K233" s="184"/>
      <c r="L233" s="184"/>
      <c r="M233" s="185">
        <v>43676</v>
      </c>
      <c r="N233" s="185">
        <v>43676</v>
      </c>
      <c r="O233" s="186"/>
      <c r="P233" s="187">
        <v>1</v>
      </c>
      <c r="Q233" s="187">
        <v>0</v>
      </c>
      <c r="R233" s="188">
        <v>1</v>
      </c>
      <c r="S233" s="188">
        <v>0</v>
      </c>
      <c r="T233" s="185"/>
      <c r="U233" s="185"/>
      <c r="V233" s="189"/>
      <c r="W233" s="190">
        <v>0</v>
      </c>
      <c r="X233" s="191">
        <v>1</v>
      </c>
      <c r="Y233" s="186" t="s">
        <v>1366</v>
      </c>
      <c r="Z233" s="192"/>
      <c r="AA233" s="97">
        <v>0</v>
      </c>
      <c r="AB233" s="193">
        <v>0</v>
      </c>
      <c r="AC233" s="123"/>
      <c r="AD233" s="4"/>
      <c r="AE233" s="4"/>
      <c r="AF233" s="4"/>
      <c r="AG233" s="4" t="str">
        <f>" " &amp; TEXT(AB233,"#0.00%") &amp; " " &amp; "Resend method not to check anything" &amp; "(Max,Pralhad)" &amp; " " &amp; IF(M233="","",TEXT(M233,"M/D-")) &amp; IF(N233="","",TEXT(N233,"M/D")) &amp; " "</f>
        <v xml:space="preserve"> 0.00% Resend method not to check anything(Max,Pralhad) 7/30-7/30 </v>
      </c>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row>
    <row r="234" spans="1:98" outlineLevel="1">
      <c r="A234" s="116"/>
      <c r="B234" s="116"/>
      <c r="C234" s="116">
        <v>2</v>
      </c>
      <c r="D234" s="3" t="s">
        <v>1303</v>
      </c>
      <c r="E234" s="184"/>
      <c r="F234" s="217" t="s">
        <v>1173</v>
      </c>
      <c r="G234" s="184"/>
      <c r="H234" s="184"/>
      <c r="I234" s="184"/>
      <c r="J234" s="184"/>
      <c r="K234" s="184"/>
      <c r="L234" s="184"/>
      <c r="M234" s="185"/>
      <c r="N234" s="185"/>
      <c r="O234" s="186"/>
      <c r="P234" s="187">
        <v>0</v>
      </c>
      <c r="Q234" s="187">
        <v>0</v>
      </c>
      <c r="R234" s="188"/>
      <c r="S234" s="188"/>
      <c r="T234" s="185"/>
      <c r="U234" s="185"/>
      <c r="V234" s="189">
        <v>0</v>
      </c>
      <c r="W234" s="190"/>
      <c r="X234" s="191"/>
      <c r="Y234" s="186" t="s">
        <v>1365</v>
      </c>
      <c r="Z234" s="192"/>
      <c r="AA234" s="97">
        <v>0</v>
      </c>
      <c r="AB234" s="193">
        <v>0</v>
      </c>
      <c r="AC234" s="123"/>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row>
    <row r="235" spans="1:98" outlineLevel="1">
      <c r="A235" s="116"/>
      <c r="B235" s="116"/>
      <c r="C235" s="116">
        <v>2</v>
      </c>
      <c r="D235" s="3" t="s">
        <v>1304</v>
      </c>
      <c r="E235" s="184"/>
      <c r="F235" s="217" t="s">
        <v>1174</v>
      </c>
      <c r="G235" s="184"/>
      <c r="H235" s="184"/>
      <c r="I235" s="184"/>
      <c r="J235" s="184"/>
      <c r="K235" s="184"/>
      <c r="L235" s="184"/>
      <c r="M235" s="185"/>
      <c r="N235" s="185"/>
      <c r="O235" s="186"/>
      <c r="P235" s="187">
        <v>0</v>
      </c>
      <c r="Q235" s="187">
        <v>0</v>
      </c>
      <c r="R235" s="188"/>
      <c r="S235" s="188"/>
      <c r="T235" s="185"/>
      <c r="U235" s="185"/>
      <c r="V235" s="189">
        <v>0</v>
      </c>
      <c r="W235" s="190"/>
      <c r="X235" s="191"/>
      <c r="Y235" s="186" t="s">
        <v>1366</v>
      </c>
      <c r="Z235" s="192"/>
      <c r="AA235" s="97">
        <v>0</v>
      </c>
      <c r="AB235" s="193">
        <v>0</v>
      </c>
      <c r="AC235" s="123"/>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row>
    <row r="236" spans="1:98">
      <c r="A236" s="194"/>
      <c r="B236" s="194"/>
      <c r="C236" s="194"/>
      <c r="D236" s="195"/>
      <c r="E236" s="196"/>
      <c r="F236" s="196"/>
      <c r="G236" s="196"/>
      <c r="H236" s="196"/>
      <c r="I236" s="196"/>
      <c r="J236" s="196"/>
      <c r="K236" s="196"/>
      <c r="L236" s="196"/>
      <c r="M236" s="197"/>
      <c r="N236" s="197"/>
      <c r="O236" s="198"/>
      <c r="P236" s="199"/>
      <c r="Q236" s="199"/>
      <c r="R236" s="200"/>
      <c r="S236" s="200"/>
      <c r="T236" s="197"/>
      <c r="U236" s="197"/>
      <c r="V236" s="201"/>
      <c r="W236" s="202"/>
      <c r="X236" s="203"/>
      <c r="Y236" s="198"/>
      <c r="Z236" s="204"/>
      <c r="AA236" s="205"/>
      <c r="AB236" s="206"/>
      <c r="AC236" s="182"/>
      <c r="AD236" s="182"/>
      <c r="AE236" s="182"/>
      <c r="AF236" s="182"/>
      <c r="AG236" s="182"/>
      <c r="AH236" s="182"/>
      <c r="AI236" s="182"/>
      <c r="AJ236" s="182"/>
      <c r="AK236" s="182"/>
      <c r="AL236" s="182"/>
      <c r="AM236" s="182"/>
      <c r="AN236" s="182"/>
      <c r="AO236" s="182"/>
      <c r="AP236" s="182"/>
      <c r="AQ236" s="182"/>
      <c r="AR236" s="182"/>
      <c r="AS236" s="182"/>
      <c r="AT236" s="182"/>
      <c r="AU236" s="182"/>
      <c r="AV236" s="182"/>
      <c r="AW236" s="182"/>
      <c r="AX236" s="182"/>
      <c r="AY236" s="182"/>
      <c r="AZ236" s="182"/>
      <c r="BA236" s="182"/>
      <c r="BB236" s="182"/>
      <c r="BC236" s="182"/>
      <c r="BD236" s="182"/>
      <c r="BE236" s="182"/>
      <c r="BF236" s="182"/>
      <c r="BG236" s="182"/>
      <c r="BH236" s="182"/>
      <c r="BI236" s="182"/>
      <c r="BJ236" s="182"/>
      <c r="BK236" s="182"/>
      <c r="BL236" s="182"/>
      <c r="BM236" s="182"/>
      <c r="BN236" s="182"/>
      <c r="BO236" s="182"/>
      <c r="BP236" s="182"/>
      <c r="BQ236" s="182"/>
      <c r="BR236" s="182"/>
      <c r="BS236" s="182"/>
      <c r="BT236" s="182"/>
      <c r="BU236" s="182"/>
      <c r="BV236" s="182"/>
      <c r="BW236" s="182"/>
      <c r="BX236" s="182"/>
      <c r="BY236" s="182"/>
      <c r="BZ236" s="182"/>
      <c r="CA236" s="182"/>
      <c r="CB236" s="182"/>
      <c r="CC236" s="182"/>
      <c r="CD236" s="182"/>
      <c r="CE236" s="182"/>
      <c r="CF236" s="182"/>
      <c r="CG236" s="182"/>
      <c r="CH236" s="182"/>
      <c r="CI236" s="182"/>
      <c r="CJ236" s="182"/>
      <c r="CK236" s="182"/>
      <c r="CL236" s="182"/>
      <c r="CM236" s="182"/>
      <c r="CN236" s="182"/>
      <c r="CO236" s="182"/>
      <c r="CP236" s="182"/>
      <c r="CQ236" s="182"/>
      <c r="CR236" s="182"/>
      <c r="CS236" s="182"/>
      <c r="CT236" s="182"/>
    </row>
    <row r="237" spans="1:98">
      <c r="A237" s="116"/>
      <c r="B237" s="116"/>
      <c r="C237" s="116"/>
      <c r="D237" s="3"/>
      <c r="E237" s="184"/>
      <c r="F237" s="184"/>
      <c r="G237" s="184"/>
      <c r="H237" s="184"/>
      <c r="I237" s="184"/>
      <c r="J237" s="184"/>
      <c r="K237" s="184"/>
      <c r="L237" s="184"/>
      <c r="M237" s="185"/>
      <c r="N237" s="185"/>
      <c r="O237" s="186"/>
      <c r="P237" s="187"/>
      <c r="Q237" s="187"/>
      <c r="R237" s="188"/>
      <c r="S237" s="188"/>
      <c r="T237" s="185"/>
      <c r="U237" s="185"/>
      <c r="V237" s="189"/>
      <c r="W237" s="190"/>
      <c r="X237" s="191"/>
      <c r="Y237" s="186"/>
      <c r="Z237" s="192"/>
      <c r="AA237" s="97"/>
      <c r="AB237" s="193"/>
    </row>
    <row r="238" spans="1:98">
      <c r="A238" s="116"/>
      <c r="B238" s="116"/>
      <c r="C238" s="116"/>
      <c r="D238" s="3"/>
      <c r="E238" s="184"/>
      <c r="F238" s="184"/>
      <c r="G238" s="184"/>
      <c r="H238" s="184"/>
      <c r="I238" s="184"/>
      <c r="J238" s="184"/>
      <c r="K238" s="184"/>
      <c r="L238" s="184"/>
      <c r="M238" s="185"/>
      <c r="N238" s="185"/>
      <c r="O238" s="186"/>
      <c r="P238" s="187"/>
      <c r="Q238" s="187"/>
      <c r="R238" s="188"/>
      <c r="S238" s="188"/>
      <c r="T238" s="185"/>
      <c r="U238" s="185"/>
      <c r="V238" s="189"/>
      <c r="W238" s="190"/>
      <c r="X238" s="191"/>
      <c r="Y238" s="186"/>
      <c r="Z238" s="192"/>
      <c r="AA238" s="97"/>
      <c r="AB238" s="193"/>
    </row>
    <row r="239" spans="1:98">
      <c r="A239" s="116"/>
      <c r="B239" s="116"/>
      <c r="C239" s="116"/>
      <c r="D239" s="3"/>
      <c r="E239" s="184"/>
      <c r="F239" s="184"/>
      <c r="G239" s="184"/>
      <c r="H239" s="184"/>
      <c r="I239" s="184"/>
      <c r="J239" s="184"/>
      <c r="K239" s="184"/>
      <c r="L239" s="184"/>
      <c r="M239" s="185"/>
      <c r="N239" s="185"/>
      <c r="O239" s="186"/>
      <c r="P239" s="187"/>
      <c r="Q239" s="187"/>
      <c r="R239" s="188"/>
      <c r="S239" s="188"/>
      <c r="T239" s="185"/>
      <c r="U239" s="185"/>
      <c r="V239" s="189"/>
      <c r="W239" s="190"/>
      <c r="X239" s="191"/>
      <c r="Y239" s="186"/>
      <c r="Z239" s="192"/>
      <c r="AA239" s="97"/>
      <c r="AB239" s="193"/>
    </row>
    <row r="240" spans="1:98">
      <c r="A240" s="116"/>
      <c r="B240" s="116"/>
      <c r="C240" s="116"/>
      <c r="D240" s="3"/>
      <c r="E240" s="184"/>
      <c r="F240" s="184"/>
      <c r="G240" s="184"/>
      <c r="H240" s="184"/>
      <c r="I240" s="184"/>
      <c r="J240" s="184"/>
      <c r="K240" s="184"/>
      <c r="L240" s="184"/>
      <c r="M240" s="185"/>
      <c r="N240" s="185"/>
      <c r="O240" s="186"/>
      <c r="P240" s="187"/>
      <c r="Q240" s="187"/>
      <c r="R240" s="188"/>
      <c r="S240" s="188"/>
      <c r="T240" s="185"/>
      <c r="U240" s="185"/>
      <c r="V240" s="189"/>
      <c r="W240" s="190"/>
      <c r="X240" s="191"/>
      <c r="Y240" s="186"/>
      <c r="Z240" s="192"/>
      <c r="AA240" s="97"/>
      <c r="AB240" s="193"/>
    </row>
    <row r="241" spans="1:28">
      <c r="A241" s="116"/>
      <c r="B241" s="116"/>
      <c r="C241" s="116"/>
      <c r="D241" s="3"/>
      <c r="E241" s="184"/>
      <c r="F241" s="184"/>
      <c r="G241" s="184"/>
      <c r="H241" s="184"/>
      <c r="I241" s="184"/>
      <c r="J241" s="184"/>
      <c r="K241" s="184"/>
      <c r="L241" s="184"/>
      <c r="M241" s="185"/>
      <c r="N241" s="185"/>
      <c r="O241" s="186"/>
      <c r="P241" s="187"/>
      <c r="Q241" s="187"/>
      <c r="R241" s="188"/>
      <c r="S241" s="188"/>
      <c r="T241" s="185"/>
      <c r="U241" s="185"/>
      <c r="V241" s="189"/>
      <c r="W241" s="190"/>
      <c r="X241" s="191"/>
      <c r="Y241" s="186"/>
      <c r="Z241" s="192"/>
      <c r="AA241" s="97"/>
      <c r="AB241" s="193"/>
    </row>
    <row r="242" spans="1:28">
      <c r="A242" s="116"/>
      <c r="B242" s="116"/>
      <c r="C242" s="116"/>
      <c r="D242" s="3"/>
      <c r="E242" s="184"/>
      <c r="F242" s="184"/>
      <c r="G242" s="184"/>
      <c r="H242" s="184"/>
      <c r="I242" s="184"/>
      <c r="J242" s="184"/>
      <c r="K242" s="184"/>
      <c r="L242" s="184"/>
      <c r="M242" s="185"/>
      <c r="N242" s="185"/>
      <c r="O242" s="186"/>
      <c r="P242" s="187"/>
      <c r="Q242" s="187"/>
      <c r="R242" s="188"/>
      <c r="S242" s="188"/>
      <c r="T242" s="185"/>
      <c r="U242" s="185"/>
      <c r="V242" s="189"/>
      <c r="W242" s="190"/>
      <c r="X242" s="191"/>
      <c r="Y242" s="186"/>
      <c r="Z242" s="192"/>
      <c r="AA242" s="97"/>
      <c r="AB242" s="193"/>
    </row>
    <row r="243" spans="1:28">
      <c r="A243" s="116"/>
      <c r="B243" s="116"/>
      <c r="C243" s="116"/>
      <c r="D243" s="3"/>
      <c r="E243" s="184"/>
      <c r="F243" s="184"/>
      <c r="G243" s="184"/>
      <c r="H243" s="184"/>
      <c r="I243" s="184"/>
      <c r="J243" s="184"/>
      <c r="K243" s="184"/>
      <c r="L243" s="184"/>
      <c r="M243" s="185"/>
      <c r="N243" s="185"/>
      <c r="O243" s="186"/>
      <c r="P243" s="187"/>
      <c r="Q243" s="187"/>
      <c r="R243" s="188"/>
      <c r="S243" s="188"/>
      <c r="T243" s="185"/>
      <c r="U243" s="185"/>
      <c r="V243" s="189"/>
      <c r="W243" s="190"/>
      <c r="X243" s="191"/>
      <c r="Y243" s="186"/>
      <c r="Z243" s="192"/>
      <c r="AA243" s="97"/>
      <c r="AB243" s="193"/>
    </row>
    <row r="244" spans="1:28">
      <c r="A244" s="116"/>
      <c r="B244" s="116"/>
      <c r="C244" s="116"/>
      <c r="D244" s="3"/>
      <c r="E244" s="184"/>
      <c r="F244" s="184"/>
      <c r="G244" s="184"/>
      <c r="H244" s="184"/>
      <c r="I244" s="184"/>
      <c r="J244" s="184"/>
      <c r="K244" s="184"/>
      <c r="L244" s="184"/>
      <c r="M244" s="185"/>
      <c r="N244" s="185"/>
      <c r="O244" s="186"/>
      <c r="P244" s="187"/>
      <c r="Q244" s="187"/>
      <c r="R244" s="188"/>
      <c r="S244" s="188"/>
      <c r="T244" s="185"/>
      <c r="U244" s="185"/>
      <c r="V244" s="189"/>
      <c r="W244" s="190"/>
      <c r="X244" s="191"/>
      <c r="Y244" s="186"/>
      <c r="Z244" s="192"/>
      <c r="AA244" s="97"/>
      <c r="AB244" s="193"/>
    </row>
    <row r="245" spans="1:28">
      <c r="A245" s="116"/>
      <c r="B245" s="116"/>
      <c r="C245" s="116"/>
      <c r="D245" s="3"/>
      <c r="E245" s="184"/>
      <c r="F245" s="184"/>
      <c r="G245" s="184"/>
      <c r="H245" s="184"/>
      <c r="I245" s="184"/>
      <c r="J245" s="184"/>
      <c r="K245" s="184"/>
      <c r="L245" s="184"/>
      <c r="M245" s="185"/>
      <c r="N245" s="185"/>
      <c r="O245" s="186"/>
      <c r="P245" s="187"/>
      <c r="Q245" s="187"/>
      <c r="R245" s="188"/>
      <c r="S245" s="188"/>
      <c r="T245" s="185"/>
      <c r="U245" s="185"/>
      <c r="V245" s="189"/>
      <c r="W245" s="190"/>
      <c r="X245" s="191"/>
      <c r="Y245" s="186"/>
      <c r="Z245" s="192"/>
      <c r="AA245" s="97"/>
      <c r="AB245" s="193"/>
    </row>
    <row r="246" spans="1:28">
      <c r="A246" s="116"/>
      <c r="B246" s="116"/>
      <c r="C246" s="116"/>
      <c r="D246" s="3"/>
      <c r="E246" s="184"/>
      <c r="F246" s="184"/>
      <c r="G246" s="184"/>
      <c r="H246" s="184"/>
      <c r="I246" s="184"/>
      <c r="J246" s="184"/>
      <c r="K246" s="184"/>
      <c r="L246" s="184"/>
      <c r="M246" s="185"/>
      <c r="N246" s="185"/>
      <c r="O246" s="186"/>
      <c r="P246" s="187"/>
      <c r="Q246" s="187"/>
      <c r="R246" s="188"/>
      <c r="S246" s="188"/>
      <c r="T246" s="185"/>
      <c r="U246" s="185"/>
      <c r="V246" s="189"/>
      <c r="W246" s="190"/>
      <c r="X246" s="191"/>
      <c r="Y246" s="186"/>
      <c r="Z246" s="192"/>
      <c r="AA246" s="97"/>
      <c r="AB246" s="193"/>
    </row>
    <row r="247" spans="1:28">
      <c r="A247" s="116"/>
      <c r="B247" s="116"/>
      <c r="C247" s="116"/>
      <c r="D247" s="3"/>
      <c r="E247" s="184"/>
      <c r="F247" s="184"/>
      <c r="G247" s="184"/>
      <c r="H247" s="184"/>
      <c r="I247" s="184"/>
      <c r="J247" s="184"/>
      <c r="K247" s="184"/>
      <c r="L247" s="184"/>
      <c r="M247" s="185"/>
      <c r="N247" s="185"/>
      <c r="O247" s="186"/>
      <c r="P247" s="187"/>
      <c r="Q247" s="187"/>
      <c r="R247" s="188"/>
      <c r="S247" s="188"/>
      <c r="T247" s="185"/>
      <c r="U247" s="185"/>
      <c r="V247" s="189"/>
      <c r="W247" s="190"/>
      <c r="X247" s="191"/>
      <c r="Y247" s="186"/>
      <c r="Z247" s="192"/>
      <c r="AA247" s="97"/>
      <c r="AB247" s="193"/>
    </row>
    <row r="248" spans="1:28">
      <c r="A248" s="116"/>
      <c r="B248" s="116"/>
      <c r="C248" s="116"/>
      <c r="D248" s="3"/>
      <c r="E248" s="184"/>
      <c r="F248" s="184"/>
      <c r="G248" s="184"/>
      <c r="H248" s="184"/>
      <c r="I248" s="184"/>
      <c r="J248" s="184"/>
      <c r="K248" s="184"/>
      <c r="L248" s="184"/>
      <c r="M248" s="185"/>
      <c r="N248" s="185"/>
      <c r="O248" s="186"/>
      <c r="P248" s="187"/>
      <c r="Q248" s="187"/>
      <c r="R248" s="188"/>
      <c r="S248" s="188"/>
      <c r="T248" s="185"/>
      <c r="U248" s="185"/>
      <c r="V248" s="189"/>
      <c r="W248" s="190"/>
      <c r="X248" s="191"/>
      <c r="Y248" s="186"/>
      <c r="Z248" s="192"/>
      <c r="AA248" s="97"/>
      <c r="AB248" s="193"/>
    </row>
    <row r="249" spans="1:28">
      <c r="A249" s="116"/>
      <c r="B249" s="116"/>
      <c r="C249" s="116"/>
      <c r="D249" s="3"/>
      <c r="E249" s="184"/>
      <c r="F249" s="184"/>
      <c r="G249" s="184"/>
      <c r="H249" s="184"/>
      <c r="I249" s="184"/>
      <c r="J249" s="184"/>
      <c r="K249" s="184"/>
      <c r="L249" s="184"/>
      <c r="M249" s="185"/>
      <c r="N249" s="185"/>
      <c r="O249" s="186"/>
      <c r="P249" s="187"/>
      <c r="Q249" s="187"/>
      <c r="R249" s="188"/>
      <c r="S249" s="188"/>
      <c r="T249" s="185"/>
      <c r="U249" s="185"/>
      <c r="V249" s="189"/>
      <c r="W249" s="190"/>
      <c r="X249" s="191"/>
      <c r="Y249" s="186"/>
      <c r="Z249" s="192"/>
      <c r="AA249" s="97"/>
      <c r="AB249" s="193"/>
    </row>
    <row r="250" spans="1:28">
      <c r="A250" s="116"/>
      <c r="B250" s="116"/>
      <c r="C250" s="116"/>
      <c r="D250" s="3"/>
      <c r="E250" s="184"/>
      <c r="F250" s="184"/>
      <c r="G250" s="184"/>
      <c r="H250" s="184"/>
      <c r="I250" s="184"/>
      <c r="J250" s="184"/>
      <c r="K250" s="184"/>
      <c r="L250" s="184"/>
      <c r="M250" s="185"/>
      <c r="N250" s="185"/>
      <c r="O250" s="186"/>
      <c r="P250" s="187"/>
      <c r="Q250" s="187"/>
      <c r="R250" s="188"/>
      <c r="S250" s="188"/>
      <c r="T250" s="185"/>
      <c r="U250" s="185"/>
      <c r="V250" s="189"/>
      <c r="W250" s="190"/>
      <c r="X250" s="191"/>
      <c r="Y250" s="186"/>
      <c r="Z250" s="192"/>
      <c r="AA250" s="97"/>
      <c r="AB250" s="193"/>
    </row>
    <row r="251" spans="1:28">
      <c r="A251" s="116"/>
      <c r="B251" s="116"/>
      <c r="C251" s="116"/>
      <c r="D251" s="3"/>
      <c r="E251" s="184"/>
      <c r="F251" s="184"/>
      <c r="G251" s="184"/>
      <c r="H251" s="184"/>
      <c r="I251" s="184"/>
      <c r="J251" s="184"/>
      <c r="K251" s="184"/>
      <c r="L251" s="184"/>
      <c r="M251" s="185"/>
      <c r="N251" s="185"/>
      <c r="O251" s="186"/>
      <c r="P251" s="187"/>
      <c r="Q251" s="187"/>
      <c r="R251" s="188"/>
      <c r="S251" s="188"/>
      <c r="T251" s="185"/>
      <c r="U251" s="185"/>
      <c r="V251" s="189"/>
      <c r="W251" s="190"/>
      <c r="X251" s="191"/>
      <c r="Y251" s="186"/>
      <c r="Z251" s="192"/>
      <c r="AA251" s="97"/>
      <c r="AB251" s="193"/>
    </row>
    <row r="252" spans="1:28">
      <c r="A252" s="116"/>
      <c r="B252" s="116"/>
      <c r="C252" s="116"/>
      <c r="D252" s="3"/>
      <c r="E252" s="184"/>
      <c r="F252" s="184"/>
      <c r="G252" s="184"/>
      <c r="H252" s="184"/>
      <c r="I252" s="184"/>
      <c r="J252" s="184"/>
      <c r="K252" s="184"/>
      <c r="L252" s="184"/>
      <c r="M252" s="185"/>
      <c r="N252" s="185"/>
      <c r="O252" s="186"/>
      <c r="P252" s="187"/>
      <c r="Q252" s="187"/>
      <c r="R252" s="188"/>
      <c r="S252" s="188"/>
      <c r="T252" s="185"/>
      <c r="U252" s="185"/>
      <c r="V252" s="189"/>
      <c r="W252" s="190"/>
      <c r="X252" s="191"/>
      <c r="Y252" s="186"/>
      <c r="Z252" s="192"/>
      <c r="AA252" s="97"/>
      <c r="AB252" s="193"/>
    </row>
    <row r="253" spans="1:28">
      <c r="A253" s="116"/>
      <c r="B253" s="116"/>
      <c r="C253" s="116"/>
      <c r="D253" s="3"/>
      <c r="E253" s="184"/>
      <c r="F253" s="184"/>
      <c r="G253" s="184"/>
      <c r="H253" s="184"/>
      <c r="I253" s="184"/>
      <c r="J253" s="184"/>
      <c r="K253" s="184"/>
      <c r="L253" s="184"/>
      <c r="M253" s="185"/>
      <c r="N253" s="185"/>
      <c r="O253" s="186"/>
      <c r="P253" s="187"/>
      <c r="Q253" s="187"/>
      <c r="R253" s="188"/>
      <c r="S253" s="188"/>
      <c r="T253" s="185"/>
      <c r="U253" s="185"/>
      <c r="V253" s="189"/>
      <c r="W253" s="190"/>
      <c r="X253" s="191"/>
      <c r="Y253" s="186"/>
      <c r="Z253" s="192"/>
      <c r="AA253" s="97"/>
      <c r="AB253" s="193"/>
    </row>
    <row r="254" spans="1:28">
      <c r="A254" s="116"/>
      <c r="B254" s="116"/>
      <c r="C254" s="116"/>
      <c r="D254" s="3"/>
      <c r="E254" s="184"/>
      <c r="F254" s="184"/>
      <c r="G254" s="184"/>
      <c r="H254" s="184"/>
      <c r="I254" s="184"/>
      <c r="J254" s="184"/>
      <c r="K254" s="184"/>
      <c r="L254" s="184"/>
      <c r="M254" s="185"/>
      <c r="N254" s="185"/>
      <c r="O254" s="186"/>
      <c r="P254" s="187"/>
      <c r="Q254" s="187"/>
      <c r="R254" s="188"/>
      <c r="S254" s="188"/>
      <c r="T254" s="185"/>
      <c r="U254" s="185"/>
      <c r="V254" s="189"/>
      <c r="W254" s="190"/>
      <c r="X254" s="191"/>
      <c r="Y254" s="186"/>
      <c r="Z254" s="192"/>
      <c r="AA254" s="97"/>
      <c r="AB254" s="193"/>
    </row>
    <row r="255" spans="1:28">
      <c r="A255" s="116"/>
      <c r="B255" s="116"/>
      <c r="C255" s="116"/>
      <c r="D255" s="3"/>
      <c r="E255" s="184"/>
      <c r="F255" s="184"/>
      <c r="G255" s="184"/>
      <c r="H255" s="184"/>
      <c r="I255" s="184"/>
      <c r="J255" s="184"/>
      <c r="K255" s="184"/>
      <c r="L255" s="184"/>
      <c r="M255" s="185"/>
      <c r="N255" s="185"/>
      <c r="O255" s="186"/>
      <c r="P255" s="187"/>
      <c r="Q255" s="187"/>
      <c r="R255" s="188"/>
      <c r="S255" s="188"/>
      <c r="T255" s="185"/>
      <c r="U255" s="185"/>
      <c r="V255" s="189"/>
      <c r="W255" s="190"/>
      <c r="X255" s="191"/>
      <c r="Y255" s="186"/>
      <c r="Z255" s="192"/>
      <c r="AA255" s="97"/>
      <c r="AB255" s="193"/>
    </row>
    <row r="256" spans="1:28">
      <c r="A256" s="116"/>
      <c r="B256" s="116"/>
      <c r="C256" s="116"/>
      <c r="D256" s="3"/>
      <c r="E256" s="184"/>
      <c r="F256" s="184"/>
      <c r="G256" s="184"/>
      <c r="H256" s="184"/>
      <c r="I256" s="184"/>
      <c r="J256" s="184"/>
      <c r="K256" s="184"/>
      <c r="L256" s="184"/>
      <c r="M256" s="185"/>
      <c r="N256" s="185"/>
      <c r="O256" s="186"/>
      <c r="P256" s="187"/>
      <c r="Q256" s="187"/>
      <c r="R256" s="188"/>
      <c r="S256" s="188"/>
      <c r="T256" s="185"/>
      <c r="U256" s="185"/>
      <c r="V256" s="189"/>
      <c r="W256" s="190"/>
      <c r="X256" s="191"/>
      <c r="Y256" s="186"/>
      <c r="Z256" s="192"/>
      <c r="AA256" s="97"/>
      <c r="AB256" s="193"/>
    </row>
    <row r="257" spans="1:28">
      <c r="A257" s="116"/>
      <c r="B257" s="116"/>
      <c r="C257" s="116"/>
      <c r="D257" s="3"/>
      <c r="E257" s="184"/>
      <c r="F257" s="184"/>
      <c r="G257" s="184"/>
      <c r="H257" s="184"/>
      <c r="I257" s="184"/>
      <c r="J257" s="184"/>
      <c r="K257" s="184"/>
      <c r="L257" s="184"/>
      <c r="M257" s="185"/>
      <c r="N257" s="185"/>
      <c r="O257" s="186"/>
      <c r="P257" s="187"/>
      <c r="Q257" s="187"/>
      <c r="R257" s="188"/>
      <c r="S257" s="188"/>
      <c r="T257" s="185"/>
      <c r="U257" s="185"/>
      <c r="V257" s="189"/>
      <c r="W257" s="190"/>
      <c r="X257" s="191"/>
      <c r="Y257" s="186"/>
      <c r="Z257" s="192"/>
      <c r="AA257" s="97"/>
      <c r="AB257" s="193"/>
    </row>
    <row r="258" spans="1:28">
      <c r="A258" s="116"/>
      <c r="B258" s="116"/>
      <c r="C258" s="116"/>
      <c r="D258" s="3"/>
      <c r="E258" s="184"/>
      <c r="F258" s="184"/>
      <c r="G258" s="184"/>
      <c r="H258" s="184"/>
      <c r="I258" s="184"/>
      <c r="J258" s="184"/>
      <c r="K258" s="184"/>
      <c r="L258" s="184"/>
      <c r="M258" s="185"/>
      <c r="N258" s="185"/>
      <c r="O258" s="186"/>
      <c r="P258" s="187"/>
      <c r="Q258" s="187"/>
      <c r="R258" s="188"/>
      <c r="S258" s="188"/>
      <c r="T258" s="185"/>
      <c r="U258" s="185"/>
      <c r="V258" s="189"/>
      <c r="W258" s="190"/>
      <c r="X258" s="191"/>
      <c r="Y258" s="186"/>
      <c r="Z258" s="192"/>
      <c r="AA258" s="97"/>
      <c r="AB258" s="193"/>
    </row>
    <row r="259" spans="1:28">
      <c r="A259" s="116"/>
      <c r="B259" s="116"/>
      <c r="C259" s="116"/>
      <c r="D259" s="3"/>
      <c r="E259" s="184"/>
      <c r="F259" s="184"/>
      <c r="G259" s="184"/>
      <c r="H259" s="184"/>
      <c r="I259" s="184"/>
      <c r="J259" s="184"/>
      <c r="K259" s="184"/>
      <c r="L259" s="184"/>
      <c r="M259" s="185"/>
      <c r="N259" s="185"/>
      <c r="O259" s="186"/>
      <c r="P259" s="187"/>
      <c r="Q259" s="187"/>
      <c r="R259" s="188"/>
      <c r="S259" s="188"/>
      <c r="T259" s="185"/>
      <c r="U259" s="185"/>
      <c r="V259" s="189"/>
      <c r="W259" s="190"/>
      <c r="X259" s="191"/>
      <c r="Y259" s="186"/>
      <c r="Z259" s="192"/>
      <c r="AA259" s="97"/>
      <c r="AB259" s="193"/>
    </row>
    <row r="260" spans="1:28">
      <c r="A260" s="116"/>
      <c r="B260" s="116"/>
      <c r="C260" s="116"/>
      <c r="D260" s="3"/>
      <c r="E260" s="184"/>
      <c r="F260" s="184"/>
      <c r="G260" s="184"/>
      <c r="H260" s="184"/>
      <c r="I260" s="184"/>
      <c r="J260" s="184"/>
      <c r="K260" s="184"/>
      <c r="L260" s="184"/>
      <c r="M260" s="185"/>
      <c r="N260" s="185"/>
      <c r="O260" s="186"/>
      <c r="P260" s="187"/>
      <c r="Q260" s="187"/>
      <c r="R260" s="188"/>
      <c r="S260" s="188"/>
      <c r="T260" s="185"/>
      <c r="U260" s="185"/>
      <c r="V260" s="189"/>
      <c r="W260" s="190"/>
      <c r="X260" s="191"/>
      <c r="Y260" s="186"/>
      <c r="Z260" s="192"/>
      <c r="AA260" s="97"/>
      <c r="AB260" s="193"/>
    </row>
    <row r="261" spans="1:28">
      <c r="A261" s="116"/>
      <c r="B261" s="116"/>
      <c r="C261" s="116"/>
      <c r="D261" s="3"/>
      <c r="E261" s="184"/>
      <c r="F261" s="184"/>
      <c r="G261" s="184"/>
      <c r="H261" s="184"/>
      <c r="I261" s="184"/>
      <c r="J261" s="184"/>
      <c r="K261" s="184"/>
      <c r="L261" s="184"/>
      <c r="M261" s="185"/>
      <c r="N261" s="185"/>
      <c r="O261" s="186"/>
      <c r="P261" s="187"/>
      <c r="Q261" s="187"/>
      <c r="R261" s="188"/>
      <c r="S261" s="188"/>
      <c r="T261" s="185"/>
      <c r="U261" s="185"/>
      <c r="V261" s="189"/>
      <c r="W261" s="190"/>
      <c r="X261" s="191"/>
      <c r="Y261" s="186"/>
      <c r="Z261" s="192"/>
      <c r="AA261" s="97"/>
      <c r="AB261" s="193"/>
    </row>
    <row r="262" spans="1:28">
      <c r="A262" s="116"/>
      <c r="B262" s="116"/>
      <c r="C262" s="116"/>
      <c r="D262" s="3"/>
      <c r="E262" s="184"/>
      <c r="F262" s="184"/>
      <c r="G262" s="184"/>
      <c r="H262" s="184"/>
      <c r="I262" s="184"/>
      <c r="J262" s="184"/>
      <c r="K262" s="184"/>
      <c r="L262" s="184"/>
      <c r="M262" s="185"/>
      <c r="N262" s="185"/>
      <c r="O262" s="186"/>
      <c r="P262" s="187"/>
      <c r="Q262" s="187"/>
      <c r="R262" s="188"/>
      <c r="S262" s="188"/>
      <c r="T262" s="185"/>
      <c r="U262" s="185"/>
      <c r="V262" s="189"/>
      <c r="W262" s="190"/>
      <c r="X262" s="191"/>
      <c r="Y262" s="186"/>
      <c r="Z262" s="192"/>
      <c r="AA262" s="97"/>
      <c r="AB262" s="193"/>
    </row>
    <row r="263" spans="1:28">
      <c r="A263" s="116"/>
      <c r="B263" s="116"/>
      <c r="C263" s="116"/>
      <c r="D263" s="3"/>
      <c r="E263" s="184"/>
      <c r="F263" s="184"/>
      <c r="G263" s="184"/>
      <c r="H263" s="184"/>
      <c r="I263" s="184"/>
      <c r="J263" s="184"/>
      <c r="K263" s="184"/>
      <c r="L263" s="184"/>
      <c r="M263" s="185"/>
      <c r="N263" s="185"/>
      <c r="O263" s="186"/>
      <c r="P263" s="187"/>
      <c r="Q263" s="187"/>
      <c r="R263" s="188"/>
      <c r="S263" s="188"/>
      <c r="T263" s="185"/>
      <c r="U263" s="185"/>
      <c r="V263" s="189"/>
      <c r="W263" s="190"/>
      <c r="X263" s="191"/>
      <c r="Y263" s="186"/>
      <c r="Z263" s="192"/>
      <c r="AA263" s="97"/>
      <c r="AB263" s="193"/>
    </row>
    <row r="264" spans="1:28">
      <c r="A264" s="116"/>
      <c r="B264" s="116"/>
      <c r="C264" s="116"/>
      <c r="D264" s="3"/>
      <c r="E264" s="184"/>
      <c r="F264" s="184"/>
      <c r="G264" s="184"/>
      <c r="H264" s="184"/>
      <c r="I264" s="184"/>
      <c r="J264" s="184"/>
      <c r="K264" s="184"/>
      <c r="L264" s="184"/>
      <c r="M264" s="185"/>
      <c r="N264" s="185"/>
      <c r="O264" s="186"/>
      <c r="P264" s="187"/>
      <c r="Q264" s="187"/>
      <c r="R264" s="188"/>
      <c r="S264" s="188"/>
      <c r="T264" s="185"/>
      <c r="U264" s="185"/>
      <c r="V264" s="189"/>
      <c r="W264" s="190"/>
      <c r="X264" s="191"/>
      <c r="Y264" s="186"/>
      <c r="Z264" s="192"/>
      <c r="AA264" s="97"/>
      <c r="AB264" s="193"/>
    </row>
    <row r="265" spans="1:28">
      <c r="A265" s="116"/>
      <c r="B265" s="116"/>
      <c r="C265" s="116"/>
      <c r="D265" s="3"/>
      <c r="E265" s="184"/>
      <c r="F265" s="184"/>
      <c r="G265" s="184"/>
      <c r="H265" s="184"/>
      <c r="I265" s="184"/>
      <c r="J265" s="184"/>
      <c r="K265" s="184"/>
      <c r="L265" s="184"/>
      <c r="M265" s="185"/>
      <c r="N265" s="185"/>
      <c r="O265" s="186"/>
      <c r="P265" s="187"/>
      <c r="Q265" s="187"/>
      <c r="R265" s="188"/>
      <c r="S265" s="188"/>
      <c r="T265" s="185"/>
      <c r="U265" s="185"/>
      <c r="V265" s="189"/>
      <c r="W265" s="190"/>
      <c r="X265" s="191"/>
      <c r="Y265" s="186"/>
      <c r="Z265" s="192"/>
      <c r="AA265" s="97"/>
      <c r="AB265" s="193"/>
    </row>
    <row r="266" spans="1:28">
      <c r="A266" s="116"/>
      <c r="B266" s="116"/>
      <c r="C266" s="116"/>
      <c r="D266" s="3"/>
      <c r="E266" s="184"/>
      <c r="F266" s="184"/>
      <c r="G266" s="184"/>
      <c r="H266" s="184"/>
      <c r="I266" s="184"/>
      <c r="J266" s="184"/>
      <c r="K266" s="184"/>
      <c r="L266" s="184"/>
      <c r="M266" s="185"/>
      <c r="N266" s="185"/>
      <c r="O266" s="186"/>
      <c r="P266" s="187"/>
      <c r="Q266" s="187"/>
      <c r="R266" s="188"/>
      <c r="S266" s="188"/>
      <c r="T266" s="185"/>
      <c r="U266" s="185"/>
      <c r="V266" s="189"/>
      <c r="W266" s="190"/>
      <c r="X266" s="191"/>
      <c r="Y266" s="186"/>
      <c r="Z266" s="192"/>
      <c r="AA266" s="97"/>
      <c r="AB266" s="193"/>
    </row>
    <row r="267" spans="1:28">
      <c r="A267" s="116"/>
      <c r="B267" s="116"/>
      <c r="C267" s="116"/>
      <c r="D267" s="3"/>
      <c r="E267" s="184"/>
      <c r="F267" s="184"/>
      <c r="G267" s="184"/>
      <c r="H267" s="184"/>
      <c r="I267" s="184"/>
      <c r="J267" s="184"/>
      <c r="K267" s="184"/>
      <c r="L267" s="184"/>
      <c r="M267" s="185"/>
      <c r="N267" s="185"/>
      <c r="O267" s="186"/>
      <c r="P267" s="187"/>
      <c r="Q267" s="187"/>
      <c r="R267" s="188"/>
      <c r="S267" s="188"/>
      <c r="T267" s="185"/>
      <c r="U267" s="185"/>
      <c r="V267" s="189"/>
      <c r="W267" s="190"/>
      <c r="X267" s="191"/>
      <c r="Y267" s="186"/>
      <c r="Z267" s="192"/>
      <c r="AA267" s="97"/>
      <c r="AB267" s="193"/>
    </row>
    <row r="268" spans="1:28">
      <c r="A268" s="116"/>
      <c r="B268" s="116"/>
      <c r="C268" s="116"/>
      <c r="D268" s="3"/>
      <c r="E268" s="184"/>
      <c r="F268" s="184"/>
      <c r="G268" s="184"/>
      <c r="H268" s="184"/>
      <c r="I268" s="184"/>
      <c r="J268" s="184"/>
      <c r="K268" s="184"/>
      <c r="L268" s="184"/>
      <c r="M268" s="185"/>
      <c r="N268" s="185"/>
      <c r="O268" s="186"/>
      <c r="P268" s="187"/>
      <c r="Q268" s="187"/>
      <c r="R268" s="188"/>
      <c r="S268" s="188"/>
      <c r="T268" s="185"/>
      <c r="U268" s="185"/>
      <c r="V268" s="189"/>
      <c r="W268" s="190"/>
      <c r="X268" s="191"/>
      <c r="Y268" s="186"/>
      <c r="Z268" s="192"/>
      <c r="AA268" s="97"/>
      <c r="AB268" s="193"/>
    </row>
    <row r="269" spans="1:28">
      <c r="A269" s="116"/>
      <c r="B269" s="116"/>
      <c r="C269" s="116"/>
      <c r="D269" s="3"/>
      <c r="E269" s="184"/>
      <c r="F269" s="184"/>
      <c r="G269" s="184"/>
      <c r="H269" s="184"/>
      <c r="I269" s="184"/>
      <c r="J269" s="184"/>
      <c r="K269" s="184"/>
      <c r="L269" s="184"/>
      <c r="M269" s="185"/>
      <c r="N269" s="185"/>
      <c r="O269" s="186"/>
      <c r="P269" s="187"/>
      <c r="Q269" s="187"/>
      <c r="R269" s="188"/>
      <c r="S269" s="188"/>
      <c r="T269" s="185"/>
      <c r="U269" s="185"/>
      <c r="V269" s="189"/>
      <c r="W269" s="190"/>
      <c r="X269" s="191"/>
      <c r="Y269" s="186"/>
      <c r="Z269" s="192"/>
      <c r="AA269" s="97"/>
      <c r="AB269" s="193"/>
    </row>
    <row r="270" spans="1:28">
      <c r="A270" s="116"/>
      <c r="B270" s="116"/>
      <c r="C270" s="116"/>
      <c r="D270" s="3"/>
      <c r="E270" s="184"/>
      <c r="F270" s="184"/>
      <c r="G270" s="184"/>
      <c r="H270" s="184"/>
      <c r="I270" s="184"/>
      <c r="J270" s="184"/>
      <c r="K270" s="184"/>
      <c r="L270" s="184"/>
      <c r="M270" s="185"/>
      <c r="N270" s="185"/>
      <c r="O270" s="186"/>
      <c r="P270" s="187"/>
      <c r="Q270" s="187"/>
      <c r="R270" s="188"/>
      <c r="S270" s="188"/>
      <c r="T270" s="185"/>
      <c r="U270" s="185"/>
      <c r="V270" s="189"/>
      <c r="W270" s="190"/>
      <c r="X270" s="191"/>
      <c r="Y270" s="186"/>
      <c r="Z270" s="192"/>
      <c r="AA270" s="97"/>
      <c r="AB270" s="193"/>
    </row>
    <row r="271" spans="1:28">
      <c r="A271" s="169"/>
      <c r="B271" s="169"/>
      <c r="C271" s="169"/>
      <c r="D271" s="170"/>
      <c r="E271" s="171"/>
      <c r="F271" s="171"/>
      <c r="G271" s="171"/>
      <c r="H271" s="171"/>
      <c r="I271" s="171"/>
      <c r="J271" s="171"/>
      <c r="K271" s="171"/>
      <c r="L271" s="171"/>
      <c r="M271" s="172"/>
      <c r="N271" s="172"/>
      <c r="O271" s="173"/>
      <c r="P271" s="174"/>
      <c r="Q271" s="174"/>
      <c r="R271" s="175"/>
      <c r="S271" s="175"/>
      <c r="T271" s="172"/>
      <c r="U271" s="172"/>
      <c r="V271" s="176"/>
      <c r="W271" s="177"/>
      <c r="X271" s="178"/>
      <c r="Y271" s="173"/>
      <c r="Z271" s="179"/>
      <c r="AA271" s="180"/>
      <c r="AB271" s="181"/>
    </row>
  </sheetData>
  <sheetProtection formatCells="0" formatColumns="0" formatRows="0" insertColumns="0" insertRows="0" insertHyperlinks="0" deleteColumns="0" deleteRows="0" sort="0" autoFilter="0" pivotTables="0"/>
  <dataConsolidate/>
  <mergeCells count="27">
    <mergeCell ref="AC3:AF3"/>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235">
    <cfRule type="expression" dxfId="1" priority="2">
      <formula>($B5="G")</formula>
    </cfRule>
    <cfRule type="expression" dxfId="0" priority="1">
      <formula>($AB5=1)</formula>
    </cfRule>
  </conditionalFormatting>
  <hyperlinks>
    <hyperlink ref="AC1:CA1" r:id="rId1" display="http://xlworks.net/" xr:uid="{0143E295-FF6F-4203-9232-FEBBA62CE7B6}"/>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23" sqref="D23"/>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1142</v>
      </c>
      <c r="B1" s="18"/>
      <c r="C1" s="18"/>
      <c r="D1" s="18"/>
      <c r="E1" s="18"/>
      <c r="F1" s="18"/>
      <c r="G1" s="18"/>
      <c r="H1" s="18"/>
      <c r="I1" s="18"/>
      <c r="J1" s="18"/>
      <c r="K1" s="18"/>
      <c r="L1" s="244"/>
      <c r="M1" s="245"/>
      <c r="N1" s="245"/>
      <c r="O1" s="19"/>
      <c r="P1" s="19"/>
      <c r="Q1" s="19"/>
    </row>
    <row r="2" spans="1:17" s="23" customFormat="1" ht="13.8">
      <c r="A2" s="21" t="s">
        <v>1076</v>
      </c>
      <c r="B2" s="22"/>
    </row>
    <row r="3" spans="1:17" s="23" customFormat="1" ht="13.8">
      <c r="A3" s="21" t="s">
        <v>1077</v>
      </c>
      <c r="B3" s="22"/>
    </row>
    <row r="4" spans="1:17" s="23" customFormat="1" ht="13.8">
      <c r="A4" s="246"/>
      <c r="B4" s="246"/>
      <c r="C4" s="24"/>
      <c r="D4" s="25"/>
      <c r="E4" s="25"/>
      <c r="F4" s="25"/>
    </row>
    <row r="5" spans="1:17" s="31" customFormat="1" ht="13.8">
      <c r="A5" s="26"/>
      <c r="B5" s="27"/>
      <c r="C5" s="28"/>
      <c r="D5" s="29"/>
      <c r="E5" s="30"/>
      <c r="F5" s="30"/>
      <c r="G5" s="30"/>
    </row>
    <row r="6" spans="1:17" s="31" customFormat="1" ht="13.8">
      <c r="A6" s="32" t="s">
        <v>1078</v>
      </c>
      <c r="B6" s="33">
        <v>153</v>
      </c>
      <c r="C6" s="31" t="s">
        <v>1</v>
      </c>
      <c r="D6" s="243" t="s">
        <v>1079</v>
      </c>
      <c r="E6" s="243"/>
      <c r="F6" s="243"/>
      <c r="G6" s="243"/>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1080</v>
      </c>
      <c r="B9" s="33">
        <v>23</v>
      </c>
      <c r="C9" s="31" t="s">
        <v>1</v>
      </c>
      <c r="D9" s="242" t="s">
        <v>1081</v>
      </c>
      <c r="E9" s="242"/>
      <c r="F9" s="242"/>
      <c r="G9" s="242"/>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1075</v>
      </c>
      <c r="B12" s="33">
        <v>5.6</v>
      </c>
      <c r="C12" s="31" t="s">
        <v>1</v>
      </c>
      <c r="D12" s="242" t="s">
        <v>1124</v>
      </c>
      <c r="E12" s="242"/>
      <c r="F12" s="242"/>
      <c r="G12" s="242"/>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1075</v>
      </c>
      <c r="B15" s="33"/>
      <c r="C15" s="31" t="s">
        <v>1</v>
      </c>
      <c r="D15" s="242" t="s">
        <v>1082</v>
      </c>
      <c r="E15" s="242"/>
      <c r="F15" s="242"/>
      <c r="G15" s="242"/>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1083</v>
      </c>
      <c r="B18" s="55">
        <v>0.15032679738562091</v>
      </c>
      <c r="D18" s="242" t="s">
        <v>1084</v>
      </c>
      <c r="E18" s="242"/>
      <c r="F18" s="242"/>
      <c r="G18" s="242"/>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1085</v>
      </c>
      <c r="B21" s="55">
        <v>3.6601307189542479E-2</v>
      </c>
      <c r="D21" s="242" t="s">
        <v>1086</v>
      </c>
      <c r="E21" s="242"/>
      <c r="F21" s="242"/>
      <c r="G21" s="242"/>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1087</v>
      </c>
      <c r="B24" s="65">
        <f>ACTUAL_RATE-PLANNED_RATE</f>
        <v>-0.11372549019607843</v>
      </c>
      <c r="D24" s="243" t="s">
        <v>1088</v>
      </c>
      <c r="E24" s="243"/>
      <c r="F24" s="243"/>
      <c r="G24" s="243"/>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2" customWidth="1"/>
    <col min="2" max="3" width="10.59765625" style="212" bestFit="1" customWidth="1"/>
    <col min="4" max="4" width="9.09765625" style="212"/>
    <col min="5" max="5" width="10.59765625" style="212" customWidth="1"/>
    <col min="6" max="16384" width="9.09765625" style="212"/>
  </cols>
  <sheetData>
    <row r="1" spans="2:6" ht="36.9" customHeight="1">
      <c r="B1" s="78" t="s">
        <v>1118</v>
      </c>
    </row>
    <row r="2" spans="2:6">
      <c r="B2" s="212" t="s">
        <v>1119</v>
      </c>
    </row>
    <row r="3" spans="2:6">
      <c r="B3" s="212" t="s">
        <v>1120</v>
      </c>
    </row>
    <row r="6" spans="2:6" ht="28.8">
      <c r="B6" s="79" t="s">
        <v>1089</v>
      </c>
      <c r="C6" s="183" t="s">
        <v>1090</v>
      </c>
      <c r="D6" s="183" t="s">
        <v>2</v>
      </c>
      <c r="E6" s="183" t="s">
        <v>1121</v>
      </c>
      <c r="F6" s="211" t="s">
        <v>1122</v>
      </c>
    </row>
    <row r="7" spans="2:6">
      <c r="B7" s="207">
        <v>43375</v>
      </c>
      <c r="C7" s="207">
        <v>43379</v>
      </c>
      <c r="D7" s="208">
        <v>1</v>
      </c>
      <c r="E7" s="208">
        <f>D7</f>
        <v>1</v>
      </c>
      <c r="F7" s="213">
        <f t="shared" ref="F7:F28" si="0">E7/$D$29</f>
        <v>3.8022813688212928E-3</v>
      </c>
    </row>
    <row r="8" spans="2:6">
      <c r="B8" s="209">
        <v>43380</v>
      </c>
      <c r="C8" s="209">
        <v>43386</v>
      </c>
      <c r="D8" s="210">
        <v>10</v>
      </c>
      <c r="E8" s="210">
        <f>E7+D8</f>
        <v>11</v>
      </c>
      <c r="F8" s="214">
        <f t="shared" si="0"/>
        <v>4.1825095057034217E-2</v>
      </c>
    </row>
    <row r="9" spans="2:6">
      <c r="B9" s="209">
        <v>43387</v>
      </c>
      <c r="C9" s="209">
        <v>43393</v>
      </c>
      <c r="D9" s="210">
        <v>15</v>
      </c>
      <c r="E9" s="210">
        <f t="shared" ref="E9:E28" si="1">E8+D9</f>
        <v>26</v>
      </c>
      <c r="F9" s="214">
        <f t="shared" si="0"/>
        <v>9.8859315589353611E-2</v>
      </c>
    </row>
    <row r="10" spans="2:6">
      <c r="B10" s="209">
        <v>43394</v>
      </c>
      <c r="C10" s="209">
        <v>43400</v>
      </c>
      <c r="D10" s="210">
        <v>10</v>
      </c>
      <c r="E10" s="210">
        <f t="shared" si="1"/>
        <v>36</v>
      </c>
      <c r="F10" s="214">
        <f t="shared" si="0"/>
        <v>0.13688212927756654</v>
      </c>
    </row>
    <row r="11" spans="2:6">
      <c r="B11" s="209">
        <v>43401</v>
      </c>
      <c r="C11" s="209">
        <v>43407</v>
      </c>
      <c r="D11" s="210">
        <v>9</v>
      </c>
      <c r="E11" s="210">
        <f t="shared" si="1"/>
        <v>45</v>
      </c>
      <c r="F11" s="214">
        <f t="shared" si="0"/>
        <v>0.17110266159695817</v>
      </c>
    </row>
    <row r="12" spans="2:6">
      <c r="B12" s="209">
        <v>43408</v>
      </c>
      <c r="C12" s="209">
        <v>43414</v>
      </c>
      <c r="D12" s="210">
        <v>12</v>
      </c>
      <c r="E12" s="210">
        <f t="shared" si="1"/>
        <v>57</v>
      </c>
      <c r="F12" s="214">
        <f t="shared" si="0"/>
        <v>0.21673003802281368</v>
      </c>
    </row>
    <row r="13" spans="2:6">
      <c r="B13" s="209">
        <v>43415</v>
      </c>
      <c r="C13" s="209">
        <v>43421</v>
      </c>
      <c r="D13" s="210">
        <v>14</v>
      </c>
      <c r="E13" s="210">
        <f t="shared" si="1"/>
        <v>71</v>
      </c>
      <c r="F13" s="214">
        <f t="shared" si="0"/>
        <v>0.26996197718631176</v>
      </c>
    </row>
    <row r="14" spans="2:6">
      <c r="B14" s="209">
        <v>43422</v>
      </c>
      <c r="C14" s="209">
        <v>43428</v>
      </c>
      <c r="D14" s="210">
        <v>7</v>
      </c>
      <c r="E14" s="210">
        <f t="shared" si="1"/>
        <v>78</v>
      </c>
      <c r="F14" s="214">
        <f t="shared" si="0"/>
        <v>0.29657794676806082</v>
      </c>
    </row>
    <row r="15" spans="2:6">
      <c r="B15" s="209">
        <v>43429</v>
      </c>
      <c r="C15" s="209">
        <v>43435</v>
      </c>
      <c r="D15" s="210">
        <v>8</v>
      </c>
      <c r="E15" s="210">
        <f t="shared" si="1"/>
        <v>86</v>
      </c>
      <c r="F15" s="214">
        <f t="shared" si="0"/>
        <v>0.3269961977186312</v>
      </c>
    </row>
    <row r="16" spans="2:6">
      <c r="B16" s="209">
        <v>43436</v>
      </c>
      <c r="C16" s="209">
        <v>43442</v>
      </c>
      <c r="D16" s="210">
        <v>18</v>
      </c>
      <c r="E16" s="210">
        <f t="shared" si="1"/>
        <v>104</v>
      </c>
      <c r="F16" s="214">
        <f t="shared" si="0"/>
        <v>0.39543726235741444</v>
      </c>
    </row>
    <row r="17" spans="2:6">
      <c r="B17" s="209">
        <v>43443</v>
      </c>
      <c r="C17" s="209">
        <v>43449</v>
      </c>
      <c r="D17" s="210">
        <v>18</v>
      </c>
      <c r="E17" s="210">
        <f t="shared" si="1"/>
        <v>122</v>
      </c>
      <c r="F17" s="214">
        <f t="shared" si="0"/>
        <v>0.46387832699619774</v>
      </c>
    </row>
    <row r="18" spans="2:6">
      <c r="B18" s="209">
        <v>43450</v>
      </c>
      <c r="C18" s="209">
        <v>43456</v>
      </c>
      <c r="D18" s="210">
        <v>17</v>
      </c>
      <c r="E18" s="210">
        <f t="shared" si="1"/>
        <v>139</v>
      </c>
      <c r="F18" s="214">
        <f t="shared" si="0"/>
        <v>0.52851711026615966</v>
      </c>
    </row>
    <row r="19" spans="2:6">
      <c r="B19" s="209">
        <v>43457</v>
      </c>
      <c r="C19" s="209">
        <v>43463</v>
      </c>
      <c r="D19" s="210">
        <v>12</v>
      </c>
      <c r="E19" s="210">
        <f t="shared" si="1"/>
        <v>151</v>
      </c>
      <c r="F19" s="214">
        <f t="shared" si="0"/>
        <v>0.57414448669201523</v>
      </c>
    </row>
    <row r="20" spans="2:6">
      <c r="B20" s="209">
        <v>43464</v>
      </c>
      <c r="C20" s="209">
        <v>43470</v>
      </c>
      <c r="D20" s="210">
        <v>14</v>
      </c>
      <c r="E20" s="210">
        <f t="shared" si="1"/>
        <v>165</v>
      </c>
      <c r="F20" s="214">
        <f t="shared" si="0"/>
        <v>0.62737642585551334</v>
      </c>
    </row>
    <row r="21" spans="2:6">
      <c r="B21" s="209">
        <v>43471</v>
      </c>
      <c r="C21" s="209">
        <v>43477</v>
      </c>
      <c r="D21" s="210">
        <v>21</v>
      </c>
      <c r="E21" s="210">
        <f t="shared" si="1"/>
        <v>186</v>
      </c>
      <c r="F21" s="214">
        <f t="shared" si="0"/>
        <v>0.70722433460076051</v>
      </c>
    </row>
    <row r="22" spans="2:6">
      <c r="B22" s="209">
        <v>43478</v>
      </c>
      <c r="C22" s="209">
        <v>43484</v>
      </c>
      <c r="D22" s="210">
        <v>25</v>
      </c>
      <c r="E22" s="210">
        <f t="shared" si="1"/>
        <v>211</v>
      </c>
      <c r="F22" s="214">
        <f t="shared" si="0"/>
        <v>0.80228136882129275</v>
      </c>
    </row>
    <row r="23" spans="2:6">
      <c r="B23" s="209">
        <v>43485</v>
      </c>
      <c r="C23" s="209">
        <v>43491</v>
      </c>
      <c r="D23" s="210">
        <v>25</v>
      </c>
      <c r="E23" s="210">
        <f t="shared" si="1"/>
        <v>236</v>
      </c>
      <c r="F23" s="214">
        <f t="shared" si="0"/>
        <v>0.89733840304182511</v>
      </c>
    </row>
    <row r="24" spans="2:6">
      <c r="B24" s="209">
        <v>43492</v>
      </c>
      <c r="C24" s="209">
        <v>43498</v>
      </c>
      <c r="D24" s="210">
        <v>8</v>
      </c>
      <c r="E24" s="210">
        <f t="shared" si="1"/>
        <v>244</v>
      </c>
      <c r="F24" s="214">
        <f t="shared" si="0"/>
        <v>0.92775665399239549</v>
      </c>
    </row>
    <row r="25" spans="2:6">
      <c r="B25" s="209">
        <v>43499</v>
      </c>
      <c r="C25" s="209">
        <v>43505</v>
      </c>
      <c r="D25" s="210">
        <v>6</v>
      </c>
      <c r="E25" s="210">
        <f t="shared" si="1"/>
        <v>250</v>
      </c>
      <c r="F25" s="214">
        <f t="shared" si="0"/>
        <v>0.95057034220532322</v>
      </c>
    </row>
    <row r="26" spans="2:6">
      <c r="B26" s="209">
        <v>43506</v>
      </c>
      <c r="C26" s="209">
        <v>43512</v>
      </c>
      <c r="D26" s="210">
        <v>4</v>
      </c>
      <c r="E26" s="210">
        <f t="shared" si="1"/>
        <v>254</v>
      </c>
      <c r="F26" s="214">
        <f t="shared" si="0"/>
        <v>0.96577946768060841</v>
      </c>
    </row>
    <row r="27" spans="2:6">
      <c r="B27" s="209">
        <v>43513</v>
      </c>
      <c r="C27" s="209">
        <v>43519</v>
      </c>
      <c r="D27" s="210">
        <v>5</v>
      </c>
      <c r="E27" s="210">
        <f t="shared" si="1"/>
        <v>259</v>
      </c>
      <c r="F27" s="214">
        <f t="shared" si="0"/>
        <v>0.98479087452471481</v>
      </c>
    </row>
    <row r="28" spans="2:6">
      <c r="B28" s="209">
        <v>43520</v>
      </c>
      <c r="C28" s="209">
        <v>43526</v>
      </c>
      <c r="D28" s="210">
        <v>4</v>
      </c>
      <c r="E28" s="210">
        <f t="shared" si="1"/>
        <v>263</v>
      </c>
      <c r="F28" s="214">
        <f t="shared" si="0"/>
        <v>1</v>
      </c>
    </row>
    <row r="29" spans="2:6">
      <c r="C29" s="212" t="s">
        <v>4</v>
      </c>
      <c r="D29" s="212">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1092</v>
      </c>
      <c r="B1" s="17"/>
      <c r="C1" s="17"/>
      <c r="D1" s="17"/>
      <c r="E1" s="17"/>
      <c r="F1" s="17"/>
      <c r="G1" s="17"/>
      <c r="H1" s="17"/>
    </row>
    <row r="2" spans="1:9" s="81" customFormat="1" ht="78.75" customHeight="1">
      <c r="A2" s="247" t="s">
        <v>1093</v>
      </c>
      <c r="B2" s="247"/>
      <c r="C2" s="247"/>
      <c r="D2" s="247"/>
      <c r="E2" s="247"/>
      <c r="F2" s="247"/>
      <c r="G2" s="247"/>
      <c r="H2" s="247"/>
    </row>
    <row r="3" spans="1:9" s="81" customFormat="1" ht="24.75" customHeight="1">
      <c r="A3" s="248" t="s">
        <v>1094</v>
      </c>
      <c r="B3" s="248"/>
      <c r="D3" s="248" t="s">
        <v>1095</v>
      </c>
      <c r="E3" s="248"/>
      <c r="G3" s="248" t="s">
        <v>1096</v>
      </c>
      <c r="H3" s="248"/>
    </row>
    <row r="4" spans="1:9" s="83" customFormat="1" ht="19.5" customHeight="1">
      <c r="A4" s="82" t="s">
        <v>1097</v>
      </c>
      <c r="B4" s="82" t="s">
        <v>1099</v>
      </c>
      <c r="D4" s="82" t="s">
        <v>1098</v>
      </c>
      <c r="E4" s="82" t="s">
        <v>1100</v>
      </c>
      <c r="G4" s="82" t="s">
        <v>1098</v>
      </c>
      <c r="H4" s="82" t="s">
        <v>1099</v>
      </c>
    </row>
    <row r="5" spans="1:9" ht="17.399999999999999">
      <c r="A5" s="118" t="s">
        <v>1049</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1050</v>
      </c>
      <c r="B6" s="119">
        <v>43146</v>
      </c>
      <c r="C6" s="86" t="str">
        <f t="shared" si="0"/>
        <v>(목)</v>
      </c>
      <c r="D6" s="84"/>
      <c r="E6" s="85"/>
      <c r="F6" s="86" t="str">
        <f t="shared" si="1"/>
        <v/>
      </c>
      <c r="G6" s="84"/>
      <c r="H6" s="85"/>
      <c r="I6" s="86" t="str">
        <f t="shared" si="2"/>
        <v/>
      </c>
    </row>
    <row r="7" spans="1:9" ht="17.399999999999999">
      <c r="A7" s="118" t="s">
        <v>1051</v>
      </c>
      <c r="B7" s="119">
        <v>43147</v>
      </c>
      <c r="C7" s="86" t="str">
        <f t="shared" si="0"/>
        <v>(금)</v>
      </c>
      <c r="D7" s="84"/>
      <c r="E7" s="85"/>
      <c r="F7" s="86" t="str">
        <f t="shared" si="1"/>
        <v/>
      </c>
      <c r="G7" s="84"/>
      <c r="H7" s="85"/>
      <c r="I7" s="86" t="str">
        <f t="shared" si="2"/>
        <v/>
      </c>
    </row>
    <row r="8" spans="1:9" ht="17.399999999999999">
      <c r="A8" s="118" t="s">
        <v>1052</v>
      </c>
      <c r="B8" s="119">
        <v>43160</v>
      </c>
      <c r="C8" s="86" t="str">
        <f t="shared" si="0"/>
        <v>(목)</v>
      </c>
      <c r="D8" s="84"/>
      <c r="E8" s="85"/>
      <c r="F8" s="86" t="str">
        <f t="shared" si="1"/>
        <v/>
      </c>
      <c r="G8" s="84"/>
      <c r="H8" s="85"/>
      <c r="I8" s="86" t="str">
        <f t="shared" si="2"/>
        <v/>
      </c>
    </row>
    <row r="9" spans="1:9" ht="17.399999999999999">
      <c r="A9" s="118" t="s">
        <v>913</v>
      </c>
      <c r="B9" s="119">
        <v>43227</v>
      </c>
      <c r="C9" s="86" t="str">
        <f t="shared" si="0"/>
        <v>(월)</v>
      </c>
      <c r="D9" s="84"/>
      <c r="E9" s="85"/>
      <c r="F9" s="86" t="str">
        <f t="shared" si="1"/>
        <v/>
      </c>
      <c r="G9" s="84"/>
      <c r="H9" s="85"/>
      <c r="I9" s="86" t="str">
        <f t="shared" si="2"/>
        <v/>
      </c>
    </row>
    <row r="10" spans="1:9" ht="17.399999999999999">
      <c r="A10" s="118" t="s">
        <v>914</v>
      </c>
      <c r="B10" s="119">
        <v>43242</v>
      </c>
      <c r="C10" s="86" t="str">
        <f t="shared" si="0"/>
        <v>(화)</v>
      </c>
      <c r="D10" s="84"/>
      <c r="E10" s="85"/>
      <c r="F10" s="86" t="str">
        <f t="shared" si="1"/>
        <v/>
      </c>
      <c r="G10" s="84"/>
      <c r="H10" s="85"/>
      <c r="I10" s="86" t="str">
        <f t="shared" si="2"/>
        <v/>
      </c>
    </row>
    <row r="11" spans="1:9" ht="17.399999999999999">
      <c r="A11" s="118" t="s">
        <v>915</v>
      </c>
      <c r="B11" s="119">
        <v>43257</v>
      </c>
      <c r="C11" s="86" t="str">
        <f t="shared" si="0"/>
        <v>(수)</v>
      </c>
      <c r="D11" s="84"/>
      <c r="E11" s="85"/>
      <c r="F11" s="86" t="str">
        <f t="shared" si="1"/>
        <v/>
      </c>
      <c r="G11" s="84"/>
      <c r="H11" s="85"/>
      <c r="I11" s="86" t="str">
        <f t="shared" si="2"/>
        <v/>
      </c>
    </row>
    <row r="12" spans="1:9" ht="17.399999999999999">
      <c r="A12" s="118" t="s">
        <v>916</v>
      </c>
      <c r="B12" s="119">
        <v>43327</v>
      </c>
      <c r="C12" s="86" t="str">
        <f t="shared" si="0"/>
        <v>(수)</v>
      </c>
      <c r="D12" s="84"/>
      <c r="E12" s="85"/>
      <c r="F12" s="86" t="str">
        <f t="shared" si="1"/>
        <v/>
      </c>
      <c r="G12" s="84"/>
      <c r="H12" s="85"/>
      <c r="I12" s="86" t="str">
        <f t="shared" si="2"/>
        <v/>
      </c>
    </row>
    <row r="13" spans="1:9" ht="17.399999999999999">
      <c r="A13" s="118" t="s">
        <v>917</v>
      </c>
      <c r="B13" s="119">
        <v>43367</v>
      </c>
      <c r="C13" s="86" t="str">
        <f t="shared" si="0"/>
        <v>(월)</v>
      </c>
      <c r="D13" s="84"/>
      <c r="E13" s="85"/>
      <c r="F13" s="86" t="str">
        <f t="shared" si="1"/>
        <v/>
      </c>
      <c r="G13" s="84"/>
      <c r="H13" s="85"/>
      <c r="I13" s="86" t="str">
        <f t="shared" si="2"/>
        <v/>
      </c>
    </row>
    <row r="14" spans="1:9" ht="17.399999999999999">
      <c r="A14" s="118" t="s">
        <v>918</v>
      </c>
      <c r="B14" s="119">
        <v>43368</v>
      </c>
      <c r="C14" s="86" t="str">
        <f t="shared" si="0"/>
        <v>(화)</v>
      </c>
      <c r="D14" s="84"/>
      <c r="E14" s="85"/>
      <c r="F14" s="86" t="str">
        <f t="shared" si="1"/>
        <v/>
      </c>
      <c r="G14" s="84"/>
      <c r="H14" s="85"/>
      <c r="I14" s="86" t="str">
        <f t="shared" si="2"/>
        <v/>
      </c>
    </row>
    <row r="15" spans="1:9" ht="17.399999999999999">
      <c r="A15" s="118" t="s">
        <v>919</v>
      </c>
      <c r="B15" s="119">
        <v>43369</v>
      </c>
      <c r="C15" s="86" t="str">
        <f t="shared" si="0"/>
        <v>(수)</v>
      </c>
      <c r="D15" s="84"/>
      <c r="E15" s="85"/>
      <c r="F15" s="86" t="str">
        <f t="shared" si="1"/>
        <v/>
      </c>
      <c r="G15" s="84"/>
      <c r="H15" s="85"/>
      <c r="I15" s="86" t="str">
        <f t="shared" si="2"/>
        <v/>
      </c>
    </row>
    <row r="16" spans="1:9" ht="17.399999999999999">
      <c r="A16" s="118" t="s">
        <v>920</v>
      </c>
      <c r="B16" s="119">
        <v>43376</v>
      </c>
      <c r="C16" s="86" t="str">
        <f t="shared" si="0"/>
        <v>(수)</v>
      </c>
      <c r="D16" s="84"/>
      <c r="E16" s="85"/>
      <c r="F16" s="86" t="str">
        <f t="shared" si="1"/>
        <v/>
      </c>
      <c r="G16" s="84"/>
      <c r="H16" s="85"/>
      <c r="I16" s="86" t="str">
        <f t="shared" si="2"/>
        <v/>
      </c>
    </row>
    <row r="17" spans="1:10" ht="17.399999999999999">
      <c r="A17" s="118" t="s">
        <v>921</v>
      </c>
      <c r="B17" s="119">
        <v>43382</v>
      </c>
      <c r="C17" s="86" t="str">
        <f t="shared" si="0"/>
        <v>(화)</v>
      </c>
      <c r="D17" s="84"/>
      <c r="E17" s="85"/>
      <c r="F17" s="86" t="str">
        <f t="shared" si="1"/>
        <v/>
      </c>
      <c r="G17" s="84"/>
      <c r="H17" s="85"/>
      <c r="I17" s="86" t="str">
        <f t="shared" si="2"/>
        <v/>
      </c>
    </row>
    <row r="18" spans="1:10" ht="17.399999999999999">
      <c r="A18" s="118" t="s">
        <v>922</v>
      </c>
      <c r="B18" s="119">
        <v>43459</v>
      </c>
      <c r="C18" s="86" t="str">
        <f t="shared" si="0"/>
        <v>(화)</v>
      </c>
      <c r="D18" s="84"/>
      <c r="E18" s="85"/>
      <c r="F18" s="86" t="str">
        <f t="shared" si="1"/>
        <v/>
      </c>
      <c r="G18" s="84"/>
      <c r="H18" s="85"/>
      <c r="I18" s="86" t="str">
        <f t="shared" si="2"/>
        <v/>
      </c>
    </row>
    <row r="19" spans="1:10" ht="17.399999999999999">
      <c r="A19" s="118" t="s">
        <v>1053</v>
      </c>
      <c r="B19" s="119">
        <v>43466</v>
      </c>
      <c r="C19" s="86" t="str">
        <f t="shared" si="0"/>
        <v>(화)</v>
      </c>
      <c r="D19" s="84"/>
      <c r="E19" s="85"/>
      <c r="F19" s="86" t="str">
        <f t="shared" si="1"/>
        <v/>
      </c>
      <c r="G19" s="84"/>
      <c r="H19" s="85"/>
      <c r="I19" s="86" t="str">
        <f t="shared" si="2"/>
        <v/>
      </c>
      <c r="J19" s="87"/>
    </row>
    <row r="20" spans="1:10" ht="17.399999999999999">
      <c r="A20" s="118" t="s">
        <v>1054</v>
      </c>
      <c r="B20" s="119">
        <v>43500</v>
      </c>
      <c r="C20" s="86" t="str">
        <f t="shared" si="0"/>
        <v>(월)</v>
      </c>
      <c r="D20" s="84"/>
      <c r="E20" s="85"/>
      <c r="F20" s="86" t="str">
        <f t="shared" si="1"/>
        <v/>
      </c>
      <c r="G20" s="84"/>
      <c r="H20" s="85"/>
      <c r="I20" s="86" t="str">
        <f t="shared" si="2"/>
        <v/>
      </c>
      <c r="J20" s="87"/>
    </row>
    <row r="21" spans="1:10" ht="17.399999999999999">
      <c r="A21" s="118" t="s">
        <v>1055</v>
      </c>
      <c r="B21" s="119">
        <v>43501</v>
      </c>
      <c r="C21" s="86" t="str">
        <f t="shared" si="0"/>
        <v>(화)</v>
      </c>
      <c r="D21" s="84"/>
      <c r="E21" s="85"/>
      <c r="F21" s="86" t="str">
        <f t="shared" si="1"/>
        <v/>
      </c>
      <c r="G21" s="84"/>
      <c r="H21" s="85"/>
      <c r="I21" s="86" t="str">
        <f t="shared" si="2"/>
        <v/>
      </c>
    </row>
    <row r="22" spans="1:10" ht="17.399999999999999">
      <c r="A22" s="118" t="s">
        <v>1054</v>
      </c>
      <c r="B22" s="119">
        <v>43502</v>
      </c>
      <c r="C22" s="86" t="str">
        <f t="shared" si="0"/>
        <v>(수)</v>
      </c>
      <c r="D22" s="84"/>
      <c r="E22" s="85"/>
      <c r="F22" s="86" t="str">
        <f t="shared" si="1"/>
        <v/>
      </c>
      <c r="G22" s="84"/>
      <c r="H22" s="85"/>
      <c r="I22" s="86" t="str">
        <f t="shared" si="2"/>
        <v/>
      </c>
    </row>
    <row r="23" spans="1:10" ht="17.399999999999999">
      <c r="A23" s="118" t="s">
        <v>1056</v>
      </c>
      <c r="B23" s="119">
        <v>43525</v>
      </c>
      <c r="C23" s="86" t="str">
        <f t="shared" si="0"/>
        <v>(금)</v>
      </c>
      <c r="D23" s="84"/>
      <c r="E23" s="85"/>
      <c r="F23" s="86" t="str">
        <f t="shared" si="1"/>
        <v/>
      </c>
      <c r="G23" s="84"/>
      <c r="H23" s="85"/>
      <c r="I23" s="86" t="str">
        <f t="shared" si="2"/>
        <v/>
      </c>
    </row>
    <row r="24" spans="1:10" ht="17.399999999999999">
      <c r="A24" s="118" t="s">
        <v>1057</v>
      </c>
      <c r="B24" s="119">
        <v>43591</v>
      </c>
      <c r="C24" s="86" t="str">
        <f t="shared" si="0"/>
        <v>(월)</v>
      </c>
      <c r="D24" s="84"/>
      <c r="E24" s="85"/>
      <c r="F24" s="86" t="str">
        <f t="shared" si="1"/>
        <v/>
      </c>
      <c r="G24" s="84"/>
      <c r="H24" s="85"/>
      <c r="I24" s="86" t="str">
        <f t="shared" si="2"/>
        <v/>
      </c>
    </row>
    <row r="25" spans="1:10" ht="17.399999999999999">
      <c r="A25" s="118" t="s">
        <v>1058</v>
      </c>
      <c r="B25" s="119">
        <v>43622</v>
      </c>
      <c r="C25" s="86" t="str">
        <f t="shared" si="0"/>
        <v>(목)</v>
      </c>
      <c r="D25" s="84"/>
      <c r="E25" s="85"/>
      <c r="F25" s="86" t="str">
        <f t="shared" si="1"/>
        <v/>
      </c>
      <c r="G25" s="84"/>
      <c r="H25" s="85"/>
      <c r="I25" s="86" t="str">
        <f t="shared" si="2"/>
        <v/>
      </c>
    </row>
    <row r="26" spans="1:10" ht="17.399999999999999">
      <c r="A26" s="118" t="s">
        <v>1059</v>
      </c>
      <c r="B26" s="119">
        <v>43692</v>
      </c>
      <c r="C26" s="86" t="str">
        <f t="shared" si="0"/>
        <v>(목)</v>
      </c>
      <c r="D26" s="84"/>
      <c r="E26" s="85"/>
      <c r="F26" s="86" t="str">
        <f t="shared" si="1"/>
        <v/>
      </c>
      <c r="G26" s="84"/>
      <c r="H26" s="85"/>
      <c r="I26" s="86" t="str">
        <f t="shared" si="2"/>
        <v/>
      </c>
    </row>
    <row r="27" spans="1:10" ht="17.399999999999999">
      <c r="A27" s="118" t="s">
        <v>1060</v>
      </c>
      <c r="B27" s="119">
        <v>43720</v>
      </c>
      <c r="C27" s="86" t="str">
        <f t="shared" si="0"/>
        <v>(목)</v>
      </c>
      <c r="D27" s="84"/>
      <c r="E27" s="85"/>
      <c r="F27" s="86" t="str">
        <f t="shared" si="1"/>
        <v/>
      </c>
      <c r="G27" s="84"/>
      <c r="H27" s="85"/>
      <c r="I27" s="86" t="str">
        <f t="shared" si="2"/>
        <v/>
      </c>
    </row>
    <row r="28" spans="1:10" ht="17.399999999999999">
      <c r="A28" s="118" t="s">
        <v>1061</v>
      </c>
      <c r="B28" s="119">
        <v>43721</v>
      </c>
      <c r="C28" s="86" t="str">
        <f t="shared" si="0"/>
        <v>(금)</v>
      </c>
      <c r="D28" s="84"/>
      <c r="E28" s="85"/>
      <c r="F28" s="86" t="str">
        <f t="shared" si="1"/>
        <v/>
      </c>
      <c r="G28" s="84"/>
      <c r="H28" s="85"/>
      <c r="I28" s="86" t="str">
        <f t="shared" si="2"/>
        <v/>
      </c>
    </row>
    <row r="29" spans="1:10" ht="17.399999999999999">
      <c r="A29" s="118" t="s">
        <v>1062</v>
      </c>
      <c r="B29" s="119">
        <v>43741</v>
      </c>
      <c r="C29" s="86" t="str">
        <f t="shared" si="0"/>
        <v>(목)</v>
      </c>
      <c r="D29" s="84"/>
      <c r="E29" s="85"/>
      <c r="F29" s="86" t="str">
        <f t="shared" si="1"/>
        <v/>
      </c>
      <c r="G29" s="84"/>
      <c r="H29" s="85"/>
      <c r="I29" s="86" t="str">
        <f t="shared" si="2"/>
        <v/>
      </c>
    </row>
    <row r="30" spans="1:10" ht="17.399999999999999">
      <c r="A30" s="118" t="s">
        <v>1063</v>
      </c>
      <c r="B30" s="119">
        <v>43747</v>
      </c>
      <c r="C30" s="86" t="str">
        <f t="shared" si="0"/>
        <v>(수)</v>
      </c>
      <c r="D30" s="84"/>
      <c r="E30" s="85"/>
      <c r="F30" s="86" t="str">
        <f t="shared" si="1"/>
        <v/>
      </c>
      <c r="G30" s="84"/>
      <c r="H30" s="85"/>
      <c r="I30" s="86" t="str">
        <f t="shared" si="2"/>
        <v/>
      </c>
    </row>
    <row r="31" spans="1:10" ht="17.399999999999999">
      <c r="A31" s="118" t="s">
        <v>1064</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1101</v>
      </c>
      <c r="D305" s="86" t="s">
        <v>1101</v>
      </c>
      <c r="G305" s="86" t="s">
        <v>1101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2019-07-12T09:50:48Z</dcterms:modified>
</cp:coreProperties>
</file>