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D:\12.Document\01.Project\00. 스케쥴\"/>
    </mc:Choice>
  </mc:AlternateContent>
  <xr:revisionPtr revIDLastSave="0" documentId="13_ncr:1_{73B985BF-B917-416C-A285-7BE164852D58}" xr6:coauthVersionLast="43" xr6:coauthVersionMax="43" xr10:uidLastSave="{00000000-0000-0000-0000-000000000000}"/>
  <bookViews>
    <workbookView xWindow="-2892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Schedule!$M$3:$AB$204</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G8" i="2" l="1"/>
  <c r="AC9" i="2"/>
  <c r="AD10" i="2"/>
  <c r="AD11" i="2"/>
  <c r="AF12" i="2"/>
  <c r="AH13" i="2"/>
  <c r="AJ14" i="2"/>
  <c r="AD15" i="2"/>
  <c r="AD16" i="2"/>
  <c r="AD17" i="2"/>
  <c r="AD18" i="2"/>
  <c r="AD19" i="2"/>
  <c r="AE27" i="2"/>
  <c r="AI27" i="2"/>
  <c r="AD28" i="2"/>
  <c r="AD31" i="2"/>
  <c r="AF34" i="2"/>
  <c r="AE35" i="2"/>
  <c r="AF37" i="2"/>
  <c r="AE40" i="2"/>
  <c r="AF41" i="2"/>
  <c r="AD42" i="2"/>
  <c r="AE43" i="2"/>
  <c r="AE44" i="2"/>
  <c r="AG46" i="2"/>
  <c r="AG47" i="2"/>
  <c r="AG48" i="2"/>
  <c r="AG49" i="2"/>
  <c r="AG50" i="2"/>
  <c r="AI52" i="2"/>
  <c r="AI54" i="2"/>
  <c r="AI55" i="2"/>
  <c r="AI56" i="2"/>
  <c r="AF64" i="2"/>
  <c r="AF67" i="2"/>
  <c r="AF68" i="2"/>
  <c r="AF70" i="2"/>
  <c r="AF74" i="2"/>
  <c r="AF76" i="2"/>
  <c r="AF77" i="2"/>
  <c r="AF79" i="2"/>
  <c r="AF80" i="2"/>
  <c r="AF82" i="2"/>
  <c r="AF85" i="2"/>
  <c r="AF86" i="2"/>
  <c r="AE88" i="2"/>
  <c r="AE91" i="2"/>
  <c r="AE92" i="2"/>
  <c r="AC94" i="2"/>
  <c r="AC98" i="2"/>
  <c r="AD100" i="2"/>
  <c r="AD104" i="2"/>
  <c r="AD106" i="2"/>
  <c r="AD110" i="2"/>
  <c r="AD112" i="2"/>
  <c r="AD116" i="2"/>
  <c r="AD118" i="2"/>
  <c r="AD122" i="2"/>
  <c r="AD124" i="2"/>
  <c r="AD128" i="2"/>
  <c r="AD130" i="2"/>
  <c r="AJ130" i="2"/>
  <c r="AD131" i="2"/>
  <c r="AD132" i="2"/>
  <c r="AD133" i="2"/>
  <c r="AF135" i="2"/>
  <c r="AF136" i="2"/>
  <c r="AG137" i="2"/>
  <c r="AF139" i="2"/>
  <c r="AF140" i="2"/>
  <c r="AF141" i="2"/>
  <c r="AG143" i="2"/>
  <c r="AG144" i="2"/>
  <c r="AH145" i="2"/>
  <c r="AJ147" i="2"/>
  <c r="AJ148" i="2"/>
  <c r="AJ149" i="2"/>
  <c r="AF155" i="2"/>
  <c r="AF156" i="2"/>
  <c r="AF157" i="2"/>
  <c r="AF159" i="2"/>
  <c r="AF160" i="2"/>
  <c r="AF161" i="2"/>
  <c r="AF163" i="2"/>
  <c r="AF164" i="2"/>
  <c r="AF165" i="2"/>
  <c r="AF167" i="2"/>
  <c r="AF168" i="2"/>
  <c r="AF169" i="2"/>
  <c r="AG171" i="2"/>
  <c r="AG172" i="2"/>
  <c r="AG173" i="2"/>
  <c r="AD175" i="2"/>
  <c r="AD176" i="2"/>
  <c r="AD177" i="2"/>
  <c r="AE179" i="2"/>
  <c r="AE180" i="2"/>
  <c r="AE181" i="2"/>
  <c r="AE183" i="2"/>
  <c r="AE184" i="2"/>
  <c r="AE185" i="2"/>
  <c r="AE187" i="2"/>
  <c r="AE188" i="2"/>
  <c r="AE189" i="2"/>
  <c r="AE191" i="2"/>
  <c r="AE192" i="2"/>
  <c r="AE193" i="2"/>
  <c r="AE195" i="2"/>
  <c r="AE196" i="2"/>
  <c r="AE197" i="2"/>
  <c r="AE200" i="2"/>
  <c r="AJ200" i="2"/>
  <c r="AE201" i="2"/>
  <c r="AG202" i="2"/>
  <c r="AH203" i="2"/>
  <c r="AH204" i="2"/>
  <c r="AJ205" i="2"/>
  <c r="AG207" i="2"/>
  <c r="AG208" i="2"/>
  <c r="AG209" i="2"/>
  <c r="AG210" i="2"/>
  <c r="AG211" i="2"/>
  <c r="D29" i="4" l="1"/>
  <c r="E7" i="4"/>
  <c r="H121" i="8"/>
  <c r="D1" i="2"/>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2" i="2"/>
  <c r="AB1"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<sst xmlns="http://schemas.openxmlformats.org/spreadsheetml/2006/main" count="1939" uniqueCount="1357">
  <si>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</si>
  <si>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</si>
  <si>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</si>
  <si>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</si>
  <si>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</si>
  <si>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</si>
  <si>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</si>
  <si>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</si>
  <si>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</si>
  <si>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</si>
  <si>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</si>
  <si>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</si>
  <si>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</si>
  <si>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</si>
  <si>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</si>
  <si>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</si>
  <si>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</si>
  <si>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</si>
  <si>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</si>
  <si>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</si>
  <si>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</si>
  <si>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</si>
  <si>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</si>
  <si>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</si>
  <si>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</si>
  <si>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</si>
  <si>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</si>
  <si>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</si>
  <si>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</si>
  <si>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</si>
  <si>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</si>
  <si>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</si>
  <si>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</si>
  <si>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</si>
  <si>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</si>
  <si>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</si>
  <si>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</si>
  <si>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</si>
  <si>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</si>
  <si>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</si>
  <si>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</si>
  <si>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</si>
  <si>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</si>
  <si>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</si>
  <si>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</si>
  <si>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</si>
  <si>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</si>
  <si>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</si>
  <si>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</si>
  <si>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</si>
  <si>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</si>
  <si>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</si>
  <si>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</si>
  <si>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</si>
  <si>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</si>
  <si>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</si>
  <si>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</si>
  <si>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</si>
  <si>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</si>
  <si>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</si>
  <si>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</si>
  <si>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</si>
  <si>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</si>
  <si>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</si>
  <si>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</si>
  <si>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</si>
  <si>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</si>
  <si>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</si>
  <si>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</si>
  <si>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</si>
  <si>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</si>
  <si>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</si>
  <si>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</si>
  <si>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</si>
  <si>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</si>
  <si>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</si>
  <si>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</si>
  <si>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</si>
  <si>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</si>
  <si>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</si>
  <si>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</si>
  <si>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</si>
  <si>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</si>
  <si>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</si>
  <si>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</si>
  <si>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</si>
  <si>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</si>
  <si>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</si>
  <si>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</si>
  <si>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</si>
  <si>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</si>
  <si>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</si>
  <si>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</si>
  <si>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</si>
  <si>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</si>
  <si>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</si>
  <si>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</si>
  <si>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</si>
  <si>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</si>
  <si>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</si>
  <si>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</si>
  <si>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</si>
  <si>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</si>
  <si>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</si>
  <si>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</si>
  <si>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</si>
  <si>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</si>
  <si>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</si>
  <si>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</si>
  <si>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</si>
  <si>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</si>
  <si>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</si>
  <si>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</si>
  <si>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</si>
  <si>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</si>
  <si>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</si>
  <si>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</si>
  <si>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</si>
  <si>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</si>
  <si>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</si>
  <si>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</si>
  <si>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</si>
  <si>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</si>
  <si>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</si>
  <si>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</si>
  <si>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</si>
  <si>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</si>
  <si>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</si>
  <si>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</si>
  <si>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</si>
  <si>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</si>
  <si>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</si>
  <si>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</si>
  <si>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</si>
  <si>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</si>
  <si>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</si>
  <si>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</si>
  <si>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</si>
  <si>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</si>
  <si>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</si>
  <si>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</si>
  <si>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</si>
  <si>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</si>
  <si>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</si>
  <si>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</si>
  <si>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</si>
  <si>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</si>
  <si>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</si>
  <si>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</si>
  <si>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</si>
  <si>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</si>
  <si>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</si>
  <si>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</si>
  <si>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</si>
  <si>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</si>
  <si>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</si>
  <si>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</si>
  <si>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</si>
  <si>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</si>
  <si>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</si>
  <si>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</si>
  <si>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</si>
  <si>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</si>
  <si>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</si>
  <si>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</si>
  <si>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</si>
  <si>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</si>
  <si>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</si>
  <si>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</si>
  <si>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</si>
  <si>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</si>
  <si>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</si>
  <si>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</si>
  <si>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</si>
  <si>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</si>
  <si>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</si>
  <si>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</si>
  <si>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</si>
  <si>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</si>
  <si>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</si>
  <si>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</si>
  <si>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</si>
  <si>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</si>
  <si>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</si>
  <si>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</si>
  <si>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</si>
  <si>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</si>
  <si>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</si>
  <si>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</si>
  <si>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</si>
  <si>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</si>
  <si>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</si>
  <si>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</si>
  <si>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</si>
  <si>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</si>
  <si>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</si>
  <si>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</si>
  <si>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</si>
  <si>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</si>
  <si>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</si>
  <si>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</si>
  <si>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</si>
  <si>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</si>
  <si>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</si>
  <si>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</si>
  <si>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</si>
  <si>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</si>
  <si>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</si>
  <si>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</si>
  <si>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</si>
  <si>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</si>
  <si>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</si>
  <si>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</si>
  <si>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</si>
  <si>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</si>
  <si>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</si>
  <si>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</si>
  <si>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</si>
  <si>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</si>
  <si>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</si>
  <si>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</si>
  <si>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</si>
  <si>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</si>
  <si>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</si>
  <si>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</si>
  <si>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</si>
  <si>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</si>
  <si>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</si>
  <si>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</si>
  <si>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</si>
  <si>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</si>
  <si>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</si>
  <si>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</si>
  <si>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</si>
  <si>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</si>
  <si>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</si>
  <si>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</si>
  <si>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</si>
  <si>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</si>
  <si>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</si>
  <si>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</si>
  <si>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</si>
  <si>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</si>
  <si>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</si>
  <si>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</si>
  <si>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</si>
  <si>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</si>
  <si>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</si>
  <si>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</si>
  <si>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</si>
  <si>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</si>
  <si>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</si>
  <si>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</si>
  <si>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</si>
  <si>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</si>
  <si>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</si>
  <si>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</si>
  <si>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</si>
  <si>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</si>
  <si>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</si>
  <si>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</si>
  <si>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</si>
  <si>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</si>
  <si>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</si>
  <si>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</si>
  <si>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</si>
  <si>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</si>
  <si>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</si>
  <si>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</si>
  <si>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</si>
  <si>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</si>
  <si>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</si>
  <si>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</si>
  <si>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</si>
  <si>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</si>
  <si>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</si>
  <si>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</si>
  <si>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</si>
  <si>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</si>
  <si>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</si>
  <si>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</si>
  <si>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</si>
  <si>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</si>
  <si>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</si>
  <si>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</si>
  <si>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</si>
  <si>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</si>
  <si>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</si>
  <si>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</si>
  <si>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</si>
  <si>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</si>
  <si>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</si>
  <si>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</si>
  <si>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</si>
  <si>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</si>
  <si>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</si>
  <si>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</si>
  <si>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</si>
  <si>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</si>
  <si>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</si>
  <si>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</si>
  <si>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</si>
  <si>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</si>
  <si>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</si>
  <si>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</si>
  <si>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</si>
  <si>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</si>
  <si>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</si>
  <si>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</si>
  <si>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</si>
  <si>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</si>
  <si>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</si>
  <si>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</si>
  <si>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</si>
  <si>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</si>
  <si>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</si>
  <si>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</si>
  <si>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</si>
  <si>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</si>
  <si>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</si>
  <si>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</si>
  <si>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</si>
  <si>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</si>
  <si>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</si>
  <si>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</si>
  <si>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</si>
  <si>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</si>
  <si>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</si>
  <si>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</si>
  <si>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</si>
  <si>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</si>
  <si>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</si>
  <si>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</si>
  <si>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</si>
  <si>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</si>
  <si>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</si>
  <si>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</si>
  <si>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</si>
  <si>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</si>
  <si>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</si>
  <si>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</si>
  <si>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</si>
  <si>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</si>
  <si>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</si>
  <si>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</si>
  <si>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</si>
  <si>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</si>
  <si>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</si>
  <si>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</si>
  <si>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</si>
  <si>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</si>
  <si>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</si>
  <si>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</si>
  <si>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</si>
  <si>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</si>
  <si>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</si>
  <si>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</si>
  <si>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</si>
  <si>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</si>
  <si>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</si>
  <si>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</si>
  <si>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</si>
  <si>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</si>
  <si>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</si>
  <si>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</si>
  <si>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</si>
  <si>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</si>
  <si>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</si>
  <si>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</si>
  <si>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</si>
  <si>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</si>
  <si>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</si>
  <si>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</si>
  <si>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</si>
  <si>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</si>
  <si>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</si>
  <si>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</si>
  <si>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</si>
  <si>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</si>
  <si>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</si>
  <si>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</si>
  <si>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</si>
  <si>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</si>
  <si>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</si>
  <si>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</si>
  <si>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</si>
  <si>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</si>
  <si>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</si>
  <si>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</si>
  <si>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</si>
  <si>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</si>
  <si>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</si>
  <si>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</si>
  <si>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</si>
  <si>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</si>
  <si>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</si>
  <si>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</si>
  <si>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</si>
  <si>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</si>
  <si>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</si>
  <si>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</si>
  <si>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</si>
  <si>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</si>
  <si>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</si>
  <si>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</si>
  <si>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</si>
  <si>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</si>
  <si>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</si>
  <si>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</si>
  <si>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</si>
  <si>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</si>
  <si>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</si>
  <si>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</si>
  <si>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</si>
  <si>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</si>
  <si>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</si>
  <si>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</si>
  <si>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</si>
  <si>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</si>
  <si>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</si>
  <si>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</si>
  <si>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</si>
  <si>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</si>
  <si>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</si>
  <si>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</si>
  <si>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</si>
  <si>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</si>
  <si>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</si>
  <si>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</si>
  <si>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</si>
  <si>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</si>
  <si>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</si>
  <si>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</si>
  <si>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</si>
  <si>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</si>
  <si>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</si>
  <si>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</si>
  <si>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</si>
  <si>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</si>
  <si>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</si>
  <si>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</si>
  <si>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</si>
  <si>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</si>
  <si>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</si>
  <si>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</si>
  <si>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</si>
  <si>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</si>
  <si>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</si>
  <si>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</si>
  <si>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</si>
  <si>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</si>
  <si>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</si>
  <si>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</si>
  <si>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</si>
  <si>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</si>
  <si>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</si>
  <si>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</si>
  <si>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</si>
  <si>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</si>
  <si>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</si>
  <si>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</si>
  <si>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</si>
  <si>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</si>
  <si>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</si>
  <si>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</si>
  <si>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</si>
  <si>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</si>
  <si>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</si>
  <si>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</si>
  <si>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</si>
  <si>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</si>
  <si>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</si>
  <si>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</si>
  <si>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</si>
  <si>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</si>
  <si>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</si>
  <si>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</si>
  <si>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</si>
  <si>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</si>
  <si>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</si>
  <si>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</si>
  <si>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</si>
  <si>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</si>
  <si>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</si>
  <si>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</si>
  <si>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</si>
  <si>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</si>
  <si>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</si>
  <si>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</si>
  <si>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</si>
  <si>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</si>
  <si>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</si>
  <si>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</si>
  <si>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</si>
  <si>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</si>
  <si>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</si>
  <si>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</si>
  <si>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</si>
  <si>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</si>
  <si>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</si>
  <si>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</si>
  <si>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</si>
  <si>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</si>
  <si>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</si>
  <si>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</si>
  <si>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</si>
  <si>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</si>
  <si>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</si>
  <si>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</si>
  <si>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</si>
  <si>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</si>
  <si>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</si>
  <si>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</si>
  <si>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</si>
  <si>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</si>
  <si>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</si>
  <si>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</si>
  <si>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</si>
  <si>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</si>
  <si>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</si>
  <si>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</si>
  <si>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</si>
  <si>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</si>
  <si>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</si>
  <si>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</si>
  <si>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</si>
  <si>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</si>
  <si>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</si>
  <si>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</si>
  <si>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</si>
  <si>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</si>
  <si>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</si>
  <si>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</si>
  <si>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</si>
  <si>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</si>
  <si>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</si>
  <si>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</si>
  <si>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</si>
  <si>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</si>
  <si>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</si>
  <si>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</si>
  <si>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</si>
  <si>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</si>
  <si>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</si>
  <si>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</si>
  <si>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</si>
  <si>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</si>
  <si>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</si>
  <si>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</si>
  <si>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</si>
  <si>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</si>
  <si>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</si>
  <si>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</si>
  <si>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</si>
  <si>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</si>
  <si>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</si>
  <si>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</si>
  <si>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</si>
  <si>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</si>
  <si>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</si>
  <si>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</si>
  <si>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</si>
  <si>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</si>
  <si>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</si>
  <si>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</si>
  <si>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</si>
  <si>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</si>
  <si>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</si>
  <si>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</si>
  <si>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</si>
  <si>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</si>
  <si>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</si>
  <si>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</si>
  <si>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</si>
  <si>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</si>
  <si>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</si>
  <si>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</si>
  <si>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</si>
  <si>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</si>
  <si>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</si>
  <si>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</si>
  <si>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</si>
  <si>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</si>
  <si>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</si>
  <si>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</si>
  <si>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</si>
  <si>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</si>
  <si>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</si>
  <si>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</si>
  <si>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</si>
  <si>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</si>
  <si>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</si>
  <si>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</si>
  <si>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</si>
  <si>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</si>
  <si>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</si>
  <si>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</si>
  <si>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</si>
  <si>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</si>
  <si>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</si>
  <si>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</si>
  <si>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</si>
  <si>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</si>
  <si>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</si>
  <si>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</si>
  <si>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</si>
  <si>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</si>
  <si>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</si>
  <si>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</si>
  <si>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</si>
  <si>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</si>
  <si>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</si>
  <si>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</si>
  <si>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</si>
  <si>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</si>
  <si>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</si>
  <si>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</si>
  <si>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</si>
  <si>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</si>
  <si>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</si>
  <si>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</si>
  <si>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</si>
  <si>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</si>
  <si>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</si>
  <si>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</si>
  <si>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</si>
  <si>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</si>
  <si>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</si>
  <si>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</si>
  <si>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</si>
  <si>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</si>
  <si>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</si>
  <si>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</si>
  <si>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</si>
  <si>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</si>
  <si>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</si>
  <si>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</si>
  <si>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</si>
  <si>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</si>
  <si>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</si>
  <si>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</si>
  <si>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</si>
  <si>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</si>
  <si>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</si>
  <si>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</si>
  <si>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</si>
  <si>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</si>
  <si>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</si>
  <si>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</si>
  <si>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</si>
  <si>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</si>
  <si>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</si>
  <si>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</si>
  <si>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</si>
  <si>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</si>
  <si>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</si>
  <si>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</si>
  <si>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</si>
  <si>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</si>
  <si>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</si>
  <si>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</si>
  <si>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</si>
  <si>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</si>
  <si>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</si>
  <si>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</si>
  <si>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</si>
  <si>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</si>
  <si>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</si>
  <si>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</si>
  <si>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</si>
  <si>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</si>
  <si>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</si>
  <si>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</si>
  <si>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</si>
  <si>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</si>
  <si>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</si>
  <si>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</si>
  <si>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</si>
  <si>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</si>
  <si>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</si>
  <si>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</si>
  <si>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</si>
  <si>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</si>
  <si>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</si>
  <si>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</si>
  <si>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</si>
  <si>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</si>
  <si>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</si>
  <si>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</si>
  <si>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</si>
  <si>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</si>
  <si>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</si>
  <si>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</si>
  <si>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</si>
  <si>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</si>
  <si>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</si>
  <si>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</si>
  <si>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</si>
  <si>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</si>
  <si>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</si>
  <si>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</si>
  <si>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</si>
  <si>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</si>
  <si>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</si>
  <si>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</si>
  <si>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</si>
  <si>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</si>
  <si>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</si>
  <si>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</si>
  <si>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</si>
  <si>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</si>
  <si>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</si>
  <si>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</si>
  <si>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</si>
  <si>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</si>
  <si>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</si>
  <si>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</si>
  <si>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</si>
  <si>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</si>
  <si>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</si>
  <si>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</si>
  <si>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</si>
  <si>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</si>
  <si>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</si>
  <si>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</si>
  <si>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</si>
  <si>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</si>
  <si>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</si>
  <si>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</si>
  <si>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</si>
  <si>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</si>
  <si>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</si>
  <si>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</si>
  <si>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</si>
  <si>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</si>
  <si>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</si>
  <si>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</si>
  <si>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</si>
  <si>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</si>
  <si>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</si>
  <si>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</si>
  <si>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</si>
  <si>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</si>
  <si>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</si>
  <si>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</si>
  <si>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</si>
  <si>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</si>
  <si>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</si>
  <si>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</si>
  <si>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</si>
  <si>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</si>
  <si>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</si>
  <si>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</si>
  <si>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</si>
  <si>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</si>
  <si>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</si>
  <si>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</si>
  <si>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</si>
  <si>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</si>
  <si>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</si>
  <si>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</si>
  <si>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</si>
  <si>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</si>
  <si>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</si>
  <si>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</si>
  <si>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</si>
  <si>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</si>
  <si>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</si>
  <si>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</si>
  <si>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</si>
  <si>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</si>
  <si>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</si>
  <si>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</si>
  <si>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</si>
  <si>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</si>
  <si>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</si>
  <si>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</si>
  <si>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</si>
  <si>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</si>
  <si>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</si>
  <si>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</si>
  <si>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</si>
  <si>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</si>
  <si>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</si>
  <si>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</si>
  <si>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</si>
  <si>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</si>
  <si>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</si>
  <si>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</si>
  <si>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</si>
  <si>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</si>
  <si>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</si>
  <si>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</si>
  <si>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</si>
  <si>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</si>
  <si>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</si>
  <si>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</si>
  <si>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</si>
  <si>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</si>
  <si>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</si>
  <si>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</si>
  <si>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</si>
  <si>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</si>
  <si>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</si>
  <si>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</si>
  <si>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</si>
  <si>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</si>
  <si>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</si>
  <si>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</si>
  <si>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</si>
  <si>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</si>
  <si>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</si>
  <si>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</si>
  <si>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</si>
  <si>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</si>
  <si>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</si>
  <si>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</si>
  <si>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</si>
  <si>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</si>
  <si>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</si>
  <si>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</si>
  <si>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</si>
  <si>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</si>
  <si>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</si>
  <si>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</si>
  <si>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</si>
  <si>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</si>
  <si>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</si>
  <si>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</si>
  <si>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</si>
  <si>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</si>
  <si>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</si>
  <si>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</si>
  <si>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</si>
  <si>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</si>
  <si>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</si>
  <si>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</si>
  <si>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</si>
  <si>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</si>
  <si>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</si>
  <si>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</si>
  <si>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</si>
  <si>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</si>
  <si>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</si>
  <si>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</si>
  <si>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</si>
  <si>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</si>
  <si>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</si>
  <si>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</si>
  <si>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</si>
  <si>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</si>
  <si>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</si>
  <si>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</si>
  <si>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</si>
  <si>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</si>
  <si>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</si>
  <si>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</si>
  <si>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</si>
  <si>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</si>
  <si>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</si>
  <si>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</si>
  <si>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</si>
  <si>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</si>
  <si>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</si>
  <si>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</si>
  <si>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</si>
  <si>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</si>
  <si>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</si>
  <si>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</si>
  <si>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</si>
  <si>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</si>
  <si>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</si>
  <si>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</si>
  <si>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</si>
  <si>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</si>
  <si>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</si>
  <si>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</si>
  <si>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</si>
  <si>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</si>
  <si>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</si>
  <si>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</si>
  <si>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</si>
  <si>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</si>
  <si>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</si>
  <si>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</si>
  <si>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</si>
  <si>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</si>
  <si>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</si>
  <si>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</si>
  <si>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</si>
  <si>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</si>
  <si>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</si>
  <si>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</si>
  <si>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</si>
  <si>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</si>
  <si>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</si>
  <si>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</si>
  <si>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</si>
  <si>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</si>
  <si>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</si>
  <si>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</si>
  <si>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</si>
  <si>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</si>
  <si>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</si>
  <si>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</si>
  <si>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</si>
  <si>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</si>
  <si>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</si>
  <si>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</si>
  <si>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</si>
  <si>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</si>
  <si>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</si>
  <si>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</si>
  <si>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</si>
  <si>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</si>
  <si>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</si>
  <si>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</si>
  <si>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</si>
  <si>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</si>
  <si>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</si>
  <si>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</si>
  <si>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</si>
  <si>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</si>
  <si>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</si>
  <si>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</si>
  <si>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</si>
  <si>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</si>
  <si>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</si>
  <si>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</si>
  <si>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</si>
  <si>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</si>
  <si>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</si>
  <si>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</si>
  <si>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</si>
  <si>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</si>
  <si>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</si>
  <si>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</si>
  <si>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</si>
  <si>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</si>
  <si>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</si>
  <si>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</si>
  <si>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</si>
  <si>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</si>
  <si>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</si>
  <si>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</si>
  <si>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</si>
  <si>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</si>
  <si>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</si>
  <si>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</si>
  <si>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</si>
  <si>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</si>
  <si>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</si>
  <si>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</si>
  <si>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</si>
  <si>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</si>
  <si>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</si>
  <si>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</si>
  <si>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</si>
  <si>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</si>
  <si>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</si>
  <si>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</si>
  <si>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</si>
  <si>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</si>
  <si>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</si>
  <si>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</si>
  <si>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</si>
  <si>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</si>
  <si>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</si>
  <si>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</si>
  <si>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</si>
  <si>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</si>
  <si>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</si>
  <si>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</si>
  <si>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</si>
  <si>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</si>
  <si>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</si>
  <si>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</si>
  <si>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</si>
  <si>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</si>
  <si>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</si>
  <si>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</si>
  <si>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</si>
  <si>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</si>
  <si>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</si>
  <si>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</si>
  <si>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</si>
  <si>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</si>
  <si>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</si>
  <si>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</si>
  <si>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</si>
  <si>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</si>
  <si>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</si>
  <si>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</si>
  <si>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</si>
  <si>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</si>
  <si>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</si>
  <si>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</si>
  <si>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</si>
  <si>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</si>
  <si>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</si>
  <si>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</si>
  <si>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</si>
  <si>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</si>
  <si>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</si>
  <si>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</si>
  <si>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</si>
  <si>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</si>
  <si>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</si>
  <si>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</si>
  <si>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</si>
  <si>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</si>
  <si>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</si>
  <si>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</si>
  <si>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</si>
  <si>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</si>
  <si>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</si>
  <si>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</si>
  <si>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</si>
  <si>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</si>
  <si>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</si>
  <si>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</si>
  <si>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</si>
  <si>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</si>
  <si>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</si>
  <si>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</si>
  <si>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</si>
  <si>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</si>
  <si>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</si>
  <si>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</si>
  <si>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</si>
  <si>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</si>
  <si>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</si>
  <si>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</si>
  <si>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</si>
  <si>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</si>
  <si>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</si>
  <si>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</si>
  <si>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</si>
  <si>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</si>
  <si>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</si>
  <si>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</si>
  <si>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</si>
  <si>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</si>
  <si>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</si>
  <si>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</si>
  <si>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</si>
  <si>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</si>
  <si>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</si>
  <si>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</si>
  <si>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</si>
  <si>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</si>
  <si>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</si>
  <si>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</si>
  <si>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</si>
  <si>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</si>
  <si>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</si>
  <si>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</si>
  <si>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</si>
  <si>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</si>
  <si>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</si>
  <si>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</si>
  <si>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</si>
  <si>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</si>
  <si>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</si>
  <si>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</si>
  <si>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</si>
  <si>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</si>
  <si>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</si>
  <si>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</si>
  <si>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</si>
  <si>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</si>
  <si>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</si>
  <si>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</si>
  <si>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</si>
  <si>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</si>
  <si>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</si>
  <si>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</si>
  <si>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</si>
  <si>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</si>
  <si>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</si>
  <si>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</si>
  <si>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</si>
  <si>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</si>
  <si>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</si>
  <si>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</si>
  <si>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</si>
  <si>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</si>
  <si>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</si>
  <si>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</si>
  <si>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</si>
  <si>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</si>
  <si>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</si>
  <si>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</si>
  <si>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</si>
  <si>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</si>
  <si>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</si>
  <si>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</si>
  <si>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</si>
  <si>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</si>
  <si>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</si>
  <si>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</si>
  <si>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</si>
  <si>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</si>
  <si>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</si>
  <si>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</si>
  <si>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</si>
  <si>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</si>
  <si>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</si>
  <si>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</si>
  <si>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</si>
  <si>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</si>
  <si>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</si>
  <si>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</si>
  <si>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</si>
  <si>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</si>
  <si>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</si>
  <si>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</si>
  <si>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</si>
  <si>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</si>
  <si>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</si>
  <si>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</si>
  <si>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</si>
  <si>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</si>
  <si>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</si>
  <si>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</si>
  <si>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</si>
  <si>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</si>
  <si>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</si>
  <si>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</si>
  <si>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</si>
  <si>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</si>
  <si>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</si>
  <si>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</si>
  <si>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</si>
  <si>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</si>
  <si>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</si>
  <si>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</si>
  <si>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</si>
  <si>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</si>
  <si>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</si>
  <si>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</si>
  <si>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</si>
  <si>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</si>
  <si>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</si>
  <si>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테스트</t>
  </si>
  <si>
    <t>배포</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</si>
  <si>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</si>
  <si>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</si>
  <si>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</si>
  <si>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</si>
  <si>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</si>
  <si>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</si>
  <si>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</si>
  <si>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</si>
  <si>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</si>
  <si>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</si>
  <si>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</si>
  <si>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</si>
  <si>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</si>
  <si>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</si>
  <si>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t>Thuns for Myanmar</t>
  </si>
  <si>
    <t>Lyhour API for Cambodia deposit</t>
  </si>
  <si>
    <t>Inbound(Online, App) 2nd Phase</t>
  </si>
  <si>
    <t>Shinhan,IBK-KFTC</t>
  </si>
  <si>
    <t>Agrani bank/Islami bank add to new app</t>
  </si>
  <si>
    <t>KJ-Auto remit for multiple-accounts use</t>
  </si>
  <si>
    <t>Registration logic</t>
  </si>
  <si>
    <t>Dynamic receiver setup</t>
  </si>
  <si>
    <t>Send Txn process same as web</t>
  </si>
  <si>
    <t>Resend method not to check anything</t>
  </si>
  <si>
    <t>Channel talk app in new app</t>
  </si>
  <si>
    <t>Popup notice in new app</t>
  </si>
  <si>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</si>
  <si>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</si>
  <si>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</si>
  <si>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</si>
  <si>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</si>
  <si>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</si>
  <si>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</si>
  <si>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2.8</t>
  </si>
  <si>
    <t>2.9</t>
  </si>
  <si>
    <t>2.10</t>
  </si>
  <si>
    <t>2.11</t>
  </si>
  <si>
    <t>3.4</t>
  </si>
  <si>
    <t>3.5</t>
  </si>
  <si>
    <t>3.6</t>
  </si>
  <si>
    <t>3.7</t>
  </si>
  <si>
    <t>3.8</t>
  </si>
  <si>
    <t>3.9</t>
  </si>
  <si>
    <t>3.10</t>
  </si>
  <si>
    <t>3.11</t>
  </si>
  <si>
    <t>4.1</t>
  </si>
  <si>
    <t>4.2</t>
  </si>
  <si>
    <t>4.3</t>
  </si>
  <si>
    <t>4.4</t>
  </si>
  <si>
    <t>4.5</t>
  </si>
  <si>
    <t>4.6</t>
  </si>
  <si>
    <t>4.7</t>
  </si>
  <si>
    <t>4.8</t>
  </si>
  <si>
    <t>4.9</t>
  </si>
  <si>
    <t>4.10</t>
  </si>
  <si>
    <t>4.11</t>
  </si>
  <si>
    <t>4.12</t>
  </si>
  <si>
    <t>4.13</t>
  </si>
  <si>
    <t>3.1.1</t>
  </si>
  <si>
    <t>3.1.2</t>
  </si>
  <si>
    <t>3.1.3</t>
  </si>
  <si>
    <t>3.1.4</t>
  </si>
  <si>
    <t>3.2.1</t>
  </si>
  <si>
    <t>3.2.2</t>
  </si>
  <si>
    <t>3.2.3</t>
  </si>
  <si>
    <t>3.2.4</t>
  </si>
  <si>
    <t>3.3.1</t>
  </si>
  <si>
    <t>3.3.2</t>
  </si>
  <si>
    <t>3.3.3</t>
  </si>
  <si>
    <t>3.3.4</t>
  </si>
  <si>
    <t>3.4.1</t>
  </si>
  <si>
    <t>3.4.2</t>
  </si>
  <si>
    <t>3.4.3</t>
  </si>
  <si>
    <t>3.4.4</t>
  </si>
  <si>
    <t>3.5.1</t>
  </si>
  <si>
    <t>3.5.2</t>
  </si>
  <si>
    <t>3.5.3</t>
  </si>
  <si>
    <t>3.5.4</t>
  </si>
  <si>
    <t>3.6.1</t>
  </si>
  <si>
    <t>3.6.2</t>
  </si>
  <si>
    <t>3.6.3</t>
  </si>
  <si>
    <t>3.6.4</t>
  </si>
  <si>
    <t>3.7.1</t>
  </si>
  <si>
    <t>3.7.2</t>
  </si>
  <si>
    <t>3.7.3</t>
  </si>
  <si>
    <t>3.7.4</t>
  </si>
  <si>
    <t>3.8.1</t>
  </si>
  <si>
    <t>3.8.2</t>
  </si>
  <si>
    <t>3.8.3</t>
  </si>
  <si>
    <t>3.8.4</t>
  </si>
  <si>
    <t>3.9.1</t>
  </si>
  <si>
    <t>3.9.2</t>
  </si>
  <si>
    <t>3.9.3</t>
  </si>
  <si>
    <t>3.9.4</t>
  </si>
  <si>
    <t>3.10.1</t>
  </si>
  <si>
    <t>3.10.2</t>
  </si>
  <si>
    <t>3.10.3</t>
  </si>
  <si>
    <t>3.10.4</t>
  </si>
  <si>
    <t>3.11.1</t>
  </si>
  <si>
    <t>3.11.2</t>
  </si>
  <si>
    <t>3.11.3</t>
  </si>
  <si>
    <t>3.11.4</t>
  </si>
  <si>
    <t>Unit Test</t>
  </si>
  <si>
    <t>Integrated Test</t>
  </si>
  <si>
    <t>5.4</t>
  </si>
  <si>
    <t>5.5</t>
  </si>
  <si>
    <t>5.6</t>
  </si>
  <si>
    <t>5.7</t>
  </si>
  <si>
    <t>5.8</t>
  </si>
  <si>
    <t>5.9</t>
  </si>
  <si>
    <t>5.10</t>
  </si>
  <si>
    <t>5.11</t>
  </si>
  <si>
    <t>5.12</t>
  </si>
  <si>
    <t>5.13</t>
  </si>
  <si>
    <t>Core</t>
  </si>
  <si>
    <t>Online</t>
  </si>
  <si>
    <t>API</t>
  </si>
  <si>
    <t>iOS,Android</t>
  </si>
  <si>
    <t>4.1.1</t>
  </si>
  <si>
    <t>4.1.2</t>
  </si>
  <si>
    <t>4.2.1</t>
  </si>
  <si>
    <t>4.2.2</t>
  </si>
  <si>
    <t>4.3.1</t>
  </si>
  <si>
    <t>4.3.2</t>
  </si>
  <si>
    <t>4.4.1</t>
  </si>
  <si>
    <t>4.4.2</t>
  </si>
  <si>
    <t>4.5.1</t>
  </si>
  <si>
    <t>4.5.2</t>
  </si>
  <si>
    <t>4.6.1</t>
  </si>
  <si>
    <t>4.6.2</t>
  </si>
  <si>
    <t>4.7.1</t>
  </si>
  <si>
    <t>4.7.2</t>
  </si>
  <si>
    <t>4.8.1</t>
  </si>
  <si>
    <t>4.8.2</t>
  </si>
  <si>
    <t>4.9.1</t>
  </si>
  <si>
    <t>4.9.2</t>
  </si>
  <si>
    <t>4.10.1</t>
  </si>
  <si>
    <t>4.10.2</t>
  </si>
  <si>
    <t>4.11.1</t>
  </si>
  <si>
    <t>4.11.2</t>
  </si>
  <si>
    <t>4.12.1</t>
  </si>
  <si>
    <t>4.12.2</t>
  </si>
  <si>
    <t>4.13.1</t>
  </si>
  <si>
    <t>4.13.2</t>
  </si>
  <si>
    <t>Saroj</t>
  </si>
  <si>
    <t>Calculate in first screen</t>
  </si>
  <si>
    <t xml:space="preserve">Ryan </t>
  </si>
  <si>
    <t>James,Preyea</t>
  </si>
  <si>
    <t>Max,Pralhad</t>
  </si>
  <si>
    <t>Manoj</t>
  </si>
  <si>
    <t>DB</t>
  </si>
  <si>
    <t>Pralhad</t>
  </si>
  <si>
    <t>Auto refund using KFTC</t>
  </si>
  <si>
    <t>Balance check using KFTC</t>
  </si>
  <si>
    <t>Domestic transfer using KFTC</t>
  </si>
  <si>
    <t>Reward/Coupon system 2nd Phase</t>
  </si>
  <si>
    <t>2.12</t>
  </si>
  <si>
    <t>2.13</t>
  </si>
  <si>
    <t>2.14</t>
  </si>
  <si>
    <t>2.15</t>
  </si>
  <si>
    <t>2.16</t>
  </si>
  <si>
    <t>Domestic bank transfer using KFTC</t>
  </si>
  <si>
    <t>분석/설계</t>
  </si>
  <si>
    <t>3.12</t>
  </si>
  <si>
    <t>3.12.1</t>
  </si>
  <si>
    <t>3.12.2</t>
  </si>
  <si>
    <t>3.12.3</t>
  </si>
  <si>
    <t>3.12.4</t>
  </si>
  <si>
    <t>3.13</t>
  </si>
  <si>
    <t>3.13.1</t>
  </si>
  <si>
    <t>3.13.2</t>
  </si>
  <si>
    <t>3.13.3</t>
  </si>
  <si>
    <t>3.13.4</t>
  </si>
  <si>
    <t>3.14</t>
  </si>
  <si>
    <t>3.14.1</t>
  </si>
  <si>
    <t>3.14.2</t>
  </si>
  <si>
    <t>3.14.3</t>
  </si>
  <si>
    <t>3.14.4</t>
  </si>
  <si>
    <t>3.15</t>
  </si>
  <si>
    <t>3.15.1</t>
  </si>
  <si>
    <t>3.15.2</t>
  </si>
  <si>
    <t>3.15.3</t>
  </si>
  <si>
    <t>3.15.4</t>
  </si>
  <si>
    <t>3.16</t>
  </si>
  <si>
    <t>3.16.1</t>
  </si>
  <si>
    <t>3.16.2</t>
  </si>
  <si>
    <t>3.16.3</t>
  </si>
  <si>
    <t>3.16.4</t>
  </si>
  <si>
    <t>3.17</t>
  </si>
  <si>
    <t>3.17.1</t>
  </si>
  <si>
    <t>3.17.2</t>
  </si>
  <si>
    <t>3.17.3</t>
  </si>
  <si>
    <t>3.17.4</t>
  </si>
  <si>
    <t>4.14</t>
  </si>
  <si>
    <t>4.14.1</t>
  </si>
  <si>
    <t>4.14.2</t>
  </si>
  <si>
    <t>4.15</t>
  </si>
  <si>
    <t>4.15.1</t>
  </si>
  <si>
    <t>4.15.2</t>
  </si>
  <si>
    <t>4.16</t>
  </si>
  <si>
    <t>4.16.1</t>
  </si>
  <si>
    <t>4.16.2</t>
  </si>
  <si>
    <t>4.17</t>
  </si>
  <si>
    <t>4.17.1</t>
  </si>
  <si>
    <t>4.17.2</t>
  </si>
  <si>
    <t>5.14</t>
  </si>
  <si>
    <t>5.15</t>
  </si>
  <si>
    <t>5.16</t>
  </si>
  <si>
    <t>5.17</t>
  </si>
  <si>
    <t>Ram</t>
  </si>
  <si>
    <t>Ganesh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</si>
</sst>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6">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176" fontId="11" fillId="5"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0" fontId="11" fillId="10" borderId="2" xfId="4" applyNumberFormat="1" applyFont="1" applyFill="1" applyBorder="1" applyAlignment="1" applyProtection="1">
      <alignment horizontal="center"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28</xdr:col>
      <xdr:colOff>82732</xdr:colOff>
      <xdr:row>3</xdr:row>
      <xdr:rowOff>59690</xdr:rowOff>
    </xdr:from>
    <xdr:to>
      <xdr:col>28</xdr:col>
      <xdr:colOff>82732</xdr:colOff>
      <xdr:row>212</xdr:row>
      <xdr:rowOff>152399</xdr:rowOff>
    </xdr:to>
    <xdr:cxnSp macro="">
      <xdr:nvCxnSpPr>
        <xdr:cNvPr id="1100" name="직선 화살표 연결선 1099">
          <a:extLst>
            <a:ext uri="{FF2B5EF4-FFF2-40B4-BE49-F238E27FC236}">
              <a16:creationId xmlns:a16="http://schemas.microsoft.com/office/drawing/2014/main" id="{9E977E70-0A49-4D3B-839B-0AE5AF890F9A}"/>
            </a:ext>
          </a:extLst>
        </xdr:cNvPr>
        <xdr:cNvCxnSpPr/>
      </xdr:nvCxnSpPr>
      <xdr:spPr>
        <a:xfrm>
          <a:off x="8632372" y="753110"/>
          <a:ext cx="0" cy="36729669"/>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210</xdr:row>
      <xdr:rowOff>19049</xdr:rowOff>
    </xdr:from>
    <xdr:to>
      <xdr:col>32</xdr:col>
      <xdr:colOff>41366</xdr:colOff>
      <xdr:row>210</xdr:row>
      <xdr:rowOff>133349</xdr:rowOff>
    </xdr:to>
    <xdr:sp macro="" textlink="">
      <xdr:nvSpPr>
        <xdr:cNvPr id="6093" name="직사각형 6092">
          <a:extLst>
            <a:ext uri="{FF2B5EF4-FFF2-40B4-BE49-F238E27FC236}">
              <a16:creationId xmlns:a16="http://schemas.microsoft.com/office/drawing/2014/main" id="{F355DBF0-DE9A-406D-81EB-1696A077F873}"/>
            </a:ext>
          </a:extLst>
        </xdr:cNvPr>
        <xdr:cNvSpPr/>
      </xdr:nvSpPr>
      <xdr:spPr>
        <a:xfrm>
          <a:off x="9149443" y="32167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210</xdr:row>
      <xdr:rowOff>76199</xdr:rowOff>
    </xdr:from>
    <xdr:to>
      <xdr:col>32</xdr:col>
      <xdr:colOff>20683</xdr:colOff>
      <xdr:row>210</xdr:row>
      <xdr:rowOff>76199</xdr:rowOff>
    </xdr:to>
    <xdr:cxnSp macro="">
      <xdr:nvCxnSpPr>
        <xdr:cNvPr id="6094" name="직선 화살표 연결선 6093">
          <a:extLst>
            <a:ext uri="{FF2B5EF4-FFF2-40B4-BE49-F238E27FC236}">
              <a16:creationId xmlns:a16="http://schemas.microsoft.com/office/drawing/2014/main" id="{2D2634A6-D196-4405-825B-AA9D577A2185}"/>
            </a:ext>
          </a:extLst>
        </xdr:cNvPr>
        <xdr:cNvCxnSpPr/>
      </xdr:nvCxnSpPr>
      <xdr:spPr>
        <a:xfrm>
          <a:off x="9149443" y="32224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209</xdr:row>
      <xdr:rowOff>19049</xdr:rowOff>
    </xdr:from>
    <xdr:to>
      <xdr:col>32</xdr:col>
      <xdr:colOff>41366</xdr:colOff>
      <xdr:row>209</xdr:row>
      <xdr:rowOff>133349</xdr:rowOff>
    </xdr:to>
    <xdr:sp macro="" textlink="">
      <xdr:nvSpPr>
        <xdr:cNvPr id="6095" name="직사각형 6094">
          <a:extLst>
            <a:ext uri="{FF2B5EF4-FFF2-40B4-BE49-F238E27FC236}">
              <a16:creationId xmlns:a16="http://schemas.microsoft.com/office/drawing/2014/main" id="{5B9B0D3F-B3EB-4EAE-A5B6-D682C0788CF7}"/>
            </a:ext>
          </a:extLst>
        </xdr:cNvPr>
        <xdr:cNvSpPr/>
      </xdr:nvSpPr>
      <xdr:spPr>
        <a:xfrm>
          <a:off x="9149443" y="32015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209</xdr:row>
      <xdr:rowOff>76199</xdr:rowOff>
    </xdr:from>
    <xdr:to>
      <xdr:col>32</xdr:col>
      <xdr:colOff>20683</xdr:colOff>
      <xdr:row>209</xdr:row>
      <xdr:rowOff>76199</xdr:rowOff>
    </xdr:to>
    <xdr:cxnSp macro="">
      <xdr:nvCxnSpPr>
        <xdr:cNvPr id="6096" name="직선 화살표 연결선 6095">
          <a:extLst>
            <a:ext uri="{FF2B5EF4-FFF2-40B4-BE49-F238E27FC236}">
              <a16:creationId xmlns:a16="http://schemas.microsoft.com/office/drawing/2014/main" id="{26F4DEC5-A567-4DC1-BAD8-A51DF6EF8919}"/>
            </a:ext>
          </a:extLst>
        </xdr:cNvPr>
        <xdr:cNvCxnSpPr/>
      </xdr:nvCxnSpPr>
      <xdr:spPr>
        <a:xfrm>
          <a:off x="9149443" y="32072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208</xdr:row>
      <xdr:rowOff>19049</xdr:rowOff>
    </xdr:from>
    <xdr:to>
      <xdr:col>32</xdr:col>
      <xdr:colOff>41366</xdr:colOff>
      <xdr:row>208</xdr:row>
      <xdr:rowOff>133349</xdr:rowOff>
    </xdr:to>
    <xdr:sp macro="" textlink="">
      <xdr:nvSpPr>
        <xdr:cNvPr id="6097" name="직사각형 6096">
          <a:extLst>
            <a:ext uri="{FF2B5EF4-FFF2-40B4-BE49-F238E27FC236}">
              <a16:creationId xmlns:a16="http://schemas.microsoft.com/office/drawing/2014/main" id="{425AB7A3-82AA-4E8E-AB32-BD7AC6543959}"/>
            </a:ext>
          </a:extLst>
        </xdr:cNvPr>
        <xdr:cNvSpPr/>
      </xdr:nvSpPr>
      <xdr:spPr>
        <a:xfrm>
          <a:off x="9149443" y="31863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208</xdr:row>
      <xdr:rowOff>76199</xdr:rowOff>
    </xdr:from>
    <xdr:to>
      <xdr:col>32</xdr:col>
      <xdr:colOff>20683</xdr:colOff>
      <xdr:row>208</xdr:row>
      <xdr:rowOff>76199</xdr:rowOff>
    </xdr:to>
    <xdr:cxnSp macro="">
      <xdr:nvCxnSpPr>
        <xdr:cNvPr id="6098" name="직선 화살표 연결선 6097">
          <a:extLst>
            <a:ext uri="{FF2B5EF4-FFF2-40B4-BE49-F238E27FC236}">
              <a16:creationId xmlns:a16="http://schemas.microsoft.com/office/drawing/2014/main" id="{C5F52624-FFA5-4550-AF66-A1548BB34FF8}"/>
            </a:ext>
          </a:extLst>
        </xdr:cNvPr>
        <xdr:cNvCxnSpPr/>
      </xdr:nvCxnSpPr>
      <xdr:spPr>
        <a:xfrm>
          <a:off x="9149443" y="31920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207</xdr:row>
      <xdr:rowOff>19049</xdr:rowOff>
    </xdr:from>
    <xdr:to>
      <xdr:col>32</xdr:col>
      <xdr:colOff>41366</xdr:colOff>
      <xdr:row>207</xdr:row>
      <xdr:rowOff>133349</xdr:rowOff>
    </xdr:to>
    <xdr:sp macro="" textlink="">
      <xdr:nvSpPr>
        <xdr:cNvPr id="6099" name="직사각형 6098">
          <a:extLst>
            <a:ext uri="{FF2B5EF4-FFF2-40B4-BE49-F238E27FC236}">
              <a16:creationId xmlns:a16="http://schemas.microsoft.com/office/drawing/2014/main" id="{58C10388-077C-400E-9B10-081390E75513}"/>
            </a:ext>
          </a:extLst>
        </xdr:cNvPr>
        <xdr:cNvSpPr/>
      </xdr:nvSpPr>
      <xdr:spPr>
        <a:xfrm>
          <a:off x="9149443" y="31710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207</xdr:row>
      <xdr:rowOff>76199</xdr:rowOff>
    </xdr:from>
    <xdr:to>
      <xdr:col>32</xdr:col>
      <xdr:colOff>20683</xdr:colOff>
      <xdr:row>207</xdr:row>
      <xdr:rowOff>76199</xdr:rowOff>
    </xdr:to>
    <xdr:cxnSp macro="">
      <xdr:nvCxnSpPr>
        <xdr:cNvPr id="6100" name="직선 화살표 연결선 6099">
          <a:extLst>
            <a:ext uri="{FF2B5EF4-FFF2-40B4-BE49-F238E27FC236}">
              <a16:creationId xmlns:a16="http://schemas.microsoft.com/office/drawing/2014/main" id="{A686C475-7399-4AC5-AEC7-ADD13C118A7D}"/>
            </a:ext>
          </a:extLst>
        </xdr:cNvPr>
        <xdr:cNvCxnSpPr/>
      </xdr:nvCxnSpPr>
      <xdr:spPr>
        <a:xfrm>
          <a:off x="9149443" y="3176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206</xdr:row>
      <xdr:rowOff>19049</xdr:rowOff>
    </xdr:from>
    <xdr:to>
      <xdr:col>32</xdr:col>
      <xdr:colOff>41366</xdr:colOff>
      <xdr:row>206</xdr:row>
      <xdr:rowOff>133349</xdr:rowOff>
    </xdr:to>
    <xdr:sp macro="" textlink="">
      <xdr:nvSpPr>
        <xdr:cNvPr id="6101" name="직사각형 6100">
          <a:extLst>
            <a:ext uri="{FF2B5EF4-FFF2-40B4-BE49-F238E27FC236}">
              <a16:creationId xmlns:a16="http://schemas.microsoft.com/office/drawing/2014/main" id="{A29418DA-DC86-4762-8758-548B424EEC6C}"/>
            </a:ext>
          </a:extLst>
        </xdr:cNvPr>
        <xdr:cNvSpPr/>
      </xdr:nvSpPr>
      <xdr:spPr>
        <a:xfrm>
          <a:off x="9149443" y="31558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206</xdr:row>
      <xdr:rowOff>76199</xdr:rowOff>
    </xdr:from>
    <xdr:to>
      <xdr:col>32</xdr:col>
      <xdr:colOff>20683</xdr:colOff>
      <xdr:row>206</xdr:row>
      <xdr:rowOff>76199</xdr:rowOff>
    </xdr:to>
    <xdr:cxnSp macro="">
      <xdr:nvCxnSpPr>
        <xdr:cNvPr id="6102" name="직선 화살표 연결선 6101">
          <a:extLst>
            <a:ext uri="{FF2B5EF4-FFF2-40B4-BE49-F238E27FC236}">
              <a16:creationId xmlns:a16="http://schemas.microsoft.com/office/drawing/2014/main" id="{F42BB0F6-F2DB-49D7-9CAB-E53FF4FBC6DC}"/>
            </a:ext>
          </a:extLst>
        </xdr:cNvPr>
        <xdr:cNvCxnSpPr/>
      </xdr:nvCxnSpPr>
      <xdr:spPr>
        <a:xfrm>
          <a:off x="9149443" y="31615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204</xdr:row>
      <xdr:rowOff>19049</xdr:rowOff>
    </xdr:from>
    <xdr:to>
      <xdr:col>35</xdr:col>
      <xdr:colOff>62049</xdr:colOff>
      <xdr:row>204</xdr:row>
      <xdr:rowOff>133349</xdr:rowOff>
    </xdr:to>
    <xdr:sp macro="" textlink="">
      <xdr:nvSpPr>
        <xdr:cNvPr id="6103" name="직사각형 6102">
          <a:extLst>
            <a:ext uri="{FF2B5EF4-FFF2-40B4-BE49-F238E27FC236}">
              <a16:creationId xmlns:a16="http://schemas.microsoft.com/office/drawing/2014/main" id="{8C9F4508-A415-4004-83A1-E7337C9AA731}"/>
            </a:ext>
          </a:extLst>
        </xdr:cNvPr>
        <xdr:cNvSpPr/>
      </xdr:nvSpPr>
      <xdr:spPr>
        <a:xfrm>
          <a:off x="9604466" y="31253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204</xdr:row>
      <xdr:rowOff>76199</xdr:rowOff>
    </xdr:from>
    <xdr:to>
      <xdr:col>35</xdr:col>
      <xdr:colOff>41366</xdr:colOff>
      <xdr:row>204</xdr:row>
      <xdr:rowOff>76199</xdr:rowOff>
    </xdr:to>
    <xdr:cxnSp macro="">
      <xdr:nvCxnSpPr>
        <xdr:cNvPr id="6104" name="직선 화살표 연결선 6103">
          <a:extLst>
            <a:ext uri="{FF2B5EF4-FFF2-40B4-BE49-F238E27FC236}">
              <a16:creationId xmlns:a16="http://schemas.microsoft.com/office/drawing/2014/main" id="{12A67B95-BA8C-429E-B70F-907B22339121}"/>
            </a:ext>
          </a:extLst>
        </xdr:cNvPr>
        <xdr:cNvCxnSpPr/>
      </xdr:nvCxnSpPr>
      <xdr:spPr>
        <a:xfrm>
          <a:off x="9604466" y="31310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203</xdr:row>
      <xdr:rowOff>19049</xdr:rowOff>
    </xdr:from>
    <xdr:to>
      <xdr:col>33</xdr:col>
      <xdr:colOff>82732</xdr:colOff>
      <xdr:row>203</xdr:row>
      <xdr:rowOff>133349</xdr:rowOff>
    </xdr:to>
    <xdr:sp macro="" textlink="">
      <xdr:nvSpPr>
        <xdr:cNvPr id="6105" name="직사각형 6104">
          <a:extLst>
            <a:ext uri="{FF2B5EF4-FFF2-40B4-BE49-F238E27FC236}">
              <a16:creationId xmlns:a16="http://schemas.microsoft.com/office/drawing/2014/main" id="{C796B15B-C80C-48B5-8643-288C0CFB03BA}"/>
            </a:ext>
          </a:extLst>
        </xdr:cNvPr>
        <xdr:cNvSpPr/>
      </xdr:nvSpPr>
      <xdr:spPr>
        <a:xfrm>
          <a:off x="9335588" y="31101029"/>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203</xdr:row>
      <xdr:rowOff>76199</xdr:rowOff>
    </xdr:from>
    <xdr:to>
      <xdr:col>33</xdr:col>
      <xdr:colOff>62048</xdr:colOff>
      <xdr:row>203</xdr:row>
      <xdr:rowOff>76199</xdr:rowOff>
    </xdr:to>
    <xdr:cxnSp macro="">
      <xdr:nvCxnSpPr>
        <xdr:cNvPr id="6106" name="직선 화살표 연결선 6105">
          <a:extLst>
            <a:ext uri="{FF2B5EF4-FFF2-40B4-BE49-F238E27FC236}">
              <a16:creationId xmlns:a16="http://schemas.microsoft.com/office/drawing/2014/main" id="{C93E93E9-0731-4E47-B494-37E86CD371D1}"/>
            </a:ext>
          </a:extLst>
        </xdr:cNvPr>
        <xdr:cNvCxnSpPr/>
      </xdr:nvCxnSpPr>
      <xdr:spPr>
        <a:xfrm>
          <a:off x="9335588" y="31158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202</xdr:row>
      <xdr:rowOff>19049</xdr:rowOff>
    </xdr:from>
    <xdr:to>
      <xdr:col>33</xdr:col>
      <xdr:colOff>62048</xdr:colOff>
      <xdr:row>202</xdr:row>
      <xdr:rowOff>133349</xdr:rowOff>
    </xdr:to>
    <xdr:sp macro="" textlink="">
      <xdr:nvSpPr>
        <xdr:cNvPr id="6107" name="직사각형 6106">
          <a:extLst>
            <a:ext uri="{FF2B5EF4-FFF2-40B4-BE49-F238E27FC236}">
              <a16:creationId xmlns:a16="http://schemas.microsoft.com/office/drawing/2014/main" id="{1D5DADBC-2F83-4D02-ABC2-51EB20DFE2C1}"/>
            </a:ext>
          </a:extLst>
        </xdr:cNvPr>
        <xdr:cNvSpPr/>
      </xdr:nvSpPr>
      <xdr:spPr>
        <a:xfrm>
          <a:off x="9294223" y="309486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202</xdr:row>
      <xdr:rowOff>76199</xdr:rowOff>
    </xdr:from>
    <xdr:to>
      <xdr:col>33</xdr:col>
      <xdr:colOff>20683</xdr:colOff>
      <xdr:row>202</xdr:row>
      <xdr:rowOff>76199</xdr:rowOff>
    </xdr:to>
    <xdr:cxnSp macro="">
      <xdr:nvCxnSpPr>
        <xdr:cNvPr id="6108" name="직선 화살표 연결선 6107">
          <a:extLst>
            <a:ext uri="{FF2B5EF4-FFF2-40B4-BE49-F238E27FC236}">
              <a16:creationId xmlns:a16="http://schemas.microsoft.com/office/drawing/2014/main" id="{466376A6-A228-40A6-82B3-C7D240CDF4B7}"/>
            </a:ext>
          </a:extLst>
        </xdr:cNvPr>
        <xdr:cNvCxnSpPr/>
      </xdr:nvCxnSpPr>
      <xdr:spPr>
        <a:xfrm>
          <a:off x="9294223" y="31005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201</xdr:row>
      <xdr:rowOff>19049</xdr:rowOff>
    </xdr:from>
    <xdr:to>
      <xdr:col>32</xdr:col>
      <xdr:colOff>82731</xdr:colOff>
      <xdr:row>201</xdr:row>
      <xdr:rowOff>133349</xdr:rowOff>
    </xdr:to>
    <xdr:sp macro="" textlink="">
      <xdr:nvSpPr>
        <xdr:cNvPr id="6109" name="직사각형 6108">
          <a:extLst>
            <a:ext uri="{FF2B5EF4-FFF2-40B4-BE49-F238E27FC236}">
              <a16:creationId xmlns:a16="http://schemas.microsoft.com/office/drawing/2014/main" id="{3122F650-5CD8-454D-AF98-15E87BE5006A}"/>
            </a:ext>
          </a:extLst>
        </xdr:cNvPr>
        <xdr:cNvSpPr/>
      </xdr:nvSpPr>
      <xdr:spPr>
        <a:xfrm>
          <a:off x="9170126" y="30796229"/>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201</xdr:row>
      <xdr:rowOff>76199</xdr:rowOff>
    </xdr:from>
    <xdr:to>
      <xdr:col>32</xdr:col>
      <xdr:colOff>41366</xdr:colOff>
      <xdr:row>201</xdr:row>
      <xdr:rowOff>76199</xdr:rowOff>
    </xdr:to>
    <xdr:cxnSp macro="">
      <xdr:nvCxnSpPr>
        <xdr:cNvPr id="6110" name="직선 화살표 연결선 6109">
          <a:extLst>
            <a:ext uri="{FF2B5EF4-FFF2-40B4-BE49-F238E27FC236}">
              <a16:creationId xmlns:a16="http://schemas.microsoft.com/office/drawing/2014/main" id="{1974DD6D-87CD-4AC5-AF6C-2DA6EC9F8BAB}"/>
            </a:ext>
          </a:extLst>
        </xdr:cNvPr>
        <xdr:cNvCxnSpPr/>
      </xdr:nvCxnSpPr>
      <xdr:spPr>
        <a:xfrm>
          <a:off x="9170126" y="30853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200</xdr:row>
      <xdr:rowOff>19049</xdr:rowOff>
    </xdr:from>
    <xdr:to>
      <xdr:col>30</xdr:col>
      <xdr:colOff>82731</xdr:colOff>
      <xdr:row>200</xdr:row>
      <xdr:rowOff>133349</xdr:rowOff>
    </xdr:to>
    <xdr:sp macro="" textlink="">
      <xdr:nvSpPr>
        <xdr:cNvPr id="6111" name="직사각형 6110">
          <a:extLst>
            <a:ext uri="{FF2B5EF4-FFF2-40B4-BE49-F238E27FC236}">
              <a16:creationId xmlns:a16="http://schemas.microsoft.com/office/drawing/2014/main" id="{A61F6437-DEEF-4D75-9963-7D4E8AB1963A}"/>
            </a:ext>
          </a:extLst>
        </xdr:cNvPr>
        <xdr:cNvSpPr/>
      </xdr:nvSpPr>
      <xdr:spPr>
        <a:xfrm>
          <a:off x="8901249" y="306438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200</xdr:row>
      <xdr:rowOff>76199</xdr:rowOff>
    </xdr:from>
    <xdr:to>
      <xdr:col>30</xdr:col>
      <xdr:colOff>62049</xdr:colOff>
      <xdr:row>200</xdr:row>
      <xdr:rowOff>76199</xdr:rowOff>
    </xdr:to>
    <xdr:cxnSp macro="">
      <xdr:nvCxnSpPr>
        <xdr:cNvPr id="6112" name="직선 화살표 연결선 6111">
          <a:extLst>
            <a:ext uri="{FF2B5EF4-FFF2-40B4-BE49-F238E27FC236}">
              <a16:creationId xmlns:a16="http://schemas.microsoft.com/office/drawing/2014/main" id="{9DAF0557-DD15-4B4F-B92C-1009CBCB3275}"/>
            </a:ext>
          </a:extLst>
        </xdr:cNvPr>
        <xdr:cNvCxnSpPr/>
      </xdr:nvCxnSpPr>
      <xdr:spPr>
        <a:xfrm>
          <a:off x="8901249" y="30700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199</xdr:row>
      <xdr:rowOff>19049</xdr:rowOff>
    </xdr:from>
    <xdr:to>
      <xdr:col>35</xdr:col>
      <xdr:colOff>62049</xdr:colOff>
      <xdr:row>199</xdr:row>
      <xdr:rowOff>133349</xdr:rowOff>
    </xdr:to>
    <xdr:sp macro="" textlink="">
      <xdr:nvSpPr>
        <xdr:cNvPr id="6113" name="직사각형 6112">
          <a:extLst>
            <a:ext uri="{FF2B5EF4-FFF2-40B4-BE49-F238E27FC236}">
              <a16:creationId xmlns:a16="http://schemas.microsoft.com/office/drawing/2014/main" id="{13588698-2610-4001-A13E-FA06AFCFC43A}"/>
            </a:ext>
          </a:extLst>
        </xdr:cNvPr>
        <xdr:cNvSpPr/>
      </xdr:nvSpPr>
      <xdr:spPr>
        <a:xfrm>
          <a:off x="8901249" y="30491429"/>
          <a:ext cx="7239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199</xdr:row>
      <xdr:rowOff>76199</xdr:rowOff>
    </xdr:from>
    <xdr:to>
      <xdr:col>30</xdr:col>
      <xdr:colOff>62049</xdr:colOff>
      <xdr:row>199</xdr:row>
      <xdr:rowOff>76199</xdr:rowOff>
    </xdr:to>
    <xdr:cxnSp macro="">
      <xdr:nvCxnSpPr>
        <xdr:cNvPr id="6114" name="직선 화살표 연결선 6113">
          <a:extLst>
            <a:ext uri="{FF2B5EF4-FFF2-40B4-BE49-F238E27FC236}">
              <a16:creationId xmlns:a16="http://schemas.microsoft.com/office/drawing/2014/main" id="{95CB438C-3C6C-4599-AA2A-82FCD61CC2E2}"/>
            </a:ext>
          </a:extLst>
        </xdr:cNvPr>
        <xdr:cNvCxnSpPr/>
      </xdr:nvCxnSpPr>
      <xdr:spPr>
        <a:xfrm>
          <a:off x="8901249" y="30548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196</xdr:row>
      <xdr:rowOff>19049</xdr:rowOff>
    </xdr:from>
    <xdr:to>
      <xdr:col>30</xdr:col>
      <xdr:colOff>41366</xdr:colOff>
      <xdr:row>196</xdr:row>
      <xdr:rowOff>133349</xdr:rowOff>
    </xdr:to>
    <xdr:sp macro="" textlink="">
      <xdr:nvSpPr>
        <xdr:cNvPr id="6115" name="직사각형 6114">
          <a:extLst>
            <a:ext uri="{FF2B5EF4-FFF2-40B4-BE49-F238E27FC236}">
              <a16:creationId xmlns:a16="http://schemas.microsoft.com/office/drawing/2014/main" id="{E1637080-6ADD-447E-927C-42594C159604}"/>
            </a:ext>
          </a:extLst>
        </xdr:cNvPr>
        <xdr:cNvSpPr/>
      </xdr:nvSpPr>
      <xdr:spPr>
        <a:xfrm>
          <a:off x="8859883" y="30034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196</xdr:row>
      <xdr:rowOff>76199</xdr:rowOff>
    </xdr:from>
    <xdr:to>
      <xdr:col>30</xdr:col>
      <xdr:colOff>20683</xdr:colOff>
      <xdr:row>196</xdr:row>
      <xdr:rowOff>76199</xdr:rowOff>
    </xdr:to>
    <xdr:cxnSp macro="">
      <xdr:nvCxnSpPr>
        <xdr:cNvPr id="6116" name="직선 화살표 연결선 6115">
          <a:extLst>
            <a:ext uri="{FF2B5EF4-FFF2-40B4-BE49-F238E27FC236}">
              <a16:creationId xmlns:a16="http://schemas.microsoft.com/office/drawing/2014/main" id="{2B7C02C5-1BB0-4820-98AA-9FAEBD7493AA}"/>
            </a:ext>
          </a:extLst>
        </xdr:cNvPr>
        <xdr:cNvCxnSpPr/>
      </xdr:nvCxnSpPr>
      <xdr:spPr>
        <a:xfrm>
          <a:off x="8859883" y="30091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195</xdr:row>
      <xdr:rowOff>19049</xdr:rowOff>
    </xdr:from>
    <xdr:to>
      <xdr:col>30</xdr:col>
      <xdr:colOff>20683</xdr:colOff>
      <xdr:row>195</xdr:row>
      <xdr:rowOff>133349</xdr:rowOff>
    </xdr:to>
    <xdr:sp macro="" textlink="">
      <xdr:nvSpPr>
        <xdr:cNvPr id="6117" name="직사각형 6116">
          <a:extLst>
            <a:ext uri="{FF2B5EF4-FFF2-40B4-BE49-F238E27FC236}">
              <a16:creationId xmlns:a16="http://schemas.microsoft.com/office/drawing/2014/main" id="{EE36D198-1185-4253-92F5-2F95BB093A94}"/>
            </a:ext>
          </a:extLst>
        </xdr:cNvPr>
        <xdr:cNvSpPr/>
      </xdr:nvSpPr>
      <xdr:spPr>
        <a:xfrm>
          <a:off x="8839200" y="29881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195</xdr:row>
      <xdr:rowOff>76199</xdr:rowOff>
    </xdr:from>
    <xdr:to>
      <xdr:col>30</xdr:col>
      <xdr:colOff>0</xdr:colOff>
      <xdr:row>195</xdr:row>
      <xdr:rowOff>76199</xdr:rowOff>
    </xdr:to>
    <xdr:cxnSp macro="">
      <xdr:nvCxnSpPr>
        <xdr:cNvPr id="6118" name="직선 화살표 연결선 6117">
          <a:extLst>
            <a:ext uri="{FF2B5EF4-FFF2-40B4-BE49-F238E27FC236}">
              <a16:creationId xmlns:a16="http://schemas.microsoft.com/office/drawing/2014/main" id="{4DE5C3E6-2B5C-4B32-89CA-1F61205988F0}"/>
            </a:ext>
          </a:extLst>
        </xdr:cNvPr>
        <xdr:cNvCxnSpPr/>
      </xdr:nvCxnSpPr>
      <xdr:spPr>
        <a:xfrm>
          <a:off x="8839200" y="29938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194</xdr:row>
      <xdr:rowOff>19049</xdr:rowOff>
    </xdr:from>
    <xdr:to>
      <xdr:col>30</xdr:col>
      <xdr:colOff>41366</xdr:colOff>
      <xdr:row>194</xdr:row>
      <xdr:rowOff>133349</xdr:rowOff>
    </xdr:to>
    <xdr:sp macro="" textlink="">
      <xdr:nvSpPr>
        <xdr:cNvPr id="6119" name="직사각형 6118">
          <a:extLst>
            <a:ext uri="{FF2B5EF4-FFF2-40B4-BE49-F238E27FC236}">
              <a16:creationId xmlns:a16="http://schemas.microsoft.com/office/drawing/2014/main" id="{85EEE22F-6BBB-4BE1-A3E6-A292AFF954E1}"/>
            </a:ext>
          </a:extLst>
        </xdr:cNvPr>
        <xdr:cNvSpPr/>
      </xdr:nvSpPr>
      <xdr:spPr>
        <a:xfrm>
          <a:off x="8839200" y="297294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194</xdr:row>
      <xdr:rowOff>76199</xdr:rowOff>
    </xdr:from>
    <xdr:to>
      <xdr:col>30</xdr:col>
      <xdr:colOff>0</xdr:colOff>
      <xdr:row>194</xdr:row>
      <xdr:rowOff>76199</xdr:rowOff>
    </xdr:to>
    <xdr:cxnSp macro="">
      <xdr:nvCxnSpPr>
        <xdr:cNvPr id="6120" name="직선 화살표 연결선 6119">
          <a:extLst>
            <a:ext uri="{FF2B5EF4-FFF2-40B4-BE49-F238E27FC236}">
              <a16:creationId xmlns:a16="http://schemas.microsoft.com/office/drawing/2014/main" id="{B4C7AD32-D5EF-4817-93A6-1EB0C89045D9}"/>
            </a:ext>
          </a:extLst>
        </xdr:cNvPr>
        <xdr:cNvCxnSpPr/>
      </xdr:nvCxnSpPr>
      <xdr:spPr>
        <a:xfrm>
          <a:off x="8839200" y="29786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192</xdr:row>
      <xdr:rowOff>19049</xdr:rowOff>
    </xdr:from>
    <xdr:to>
      <xdr:col>30</xdr:col>
      <xdr:colOff>41366</xdr:colOff>
      <xdr:row>192</xdr:row>
      <xdr:rowOff>133349</xdr:rowOff>
    </xdr:to>
    <xdr:sp macro="" textlink="">
      <xdr:nvSpPr>
        <xdr:cNvPr id="6121" name="직사각형 6120">
          <a:extLst>
            <a:ext uri="{FF2B5EF4-FFF2-40B4-BE49-F238E27FC236}">
              <a16:creationId xmlns:a16="http://schemas.microsoft.com/office/drawing/2014/main" id="{589F09B7-751D-4959-92CF-1C1542B49081}"/>
            </a:ext>
          </a:extLst>
        </xdr:cNvPr>
        <xdr:cNvSpPr/>
      </xdr:nvSpPr>
      <xdr:spPr>
        <a:xfrm>
          <a:off x="8859883" y="29424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192</xdr:row>
      <xdr:rowOff>76199</xdr:rowOff>
    </xdr:from>
    <xdr:to>
      <xdr:col>30</xdr:col>
      <xdr:colOff>20683</xdr:colOff>
      <xdr:row>192</xdr:row>
      <xdr:rowOff>76199</xdr:rowOff>
    </xdr:to>
    <xdr:cxnSp macro="">
      <xdr:nvCxnSpPr>
        <xdr:cNvPr id="6122" name="직선 화살표 연결선 6121">
          <a:extLst>
            <a:ext uri="{FF2B5EF4-FFF2-40B4-BE49-F238E27FC236}">
              <a16:creationId xmlns:a16="http://schemas.microsoft.com/office/drawing/2014/main" id="{F131056D-61C7-4124-B127-CAECE0AA8D8F}"/>
            </a:ext>
          </a:extLst>
        </xdr:cNvPr>
        <xdr:cNvCxnSpPr/>
      </xdr:nvCxnSpPr>
      <xdr:spPr>
        <a:xfrm>
          <a:off x="8859883" y="29481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191</xdr:row>
      <xdr:rowOff>19049</xdr:rowOff>
    </xdr:from>
    <xdr:to>
      <xdr:col>30</xdr:col>
      <xdr:colOff>20683</xdr:colOff>
      <xdr:row>191</xdr:row>
      <xdr:rowOff>133349</xdr:rowOff>
    </xdr:to>
    <xdr:sp macro="" textlink="">
      <xdr:nvSpPr>
        <xdr:cNvPr id="6123" name="직사각형 6122">
          <a:extLst>
            <a:ext uri="{FF2B5EF4-FFF2-40B4-BE49-F238E27FC236}">
              <a16:creationId xmlns:a16="http://schemas.microsoft.com/office/drawing/2014/main" id="{3F20EDDF-3DA6-4ED1-9F3B-3CF4633E567D}"/>
            </a:ext>
          </a:extLst>
        </xdr:cNvPr>
        <xdr:cNvSpPr/>
      </xdr:nvSpPr>
      <xdr:spPr>
        <a:xfrm>
          <a:off x="8839200" y="29272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191</xdr:row>
      <xdr:rowOff>76199</xdr:rowOff>
    </xdr:from>
    <xdr:to>
      <xdr:col>30</xdr:col>
      <xdr:colOff>0</xdr:colOff>
      <xdr:row>191</xdr:row>
      <xdr:rowOff>76199</xdr:rowOff>
    </xdr:to>
    <xdr:cxnSp macro="">
      <xdr:nvCxnSpPr>
        <xdr:cNvPr id="6124" name="직선 화살표 연결선 6123">
          <a:extLst>
            <a:ext uri="{FF2B5EF4-FFF2-40B4-BE49-F238E27FC236}">
              <a16:creationId xmlns:a16="http://schemas.microsoft.com/office/drawing/2014/main" id="{01202F83-FF5D-4AE7-857B-187F8C523B95}"/>
            </a:ext>
          </a:extLst>
        </xdr:cNvPr>
        <xdr:cNvCxnSpPr/>
      </xdr:nvCxnSpPr>
      <xdr:spPr>
        <a:xfrm>
          <a:off x="8839200" y="29329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190</xdr:row>
      <xdr:rowOff>19049</xdr:rowOff>
    </xdr:from>
    <xdr:to>
      <xdr:col>30</xdr:col>
      <xdr:colOff>41366</xdr:colOff>
      <xdr:row>190</xdr:row>
      <xdr:rowOff>133349</xdr:rowOff>
    </xdr:to>
    <xdr:sp macro="" textlink="">
      <xdr:nvSpPr>
        <xdr:cNvPr id="6125" name="직사각형 6124">
          <a:extLst>
            <a:ext uri="{FF2B5EF4-FFF2-40B4-BE49-F238E27FC236}">
              <a16:creationId xmlns:a16="http://schemas.microsoft.com/office/drawing/2014/main" id="{1361AEA1-FBA4-4273-A97F-6BC011820D0A}"/>
            </a:ext>
          </a:extLst>
        </xdr:cNvPr>
        <xdr:cNvSpPr/>
      </xdr:nvSpPr>
      <xdr:spPr>
        <a:xfrm>
          <a:off x="8839200" y="291198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190</xdr:row>
      <xdr:rowOff>76199</xdr:rowOff>
    </xdr:from>
    <xdr:to>
      <xdr:col>30</xdr:col>
      <xdr:colOff>0</xdr:colOff>
      <xdr:row>190</xdr:row>
      <xdr:rowOff>76199</xdr:rowOff>
    </xdr:to>
    <xdr:cxnSp macro="">
      <xdr:nvCxnSpPr>
        <xdr:cNvPr id="6126" name="직선 화살표 연결선 6125">
          <a:extLst>
            <a:ext uri="{FF2B5EF4-FFF2-40B4-BE49-F238E27FC236}">
              <a16:creationId xmlns:a16="http://schemas.microsoft.com/office/drawing/2014/main" id="{7903F6ED-6810-44AF-BFED-1DA3955618D2}"/>
            </a:ext>
          </a:extLst>
        </xdr:cNvPr>
        <xdr:cNvCxnSpPr/>
      </xdr:nvCxnSpPr>
      <xdr:spPr>
        <a:xfrm>
          <a:off x="8839200" y="29176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188</xdr:row>
      <xdr:rowOff>19049</xdr:rowOff>
    </xdr:from>
    <xdr:to>
      <xdr:col>30</xdr:col>
      <xdr:colOff>41366</xdr:colOff>
      <xdr:row>188</xdr:row>
      <xdr:rowOff>133349</xdr:rowOff>
    </xdr:to>
    <xdr:sp macro="" textlink="">
      <xdr:nvSpPr>
        <xdr:cNvPr id="6127" name="직사각형 6126">
          <a:extLst>
            <a:ext uri="{FF2B5EF4-FFF2-40B4-BE49-F238E27FC236}">
              <a16:creationId xmlns:a16="http://schemas.microsoft.com/office/drawing/2014/main" id="{704D1B1A-83A5-42F1-8443-80963BE6C6AE}"/>
            </a:ext>
          </a:extLst>
        </xdr:cNvPr>
        <xdr:cNvSpPr/>
      </xdr:nvSpPr>
      <xdr:spPr>
        <a:xfrm>
          <a:off x="8859883" y="28815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188</xdr:row>
      <xdr:rowOff>76199</xdr:rowOff>
    </xdr:from>
    <xdr:to>
      <xdr:col>30</xdr:col>
      <xdr:colOff>20683</xdr:colOff>
      <xdr:row>188</xdr:row>
      <xdr:rowOff>76199</xdr:rowOff>
    </xdr:to>
    <xdr:cxnSp macro="">
      <xdr:nvCxnSpPr>
        <xdr:cNvPr id="6128" name="직선 화살표 연결선 6127">
          <a:extLst>
            <a:ext uri="{FF2B5EF4-FFF2-40B4-BE49-F238E27FC236}">
              <a16:creationId xmlns:a16="http://schemas.microsoft.com/office/drawing/2014/main" id="{97FCE422-4106-46AD-9804-6FFC1841831B}"/>
            </a:ext>
          </a:extLst>
        </xdr:cNvPr>
        <xdr:cNvCxnSpPr/>
      </xdr:nvCxnSpPr>
      <xdr:spPr>
        <a:xfrm>
          <a:off x="8859883" y="28872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187</xdr:row>
      <xdr:rowOff>19049</xdr:rowOff>
    </xdr:from>
    <xdr:to>
      <xdr:col>30</xdr:col>
      <xdr:colOff>20683</xdr:colOff>
      <xdr:row>187</xdr:row>
      <xdr:rowOff>133349</xdr:rowOff>
    </xdr:to>
    <xdr:sp macro="" textlink="">
      <xdr:nvSpPr>
        <xdr:cNvPr id="6129" name="직사각형 6128">
          <a:extLst>
            <a:ext uri="{FF2B5EF4-FFF2-40B4-BE49-F238E27FC236}">
              <a16:creationId xmlns:a16="http://schemas.microsoft.com/office/drawing/2014/main" id="{AC21E914-8430-4F8C-A661-A2AB42727C5A}"/>
            </a:ext>
          </a:extLst>
        </xdr:cNvPr>
        <xdr:cNvSpPr/>
      </xdr:nvSpPr>
      <xdr:spPr>
        <a:xfrm>
          <a:off x="8839200" y="28662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187</xdr:row>
      <xdr:rowOff>76199</xdr:rowOff>
    </xdr:from>
    <xdr:to>
      <xdr:col>30</xdr:col>
      <xdr:colOff>0</xdr:colOff>
      <xdr:row>187</xdr:row>
      <xdr:rowOff>76199</xdr:rowOff>
    </xdr:to>
    <xdr:cxnSp macro="">
      <xdr:nvCxnSpPr>
        <xdr:cNvPr id="6130" name="직선 화살표 연결선 6129">
          <a:extLst>
            <a:ext uri="{FF2B5EF4-FFF2-40B4-BE49-F238E27FC236}">
              <a16:creationId xmlns:a16="http://schemas.microsoft.com/office/drawing/2014/main" id="{A19427F2-1F4D-4B7D-B6DC-4DBD073FC056}"/>
            </a:ext>
          </a:extLst>
        </xdr:cNvPr>
        <xdr:cNvCxnSpPr/>
      </xdr:nvCxnSpPr>
      <xdr:spPr>
        <a:xfrm>
          <a:off x="8839200" y="28719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186</xdr:row>
      <xdr:rowOff>19049</xdr:rowOff>
    </xdr:from>
    <xdr:to>
      <xdr:col>30</xdr:col>
      <xdr:colOff>41366</xdr:colOff>
      <xdr:row>186</xdr:row>
      <xdr:rowOff>133349</xdr:rowOff>
    </xdr:to>
    <xdr:sp macro="" textlink="">
      <xdr:nvSpPr>
        <xdr:cNvPr id="6131" name="직사각형 6130">
          <a:extLst>
            <a:ext uri="{FF2B5EF4-FFF2-40B4-BE49-F238E27FC236}">
              <a16:creationId xmlns:a16="http://schemas.microsoft.com/office/drawing/2014/main" id="{BBC565A3-8A5B-43CC-9EEC-F444A6634F8D}"/>
            </a:ext>
          </a:extLst>
        </xdr:cNvPr>
        <xdr:cNvSpPr/>
      </xdr:nvSpPr>
      <xdr:spPr>
        <a:xfrm>
          <a:off x="8839200" y="285102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186</xdr:row>
      <xdr:rowOff>76199</xdr:rowOff>
    </xdr:from>
    <xdr:to>
      <xdr:col>30</xdr:col>
      <xdr:colOff>0</xdr:colOff>
      <xdr:row>186</xdr:row>
      <xdr:rowOff>76199</xdr:rowOff>
    </xdr:to>
    <xdr:cxnSp macro="">
      <xdr:nvCxnSpPr>
        <xdr:cNvPr id="6132" name="직선 화살표 연결선 6131">
          <a:extLst>
            <a:ext uri="{FF2B5EF4-FFF2-40B4-BE49-F238E27FC236}">
              <a16:creationId xmlns:a16="http://schemas.microsoft.com/office/drawing/2014/main" id="{7D75DCEA-392E-46D3-BFE1-0C215E453CE3}"/>
            </a:ext>
          </a:extLst>
        </xdr:cNvPr>
        <xdr:cNvCxnSpPr/>
      </xdr:nvCxnSpPr>
      <xdr:spPr>
        <a:xfrm>
          <a:off x="8839200" y="28567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184</xdr:row>
      <xdr:rowOff>19049</xdr:rowOff>
    </xdr:from>
    <xdr:to>
      <xdr:col>30</xdr:col>
      <xdr:colOff>41366</xdr:colOff>
      <xdr:row>184</xdr:row>
      <xdr:rowOff>133349</xdr:rowOff>
    </xdr:to>
    <xdr:sp macro="" textlink="">
      <xdr:nvSpPr>
        <xdr:cNvPr id="6133" name="직사각형 6132">
          <a:extLst>
            <a:ext uri="{FF2B5EF4-FFF2-40B4-BE49-F238E27FC236}">
              <a16:creationId xmlns:a16="http://schemas.microsoft.com/office/drawing/2014/main" id="{F99FD8DB-B830-4368-AB60-DC5801BE4AB9}"/>
            </a:ext>
          </a:extLst>
        </xdr:cNvPr>
        <xdr:cNvSpPr/>
      </xdr:nvSpPr>
      <xdr:spPr>
        <a:xfrm>
          <a:off x="8859883" y="28205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184</xdr:row>
      <xdr:rowOff>76199</xdr:rowOff>
    </xdr:from>
    <xdr:to>
      <xdr:col>30</xdr:col>
      <xdr:colOff>20683</xdr:colOff>
      <xdr:row>184</xdr:row>
      <xdr:rowOff>76199</xdr:rowOff>
    </xdr:to>
    <xdr:cxnSp macro="">
      <xdr:nvCxnSpPr>
        <xdr:cNvPr id="6134" name="직선 화살표 연결선 6133">
          <a:extLst>
            <a:ext uri="{FF2B5EF4-FFF2-40B4-BE49-F238E27FC236}">
              <a16:creationId xmlns:a16="http://schemas.microsoft.com/office/drawing/2014/main" id="{19A4E88B-85CF-403C-947A-03BBB687854E}"/>
            </a:ext>
          </a:extLst>
        </xdr:cNvPr>
        <xdr:cNvCxnSpPr/>
      </xdr:nvCxnSpPr>
      <xdr:spPr>
        <a:xfrm>
          <a:off x="8859883" y="28262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183</xdr:row>
      <xdr:rowOff>19049</xdr:rowOff>
    </xdr:from>
    <xdr:to>
      <xdr:col>30</xdr:col>
      <xdr:colOff>20683</xdr:colOff>
      <xdr:row>183</xdr:row>
      <xdr:rowOff>133349</xdr:rowOff>
    </xdr:to>
    <xdr:sp macro="" textlink="">
      <xdr:nvSpPr>
        <xdr:cNvPr id="6135" name="직사각형 6134">
          <a:extLst>
            <a:ext uri="{FF2B5EF4-FFF2-40B4-BE49-F238E27FC236}">
              <a16:creationId xmlns:a16="http://schemas.microsoft.com/office/drawing/2014/main" id="{DD92CFD0-99BA-4AC5-8203-4471CDB70C6E}"/>
            </a:ext>
          </a:extLst>
        </xdr:cNvPr>
        <xdr:cNvSpPr/>
      </xdr:nvSpPr>
      <xdr:spPr>
        <a:xfrm>
          <a:off x="8839200" y="280530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183</xdr:row>
      <xdr:rowOff>76199</xdr:rowOff>
    </xdr:from>
    <xdr:to>
      <xdr:col>30</xdr:col>
      <xdr:colOff>0</xdr:colOff>
      <xdr:row>183</xdr:row>
      <xdr:rowOff>76199</xdr:rowOff>
    </xdr:to>
    <xdr:cxnSp macro="">
      <xdr:nvCxnSpPr>
        <xdr:cNvPr id="6136" name="직선 화살표 연결선 6135">
          <a:extLst>
            <a:ext uri="{FF2B5EF4-FFF2-40B4-BE49-F238E27FC236}">
              <a16:creationId xmlns:a16="http://schemas.microsoft.com/office/drawing/2014/main" id="{A5893DCD-524A-4BC3-AB75-06A82A2F0A41}"/>
            </a:ext>
          </a:extLst>
        </xdr:cNvPr>
        <xdr:cNvCxnSpPr/>
      </xdr:nvCxnSpPr>
      <xdr:spPr>
        <a:xfrm>
          <a:off x="8839200" y="28110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182</xdr:row>
      <xdr:rowOff>19049</xdr:rowOff>
    </xdr:from>
    <xdr:to>
      <xdr:col>30</xdr:col>
      <xdr:colOff>41366</xdr:colOff>
      <xdr:row>182</xdr:row>
      <xdr:rowOff>133349</xdr:rowOff>
    </xdr:to>
    <xdr:sp macro="" textlink="">
      <xdr:nvSpPr>
        <xdr:cNvPr id="6137" name="직사각형 6136">
          <a:extLst>
            <a:ext uri="{FF2B5EF4-FFF2-40B4-BE49-F238E27FC236}">
              <a16:creationId xmlns:a16="http://schemas.microsoft.com/office/drawing/2014/main" id="{A69FF03A-FD0F-4F14-8D50-C9CBF57074D9}"/>
            </a:ext>
          </a:extLst>
        </xdr:cNvPr>
        <xdr:cNvSpPr/>
      </xdr:nvSpPr>
      <xdr:spPr>
        <a:xfrm>
          <a:off x="8839200" y="279006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182</xdr:row>
      <xdr:rowOff>76199</xdr:rowOff>
    </xdr:from>
    <xdr:to>
      <xdr:col>30</xdr:col>
      <xdr:colOff>0</xdr:colOff>
      <xdr:row>182</xdr:row>
      <xdr:rowOff>76199</xdr:rowOff>
    </xdr:to>
    <xdr:cxnSp macro="">
      <xdr:nvCxnSpPr>
        <xdr:cNvPr id="6138" name="직선 화살표 연결선 6137">
          <a:extLst>
            <a:ext uri="{FF2B5EF4-FFF2-40B4-BE49-F238E27FC236}">
              <a16:creationId xmlns:a16="http://schemas.microsoft.com/office/drawing/2014/main" id="{7CE713F5-8CA4-49F5-8D06-56FA80839765}"/>
            </a:ext>
          </a:extLst>
        </xdr:cNvPr>
        <xdr:cNvCxnSpPr/>
      </xdr:nvCxnSpPr>
      <xdr:spPr>
        <a:xfrm>
          <a:off x="8839200" y="27957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180</xdr:row>
      <xdr:rowOff>19049</xdr:rowOff>
    </xdr:from>
    <xdr:to>
      <xdr:col>30</xdr:col>
      <xdr:colOff>41366</xdr:colOff>
      <xdr:row>180</xdr:row>
      <xdr:rowOff>133349</xdr:rowOff>
    </xdr:to>
    <xdr:sp macro="" textlink="">
      <xdr:nvSpPr>
        <xdr:cNvPr id="6139" name="직사각형 6138">
          <a:extLst>
            <a:ext uri="{FF2B5EF4-FFF2-40B4-BE49-F238E27FC236}">
              <a16:creationId xmlns:a16="http://schemas.microsoft.com/office/drawing/2014/main" id="{4916C29B-A963-493E-8473-74BD19FCC866}"/>
            </a:ext>
          </a:extLst>
        </xdr:cNvPr>
        <xdr:cNvSpPr/>
      </xdr:nvSpPr>
      <xdr:spPr>
        <a:xfrm>
          <a:off x="8859883" y="275958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180</xdr:row>
      <xdr:rowOff>76199</xdr:rowOff>
    </xdr:from>
    <xdr:to>
      <xdr:col>30</xdr:col>
      <xdr:colOff>20683</xdr:colOff>
      <xdr:row>180</xdr:row>
      <xdr:rowOff>76199</xdr:rowOff>
    </xdr:to>
    <xdr:cxnSp macro="">
      <xdr:nvCxnSpPr>
        <xdr:cNvPr id="6140" name="직선 화살표 연결선 6139">
          <a:extLst>
            <a:ext uri="{FF2B5EF4-FFF2-40B4-BE49-F238E27FC236}">
              <a16:creationId xmlns:a16="http://schemas.microsoft.com/office/drawing/2014/main" id="{81D6586C-FFA7-4EB6-B4FD-5738BA18CA39}"/>
            </a:ext>
          </a:extLst>
        </xdr:cNvPr>
        <xdr:cNvCxnSpPr/>
      </xdr:nvCxnSpPr>
      <xdr:spPr>
        <a:xfrm>
          <a:off x="8859883" y="27652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179</xdr:row>
      <xdr:rowOff>19049</xdr:rowOff>
    </xdr:from>
    <xdr:to>
      <xdr:col>30</xdr:col>
      <xdr:colOff>20683</xdr:colOff>
      <xdr:row>179</xdr:row>
      <xdr:rowOff>133349</xdr:rowOff>
    </xdr:to>
    <xdr:sp macro="" textlink="">
      <xdr:nvSpPr>
        <xdr:cNvPr id="6141" name="직사각형 6140">
          <a:extLst>
            <a:ext uri="{FF2B5EF4-FFF2-40B4-BE49-F238E27FC236}">
              <a16:creationId xmlns:a16="http://schemas.microsoft.com/office/drawing/2014/main" id="{4AC1BF86-DE86-4C36-8717-4763A9F22F4F}"/>
            </a:ext>
          </a:extLst>
        </xdr:cNvPr>
        <xdr:cNvSpPr/>
      </xdr:nvSpPr>
      <xdr:spPr>
        <a:xfrm>
          <a:off x="8839200" y="274434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179</xdr:row>
      <xdr:rowOff>76199</xdr:rowOff>
    </xdr:from>
    <xdr:to>
      <xdr:col>30</xdr:col>
      <xdr:colOff>0</xdr:colOff>
      <xdr:row>179</xdr:row>
      <xdr:rowOff>76199</xdr:rowOff>
    </xdr:to>
    <xdr:cxnSp macro="">
      <xdr:nvCxnSpPr>
        <xdr:cNvPr id="6142" name="직선 화살표 연결선 6141">
          <a:extLst>
            <a:ext uri="{FF2B5EF4-FFF2-40B4-BE49-F238E27FC236}">
              <a16:creationId xmlns:a16="http://schemas.microsoft.com/office/drawing/2014/main" id="{7B0C45E4-1919-4037-942A-E13F8D1F9790}"/>
            </a:ext>
          </a:extLst>
        </xdr:cNvPr>
        <xdr:cNvCxnSpPr/>
      </xdr:nvCxnSpPr>
      <xdr:spPr>
        <a:xfrm>
          <a:off x="8839200" y="27500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178</xdr:row>
      <xdr:rowOff>19049</xdr:rowOff>
    </xdr:from>
    <xdr:to>
      <xdr:col>30</xdr:col>
      <xdr:colOff>41366</xdr:colOff>
      <xdr:row>178</xdr:row>
      <xdr:rowOff>133349</xdr:rowOff>
    </xdr:to>
    <xdr:sp macro="" textlink="">
      <xdr:nvSpPr>
        <xdr:cNvPr id="6143" name="직사각형 6142">
          <a:extLst>
            <a:ext uri="{FF2B5EF4-FFF2-40B4-BE49-F238E27FC236}">
              <a16:creationId xmlns:a16="http://schemas.microsoft.com/office/drawing/2014/main" id="{D57D7DE9-4B3D-40AE-8817-397FA4C0D75F}"/>
            </a:ext>
          </a:extLst>
        </xdr:cNvPr>
        <xdr:cNvSpPr/>
      </xdr:nvSpPr>
      <xdr:spPr>
        <a:xfrm>
          <a:off x="8839200" y="27291029"/>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178</xdr:row>
      <xdr:rowOff>76199</xdr:rowOff>
    </xdr:from>
    <xdr:to>
      <xdr:col>30</xdr:col>
      <xdr:colOff>0</xdr:colOff>
      <xdr:row>178</xdr:row>
      <xdr:rowOff>76199</xdr:rowOff>
    </xdr:to>
    <xdr:cxnSp macro="">
      <xdr:nvCxnSpPr>
        <xdr:cNvPr id="6144" name="직선 화살표 연결선 6143">
          <a:extLst>
            <a:ext uri="{FF2B5EF4-FFF2-40B4-BE49-F238E27FC236}">
              <a16:creationId xmlns:a16="http://schemas.microsoft.com/office/drawing/2014/main" id="{BCCE0D86-7CA1-406B-88D7-F202AE7C4160}"/>
            </a:ext>
          </a:extLst>
        </xdr:cNvPr>
        <xdr:cNvCxnSpPr/>
      </xdr:nvCxnSpPr>
      <xdr:spPr>
        <a:xfrm>
          <a:off x="8839200" y="273481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82731</xdr:colOff>
      <xdr:row>176</xdr:row>
      <xdr:rowOff>19049</xdr:rowOff>
    </xdr:from>
    <xdr:to>
      <xdr:col>29</xdr:col>
      <xdr:colOff>103414</xdr:colOff>
      <xdr:row>176</xdr:row>
      <xdr:rowOff>133349</xdr:rowOff>
    </xdr:to>
    <xdr:sp macro="" textlink="">
      <xdr:nvSpPr>
        <xdr:cNvPr id="6145" name="직사각형 6144">
          <a:extLst>
            <a:ext uri="{FF2B5EF4-FFF2-40B4-BE49-F238E27FC236}">
              <a16:creationId xmlns:a16="http://schemas.microsoft.com/office/drawing/2014/main" id="{91B799F1-DC24-4F6F-88B2-AC84B082EAF3}"/>
            </a:ext>
          </a:extLst>
        </xdr:cNvPr>
        <xdr:cNvSpPr/>
      </xdr:nvSpPr>
      <xdr:spPr>
        <a:xfrm>
          <a:off x="8777151" y="26986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82731</xdr:colOff>
      <xdr:row>176</xdr:row>
      <xdr:rowOff>76199</xdr:rowOff>
    </xdr:from>
    <xdr:to>
      <xdr:col>29</xdr:col>
      <xdr:colOff>82731</xdr:colOff>
      <xdr:row>176</xdr:row>
      <xdr:rowOff>76199</xdr:rowOff>
    </xdr:to>
    <xdr:cxnSp macro="">
      <xdr:nvCxnSpPr>
        <xdr:cNvPr id="6146" name="직선 화살표 연결선 6145">
          <a:extLst>
            <a:ext uri="{FF2B5EF4-FFF2-40B4-BE49-F238E27FC236}">
              <a16:creationId xmlns:a16="http://schemas.microsoft.com/office/drawing/2014/main" id="{DF47D6E5-1221-4EEA-96AE-D70302552039}"/>
            </a:ext>
          </a:extLst>
        </xdr:cNvPr>
        <xdr:cNvCxnSpPr/>
      </xdr:nvCxnSpPr>
      <xdr:spPr>
        <a:xfrm>
          <a:off x="8777151" y="27043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175</xdr:row>
      <xdr:rowOff>19049</xdr:rowOff>
    </xdr:from>
    <xdr:to>
      <xdr:col>29</xdr:col>
      <xdr:colOff>82731</xdr:colOff>
      <xdr:row>175</xdr:row>
      <xdr:rowOff>133349</xdr:rowOff>
    </xdr:to>
    <xdr:sp macro="" textlink="">
      <xdr:nvSpPr>
        <xdr:cNvPr id="6147" name="직사각형 6146">
          <a:extLst>
            <a:ext uri="{FF2B5EF4-FFF2-40B4-BE49-F238E27FC236}">
              <a16:creationId xmlns:a16="http://schemas.microsoft.com/office/drawing/2014/main" id="{2935E4BD-1ABB-4B54-979D-7D93B55A4DCC}"/>
            </a:ext>
          </a:extLst>
        </xdr:cNvPr>
        <xdr:cNvSpPr/>
      </xdr:nvSpPr>
      <xdr:spPr>
        <a:xfrm>
          <a:off x="8756469" y="26833829"/>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175</xdr:row>
      <xdr:rowOff>76199</xdr:rowOff>
    </xdr:from>
    <xdr:to>
      <xdr:col>29</xdr:col>
      <xdr:colOff>62049</xdr:colOff>
      <xdr:row>175</xdr:row>
      <xdr:rowOff>76199</xdr:rowOff>
    </xdr:to>
    <xdr:cxnSp macro="">
      <xdr:nvCxnSpPr>
        <xdr:cNvPr id="6148" name="직선 화살표 연결선 6147">
          <a:extLst>
            <a:ext uri="{FF2B5EF4-FFF2-40B4-BE49-F238E27FC236}">
              <a16:creationId xmlns:a16="http://schemas.microsoft.com/office/drawing/2014/main" id="{5C37DC9B-6599-47D0-B1CD-C45CEAD57A99}"/>
            </a:ext>
          </a:extLst>
        </xdr:cNvPr>
        <xdr:cNvCxnSpPr/>
      </xdr:nvCxnSpPr>
      <xdr:spPr>
        <a:xfrm>
          <a:off x="8756469" y="26890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174</xdr:row>
      <xdr:rowOff>19049</xdr:rowOff>
    </xdr:from>
    <xdr:to>
      <xdr:col>29</xdr:col>
      <xdr:colOff>103414</xdr:colOff>
      <xdr:row>174</xdr:row>
      <xdr:rowOff>133349</xdr:rowOff>
    </xdr:to>
    <xdr:sp macro="" textlink="">
      <xdr:nvSpPr>
        <xdr:cNvPr id="6149" name="직사각형 6148">
          <a:extLst>
            <a:ext uri="{FF2B5EF4-FFF2-40B4-BE49-F238E27FC236}">
              <a16:creationId xmlns:a16="http://schemas.microsoft.com/office/drawing/2014/main" id="{8A6C4B7C-5EC4-4B26-995A-BBCAC328B01B}"/>
            </a:ext>
          </a:extLst>
        </xdr:cNvPr>
        <xdr:cNvSpPr/>
      </xdr:nvSpPr>
      <xdr:spPr>
        <a:xfrm>
          <a:off x="8756469" y="26681429"/>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174</xdr:row>
      <xdr:rowOff>76199</xdr:rowOff>
    </xdr:from>
    <xdr:to>
      <xdr:col>29</xdr:col>
      <xdr:colOff>62049</xdr:colOff>
      <xdr:row>174</xdr:row>
      <xdr:rowOff>76199</xdr:rowOff>
    </xdr:to>
    <xdr:cxnSp macro="">
      <xdr:nvCxnSpPr>
        <xdr:cNvPr id="6150" name="직선 화살표 연결선 6149">
          <a:extLst>
            <a:ext uri="{FF2B5EF4-FFF2-40B4-BE49-F238E27FC236}">
              <a16:creationId xmlns:a16="http://schemas.microsoft.com/office/drawing/2014/main" id="{486527AC-A860-41D5-A8C8-61DAE8AEFC95}"/>
            </a:ext>
          </a:extLst>
        </xdr:cNvPr>
        <xdr:cNvCxnSpPr/>
      </xdr:nvCxnSpPr>
      <xdr:spPr>
        <a:xfrm>
          <a:off x="8756469" y="267385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172</xdr:row>
      <xdr:rowOff>19049</xdr:rowOff>
    </xdr:from>
    <xdr:to>
      <xdr:col>32</xdr:col>
      <xdr:colOff>20683</xdr:colOff>
      <xdr:row>172</xdr:row>
      <xdr:rowOff>133349</xdr:rowOff>
    </xdr:to>
    <xdr:sp macro="" textlink="">
      <xdr:nvSpPr>
        <xdr:cNvPr id="6151" name="직사각형 6150">
          <a:extLst>
            <a:ext uri="{FF2B5EF4-FFF2-40B4-BE49-F238E27FC236}">
              <a16:creationId xmlns:a16="http://schemas.microsoft.com/office/drawing/2014/main" id="{5C47310C-D84F-4814-B090-93B0AA007FB6}"/>
            </a:ext>
          </a:extLst>
        </xdr:cNvPr>
        <xdr:cNvSpPr/>
      </xdr:nvSpPr>
      <xdr:spPr>
        <a:xfrm>
          <a:off x="9128760" y="263766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172</xdr:row>
      <xdr:rowOff>76199</xdr:rowOff>
    </xdr:from>
    <xdr:to>
      <xdr:col>32</xdr:col>
      <xdr:colOff>0</xdr:colOff>
      <xdr:row>172</xdr:row>
      <xdr:rowOff>76199</xdr:rowOff>
    </xdr:to>
    <xdr:cxnSp macro="">
      <xdr:nvCxnSpPr>
        <xdr:cNvPr id="6152" name="직선 화살표 연결선 6151">
          <a:extLst>
            <a:ext uri="{FF2B5EF4-FFF2-40B4-BE49-F238E27FC236}">
              <a16:creationId xmlns:a16="http://schemas.microsoft.com/office/drawing/2014/main" id="{C22BC991-77B3-4183-9F0A-BF6274CB51E2}"/>
            </a:ext>
          </a:extLst>
        </xdr:cNvPr>
        <xdr:cNvCxnSpPr/>
      </xdr:nvCxnSpPr>
      <xdr:spPr>
        <a:xfrm>
          <a:off x="9128760" y="264337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171</xdr:row>
      <xdr:rowOff>19049</xdr:rowOff>
    </xdr:from>
    <xdr:to>
      <xdr:col>32</xdr:col>
      <xdr:colOff>20683</xdr:colOff>
      <xdr:row>171</xdr:row>
      <xdr:rowOff>133349</xdr:rowOff>
    </xdr:to>
    <xdr:sp macro="" textlink="">
      <xdr:nvSpPr>
        <xdr:cNvPr id="6153" name="직사각형 6152">
          <a:extLst>
            <a:ext uri="{FF2B5EF4-FFF2-40B4-BE49-F238E27FC236}">
              <a16:creationId xmlns:a16="http://schemas.microsoft.com/office/drawing/2014/main" id="{2344F723-03EE-4EB0-AEDE-E98C49BF37C8}"/>
            </a:ext>
          </a:extLst>
        </xdr:cNvPr>
        <xdr:cNvSpPr/>
      </xdr:nvSpPr>
      <xdr:spPr>
        <a:xfrm>
          <a:off x="9128760" y="26224229"/>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171</xdr:row>
      <xdr:rowOff>76199</xdr:rowOff>
    </xdr:from>
    <xdr:to>
      <xdr:col>32</xdr:col>
      <xdr:colOff>0</xdr:colOff>
      <xdr:row>171</xdr:row>
      <xdr:rowOff>76199</xdr:rowOff>
    </xdr:to>
    <xdr:cxnSp macro="">
      <xdr:nvCxnSpPr>
        <xdr:cNvPr id="6154" name="직선 화살표 연결선 6153">
          <a:extLst>
            <a:ext uri="{FF2B5EF4-FFF2-40B4-BE49-F238E27FC236}">
              <a16:creationId xmlns:a16="http://schemas.microsoft.com/office/drawing/2014/main" id="{EFA6ED7B-DAD4-461B-A821-B6FB3A648D95}"/>
            </a:ext>
          </a:extLst>
        </xdr:cNvPr>
        <xdr:cNvCxnSpPr/>
      </xdr:nvCxnSpPr>
      <xdr:spPr>
        <a:xfrm>
          <a:off x="9128760" y="262813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170</xdr:row>
      <xdr:rowOff>19049</xdr:rowOff>
    </xdr:from>
    <xdr:to>
      <xdr:col>32</xdr:col>
      <xdr:colOff>20683</xdr:colOff>
      <xdr:row>170</xdr:row>
      <xdr:rowOff>133349</xdr:rowOff>
    </xdr:to>
    <xdr:sp macro="" textlink="">
      <xdr:nvSpPr>
        <xdr:cNvPr id="6155" name="직사각형 6154">
          <a:extLst>
            <a:ext uri="{FF2B5EF4-FFF2-40B4-BE49-F238E27FC236}">
              <a16:creationId xmlns:a16="http://schemas.microsoft.com/office/drawing/2014/main" id="{18806768-D149-4566-BABB-74E7A1CFC374}"/>
            </a:ext>
          </a:extLst>
        </xdr:cNvPr>
        <xdr:cNvSpPr/>
      </xdr:nvSpPr>
      <xdr:spPr>
        <a:xfrm>
          <a:off x="9128760" y="26071829"/>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170</xdr:row>
      <xdr:rowOff>76199</xdr:rowOff>
    </xdr:from>
    <xdr:to>
      <xdr:col>32</xdr:col>
      <xdr:colOff>0</xdr:colOff>
      <xdr:row>170</xdr:row>
      <xdr:rowOff>76199</xdr:rowOff>
    </xdr:to>
    <xdr:cxnSp macro="">
      <xdr:nvCxnSpPr>
        <xdr:cNvPr id="6156" name="직선 화살표 연결선 6155">
          <a:extLst>
            <a:ext uri="{FF2B5EF4-FFF2-40B4-BE49-F238E27FC236}">
              <a16:creationId xmlns:a16="http://schemas.microsoft.com/office/drawing/2014/main" id="{157DB58F-0456-4461-83A1-997C0F4BB045}"/>
            </a:ext>
          </a:extLst>
        </xdr:cNvPr>
        <xdr:cNvCxnSpPr/>
      </xdr:nvCxnSpPr>
      <xdr:spPr>
        <a:xfrm>
          <a:off x="9128760" y="2612897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168</xdr:row>
      <xdr:rowOff>19050</xdr:rowOff>
    </xdr:from>
    <xdr:to>
      <xdr:col>31</xdr:col>
      <xdr:colOff>103414</xdr:colOff>
      <xdr:row>168</xdr:row>
      <xdr:rowOff>133350</xdr:rowOff>
    </xdr:to>
    <xdr:sp macro="" textlink="">
      <xdr:nvSpPr>
        <xdr:cNvPr id="6157" name="직사각형 6156">
          <a:extLst>
            <a:ext uri="{FF2B5EF4-FFF2-40B4-BE49-F238E27FC236}">
              <a16:creationId xmlns:a16="http://schemas.microsoft.com/office/drawing/2014/main" id="{38EB9048-B810-4E3B-B59D-95971FE13A47}"/>
            </a:ext>
          </a:extLst>
        </xdr:cNvPr>
        <xdr:cNvSpPr/>
      </xdr:nvSpPr>
      <xdr:spPr>
        <a:xfrm>
          <a:off x="9066712" y="25767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168</xdr:row>
      <xdr:rowOff>76200</xdr:rowOff>
    </xdr:from>
    <xdr:to>
      <xdr:col>31</xdr:col>
      <xdr:colOff>82732</xdr:colOff>
      <xdr:row>168</xdr:row>
      <xdr:rowOff>76200</xdr:rowOff>
    </xdr:to>
    <xdr:cxnSp macro="">
      <xdr:nvCxnSpPr>
        <xdr:cNvPr id="6158" name="직선 화살표 연결선 6157">
          <a:extLst>
            <a:ext uri="{FF2B5EF4-FFF2-40B4-BE49-F238E27FC236}">
              <a16:creationId xmlns:a16="http://schemas.microsoft.com/office/drawing/2014/main" id="{4AEA34C0-F7B6-4024-AD5B-14E5919AC2CC}"/>
            </a:ext>
          </a:extLst>
        </xdr:cNvPr>
        <xdr:cNvCxnSpPr/>
      </xdr:nvCxnSpPr>
      <xdr:spPr>
        <a:xfrm>
          <a:off x="9066712" y="2582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167</xdr:row>
      <xdr:rowOff>19050</xdr:rowOff>
    </xdr:from>
    <xdr:to>
      <xdr:col>31</xdr:col>
      <xdr:colOff>103414</xdr:colOff>
      <xdr:row>167</xdr:row>
      <xdr:rowOff>133350</xdr:rowOff>
    </xdr:to>
    <xdr:sp macro="" textlink="">
      <xdr:nvSpPr>
        <xdr:cNvPr id="6159" name="직사각형 6158">
          <a:extLst>
            <a:ext uri="{FF2B5EF4-FFF2-40B4-BE49-F238E27FC236}">
              <a16:creationId xmlns:a16="http://schemas.microsoft.com/office/drawing/2014/main" id="{B3AEA703-43C6-459C-A195-C0CB926994DB}"/>
            </a:ext>
          </a:extLst>
        </xdr:cNvPr>
        <xdr:cNvSpPr/>
      </xdr:nvSpPr>
      <xdr:spPr>
        <a:xfrm>
          <a:off x="9066712" y="2561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167</xdr:row>
      <xdr:rowOff>76200</xdr:rowOff>
    </xdr:from>
    <xdr:to>
      <xdr:col>31</xdr:col>
      <xdr:colOff>82732</xdr:colOff>
      <xdr:row>167</xdr:row>
      <xdr:rowOff>76200</xdr:rowOff>
    </xdr:to>
    <xdr:cxnSp macro="">
      <xdr:nvCxnSpPr>
        <xdr:cNvPr id="6160" name="직선 화살표 연결선 6159">
          <a:extLst>
            <a:ext uri="{FF2B5EF4-FFF2-40B4-BE49-F238E27FC236}">
              <a16:creationId xmlns:a16="http://schemas.microsoft.com/office/drawing/2014/main" id="{386BD4FD-E00E-413D-8A66-3991FE323304}"/>
            </a:ext>
          </a:extLst>
        </xdr:cNvPr>
        <xdr:cNvCxnSpPr/>
      </xdr:nvCxnSpPr>
      <xdr:spPr>
        <a:xfrm>
          <a:off x="9066712" y="2567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166</xdr:row>
      <xdr:rowOff>19050</xdr:rowOff>
    </xdr:from>
    <xdr:to>
      <xdr:col>31</xdr:col>
      <xdr:colOff>103414</xdr:colOff>
      <xdr:row>166</xdr:row>
      <xdr:rowOff>133350</xdr:rowOff>
    </xdr:to>
    <xdr:sp macro="" textlink="">
      <xdr:nvSpPr>
        <xdr:cNvPr id="6161" name="직사각형 6160">
          <a:extLst>
            <a:ext uri="{FF2B5EF4-FFF2-40B4-BE49-F238E27FC236}">
              <a16:creationId xmlns:a16="http://schemas.microsoft.com/office/drawing/2014/main" id="{44A471F9-DB82-44C7-8343-92E255E2947E}"/>
            </a:ext>
          </a:extLst>
        </xdr:cNvPr>
        <xdr:cNvSpPr/>
      </xdr:nvSpPr>
      <xdr:spPr>
        <a:xfrm>
          <a:off x="9066712" y="25462230"/>
          <a:ext cx="206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166</xdr:row>
      <xdr:rowOff>76200</xdr:rowOff>
    </xdr:from>
    <xdr:to>
      <xdr:col>31</xdr:col>
      <xdr:colOff>82732</xdr:colOff>
      <xdr:row>166</xdr:row>
      <xdr:rowOff>76200</xdr:rowOff>
    </xdr:to>
    <xdr:cxnSp macro="">
      <xdr:nvCxnSpPr>
        <xdr:cNvPr id="6162" name="직선 화살표 연결선 6161">
          <a:extLst>
            <a:ext uri="{FF2B5EF4-FFF2-40B4-BE49-F238E27FC236}">
              <a16:creationId xmlns:a16="http://schemas.microsoft.com/office/drawing/2014/main" id="{00038A61-0DC9-45D7-91AA-64311F6CE144}"/>
            </a:ext>
          </a:extLst>
        </xdr:cNvPr>
        <xdr:cNvCxnSpPr/>
      </xdr:nvCxnSpPr>
      <xdr:spPr>
        <a:xfrm>
          <a:off x="9066712" y="2551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164</xdr:row>
      <xdr:rowOff>19050</xdr:rowOff>
    </xdr:from>
    <xdr:to>
      <xdr:col>31</xdr:col>
      <xdr:colOff>82732</xdr:colOff>
      <xdr:row>164</xdr:row>
      <xdr:rowOff>133350</xdr:rowOff>
    </xdr:to>
    <xdr:sp macro="" textlink="">
      <xdr:nvSpPr>
        <xdr:cNvPr id="6163" name="직사각형 6162">
          <a:extLst>
            <a:ext uri="{FF2B5EF4-FFF2-40B4-BE49-F238E27FC236}">
              <a16:creationId xmlns:a16="http://schemas.microsoft.com/office/drawing/2014/main" id="{0D4EB699-CEE4-4909-9EE3-89D8D11634D3}"/>
            </a:ext>
          </a:extLst>
        </xdr:cNvPr>
        <xdr:cNvSpPr/>
      </xdr:nvSpPr>
      <xdr:spPr>
        <a:xfrm>
          <a:off x="9046028" y="25157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164</xdr:row>
      <xdr:rowOff>76200</xdr:rowOff>
    </xdr:from>
    <xdr:to>
      <xdr:col>31</xdr:col>
      <xdr:colOff>62048</xdr:colOff>
      <xdr:row>164</xdr:row>
      <xdr:rowOff>76200</xdr:rowOff>
    </xdr:to>
    <xdr:cxnSp macro="">
      <xdr:nvCxnSpPr>
        <xdr:cNvPr id="6164" name="직선 화살표 연결선 6163">
          <a:extLst>
            <a:ext uri="{FF2B5EF4-FFF2-40B4-BE49-F238E27FC236}">
              <a16:creationId xmlns:a16="http://schemas.microsoft.com/office/drawing/2014/main" id="{EFC7B0DE-329E-4106-9647-00070D382F56}"/>
            </a:ext>
          </a:extLst>
        </xdr:cNvPr>
        <xdr:cNvCxnSpPr/>
      </xdr:nvCxnSpPr>
      <xdr:spPr>
        <a:xfrm>
          <a:off x="9046028" y="2521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163</xdr:row>
      <xdr:rowOff>19050</xdr:rowOff>
    </xdr:from>
    <xdr:to>
      <xdr:col>31</xdr:col>
      <xdr:colOff>62048</xdr:colOff>
      <xdr:row>163</xdr:row>
      <xdr:rowOff>133350</xdr:rowOff>
    </xdr:to>
    <xdr:sp macro="" textlink="">
      <xdr:nvSpPr>
        <xdr:cNvPr id="6165" name="직사각형 6164">
          <a:extLst>
            <a:ext uri="{FF2B5EF4-FFF2-40B4-BE49-F238E27FC236}">
              <a16:creationId xmlns:a16="http://schemas.microsoft.com/office/drawing/2014/main" id="{72EA9045-7769-4CDF-AFAC-F553955AB897}"/>
            </a:ext>
          </a:extLst>
        </xdr:cNvPr>
        <xdr:cNvSpPr/>
      </xdr:nvSpPr>
      <xdr:spPr>
        <a:xfrm>
          <a:off x="9025346" y="25005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163</xdr:row>
      <xdr:rowOff>76200</xdr:rowOff>
    </xdr:from>
    <xdr:to>
      <xdr:col>31</xdr:col>
      <xdr:colOff>41366</xdr:colOff>
      <xdr:row>163</xdr:row>
      <xdr:rowOff>76200</xdr:rowOff>
    </xdr:to>
    <xdr:cxnSp macro="">
      <xdr:nvCxnSpPr>
        <xdr:cNvPr id="6166" name="직선 화살표 연결선 6165">
          <a:extLst>
            <a:ext uri="{FF2B5EF4-FFF2-40B4-BE49-F238E27FC236}">
              <a16:creationId xmlns:a16="http://schemas.microsoft.com/office/drawing/2014/main" id="{9E9C7A63-FB09-47C7-86D6-DE6D5B69F2F0}"/>
            </a:ext>
          </a:extLst>
        </xdr:cNvPr>
        <xdr:cNvCxnSpPr/>
      </xdr:nvCxnSpPr>
      <xdr:spPr>
        <a:xfrm>
          <a:off x="9025346" y="2506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162</xdr:row>
      <xdr:rowOff>19050</xdr:rowOff>
    </xdr:from>
    <xdr:to>
      <xdr:col>31</xdr:col>
      <xdr:colOff>82732</xdr:colOff>
      <xdr:row>162</xdr:row>
      <xdr:rowOff>133350</xdr:rowOff>
    </xdr:to>
    <xdr:sp macro="" textlink="">
      <xdr:nvSpPr>
        <xdr:cNvPr id="6167" name="직사각형 6166">
          <a:extLst>
            <a:ext uri="{FF2B5EF4-FFF2-40B4-BE49-F238E27FC236}">
              <a16:creationId xmlns:a16="http://schemas.microsoft.com/office/drawing/2014/main" id="{480AB84F-5960-4134-B208-6FD67A2FD981}"/>
            </a:ext>
          </a:extLst>
        </xdr:cNvPr>
        <xdr:cNvSpPr/>
      </xdr:nvSpPr>
      <xdr:spPr>
        <a:xfrm>
          <a:off x="9025346" y="248526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162</xdr:row>
      <xdr:rowOff>76200</xdr:rowOff>
    </xdr:from>
    <xdr:to>
      <xdr:col>31</xdr:col>
      <xdr:colOff>41366</xdr:colOff>
      <xdr:row>162</xdr:row>
      <xdr:rowOff>76200</xdr:rowOff>
    </xdr:to>
    <xdr:cxnSp macro="">
      <xdr:nvCxnSpPr>
        <xdr:cNvPr id="6168" name="직선 화살표 연결선 6167">
          <a:extLst>
            <a:ext uri="{FF2B5EF4-FFF2-40B4-BE49-F238E27FC236}">
              <a16:creationId xmlns:a16="http://schemas.microsoft.com/office/drawing/2014/main" id="{9685BBE4-9DEB-487D-B3E6-DEB4AD489062}"/>
            </a:ext>
          </a:extLst>
        </xdr:cNvPr>
        <xdr:cNvCxnSpPr/>
      </xdr:nvCxnSpPr>
      <xdr:spPr>
        <a:xfrm>
          <a:off x="9025346" y="2490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160</xdr:row>
      <xdr:rowOff>19050</xdr:rowOff>
    </xdr:from>
    <xdr:to>
      <xdr:col>31</xdr:col>
      <xdr:colOff>41366</xdr:colOff>
      <xdr:row>160</xdr:row>
      <xdr:rowOff>133350</xdr:rowOff>
    </xdr:to>
    <xdr:sp macro="" textlink="">
      <xdr:nvSpPr>
        <xdr:cNvPr id="6169" name="직사각형 6168">
          <a:extLst>
            <a:ext uri="{FF2B5EF4-FFF2-40B4-BE49-F238E27FC236}">
              <a16:creationId xmlns:a16="http://schemas.microsoft.com/office/drawing/2014/main" id="{F4A1D9A1-3B93-48EE-8A48-6B68FAB54EDA}"/>
            </a:ext>
          </a:extLst>
        </xdr:cNvPr>
        <xdr:cNvSpPr/>
      </xdr:nvSpPr>
      <xdr:spPr>
        <a:xfrm>
          <a:off x="9004663" y="2454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160</xdr:row>
      <xdr:rowOff>76200</xdr:rowOff>
    </xdr:from>
    <xdr:to>
      <xdr:col>31</xdr:col>
      <xdr:colOff>20683</xdr:colOff>
      <xdr:row>160</xdr:row>
      <xdr:rowOff>76200</xdr:rowOff>
    </xdr:to>
    <xdr:cxnSp macro="">
      <xdr:nvCxnSpPr>
        <xdr:cNvPr id="6170" name="직선 화살표 연결선 6169">
          <a:extLst>
            <a:ext uri="{FF2B5EF4-FFF2-40B4-BE49-F238E27FC236}">
              <a16:creationId xmlns:a16="http://schemas.microsoft.com/office/drawing/2014/main" id="{35BC6616-3B04-4324-A61A-287CACD6ABC7}"/>
            </a:ext>
          </a:extLst>
        </xdr:cNvPr>
        <xdr:cNvCxnSpPr/>
      </xdr:nvCxnSpPr>
      <xdr:spPr>
        <a:xfrm>
          <a:off x="9004663" y="2460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159</xdr:row>
      <xdr:rowOff>19050</xdr:rowOff>
    </xdr:from>
    <xdr:to>
      <xdr:col>31</xdr:col>
      <xdr:colOff>41366</xdr:colOff>
      <xdr:row>159</xdr:row>
      <xdr:rowOff>133350</xdr:rowOff>
    </xdr:to>
    <xdr:sp macro="" textlink="">
      <xdr:nvSpPr>
        <xdr:cNvPr id="6171" name="직사각형 6170">
          <a:extLst>
            <a:ext uri="{FF2B5EF4-FFF2-40B4-BE49-F238E27FC236}">
              <a16:creationId xmlns:a16="http://schemas.microsoft.com/office/drawing/2014/main" id="{B7A6B768-F5C7-4A46-8E12-5D5BB634CECE}"/>
            </a:ext>
          </a:extLst>
        </xdr:cNvPr>
        <xdr:cNvSpPr/>
      </xdr:nvSpPr>
      <xdr:spPr>
        <a:xfrm>
          <a:off x="9004663" y="2439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159</xdr:row>
      <xdr:rowOff>76200</xdr:rowOff>
    </xdr:from>
    <xdr:to>
      <xdr:col>31</xdr:col>
      <xdr:colOff>20683</xdr:colOff>
      <xdr:row>159</xdr:row>
      <xdr:rowOff>76200</xdr:rowOff>
    </xdr:to>
    <xdr:cxnSp macro="">
      <xdr:nvCxnSpPr>
        <xdr:cNvPr id="6172" name="직선 화살표 연결선 6171">
          <a:extLst>
            <a:ext uri="{FF2B5EF4-FFF2-40B4-BE49-F238E27FC236}">
              <a16:creationId xmlns:a16="http://schemas.microsoft.com/office/drawing/2014/main" id="{60351746-1645-4D36-975C-64D2BF5DC737}"/>
            </a:ext>
          </a:extLst>
        </xdr:cNvPr>
        <xdr:cNvCxnSpPr/>
      </xdr:nvCxnSpPr>
      <xdr:spPr>
        <a:xfrm>
          <a:off x="9004663" y="2445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158</xdr:row>
      <xdr:rowOff>19050</xdr:rowOff>
    </xdr:from>
    <xdr:to>
      <xdr:col>31</xdr:col>
      <xdr:colOff>41366</xdr:colOff>
      <xdr:row>158</xdr:row>
      <xdr:rowOff>133350</xdr:rowOff>
    </xdr:to>
    <xdr:sp macro="" textlink="">
      <xdr:nvSpPr>
        <xdr:cNvPr id="6173" name="직사각형 6172">
          <a:extLst>
            <a:ext uri="{FF2B5EF4-FFF2-40B4-BE49-F238E27FC236}">
              <a16:creationId xmlns:a16="http://schemas.microsoft.com/office/drawing/2014/main" id="{0D4D1DFE-CB90-46A3-9A34-78109E061435}"/>
            </a:ext>
          </a:extLst>
        </xdr:cNvPr>
        <xdr:cNvSpPr/>
      </xdr:nvSpPr>
      <xdr:spPr>
        <a:xfrm>
          <a:off x="9004663" y="242430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158</xdr:row>
      <xdr:rowOff>76200</xdr:rowOff>
    </xdr:from>
    <xdr:to>
      <xdr:col>31</xdr:col>
      <xdr:colOff>20683</xdr:colOff>
      <xdr:row>158</xdr:row>
      <xdr:rowOff>76200</xdr:rowOff>
    </xdr:to>
    <xdr:cxnSp macro="">
      <xdr:nvCxnSpPr>
        <xdr:cNvPr id="6174" name="직선 화살표 연결선 6173">
          <a:extLst>
            <a:ext uri="{FF2B5EF4-FFF2-40B4-BE49-F238E27FC236}">
              <a16:creationId xmlns:a16="http://schemas.microsoft.com/office/drawing/2014/main" id="{001AAA55-10C5-4849-963B-67C52BF290C1}"/>
            </a:ext>
          </a:extLst>
        </xdr:cNvPr>
        <xdr:cNvCxnSpPr/>
      </xdr:nvCxnSpPr>
      <xdr:spPr>
        <a:xfrm>
          <a:off x="9004663" y="2430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156</xdr:row>
      <xdr:rowOff>19050</xdr:rowOff>
    </xdr:from>
    <xdr:to>
      <xdr:col>31</xdr:col>
      <xdr:colOff>20683</xdr:colOff>
      <xdr:row>156</xdr:row>
      <xdr:rowOff>133350</xdr:rowOff>
    </xdr:to>
    <xdr:sp macro="" textlink="">
      <xdr:nvSpPr>
        <xdr:cNvPr id="6175" name="직사각형 6174">
          <a:extLst>
            <a:ext uri="{FF2B5EF4-FFF2-40B4-BE49-F238E27FC236}">
              <a16:creationId xmlns:a16="http://schemas.microsoft.com/office/drawing/2014/main" id="{B38D1BFD-5E10-409D-BCAE-88668289729C}"/>
            </a:ext>
          </a:extLst>
        </xdr:cNvPr>
        <xdr:cNvSpPr/>
      </xdr:nvSpPr>
      <xdr:spPr>
        <a:xfrm>
          <a:off x="8983980" y="2393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156</xdr:row>
      <xdr:rowOff>76200</xdr:rowOff>
    </xdr:from>
    <xdr:to>
      <xdr:col>31</xdr:col>
      <xdr:colOff>0</xdr:colOff>
      <xdr:row>156</xdr:row>
      <xdr:rowOff>76200</xdr:rowOff>
    </xdr:to>
    <xdr:cxnSp macro="">
      <xdr:nvCxnSpPr>
        <xdr:cNvPr id="6176" name="직선 화살표 연결선 6175">
          <a:extLst>
            <a:ext uri="{FF2B5EF4-FFF2-40B4-BE49-F238E27FC236}">
              <a16:creationId xmlns:a16="http://schemas.microsoft.com/office/drawing/2014/main" id="{8E3FDB2D-5031-4F8D-9D9D-C1D70ED8046F}"/>
            </a:ext>
          </a:extLst>
        </xdr:cNvPr>
        <xdr:cNvCxnSpPr/>
      </xdr:nvCxnSpPr>
      <xdr:spPr>
        <a:xfrm>
          <a:off x="8983980" y="2399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155</xdr:row>
      <xdr:rowOff>19050</xdr:rowOff>
    </xdr:from>
    <xdr:to>
      <xdr:col>31</xdr:col>
      <xdr:colOff>20683</xdr:colOff>
      <xdr:row>155</xdr:row>
      <xdr:rowOff>133350</xdr:rowOff>
    </xdr:to>
    <xdr:sp macro="" textlink="">
      <xdr:nvSpPr>
        <xdr:cNvPr id="6177" name="직사각형 6176">
          <a:extLst>
            <a:ext uri="{FF2B5EF4-FFF2-40B4-BE49-F238E27FC236}">
              <a16:creationId xmlns:a16="http://schemas.microsoft.com/office/drawing/2014/main" id="{998AA578-3220-49D9-811D-CD6FB3150797}"/>
            </a:ext>
          </a:extLst>
        </xdr:cNvPr>
        <xdr:cNvSpPr/>
      </xdr:nvSpPr>
      <xdr:spPr>
        <a:xfrm>
          <a:off x="8983980" y="23785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155</xdr:row>
      <xdr:rowOff>76200</xdr:rowOff>
    </xdr:from>
    <xdr:to>
      <xdr:col>31</xdr:col>
      <xdr:colOff>0</xdr:colOff>
      <xdr:row>155</xdr:row>
      <xdr:rowOff>76200</xdr:rowOff>
    </xdr:to>
    <xdr:cxnSp macro="">
      <xdr:nvCxnSpPr>
        <xdr:cNvPr id="6178" name="직선 화살표 연결선 6177">
          <a:extLst>
            <a:ext uri="{FF2B5EF4-FFF2-40B4-BE49-F238E27FC236}">
              <a16:creationId xmlns:a16="http://schemas.microsoft.com/office/drawing/2014/main" id="{31E43C1B-55B3-4D3C-B997-02886CEC2021}"/>
            </a:ext>
          </a:extLst>
        </xdr:cNvPr>
        <xdr:cNvCxnSpPr/>
      </xdr:nvCxnSpPr>
      <xdr:spPr>
        <a:xfrm>
          <a:off x="8983980" y="2384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154</xdr:row>
      <xdr:rowOff>19050</xdr:rowOff>
    </xdr:from>
    <xdr:to>
      <xdr:col>31</xdr:col>
      <xdr:colOff>20683</xdr:colOff>
      <xdr:row>154</xdr:row>
      <xdr:rowOff>133350</xdr:rowOff>
    </xdr:to>
    <xdr:sp macro="" textlink="">
      <xdr:nvSpPr>
        <xdr:cNvPr id="6179" name="직사각형 6178">
          <a:extLst>
            <a:ext uri="{FF2B5EF4-FFF2-40B4-BE49-F238E27FC236}">
              <a16:creationId xmlns:a16="http://schemas.microsoft.com/office/drawing/2014/main" id="{88FA7A7D-4061-472D-A22C-4B01E60D672B}"/>
            </a:ext>
          </a:extLst>
        </xdr:cNvPr>
        <xdr:cNvSpPr/>
      </xdr:nvSpPr>
      <xdr:spPr>
        <a:xfrm>
          <a:off x="8983980" y="236334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154</xdr:row>
      <xdr:rowOff>76200</xdr:rowOff>
    </xdr:from>
    <xdr:to>
      <xdr:col>31</xdr:col>
      <xdr:colOff>0</xdr:colOff>
      <xdr:row>154</xdr:row>
      <xdr:rowOff>76200</xdr:rowOff>
    </xdr:to>
    <xdr:cxnSp macro="">
      <xdr:nvCxnSpPr>
        <xdr:cNvPr id="6180" name="직선 화살표 연결선 6179">
          <a:extLst>
            <a:ext uri="{FF2B5EF4-FFF2-40B4-BE49-F238E27FC236}">
              <a16:creationId xmlns:a16="http://schemas.microsoft.com/office/drawing/2014/main" id="{6DDBEBAB-A69E-4973-90C9-D13E75FBC0D9}"/>
            </a:ext>
          </a:extLst>
        </xdr:cNvPr>
        <xdr:cNvCxnSpPr/>
      </xdr:nvCxnSpPr>
      <xdr:spPr>
        <a:xfrm>
          <a:off x="8983980" y="2369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148</xdr:row>
      <xdr:rowOff>19050</xdr:rowOff>
    </xdr:from>
    <xdr:to>
      <xdr:col>35</xdr:col>
      <xdr:colOff>41366</xdr:colOff>
      <xdr:row>148</xdr:row>
      <xdr:rowOff>133350</xdr:rowOff>
    </xdr:to>
    <xdr:sp macro="" textlink="">
      <xdr:nvSpPr>
        <xdr:cNvPr id="6181" name="직사각형 6180">
          <a:extLst>
            <a:ext uri="{FF2B5EF4-FFF2-40B4-BE49-F238E27FC236}">
              <a16:creationId xmlns:a16="http://schemas.microsoft.com/office/drawing/2014/main" id="{72BC14F7-AA40-4C9E-9E2C-489E3AE462AB}"/>
            </a:ext>
          </a:extLst>
        </xdr:cNvPr>
        <xdr:cNvSpPr/>
      </xdr:nvSpPr>
      <xdr:spPr>
        <a:xfrm>
          <a:off x="9583783" y="2271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148</xdr:row>
      <xdr:rowOff>76200</xdr:rowOff>
    </xdr:from>
    <xdr:to>
      <xdr:col>35</xdr:col>
      <xdr:colOff>20683</xdr:colOff>
      <xdr:row>148</xdr:row>
      <xdr:rowOff>76200</xdr:rowOff>
    </xdr:to>
    <xdr:cxnSp macro="">
      <xdr:nvCxnSpPr>
        <xdr:cNvPr id="6182" name="직선 화살표 연결선 6181">
          <a:extLst>
            <a:ext uri="{FF2B5EF4-FFF2-40B4-BE49-F238E27FC236}">
              <a16:creationId xmlns:a16="http://schemas.microsoft.com/office/drawing/2014/main" id="{4496EEAA-E9DF-4269-8AA6-EDCE76DAB665}"/>
            </a:ext>
          </a:extLst>
        </xdr:cNvPr>
        <xdr:cNvCxnSpPr/>
      </xdr:nvCxnSpPr>
      <xdr:spPr>
        <a:xfrm>
          <a:off x="9583783" y="2277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147</xdr:row>
      <xdr:rowOff>19050</xdr:rowOff>
    </xdr:from>
    <xdr:to>
      <xdr:col>35</xdr:col>
      <xdr:colOff>20683</xdr:colOff>
      <xdr:row>147</xdr:row>
      <xdr:rowOff>133350</xdr:rowOff>
    </xdr:to>
    <xdr:sp macro="" textlink="">
      <xdr:nvSpPr>
        <xdr:cNvPr id="6183" name="직사각형 6182">
          <a:extLst>
            <a:ext uri="{FF2B5EF4-FFF2-40B4-BE49-F238E27FC236}">
              <a16:creationId xmlns:a16="http://schemas.microsoft.com/office/drawing/2014/main" id="{3D002EE6-9909-4670-B47D-50745AFD629D}"/>
            </a:ext>
          </a:extLst>
        </xdr:cNvPr>
        <xdr:cNvSpPr/>
      </xdr:nvSpPr>
      <xdr:spPr>
        <a:xfrm>
          <a:off x="9563100" y="2256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147</xdr:row>
      <xdr:rowOff>76200</xdr:rowOff>
    </xdr:from>
    <xdr:to>
      <xdr:col>35</xdr:col>
      <xdr:colOff>0</xdr:colOff>
      <xdr:row>147</xdr:row>
      <xdr:rowOff>76200</xdr:rowOff>
    </xdr:to>
    <xdr:cxnSp macro="">
      <xdr:nvCxnSpPr>
        <xdr:cNvPr id="6184" name="직선 화살표 연결선 6183">
          <a:extLst>
            <a:ext uri="{FF2B5EF4-FFF2-40B4-BE49-F238E27FC236}">
              <a16:creationId xmlns:a16="http://schemas.microsoft.com/office/drawing/2014/main" id="{98036793-D242-4209-AF12-75A64513371F}"/>
            </a:ext>
          </a:extLst>
        </xdr:cNvPr>
        <xdr:cNvCxnSpPr/>
      </xdr:nvCxnSpPr>
      <xdr:spPr>
        <a:xfrm>
          <a:off x="9563100" y="2262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146</xdr:row>
      <xdr:rowOff>19050</xdr:rowOff>
    </xdr:from>
    <xdr:to>
      <xdr:col>35</xdr:col>
      <xdr:colOff>41366</xdr:colOff>
      <xdr:row>146</xdr:row>
      <xdr:rowOff>133350</xdr:rowOff>
    </xdr:to>
    <xdr:sp macro="" textlink="">
      <xdr:nvSpPr>
        <xdr:cNvPr id="6185" name="직사각형 6184">
          <a:extLst>
            <a:ext uri="{FF2B5EF4-FFF2-40B4-BE49-F238E27FC236}">
              <a16:creationId xmlns:a16="http://schemas.microsoft.com/office/drawing/2014/main" id="{ABF6B799-5659-4917-9045-B0E5948BC4A0}"/>
            </a:ext>
          </a:extLst>
        </xdr:cNvPr>
        <xdr:cNvSpPr/>
      </xdr:nvSpPr>
      <xdr:spPr>
        <a:xfrm>
          <a:off x="9563100" y="224142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146</xdr:row>
      <xdr:rowOff>76200</xdr:rowOff>
    </xdr:from>
    <xdr:to>
      <xdr:col>35</xdr:col>
      <xdr:colOff>0</xdr:colOff>
      <xdr:row>146</xdr:row>
      <xdr:rowOff>76200</xdr:rowOff>
    </xdr:to>
    <xdr:cxnSp macro="">
      <xdr:nvCxnSpPr>
        <xdr:cNvPr id="6186" name="직선 화살표 연결선 6185">
          <a:extLst>
            <a:ext uri="{FF2B5EF4-FFF2-40B4-BE49-F238E27FC236}">
              <a16:creationId xmlns:a16="http://schemas.microsoft.com/office/drawing/2014/main" id="{F83EE478-FC2A-4E2F-B862-EDC59D54DFAD}"/>
            </a:ext>
          </a:extLst>
        </xdr:cNvPr>
        <xdr:cNvCxnSpPr/>
      </xdr:nvCxnSpPr>
      <xdr:spPr>
        <a:xfrm>
          <a:off x="9563100" y="2247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144</xdr:row>
      <xdr:rowOff>19050</xdr:rowOff>
    </xdr:from>
    <xdr:to>
      <xdr:col>33</xdr:col>
      <xdr:colOff>62048</xdr:colOff>
      <xdr:row>144</xdr:row>
      <xdr:rowOff>133350</xdr:rowOff>
    </xdr:to>
    <xdr:sp macro="" textlink="">
      <xdr:nvSpPr>
        <xdr:cNvPr id="6187" name="직사각형 6186">
          <a:extLst>
            <a:ext uri="{FF2B5EF4-FFF2-40B4-BE49-F238E27FC236}">
              <a16:creationId xmlns:a16="http://schemas.microsoft.com/office/drawing/2014/main" id="{6FA477F5-F252-4946-A410-7C0CBB7B268E}"/>
            </a:ext>
          </a:extLst>
        </xdr:cNvPr>
        <xdr:cNvSpPr/>
      </xdr:nvSpPr>
      <xdr:spPr>
        <a:xfrm>
          <a:off x="9273540" y="2210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144</xdr:row>
      <xdr:rowOff>76200</xdr:rowOff>
    </xdr:from>
    <xdr:to>
      <xdr:col>33</xdr:col>
      <xdr:colOff>0</xdr:colOff>
      <xdr:row>144</xdr:row>
      <xdr:rowOff>76200</xdr:rowOff>
    </xdr:to>
    <xdr:cxnSp macro="">
      <xdr:nvCxnSpPr>
        <xdr:cNvPr id="6188" name="직선 화살표 연결선 6187">
          <a:extLst>
            <a:ext uri="{FF2B5EF4-FFF2-40B4-BE49-F238E27FC236}">
              <a16:creationId xmlns:a16="http://schemas.microsoft.com/office/drawing/2014/main" id="{75AD0409-78BC-4031-9564-6829FD1716ED}"/>
            </a:ext>
          </a:extLst>
        </xdr:cNvPr>
        <xdr:cNvCxnSpPr/>
      </xdr:nvCxnSpPr>
      <xdr:spPr>
        <a:xfrm>
          <a:off x="9273540" y="2216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143</xdr:row>
      <xdr:rowOff>19050</xdr:rowOff>
    </xdr:from>
    <xdr:to>
      <xdr:col>32</xdr:col>
      <xdr:colOff>82731</xdr:colOff>
      <xdr:row>143</xdr:row>
      <xdr:rowOff>133350</xdr:rowOff>
    </xdr:to>
    <xdr:sp macro="" textlink="">
      <xdr:nvSpPr>
        <xdr:cNvPr id="6189" name="직사각형 6188">
          <a:extLst>
            <a:ext uri="{FF2B5EF4-FFF2-40B4-BE49-F238E27FC236}">
              <a16:creationId xmlns:a16="http://schemas.microsoft.com/office/drawing/2014/main" id="{11B2764C-773E-4647-B52D-EA70B435918D}"/>
            </a:ext>
          </a:extLst>
        </xdr:cNvPr>
        <xdr:cNvSpPr/>
      </xdr:nvSpPr>
      <xdr:spPr>
        <a:xfrm>
          <a:off x="9190809" y="21957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143</xdr:row>
      <xdr:rowOff>76200</xdr:rowOff>
    </xdr:from>
    <xdr:to>
      <xdr:col>32</xdr:col>
      <xdr:colOff>62049</xdr:colOff>
      <xdr:row>143</xdr:row>
      <xdr:rowOff>76200</xdr:rowOff>
    </xdr:to>
    <xdr:cxnSp macro="">
      <xdr:nvCxnSpPr>
        <xdr:cNvPr id="6190" name="직선 화살표 연결선 6189">
          <a:extLst>
            <a:ext uri="{FF2B5EF4-FFF2-40B4-BE49-F238E27FC236}">
              <a16:creationId xmlns:a16="http://schemas.microsoft.com/office/drawing/2014/main" id="{BE2BD7E5-8F53-4423-A921-5A36E775D10D}"/>
            </a:ext>
          </a:extLst>
        </xdr:cNvPr>
        <xdr:cNvCxnSpPr/>
      </xdr:nvCxnSpPr>
      <xdr:spPr>
        <a:xfrm>
          <a:off x="9190809" y="2201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142</xdr:row>
      <xdr:rowOff>19050</xdr:rowOff>
    </xdr:from>
    <xdr:to>
      <xdr:col>33</xdr:col>
      <xdr:colOff>62048</xdr:colOff>
      <xdr:row>142</xdr:row>
      <xdr:rowOff>133350</xdr:rowOff>
    </xdr:to>
    <xdr:sp macro="" textlink="">
      <xdr:nvSpPr>
        <xdr:cNvPr id="6191" name="직사각형 6190">
          <a:extLst>
            <a:ext uri="{FF2B5EF4-FFF2-40B4-BE49-F238E27FC236}">
              <a16:creationId xmlns:a16="http://schemas.microsoft.com/office/drawing/2014/main" id="{160A1D20-374A-47FC-94CE-765D63591DAD}"/>
            </a:ext>
          </a:extLst>
        </xdr:cNvPr>
        <xdr:cNvSpPr/>
      </xdr:nvSpPr>
      <xdr:spPr>
        <a:xfrm>
          <a:off x="9190809" y="21804630"/>
          <a:ext cx="1447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142</xdr:row>
      <xdr:rowOff>76200</xdr:rowOff>
    </xdr:from>
    <xdr:to>
      <xdr:col>32</xdr:col>
      <xdr:colOff>62049</xdr:colOff>
      <xdr:row>142</xdr:row>
      <xdr:rowOff>76200</xdr:rowOff>
    </xdr:to>
    <xdr:cxnSp macro="">
      <xdr:nvCxnSpPr>
        <xdr:cNvPr id="6192" name="직선 화살표 연결선 6191">
          <a:extLst>
            <a:ext uri="{FF2B5EF4-FFF2-40B4-BE49-F238E27FC236}">
              <a16:creationId xmlns:a16="http://schemas.microsoft.com/office/drawing/2014/main" id="{3BC9E3BA-4DF8-4B16-8239-A868C501C915}"/>
            </a:ext>
          </a:extLst>
        </xdr:cNvPr>
        <xdr:cNvCxnSpPr/>
      </xdr:nvCxnSpPr>
      <xdr:spPr>
        <a:xfrm>
          <a:off x="9190809" y="2186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140</xdr:row>
      <xdr:rowOff>19050</xdr:rowOff>
    </xdr:from>
    <xdr:to>
      <xdr:col>32</xdr:col>
      <xdr:colOff>41366</xdr:colOff>
      <xdr:row>140</xdr:row>
      <xdr:rowOff>133350</xdr:rowOff>
    </xdr:to>
    <xdr:sp macro="" textlink="">
      <xdr:nvSpPr>
        <xdr:cNvPr id="6193" name="직사각형 6192">
          <a:extLst>
            <a:ext uri="{FF2B5EF4-FFF2-40B4-BE49-F238E27FC236}">
              <a16:creationId xmlns:a16="http://schemas.microsoft.com/office/drawing/2014/main" id="{1703BC84-D1A7-44EA-BE1B-8DDD575645B2}"/>
            </a:ext>
          </a:extLst>
        </xdr:cNvPr>
        <xdr:cNvSpPr/>
      </xdr:nvSpPr>
      <xdr:spPr>
        <a:xfrm>
          <a:off x="9066712" y="21499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140</xdr:row>
      <xdr:rowOff>76200</xdr:rowOff>
    </xdr:from>
    <xdr:to>
      <xdr:col>31</xdr:col>
      <xdr:colOff>82732</xdr:colOff>
      <xdr:row>140</xdr:row>
      <xdr:rowOff>76200</xdr:rowOff>
    </xdr:to>
    <xdr:cxnSp macro="">
      <xdr:nvCxnSpPr>
        <xdr:cNvPr id="6194" name="직선 화살표 연결선 6193">
          <a:extLst>
            <a:ext uri="{FF2B5EF4-FFF2-40B4-BE49-F238E27FC236}">
              <a16:creationId xmlns:a16="http://schemas.microsoft.com/office/drawing/2014/main" id="{4FF9219F-0194-4169-8CFB-9F989C62F3F2}"/>
            </a:ext>
          </a:extLst>
        </xdr:cNvPr>
        <xdr:cNvCxnSpPr/>
      </xdr:nvCxnSpPr>
      <xdr:spPr>
        <a:xfrm>
          <a:off x="9066712" y="2155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139</xdr:row>
      <xdr:rowOff>19050</xdr:rowOff>
    </xdr:from>
    <xdr:to>
      <xdr:col>31</xdr:col>
      <xdr:colOff>82732</xdr:colOff>
      <xdr:row>139</xdr:row>
      <xdr:rowOff>133350</xdr:rowOff>
    </xdr:to>
    <xdr:sp macro="" textlink="">
      <xdr:nvSpPr>
        <xdr:cNvPr id="6195" name="직사각형 6194">
          <a:extLst>
            <a:ext uri="{FF2B5EF4-FFF2-40B4-BE49-F238E27FC236}">
              <a16:creationId xmlns:a16="http://schemas.microsoft.com/office/drawing/2014/main" id="{46193626-8B3B-4C50-8427-E28A139F2FE9}"/>
            </a:ext>
          </a:extLst>
        </xdr:cNvPr>
        <xdr:cNvSpPr/>
      </xdr:nvSpPr>
      <xdr:spPr>
        <a:xfrm>
          <a:off x="9004663" y="21347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139</xdr:row>
      <xdr:rowOff>76200</xdr:rowOff>
    </xdr:from>
    <xdr:to>
      <xdr:col>31</xdr:col>
      <xdr:colOff>20683</xdr:colOff>
      <xdr:row>139</xdr:row>
      <xdr:rowOff>76200</xdr:rowOff>
    </xdr:to>
    <xdr:cxnSp macro="">
      <xdr:nvCxnSpPr>
        <xdr:cNvPr id="6196" name="직선 화살표 연결선 6195">
          <a:extLst>
            <a:ext uri="{FF2B5EF4-FFF2-40B4-BE49-F238E27FC236}">
              <a16:creationId xmlns:a16="http://schemas.microsoft.com/office/drawing/2014/main" id="{D07A386A-7360-49EF-97CD-86AFBF5FDB78}"/>
            </a:ext>
          </a:extLst>
        </xdr:cNvPr>
        <xdr:cNvCxnSpPr/>
      </xdr:nvCxnSpPr>
      <xdr:spPr>
        <a:xfrm>
          <a:off x="9004663" y="2140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138</xdr:row>
      <xdr:rowOff>19050</xdr:rowOff>
    </xdr:from>
    <xdr:to>
      <xdr:col>32</xdr:col>
      <xdr:colOff>41366</xdr:colOff>
      <xdr:row>138</xdr:row>
      <xdr:rowOff>133350</xdr:rowOff>
    </xdr:to>
    <xdr:sp macro="" textlink="">
      <xdr:nvSpPr>
        <xdr:cNvPr id="6197" name="직사각형 6196">
          <a:extLst>
            <a:ext uri="{FF2B5EF4-FFF2-40B4-BE49-F238E27FC236}">
              <a16:creationId xmlns:a16="http://schemas.microsoft.com/office/drawing/2014/main" id="{8BFB8157-525D-4D68-A6A9-0DE44700CA39}"/>
            </a:ext>
          </a:extLst>
        </xdr:cNvPr>
        <xdr:cNvSpPr/>
      </xdr:nvSpPr>
      <xdr:spPr>
        <a:xfrm>
          <a:off x="9004663" y="21195030"/>
          <a:ext cx="16546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138</xdr:row>
      <xdr:rowOff>76200</xdr:rowOff>
    </xdr:from>
    <xdr:to>
      <xdr:col>31</xdr:col>
      <xdr:colOff>20683</xdr:colOff>
      <xdr:row>138</xdr:row>
      <xdr:rowOff>76200</xdr:rowOff>
    </xdr:to>
    <xdr:cxnSp macro="">
      <xdr:nvCxnSpPr>
        <xdr:cNvPr id="6198" name="직선 화살표 연결선 6197">
          <a:extLst>
            <a:ext uri="{FF2B5EF4-FFF2-40B4-BE49-F238E27FC236}">
              <a16:creationId xmlns:a16="http://schemas.microsoft.com/office/drawing/2014/main" id="{70075596-FA0E-42D9-960E-13DEB9268045}"/>
            </a:ext>
          </a:extLst>
        </xdr:cNvPr>
        <xdr:cNvCxnSpPr/>
      </xdr:nvCxnSpPr>
      <xdr:spPr>
        <a:xfrm>
          <a:off x="9004663" y="2125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136</xdr:row>
      <xdr:rowOff>19050</xdr:rowOff>
    </xdr:from>
    <xdr:to>
      <xdr:col>32</xdr:col>
      <xdr:colOff>41366</xdr:colOff>
      <xdr:row>136</xdr:row>
      <xdr:rowOff>133350</xdr:rowOff>
    </xdr:to>
    <xdr:sp macro="" textlink="">
      <xdr:nvSpPr>
        <xdr:cNvPr id="6199" name="직사각형 6198">
          <a:extLst>
            <a:ext uri="{FF2B5EF4-FFF2-40B4-BE49-F238E27FC236}">
              <a16:creationId xmlns:a16="http://schemas.microsoft.com/office/drawing/2014/main" id="{38A9CAEC-7760-46E6-AE4E-6AA70C838469}"/>
            </a:ext>
          </a:extLst>
        </xdr:cNvPr>
        <xdr:cNvSpPr/>
      </xdr:nvSpPr>
      <xdr:spPr>
        <a:xfrm>
          <a:off x="9128760" y="20890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136</xdr:row>
      <xdr:rowOff>76200</xdr:rowOff>
    </xdr:from>
    <xdr:to>
      <xdr:col>32</xdr:col>
      <xdr:colOff>0</xdr:colOff>
      <xdr:row>136</xdr:row>
      <xdr:rowOff>76200</xdr:rowOff>
    </xdr:to>
    <xdr:cxnSp macro="">
      <xdr:nvCxnSpPr>
        <xdr:cNvPr id="6200" name="직선 화살표 연결선 6199">
          <a:extLst>
            <a:ext uri="{FF2B5EF4-FFF2-40B4-BE49-F238E27FC236}">
              <a16:creationId xmlns:a16="http://schemas.microsoft.com/office/drawing/2014/main" id="{0D24C50A-50F5-4DC8-99A6-CFB828A28B1E}"/>
            </a:ext>
          </a:extLst>
        </xdr:cNvPr>
        <xdr:cNvCxnSpPr/>
      </xdr:nvCxnSpPr>
      <xdr:spPr>
        <a:xfrm>
          <a:off x="9128760"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135</xdr:row>
      <xdr:rowOff>19050</xdr:rowOff>
    </xdr:from>
    <xdr:to>
      <xdr:col>31</xdr:col>
      <xdr:colOff>103414</xdr:colOff>
      <xdr:row>135</xdr:row>
      <xdr:rowOff>133350</xdr:rowOff>
    </xdr:to>
    <xdr:sp macro="" textlink="">
      <xdr:nvSpPr>
        <xdr:cNvPr id="6201" name="직사각형 6200">
          <a:extLst>
            <a:ext uri="{FF2B5EF4-FFF2-40B4-BE49-F238E27FC236}">
              <a16:creationId xmlns:a16="http://schemas.microsoft.com/office/drawing/2014/main" id="{54A0D794-5788-4ED1-B502-D59F7233799D}"/>
            </a:ext>
          </a:extLst>
        </xdr:cNvPr>
        <xdr:cNvSpPr/>
      </xdr:nvSpPr>
      <xdr:spPr>
        <a:xfrm>
          <a:off x="9046028" y="20737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135</xdr:row>
      <xdr:rowOff>76200</xdr:rowOff>
    </xdr:from>
    <xdr:to>
      <xdr:col>31</xdr:col>
      <xdr:colOff>103414</xdr:colOff>
      <xdr:row>135</xdr:row>
      <xdr:rowOff>76200</xdr:rowOff>
    </xdr:to>
    <xdr:cxnSp macro="">
      <xdr:nvCxnSpPr>
        <xdr:cNvPr id="6202" name="직선 화살표 연결선 6201">
          <a:extLst>
            <a:ext uri="{FF2B5EF4-FFF2-40B4-BE49-F238E27FC236}">
              <a16:creationId xmlns:a16="http://schemas.microsoft.com/office/drawing/2014/main" id="{FAF18FAB-351F-485E-8840-564C45F79E24}"/>
            </a:ext>
          </a:extLst>
        </xdr:cNvPr>
        <xdr:cNvCxnSpPr/>
      </xdr:nvCxnSpPr>
      <xdr:spPr>
        <a:xfrm>
          <a:off x="9046028" y="20794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134</xdr:row>
      <xdr:rowOff>19050</xdr:rowOff>
    </xdr:from>
    <xdr:to>
      <xdr:col>32</xdr:col>
      <xdr:colOff>41366</xdr:colOff>
      <xdr:row>134</xdr:row>
      <xdr:rowOff>133350</xdr:rowOff>
    </xdr:to>
    <xdr:sp macro="" textlink="">
      <xdr:nvSpPr>
        <xdr:cNvPr id="6203" name="직사각형 6202">
          <a:extLst>
            <a:ext uri="{FF2B5EF4-FFF2-40B4-BE49-F238E27FC236}">
              <a16:creationId xmlns:a16="http://schemas.microsoft.com/office/drawing/2014/main" id="{4BCE3ACE-F361-4B3F-B921-7AA464C7F7D3}"/>
            </a:ext>
          </a:extLst>
        </xdr:cNvPr>
        <xdr:cNvSpPr/>
      </xdr:nvSpPr>
      <xdr:spPr>
        <a:xfrm>
          <a:off x="9046028" y="20585430"/>
          <a:ext cx="1240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134</xdr:row>
      <xdr:rowOff>76200</xdr:rowOff>
    </xdr:from>
    <xdr:to>
      <xdr:col>31</xdr:col>
      <xdr:colOff>124097</xdr:colOff>
      <xdr:row>134</xdr:row>
      <xdr:rowOff>76200</xdr:rowOff>
    </xdr:to>
    <xdr:cxnSp macro="">
      <xdr:nvCxnSpPr>
        <xdr:cNvPr id="6204" name="직선 화살표 연결선 6203">
          <a:extLst>
            <a:ext uri="{FF2B5EF4-FFF2-40B4-BE49-F238E27FC236}">
              <a16:creationId xmlns:a16="http://schemas.microsoft.com/office/drawing/2014/main" id="{92CC419A-AB0D-4DED-BE7F-EE9050794F1F}"/>
            </a:ext>
          </a:extLst>
        </xdr:cNvPr>
        <xdr:cNvCxnSpPr/>
      </xdr:nvCxnSpPr>
      <xdr:spPr>
        <a:xfrm>
          <a:off x="9046028" y="206425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132</xdr:row>
      <xdr:rowOff>19050</xdr:rowOff>
    </xdr:from>
    <xdr:to>
      <xdr:col>29</xdr:col>
      <xdr:colOff>82731</xdr:colOff>
      <xdr:row>132</xdr:row>
      <xdr:rowOff>133350</xdr:rowOff>
    </xdr:to>
    <xdr:sp macro="" textlink="">
      <xdr:nvSpPr>
        <xdr:cNvPr id="6205" name="직사각형 6204">
          <a:extLst>
            <a:ext uri="{FF2B5EF4-FFF2-40B4-BE49-F238E27FC236}">
              <a16:creationId xmlns:a16="http://schemas.microsoft.com/office/drawing/2014/main" id="{15F5760F-37FF-4747-9CAE-1F4F95FB7943}"/>
            </a:ext>
          </a:extLst>
        </xdr:cNvPr>
        <xdr:cNvSpPr/>
      </xdr:nvSpPr>
      <xdr:spPr>
        <a:xfrm>
          <a:off x="8756469" y="20280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132</xdr:row>
      <xdr:rowOff>76200</xdr:rowOff>
    </xdr:from>
    <xdr:to>
      <xdr:col>29</xdr:col>
      <xdr:colOff>82731</xdr:colOff>
      <xdr:row>132</xdr:row>
      <xdr:rowOff>76200</xdr:rowOff>
    </xdr:to>
    <xdr:cxnSp macro="">
      <xdr:nvCxnSpPr>
        <xdr:cNvPr id="6206" name="직선 화살표 연결선 6205">
          <a:extLst>
            <a:ext uri="{FF2B5EF4-FFF2-40B4-BE49-F238E27FC236}">
              <a16:creationId xmlns:a16="http://schemas.microsoft.com/office/drawing/2014/main" id="{BFFACE15-6A10-4F1F-8277-1B6426B9969B}"/>
            </a:ext>
          </a:extLst>
        </xdr:cNvPr>
        <xdr:cNvCxnSpPr/>
      </xdr:nvCxnSpPr>
      <xdr:spPr>
        <a:xfrm>
          <a:off x="8756469" y="20337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131</xdr:row>
      <xdr:rowOff>19050</xdr:rowOff>
    </xdr:from>
    <xdr:to>
      <xdr:col>29</xdr:col>
      <xdr:colOff>62049</xdr:colOff>
      <xdr:row>131</xdr:row>
      <xdr:rowOff>133350</xdr:rowOff>
    </xdr:to>
    <xdr:sp macro="" textlink="">
      <xdr:nvSpPr>
        <xdr:cNvPr id="6207" name="직사각형 6206">
          <a:extLst>
            <a:ext uri="{FF2B5EF4-FFF2-40B4-BE49-F238E27FC236}">
              <a16:creationId xmlns:a16="http://schemas.microsoft.com/office/drawing/2014/main" id="{3FC750EC-E588-45FC-8483-B0FB272013EB}"/>
            </a:ext>
          </a:extLst>
        </xdr:cNvPr>
        <xdr:cNvSpPr/>
      </xdr:nvSpPr>
      <xdr:spPr>
        <a:xfrm>
          <a:off x="8735785" y="20128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131</xdr:row>
      <xdr:rowOff>76200</xdr:rowOff>
    </xdr:from>
    <xdr:to>
      <xdr:col>29</xdr:col>
      <xdr:colOff>62049</xdr:colOff>
      <xdr:row>131</xdr:row>
      <xdr:rowOff>76200</xdr:rowOff>
    </xdr:to>
    <xdr:cxnSp macro="">
      <xdr:nvCxnSpPr>
        <xdr:cNvPr id="6208" name="직선 화살표 연결선 6207">
          <a:extLst>
            <a:ext uri="{FF2B5EF4-FFF2-40B4-BE49-F238E27FC236}">
              <a16:creationId xmlns:a16="http://schemas.microsoft.com/office/drawing/2014/main" id="{98C45158-13AE-4BE7-B5A9-33ADF613271F}"/>
            </a:ext>
          </a:extLst>
        </xdr:cNvPr>
        <xdr:cNvCxnSpPr/>
      </xdr:nvCxnSpPr>
      <xdr:spPr>
        <a:xfrm>
          <a:off x="8735785" y="201853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130</xdr:row>
      <xdr:rowOff>19050</xdr:rowOff>
    </xdr:from>
    <xdr:to>
      <xdr:col>29</xdr:col>
      <xdr:colOff>82731</xdr:colOff>
      <xdr:row>130</xdr:row>
      <xdr:rowOff>133350</xdr:rowOff>
    </xdr:to>
    <xdr:sp macro="" textlink="">
      <xdr:nvSpPr>
        <xdr:cNvPr id="6209" name="직사각형 6208">
          <a:extLst>
            <a:ext uri="{FF2B5EF4-FFF2-40B4-BE49-F238E27FC236}">
              <a16:creationId xmlns:a16="http://schemas.microsoft.com/office/drawing/2014/main" id="{882AD0F3-79DE-43A4-9319-29A2ED0E4F87}"/>
            </a:ext>
          </a:extLst>
        </xdr:cNvPr>
        <xdr:cNvSpPr/>
      </xdr:nvSpPr>
      <xdr:spPr>
        <a:xfrm>
          <a:off x="8735785" y="199758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130</xdr:row>
      <xdr:rowOff>76200</xdr:rowOff>
    </xdr:from>
    <xdr:to>
      <xdr:col>29</xdr:col>
      <xdr:colOff>82731</xdr:colOff>
      <xdr:row>130</xdr:row>
      <xdr:rowOff>76200</xdr:rowOff>
    </xdr:to>
    <xdr:cxnSp macro="">
      <xdr:nvCxnSpPr>
        <xdr:cNvPr id="6210" name="직선 화살표 연결선 6209">
          <a:extLst>
            <a:ext uri="{FF2B5EF4-FFF2-40B4-BE49-F238E27FC236}">
              <a16:creationId xmlns:a16="http://schemas.microsoft.com/office/drawing/2014/main" id="{8A67FA53-1FE2-4CD1-8EFC-D98FE4764E9E}"/>
            </a:ext>
          </a:extLst>
        </xdr:cNvPr>
        <xdr:cNvCxnSpPr/>
      </xdr:nvCxnSpPr>
      <xdr:spPr>
        <a:xfrm>
          <a:off x="8735785" y="200329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129</xdr:row>
      <xdr:rowOff>19050</xdr:rowOff>
    </xdr:from>
    <xdr:to>
      <xdr:col>35</xdr:col>
      <xdr:colOff>41366</xdr:colOff>
      <xdr:row>129</xdr:row>
      <xdr:rowOff>133350</xdr:rowOff>
    </xdr:to>
    <xdr:sp macro="" textlink="">
      <xdr:nvSpPr>
        <xdr:cNvPr id="6211" name="직사각형 6210">
          <a:extLst>
            <a:ext uri="{FF2B5EF4-FFF2-40B4-BE49-F238E27FC236}">
              <a16:creationId xmlns:a16="http://schemas.microsoft.com/office/drawing/2014/main" id="{00C4EE12-C3E3-4ECC-9C78-A12DB182A446}"/>
            </a:ext>
          </a:extLst>
        </xdr:cNvPr>
        <xdr:cNvSpPr/>
      </xdr:nvSpPr>
      <xdr:spPr>
        <a:xfrm>
          <a:off x="8735785" y="19823430"/>
          <a:ext cx="868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129</xdr:row>
      <xdr:rowOff>76200</xdr:rowOff>
    </xdr:from>
    <xdr:to>
      <xdr:col>29</xdr:col>
      <xdr:colOff>128234</xdr:colOff>
      <xdr:row>129</xdr:row>
      <xdr:rowOff>76200</xdr:rowOff>
    </xdr:to>
    <xdr:cxnSp macro="">
      <xdr:nvCxnSpPr>
        <xdr:cNvPr id="6212" name="직선 화살표 연결선 6211">
          <a:extLst>
            <a:ext uri="{FF2B5EF4-FFF2-40B4-BE49-F238E27FC236}">
              <a16:creationId xmlns:a16="http://schemas.microsoft.com/office/drawing/2014/main" id="{0D76A380-C213-4D87-A548-9553B0F857B3}"/>
            </a:ext>
          </a:extLst>
        </xdr:cNvPr>
        <xdr:cNvCxnSpPr/>
      </xdr:nvCxnSpPr>
      <xdr:spPr>
        <a:xfrm>
          <a:off x="8735785" y="19880580"/>
          <a:ext cx="868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127</xdr:row>
      <xdr:rowOff>19050</xdr:rowOff>
    </xdr:from>
    <xdr:to>
      <xdr:col>29</xdr:col>
      <xdr:colOff>103414</xdr:colOff>
      <xdr:row>127</xdr:row>
      <xdr:rowOff>133350</xdr:rowOff>
    </xdr:to>
    <xdr:sp macro="" textlink="">
      <xdr:nvSpPr>
        <xdr:cNvPr id="6213" name="직사각형 6212">
          <a:extLst>
            <a:ext uri="{FF2B5EF4-FFF2-40B4-BE49-F238E27FC236}">
              <a16:creationId xmlns:a16="http://schemas.microsoft.com/office/drawing/2014/main" id="{4E56B0D4-0C62-4F6B-9E57-E3BC1DD1FC5F}"/>
            </a:ext>
          </a:extLst>
        </xdr:cNvPr>
        <xdr:cNvSpPr/>
      </xdr:nvSpPr>
      <xdr:spPr>
        <a:xfrm>
          <a:off x="8756469" y="195186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127</xdr:row>
      <xdr:rowOff>76200</xdr:rowOff>
    </xdr:from>
    <xdr:to>
      <xdr:col>29</xdr:col>
      <xdr:colOff>62049</xdr:colOff>
      <xdr:row>127</xdr:row>
      <xdr:rowOff>76200</xdr:rowOff>
    </xdr:to>
    <xdr:cxnSp macro="">
      <xdr:nvCxnSpPr>
        <xdr:cNvPr id="6214" name="직선 화살표 연결선 6213">
          <a:extLst>
            <a:ext uri="{FF2B5EF4-FFF2-40B4-BE49-F238E27FC236}">
              <a16:creationId xmlns:a16="http://schemas.microsoft.com/office/drawing/2014/main" id="{F69A1DA3-4AA8-4C5B-8883-939DCFB0D392}"/>
            </a:ext>
          </a:extLst>
        </xdr:cNvPr>
        <xdr:cNvCxnSpPr/>
      </xdr:nvCxnSpPr>
      <xdr:spPr>
        <a:xfrm>
          <a:off x="8756469" y="1957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123</xdr:row>
      <xdr:rowOff>19050</xdr:rowOff>
    </xdr:from>
    <xdr:to>
      <xdr:col>29</xdr:col>
      <xdr:colOff>103414</xdr:colOff>
      <xdr:row>123</xdr:row>
      <xdr:rowOff>133350</xdr:rowOff>
    </xdr:to>
    <xdr:sp macro="" textlink="">
      <xdr:nvSpPr>
        <xdr:cNvPr id="6215" name="직사각형 6214">
          <a:extLst>
            <a:ext uri="{FF2B5EF4-FFF2-40B4-BE49-F238E27FC236}">
              <a16:creationId xmlns:a16="http://schemas.microsoft.com/office/drawing/2014/main" id="{01EAD33B-A723-48E7-8DDB-5D5E627672D8}"/>
            </a:ext>
          </a:extLst>
        </xdr:cNvPr>
        <xdr:cNvSpPr/>
      </xdr:nvSpPr>
      <xdr:spPr>
        <a:xfrm>
          <a:off x="8756469" y="189090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123</xdr:row>
      <xdr:rowOff>76200</xdr:rowOff>
    </xdr:from>
    <xdr:to>
      <xdr:col>29</xdr:col>
      <xdr:colOff>62049</xdr:colOff>
      <xdr:row>123</xdr:row>
      <xdr:rowOff>76200</xdr:rowOff>
    </xdr:to>
    <xdr:cxnSp macro="">
      <xdr:nvCxnSpPr>
        <xdr:cNvPr id="6216" name="직선 화살표 연결선 6215">
          <a:extLst>
            <a:ext uri="{FF2B5EF4-FFF2-40B4-BE49-F238E27FC236}">
              <a16:creationId xmlns:a16="http://schemas.microsoft.com/office/drawing/2014/main" id="{0EAF6AB7-ACB8-4A4C-8F87-8A2204469645}"/>
            </a:ext>
          </a:extLst>
        </xdr:cNvPr>
        <xdr:cNvCxnSpPr/>
      </xdr:nvCxnSpPr>
      <xdr:spPr>
        <a:xfrm>
          <a:off x="8756469" y="1896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121</xdr:row>
      <xdr:rowOff>19050</xdr:rowOff>
    </xdr:from>
    <xdr:to>
      <xdr:col>29</xdr:col>
      <xdr:colOff>103414</xdr:colOff>
      <xdr:row>121</xdr:row>
      <xdr:rowOff>133350</xdr:rowOff>
    </xdr:to>
    <xdr:sp macro="" textlink="">
      <xdr:nvSpPr>
        <xdr:cNvPr id="6217" name="직사각형 6216">
          <a:extLst>
            <a:ext uri="{FF2B5EF4-FFF2-40B4-BE49-F238E27FC236}">
              <a16:creationId xmlns:a16="http://schemas.microsoft.com/office/drawing/2014/main" id="{D6CC64AA-BD3B-4EDC-AC5A-962AAE3CFDA7}"/>
            </a:ext>
          </a:extLst>
        </xdr:cNvPr>
        <xdr:cNvSpPr/>
      </xdr:nvSpPr>
      <xdr:spPr>
        <a:xfrm>
          <a:off x="8756469" y="18604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121</xdr:row>
      <xdr:rowOff>76200</xdr:rowOff>
    </xdr:from>
    <xdr:to>
      <xdr:col>29</xdr:col>
      <xdr:colOff>62049</xdr:colOff>
      <xdr:row>121</xdr:row>
      <xdr:rowOff>76200</xdr:rowOff>
    </xdr:to>
    <xdr:cxnSp macro="">
      <xdr:nvCxnSpPr>
        <xdr:cNvPr id="6218" name="직선 화살표 연결선 6217">
          <a:extLst>
            <a:ext uri="{FF2B5EF4-FFF2-40B4-BE49-F238E27FC236}">
              <a16:creationId xmlns:a16="http://schemas.microsoft.com/office/drawing/2014/main" id="{7D05F95B-48E6-4417-BE89-561CE90D6B3A}"/>
            </a:ext>
          </a:extLst>
        </xdr:cNvPr>
        <xdr:cNvCxnSpPr/>
      </xdr:nvCxnSpPr>
      <xdr:spPr>
        <a:xfrm>
          <a:off x="8756469" y="1866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117</xdr:row>
      <xdr:rowOff>19050</xdr:rowOff>
    </xdr:from>
    <xdr:to>
      <xdr:col>29</xdr:col>
      <xdr:colOff>103414</xdr:colOff>
      <xdr:row>117</xdr:row>
      <xdr:rowOff>133350</xdr:rowOff>
    </xdr:to>
    <xdr:sp macro="" textlink="">
      <xdr:nvSpPr>
        <xdr:cNvPr id="6219" name="직사각형 6218">
          <a:extLst>
            <a:ext uri="{FF2B5EF4-FFF2-40B4-BE49-F238E27FC236}">
              <a16:creationId xmlns:a16="http://schemas.microsoft.com/office/drawing/2014/main" id="{9DB89314-53AA-4970-A055-57F4AA0D3389}"/>
            </a:ext>
          </a:extLst>
        </xdr:cNvPr>
        <xdr:cNvSpPr/>
      </xdr:nvSpPr>
      <xdr:spPr>
        <a:xfrm>
          <a:off x="8756469" y="179946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117</xdr:row>
      <xdr:rowOff>76200</xdr:rowOff>
    </xdr:from>
    <xdr:to>
      <xdr:col>29</xdr:col>
      <xdr:colOff>62049</xdr:colOff>
      <xdr:row>117</xdr:row>
      <xdr:rowOff>76200</xdr:rowOff>
    </xdr:to>
    <xdr:cxnSp macro="">
      <xdr:nvCxnSpPr>
        <xdr:cNvPr id="6220" name="직선 화살표 연결선 6219">
          <a:extLst>
            <a:ext uri="{FF2B5EF4-FFF2-40B4-BE49-F238E27FC236}">
              <a16:creationId xmlns:a16="http://schemas.microsoft.com/office/drawing/2014/main" id="{F2E9FBD9-8BFF-45C5-86AE-23BC17EB5FA3}"/>
            </a:ext>
          </a:extLst>
        </xdr:cNvPr>
        <xdr:cNvCxnSpPr/>
      </xdr:nvCxnSpPr>
      <xdr:spPr>
        <a:xfrm>
          <a:off x="8756469" y="1805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115</xdr:row>
      <xdr:rowOff>19050</xdr:rowOff>
    </xdr:from>
    <xdr:to>
      <xdr:col>29</xdr:col>
      <xdr:colOff>103414</xdr:colOff>
      <xdr:row>115</xdr:row>
      <xdr:rowOff>133350</xdr:rowOff>
    </xdr:to>
    <xdr:sp macro="" textlink="">
      <xdr:nvSpPr>
        <xdr:cNvPr id="6221" name="직사각형 6220">
          <a:extLst>
            <a:ext uri="{FF2B5EF4-FFF2-40B4-BE49-F238E27FC236}">
              <a16:creationId xmlns:a16="http://schemas.microsoft.com/office/drawing/2014/main" id="{FC506B11-4175-4187-BE72-BF783055B074}"/>
            </a:ext>
          </a:extLst>
        </xdr:cNvPr>
        <xdr:cNvSpPr/>
      </xdr:nvSpPr>
      <xdr:spPr>
        <a:xfrm>
          <a:off x="8756469" y="17689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115</xdr:row>
      <xdr:rowOff>76200</xdr:rowOff>
    </xdr:from>
    <xdr:to>
      <xdr:col>29</xdr:col>
      <xdr:colOff>62049</xdr:colOff>
      <xdr:row>115</xdr:row>
      <xdr:rowOff>76200</xdr:rowOff>
    </xdr:to>
    <xdr:cxnSp macro="">
      <xdr:nvCxnSpPr>
        <xdr:cNvPr id="6222" name="직선 화살표 연결선 6221">
          <a:extLst>
            <a:ext uri="{FF2B5EF4-FFF2-40B4-BE49-F238E27FC236}">
              <a16:creationId xmlns:a16="http://schemas.microsoft.com/office/drawing/2014/main" id="{FE92D24A-3134-40A8-99DD-99AB37D30F75}"/>
            </a:ext>
          </a:extLst>
        </xdr:cNvPr>
        <xdr:cNvCxnSpPr/>
      </xdr:nvCxnSpPr>
      <xdr:spPr>
        <a:xfrm>
          <a:off x="8756469" y="1774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111</xdr:row>
      <xdr:rowOff>19050</xdr:rowOff>
    </xdr:from>
    <xdr:to>
      <xdr:col>29</xdr:col>
      <xdr:colOff>103414</xdr:colOff>
      <xdr:row>111</xdr:row>
      <xdr:rowOff>133350</xdr:rowOff>
    </xdr:to>
    <xdr:sp macro="" textlink="">
      <xdr:nvSpPr>
        <xdr:cNvPr id="6223" name="직사각형 6222">
          <a:extLst>
            <a:ext uri="{FF2B5EF4-FFF2-40B4-BE49-F238E27FC236}">
              <a16:creationId xmlns:a16="http://schemas.microsoft.com/office/drawing/2014/main" id="{FA0E2896-5F59-4942-B5C0-1052D0E89CFD}"/>
            </a:ext>
          </a:extLst>
        </xdr:cNvPr>
        <xdr:cNvSpPr/>
      </xdr:nvSpPr>
      <xdr:spPr>
        <a:xfrm>
          <a:off x="8756469" y="170802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111</xdr:row>
      <xdr:rowOff>76200</xdr:rowOff>
    </xdr:from>
    <xdr:to>
      <xdr:col>29</xdr:col>
      <xdr:colOff>62049</xdr:colOff>
      <xdr:row>111</xdr:row>
      <xdr:rowOff>76200</xdr:rowOff>
    </xdr:to>
    <xdr:cxnSp macro="">
      <xdr:nvCxnSpPr>
        <xdr:cNvPr id="6224" name="직선 화살표 연결선 6223">
          <a:extLst>
            <a:ext uri="{FF2B5EF4-FFF2-40B4-BE49-F238E27FC236}">
              <a16:creationId xmlns:a16="http://schemas.microsoft.com/office/drawing/2014/main" id="{ECAE2C72-6273-40CB-AAB2-1E2F76ECBC4B}"/>
            </a:ext>
          </a:extLst>
        </xdr:cNvPr>
        <xdr:cNvCxnSpPr/>
      </xdr:nvCxnSpPr>
      <xdr:spPr>
        <a:xfrm>
          <a:off x="8756469" y="1713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109</xdr:row>
      <xdr:rowOff>19050</xdr:rowOff>
    </xdr:from>
    <xdr:to>
      <xdr:col>29</xdr:col>
      <xdr:colOff>103414</xdr:colOff>
      <xdr:row>109</xdr:row>
      <xdr:rowOff>133350</xdr:rowOff>
    </xdr:to>
    <xdr:sp macro="" textlink="">
      <xdr:nvSpPr>
        <xdr:cNvPr id="6225" name="직사각형 6224">
          <a:extLst>
            <a:ext uri="{FF2B5EF4-FFF2-40B4-BE49-F238E27FC236}">
              <a16:creationId xmlns:a16="http://schemas.microsoft.com/office/drawing/2014/main" id="{AF2B932E-9E97-4CAC-9D74-3DF4F48C6C84}"/>
            </a:ext>
          </a:extLst>
        </xdr:cNvPr>
        <xdr:cNvSpPr/>
      </xdr:nvSpPr>
      <xdr:spPr>
        <a:xfrm>
          <a:off x="8756469" y="16775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109</xdr:row>
      <xdr:rowOff>76200</xdr:rowOff>
    </xdr:from>
    <xdr:to>
      <xdr:col>29</xdr:col>
      <xdr:colOff>62049</xdr:colOff>
      <xdr:row>109</xdr:row>
      <xdr:rowOff>76200</xdr:rowOff>
    </xdr:to>
    <xdr:cxnSp macro="">
      <xdr:nvCxnSpPr>
        <xdr:cNvPr id="6226" name="직선 화살표 연결선 6225">
          <a:extLst>
            <a:ext uri="{FF2B5EF4-FFF2-40B4-BE49-F238E27FC236}">
              <a16:creationId xmlns:a16="http://schemas.microsoft.com/office/drawing/2014/main" id="{D0868B8E-90B5-4CD4-ADD3-FCFE754647FE}"/>
            </a:ext>
          </a:extLst>
        </xdr:cNvPr>
        <xdr:cNvCxnSpPr/>
      </xdr:nvCxnSpPr>
      <xdr:spPr>
        <a:xfrm>
          <a:off x="8756469" y="1683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105</xdr:row>
      <xdr:rowOff>19050</xdr:rowOff>
    </xdr:from>
    <xdr:to>
      <xdr:col>29</xdr:col>
      <xdr:colOff>103414</xdr:colOff>
      <xdr:row>105</xdr:row>
      <xdr:rowOff>133350</xdr:rowOff>
    </xdr:to>
    <xdr:sp macro="" textlink="">
      <xdr:nvSpPr>
        <xdr:cNvPr id="6227" name="직사각형 6226">
          <a:extLst>
            <a:ext uri="{FF2B5EF4-FFF2-40B4-BE49-F238E27FC236}">
              <a16:creationId xmlns:a16="http://schemas.microsoft.com/office/drawing/2014/main" id="{5E1B0F48-1091-4E1A-8F96-2C063475DB75}"/>
            </a:ext>
          </a:extLst>
        </xdr:cNvPr>
        <xdr:cNvSpPr/>
      </xdr:nvSpPr>
      <xdr:spPr>
        <a:xfrm>
          <a:off x="8756469" y="161658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105</xdr:row>
      <xdr:rowOff>76200</xdr:rowOff>
    </xdr:from>
    <xdr:to>
      <xdr:col>29</xdr:col>
      <xdr:colOff>62049</xdr:colOff>
      <xdr:row>105</xdr:row>
      <xdr:rowOff>76200</xdr:rowOff>
    </xdr:to>
    <xdr:cxnSp macro="">
      <xdr:nvCxnSpPr>
        <xdr:cNvPr id="6228" name="직선 화살표 연결선 6227">
          <a:extLst>
            <a:ext uri="{FF2B5EF4-FFF2-40B4-BE49-F238E27FC236}">
              <a16:creationId xmlns:a16="http://schemas.microsoft.com/office/drawing/2014/main" id="{E4E7A3C5-3332-458C-ACDD-29A34016283A}"/>
            </a:ext>
          </a:extLst>
        </xdr:cNvPr>
        <xdr:cNvCxnSpPr/>
      </xdr:nvCxnSpPr>
      <xdr:spPr>
        <a:xfrm>
          <a:off x="8756469" y="1622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103</xdr:row>
      <xdr:rowOff>19050</xdr:rowOff>
    </xdr:from>
    <xdr:to>
      <xdr:col>29</xdr:col>
      <xdr:colOff>103414</xdr:colOff>
      <xdr:row>103</xdr:row>
      <xdr:rowOff>133350</xdr:rowOff>
    </xdr:to>
    <xdr:sp macro="" textlink="">
      <xdr:nvSpPr>
        <xdr:cNvPr id="6229" name="직사각형 6228">
          <a:extLst>
            <a:ext uri="{FF2B5EF4-FFF2-40B4-BE49-F238E27FC236}">
              <a16:creationId xmlns:a16="http://schemas.microsoft.com/office/drawing/2014/main" id="{5A3CC509-2C71-4A45-A7E4-22BA094D5BE8}"/>
            </a:ext>
          </a:extLst>
        </xdr:cNvPr>
        <xdr:cNvSpPr/>
      </xdr:nvSpPr>
      <xdr:spPr>
        <a:xfrm>
          <a:off x="8756469" y="15861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103</xdr:row>
      <xdr:rowOff>76200</xdr:rowOff>
    </xdr:from>
    <xdr:to>
      <xdr:col>29</xdr:col>
      <xdr:colOff>62049</xdr:colOff>
      <xdr:row>103</xdr:row>
      <xdr:rowOff>76200</xdr:rowOff>
    </xdr:to>
    <xdr:cxnSp macro="">
      <xdr:nvCxnSpPr>
        <xdr:cNvPr id="6230" name="직선 화살표 연결선 6229">
          <a:extLst>
            <a:ext uri="{FF2B5EF4-FFF2-40B4-BE49-F238E27FC236}">
              <a16:creationId xmlns:a16="http://schemas.microsoft.com/office/drawing/2014/main" id="{698450BA-5FEE-41AE-BEF7-3B907E44431A}"/>
            </a:ext>
          </a:extLst>
        </xdr:cNvPr>
        <xdr:cNvCxnSpPr/>
      </xdr:nvCxnSpPr>
      <xdr:spPr>
        <a:xfrm>
          <a:off x="8756469"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99</xdr:row>
      <xdr:rowOff>19050</xdr:rowOff>
    </xdr:from>
    <xdr:to>
      <xdr:col>29</xdr:col>
      <xdr:colOff>103414</xdr:colOff>
      <xdr:row>99</xdr:row>
      <xdr:rowOff>133350</xdr:rowOff>
    </xdr:to>
    <xdr:sp macro="" textlink="">
      <xdr:nvSpPr>
        <xdr:cNvPr id="6231" name="직사각형 6230">
          <a:extLst>
            <a:ext uri="{FF2B5EF4-FFF2-40B4-BE49-F238E27FC236}">
              <a16:creationId xmlns:a16="http://schemas.microsoft.com/office/drawing/2014/main" id="{6A6E5019-A4F8-429E-A72A-EC6F55A29C1E}"/>
            </a:ext>
          </a:extLst>
        </xdr:cNvPr>
        <xdr:cNvSpPr/>
      </xdr:nvSpPr>
      <xdr:spPr>
        <a:xfrm>
          <a:off x="8756469" y="152514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99</xdr:row>
      <xdr:rowOff>76200</xdr:rowOff>
    </xdr:from>
    <xdr:to>
      <xdr:col>29</xdr:col>
      <xdr:colOff>62049</xdr:colOff>
      <xdr:row>99</xdr:row>
      <xdr:rowOff>76200</xdr:rowOff>
    </xdr:to>
    <xdr:cxnSp macro="">
      <xdr:nvCxnSpPr>
        <xdr:cNvPr id="6232" name="직선 화살표 연결선 6231">
          <a:extLst>
            <a:ext uri="{FF2B5EF4-FFF2-40B4-BE49-F238E27FC236}">
              <a16:creationId xmlns:a16="http://schemas.microsoft.com/office/drawing/2014/main" id="{68845E15-830F-4137-B8BD-82D30AEEE6EA}"/>
            </a:ext>
          </a:extLst>
        </xdr:cNvPr>
        <xdr:cNvCxnSpPr/>
      </xdr:nvCxnSpPr>
      <xdr:spPr>
        <a:xfrm>
          <a:off x="8756469"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97</xdr:row>
      <xdr:rowOff>19050</xdr:rowOff>
    </xdr:from>
    <xdr:to>
      <xdr:col>31</xdr:col>
      <xdr:colOff>103414</xdr:colOff>
      <xdr:row>97</xdr:row>
      <xdr:rowOff>133350</xdr:rowOff>
    </xdr:to>
    <xdr:sp macro="" textlink="">
      <xdr:nvSpPr>
        <xdr:cNvPr id="6233" name="직사각형 6232">
          <a:extLst>
            <a:ext uri="{FF2B5EF4-FFF2-40B4-BE49-F238E27FC236}">
              <a16:creationId xmlns:a16="http://schemas.microsoft.com/office/drawing/2014/main" id="{57DDB34B-EAA6-4495-B344-B4D94A690315}"/>
            </a:ext>
          </a:extLst>
        </xdr:cNvPr>
        <xdr:cNvSpPr/>
      </xdr:nvSpPr>
      <xdr:spPr>
        <a:xfrm>
          <a:off x="8632372" y="14946630"/>
          <a:ext cx="4550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97</xdr:row>
      <xdr:rowOff>76200</xdr:rowOff>
    </xdr:from>
    <xdr:to>
      <xdr:col>28</xdr:col>
      <xdr:colOff>82732</xdr:colOff>
      <xdr:row>97</xdr:row>
      <xdr:rowOff>76200</xdr:rowOff>
    </xdr:to>
    <xdr:cxnSp macro="">
      <xdr:nvCxnSpPr>
        <xdr:cNvPr id="6234" name="직선 화살표 연결선 6233">
          <a:extLst>
            <a:ext uri="{FF2B5EF4-FFF2-40B4-BE49-F238E27FC236}">
              <a16:creationId xmlns:a16="http://schemas.microsoft.com/office/drawing/2014/main" id="{A7E8F066-5C19-4C65-8D1E-7EDA80F7BF0B}"/>
            </a:ext>
          </a:extLst>
        </xdr:cNvPr>
        <xdr:cNvCxnSpPr/>
      </xdr:nvCxnSpPr>
      <xdr:spPr>
        <a:xfrm>
          <a:off x="8632372"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93</xdr:row>
      <xdr:rowOff>19050</xdr:rowOff>
    </xdr:from>
    <xdr:to>
      <xdr:col>31</xdr:col>
      <xdr:colOff>103414</xdr:colOff>
      <xdr:row>93</xdr:row>
      <xdr:rowOff>133350</xdr:rowOff>
    </xdr:to>
    <xdr:sp macro="" textlink="">
      <xdr:nvSpPr>
        <xdr:cNvPr id="6235" name="직사각형 6234">
          <a:extLst>
            <a:ext uri="{FF2B5EF4-FFF2-40B4-BE49-F238E27FC236}">
              <a16:creationId xmlns:a16="http://schemas.microsoft.com/office/drawing/2014/main" id="{45FE600D-01EF-408E-8DCE-4130D1EEBAB5}"/>
            </a:ext>
          </a:extLst>
        </xdr:cNvPr>
        <xdr:cNvSpPr/>
      </xdr:nvSpPr>
      <xdr:spPr>
        <a:xfrm>
          <a:off x="8632372" y="14337030"/>
          <a:ext cx="4550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82732</xdr:colOff>
      <xdr:row>93</xdr:row>
      <xdr:rowOff>76200</xdr:rowOff>
    </xdr:from>
    <xdr:to>
      <xdr:col>28</xdr:col>
      <xdr:colOff>82732</xdr:colOff>
      <xdr:row>93</xdr:row>
      <xdr:rowOff>76200</xdr:rowOff>
    </xdr:to>
    <xdr:cxnSp macro="">
      <xdr:nvCxnSpPr>
        <xdr:cNvPr id="6236" name="직선 화살표 연결선 6235">
          <a:extLst>
            <a:ext uri="{FF2B5EF4-FFF2-40B4-BE49-F238E27FC236}">
              <a16:creationId xmlns:a16="http://schemas.microsoft.com/office/drawing/2014/main" id="{66B6DB77-D5F0-4C6C-906B-8D5198E7CCF9}"/>
            </a:ext>
          </a:extLst>
        </xdr:cNvPr>
        <xdr:cNvCxnSpPr/>
      </xdr:nvCxnSpPr>
      <xdr:spPr>
        <a:xfrm>
          <a:off x="8632372" y="1439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82731</xdr:colOff>
      <xdr:row>91</xdr:row>
      <xdr:rowOff>19050</xdr:rowOff>
    </xdr:from>
    <xdr:to>
      <xdr:col>30</xdr:col>
      <xdr:colOff>103415</xdr:colOff>
      <xdr:row>91</xdr:row>
      <xdr:rowOff>133350</xdr:rowOff>
    </xdr:to>
    <xdr:sp macro="" textlink="">
      <xdr:nvSpPr>
        <xdr:cNvPr id="6237" name="직사각형 6236">
          <a:extLst>
            <a:ext uri="{FF2B5EF4-FFF2-40B4-BE49-F238E27FC236}">
              <a16:creationId xmlns:a16="http://schemas.microsoft.com/office/drawing/2014/main" id="{7EC5AB09-32B4-4FBA-B306-7386BB4A0E68}"/>
            </a:ext>
          </a:extLst>
        </xdr:cNvPr>
        <xdr:cNvSpPr/>
      </xdr:nvSpPr>
      <xdr:spPr>
        <a:xfrm>
          <a:off x="8921931" y="14032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82731</xdr:colOff>
      <xdr:row>91</xdr:row>
      <xdr:rowOff>76200</xdr:rowOff>
    </xdr:from>
    <xdr:to>
      <xdr:col>30</xdr:col>
      <xdr:colOff>82731</xdr:colOff>
      <xdr:row>91</xdr:row>
      <xdr:rowOff>76200</xdr:rowOff>
    </xdr:to>
    <xdr:cxnSp macro="">
      <xdr:nvCxnSpPr>
        <xdr:cNvPr id="6238" name="직선 화살표 연결선 6237">
          <a:extLst>
            <a:ext uri="{FF2B5EF4-FFF2-40B4-BE49-F238E27FC236}">
              <a16:creationId xmlns:a16="http://schemas.microsoft.com/office/drawing/2014/main" id="{5D1DA144-939F-4967-AEA3-D625DF163C5D}"/>
            </a:ext>
          </a:extLst>
        </xdr:cNvPr>
        <xdr:cNvCxnSpPr/>
      </xdr:nvCxnSpPr>
      <xdr:spPr>
        <a:xfrm>
          <a:off x="8921931"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90</xdr:row>
      <xdr:rowOff>19050</xdr:rowOff>
    </xdr:from>
    <xdr:to>
      <xdr:col>30</xdr:col>
      <xdr:colOff>103415</xdr:colOff>
      <xdr:row>90</xdr:row>
      <xdr:rowOff>133350</xdr:rowOff>
    </xdr:to>
    <xdr:sp macro="" textlink="">
      <xdr:nvSpPr>
        <xdr:cNvPr id="6239" name="직사각형 6238">
          <a:extLst>
            <a:ext uri="{FF2B5EF4-FFF2-40B4-BE49-F238E27FC236}">
              <a16:creationId xmlns:a16="http://schemas.microsoft.com/office/drawing/2014/main" id="{FD525FD1-79A2-4AB3-88CD-FF650227CF21}"/>
            </a:ext>
          </a:extLst>
        </xdr:cNvPr>
        <xdr:cNvSpPr/>
      </xdr:nvSpPr>
      <xdr:spPr>
        <a:xfrm>
          <a:off x="8901249" y="13879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90</xdr:row>
      <xdr:rowOff>76200</xdr:rowOff>
    </xdr:from>
    <xdr:to>
      <xdr:col>30</xdr:col>
      <xdr:colOff>62049</xdr:colOff>
      <xdr:row>90</xdr:row>
      <xdr:rowOff>76200</xdr:rowOff>
    </xdr:to>
    <xdr:cxnSp macro="">
      <xdr:nvCxnSpPr>
        <xdr:cNvPr id="6240" name="직선 화살표 연결선 6239">
          <a:extLst>
            <a:ext uri="{FF2B5EF4-FFF2-40B4-BE49-F238E27FC236}">
              <a16:creationId xmlns:a16="http://schemas.microsoft.com/office/drawing/2014/main" id="{FEC807A3-E26C-419F-A67E-651393B42B27}"/>
            </a:ext>
          </a:extLst>
        </xdr:cNvPr>
        <xdr:cNvCxnSpPr/>
      </xdr:nvCxnSpPr>
      <xdr:spPr>
        <a:xfrm>
          <a:off x="8901249"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87</xdr:row>
      <xdr:rowOff>19050</xdr:rowOff>
    </xdr:from>
    <xdr:to>
      <xdr:col>30</xdr:col>
      <xdr:colOff>103415</xdr:colOff>
      <xdr:row>87</xdr:row>
      <xdr:rowOff>133350</xdr:rowOff>
    </xdr:to>
    <xdr:sp macro="" textlink="">
      <xdr:nvSpPr>
        <xdr:cNvPr id="6241" name="직사각형 6240">
          <a:extLst>
            <a:ext uri="{FF2B5EF4-FFF2-40B4-BE49-F238E27FC236}">
              <a16:creationId xmlns:a16="http://schemas.microsoft.com/office/drawing/2014/main" id="{7186D27B-72BA-4391-B897-3DCA8E7F3DE9}"/>
            </a:ext>
          </a:extLst>
        </xdr:cNvPr>
        <xdr:cNvSpPr/>
      </xdr:nvSpPr>
      <xdr:spPr>
        <a:xfrm>
          <a:off x="8901249" y="134226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87</xdr:row>
      <xdr:rowOff>76200</xdr:rowOff>
    </xdr:from>
    <xdr:to>
      <xdr:col>30</xdr:col>
      <xdr:colOff>62049</xdr:colOff>
      <xdr:row>87</xdr:row>
      <xdr:rowOff>76200</xdr:rowOff>
    </xdr:to>
    <xdr:cxnSp macro="">
      <xdr:nvCxnSpPr>
        <xdr:cNvPr id="6242" name="직선 화살표 연결선 6241">
          <a:extLst>
            <a:ext uri="{FF2B5EF4-FFF2-40B4-BE49-F238E27FC236}">
              <a16:creationId xmlns:a16="http://schemas.microsoft.com/office/drawing/2014/main" id="{8519946A-2F47-4223-9209-335658A30634}"/>
            </a:ext>
          </a:extLst>
        </xdr:cNvPr>
        <xdr:cNvCxnSpPr/>
      </xdr:nvCxnSpPr>
      <xdr:spPr>
        <a:xfrm>
          <a:off x="8901249"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85</xdr:row>
      <xdr:rowOff>19050</xdr:rowOff>
    </xdr:from>
    <xdr:to>
      <xdr:col>32</xdr:col>
      <xdr:colOff>20683</xdr:colOff>
      <xdr:row>85</xdr:row>
      <xdr:rowOff>133350</xdr:rowOff>
    </xdr:to>
    <xdr:sp macro="" textlink="">
      <xdr:nvSpPr>
        <xdr:cNvPr id="6243" name="직사각형 6242">
          <a:extLst>
            <a:ext uri="{FF2B5EF4-FFF2-40B4-BE49-F238E27FC236}">
              <a16:creationId xmlns:a16="http://schemas.microsoft.com/office/drawing/2014/main" id="{B4D7B9EC-3AD6-4708-8E4E-5C524CD88B84}"/>
            </a:ext>
          </a:extLst>
        </xdr:cNvPr>
        <xdr:cNvSpPr/>
      </xdr:nvSpPr>
      <xdr:spPr>
        <a:xfrm>
          <a:off x="9066712" y="131178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85</xdr:row>
      <xdr:rowOff>76200</xdr:rowOff>
    </xdr:from>
    <xdr:to>
      <xdr:col>31</xdr:col>
      <xdr:colOff>82732</xdr:colOff>
      <xdr:row>85</xdr:row>
      <xdr:rowOff>76200</xdr:rowOff>
    </xdr:to>
    <xdr:cxnSp macro="">
      <xdr:nvCxnSpPr>
        <xdr:cNvPr id="6244" name="직선 화살표 연결선 6243">
          <a:extLst>
            <a:ext uri="{FF2B5EF4-FFF2-40B4-BE49-F238E27FC236}">
              <a16:creationId xmlns:a16="http://schemas.microsoft.com/office/drawing/2014/main" id="{170DD72B-8D91-4334-8DA5-87BC0A0ED0E6}"/>
            </a:ext>
          </a:extLst>
        </xdr:cNvPr>
        <xdr:cNvCxnSpPr/>
      </xdr:nvCxnSpPr>
      <xdr:spPr>
        <a:xfrm>
          <a:off x="9066712" y="1317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84</xdr:row>
      <xdr:rowOff>19050</xdr:rowOff>
    </xdr:from>
    <xdr:to>
      <xdr:col>31</xdr:col>
      <xdr:colOff>103414</xdr:colOff>
      <xdr:row>84</xdr:row>
      <xdr:rowOff>133350</xdr:rowOff>
    </xdr:to>
    <xdr:sp macro="" textlink="">
      <xdr:nvSpPr>
        <xdr:cNvPr id="6245" name="직사각형 6244">
          <a:extLst>
            <a:ext uri="{FF2B5EF4-FFF2-40B4-BE49-F238E27FC236}">
              <a16:creationId xmlns:a16="http://schemas.microsoft.com/office/drawing/2014/main" id="{65E99979-9082-491C-8A1E-99345626D756}"/>
            </a:ext>
          </a:extLst>
        </xdr:cNvPr>
        <xdr:cNvSpPr/>
      </xdr:nvSpPr>
      <xdr:spPr>
        <a:xfrm>
          <a:off x="9046028" y="12965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84</xdr:row>
      <xdr:rowOff>76200</xdr:rowOff>
    </xdr:from>
    <xdr:to>
      <xdr:col>31</xdr:col>
      <xdr:colOff>62048</xdr:colOff>
      <xdr:row>84</xdr:row>
      <xdr:rowOff>76200</xdr:rowOff>
    </xdr:to>
    <xdr:cxnSp macro="">
      <xdr:nvCxnSpPr>
        <xdr:cNvPr id="6246" name="직선 화살표 연결선 6245">
          <a:extLst>
            <a:ext uri="{FF2B5EF4-FFF2-40B4-BE49-F238E27FC236}">
              <a16:creationId xmlns:a16="http://schemas.microsoft.com/office/drawing/2014/main" id="{A30E3FFB-5B28-4570-943E-4C2CE05D7BDF}"/>
            </a:ext>
          </a:extLst>
        </xdr:cNvPr>
        <xdr:cNvCxnSpPr/>
      </xdr:nvCxnSpPr>
      <xdr:spPr>
        <a:xfrm>
          <a:off x="9046028"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81</xdr:row>
      <xdr:rowOff>19050</xdr:rowOff>
    </xdr:from>
    <xdr:to>
      <xdr:col>32</xdr:col>
      <xdr:colOff>20683</xdr:colOff>
      <xdr:row>81</xdr:row>
      <xdr:rowOff>133350</xdr:rowOff>
    </xdr:to>
    <xdr:sp macro="" textlink="">
      <xdr:nvSpPr>
        <xdr:cNvPr id="6247" name="직사각형 6246">
          <a:extLst>
            <a:ext uri="{FF2B5EF4-FFF2-40B4-BE49-F238E27FC236}">
              <a16:creationId xmlns:a16="http://schemas.microsoft.com/office/drawing/2014/main" id="{17267115-5B52-441D-9AD5-AF0B5EF37316}"/>
            </a:ext>
          </a:extLst>
        </xdr:cNvPr>
        <xdr:cNvSpPr/>
      </xdr:nvSpPr>
      <xdr:spPr>
        <a:xfrm>
          <a:off x="9046028" y="12508230"/>
          <a:ext cx="1034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81</xdr:row>
      <xdr:rowOff>76200</xdr:rowOff>
    </xdr:from>
    <xdr:to>
      <xdr:col>31</xdr:col>
      <xdr:colOff>62048</xdr:colOff>
      <xdr:row>81</xdr:row>
      <xdr:rowOff>76200</xdr:rowOff>
    </xdr:to>
    <xdr:cxnSp macro="">
      <xdr:nvCxnSpPr>
        <xdr:cNvPr id="6248" name="직선 화살표 연결선 6247">
          <a:extLst>
            <a:ext uri="{FF2B5EF4-FFF2-40B4-BE49-F238E27FC236}">
              <a16:creationId xmlns:a16="http://schemas.microsoft.com/office/drawing/2014/main" id="{2B106D79-7F75-4BDB-89D9-678A4AFA937D}"/>
            </a:ext>
          </a:extLst>
        </xdr:cNvPr>
        <xdr:cNvCxnSpPr/>
      </xdr:nvCxnSpPr>
      <xdr:spPr>
        <a:xfrm>
          <a:off x="9046028"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79</xdr:row>
      <xdr:rowOff>19050</xdr:rowOff>
    </xdr:from>
    <xdr:to>
      <xdr:col>31</xdr:col>
      <xdr:colOff>82732</xdr:colOff>
      <xdr:row>79</xdr:row>
      <xdr:rowOff>133350</xdr:rowOff>
    </xdr:to>
    <xdr:sp macro="" textlink="">
      <xdr:nvSpPr>
        <xdr:cNvPr id="6249" name="직사각형 6248">
          <a:extLst>
            <a:ext uri="{FF2B5EF4-FFF2-40B4-BE49-F238E27FC236}">
              <a16:creationId xmlns:a16="http://schemas.microsoft.com/office/drawing/2014/main" id="{720B74B4-7A89-4693-AB21-56F61C58AEDA}"/>
            </a:ext>
          </a:extLst>
        </xdr:cNvPr>
        <xdr:cNvSpPr/>
      </xdr:nvSpPr>
      <xdr:spPr>
        <a:xfrm>
          <a:off x="9025346" y="12203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79</xdr:row>
      <xdr:rowOff>76200</xdr:rowOff>
    </xdr:from>
    <xdr:to>
      <xdr:col>31</xdr:col>
      <xdr:colOff>41366</xdr:colOff>
      <xdr:row>79</xdr:row>
      <xdr:rowOff>76200</xdr:rowOff>
    </xdr:to>
    <xdr:cxnSp macro="">
      <xdr:nvCxnSpPr>
        <xdr:cNvPr id="6250" name="직선 화살표 연결선 6249">
          <a:extLst>
            <a:ext uri="{FF2B5EF4-FFF2-40B4-BE49-F238E27FC236}">
              <a16:creationId xmlns:a16="http://schemas.microsoft.com/office/drawing/2014/main" id="{13EE2465-E246-4BC5-B592-44BFEF8EECD6}"/>
            </a:ext>
          </a:extLst>
        </xdr:cNvPr>
        <xdr:cNvCxnSpPr/>
      </xdr:nvCxnSpPr>
      <xdr:spPr>
        <a:xfrm>
          <a:off x="9025346"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78</xdr:row>
      <xdr:rowOff>19050</xdr:rowOff>
    </xdr:from>
    <xdr:to>
      <xdr:col>31</xdr:col>
      <xdr:colOff>62048</xdr:colOff>
      <xdr:row>78</xdr:row>
      <xdr:rowOff>133350</xdr:rowOff>
    </xdr:to>
    <xdr:sp macro="" textlink="">
      <xdr:nvSpPr>
        <xdr:cNvPr id="6251" name="직사각형 6250">
          <a:extLst>
            <a:ext uri="{FF2B5EF4-FFF2-40B4-BE49-F238E27FC236}">
              <a16:creationId xmlns:a16="http://schemas.microsoft.com/office/drawing/2014/main" id="{4C6DC5DA-EA58-48D4-A00B-7CA6937E6EF9}"/>
            </a:ext>
          </a:extLst>
        </xdr:cNvPr>
        <xdr:cNvSpPr/>
      </xdr:nvSpPr>
      <xdr:spPr>
        <a:xfrm>
          <a:off x="9025346" y="1205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78</xdr:row>
      <xdr:rowOff>76200</xdr:rowOff>
    </xdr:from>
    <xdr:to>
      <xdr:col>31</xdr:col>
      <xdr:colOff>41366</xdr:colOff>
      <xdr:row>78</xdr:row>
      <xdr:rowOff>76200</xdr:rowOff>
    </xdr:to>
    <xdr:cxnSp macro="">
      <xdr:nvCxnSpPr>
        <xdr:cNvPr id="6252" name="직선 화살표 연결선 6251">
          <a:extLst>
            <a:ext uri="{FF2B5EF4-FFF2-40B4-BE49-F238E27FC236}">
              <a16:creationId xmlns:a16="http://schemas.microsoft.com/office/drawing/2014/main" id="{93CB7C2D-F860-49CE-8EDC-B4AFB2F1D032}"/>
            </a:ext>
          </a:extLst>
        </xdr:cNvPr>
        <xdr:cNvCxnSpPr/>
      </xdr:nvCxnSpPr>
      <xdr:spPr>
        <a:xfrm>
          <a:off x="9025346"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76</xdr:row>
      <xdr:rowOff>19050</xdr:rowOff>
    </xdr:from>
    <xdr:to>
      <xdr:col>31</xdr:col>
      <xdr:colOff>62048</xdr:colOff>
      <xdr:row>76</xdr:row>
      <xdr:rowOff>133350</xdr:rowOff>
    </xdr:to>
    <xdr:sp macro="" textlink="">
      <xdr:nvSpPr>
        <xdr:cNvPr id="6253" name="직사각형 6252">
          <a:extLst>
            <a:ext uri="{FF2B5EF4-FFF2-40B4-BE49-F238E27FC236}">
              <a16:creationId xmlns:a16="http://schemas.microsoft.com/office/drawing/2014/main" id="{ED8E1133-4D53-482C-BFEB-39041D7DC98F}"/>
            </a:ext>
          </a:extLst>
        </xdr:cNvPr>
        <xdr:cNvSpPr/>
      </xdr:nvSpPr>
      <xdr:spPr>
        <a:xfrm>
          <a:off x="8983980" y="11746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76</xdr:row>
      <xdr:rowOff>76200</xdr:rowOff>
    </xdr:from>
    <xdr:to>
      <xdr:col>31</xdr:col>
      <xdr:colOff>0</xdr:colOff>
      <xdr:row>76</xdr:row>
      <xdr:rowOff>76200</xdr:rowOff>
    </xdr:to>
    <xdr:cxnSp macro="">
      <xdr:nvCxnSpPr>
        <xdr:cNvPr id="6254" name="직선 화살표 연결선 6253">
          <a:extLst>
            <a:ext uri="{FF2B5EF4-FFF2-40B4-BE49-F238E27FC236}">
              <a16:creationId xmlns:a16="http://schemas.microsoft.com/office/drawing/2014/main" id="{C56C4669-31AD-4997-BA41-8E4864791CAB}"/>
            </a:ext>
          </a:extLst>
        </xdr:cNvPr>
        <xdr:cNvCxnSpPr/>
      </xdr:nvCxnSpPr>
      <xdr:spPr>
        <a:xfrm>
          <a:off x="8983980"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75</xdr:row>
      <xdr:rowOff>19050</xdr:rowOff>
    </xdr:from>
    <xdr:to>
      <xdr:col>31</xdr:col>
      <xdr:colOff>82732</xdr:colOff>
      <xdr:row>75</xdr:row>
      <xdr:rowOff>133350</xdr:rowOff>
    </xdr:to>
    <xdr:sp macro="" textlink="">
      <xdr:nvSpPr>
        <xdr:cNvPr id="6255" name="직사각형 6254">
          <a:extLst>
            <a:ext uri="{FF2B5EF4-FFF2-40B4-BE49-F238E27FC236}">
              <a16:creationId xmlns:a16="http://schemas.microsoft.com/office/drawing/2014/main" id="{E4E0BC92-D84C-4DF3-80DA-CF6762D00C14}"/>
            </a:ext>
          </a:extLst>
        </xdr:cNvPr>
        <xdr:cNvSpPr/>
      </xdr:nvSpPr>
      <xdr:spPr>
        <a:xfrm>
          <a:off x="8983980" y="11593830"/>
          <a:ext cx="827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75</xdr:row>
      <xdr:rowOff>76200</xdr:rowOff>
    </xdr:from>
    <xdr:to>
      <xdr:col>31</xdr:col>
      <xdr:colOff>0</xdr:colOff>
      <xdr:row>75</xdr:row>
      <xdr:rowOff>76200</xdr:rowOff>
    </xdr:to>
    <xdr:cxnSp macro="">
      <xdr:nvCxnSpPr>
        <xdr:cNvPr id="6256" name="직선 화살표 연결선 6255">
          <a:extLst>
            <a:ext uri="{FF2B5EF4-FFF2-40B4-BE49-F238E27FC236}">
              <a16:creationId xmlns:a16="http://schemas.microsoft.com/office/drawing/2014/main" id="{9A8518AC-71C3-426D-B746-B555F8407A8E}"/>
            </a:ext>
          </a:extLst>
        </xdr:cNvPr>
        <xdr:cNvCxnSpPr/>
      </xdr:nvCxnSpPr>
      <xdr:spPr>
        <a:xfrm>
          <a:off x="8983980"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73</xdr:row>
      <xdr:rowOff>19050</xdr:rowOff>
    </xdr:from>
    <xdr:to>
      <xdr:col>31</xdr:col>
      <xdr:colOff>41366</xdr:colOff>
      <xdr:row>73</xdr:row>
      <xdr:rowOff>133350</xdr:rowOff>
    </xdr:to>
    <xdr:sp macro="" textlink="">
      <xdr:nvSpPr>
        <xdr:cNvPr id="6257" name="직사각형 6256">
          <a:extLst>
            <a:ext uri="{FF2B5EF4-FFF2-40B4-BE49-F238E27FC236}">
              <a16:creationId xmlns:a16="http://schemas.microsoft.com/office/drawing/2014/main" id="{5C4A9A4F-339A-4D27-A413-A0915B8A9946}"/>
            </a:ext>
          </a:extLst>
        </xdr:cNvPr>
        <xdr:cNvSpPr/>
      </xdr:nvSpPr>
      <xdr:spPr>
        <a:xfrm>
          <a:off x="9004663" y="11289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73</xdr:row>
      <xdr:rowOff>76200</xdr:rowOff>
    </xdr:from>
    <xdr:to>
      <xdr:col>31</xdr:col>
      <xdr:colOff>20683</xdr:colOff>
      <xdr:row>73</xdr:row>
      <xdr:rowOff>76200</xdr:rowOff>
    </xdr:to>
    <xdr:cxnSp macro="">
      <xdr:nvCxnSpPr>
        <xdr:cNvPr id="6258" name="직선 화살표 연결선 6257">
          <a:extLst>
            <a:ext uri="{FF2B5EF4-FFF2-40B4-BE49-F238E27FC236}">
              <a16:creationId xmlns:a16="http://schemas.microsoft.com/office/drawing/2014/main" id="{31BAFB5A-860B-47FB-AB89-3162BD5E6932}"/>
            </a:ext>
          </a:extLst>
        </xdr:cNvPr>
        <xdr:cNvCxnSpPr/>
      </xdr:nvCxnSpPr>
      <xdr:spPr>
        <a:xfrm>
          <a:off x="9004663"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69</xdr:row>
      <xdr:rowOff>19050</xdr:rowOff>
    </xdr:from>
    <xdr:to>
      <xdr:col>31</xdr:col>
      <xdr:colOff>41366</xdr:colOff>
      <xdr:row>69</xdr:row>
      <xdr:rowOff>133350</xdr:rowOff>
    </xdr:to>
    <xdr:sp macro="" textlink="">
      <xdr:nvSpPr>
        <xdr:cNvPr id="6259" name="직사각형 6258">
          <a:extLst>
            <a:ext uri="{FF2B5EF4-FFF2-40B4-BE49-F238E27FC236}">
              <a16:creationId xmlns:a16="http://schemas.microsoft.com/office/drawing/2014/main" id="{BD0F0D7E-F4BB-43F9-9611-A6ACD08C4599}"/>
            </a:ext>
          </a:extLst>
        </xdr:cNvPr>
        <xdr:cNvSpPr/>
      </xdr:nvSpPr>
      <xdr:spPr>
        <a:xfrm>
          <a:off x="9004663" y="10679430"/>
          <a:ext cx="206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69</xdr:row>
      <xdr:rowOff>76200</xdr:rowOff>
    </xdr:from>
    <xdr:to>
      <xdr:col>31</xdr:col>
      <xdr:colOff>20683</xdr:colOff>
      <xdr:row>69</xdr:row>
      <xdr:rowOff>76200</xdr:rowOff>
    </xdr:to>
    <xdr:cxnSp macro="">
      <xdr:nvCxnSpPr>
        <xdr:cNvPr id="6260" name="직선 화살표 연결선 6259">
          <a:extLst>
            <a:ext uri="{FF2B5EF4-FFF2-40B4-BE49-F238E27FC236}">
              <a16:creationId xmlns:a16="http://schemas.microsoft.com/office/drawing/2014/main" id="{D359C329-D959-451E-9F48-49C49CB65D27}"/>
            </a:ext>
          </a:extLst>
        </xdr:cNvPr>
        <xdr:cNvCxnSpPr/>
      </xdr:nvCxnSpPr>
      <xdr:spPr>
        <a:xfrm>
          <a:off x="9004663"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67</xdr:row>
      <xdr:rowOff>19050</xdr:rowOff>
    </xdr:from>
    <xdr:to>
      <xdr:col>31</xdr:col>
      <xdr:colOff>41366</xdr:colOff>
      <xdr:row>67</xdr:row>
      <xdr:rowOff>133350</xdr:rowOff>
    </xdr:to>
    <xdr:sp macro="" textlink="">
      <xdr:nvSpPr>
        <xdr:cNvPr id="6261" name="직사각형 6260">
          <a:extLst>
            <a:ext uri="{FF2B5EF4-FFF2-40B4-BE49-F238E27FC236}">
              <a16:creationId xmlns:a16="http://schemas.microsoft.com/office/drawing/2014/main" id="{EA5AB938-6902-43A4-B6BC-E3C8CD3F3FB1}"/>
            </a:ext>
          </a:extLst>
        </xdr:cNvPr>
        <xdr:cNvSpPr/>
      </xdr:nvSpPr>
      <xdr:spPr>
        <a:xfrm>
          <a:off x="8983980" y="10374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67</xdr:row>
      <xdr:rowOff>76200</xdr:rowOff>
    </xdr:from>
    <xdr:to>
      <xdr:col>31</xdr:col>
      <xdr:colOff>0</xdr:colOff>
      <xdr:row>67</xdr:row>
      <xdr:rowOff>76200</xdr:rowOff>
    </xdr:to>
    <xdr:cxnSp macro="">
      <xdr:nvCxnSpPr>
        <xdr:cNvPr id="6262" name="직선 화살표 연결선 6261">
          <a:extLst>
            <a:ext uri="{FF2B5EF4-FFF2-40B4-BE49-F238E27FC236}">
              <a16:creationId xmlns:a16="http://schemas.microsoft.com/office/drawing/2014/main" id="{4BD2FA30-043F-4F96-8235-7426EE3AAB27}"/>
            </a:ext>
          </a:extLst>
        </xdr:cNvPr>
        <xdr:cNvCxnSpPr/>
      </xdr:nvCxnSpPr>
      <xdr:spPr>
        <a:xfrm>
          <a:off x="8983980"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66</xdr:row>
      <xdr:rowOff>19050</xdr:rowOff>
    </xdr:from>
    <xdr:to>
      <xdr:col>31</xdr:col>
      <xdr:colOff>41366</xdr:colOff>
      <xdr:row>66</xdr:row>
      <xdr:rowOff>133350</xdr:rowOff>
    </xdr:to>
    <xdr:sp macro="" textlink="">
      <xdr:nvSpPr>
        <xdr:cNvPr id="6263" name="직사각형 6262">
          <a:extLst>
            <a:ext uri="{FF2B5EF4-FFF2-40B4-BE49-F238E27FC236}">
              <a16:creationId xmlns:a16="http://schemas.microsoft.com/office/drawing/2014/main" id="{7CE3C141-E03C-4C00-94B7-AC4DB0F1B73D}"/>
            </a:ext>
          </a:extLst>
        </xdr:cNvPr>
        <xdr:cNvSpPr/>
      </xdr:nvSpPr>
      <xdr:spPr>
        <a:xfrm>
          <a:off x="8983980" y="10222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66</xdr:row>
      <xdr:rowOff>76200</xdr:rowOff>
    </xdr:from>
    <xdr:to>
      <xdr:col>31</xdr:col>
      <xdr:colOff>0</xdr:colOff>
      <xdr:row>66</xdr:row>
      <xdr:rowOff>76200</xdr:rowOff>
    </xdr:to>
    <xdr:cxnSp macro="">
      <xdr:nvCxnSpPr>
        <xdr:cNvPr id="6264" name="직선 화살표 연결선 6263">
          <a:extLst>
            <a:ext uri="{FF2B5EF4-FFF2-40B4-BE49-F238E27FC236}">
              <a16:creationId xmlns:a16="http://schemas.microsoft.com/office/drawing/2014/main" id="{0F0EE9BD-ADBE-44D4-B8EA-37DE5FD5381B}"/>
            </a:ext>
          </a:extLst>
        </xdr:cNvPr>
        <xdr:cNvCxnSpPr/>
      </xdr:nvCxnSpPr>
      <xdr:spPr>
        <a:xfrm>
          <a:off x="8983980"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63</xdr:row>
      <xdr:rowOff>19050</xdr:rowOff>
    </xdr:from>
    <xdr:to>
      <xdr:col>31</xdr:col>
      <xdr:colOff>41366</xdr:colOff>
      <xdr:row>63</xdr:row>
      <xdr:rowOff>133350</xdr:rowOff>
    </xdr:to>
    <xdr:sp macro="" textlink="">
      <xdr:nvSpPr>
        <xdr:cNvPr id="6265" name="직사각형 6264">
          <a:extLst>
            <a:ext uri="{FF2B5EF4-FFF2-40B4-BE49-F238E27FC236}">
              <a16:creationId xmlns:a16="http://schemas.microsoft.com/office/drawing/2014/main" id="{120A202A-5C94-445C-B384-202E8F0F21FD}"/>
            </a:ext>
          </a:extLst>
        </xdr:cNvPr>
        <xdr:cNvSpPr/>
      </xdr:nvSpPr>
      <xdr:spPr>
        <a:xfrm>
          <a:off x="8983980" y="97650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63</xdr:row>
      <xdr:rowOff>76200</xdr:rowOff>
    </xdr:from>
    <xdr:to>
      <xdr:col>31</xdr:col>
      <xdr:colOff>0</xdr:colOff>
      <xdr:row>63</xdr:row>
      <xdr:rowOff>76200</xdr:rowOff>
    </xdr:to>
    <xdr:cxnSp macro="">
      <xdr:nvCxnSpPr>
        <xdr:cNvPr id="6266" name="직선 화살표 연결선 6265">
          <a:extLst>
            <a:ext uri="{FF2B5EF4-FFF2-40B4-BE49-F238E27FC236}">
              <a16:creationId xmlns:a16="http://schemas.microsoft.com/office/drawing/2014/main" id="{FFC3925E-A19F-47ED-8FA4-60633129A0A6}"/>
            </a:ext>
          </a:extLst>
        </xdr:cNvPr>
        <xdr:cNvCxnSpPr/>
      </xdr:nvCxnSpPr>
      <xdr:spPr>
        <a:xfrm>
          <a:off x="8983980"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55</xdr:row>
      <xdr:rowOff>19050</xdr:rowOff>
    </xdr:from>
    <xdr:to>
      <xdr:col>34</xdr:col>
      <xdr:colOff>103414</xdr:colOff>
      <xdr:row>55</xdr:row>
      <xdr:rowOff>133350</xdr:rowOff>
    </xdr:to>
    <xdr:sp macro="" textlink="">
      <xdr:nvSpPr>
        <xdr:cNvPr id="6267" name="직사각형 6266">
          <a:extLst>
            <a:ext uri="{FF2B5EF4-FFF2-40B4-BE49-F238E27FC236}">
              <a16:creationId xmlns:a16="http://schemas.microsoft.com/office/drawing/2014/main" id="{5909EE83-C88D-4E46-A82E-9182476177EA}"/>
            </a:ext>
          </a:extLst>
        </xdr:cNvPr>
        <xdr:cNvSpPr/>
      </xdr:nvSpPr>
      <xdr:spPr>
        <a:xfrm>
          <a:off x="9501051" y="8545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55</xdr:row>
      <xdr:rowOff>76200</xdr:rowOff>
    </xdr:from>
    <xdr:to>
      <xdr:col>34</xdr:col>
      <xdr:colOff>82731</xdr:colOff>
      <xdr:row>55</xdr:row>
      <xdr:rowOff>76200</xdr:rowOff>
    </xdr:to>
    <xdr:cxnSp macro="">
      <xdr:nvCxnSpPr>
        <xdr:cNvPr id="6268" name="직선 화살표 연결선 6267">
          <a:extLst>
            <a:ext uri="{FF2B5EF4-FFF2-40B4-BE49-F238E27FC236}">
              <a16:creationId xmlns:a16="http://schemas.microsoft.com/office/drawing/2014/main" id="{FF1BBAF3-C635-44A6-927D-10517DF9B29F}"/>
            </a:ext>
          </a:extLst>
        </xdr:cNvPr>
        <xdr:cNvCxnSpPr/>
      </xdr:nvCxnSpPr>
      <xdr:spPr>
        <a:xfrm>
          <a:off x="9501051"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54</xdr:row>
      <xdr:rowOff>19050</xdr:rowOff>
    </xdr:from>
    <xdr:to>
      <xdr:col>34</xdr:col>
      <xdr:colOff>103414</xdr:colOff>
      <xdr:row>54</xdr:row>
      <xdr:rowOff>133350</xdr:rowOff>
    </xdr:to>
    <xdr:sp macro="" textlink="">
      <xdr:nvSpPr>
        <xdr:cNvPr id="6269" name="직사각형 6268">
          <a:extLst>
            <a:ext uri="{FF2B5EF4-FFF2-40B4-BE49-F238E27FC236}">
              <a16:creationId xmlns:a16="http://schemas.microsoft.com/office/drawing/2014/main" id="{0E2897EE-BCAB-4B66-8A9B-03CB94DD8F9F}"/>
            </a:ext>
          </a:extLst>
        </xdr:cNvPr>
        <xdr:cNvSpPr/>
      </xdr:nvSpPr>
      <xdr:spPr>
        <a:xfrm>
          <a:off x="9459685" y="8393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54</xdr:row>
      <xdr:rowOff>76200</xdr:rowOff>
    </xdr:from>
    <xdr:to>
      <xdr:col>34</xdr:col>
      <xdr:colOff>41365</xdr:colOff>
      <xdr:row>54</xdr:row>
      <xdr:rowOff>76200</xdr:rowOff>
    </xdr:to>
    <xdr:cxnSp macro="">
      <xdr:nvCxnSpPr>
        <xdr:cNvPr id="6270" name="직선 화살표 연결선 6269">
          <a:extLst>
            <a:ext uri="{FF2B5EF4-FFF2-40B4-BE49-F238E27FC236}">
              <a16:creationId xmlns:a16="http://schemas.microsoft.com/office/drawing/2014/main" id="{D97B70F1-7239-4620-B10B-6A6F630EC0D1}"/>
            </a:ext>
          </a:extLst>
        </xdr:cNvPr>
        <xdr:cNvCxnSpPr/>
      </xdr:nvCxnSpPr>
      <xdr:spPr>
        <a:xfrm>
          <a:off x="9459685"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53</xdr:row>
      <xdr:rowOff>19050</xdr:rowOff>
    </xdr:from>
    <xdr:to>
      <xdr:col>34</xdr:col>
      <xdr:colOff>41365</xdr:colOff>
      <xdr:row>53</xdr:row>
      <xdr:rowOff>133350</xdr:rowOff>
    </xdr:to>
    <xdr:sp macro="" textlink="">
      <xdr:nvSpPr>
        <xdr:cNvPr id="6271" name="직사각형 6270">
          <a:extLst>
            <a:ext uri="{FF2B5EF4-FFF2-40B4-BE49-F238E27FC236}">
              <a16:creationId xmlns:a16="http://schemas.microsoft.com/office/drawing/2014/main" id="{48269498-F4C5-4E19-A6F6-0072FEF4875D}"/>
            </a:ext>
          </a:extLst>
        </xdr:cNvPr>
        <xdr:cNvSpPr/>
      </xdr:nvSpPr>
      <xdr:spPr>
        <a:xfrm>
          <a:off x="9439003" y="8241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53</xdr:row>
      <xdr:rowOff>76200</xdr:rowOff>
    </xdr:from>
    <xdr:to>
      <xdr:col>34</xdr:col>
      <xdr:colOff>20683</xdr:colOff>
      <xdr:row>53</xdr:row>
      <xdr:rowOff>76200</xdr:rowOff>
    </xdr:to>
    <xdr:cxnSp macro="">
      <xdr:nvCxnSpPr>
        <xdr:cNvPr id="6272" name="직선 화살표 연결선 6271">
          <a:extLst>
            <a:ext uri="{FF2B5EF4-FFF2-40B4-BE49-F238E27FC236}">
              <a16:creationId xmlns:a16="http://schemas.microsoft.com/office/drawing/2014/main" id="{18DF25B2-5672-47F8-AA03-4FA48136B6D7}"/>
            </a:ext>
          </a:extLst>
        </xdr:cNvPr>
        <xdr:cNvCxnSpPr/>
      </xdr:nvCxnSpPr>
      <xdr:spPr>
        <a:xfrm>
          <a:off x="9439003"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51</xdr:row>
      <xdr:rowOff>19050</xdr:rowOff>
    </xdr:from>
    <xdr:to>
      <xdr:col>34</xdr:col>
      <xdr:colOff>103414</xdr:colOff>
      <xdr:row>51</xdr:row>
      <xdr:rowOff>133350</xdr:rowOff>
    </xdr:to>
    <xdr:sp macro="" textlink="">
      <xdr:nvSpPr>
        <xdr:cNvPr id="6273" name="직사각형 6272">
          <a:extLst>
            <a:ext uri="{FF2B5EF4-FFF2-40B4-BE49-F238E27FC236}">
              <a16:creationId xmlns:a16="http://schemas.microsoft.com/office/drawing/2014/main" id="{D08CA99E-3326-4EC7-9F5E-CB2113E16C06}"/>
            </a:ext>
          </a:extLst>
        </xdr:cNvPr>
        <xdr:cNvSpPr/>
      </xdr:nvSpPr>
      <xdr:spPr>
        <a:xfrm>
          <a:off x="9439003" y="79362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51</xdr:row>
      <xdr:rowOff>76200</xdr:rowOff>
    </xdr:from>
    <xdr:to>
      <xdr:col>34</xdr:col>
      <xdr:colOff>20683</xdr:colOff>
      <xdr:row>51</xdr:row>
      <xdr:rowOff>76200</xdr:rowOff>
    </xdr:to>
    <xdr:cxnSp macro="">
      <xdr:nvCxnSpPr>
        <xdr:cNvPr id="6274" name="직선 화살표 연결선 6273">
          <a:extLst>
            <a:ext uri="{FF2B5EF4-FFF2-40B4-BE49-F238E27FC236}">
              <a16:creationId xmlns:a16="http://schemas.microsoft.com/office/drawing/2014/main" id="{917FB662-7B97-4CF8-9330-ABB66B8B36AA}"/>
            </a:ext>
          </a:extLst>
        </xdr:cNvPr>
        <xdr:cNvCxnSpPr/>
      </xdr:nvCxnSpPr>
      <xdr:spPr>
        <a:xfrm>
          <a:off x="9439003"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49</xdr:row>
      <xdr:rowOff>19050</xdr:rowOff>
    </xdr:from>
    <xdr:to>
      <xdr:col>32</xdr:col>
      <xdr:colOff>103414</xdr:colOff>
      <xdr:row>49</xdr:row>
      <xdr:rowOff>133350</xdr:rowOff>
    </xdr:to>
    <xdr:sp macro="" textlink="">
      <xdr:nvSpPr>
        <xdr:cNvPr id="6275" name="직사각형 6274">
          <a:extLst>
            <a:ext uri="{FF2B5EF4-FFF2-40B4-BE49-F238E27FC236}">
              <a16:creationId xmlns:a16="http://schemas.microsoft.com/office/drawing/2014/main" id="{65FE0503-3BF2-47EB-BF5C-B530051A2711}"/>
            </a:ext>
          </a:extLst>
        </xdr:cNvPr>
        <xdr:cNvSpPr/>
      </xdr:nvSpPr>
      <xdr:spPr>
        <a:xfrm>
          <a:off x="9190809" y="7631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49</xdr:row>
      <xdr:rowOff>76200</xdr:rowOff>
    </xdr:from>
    <xdr:to>
      <xdr:col>32</xdr:col>
      <xdr:colOff>62049</xdr:colOff>
      <xdr:row>49</xdr:row>
      <xdr:rowOff>76200</xdr:rowOff>
    </xdr:to>
    <xdr:cxnSp macro="">
      <xdr:nvCxnSpPr>
        <xdr:cNvPr id="6276" name="직선 화살표 연결선 6275">
          <a:extLst>
            <a:ext uri="{FF2B5EF4-FFF2-40B4-BE49-F238E27FC236}">
              <a16:creationId xmlns:a16="http://schemas.microsoft.com/office/drawing/2014/main" id="{D7149097-907E-4795-82A7-2A8D76B41E76}"/>
            </a:ext>
          </a:extLst>
        </xdr:cNvPr>
        <xdr:cNvCxnSpPr/>
      </xdr:nvCxnSpPr>
      <xdr:spPr>
        <a:xfrm>
          <a:off x="9190809"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48</xdr:row>
      <xdr:rowOff>19050</xdr:rowOff>
    </xdr:from>
    <xdr:to>
      <xdr:col>32</xdr:col>
      <xdr:colOff>82731</xdr:colOff>
      <xdr:row>48</xdr:row>
      <xdr:rowOff>133350</xdr:rowOff>
    </xdr:to>
    <xdr:sp macro="" textlink="">
      <xdr:nvSpPr>
        <xdr:cNvPr id="6277" name="직사각형 6276">
          <a:extLst>
            <a:ext uri="{FF2B5EF4-FFF2-40B4-BE49-F238E27FC236}">
              <a16:creationId xmlns:a16="http://schemas.microsoft.com/office/drawing/2014/main" id="{6962C198-1242-4000-9F89-F838865B02AF}"/>
            </a:ext>
          </a:extLst>
        </xdr:cNvPr>
        <xdr:cNvSpPr/>
      </xdr:nvSpPr>
      <xdr:spPr>
        <a:xfrm>
          <a:off x="9190809" y="7479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48</xdr:row>
      <xdr:rowOff>76200</xdr:rowOff>
    </xdr:from>
    <xdr:to>
      <xdr:col>32</xdr:col>
      <xdr:colOff>62049</xdr:colOff>
      <xdr:row>48</xdr:row>
      <xdr:rowOff>76200</xdr:rowOff>
    </xdr:to>
    <xdr:cxnSp macro="">
      <xdr:nvCxnSpPr>
        <xdr:cNvPr id="6278" name="직선 화살표 연결선 6277">
          <a:extLst>
            <a:ext uri="{FF2B5EF4-FFF2-40B4-BE49-F238E27FC236}">
              <a16:creationId xmlns:a16="http://schemas.microsoft.com/office/drawing/2014/main" id="{318F5C8E-CADD-45A3-9D91-AB078DD101B0}"/>
            </a:ext>
          </a:extLst>
        </xdr:cNvPr>
        <xdr:cNvCxnSpPr/>
      </xdr:nvCxnSpPr>
      <xdr:spPr>
        <a:xfrm>
          <a:off x="9190809"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47</xdr:row>
      <xdr:rowOff>19050</xdr:rowOff>
    </xdr:from>
    <xdr:to>
      <xdr:col>32</xdr:col>
      <xdr:colOff>62049</xdr:colOff>
      <xdr:row>47</xdr:row>
      <xdr:rowOff>133350</xdr:rowOff>
    </xdr:to>
    <xdr:sp macro="" textlink="">
      <xdr:nvSpPr>
        <xdr:cNvPr id="6279" name="직사각형 6278">
          <a:extLst>
            <a:ext uri="{FF2B5EF4-FFF2-40B4-BE49-F238E27FC236}">
              <a16:creationId xmlns:a16="http://schemas.microsoft.com/office/drawing/2014/main" id="{B5605E61-014B-4FB9-8796-AA903858975A}"/>
            </a:ext>
          </a:extLst>
        </xdr:cNvPr>
        <xdr:cNvSpPr/>
      </xdr:nvSpPr>
      <xdr:spPr>
        <a:xfrm>
          <a:off x="9170126" y="732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47</xdr:row>
      <xdr:rowOff>76200</xdr:rowOff>
    </xdr:from>
    <xdr:to>
      <xdr:col>32</xdr:col>
      <xdr:colOff>41366</xdr:colOff>
      <xdr:row>47</xdr:row>
      <xdr:rowOff>76200</xdr:rowOff>
    </xdr:to>
    <xdr:cxnSp macro="">
      <xdr:nvCxnSpPr>
        <xdr:cNvPr id="6280" name="직선 화살표 연결선 6279">
          <a:extLst>
            <a:ext uri="{FF2B5EF4-FFF2-40B4-BE49-F238E27FC236}">
              <a16:creationId xmlns:a16="http://schemas.microsoft.com/office/drawing/2014/main" id="{C29875F3-7418-4E15-877E-7D5F81051ACD}"/>
            </a:ext>
          </a:extLst>
        </xdr:cNvPr>
        <xdr:cNvCxnSpPr/>
      </xdr:nvCxnSpPr>
      <xdr:spPr>
        <a:xfrm>
          <a:off x="9170126"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46</xdr:row>
      <xdr:rowOff>19050</xdr:rowOff>
    </xdr:from>
    <xdr:to>
      <xdr:col>32</xdr:col>
      <xdr:colOff>41366</xdr:colOff>
      <xdr:row>46</xdr:row>
      <xdr:rowOff>133350</xdr:rowOff>
    </xdr:to>
    <xdr:sp macro="" textlink="">
      <xdr:nvSpPr>
        <xdr:cNvPr id="6281" name="직사각형 6280">
          <a:extLst>
            <a:ext uri="{FF2B5EF4-FFF2-40B4-BE49-F238E27FC236}">
              <a16:creationId xmlns:a16="http://schemas.microsoft.com/office/drawing/2014/main" id="{FA0774A4-4E4D-49D0-8D94-6EF8B90BCFDB}"/>
            </a:ext>
          </a:extLst>
        </xdr:cNvPr>
        <xdr:cNvSpPr/>
      </xdr:nvSpPr>
      <xdr:spPr>
        <a:xfrm>
          <a:off x="9128760" y="7174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46</xdr:row>
      <xdr:rowOff>76200</xdr:rowOff>
    </xdr:from>
    <xdr:to>
      <xdr:col>32</xdr:col>
      <xdr:colOff>0</xdr:colOff>
      <xdr:row>46</xdr:row>
      <xdr:rowOff>76200</xdr:rowOff>
    </xdr:to>
    <xdr:cxnSp macro="">
      <xdr:nvCxnSpPr>
        <xdr:cNvPr id="6282" name="직선 화살표 연결선 6281">
          <a:extLst>
            <a:ext uri="{FF2B5EF4-FFF2-40B4-BE49-F238E27FC236}">
              <a16:creationId xmlns:a16="http://schemas.microsoft.com/office/drawing/2014/main" id="{6695D566-C97D-4DAB-A3A3-CFCC16EE3F0A}"/>
            </a:ext>
          </a:extLst>
        </xdr:cNvPr>
        <xdr:cNvCxnSpPr/>
      </xdr:nvCxnSpPr>
      <xdr:spPr>
        <a:xfrm>
          <a:off x="9128760"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45</xdr:row>
      <xdr:rowOff>19050</xdr:rowOff>
    </xdr:from>
    <xdr:to>
      <xdr:col>32</xdr:col>
      <xdr:colOff>103414</xdr:colOff>
      <xdr:row>45</xdr:row>
      <xdr:rowOff>133350</xdr:rowOff>
    </xdr:to>
    <xdr:sp macro="" textlink="">
      <xdr:nvSpPr>
        <xdr:cNvPr id="6283" name="직사각형 6282">
          <a:extLst>
            <a:ext uri="{FF2B5EF4-FFF2-40B4-BE49-F238E27FC236}">
              <a16:creationId xmlns:a16="http://schemas.microsoft.com/office/drawing/2014/main" id="{7D8D72A5-67F3-43CA-8B4C-71D6354F00FD}"/>
            </a:ext>
          </a:extLst>
        </xdr:cNvPr>
        <xdr:cNvSpPr/>
      </xdr:nvSpPr>
      <xdr:spPr>
        <a:xfrm>
          <a:off x="9128760" y="7021830"/>
          <a:ext cx="103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45</xdr:row>
      <xdr:rowOff>76200</xdr:rowOff>
    </xdr:from>
    <xdr:to>
      <xdr:col>32</xdr:col>
      <xdr:colOff>0</xdr:colOff>
      <xdr:row>45</xdr:row>
      <xdr:rowOff>76200</xdr:rowOff>
    </xdr:to>
    <xdr:cxnSp macro="">
      <xdr:nvCxnSpPr>
        <xdr:cNvPr id="6284" name="직선 화살표 연결선 6283">
          <a:extLst>
            <a:ext uri="{FF2B5EF4-FFF2-40B4-BE49-F238E27FC236}">
              <a16:creationId xmlns:a16="http://schemas.microsoft.com/office/drawing/2014/main" id="{457F9032-99E4-4B42-BE56-C34F3157E365}"/>
            </a:ext>
          </a:extLst>
        </xdr:cNvPr>
        <xdr:cNvCxnSpPr/>
      </xdr:nvCxnSpPr>
      <xdr:spPr>
        <a:xfrm>
          <a:off x="9128760"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43</xdr:row>
      <xdr:rowOff>19050</xdr:rowOff>
    </xdr:from>
    <xdr:to>
      <xdr:col>31</xdr:col>
      <xdr:colOff>20683</xdr:colOff>
      <xdr:row>43</xdr:row>
      <xdr:rowOff>133350</xdr:rowOff>
    </xdr:to>
    <xdr:sp macro="" textlink="">
      <xdr:nvSpPr>
        <xdr:cNvPr id="6285" name="직사각형 6284">
          <a:extLst>
            <a:ext uri="{FF2B5EF4-FFF2-40B4-BE49-F238E27FC236}">
              <a16:creationId xmlns:a16="http://schemas.microsoft.com/office/drawing/2014/main" id="{46476988-2D6E-4C0F-B867-8C1AE84953D1}"/>
            </a:ext>
          </a:extLst>
        </xdr:cNvPr>
        <xdr:cNvSpPr/>
      </xdr:nvSpPr>
      <xdr:spPr>
        <a:xfrm>
          <a:off x="8859883" y="67170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43</xdr:row>
      <xdr:rowOff>76200</xdr:rowOff>
    </xdr:from>
    <xdr:to>
      <xdr:col>30</xdr:col>
      <xdr:colOff>20683</xdr:colOff>
      <xdr:row>43</xdr:row>
      <xdr:rowOff>76200</xdr:rowOff>
    </xdr:to>
    <xdr:cxnSp macro="">
      <xdr:nvCxnSpPr>
        <xdr:cNvPr id="6286" name="직선 화살표 연결선 6285">
          <a:extLst>
            <a:ext uri="{FF2B5EF4-FFF2-40B4-BE49-F238E27FC236}">
              <a16:creationId xmlns:a16="http://schemas.microsoft.com/office/drawing/2014/main" id="{5D1AAED8-E295-4435-8796-E5F7C82A2F02}"/>
            </a:ext>
          </a:extLst>
        </xdr:cNvPr>
        <xdr:cNvCxnSpPr/>
      </xdr:nvCxnSpPr>
      <xdr:spPr>
        <a:xfrm>
          <a:off x="8859883"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42</xdr:row>
      <xdr:rowOff>19050</xdr:rowOff>
    </xdr:from>
    <xdr:to>
      <xdr:col>30</xdr:col>
      <xdr:colOff>103415</xdr:colOff>
      <xdr:row>42</xdr:row>
      <xdr:rowOff>133350</xdr:rowOff>
    </xdr:to>
    <xdr:sp macro="" textlink="">
      <xdr:nvSpPr>
        <xdr:cNvPr id="6287" name="직사각형 6286">
          <a:extLst>
            <a:ext uri="{FF2B5EF4-FFF2-40B4-BE49-F238E27FC236}">
              <a16:creationId xmlns:a16="http://schemas.microsoft.com/office/drawing/2014/main" id="{AC3336FA-2068-44B7-9685-1B3AB3793C56}"/>
            </a:ext>
          </a:extLst>
        </xdr:cNvPr>
        <xdr:cNvSpPr/>
      </xdr:nvSpPr>
      <xdr:spPr>
        <a:xfrm>
          <a:off x="8839200" y="65646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0</xdr:colOff>
      <xdr:row>42</xdr:row>
      <xdr:rowOff>76200</xdr:rowOff>
    </xdr:from>
    <xdr:to>
      <xdr:col>30</xdr:col>
      <xdr:colOff>0</xdr:colOff>
      <xdr:row>42</xdr:row>
      <xdr:rowOff>76200</xdr:rowOff>
    </xdr:to>
    <xdr:cxnSp macro="">
      <xdr:nvCxnSpPr>
        <xdr:cNvPr id="6288" name="직선 화살표 연결선 6287">
          <a:extLst>
            <a:ext uri="{FF2B5EF4-FFF2-40B4-BE49-F238E27FC236}">
              <a16:creationId xmlns:a16="http://schemas.microsoft.com/office/drawing/2014/main" id="{B578609C-0257-4FC5-A751-A4916E12BC39}"/>
            </a:ext>
          </a:extLst>
        </xdr:cNvPr>
        <xdr:cNvCxnSpPr/>
      </xdr:nvCxnSpPr>
      <xdr:spPr>
        <a:xfrm>
          <a:off x="8839200"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41</xdr:row>
      <xdr:rowOff>19050</xdr:rowOff>
    </xdr:from>
    <xdr:to>
      <xdr:col>29</xdr:col>
      <xdr:colOff>103414</xdr:colOff>
      <xdr:row>41</xdr:row>
      <xdr:rowOff>133350</xdr:rowOff>
    </xdr:to>
    <xdr:sp macro="" textlink="">
      <xdr:nvSpPr>
        <xdr:cNvPr id="6289" name="직사각형 6288">
          <a:extLst>
            <a:ext uri="{FF2B5EF4-FFF2-40B4-BE49-F238E27FC236}">
              <a16:creationId xmlns:a16="http://schemas.microsoft.com/office/drawing/2014/main" id="{7D6BC80D-84E3-4D3F-876C-01875311F9C4}"/>
            </a:ext>
          </a:extLst>
        </xdr:cNvPr>
        <xdr:cNvSpPr/>
      </xdr:nvSpPr>
      <xdr:spPr>
        <a:xfrm>
          <a:off x="8694420" y="6412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41</xdr:row>
      <xdr:rowOff>76200</xdr:rowOff>
    </xdr:from>
    <xdr:to>
      <xdr:col>29</xdr:col>
      <xdr:colOff>103414</xdr:colOff>
      <xdr:row>41</xdr:row>
      <xdr:rowOff>76200</xdr:rowOff>
    </xdr:to>
    <xdr:cxnSp macro="">
      <xdr:nvCxnSpPr>
        <xdr:cNvPr id="6290" name="직선 화살표 연결선 6289">
          <a:extLst>
            <a:ext uri="{FF2B5EF4-FFF2-40B4-BE49-F238E27FC236}">
              <a16:creationId xmlns:a16="http://schemas.microsoft.com/office/drawing/2014/main" id="{9978A697-12C2-49B5-A2CB-651040F95243}"/>
            </a:ext>
          </a:extLst>
        </xdr:cNvPr>
        <xdr:cNvCxnSpPr/>
      </xdr:nvCxnSpPr>
      <xdr:spPr>
        <a:xfrm>
          <a:off x="8694420" y="6469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40</xdr:row>
      <xdr:rowOff>19050</xdr:rowOff>
    </xdr:from>
    <xdr:to>
      <xdr:col>31</xdr:col>
      <xdr:colOff>82732</xdr:colOff>
      <xdr:row>40</xdr:row>
      <xdr:rowOff>133350</xdr:rowOff>
    </xdr:to>
    <xdr:sp macro="" textlink="">
      <xdr:nvSpPr>
        <xdr:cNvPr id="6291" name="직사각형 6290">
          <a:extLst>
            <a:ext uri="{FF2B5EF4-FFF2-40B4-BE49-F238E27FC236}">
              <a16:creationId xmlns:a16="http://schemas.microsoft.com/office/drawing/2014/main" id="{26A78404-5F2D-432C-8452-7FA6423B53EA}"/>
            </a:ext>
          </a:extLst>
        </xdr:cNvPr>
        <xdr:cNvSpPr/>
      </xdr:nvSpPr>
      <xdr:spPr>
        <a:xfrm>
          <a:off x="8983980" y="6259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40</xdr:row>
      <xdr:rowOff>76200</xdr:rowOff>
    </xdr:from>
    <xdr:to>
      <xdr:col>31</xdr:col>
      <xdr:colOff>82732</xdr:colOff>
      <xdr:row>40</xdr:row>
      <xdr:rowOff>76200</xdr:rowOff>
    </xdr:to>
    <xdr:cxnSp macro="">
      <xdr:nvCxnSpPr>
        <xdr:cNvPr id="6292" name="직선 화살표 연결선 6291">
          <a:extLst>
            <a:ext uri="{FF2B5EF4-FFF2-40B4-BE49-F238E27FC236}">
              <a16:creationId xmlns:a16="http://schemas.microsoft.com/office/drawing/2014/main" id="{76990DBD-8A5B-40FB-B451-3E1DB89A5A2E}"/>
            </a:ext>
          </a:extLst>
        </xdr:cNvPr>
        <xdr:cNvCxnSpPr/>
      </xdr:nvCxnSpPr>
      <xdr:spPr>
        <a:xfrm>
          <a:off x="8983980" y="6316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39</xdr:row>
      <xdr:rowOff>19050</xdr:rowOff>
    </xdr:from>
    <xdr:to>
      <xdr:col>31</xdr:col>
      <xdr:colOff>82732</xdr:colOff>
      <xdr:row>39</xdr:row>
      <xdr:rowOff>133350</xdr:rowOff>
    </xdr:to>
    <xdr:sp macro="" textlink="">
      <xdr:nvSpPr>
        <xdr:cNvPr id="6293" name="직사각형 6292">
          <a:extLst>
            <a:ext uri="{FF2B5EF4-FFF2-40B4-BE49-F238E27FC236}">
              <a16:creationId xmlns:a16="http://schemas.microsoft.com/office/drawing/2014/main" id="{C6FEF804-2B90-424C-BA93-25192CDD5855}"/>
            </a:ext>
          </a:extLst>
        </xdr:cNvPr>
        <xdr:cNvSpPr/>
      </xdr:nvSpPr>
      <xdr:spPr>
        <a:xfrm>
          <a:off x="8694420" y="6107430"/>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39</xdr:row>
      <xdr:rowOff>76200</xdr:rowOff>
    </xdr:from>
    <xdr:to>
      <xdr:col>30</xdr:col>
      <xdr:colOff>31569</xdr:colOff>
      <xdr:row>39</xdr:row>
      <xdr:rowOff>76200</xdr:rowOff>
    </xdr:to>
    <xdr:cxnSp macro="">
      <xdr:nvCxnSpPr>
        <xdr:cNvPr id="6294" name="직선 화살표 연결선 6293">
          <a:extLst>
            <a:ext uri="{FF2B5EF4-FFF2-40B4-BE49-F238E27FC236}">
              <a16:creationId xmlns:a16="http://schemas.microsoft.com/office/drawing/2014/main" id="{3A43370F-B057-49EF-8584-CF079327E7A6}"/>
            </a:ext>
          </a:extLst>
        </xdr:cNvPr>
        <xdr:cNvCxnSpPr/>
      </xdr:nvCxnSpPr>
      <xdr:spPr>
        <a:xfrm>
          <a:off x="8694420" y="6164580"/>
          <a:ext cx="1763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36</xdr:row>
      <xdr:rowOff>19050</xdr:rowOff>
    </xdr:from>
    <xdr:to>
      <xdr:col>31</xdr:col>
      <xdr:colOff>62048</xdr:colOff>
      <xdr:row>36</xdr:row>
      <xdr:rowOff>133350</xdr:rowOff>
    </xdr:to>
    <xdr:sp macro="" textlink="">
      <xdr:nvSpPr>
        <xdr:cNvPr id="6295" name="직사각형 6294">
          <a:extLst>
            <a:ext uri="{FF2B5EF4-FFF2-40B4-BE49-F238E27FC236}">
              <a16:creationId xmlns:a16="http://schemas.microsoft.com/office/drawing/2014/main" id="{CFA1D465-9EDF-41AA-B53F-31131C633E94}"/>
            </a:ext>
          </a:extLst>
        </xdr:cNvPr>
        <xdr:cNvSpPr/>
      </xdr:nvSpPr>
      <xdr:spPr>
        <a:xfrm>
          <a:off x="8756469" y="5650230"/>
          <a:ext cx="2895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36</xdr:row>
      <xdr:rowOff>76200</xdr:rowOff>
    </xdr:from>
    <xdr:to>
      <xdr:col>31</xdr:col>
      <xdr:colOff>62048</xdr:colOff>
      <xdr:row>36</xdr:row>
      <xdr:rowOff>76200</xdr:rowOff>
    </xdr:to>
    <xdr:cxnSp macro="">
      <xdr:nvCxnSpPr>
        <xdr:cNvPr id="6296" name="직선 화살표 연결선 6295">
          <a:extLst>
            <a:ext uri="{FF2B5EF4-FFF2-40B4-BE49-F238E27FC236}">
              <a16:creationId xmlns:a16="http://schemas.microsoft.com/office/drawing/2014/main" id="{E9B8E833-5F67-4CB2-B7DD-A106A6FAE1DB}"/>
            </a:ext>
          </a:extLst>
        </xdr:cNvPr>
        <xdr:cNvCxnSpPr/>
      </xdr:nvCxnSpPr>
      <xdr:spPr>
        <a:xfrm>
          <a:off x="8756469" y="5707380"/>
          <a:ext cx="2895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41366</xdr:colOff>
      <xdr:row>34</xdr:row>
      <xdr:rowOff>19050</xdr:rowOff>
    </xdr:from>
    <xdr:to>
      <xdr:col>30</xdr:col>
      <xdr:colOff>103415</xdr:colOff>
      <xdr:row>34</xdr:row>
      <xdr:rowOff>133350</xdr:rowOff>
    </xdr:to>
    <xdr:sp macro="" textlink="">
      <xdr:nvSpPr>
        <xdr:cNvPr id="6297" name="직사각형 6296">
          <a:extLst>
            <a:ext uri="{FF2B5EF4-FFF2-40B4-BE49-F238E27FC236}">
              <a16:creationId xmlns:a16="http://schemas.microsoft.com/office/drawing/2014/main" id="{EAE56532-C64D-454B-9218-6F8177F295CD}"/>
            </a:ext>
          </a:extLst>
        </xdr:cNvPr>
        <xdr:cNvSpPr/>
      </xdr:nvSpPr>
      <xdr:spPr>
        <a:xfrm>
          <a:off x="8880566" y="5345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41366</xdr:colOff>
      <xdr:row>34</xdr:row>
      <xdr:rowOff>76200</xdr:rowOff>
    </xdr:from>
    <xdr:to>
      <xdr:col>30</xdr:col>
      <xdr:colOff>103415</xdr:colOff>
      <xdr:row>34</xdr:row>
      <xdr:rowOff>76200</xdr:rowOff>
    </xdr:to>
    <xdr:cxnSp macro="">
      <xdr:nvCxnSpPr>
        <xdr:cNvPr id="6298" name="직선 화살표 연결선 6297">
          <a:extLst>
            <a:ext uri="{FF2B5EF4-FFF2-40B4-BE49-F238E27FC236}">
              <a16:creationId xmlns:a16="http://schemas.microsoft.com/office/drawing/2014/main" id="{A00A0752-438D-4BEE-89E5-59225AFE63D1}"/>
            </a:ext>
          </a:extLst>
        </xdr:cNvPr>
        <xdr:cNvCxnSpPr/>
      </xdr:nvCxnSpPr>
      <xdr:spPr>
        <a:xfrm>
          <a:off x="8880566" y="54025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33</xdr:row>
      <xdr:rowOff>19050</xdr:rowOff>
    </xdr:from>
    <xdr:to>
      <xdr:col>31</xdr:col>
      <xdr:colOff>62048</xdr:colOff>
      <xdr:row>33</xdr:row>
      <xdr:rowOff>133350</xdr:rowOff>
    </xdr:to>
    <xdr:sp macro="" textlink="">
      <xdr:nvSpPr>
        <xdr:cNvPr id="6299" name="직사각형 6298">
          <a:extLst>
            <a:ext uri="{FF2B5EF4-FFF2-40B4-BE49-F238E27FC236}">
              <a16:creationId xmlns:a16="http://schemas.microsoft.com/office/drawing/2014/main" id="{E016A57B-94D9-4D7D-A2D9-EC7A639A5E6A}"/>
            </a:ext>
          </a:extLst>
        </xdr:cNvPr>
        <xdr:cNvSpPr/>
      </xdr:nvSpPr>
      <xdr:spPr>
        <a:xfrm>
          <a:off x="8756469" y="5193030"/>
          <a:ext cx="2895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33</xdr:row>
      <xdr:rowOff>76200</xdr:rowOff>
    </xdr:from>
    <xdr:to>
      <xdr:col>31</xdr:col>
      <xdr:colOff>62048</xdr:colOff>
      <xdr:row>33</xdr:row>
      <xdr:rowOff>76200</xdr:rowOff>
    </xdr:to>
    <xdr:cxnSp macro="">
      <xdr:nvCxnSpPr>
        <xdr:cNvPr id="6300" name="직선 화살표 연결선 6299">
          <a:extLst>
            <a:ext uri="{FF2B5EF4-FFF2-40B4-BE49-F238E27FC236}">
              <a16:creationId xmlns:a16="http://schemas.microsoft.com/office/drawing/2014/main" id="{23F63042-567C-4D4F-B5C6-401D55CBA22A}"/>
            </a:ext>
          </a:extLst>
        </xdr:cNvPr>
        <xdr:cNvCxnSpPr/>
      </xdr:nvCxnSpPr>
      <xdr:spPr>
        <a:xfrm>
          <a:off x="8756469" y="5250180"/>
          <a:ext cx="28955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30</xdr:row>
      <xdr:rowOff>19050</xdr:rowOff>
    </xdr:from>
    <xdr:to>
      <xdr:col>29</xdr:col>
      <xdr:colOff>41365</xdr:colOff>
      <xdr:row>30</xdr:row>
      <xdr:rowOff>133350</xdr:rowOff>
    </xdr:to>
    <xdr:sp macro="" textlink="">
      <xdr:nvSpPr>
        <xdr:cNvPr id="6301" name="직사각형 6300">
          <a:extLst>
            <a:ext uri="{FF2B5EF4-FFF2-40B4-BE49-F238E27FC236}">
              <a16:creationId xmlns:a16="http://schemas.microsoft.com/office/drawing/2014/main" id="{A79CEDCD-7883-410C-B833-3A9F1FC8DBA9}"/>
            </a:ext>
          </a:extLst>
        </xdr:cNvPr>
        <xdr:cNvSpPr/>
      </xdr:nvSpPr>
      <xdr:spPr>
        <a:xfrm>
          <a:off x="8611688" y="4735830"/>
          <a:ext cx="1240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30</xdr:row>
      <xdr:rowOff>76200</xdr:rowOff>
    </xdr:from>
    <xdr:to>
      <xdr:col>29</xdr:col>
      <xdr:colOff>41365</xdr:colOff>
      <xdr:row>30</xdr:row>
      <xdr:rowOff>76200</xdr:rowOff>
    </xdr:to>
    <xdr:cxnSp macro="">
      <xdr:nvCxnSpPr>
        <xdr:cNvPr id="6302" name="직선 화살표 연결선 6301">
          <a:extLst>
            <a:ext uri="{FF2B5EF4-FFF2-40B4-BE49-F238E27FC236}">
              <a16:creationId xmlns:a16="http://schemas.microsoft.com/office/drawing/2014/main" id="{0DB52F27-0BBD-4784-A432-6280C7322908}"/>
            </a:ext>
          </a:extLst>
        </xdr:cNvPr>
        <xdr:cNvCxnSpPr/>
      </xdr:nvCxnSpPr>
      <xdr:spPr>
        <a:xfrm>
          <a:off x="8611688" y="47929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27</xdr:row>
      <xdr:rowOff>19050</xdr:rowOff>
    </xdr:from>
    <xdr:to>
      <xdr:col>29</xdr:col>
      <xdr:colOff>41365</xdr:colOff>
      <xdr:row>27</xdr:row>
      <xdr:rowOff>133350</xdr:rowOff>
    </xdr:to>
    <xdr:sp macro="" textlink="">
      <xdr:nvSpPr>
        <xdr:cNvPr id="6303" name="직사각형 6302">
          <a:extLst>
            <a:ext uri="{FF2B5EF4-FFF2-40B4-BE49-F238E27FC236}">
              <a16:creationId xmlns:a16="http://schemas.microsoft.com/office/drawing/2014/main" id="{48BCDAE5-6D82-40B9-8385-EA504FDC511A}"/>
            </a:ext>
          </a:extLst>
        </xdr:cNvPr>
        <xdr:cNvSpPr/>
      </xdr:nvSpPr>
      <xdr:spPr>
        <a:xfrm>
          <a:off x="8611688" y="42786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27</xdr:row>
      <xdr:rowOff>76200</xdr:rowOff>
    </xdr:from>
    <xdr:to>
      <xdr:col>29</xdr:col>
      <xdr:colOff>41365</xdr:colOff>
      <xdr:row>27</xdr:row>
      <xdr:rowOff>76200</xdr:rowOff>
    </xdr:to>
    <xdr:cxnSp macro="">
      <xdr:nvCxnSpPr>
        <xdr:cNvPr id="6304" name="직선 화살표 연결선 6303">
          <a:extLst>
            <a:ext uri="{FF2B5EF4-FFF2-40B4-BE49-F238E27FC236}">
              <a16:creationId xmlns:a16="http://schemas.microsoft.com/office/drawing/2014/main" id="{5C0C4224-EE63-4EC8-9BA6-1DA6177E87FE}"/>
            </a:ext>
          </a:extLst>
        </xdr:cNvPr>
        <xdr:cNvCxnSpPr/>
      </xdr:nvCxnSpPr>
      <xdr:spPr>
        <a:xfrm>
          <a:off x="8611688" y="43357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26</xdr:row>
      <xdr:rowOff>19050</xdr:rowOff>
    </xdr:from>
    <xdr:to>
      <xdr:col>34</xdr:col>
      <xdr:colOff>103414</xdr:colOff>
      <xdr:row>26</xdr:row>
      <xdr:rowOff>133350</xdr:rowOff>
    </xdr:to>
    <xdr:sp macro="" textlink="">
      <xdr:nvSpPr>
        <xdr:cNvPr id="6305" name="직사각형 6304">
          <a:extLst>
            <a:ext uri="{FF2B5EF4-FFF2-40B4-BE49-F238E27FC236}">
              <a16:creationId xmlns:a16="http://schemas.microsoft.com/office/drawing/2014/main" id="{400D8AF3-82FF-40E8-B5AD-53CA2EC76308}"/>
            </a:ext>
          </a:extLst>
        </xdr:cNvPr>
        <xdr:cNvSpPr/>
      </xdr:nvSpPr>
      <xdr:spPr>
        <a:xfrm>
          <a:off x="8611688" y="412623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26</xdr:row>
      <xdr:rowOff>76200</xdr:rowOff>
    </xdr:from>
    <xdr:to>
      <xdr:col>30</xdr:col>
      <xdr:colOff>35391</xdr:colOff>
      <xdr:row>26</xdr:row>
      <xdr:rowOff>76200</xdr:rowOff>
    </xdr:to>
    <xdr:cxnSp macro="">
      <xdr:nvCxnSpPr>
        <xdr:cNvPr id="6306" name="직선 화살표 연결선 6305">
          <a:extLst>
            <a:ext uri="{FF2B5EF4-FFF2-40B4-BE49-F238E27FC236}">
              <a16:creationId xmlns:a16="http://schemas.microsoft.com/office/drawing/2014/main" id="{52BC7E64-FD60-4179-9523-5E0D620064AF}"/>
            </a:ext>
          </a:extLst>
        </xdr:cNvPr>
        <xdr:cNvCxnSpPr/>
      </xdr:nvCxnSpPr>
      <xdr:spPr>
        <a:xfrm>
          <a:off x="8611688" y="4183380"/>
          <a:ext cx="2629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82731</xdr:colOff>
      <xdr:row>18</xdr:row>
      <xdr:rowOff>19050</xdr:rowOff>
    </xdr:from>
    <xdr:to>
      <xdr:col>29</xdr:col>
      <xdr:colOff>103414</xdr:colOff>
      <xdr:row>18</xdr:row>
      <xdr:rowOff>133350</xdr:rowOff>
    </xdr:to>
    <xdr:sp macro="" textlink="">
      <xdr:nvSpPr>
        <xdr:cNvPr id="6307" name="직사각형 6306">
          <a:extLst>
            <a:ext uri="{FF2B5EF4-FFF2-40B4-BE49-F238E27FC236}">
              <a16:creationId xmlns:a16="http://schemas.microsoft.com/office/drawing/2014/main" id="{F8F759A1-F5EF-4975-98C1-48A606762DDC}"/>
            </a:ext>
          </a:extLst>
        </xdr:cNvPr>
        <xdr:cNvSpPr/>
      </xdr:nvSpPr>
      <xdr:spPr>
        <a:xfrm>
          <a:off x="8777151" y="290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82731</xdr:colOff>
      <xdr:row>18</xdr:row>
      <xdr:rowOff>76200</xdr:rowOff>
    </xdr:from>
    <xdr:to>
      <xdr:col>29</xdr:col>
      <xdr:colOff>103414</xdr:colOff>
      <xdr:row>18</xdr:row>
      <xdr:rowOff>76200</xdr:rowOff>
    </xdr:to>
    <xdr:cxnSp macro="">
      <xdr:nvCxnSpPr>
        <xdr:cNvPr id="6308" name="직선 화살표 연결선 6307">
          <a:extLst>
            <a:ext uri="{FF2B5EF4-FFF2-40B4-BE49-F238E27FC236}">
              <a16:creationId xmlns:a16="http://schemas.microsoft.com/office/drawing/2014/main" id="{F5398EC6-38E4-4E37-B5F9-840953E0EF77}"/>
            </a:ext>
          </a:extLst>
        </xdr:cNvPr>
        <xdr:cNvCxnSpPr/>
      </xdr:nvCxnSpPr>
      <xdr:spPr>
        <a:xfrm>
          <a:off x="8777151" y="2964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62049</xdr:colOff>
      <xdr:row>17</xdr:row>
      <xdr:rowOff>19050</xdr:rowOff>
    </xdr:from>
    <xdr:to>
      <xdr:col>29</xdr:col>
      <xdr:colOff>82731</xdr:colOff>
      <xdr:row>17</xdr:row>
      <xdr:rowOff>133350</xdr:rowOff>
    </xdr:to>
    <xdr:sp macro="" textlink="">
      <xdr:nvSpPr>
        <xdr:cNvPr id="6309" name="직사각형 6308">
          <a:extLst>
            <a:ext uri="{FF2B5EF4-FFF2-40B4-BE49-F238E27FC236}">
              <a16:creationId xmlns:a16="http://schemas.microsoft.com/office/drawing/2014/main" id="{47B34C71-CCB8-4FD3-96E0-3710BD383B29}"/>
            </a:ext>
          </a:extLst>
        </xdr:cNvPr>
        <xdr:cNvSpPr/>
      </xdr:nvSpPr>
      <xdr:spPr>
        <a:xfrm>
          <a:off x="8756469" y="275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62049</xdr:colOff>
      <xdr:row>17</xdr:row>
      <xdr:rowOff>76200</xdr:rowOff>
    </xdr:from>
    <xdr:to>
      <xdr:col>29</xdr:col>
      <xdr:colOff>62049</xdr:colOff>
      <xdr:row>17</xdr:row>
      <xdr:rowOff>76200</xdr:rowOff>
    </xdr:to>
    <xdr:cxnSp macro="">
      <xdr:nvCxnSpPr>
        <xdr:cNvPr id="6310" name="직선 화살표 연결선 6309">
          <a:extLst>
            <a:ext uri="{FF2B5EF4-FFF2-40B4-BE49-F238E27FC236}">
              <a16:creationId xmlns:a16="http://schemas.microsoft.com/office/drawing/2014/main" id="{B0A99574-DA09-4A3F-9667-EA31A4502CA0}"/>
            </a:ext>
          </a:extLst>
        </xdr:cNvPr>
        <xdr:cNvCxnSpPr/>
      </xdr:nvCxnSpPr>
      <xdr:spPr>
        <a:xfrm>
          <a:off x="8756469"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41365</xdr:colOff>
      <xdr:row>16</xdr:row>
      <xdr:rowOff>19050</xdr:rowOff>
    </xdr:from>
    <xdr:to>
      <xdr:col>29</xdr:col>
      <xdr:colOff>62049</xdr:colOff>
      <xdr:row>16</xdr:row>
      <xdr:rowOff>133350</xdr:rowOff>
    </xdr:to>
    <xdr:sp macro="" textlink="">
      <xdr:nvSpPr>
        <xdr:cNvPr id="6311" name="직사각형 6310">
          <a:extLst>
            <a:ext uri="{FF2B5EF4-FFF2-40B4-BE49-F238E27FC236}">
              <a16:creationId xmlns:a16="http://schemas.microsoft.com/office/drawing/2014/main" id="{15D19496-8466-455A-94C8-694A50AB640A}"/>
            </a:ext>
          </a:extLst>
        </xdr:cNvPr>
        <xdr:cNvSpPr/>
      </xdr:nvSpPr>
      <xdr:spPr>
        <a:xfrm>
          <a:off x="8735785" y="26022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41365</xdr:colOff>
      <xdr:row>16</xdr:row>
      <xdr:rowOff>76200</xdr:rowOff>
    </xdr:from>
    <xdr:to>
      <xdr:col>29</xdr:col>
      <xdr:colOff>41365</xdr:colOff>
      <xdr:row>16</xdr:row>
      <xdr:rowOff>76200</xdr:rowOff>
    </xdr:to>
    <xdr:cxnSp macro="">
      <xdr:nvCxnSpPr>
        <xdr:cNvPr id="6312" name="직선 화살표 연결선 6311">
          <a:extLst>
            <a:ext uri="{FF2B5EF4-FFF2-40B4-BE49-F238E27FC236}">
              <a16:creationId xmlns:a16="http://schemas.microsoft.com/office/drawing/2014/main" id="{B1A6E071-4A6F-4164-AEC5-56F844E1F05A}"/>
            </a:ext>
          </a:extLst>
        </xdr:cNvPr>
        <xdr:cNvCxnSpPr/>
      </xdr:nvCxnSpPr>
      <xdr:spPr>
        <a:xfrm>
          <a:off x="8735785"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15</xdr:row>
      <xdr:rowOff>19050</xdr:rowOff>
    </xdr:from>
    <xdr:to>
      <xdr:col>29</xdr:col>
      <xdr:colOff>41365</xdr:colOff>
      <xdr:row>15</xdr:row>
      <xdr:rowOff>133350</xdr:rowOff>
    </xdr:to>
    <xdr:sp macro="" textlink="">
      <xdr:nvSpPr>
        <xdr:cNvPr id="6313" name="직사각형 6312">
          <a:extLst>
            <a:ext uri="{FF2B5EF4-FFF2-40B4-BE49-F238E27FC236}">
              <a16:creationId xmlns:a16="http://schemas.microsoft.com/office/drawing/2014/main" id="{450A02B1-CB63-40EC-B0BF-6C7D70B68313}"/>
            </a:ext>
          </a:extLst>
        </xdr:cNvPr>
        <xdr:cNvSpPr/>
      </xdr:nvSpPr>
      <xdr:spPr>
        <a:xfrm>
          <a:off x="8715103" y="244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15</xdr:row>
      <xdr:rowOff>76200</xdr:rowOff>
    </xdr:from>
    <xdr:to>
      <xdr:col>29</xdr:col>
      <xdr:colOff>41365</xdr:colOff>
      <xdr:row>15</xdr:row>
      <xdr:rowOff>76200</xdr:rowOff>
    </xdr:to>
    <xdr:cxnSp macro="">
      <xdr:nvCxnSpPr>
        <xdr:cNvPr id="6314" name="직선 화살표 연결선 6313">
          <a:extLst>
            <a:ext uri="{FF2B5EF4-FFF2-40B4-BE49-F238E27FC236}">
              <a16:creationId xmlns:a16="http://schemas.microsoft.com/office/drawing/2014/main" id="{E9DD3509-930D-4678-B001-94DD5D65CBB9}"/>
            </a:ext>
          </a:extLst>
        </xdr:cNvPr>
        <xdr:cNvCxnSpPr/>
      </xdr:nvCxnSpPr>
      <xdr:spPr>
        <a:xfrm>
          <a:off x="8715103" y="25069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14</xdr:row>
      <xdr:rowOff>19050</xdr:rowOff>
    </xdr:from>
    <xdr:to>
      <xdr:col>29</xdr:col>
      <xdr:colOff>20683</xdr:colOff>
      <xdr:row>14</xdr:row>
      <xdr:rowOff>133350</xdr:rowOff>
    </xdr:to>
    <xdr:sp macro="" textlink="">
      <xdr:nvSpPr>
        <xdr:cNvPr id="6315" name="직사각형 6314">
          <a:extLst>
            <a:ext uri="{FF2B5EF4-FFF2-40B4-BE49-F238E27FC236}">
              <a16:creationId xmlns:a16="http://schemas.microsoft.com/office/drawing/2014/main" id="{C47BCED4-B8AD-4272-A4F8-6CEEA3C57CDC}"/>
            </a:ext>
          </a:extLst>
        </xdr:cNvPr>
        <xdr:cNvSpPr/>
      </xdr:nvSpPr>
      <xdr:spPr>
        <a:xfrm>
          <a:off x="8694420" y="2297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14</xdr:row>
      <xdr:rowOff>76200</xdr:rowOff>
    </xdr:from>
    <xdr:to>
      <xdr:col>29</xdr:col>
      <xdr:colOff>20683</xdr:colOff>
      <xdr:row>14</xdr:row>
      <xdr:rowOff>76200</xdr:rowOff>
    </xdr:to>
    <xdr:cxnSp macro="">
      <xdr:nvCxnSpPr>
        <xdr:cNvPr id="6316" name="직선 화살표 연결선 6315">
          <a:extLst>
            <a:ext uri="{FF2B5EF4-FFF2-40B4-BE49-F238E27FC236}">
              <a16:creationId xmlns:a16="http://schemas.microsoft.com/office/drawing/2014/main" id="{D2B24F3C-0EB5-4C97-B44D-83693E97F988}"/>
            </a:ext>
          </a:extLst>
        </xdr:cNvPr>
        <xdr:cNvCxnSpPr/>
      </xdr:nvCxnSpPr>
      <xdr:spPr>
        <a:xfrm>
          <a:off x="8694420" y="2354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13</xdr:row>
      <xdr:rowOff>19050</xdr:rowOff>
    </xdr:from>
    <xdr:to>
      <xdr:col>35</xdr:col>
      <xdr:colOff>82731</xdr:colOff>
      <xdr:row>13</xdr:row>
      <xdr:rowOff>133350</xdr:rowOff>
    </xdr:to>
    <xdr:sp macro="" textlink="">
      <xdr:nvSpPr>
        <xdr:cNvPr id="6317" name="직사각형 6316">
          <a:extLst>
            <a:ext uri="{FF2B5EF4-FFF2-40B4-BE49-F238E27FC236}">
              <a16:creationId xmlns:a16="http://schemas.microsoft.com/office/drawing/2014/main" id="{606D7423-515C-4AF7-AFAA-B1DA2C199BE2}"/>
            </a:ext>
          </a:extLst>
        </xdr:cNvPr>
        <xdr:cNvSpPr/>
      </xdr:nvSpPr>
      <xdr:spPr>
        <a:xfrm>
          <a:off x="9625149" y="2145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13</xdr:row>
      <xdr:rowOff>76200</xdr:rowOff>
    </xdr:from>
    <xdr:to>
      <xdr:col>35</xdr:col>
      <xdr:colOff>62049</xdr:colOff>
      <xdr:row>13</xdr:row>
      <xdr:rowOff>76200</xdr:rowOff>
    </xdr:to>
    <xdr:cxnSp macro="">
      <xdr:nvCxnSpPr>
        <xdr:cNvPr id="6318" name="직선 화살표 연결선 6317">
          <a:extLst>
            <a:ext uri="{FF2B5EF4-FFF2-40B4-BE49-F238E27FC236}">
              <a16:creationId xmlns:a16="http://schemas.microsoft.com/office/drawing/2014/main" id="{91FD82AE-2C4E-4E89-9C6E-085185DBB7F2}"/>
            </a:ext>
          </a:extLst>
        </xdr:cNvPr>
        <xdr:cNvCxnSpPr/>
      </xdr:nvCxnSpPr>
      <xdr:spPr>
        <a:xfrm>
          <a:off x="962514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12</xdr:row>
      <xdr:rowOff>19050</xdr:rowOff>
    </xdr:from>
    <xdr:to>
      <xdr:col>33</xdr:col>
      <xdr:colOff>82732</xdr:colOff>
      <xdr:row>12</xdr:row>
      <xdr:rowOff>133350</xdr:rowOff>
    </xdr:to>
    <xdr:sp macro="" textlink="">
      <xdr:nvSpPr>
        <xdr:cNvPr id="6319" name="직사각형 6318">
          <a:extLst>
            <a:ext uri="{FF2B5EF4-FFF2-40B4-BE49-F238E27FC236}">
              <a16:creationId xmlns:a16="http://schemas.microsoft.com/office/drawing/2014/main" id="{3F481E6A-693A-4750-93E9-07E6576D2F00}"/>
            </a:ext>
          </a:extLst>
        </xdr:cNvPr>
        <xdr:cNvSpPr/>
      </xdr:nvSpPr>
      <xdr:spPr>
        <a:xfrm>
          <a:off x="9335588" y="1992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12</xdr:row>
      <xdr:rowOff>76200</xdr:rowOff>
    </xdr:from>
    <xdr:to>
      <xdr:col>33</xdr:col>
      <xdr:colOff>62048</xdr:colOff>
      <xdr:row>12</xdr:row>
      <xdr:rowOff>76200</xdr:rowOff>
    </xdr:to>
    <xdr:cxnSp macro="">
      <xdr:nvCxnSpPr>
        <xdr:cNvPr id="6320" name="직선 화살표 연결선 6319">
          <a:extLst>
            <a:ext uri="{FF2B5EF4-FFF2-40B4-BE49-F238E27FC236}">
              <a16:creationId xmlns:a16="http://schemas.microsoft.com/office/drawing/2014/main" id="{8AE97AF9-0609-455B-8EFD-5BC88833665E}"/>
            </a:ext>
          </a:extLst>
        </xdr:cNvPr>
        <xdr:cNvCxnSpPr/>
      </xdr:nvCxnSpPr>
      <xdr:spPr>
        <a:xfrm>
          <a:off x="9335588"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11</xdr:row>
      <xdr:rowOff>19050</xdr:rowOff>
    </xdr:from>
    <xdr:to>
      <xdr:col>31</xdr:col>
      <xdr:colOff>20683</xdr:colOff>
      <xdr:row>11</xdr:row>
      <xdr:rowOff>133350</xdr:rowOff>
    </xdr:to>
    <xdr:sp macro="" textlink="">
      <xdr:nvSpPr>
        <xdr:cNvPr id="6321" name="직사각형 6320">
          <a:extLst>
            <a:ext uri="{FF2B5EF4-FFF2-40B4-BE49-F238E27FC236}">
              <a16:creationId xmlns:a16="http://schemas.microsoft.com/office/drawing/2014/main" id="{1309A082-1AA1-40FB-9519-2A8B26458B6C}"/>
            </a:ext>
          </a:extLst>
        </xdr:cNvPr>
        <xdr:cNvSpPr/>
      </xdr:nvSpPr>
      <xdr:spPr>
        <a:xfrm>
          <a:off x="8983980" y="1840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11</xdr:row>
      <xdr:rowOff>76200</xdr:rowOff>
    </xdr:from>
    <xdr:to>
      <xdr:col>31</xdr:col>
      <xdr:colOff>0</xdr:colOff>
      <xdr:row>11</xdr:row>
      <xdr:rowOff>76200</xdr:rowOff>
    </xdr:to>
    <xdr:cxnSp macro="">
      <xdr:nvCxnSpPr>
        <xdr:cNvPr id="6322" name="직선 화살표 연결선 6321">
          <a:extLst>
            <a:ext uri="{FF2B5EF4-FFF2-40B4-BE49-F238E27FC236}">
              <a16:creationId xmlns:a16="http://schemas.microsoft.com/office/drawing/2014/main" id="{8863EFDF-FF91-4E02-9619-627EDEF719B2}"/>
            </a:ext>
          </a:extLst>
        </xdr:cNvPr>
        <xdr:cNvCxnSpPr/>
      </xdr:nvCxnSpPr>
      <xdr:spPr>
        <a:xfrm>
          <a:off x="8983980"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82731</xdr:colOff>
      <xdr:row>10</xdr:row>
      <xdr:rowOff>19050</xdr:rowOff>
    </xdr:from>
    <xdr:to>
      <xdr:col>29</xdr:col>
      <xdr:colOff>103414</xdr:colOff>
      <xdr:row>10</xdr:row>
      <xdr:rowOff>133350</xdr:rowOff>
    </xdr:to>
    <xdr:sp macro="" textlink="">
      <xdr:nvSpPr>
        <xdr:cNvPr id="6323" name="직사각형 6322">
          <a:extLst>
            <a:ext uri="{FF2B5EF4-FFF2-40B4-BE49-F238E27FC236}">
              <a16:creationId xmlns:a16="http://schemas.microsoft.com/office/drawing/2014/main" id="{6EAF5742-79B7-41D6-853B-96968AB00A26}"/>
            </a:ext>
          </a:extLst>
        </xdr:cNvPr>
        <xdr:cNvSpPr/>
      </xdr:nvSpPr>
      <xdr:spPr>
        <a:xfrm>
          <a:off x="8777151" y="168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82731</xdr:colOff>
      <xdr:row>10</xdr:row>
      <xdr:rowOff>76200</xdr:rowOff>
    </xdr:from>
    <xdr:to>
      <xdr:col>29</xdr:col>
      <xdr:colOff>103414</xdr:colOff>
      <xdr:row>10</xdr:row>
      <xdr:rowOff>76200</xdr:rowOff>
    </xdr:to>
    <xdr:cxnSp macro="">
      <xdr:nvCxnSpPr>
        <xdr:cNvPr id="6324" name="직선 화살표 연결선 6323">
          <a:extLst>
            <a:ext uri="{FF2B5EF4-FFF2-40B4-BE49-F238E27FC236}">
              <a16:creationId xmlns:a16="http://schemas.microsoft.com/office/drawing/2014/main" id="{F339780D-242C-418A-9904-F7AF26505285}"/>
            </a:ext>
          </a:extLst>
        </xdr:cNvPr>
        <xdr:cNvCxnSpPr/>
      </xdr:nvCxnSpPr>
      <xdr:spPr>
        <a:xfrm>
          <a:off x="8777151" y="1744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9</xdr:row>
      <xdr:rowOff>19050</xdr:rowOff>
    </xdr:from>
    <xdr:to>
      <xdr:col>29</xdr:col>
      <xdr:colOff>20683</xdr:colOff>
      <xdr:row>9</xdr:row>
      <xdr:rowOff>133350</xdr:rowOff>
    </xdr:to>
    <xdr:sp macro="" textlink="">
      <xdr:nvSpPr>
        <xdr:cNvPr id="6325" name="직사각형 6324">
          <a:extLst>
            <a:ext uri="{FF2B5EF4-FFF2-40B4-BE49-F238E27FC236}">
              <a16:creationId xmlns:a16="http://schemas.microsoft.com/office/drawing/2014/main" id="{3C1F7D3A-48E5-4FB5-9FC4-BB37649A9C0D}"/>
            </a:ext>
          </a:extLst>
        </xdr:cNvPr>
        <xdr:cNvSpPr/>
      </xdr:nvSpPr>
      <xdr:spPr>
        <a:xfrm>
          <a:off x="8694420" y="153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9</xdr:row>
      <xdr:rowOff>76200</xdr:rowOff>
    </xdr:from>
    <xdr:to>
      <xdr:col>29</xdr:col>
      <xdr:colOff>20683</xdr:colOff>
      <xdr:row>9</xdr:row>
      <xdr:rowOff>76200</xdr:rowOff>
    </xdr:to>
    <xdr:cxnSp macro="">
      <xdr:nvCxnSpPr>
        <xdr:cNvPr id="6326" name="직선 화살표 연결선 6325">
          <a:extLst>
            <a:ext uri="{FF2B5EF4-FFF2-40B4-BE49-F238E27FC236}">
              <a16:creationId xmlns:a16="http://schemas.microsoft.com/office/drawing/2014/main" id="{F098D3E2-FDBC-483E-8756-A0F5683389EB}"/>
            </a:ext>
          </a:extLst>
        </xdr:cNvPr>
        <xdr:cNvCxnSpPr/>
      </xdr:nvCxnSpPr>
      <xdr:spPr>
        <a:xfrm>
          <a:off x="8694420" y="1592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8</xdr:row>
      <xdr:rowOff>19050</xdr:rowOff>
    </xdr:from>
    <xdr:to>
      <xdr:col>28</xdr:col>
      <xdr:colOff>103414</xdr:colOff>
      <xdr:row>8</xdr:row>
      <xdr:rowOff>133350</xdr:rowOff>
    </xdr:to>
    <xdr:sp macro="" textlink="">
      <xdr:nvSpPr>
        <xdr:cNvPr id="6327" name="직사각형 6326">
          <a:extLst>
            <a:ext uri="{FF2B5EF4-FFF2-40B4-BE49-F238E27FC236}">
              <a16:creationId xmlns:a16="http://schemas.microsoft.com/office/drawing/2014/main" id="{552C7D0D-89E6-48EA-B0BB-C8AF674BF404}"/>
            </a:ext>
          </a:extLst>
        </xdr:cNvPr>
        <xdr:cNvSpPr/>
      </xdr:nvSpPr>
      <xdr:spPr>
        <a:xfrm>
          <a:off x="8611688" y="1383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8</xdr:row>
      <xdr:rowOff>76200</xdr:rowOff>
    </xdr:from>
    <xdr:to>
      <xdr:col>28</xdr:col>
      <xdr:colOff>103414</xdr:colOff>
      <xdr:row>8</xdr:row>
      <xdr:rowOff>76200</xdr:rowOff>
    </xdr:to>
    <xdr:cxnSp macro="">
      <xdr:nvCxnSpPr>
        <xdr:cNvPr id="6328" name="직선 화살표 연결선 6327">
          <a:extLst>
            <a:ext uri="{FF2B5EF4-FFF2-40B4-BE49-F238E27FC236}">
              <a16:creationId xmlns:a16="http://schemas.microsoft.com/office/drawing/2014/main" id="{DAE3DE3A-8629-49E3-A2A9-511D97E827F9}"/>
            </a:ext>
          </a:extLst>
        </xdr:cNvPr>
        <xdr:cNvCxnSpPr/>
      </xdr:nvCxnSpPr>
      <xdr:spPr>
        <a:xfrm>
          <a:off x="8611688" y="1440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62048</xdr:colOff>
      <xdr:row>7</xdr:row>
      <xdr:rowOff>19050</xdr:rowOff>
    </xdr:from>
    <xdr:to>
      <xdr:col>35</xdr:col>
      <xdr:colOff>82731</xdr:colOff>
      <xdr:row>7</xdr:row>
      <xdr:rowOff>133350</xdr:rowOff>
    </xdr:to>
    <xdr:sp macro="" textlink="">
      <xdr:nvSpPr>
        <xdr:cNvPr id="6329" name="직사각형 6328">
          <a:extLst>
            <a:ext uri="{FF2B5EF4-FFF2-40B4-BE49-F238E27FC236}">
              <a16:creationId xmlns:a16="http://schemas.microsoft.com/office/drawing/2014/main" id="{68370659-0B9F-47E4-8B14-7030C0FE6B35}"/>
            </a:ext>
          </a:extLst>
        </xdr:cNvPr>
        <xdr:cNvSpPr/>
      </xdr:nvSpPr>
      <xdr:spPr>
        <a:xfrm>
          <a:off x="8611688" y="1230630"/>
          <a:ext cx="10341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62048</xdr:colOff>
      <xdr:row>7</xdr:row>
      <xdr:rowOff>76200</xdr:rowOff>
    </xdr:from>
    <xdr:to>
      <xdr:col>32</xdr:col>
      <xdr:colOff>86178</xdr:colOff>
      <xdr:row>7</xdr:row>
      <xdr:rowOff>76200</xdr:rowOff>
    </xdr:to>
    <xdr:cxnSp macro="">
      <xdr:nvCxnSpPr>
        <xdr:cNvPr id="6330" name="직선 화살표 연결선 6329">
          <a:extLst>
            <a:ext uri="{FF2B5EF4-FFF2-40B4-BE49-F238E27FC236}">
              <a16:creationId xmlns:a16="http://schemas.microsoft.com/office/drawing/2014/main" id="{F92FB1B7-68F9-4433-852D-8F1F4A2B023E}"/>
            </a:ext>
          </a:extLst>
        </xdr:cNvPr>
        <xdr:cNvCxnSpPr/>
      </xdr:nvCxnSpPr>
      <xdr:spPr>
        <a:xfrm>
          <a:off x="8611688" y="1287780"/>
          <a:ext cx="60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990</v>
      </c>
      <c r="C8" s="101" t="s">
        <v>1126</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1158</v>
      </c>
      <c r="D11" s="99" t="s">
        <v>26</v>
      </c>
      <c r="E11" s="108">
        <v>1</v>
      </c>
      <c r="F11" s="109" t="s">
        <v>27</v>
      </c>
      <c r="G11" s="110">
        <v>43650</v>
      </c>
      <c r="H11" s="109" t="s">
        <v>28</v>
      </c>
      <c r="I11" s="110">
        <v>43708</v>
      </c>
      <c r="J11" s="102" t="s">
        <v>418</v>
      </c>
      <c r="K11" s="102" t="s">
        <v>1127</v>
      </c>
      <c r="L11" s="102" t="s">
        <v>415</v>
      </c>
      <c r="M11" s="102">
        <v>0</v>
      </c>
      <c r="N11" s="107" t="s">
        <v>29</v>
      </c>
      <c r="O11" s="99">
        <v>0</v>
      </c>
      <c r="P11" s="99" t="s">
        <v>30</v>
      </c>
      <c r="Q11" s="107" t="s">
        <v>1132</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986</v>
      </c>
      <c r="AE12" s="102">
        <v>1</v>
      </c>
    </row>
    <row r="13" spans="1:64">
      <c r="A13" s="101" t="s">
        <v>402</v>
      </c>
      <c r="B13" s="107" t="s">
        <v>31</v>
      </c>
      <c r="C13" s="99">
        <v>1</v>
      </c>
      <c r="D13" s="107" t="s">
        <v>32</v>
      </c>
      <c r="E13" s="99" t="s">
        <v>1133</v>
      </c>
      <c r="F13" s="99" t="s">
        <v>33</v>
      </c>
      <c r="G13" s="109" t="s">
        <v>1159</v>
      </c>
      <c r="H13" s="109" t="s">
        <v>34</v>
      </c>
      <c r="I13" s="102" t="s">
        <v>1046</v>
      </c>
    </row>
    <row r="14" spans="1:64">
      <c r="A14" s="101" t="s">
        <v>403</v>
      </c>
      <c r="B14" s="108" t="s">
        <v>35</v>
      </c>
      <c r="C14" s="108" t="s">
        <v>1134</v>
      </c>
      <c r="D14" s="108" t="s">
        <v>36</v>
      </c>
      <c r="E14" s="108" t="s">
        <v>1135</v>
      </c>
      <c r="F14" s="108" t="s">
        <v>37</v>
      </c>
      <c r="G14" s="108" t="s">
        <v>1101</v>
      </c>
      <c r="H14" s="108" t="s">
        <v>38</v>
      </c>
      <c r="I14" s="108" t="b">
        <v>0</v>
      </c>
      <c r="J14" s="108" t="s">
        <v>39</v>
      </c>
      <c r="K14" s="108" t="s">
        <v>1113</v>
      </c>
      <c r="L14" s="108" t="s">
        <v>40</v>
      </c>
      <c r="M14" s="108" t="s">
        <v>1102</v>
      </c>
      <c r="N14" s="108" t="s">
        <v>41</v>
      </c>
      <c r="O14" s="108" t="s">
        <v>1101</v>
      </c>
      <c r="P14" s="108" t="s">
        <v>42</v>
      </c>
      <c r="Q14" s="108" t="b">
        <v>0</v>
      </c>
      <c r="R14" s="108" t="s">
        <v>43</v>
      </c>
      <c r="S14" s="108" t="s">
        <v>1136</v>
      </c>
      <c r="T14" s="108" t="s">
        <v>44</v>
      </c>
      <c r="U14" s="108" t="s">
        <v>1114</v>
      </c>
      <c r="V14" s="108" t="s">
        <v>45</v>
      </c>
      <c r="W14" s="108" t="s">
        <v>1101</v>
      </c>
      <c r="X14" s="108" t="s">
        <v>46</v>
      </c>
      <c r="Y14" s="108" t="b">
        <v>1</v>
      </c>
      <c r="Z14" s="108" t="s">
        <v>47</v>
      </c>
      <c r="AA14" s="108" t="s">
        <v>1103</v>
      </c>
      <c r="AB14" s="108" t="s">
        <v>48</v>
      </c>
      <c r="AC14" s="108" t="s">
        <v>1115</v>
      </c>
      <c r="AD14" s="108" t="s">
        <v>49</v>
      </c>
      <c r="AE14" s="108" t="s">
        <v>1137</v>
      </c>
      <c r="AF14" s="108" t="s">
        <v>50</v>
      </c>
      <c r="AG14" s="108" t="b">
        <v>1</v>
      </c>
      <c r="AH14" s="108" t="s">
        <v>51</v>
      </c>
      <c r="AI14" s="108" t="s">
        <v>1105</v>
      </c>
      <c r="AJ14" s="108" t="s">
        <v>52</v>
      </c>
      <c r="AK14" s="108" t="s">
        <v>1070</v>
      </c>
      <c r="AL14" s="108" t="s">
        <v>53</v>
      </c>
      <c r="AM14" s="108" t="s">
        <v>1138</v>
      </c>
      <c r="AN14" s="108" t="s">
        <v>54</v>
      </c>
      <c r="AO14" s="108" t="b">
        <v>0</v>
      </c>
      <c r="AP14" s="108" t="s">
        <v>55</v>
      </c>
      <c r="AQ14" s="108" t="s">
        <v>1068</v>
      </c>
      <c r="AR14" s="108" t="s">
        <v>56</v>
      </c>
      <c r="AS14" s="108" t="s">
        <v>1071</v>
      </c>
      <c r="AT14" s="108" t="s">
        <v>57</v>
      </c>
      <c r="AU14" s="108" t="s">
        <v>1106</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1072</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932</v>
      </c>
      <c r="B1" s="124" t="s">
        <v>933</v>
      </c>
      <c r="C1" s="125" t="s">
        <v>934</v>
      </c>
      <c r="D1" s="125" t="s">
        <v>67</v>
      </c>
      <c r="E1" s="125" t="s">
        <v>68</v>
      </c>
    </row>
    <row r="2" spans="1:5" ht="79.2">
      <c r="A2" s="126" t="s">
        <v>1139</v>
      </c>
      <c r="B2" s="139">
        <v>1</v>
      </c>
      <c r="D2" s="127" t="s">
        <v>935</v>
      </c>
      <c r="E2" s="140" t="s">
        <v>611</v>
      </c>
    </row>
    <row r="3" spans="1:5" ht="112.5" customHeight="1">
      <c r="A3" s="128">
        <v>450</v>
      </c>
      <c r="B3" s="139">
        <v>2</v>
      </c>
      <c r="D3" s="127" t="s">
        <v>537</v>
      </c>
      <c r="E3" s="140" t="s">
        <v>936</v>
      </c>
    </row>
    <row r="4" spans="1:5" ht="52.8">
      <c r="B4" s="139">
        <v>3</v>
      </c>
      <c r="D4" s="127" t="s">
        <v>937</v>
      </c>
      <c r="E4" s="140" t="s">
        <v>612</v>
      </c>
    </row>
    <row r="5" spans="1:5" ht="52.8">
      <c r="B5" s="139">
        <v>4</v>
      </c>
      <c r="D5" s="127" t="s">
        <v>938</v>
      </c>
      <c r="E5" s="140" t="s">
        <v>613</v>
      </c>
    </row>
    <row r="6" spans="1:5" ht="52.8">
      <c r="B6" s="139">
        <v>5</v>
      </c>
      <c r="D6" s="127" t="s">
        <v>939</v>
      </c>
      <c r="E6" s="140" t="s">
        <v>614</v>
      </c>
    </row>
    <row r="7" spans="1:5" ht="39.6">
      <c r="B7" s="139">
        <v>6</v>
      </c>
      <c r="D7" s="127" t="s">
        <v>940</v>
      </c>
      <c r="E7" s="140" t="s">
        <v>615</v>
      </c>
    </row>
    <row r="8" spans="1:5">
      <c r="B8" s="139">
        <v>7</v>
      </c>
      <c r="D8" s="127" t="s">
        <v>926</v>
      </c>
      <c r="E8" s="140" t="s">
        <v>941</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942</v>
      </c>
      <c r="D20" s="128" t="s">
        <v>943</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944</v>
      </c>
      <c r="D46" s="127" t="s">
        <v>945</v>
      </c>
      <c r="E46" s="166" t="s">
        <v>946</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947</v>
      </c>
      <c r="E61" s="128" t="s">
        <v>948</v>
      </c>
      <c r="F61" s="130"/>
    </row>
    <row r="62" spans="1:6" ht="14.4">
      <c r="B62" s="139">
        <v>154</v>
      </c>
      <c r="D62" s="127" t="s">
        <v>104</v>
      </c>
      <c r="E62" s="168" t="s">
        <v>930</v>
      </c>
    </row>
    <row r="63" spans="1:6" ht="14.4">
      <c r="B63" s="139">
        <v>155</v>
      </c>
      <c r="D63" s="127" t="s">
        <v>105</v>
      </c>
      <c r="E63" s="168" t="s">
        <v>949</v>
      </c>
    </row>
    <row r="64" spans="1:6">
      <c r="A64" s="131"/>
      <c r="B64" s="139">
        <v>156</v>
      </c>
      <c r="C64" s="138" t="s">
        <v>950</v>
      </c>
      <c r="D64" s="128" t="s">
        <v>951</v>
      </c>
      <c r="E64" s="128" t="s">
        <v>952</v>
      </c>
      <c r="F64" s="130"/>
    </row>
    <row r="65" spans="1:6">
      <c r="A65" s="131"/>
      <c r="B65" s="139">
        <v>157</v>
      </c>
      <c r="C65" s="138" t="s">
        <v>532</v>
      </c>
      <c r="D65" s="128" t="s">
        <v>953</v>
      </c>
      <c r="E65" s="128" t="s">
        <v>954</v>
      </c>
      <c r="F65" s="130"/>
    </row>
    <row r="66" spans="1:6">
      <c r="A66" s="131"/>
      <c r="B66" s="139">
        <v>158</v>
      </c>
      <c r="C66" s="138" t="s">
        <v>532</v>
      </c>
      <c r="D66" s="128" t="s">
        <v>955</v>
      </c>
      <c r="E66" s="128" t="s">
        <v>956</v>
      </c>
      <c r="F66" s="130"/>
    </row>
    <row r="67" spans="1:6">
      <c r="A67" s="131"/>
      <c r="B67" s="139">
        <v>159</v>
      </c>
      <c r="C67" s="138" t="s">
        <v>950</v>
      </c>
      <c r="D67" s="128" t="s">
        <v>927</v>
      </c>
      <c r="E67" s="128" t="s">
        <v>957</v>
      </c>
      <c r="F67" s="130"/>
    </row>
    <row r="68" spans="1:6">
      <c r="B68" s="139">
        <v>160</v>
      </c>
      <c r="D68" s="127" t="s">
        <v>106</v>
      </c>
      <c r="E68" s="140" t="s">
        <v>958</v>
      </c>
    </row>
    <row r="69" spans="1:6">
      <c r="B69" s="139">
        <v>161</v>
      </c>
      <c r="D69" s="127" t="s">
        <v>107</v>
      </c>
      <c r="E69" s="140" t="s">
        <v>959</v>
      </c>
    </row>
    <row r="70" spans="1:6">
      <c r="B70" s="139">
        <v>162</v>
      </c>
      <c r="D70" s="127" t="s">
        <v>960</v>
      </c>
      <c r="E70" s="140" t="s">
        <v>928</v>
      </c>
    </row>
    <row r="71" spans="1:6">
      <c r="B71" s="139">
        <v>163</v>
      </c>
      <c r="D71" s="127" t="s">
        <v>108</v>
      </c>
      <c r="E71" s="140" t="s">
        <v>961</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962</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1069</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963</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964</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965</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966</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967</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968</v>
      </c>
    </row>
    <row r="210" spans="2:5">
      <c r="B210" s="139">
        <v>302</v>
      </c>
      <c r="D210" s="127" t="s">
        <v>504</v>
      </c>
      <c r="E210" s="140" t="s">
        <v>969</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944</v>
      </c>
      <c r="D221" s="127" t="s">
        <v>970</v>
      </c>
      <c r="E221" s="166" t="s">
        <v>971</v>
      </c>
    </row>
    <row r="222" spans="2:5">
      <c r="B222" s="139">
        <v>314</v>
      </c>
      <c r="D222" s="127" t="s">
        <v>211</v>
      </c>
      <c r="E222" s="140" t="s">
        <v>972</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973</v>
      </c>
      <c r="E232" s="128" t="s">
        <v>540</v>
      </c>
      <c r="F232" s="130"/>
    </row>
    <row r="233" spans="1:6">
      <c r="A233" s="129"/>
      <c r="B233" s="139">
        <v>325</v>
      </c>
      <c r="C233" s="138" t="s">
        <v>532</v>
      </c>
      <c r="D233" s="128" t="s">
        <v>974</v>
      </c>
      <c r="E233" s="128" t="s">
        <v>923</v>
      </c>
      <c r="F233" s="130"/>
    </row>
    <row r="234" spans="1:6">
      <c r="A234" s="129"/>
      <c r="B234" s="139">
        <v>326</v>
      </c>
      <c r="C234" s="138" t="s">
        <v>942</v>
      </c>
      <c r="D234" s="128" t="s">
        <v>975</v>
      </c>
      <c r="E234" s="128" t="s">
        <v>976</v>
      </c>
      <c r="F234" s="130"/>
    </row>
    <row r="235" spans="1:6">
      <c r="B235" s="139">
        <v>327</v>
      </c>
      <c r="D235" s="127" t="s">
        <v>220</v>
      </c>
      <c r="E235" s="140" t="s">
        <v>584</v>
      </c>
    </row>
    <row r="236" spans="1:6" ht="14.4">
      <c r="B236" s="139">
        <v>328</v>
      </c>
      <c r="D236" s="127" t="s">
        <v>221</v>
      </c>
      <c r="E236" s="168" t="s">
        <v>929</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977</v>
      </c>
      <c r="E260" s="167" t="s">
        <v>978</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979</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944</v>
      </c>
      <c r="D336" s="134" t="s">
        <v>980</v>
      </c>
      <c r="E336" s="134" t="s">
        <v>981</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924</v>
      </c>
      <c r="E374" s="128" t="s">
        <v>982</v>
      </c>
      <c r="F374" s="130"/>
    </row>
    <row r="375" spans="1:6">
      <c r="A375" s="129"/>
      <c r="B375" s="139">
        <v>467</v>
      </c>
      <c r="C375" s="138" t="s">
        <v>532</v>
      </c>
      <c r="D375" s="128" t="s">
        <v>983</v>
      </c>
      <c r="E375" s="128" t="s">
        <v>925</v>
      </c>
      <c r="F375" s="130"/>
    </row>
    <row r="376" spans="1:6" ht="14.4">
      <c r="B376" s="139">
        <v>468</v>
      </c>
      <c r="D376" s="127" t="s">
        <v>341</v>
      </c>
      <c r="E376" s="168" t="s">
        <v>931</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984</v>
      </c>
      <c r="E408" s="134" t="s">
        <v>985</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987</v>
      </c>
      <c r="E435" s="140" t="s">
        <v>997</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988</v>
      </c>
      <c r="B2" s="94" t="s">
        <v>0</v>
      </c>
      <c r="C2" s="95" t="s">
        <v>991</v>
      </c>
      <c r="D2" s="95">
        <v>43375</v>
      </c>
      <c r="E2" s="96">
        <v>43376</v>
      </c>
      <c r="F2" s="95">
        <v>43375</v>
      </c>
      <c r="G2" s="95">
        <v>43379</v>
      </c>
      <c r="H2" s="92">
        <v>1</v>
      </c>
    </row>
    <row r="3" spans="1:8">
      <c r="A3" s="93" t="s">
        <v>449</v>
      </c>
      <c r="B3" s="94" t="s">
        <v>427</v>
      </c>
      <c r="C3" s="95" t="s">
        <v>991</v>
      </c>
      <c r="D3" s="95">
        <v>43379</v>
      </c>
      <c r="E3" s="96">
        <v>43385</v>
      </c>
      <c r="F3" s="95">
        <v>43375</v>
      </c>
      <c r="G3" s="95">
        <v>43379</v>
      </c>
      <c r="H3" s="92">
        <v>0</v>
      </c>
    </row>
    <row r="4" spans="1:8">
      <c r="A4" s="93" t="s">
        <v>449</v>
      </c>
      <c r="B4" s="94" t="s">
        <v>427</v>
      </c>
      <c r="C4" s="95" t="s">
        <v>989</v>
      </c>
      <c r="D4" s="95">
        <v>43379</v>
      </c>
      <c r="E4" s="96">
        <v>43385</v>
      </c>
      <c r="F4" s="95">
        <v>43375</v>
      </c>
      <c r="G4" s="95">
        <v>43379</v>
      </c>
      <c r="H4" s="92">
        <v>0</v>
      </c>
    </row>
    <row r="5" spans="1:8">
      <c r="A5" s="93" t="s">
        <v>449</v>
      </c>
      <c r="B5" s="94" t="s">
        <v>427</v>
      </c>
      <c r="C5" s="95" t="s">
        <v>1043</v>
      </c>
      <c r="D5" s="95">
        <v>43379</v>
      </c>
      <c r="E5" s="96">
        <v>43385</v>
      </c>
      <c r="F5" s="95">
        <v>43375</v>
      </c>
      <c r="G5" s="95">
        <v>43379</v>
      </c>
      <c r="H5" s="92">
        <v>0</v>
      </c>
    </row>
    <row r="6" spans="1:8">
      <c r="A6" s="93" t="s">
        <v>449</v>
      </c>
      <c r="B6" s="94" t="s">
        <v>427</v>
      </c>
      <c r="C6" s="95" t="s">
        <v>991</v>
      </c>
      <c r="D6" s="95">
        <v>43379</v>
      </c>
      <c r="E6" s="96">
        <v>43385</v>
      </c>
      <c r="F6" s="95">
        <v>43380</v>
      </c>
      <c r="G6" s="95">
        <v>43386</v>
      </c>
      <c r="H6" s="92">
        <v>1.3333333333333333</v>
      </c>
    </row>
    <row r="7" spans="1:8">
      <c r="A7" s="93" t="s">
        <v>449</v>
      </c>
      <c r="B7" s="94" t="s">
        <v>427</v>
      </c>
      <c r="C7" s="95" t="s">
        <v>989</v>
      </c>
      <c r="D7" s="95">
        <v>43379</v>
      </c>
      <c r="E7" s="96">
        <v>43385</v>
      </c>
      <c r="F7" s="95">
        <v>43380</v>
      </c>
      <c r="G7" s="95">
        <v>43386</v>
      </c>
      <c r="H7" s="92">
        <v>1.3333333333333333</v>
      </c>
    </row>
    <row r="8" spans="1:8">
      <c r="A8" s="93" t="s">
        <v>449</v>
      </c>
      <c r="B8" s="94" t="s">
        <v>427</v>
      </c>
      <c r="C8" s="95" t="s">
        <v>1043</v>
      </c>
      <c r="D8" s="95">
        <v>43379</v>
      </c>
      <c r="E8" s="96">
        <v>43385</v>
      </c>
      <c r="F8" s="95">
        <v>43380</v>
      </c>
      <c r="G8" s="95">
        <v>43386</v>
      </c>
      <c r="H8" s="92">
        <v>1.3333333333333333</v>
      </c>
    </row>
    <row r="9" spans="1:8">
      <c r="A9" s="93" t="s">
        <v>450</v>
      </c>
      <c r="B9" s="94" t="s">
        <v>438</v>
      </c>
      <c r="C9" s="95" t="s">
        <v>991</v>
      </c>
      <c r="D9" s="95">
        <v>43397</v>
      </c>
      <c r="E9" s="96">
        <v>43397</v>
      </c>
      <c r="F9" s="95">
        <v>43394</v>
      </c>
      <c r="G9" s="95">
        <v>43400</v>
      </c>
      <c r="H9" s="92">
        <v>1</v>
      </c>
    </row>
    <row r="10" spans="1:8">
      <c r="A10" s="93" t="s">
        <v>431</v>
      </c>
      <c r="B10" s="94" t="s">
        <v>439</v>
      </c>
      <c r="C10" s="95" t="s">
        <v>989</v>
      </c>
      <c r="D10" s="95">
        <v>43400</v>
      </c>
      <c r="E10" s="96">
        <v>43404</v>
      </c>
      <c r="F10" s="95">
        <v>43394</v>
      </c>
      <c r="G10" s="95">
        <v>43400</v>
      </c>
      <c r="H10" s="92">
        <v>0</v>
      </c>
    </row>
    <row r="11" spans="1:8">
      <c r="A11" s="93" t="s">
        <v>431</v>
      </c>
      <c r="B11" s="94" t="s">
        <v>439</v>
      </c>
      <c r="C11" s="95" t="s">
        <v>989</v>
      </c>
      <c r="D11" s="95">
        <v>43400</v>
      </c>
      <c r="E11" s="96">
        <v>43404</v>
      </c>
      <c r="F11" s="95">
        <v>43401</v>
      </c>
      <c r="G11" s="95">
        <v>43407</v>
      </c>
      <c r="H11" s="92">
        <v>3</v>
      </c>
    </row>
    <row r="12" spans="1:8">
      <c r="A12" s="93" t="s">
        <v>432</v>
      </c>
      <c r="B12" s="94" t="s">
        <v>440</v>
      </c>
      <c r="C12" s="95" t="s">
        <v>989</v>
      </c>
      <c r="D12" s="95">
        <v>43432</v>
      </c>
      <c r="E12" s="96">
        <v>43432</v>
      </c>
      <c r="F12" s="95">
        <v>43429</v>
      </c>
      <c r="G12" s="95">
        <v>43435</v>
      </c>
      <c r="H12" s="92">
        <v>1</v>
      </c>
    </row>
    <row r="13" spans="1:8">
      <c r="A13" s="93" t="s">
        <v>433</v>
      </c>
      <c r="B13" s="94" t="s">
        <v>441</v>
      </c>
      <c r="C13" s="95" t="s">
        <v>1089</v>
      </c>
      <c r="D13" s="95">
        <v>43468</v>
      </c>
      <c r="E13" s="96">
        <v>43493</v>
      </c>
      <c r="F13" s="95">
        <v>43464</v>
      </c>
      <c r="G13" s="95">
        <v>43470</v>
      </c>
      <c r="H13" s="92">
        <v>2</v>
      </c>
    </row>
    <row r="14" spans="1:8">
      <c r="A14" s="93" t="s">
        <v>433</v>
      </c>
      <c r="B14" s="94" t="s">
        <v>441</v>
      </c>
      <c r="C14" s="95" t="s">
        <v>1089</v>
      </c>
      <c r="D14" s="95">
        <v>43468</v>
      </c>
      <c r="E14" s="96">
        <v>43493</v>
      </c>
      <c r="F14" s="95">
        <v>43471</v>
      </c>
      <c r="G14" s="95">
        <v>43477</v>
      </c>
      <c r="H14" s="92">
        <v>5</v>
      </c>
    </row>
    <row r="15" spans="1:8">
      <c r="A15" s="93" t="s">
        <v>433</v>
      </c>
      <c r="B15" s="94" t="s">
        <v>441</v>
      </c>
      <c r="C15" s="95" t="s">
        <v>1089</v>
      </c>
      <c r="D15" s="95">
        <v>43468</v>
      </c>
      <c r="E15" s="96">
        <v>43493</v>
      </c>
      <c r="F15" s="95">
        <v>43478</v>
      </c>
      <c r="G15" s="95">
        <v>43484</v>
      </c>
      <c r="H15" s="92">
        <v>5</v>
      </c>
    </row>
    <row r="16" spans="1:8">
      <c r="A16" s="93" t="s">
        <v>433</v>
      </c>
      <c r="B16" s="94" t="s">
        <v>441</v>
      </c>
      <c r="C16" s="95" t="s">
        <v>1089</v>
      </c>
      <c r="D16" s="95">
        <v>43468</v>
      </c>
      <c r="E16" s="96">
        <v>43493</v>
      </c>
      <c r="F16" s="95">
        <v>43485</v>
      </c>
      <c r="G16" s="95">
        <v>43491</v>
      </c>
      <c r="H16" s="92">
        <v>5</v>
      </c>
    </row>
    <row r="17" spans="1:8">
      <c r="A17" s="93" t="s">
        <v>433</v>
      </c>
      <c r="B17" s="94" t="s">
        <v>441</v>
      </c>
      <c r="C17" s="95" t="s">
        <v>1089</v>
      </c>
      <c r="D17" s="95">
        <v>43468</v>
      </c>
      <c r="E17" s="96">
        <v>43493</v>
      </c>
      <c r="F17" s="95">
        <v>43492</v>
      </c>
      <c r="G17" s="95">
        <v>43498</v>
      </c>
      <c r="H17" s="92">
        <v>1</v>
      </c>
    </row>
    <row r="18" spans="1:8">
      <c r="A18" s="93" t="s">
        <v>434</v>
      </c>
      <c r="B18" s="94" t="s">
        <v>998</v>
      </c>
      <c r="C18" s="95" t="s">
        <v>1089</v>
      </c>
      <c r="D18" s="95">
        <v>43397</v>
      </c>
      <c r="E18" s="96">
        <v>43397</v>
      </c>
      <c r="F18" s="95">
        <v>43394</v>
      </c>
      <c r="G18" s="95">
        <v>43400</v>
      </c>
      <c r="H18" s="92">
        <v>1</v>
      </c>
    </row>
    <row r="19" spans="1:8">
      <c r="A19" s="93" t="s">
        <v>435</v>
      </c>
      <c r="B19" s="94" t="s">
        <v>442</v>
      </c>
      <c r="C19" s="95" t="s">
        <v>991</v>
      </c>
      <c r="D19" s="95">
        <v>43501</v>
      </c>
      <c r="E19" s="96">
        <v>43505</v>
      </c>
      <c r="F19" s="95">
        <v>43499</v>
      </c>
      <c r="G19" s="95">
        <v>43505</v>
      </c>
      <c r="H19" s="92">
        <v>2</v>
      </c>
    </row>
    <row r="20" spans="1:8">
      <c r="A20" s="93" t="s">
        <v>436</v>
      </c>
      <c r="B20" s="94" t="s">
        <v>443</v>
      </c>
      <c r="C20" s="95" t="s">
        <v>991</v>
      </c>
      <c r="D20" s="95">
        <v>43508</v>
      </c>
      <c r="E20" s="96">
        <v>43526</v>
      </c>
      <c r="F20" s="95">
        <v>43506</v>
      </c>
      <c r="G20" s="95">
        <v>43512</v>
      </c>
      <c r="H20" s="92">
        <v>4</v>
      </c>
    </row>
    <row r="21" spans="1:8">
      <c r="A21" s="93" t="s">
        <v>436</v>
      </c>
      <c r="B21" s="94" t="s">
        <v>443</v>
      </c>
      <c r="C21" s="95" t="s">
        <v>991</v>
      </c>
      <c r="D21" s="95">
        <v>43508</v>
      </c>
      <c r="E21" s="96">
        <v>43526</v>
      </c>
      <c r="F21" s="95">
        <v>43513</v>
      </c>
      <c r="G21" s="95">
        <v>43519</v>
      </c>
      <c r="H21" s="92">
        <v>5</v>
      </c>
    </row>
    <row r="22" spans="1:8">
      <c r="A22" s="93" t="s">
        <v>436</v>
      </c>
      <c r="B22" s="94" t="s">
        <v>443</v>
      </c>
      <c r="C22" s="95" t="s">
        <v>991</v>
      </c>
      <c r="D22" s="95">
        <v>43508</v>
      </c>
      <c r="E22" s="96">
        <v>43526</v>
      </c>
      <c r="F22" s="95">
        <v>43520</v>
      </c>
      <c r="G22" s="95">
        <v>43526</v>
      </c>
      <c r="H22" s="92">
        <v>4</v>
      </c>
    </row>
    <row r="23" spans="1:8">
      <c r="A23" s="93" t="s">
        <v>437</v>
      </c>
      <c r="B23" s="94" t="s">
        <v>444</v>
      </c>
      <c r="C23" s="95" t="s">
        <v>991</v>
      </c>
      <c r="D23" s="95">
        <v>43526</v>
      </c>
      <c r="E23" s="96">
        <v>43526</v>
      </c>
      <c r="F23" s="95">
        <v>43520</v>
      </c>
      <c r="G23" s="95">
        <v>43526</v>
      </c>
      <c r="H23" s="92">
        <v>0</v>
      </c>
    </row>
    <row r="24" spans="1:8">
      <c r="A24" s="93" t="s">
        <v>451</v>
      </c>
      <c r="B24" s="94" t="s">
        <v>445</v>
      </c>
      <c r="C24" s="95" t="s">
        <v>991</v>
      </c>
      <c r="D24" s="95">
        <v>43526</v>
      </c>
      <c r="E24" s="96">
        <v>43526</v>
      </c>
      <c r="F24" s="95">
        <v>43520</v>
      </c>
      <c r="G24" s="95">
        <v>43526</v>
      </c>
      <c r="H24" s="92">
        <v>0</v>
      </c>
    </row>
    <row r="25" spans="1:8">
      <c r="A25" s="93" t="s">
        <v>992</v>
      </c>
      <c r="B25" s="94" t="s">
        <v>446</v>
      </c>
      <c r="C25" s="95" t="s">
        <v>1044</v>
      </c>
      <c r="D25" s="95">
        <v>43379</v>
      </c>
      <c r="E25" s="96">
        <v>43397</v>
      </c>
      <c r="F25" s="95">
        <v>43375</v>
      </c>
      <c r="G25" s="95">
        <v>43379</v>
      </c>
      <c r="H25" s="92">
        <v>0</v>
      </c>
    </row>
    <row r="26" spans="1:8">
      <c r="A26" s="93" t="s">
        <v>992</v>
      </c>
      <c r="B26" s="94" t="s">
        <v>446</v>
      </c>
      <c r="C26" s="95" t="s">
        <v>1036</v>
      </c>
      <c r="D26" s="95">
        <v>43379</v>
      </c>
      <c r="E26" s="96">
        <v>43397</v>
      </c>
      <c r="F26" s="95">
        <v>43375</v>
      </c>
      <c r="G26" s="95">
        <v>43379</v>
      </c>
      <c r="H26" s="92">
        <v>0</v>
      </c>
    </row>
    <row r="27" spans="1:8">
      <c r="A27" s="93" t="s">
        <v>992</v>
      </c>
      <c r="B27" s="94" t="s">
        <v>446</v>
      </c>
      <c r="C27" s="95" t="s">
        <v>1045</v>
      </c>
      <c r="D27" s="95">
        <v>43379</v>
      </c>
      <c r="E27" s="96">
        <v>43397</v>
      </c>
      <c r="F27" s="95">
        <v>43375</v>
      </c>
      <c r="G27" s="95">
        <v>43379</v>
      </c>
      <c r="H27" s="92">
        <v>0</v>
      </c>
    </row>
    <row r="28" spans="1:8">
      <c r="A28" s="93" t="s">
        <v>992</v>
      </c>
      <c r="B28" s="94" t="s">
        <v>446</v>
      </c>
      <c r="C28" s="95" t="s">
        <v>1044</v>
      </c>
      <c r="D28" s="95">
        <v>43379</v>
      </c>
      <c r="E28" s="96">
        <v>43397</v>
      </c>
      <c r="F28" s="95">
        <v>43380</v>
      </c>
      <c r="G28" s="95">
        <v>43386</v>
      </c>
      <c r="H28" s="92">
        <v>1.3333333333333333</v>
      </c>
    </row>
    <row r="29" spans="1:8">
      <c r="A29" s="93" t="s">
        <v>992</v>
      </c>
      <c r="B29" s="94" t="s">
        <v>446</v>
      </c>
      <c r="C29" s="95" t="s">
        <v>1036</v>
      </c>
      <c r="D29" s="95">
        <v>43379</v>
      </c>
      <c r="E29" s="96">
        <v>43397</v>
      </c>
      <c r="F29" s="95">
        <v>43380</v>
      </c>
      <c r="G29" s="95">
        <v>43386</v>
      </c>
      <c r="H29" s="92">
        <v>1.3333333333333333</v>
      </c>
    </row>
    <row r="30" spans="1:8">
      <c r="A30" s="93" t="s">
        <v>992</v>
      </c>
      <c r="B30" s="94" t="s">
        <v>446</v>
      </c>
      <c r="C30" s="95" t="s">
        <v>1045</v>
      </c>
      <c r="D30" s="95">
        <v>43379</v>
      </c>
      <c r="E30" s="96">
        <v>43397</v>
      </c>
      <c r="F30" s="95">
        <v>43380</v>
      </c>
      <c r="G30" s="95">
        <v>43386</v>
      </c>
      <c r="H30" s="92">
        <v>1.3333333333333333</v>
      </c>
    </row>
    <row r="31" spans="1:8">
      <c r="A31" s="93" t="s">
        <v>992</v>
      </c>
      <c r="B31" s="94" t="s">
        <v>446</v>
      </c>
      <c r="C31" s="95" t="s">
        <v>1044</v>
      </c>
      <c r="D31" s="95">
        <v>43379</v>
      </c>
      <c r="E31" s="96">
        <v>43397</v>
      </c>
      <c r="F31" s="95">
        <v>43387</v>
      </c>
      <c r="G31" s="95">
        <v>43393</v>
      </c>
      <c r="H31" s="92">
        <v>1.6666666666666667</v>
      </c>
    </row>
    <row r="32" spans="1:8">
      <c r="A32" s="93" t="s">
        <v>992</v>
      </c>
      <c r="B32" s="94" t="s">
        <v>446</v>
      </c>
      <c r="C32" s="95" t="s">
        <v>1036</v>
      </c>
      <c r="D32" s="95">
        <v>43379</v>
      </c>
      <c r="E32" s="96">
        <v>43397</v>
      </c>
      <c r="F32" s="95">
        <v>43387</v>
      </c>
      <c r="G32" s="95">
        <v>43393</v>
      </c>
      <c r="H32" s="92">
        <v>1.6666666666666667</v>
      </c>
    </row>
    <row r="33" spans="1:8">
      <c r="A33" s="93" t="s">
        <v>992</v>
      </c>
      <c r="B33" s="94" t="s">
        <v>446</v>
      </c>
      <c r="C33" s="95" t="s">
        <v>1045</v>
      </c>
      <c r="D33" s="95">
        <v>43379</v>
      </c>
      <c r="E33" s="96">
        <v>43397</v>
      </c>
      <c r="F33" s="95">
        <v>43387</v>
      </c>
      <c r="G33" s="95">
        <v>43393</v>
      </c>
      <c r="H33" s="92">
        <v>1.6666666666666667</v>
      </c>
    </row>
    <row r="34" spans="1:8">
      <c r="A34" s="93" t="s">
        <v>992</v>
      </c>
      <c r="B34" s="94" t="s">
        <v>446</v>
      </c>
      <c r="C34" s="95" t="s">
        <v>1044</v>
      </c>
      <c r="D34" s="95">
        <v>43379</v>
      </c>
      <c r="E34" s="96">
        <v>43397</v>
      </c>
      <c r="F34" s="95">
        <v>43394</v>
      </c>
      <c r="G34" s="95">
        <v>43400</v>
      </c>
      <c r="H34" s="92">
        <v>1</v>
      </c>
    </row>
    <row r="35" spans="1:8">
      <c r="A35" s="93" t="s">
        <v>992</v>
      </c>
      <c r="B35" s="94" t="s">
        <v>446</v>
      </c>
      <c r="C35" s="95" t="s">
        <v>1036</v>
      </c>
      <c r="D35" s="95">
        <v>43379</v>
      </c>
      <c r="E35" s="96">
        <v>43397</v>
      </c>
      <c r="F35" s="95">
        <v>43394</v>
      </c>
      <c r="G35" s="95">
        <v>43400</v>
      </c>
      <c r="H35" s="92">
        <v>1</v>
      </c>
    </row>
    <row r="36" spans="1:8">
      <c r="A36" s="93" t="s">
        <v>992</v>
      </c>
      <c r="B36" s="94" t="s">
        <v>446</v>
      </c>
      <c r="C36" s="95" t="s">
        <v>1045</v>
      </c>
      <c r="D36" s="95">
        <v>43379</v>
      </c>
      <c r="E36" s="96">
        <v>43397</v>
      </c>
      <c r="F36" s="95">
        <v>43394</v>
      </c>
      <c r="G36" s="95">
        <v>43400</v>
      </c>
      <c r="H36" s="92">
        <v>1</v>
      </c>
    </row>
    <row r="37" spans="1:8">
      <c r="A37" s="93" t="s">
        <v>993</v>
      </c>
      <c r="B37" s="94" t="s">
        <v>447</v>
      </c>
      <c r="C37" s="95" t="s">
        <v>1036</v>
      </c>
      <c r="D37" s="95">
        <v>43385</v>
      </c>
      <c r="E37" s="96">
        <v>43396</v>
      </c>
      <c r="F37" s="95">
        <v>43380</v>
      </c>
      <c r="G37" s="95">
        <v>43386</v>
      </c>
      <c r="H37" s="92">
        <v>1</v>
      </c>
    </row>
    <row r="38" spans="1:8">
      <c r="A38" s="93" t="s">
        <v>993</v>
      </c>
      <c r="B38" s="94" t="s">
        <v>447</v>
      </c>
      <c r="C38" s="95" t="s">
        <v>1036</v>
      </c>
      <c r="D38" s="95">
        <v>43385</v>
      </c>
      <c r="E38" s="96">
        <v>43396</v>
      </c>
      <c r="F38" s="95">
        <v>43387</v>
      </c>
      <c r="G38" s="95">
        <v>43393</v>
      </c>
      <c r="H38" s="92">
        <v>5</v>
      </c>
    </row>
    <row r="39" spans="1:8">
      <c r="A39" s="93" t="s">
        <v>993</v>
      </c>
      <c r="B39" s="94" t="s">
        <v>447</v>
      </c>
      <c r="C39" s="95" t="s">
        <v>1036</v>
      </c>
      <c r="D39" s="95">
        <v>43385</v>
      </c>
      <c r="E39" s="96">
        <v>43396</v>
      </c>
      <c r="F39" s="95">
        <v>43394</v>
      </c>
      <c r="G39" s="95">
        <v>43400</v>
      </c>
      <c r="H39" s="92">
        <v>2</v>
      </c>
    </row>
    <row r="40" spans="1:8">
      <c r="A40" s="93" t="s">
        <v>994</v>
      </c>
      <c r="B40" s="94" t="s">
        <v>448</v>
      </c>
      <c r="C40" s="95" t="s">
        <v>1036</v>
      </c>
      <c r="D40" s="95">
        <v>43385</v>
      </c>
      <c r="E40" s="96">
        <v>43396</v>
      </c>
      <c r="F40" s="95">
        <v>43380</v>
      </c>
      <c r="G40" s="95">
        <v>43386</v>
      </c>
      <c r="H40" s="92">
        <v>1</v>
      </c>
    </row>
    <row r="41" spans="1:8">
      <c r="A41" s="93" t="s">
        <v>994</v>
      </c>
      <c r="B41" s="94" t="s">
        <v>448</v>
      </c>
      <c r="C41" s="95" t="s">
        <v>1036</v>
      </c>
      <c r="D41" s="95">
        <v>43385</v>
      </c>
      <c r="E41" s="96">
        <v>43396</v>
      </c>
      <c r="F41" s="95">
        <v>43387</v>
      </c>
      <c r="G41" s="95">
        <v>43393</v>
      </c>
      <c r="H41" s="92">
        <v>5</v>
      </c>
    </row>
    <row r="42" spans="1:8">
      <c r="A42" s="93" t="s">
        <v>994</v>
      </c>
      <c r="B42" s="94" t="s">
        <v>448</v>
      </c>
      <c r="C42" s="95" t="s">
        <v>1036</v>
      </c>
      <c r="D42" s="95">
        <v>43385</v>
      </c>
      <c r="E42" s="96">
        <v>43396</v>
      </c>
      <c r="F42" s="95">
        <v>43394</v>
      </c>
      <c r="G42" s="95">
        <v>43400</v>
      </c>
      <c r="H42" s="92">
        <v>2</v>
      </c>
    </row>
    <row r="43" spans="1:8">
      <c r="A43" s="93" t="s">
        <v>995</v>
      </c>
      <c r="B43" s="94" t="s">
        <v>999</v>
      </c>
      <c r="C43" s="95" t="s">
        <v>1037</v>
      </c>
      <c r="D43" s="95">
        <v>43399</v>
      </c>
      <c r="E43" s="96">
        <v>43417</v>
      </c>
      <c r="F43" s="95">
        <v>43394</v>
      </c>
      <c r="G43" s="95">
        <v>43400</v>
      </c>
      <c r="H43" s="92">
        <v>1</v>
      </c>
    </row>
    <row r="44" spans="1:8">
      <c r="A44" s="93" t="s">
        <v>995</v>
      </c>
      <c r="B44" s="94" t="s">
        <v>999</v>
      </c>
      <c r="C44" s="95" t="s">
        <v>1037</v>
      </c>
      <c r="D44" s="95">
        <v>43399</v>
      </c>
      <c r="E44" s="96">
        <v>43417</v>
      </c>
      <c r="F44" s="95">
        <v>43401</v>
      </c>
      <c r="G44" s="95">
        <v>43407</v>
      </c>
      <c r="H44" s="92">
        <v>5</v>
      </c>
    </row>
    <row r="45" spans="1:8">
      <c r="A45" s="93" t="s">
        <v>995</v>
      </c>
      <c r="B45" s="94" t="s">
        <v>999</v>
      </c>
      <c r="C45" s="95" t="s">
        <v>1037</v>
      </c>
      <c r="D45" s="95">
        <v>43399</v>
      </c>
      <c r="E45" s="96">
        <v>43417</v>
      </c>
      <c r="F45" s="95">
        <v>43408</v>
      </c>
      <c r="G45" s="95">
        <v>43414</v>
      </c>
      <c r="H45" s="92">
        <v>5</v>
      </c>
    </row>
    <row r="46" spans="1:8">
      <c r="A46" s="93" t="s">
        <v>995</v>
      </c>
      <c r="B46" s="94" t="s">
        <v>999</v>
      </c>
      <c r="C46" s="95" t="s">
        <v>1037</v>
      </c>
      <c r="D46" s="95">
        <v>43399</v>
      </c>
      <c r="E46" s="96">
        <v>43417</v>
      </c>
      <c r="F46" s="95">
        <v>43415</v>
      </c>
      <c r="G46" s="95">
        <v>43421</v>
      </c>
      <c r="H46" s="92">
        <v>2</v>
      </c>
    </row>
    <row r="47" spans="1:8">
      <c r="A47" s="93" t="s">
        <v>1000</v>
      </c>
      <c r="B47" s="94" t="s">
        <v>1001</v>
      </c>
      <c r="C47" s="95" t="s">
        <v>1038</v>
      </c>
      <c r="D47" s="95">
        <v>43406</v>
      </c>
      <c r="E47" s="96">
        <v>43417</v>
      </c>
      <c r="F47" s="95">
        <v>43401</v>
      </c>
      <c r="G47" s="95">
        <v>43407</v>
      </c>
      <c r="H47" s="92">
        <v>1</v>
      </c>
    </row>
    <row r="48" spans="1:8">
      <c r="A48" s="93" t="s">
        <v>1000</v>
      </c>
      <c r="B48" s="94" t="s">
        <v>1001</v>
      </c>
      <c r="C48" s="95" t="s">
        <v>1038</v>
      </c>
      <c r="D48" s="95">
        <v>43406</v>
      </c>
      <c r="E48" s="96">
        <v>43417</v>
      </c>
      <c r="F48" s="95">
        <v>43408</v>
      </c>
      <c r="G48" s="95">
        <v>43414</v>
      </c>
      <c r="H48" s="92">
        <v>5</v>
      </c>
    </row>
    <row r="49" spans="1:8">
      <c r="A49" s="93" t="s">
        <v>1000</v>
      </c>
      <c r="B49" s="94" t="s">
        <v>1001</v>
      </c>
      <c r="C49" s="95" t="s">
        <v>1038</v>
      </c>
      <c r="D49" s="95">
        <v>43406</v>
      </c>
      <c r="E49" s="96">
        <v>43417</v>
      </c>
      <c r="F49" s="95">
        <v>43415</v>
      </c>
      <c r="G49" s="95">
        <v>43421</v>
      </c>
      <c r="H49" s="92">
        <v>2</v>
      </c>
    </row>
    <row r="50" spans="1:8">
      <c r="A50" s="93" t="s">
        <v>1002</v>
      </c>
      <c r="B50" s="94" t="s">
        <v>1003</v>
      </c>
      <c r="C50" s="95" t="s">
        <v>1039</v>
      </c>
      <c r="D50" s="95">
        <v>43413</v>
      </c>
      <c r="E50" s="96">
        <v>43424</v>
      </c>
      <c r="F50" s="95">
        <v>43408</v>
      </c>
      <c r="G50" s="95">
        <v>43414</v>
      </c>
      <c r="H50" s="92">
        <v>1</v>
      </c>
    </row>
    <row r="51" spans="1:8">
      <c r="A51" s="93" t="s">
        <v>1002</v>
      </c>
      <c r="B51" s="94" t="s">
        <v>1003</v>
      </c>
      <c r="C51" s="95" t="s">
        <v>1039</v>
      </c>
      <c r="D51" s="95">
        <v>43413</v>
      </c>
      <c r="E51" s="96">
        <v>43424</v>
      </c>
      <c r="F51" s="95">
        <v>43415</v>
      </c>
      <c r="G51" s="95">
        <v>43421</v>
      </c>
      <c r="H51" s="92">
        <v>5</v>
      </c>
    </row>
    <row r="52" spans="1:8">
      <c r="A52" s="93" t="s">
        <v>1002</v>
      </c>
      <c r="B52" s="94" t="s">
        <v>1003</v>
      </c>
      <c r="C52" s="95" t="s">
        <v>1039</v>
      </c>
      <c r="D52" s="95">
        <v>43413</v>
      </c>
      <c r="E52" s="96">
        <v>43424</v>
      </c>
      <c r="F52" s="95">
        <v>43422</v>
      </c>
      <c r="G52" s="95">
        <v>43428</v>
      </c>
      <c r="H52" s="92">
        <v>2</v>
      </c>
    </row>
    <row r="53" spans="1:8">
      <c r="A53" s="93" t="s">
        <v>1004</v>
      </c>
      <c r="B53" s="94" t="s">
        <v>1005</v>
      </c>
      <c r="C53" s="95" t="s">
        <v>1040</v>
      </c>
      <c r="D53" s="95">
        <v>43413</v>
      </c>
      <c r="E53" s="96">
        <v>43431</v>
      </c>
      <c r="F53" s="95">
        <v>43408</v>
      </c>
      <c r="G53" s="95">
        <v>43414</v>
      </c>
      <c r="H53" s="92">
        <v>1</v>
      </c>
    </row>
    <row r="54" spans="1:8">
      <c r="A54" s="93" t="s">
        <v>1004</v>
      </c>
      <c r="B54" s="94" t="s">
        <v>1005</v>
      </c>
      <c r="C54" s="95" t="s">
        <v>1040</v>
      </c>
      <c r="D54" s="95">
        <v>43413</v>
      </c>
      <c r="E54" s="96">
        <v>43431</v>
      </c>
      <c r="F54" s="95">
        <v>43415</v>
      </c>
      <c r="G54" s="95">
        <v>43421</v>
      </c>
      <c r="H54" s="92">
        <v>5</v>
      </c>
    </row>
    <row r="55" spans="1:8">
      <c r="A55" s="93" t="s">
        <v>1004</v>
      </c>
      <c r="B55" s="94" t="s">
        <v>1005</v>
      </c>
      <c r="C55" s="95" t="s">
        <v>1040</v>
      </c>
      <c r="D55" s="95">
        <v>43413</v>
      </c>
      <c r="E55" s="96">
        <v>43431</v>
      </c>
      <c r="F55" s="95">
        <v>43422</v>
      </c>
      <c r="G55" s="95">
        <v>43428</v>
      </c>
      <c r="H55" s="92">
        <v>5</v>
      </c>
    </row>
    <row r="56" spans="1:8">
      <c r="A56" s="93" t="s">
        <v>1004</v>
      </c>
      <c r="B56" s="94" t="s">
        <v>1005</v>
      </c>
      <c r="C56" s="95" t="s">
        <v>1040</v>
      </c>
      <c r="D56" s="95">
        <v>43413</v>
      </c>
      <c r="E56" s="96">
        <v>43431</v>
      </c>
      <c r="F56" s="95">
        <v>43429</v>
      </c>
      <c r="G56" s="95">
        <v>43435</v>
      </c>
      <c r="H56" s="92">
        <v>2</v>
      </c>
    </row>
    <row r="57" spans="1:8">
      <c r="A57" s="93" t="s">
        <v>996</v>
      </c>
      <c r="B57" s="94" t="s">
        <v>1006</v>
      </c>
      <c r="C57" s="95" t="s">
        <v>1040</v>
      </c>
      <c r="D57" s="95">
        <v>43434</v>
      </c>
      <c r="E57" s="96">
        <v>43438</v>
      </c>
      <c r="F57" s="95">
        <v>43429</v>
      </c>
      <c r="G57" s="95">
        <v>43435</v>
      </c>
      <c r="H57" s="92">
        <v>1</v>
      </c>
    </row>
    <row r="58" spans="1:8">
      <c r="A58" s="93" t="s">
        <v>996</v>
      </c>
      <c r="B58" s="94" t="s">
        <v>1006</v>
      </c>
      <c r="C58" s="95" t="s">
        <v>1040</v>
      </c>
      <c r="D58" s="95">
        <v>43434</v>
      </c>
      <c r="E58" s="96">
        <v>43438</v>
      </c>
      <c r="F58" s="95">
        <v>43436</v>
      </c>
      <c r="G58" s="95">
        <v>43442</v>
      </c>
      <c r="H58" s="92">
        <v>2</v>
      </c>
    </row>
    <row r="59" spans="1:8">
      <c r="A59" s="93" t="s">
        <v>1007</v>
      </c>
      <c r="B59" s="94" t="s">
        <v>1008</v>
      </c>
      <c r="C59" s="95" t="s">
        <v>1040</v>
      </c>
      <c r="D59" s="95">
        <v>43434</v>
      </c>
      <c r="E59" s="96">
        <v>43438</v>
      </c>
      <c r="F59" s="95">
        <v>43429</v>
      </c>
      <c r="G59" s="95">
        <v>43435</v>
      </c>
      <c r="H59" s="92">
        <v>1</v>
      </c>
    </row>
    <row r="60" spans="1:8">
      <c r="A60" s="93" t="s">
        <v>1007</v>
      </c>
      <c r="B60" s="94" t="s">
        <v>1008</v>
      </c>
      <c r="C60" s="95" t="s">
        <v>1040</v>
      </c>
      <c r="D60" s="95">
        <v>43434</v>
      </c>
      <c r="E60" s="96">
        <v>43438</v>
      </c>
      <c r="F60" s="95">
        <v>43436</v>
      </c>
      <c r="G60" s="95">
        <v>43442</v>
      </c>
      <c r="H60" s="92">
        <v>2</v>
      </c>
    </row>
    <row r="61" spans="1:8">
      <c r="A61" s="93" t="s">
        <v>1009</v>
      </c>
      <c r="B61" s="94" t="s">
        <v>1010</v>
      </c>
      <c r="C61" s="95" t="s">
        <v>1041</v>
      </c>
      <c r="D61" s="95">
        <v>43434</v>
      </c>
      <c r="E61" s="96">
        <v>43438</v>
      </c>
      <c r="F61" s="95">
        <v>43429</v>
      </c>
      <c r="G61" s="95">
        <v>43435</v>
      </c>
      <c r="H61" s="92">
        <v>1</v>
      </c>
    </row>
    <row r="62" spans="1:8">
      <c r="A62" s="93" t="s">
        <v>1009</v>
      </c>
      <c r="B62" s="94" t="s">
        <v>1010</v>
      </c>
      <c r="C62" s="95" t="s">
        <v>1041</v>
      </c>
      <c r="D62" s="95">
        <v>43434</v>
      </c>
      <c r="E62" s="96">
        <v>43438</v>
      </c>
      <c r="F62" s="95">
        <v>43436</v>
      </c>
      <c r="G62" s="95">
        <v>43442</v>
      </c>
      <c r="H62" s="92">
        <v>2</v>
      </c>
    </row>
    <row r="63" spans="1:8">
      <c r="A63" s="93" t="s">
        <v>1011</v>
      </c>
      <c r="B63" s="94" t="s">
        <v>1012</v>
      </c>
      <c r="C63" s="95" t="s">
        <v>1042</v>
      </c>
      <c r="D63" s="95">
        <v>43441</v>
      </c>
      <c r="E63" s="96">
        <v>43445</v>
      </c>
      <c r="F63" s="95">
        <v>43436</v>
      </c>
      <c r="G63" s="95">
        <v>43442</v>
      </c>
      <c r="H63" s="92">
        <v>1</v>
      </c>
    </row>
    <row r="64" spans="1:8">
      <c r="A64" s="93" t="s">
        <v>1011</v>
      </c>
      <c r="B64" s="94" t="s">
        <v>1012</v>
      </c>
      <c r="C64" s="95" t="s">
        <v>1042</v>
      </c>
      <c r="D64" s="95">
        <v>43441</v>
      </c>
      <c r="E64" s="96">
        <v>43445</v>
      </c>
      <c r="F64" s="95">
        <v>43443</v>
      </c>
      <c r="G64" s="95">
        <v>43449</v>
      </c>
      <c r="H64" s="92">
        <v>2</v>
      </c>
    </row>
    <row r="65" spans="1:8">
      <c r="A65" s="93" t="s">
        <v>1013</v>
      </c>
      <c r="B65" s="94" t="s">
        <v>1014</v>
      </c>
      <c r="C65" s="95" t="s">
        <v>1042</v>
      </c>
      <c r="D65" s="95">
        <v>43441</v>
      </c>
      <c r="E65" s="96">
        <v>43452</v>
      </c>
      <c r="F65" s="95">
        <v>43436</v>
      </c>
      <c r="G65" s="95">
        <v>43442</v>
      </c>
      <c r="H65" s="92">
        <v>1</v>
      </c>
    </row>
    <row r="66" spans="1:8">
      <c r="A66" s="93" t="s">
        <v>1013</v>
      </c>
      <c r="B66" s="94" t="s">
        <v>1014</v>
      </c>
      <c r="C66" s="95" t="s">
        <v>1042</v>
      </c>
      <c r="D66" s="95">
        <v>43441</v>
      </c>
      <c r="E66" s="96">
        <v>43452</v>
      </c>
      <c r="F66" s="95">
        <v>43443</v>
      </c>
      <c r="G66" s="95">
        <v>43449</v>
      </c>
      <c r="H66" s="92">
        <v>5</v>
      </c>
    </row>
    <row r="67" spans="1:8">
      <c r="A67" s="93" t="s">
        <v>1013</v>
      </c>
      <c r="B67" s="94" t="s">
        <v>1014</v>
      </c>
      <c r="C67" s="95" t="s">
        <v>1042</v>
      </c>
      <c r="D67" s="95">
        <v>43441</v>
      </c>
      <c r="E67" s="96">
        <v>43452</v>
      </c>
      <c r="F67" s="95">
        <v>43450</v>
      </c>
      <c r="G67" s="95">
        <v>43456</v>
      </c>
      <c r="H67" s="92">
        <v>2</v>
      </c>
    </row>
    <row r="68" spans="1:8">
      <c r="A68" s="93" t="s">
        <v>1015</v>
      </c>
      <c r="B68" s="94" t="s">
        <v>1016</v>
      </c>
      <c r="C68" s="95" t="s">
        <v>1041</v>
      </c>
      <c r="D68" s="95">
        <v>43434</v>
      </c>
      <c r="E68" s="96">
        <v>43493</v>
      </c>
      <c r="F68" s="95">
        <v>43429</v>
      </c>
      <c r="G68" s="95">
        <v>43435</v>
      </c>
      <c r="H68" s="92">
        <v>0.5</v>
      </c>
    </row>
    <row r="69" spans="1:8">
      <c r="A69" s="93" t="s">
        <v>1015</v>
      </c>
      <c r="B69" s="94" t="s">
        <v>1016</v>
      </c>
      <c r="C69" s="95" t="s">
        <v>1042</v>
      </c>
      <c r="D69" s="95">
        <v>43434</v>
      </c>
      <c r="E69" s="96">
        <v>43493</v>
      </c>
      <c r="F69" s="95">
        <v>43429</v>
      </c>
      <c r="G69" s="95">
        <v>43435</v>
      </c>
      <c r="H69" s="92">
        <v>0.5</v>
      </c>
    </row>
    <row r="70" spans="1:8">
      <c r="A70" s="93" t="s">
        <v>1015</v>
      </c>
      <c r="B70" s="94" t="s">
        <v>1016</v>
      </c>
      <c r="C70" s="95" t="s">
        <v>1041</v>
      </c>
      <c r="D70" s="95">
        <v>43434</v>
      </c>
      <c r="E70" s="96">
        <v>43493</v>
      </c>
      <c r="F70" s="95">
        <v>43436</v>
      </c>
      <c r="G70" s="95">
        <v>43442</v>
      </c>
      <c r="H70" s="92">
        <v>2.5</v>
      </c>
    </row>
    <row r="71" spans="1:8">
      <c r="A71" s="93" t="s">
        <v>1015</v>
      </c>
      <c r="B71" s="94" t="s">
        <v>1016</v>
      </c>
      <c r="C71" s="95" t="s">
        <v>1042</v>
      </c>
      <c r="D71" s="95">
        <v>43434</v>
      </c>
      <c r="E71" s="96">
        <v>43493</v>
      </c>
      <c r="F71" s="95">
        <v>43436</v>
      </c>
      <c r="G71" s="95">
        <v>43442</v>
      </c>
      <c r="H71" s="92">
        <v>2.5</v>
      </c>
    </row>
    <row r="72" spans="1:8">
      <c r="A72" s="93" t="s">
        <v>1015</v>
      </c>
      <c r="B72" s="94" t="s">
        <v>1016</v>
      </c>
      <c r="C72" s="95" t="s">
        <v>1041</v>
      </c>
      <c r="D72" s="95">
        <v>43434</v>
      </c>
      <c r="E72" s="96">
        <v>43493</v>
      </c>
      <c r="F72" s="95">
        <v>43443</v>
      </c>
      <c r="G72" s="95">
        <v>43449</v>
      </c>
      <c r="H72" s="92">
        <v>2.5</v>
      </c>
    </row>
    <row r="73" spans="1:8">
      <c r="A73" s="93" t="s">
        <v>1015</v>
      </c>
      <c r="B73" s="94" t="s">
        <v>1016</v>
      </c>
      <c r="C73" s="95" t="s">
        <v>1042</v>
      </c>
      <c r="D73" s="95">
        <v>43434</v>
      </c>
      <c r="E73" s="96">
        <v>43493</v>
      </c>
      <c r="F73" s="95">
        <v>43443</v>
      </c>
      <c r="G73" s="95">
        <v>43449</v>
      </c>
      <c r="H73" s="92">
        <v>2.5</v>
      </c>
    </row>
    <row r="74" spans="1:8">
      <c r="A74" s="93" t="s">
        <v>1015</v>
      </c>
      <c r="B74" s="94" t="s">
        <v>1016</v>
      </c>
      <c r="C74" s="95" t="s">
        <v>1041</v>
      </c>
      <c r="D74" s="95">
        <v>43434</v>
      </c>
      <c r="E74" s="96">
        <v>43493</v>
      </c>
      <c r="F74" s="95">
        <v>43450</v>
      </c>
      <c r="G74" s="95">
        <v>43456</v>
      </c>
      <c r="H74" s="92">
        <v>2.5</v>
      </c>
    </row>
    <row r="75" spans="1:8">
      <c r="A75" s="93" t="s">
        <v>1015</v>
      </c>
      <c r="B75" s="94" t="s">
        <v>1016</v>
      </c>
      <c r="C75" s="95" t="s">
        <v>1042</v>
      </c>
      <c r="D75" s="95">
        <v>43434</v>
      </c>
      <c r="E75" s="96">
        <v>43493</v>
      </c>
      <c r="F75" s="95">
        <v>43450</v>
      </c>
      <c r="G75" s="95">
        <v>43456</v>
      </c>
      <c r="H75" s="92">
        <v>2.5</v>
      </c>
    </row>
    <row r="76" spans="1:8">
      <c r="A76" s="93" t="s">
        <v>1015</v>
      </c>
      <c r="B76" s="94" t="s">
        <v>1016</v>
      </c>
      <c r="C76" s="95" t="s">
        <v>1041</v>
      </c>
      <c r="D76" s="95">
        <v>43434</v>
      </c>
      <c r="E76" s="96">
        <v>43493</v>
      </c>
      <c r="F76" s="95">
        <v>43457</v>
      </c>
      <c r="G76" s="95">
        <v>43463</v>
      </c>
      <c r="H76" s="92">
        <v>2</v>
      </c>
    </row>
    <row r="77" spans="1:8">
      <c r="A77" s="93" t="s">
        <v>1015</v>
      </c>
      <c r="B77" s="94" t="s">
        <v>1016</v>
      </c>
      <c r="C77" s="95" t="s">
        <v>1042</v>
      </c>
      <c r="D77" s="95">
        <v>43434</v>
      </c>
      <c r="E77" s="96">
        <v>43493</v>
      </c>
      <c r="F77" s="95">
        <v>43457</v>
      </c>
      <c r="G77" s="95">
        <v>43463</v>
      </c>
      <c r="H77" s="92">
        <v>2</v>
      </c>
    </row>
    <row r="78" spans="1:8">
      <c r="A78" s="93" t="s">
        <v>1015</v>
      </c>
      <c r="B78" s="94" t="s">
        <v>1016</v>
      </c>
      <c r="C78" s="95" t="s">
        <v>1041</v>
      </c>
      <c r="D78" s="95">
        <v>43434</v>
      </c>
      <c r="E78" s="96">
        <v>43493</v>
      </c>
      <c r="F78" s="95">
        <v>43464</v>
      </c>
      <c r="G78" s="95">
        <v>43470</v>
      </c>
      <c r="H78" s="92">
        <v>2</v>
      </c>
    </row>
    <row r="79" spans="1:8">
      <c r="A79" s="93" t="s">
        <v>1015</v>
      </c>
      <c r="B79" s="94" t="s">
        <v>1016</v>
      </c>
      <c r="C79" s="95" t="s">
        <v>1042</v>
      </c>
      <c r="D79" s="95">
        <v>43434</v>
      </c>
      <c r="E79" s="96">
        <v>43493</v>
      </c>
      <c r="F79" s="95">
        <v>43464</v>
      </c>
      <c r="G79" s="95">
        <v>43470</v>
      </c>
      <c r="H79" s="92">
        <v>2</v>
      </c>
    </row>
    <row r="80" spans="1:8">
      <c r="A80" s="93" t="s">
        <v>1015</v>
      </c>
      <c r="B80" s="94" t="s">
        <v>1016</v>
      </c>
      <c r="C80" s="95" t="s">
        <v>1041</v>
      </c>
      <c r="D80" s="95">
        <v>43434</v>
      </c>
      <c r="E80" s="96">
        <v>43493</v>
      </c>
      <c r="F80" s="95">
        <v>43471</v>
      </c>
      <c r="G80" s="95">
        <v>43477</v>
      </c>
      <c r="H80" s="92">
        <v>2.5</v>
      </c>
    </row>
    <row r="81" spans="1:8">
      <c r="A81" s="93" t="s">
        <v>1015</v>
      </c>
      <c r="B81" s="94" t="s">
        <v>1016</v>
      </c>
      <c r="C81" s="95" t="s">
        <v>1042</v>
      </c>
      <c r="D81" s="95">
        <v>43434</v>
      </c>
      <c r="E81" s="96">
        <v>43493</v>
      </c>
      <c r="F81" s="95">
        <v>43471</v>
      </c>
      <c r="G81" s="95">
        <v>43477</v>
      </c>
      <c r="H81" s="92">
        <v>2.5</v>
      </c>
    </row>
    <row r="82" spans="1:8">
      <c r="A82" s="93" t="s">
        <v>1015</v>
      </c>
      <c r="B82" s="94" t="s">
        <v>1016</v>
      </c>
      <c r="C82" s="95" t="s">
        <v>1041</v>
      </c>
      <c r="D82" s="95">
        <v>43434</v>
      </c>
      <c r="E82" s="96">
        <v>43493</v>
      </c>
      <c r="F82" s="95">
        <v>43478</v>
      </c>
      <c r="G82" s="95">
        <v>43484</v>
      </c>
      <c r="H82" s="92">
        <v>2.5</v>
      </c>
    </row>
    <row r="83" spans="1:8">
      <c r="A83" s="93" t="s">
        <v>1015</v>
      </c>
      <c r="B83" s="94" t="s">
        <v>1016</v>
      </c>
      <c r="C83" s="95" t="s">
        <v>1042</v>
      </c>
      <c r="D83" s="95">
        <v>43434</v>
      </c>
      <c r="E83" s="96">
        <v>43493</v>
      </c>
      <c r="F83" s="95">
        <v>43478</v>
      </c>
      <c r="G83" s="95">
        <v>43484</v>
      </c>
      <c r="H83" s="92">
        <v>2.5</v>
      </c>
    </row>
    <row r="84" spans="1:8">
      <c r="A84" s="93" t="s">
        <v>1015</v>
      </c>
      <c r="B84" s="94" t="s">
        <v>1016</v>
      </c>
      <c r="C84" s="95" t="s">
        <v>1041</v>
      </c>
      <c r="D84" s="95">
        <v>43434</v>
      </c>
      <c r="E84" s="96">
        <v>43493</v>
      </c>
      <c r="F84" s="95">
        <v>43485</v>
      </c>
      <c r="G84" s="95">
        <v>43491</v>
      </c>
      <c r="H84" s="92">
        <v>2.5</v>
      </c>
    </row>
    <row r="85" spans="1:8">
      <c r="A85" s="93" t="s">
        <v>1015</v>
      </c>
      <c r="B85" s="94" t="s">
        <v>1016</v>
      </c>
      <c r="C85" s="95" t="s">
        <v>1042</v>
      </c>
      <c r="D85" s="95">
        <v>43434</v>
      </c>
      <c r="E85" s="96">
        <v>43493</v>
      </c>
      <c r="F85" s="95">
        <v>43485</v>
      </c>
      <c r="G85" s="95">
        <v>43491</v>
      </c>
      <c r="H85" s="92">
        <v>2.5</v>
      </c>
    </row>
    <row r="86" spans="1:8">
      <c r="A86" s="93" t="s">
        <v>1015</v>
      </c>
      <c r="B86" s="94" t="s">
        <v>1016</v>
      </c>
      <c r="C86" s="95" t="s">
        <v>1041</v>
      </c>
      <c r="D86" s="95">
        <v>43434</v>
      </c>
      <c r="E86" s="96">
        <v>43493</v>
      </c>
      <c r="F86" s="95">
        <v>43492</v>
      </c>
      <c r="G86" s="95">
        <v>43498</v>
      </c>
      <c r="H86" s="92">
        <v>0.5</v>
      </c>
    </row>
    <row r="87" spans="1:8">
      <c r="A87" s="93" t="s">
        <v>1015</v>
      </c>
      <c r="B87" s="94" t="s">
        <v>1016</v>
      </c>
      <c r="C87" s="95" t="s">
        <v>1042</v>
      </c>
      <c r="D87" s="95">
        <v>43434</v>
      </c>
      <c r="E87" s="96">
        <v>43493</v>
      </c>
      <c r="F87" s="95">
        <v>43492</v>
      </c>
      <c r="G87" s="95">
        <v>43498</v>
      </c>
      <c r="H87" s="92">
        <v>0.5</v>
      </c>
    </row>
    <row r="88" spans="1:8">
      <c r="A88" s="93" t="s">
        <v>1017</v>
      </c>
      <c r="B88" s="94" t="s">
        <v>1018</v>
      </c>
      <c r="C88" s="95" t="s">
        <v>1041</v>
      </c>
      <c r="D88" s="95">
        <v>43434</v>
      </c>
      <c r="E88" s="96">
        <v>43493</v>
      </c>
      <c r="F88" s="95">
        <v>43429</v>
      </c>
      <c r="G88" s="95">
        <v>43435</v>
      </c>
      <c r="H88" s="92">
        <v>1</v>
      </c>
    </row>
    <row r="89" spans="1:8">
      <c r="A89" s="93" t="s">
        <v>1017</v>
      </c>
      <c r="B89" s="94" t="s">
        <v>1018</v>
      </c>
      <c r="C89" s="95" t="s">
        <v>1041</v>
      </c>
      <c r="D89" s="95">
        <v>43434</v>
      </c>
      <c r="E89" s="96">
        <v>43493</v>
      </c>
      <c r="F89" s="95">
        <v>43436</v>
      </c>
      <c r="G89" s="95">
        <v>43442</v>
      </c>
      <c r="H89" s="92">
        <v>5</v>
      </c>
    </row>
    <row r="90" spans="1:8">
      <c r="A90" s="93" t="s">
        <v>1017</v>
      </c>
      <c r="B90" s="94" t="s">
        <v>1018</v>
      </c>
      <c r="C90" s="95" t="s">
        <v>1041</v>
      </c>
      <c r="D90" s="95">
        <v>43434</v>
      </c>
      <c r="E90" s="96">
        <v>43493</v>
      </c>
      <c r="F90" s="95">
        <v>43443</v>
      </c>
      <c r="G90" s="95">
        <v>43449</v>
      </c>
      <c r="H90" s="92">
        <v>5</v>
      </c>
    </row>
    <row r="91" spans="1:8">
      <c r="A91" s="93" t="s">
        <v>1017</v>
      </c>
      <c r="B91" s="94" t="s">
        <v>1018</v>
      </c>
      <c r="C91" s="95" t="s">
        <v>1041</v>
      </c>
      <c r="D91" s="95">
        <v>43434</v>
      </c>
      <c r="E91" s="96">
        <v>43493</v>
      </c>
      <c r="F91" s="95">
        <v>43450</v>
      </c>
      <c r="G91" s="95">
        <v>43456</v>
      </c>
      <c r="H91" s="92">
        <v>5</v>
      </c>
    </row>
    <row r="92" spans="1:8">
      <c r="A92" s="93" t="s">
        <v>1017</v>
      </c>
      <c r="B92" s="94" t="s">
        <v>1018</v>
      </c>
      <c r="C92" s="95" t="s">
        <v>1041</v>
      </c>
      <c r="D92" s="95">
        <v>43434</v>
      </c>
      <c r="E92" s="96">
        <v>43493</v>
      </c>
      <c r="F92" s="95">
        <v>43457</v>
      </c>
      <c r="G92" s="95">
        <v>43463</v>
      </c>
      <c r="H92" s="92">
        <v>4</v>
      </c>
    </row>
    <row r="93" spans="1:8">
      <c r="A93" s="93" t="s">
        <v>1017</v>
      </c>
      <c r="B93" s="94" t="s">
        <v>1018</v>
      </c>
      <c r="C93" s="95" t="s">
        <v>1041</v>
      </c>
      <c r="D93" s="95">
        <v>43434</v>
      </c>
      <c r="E93" s="96">
        <v>43493</v>
      </c>
      <c r="F93" s="95">
        <v>43464</v>
      </c>
      <c r="G93" s="95">
        <v>43470</v>
      </c>
      <c r="H93" s="92">
        <v>4</v>
      </c>
    </row>
    <row r="94" spans="1:8">
      <c r="A94" s="93" t="s">
        <v>1017</v>
      </c>
      <c r="B94" s="94" t="s">
        <v>1018</v>
      </c>
      <c r="C94" s="95" t="s">
        <v>1041</v>
      </c>
      <c r="D94" s="95">
        <v>43434</v>
      </c>
      <c r="E94" s="96">
        <v>43493</v>
      </c>
      <c r="F94" s="95">
        <v>43471</v>
      </c>
      <c r="G94" s="95">
        <v>43477</v>
      </c>
      <c r="H94" s="92">
        <v>5</v>
      </c>
    </row>
    <row r="95" spans="1:8">
      <c r="A95" s="93" t="s">
        <v>1017</v>
      </c>
      <c r="B95" s="94" t="s">
        <v>1018</v>
      </c>
      <c r="C95" s="95" t="s">
        <v>1041</v>
      </c>
      <c r="D95" s="95">
        <v>43434</v>
      </c>
      <c r="E95" s="96">
        <v>43493</v>
      </c>
      <c r="F95" s="95">
        <v>43478</v>
      </c>
      <c r="G95" s="95">
        <v>43484</v>
      </c>
      <c r="H95" s="92">
        <v>5</v>
      </c>
    </row>
    <row r="96" spans="1:8">
      <c r="A96" s="93" t="s">
        <v>1017</v>
      </c>
      <c r="B96" s="94" t="s">
        <v>1018</v>
      </c>
      <c r="C96" s="95" t="s">
        <v>1041</v>
      </c>
      <c r="D96" s="95">
        <v>43434</v>
      </c>
      <c r="E96" s="96">
        <v>43493</v>
      </c>
      <c r="F96" s="95">
        <v>43485</v>
      </c>
      <c r="G96" s="95">
        <v>43491</v>
      </c>
      <c r="H96" s="92">
        <v>5</v>
      </c>
    </row>
    <row r="97" spans="1:8">
      <c r="A97" s="93" t="s">
        <v>1017</v>
      </c>
      <c r="B97" s="94" t="s">
        <v>1018</v>
      </c>
      <c r="C97" s="95" t="s">
        <v>1041</v>
      </c>
      <c r="D97" s="95">
        <v>43434</v>
      </c>
      <c r="E97" s="96">
        <v>43493</v>
      </c>
      <c r="F97" s="95">
        <v>43492</v>
      </c>
      <c r="G97" s="95">
        <v>43498</v>
      </c>
      <c r="H97" s="92">
        <v>1</v>
      </c>
    </row>
    <row r="98" spans="1:8">
      <c r="A98" s="93" t="s">
        <v>1019</v>
      </c>
      <c r="B98" s="94" t="s">
        <v>1020</v>
      </c>
      <c r="C98" s="95" t="s">
        <v>1042</v>
      </c>
      <c r="D98" s="95">
        <v>43448</v>
      </c>
      <c r="E98" s="96">
        <v>43493</v>
      </c>
      <c r="F98" s="95">
        <v>43443</v>
      </c>
      <c r="G98" s="95">
        <v>43449</v>
      </c>
      <c r="H98" s="92">
        <v>1</v>
      </c>
    </row>
    <row r="99" spans="1:8">
      <c r="A99" s="93" t="s">
        <v>1019</v>
      </c>
      <c r="B99" s="94" t="s">
        <v>1020</v>
      </c>
      <c r="C99" s="95" t="s">
        <v>1042</v>
      </c>
      <c r="D99" s="95">
        <v>43448</v>
      </c>
      <c r="E99" s="96">
        <v>43493</v>
      </c>
      <c r="F99" s="95">
        <v>43450</v>
      </c>
      <c r="G99" s="95">
        <v>43456</v>
      </c>
      <c r="H99" s="92">
        <v>5</v>
      </c>
    </row>
    <row r="100" spans="1:8">
      <c r="A100" s="93" t="s">
        <v>1019</v>
      </c>
      <c r="B100" s="94" t="s">
        <v>1020</v>
      </c>
      <c r="C100" s="95" t="s">
        <v>1042</v>
      </c>
      <c r="D100" s="95">
        <v>43448</v>
      </c>
      <c r="E100" s="96">
        <v>43493</v>
      </c>
      <c r="F100" s="95">
        <v>43457</v>
      </c>
      <c r="G100" s="95">
        <v>43463</v>
      </c>
      <c r="H100" s="92">
        <v>4</v>
      </c>
    </row>
    <row r="101" spans="1:8">
      <c r="A101" s="93" t="s">
        <v>1019</v>
      </c>
      <c r="B101" s="94" t="s">
        <v>1020</v>
      </c>
      <c r="C101" s="95" t="s">
        <v>1042</v>
      </c>
      <c r="D101" s="95">
        <v>43448</v>
      </c>
      <c r="E101" s="96">
        <v>43493</v>
      </c>
      <c r="F101" s="95">
        <v>43464</v>
      </c>
      <c r="G101" s="95">
        <v>43470</v>
      </c>
      <c r="H101" s="92">
        <v>4</v>
      </c>
    </row>
    <row r="102" spans="1:8">
      <c r="A102" s="93" t="s">
        <v>1019</v>
      </c>
      <c r="B102" s="94" t="s">
        <v>1020</v>
      </c>
      <c r="C102" s="95" t="s">
        <v>1042</v>
      </c>
      <c r="D102" s="95">
        <v>43448</v>
      </c>
      <c r="E102" s="96">
        <v>43493</v>
      </c>
      <c r="F102" s="95">
        <v>43471</v>
      </c>
      <c r="G102" s="95">
        <v>43477</v>
      </c>
      <c r="H102" s="92">
        <v>5</v>
      </c>
    </row>
    <row r="103" spans="1:8">
      <c r="A103" s="93" t="s">
        <v>1019</v>
      </c>
      <c r="B103" s="94" t="s">
        <v>1020</v>
      </c>
      <c r="C103" s="95" t="s">
        <v>1042</v>
      </c>
      <c r="D103" s="95">
        <v>43448</v>
      </c>
      <c r="E103" s="96">
        <v>43493</v>
      </c>
      <c r="F103" s="95">
        <v>43478</v>
      </c>
      <c r="G103" s="95">
        <v>43484</v>
      </c>
      <c r="H103" s="92">
        <v>5</v>
      </c>
    </row>
    <row r="104" spans="1:8">
      <c r="A104" s="93" t="s">
        <v>1019</v>
      </c>
      <c r="B104" s="94" t="s">
        <v>1020</v>
      </c>
      <c r="C104" s="95" t="s">
        <v>1042</v>
      </c>
      <c r="D104" s="95">
        <v>43448</v>
      </c>
      <c r="E104" s="96">
        <v>43493</v>
      </c>
      <c r="F104" s="95">
        <v>43485</v>
      </c>
      <c r="G104" s="95">
        <v>43491</v>
      </c>
      <c r="H104" s="92">
        <v>5</v>
      </c>
    </row>
    <row r="105" spans="1:8">
      <c r="A105" s="93" t="s">
        <v>1019</v>
      </c>
      <c r="B105" s="94" t="s">
        <v>1020</v>
      </c>
      <c r="C105" s="95" t="s">
        <v>1042</v>
      </c>
      <c r="D105" s="95">
        <v>43448</v>
      </c>
      <c r="E105" s="96">
        <v>43493</v>
      </c>
      <c r="F105" s="95">
        <v>43492</v>
      </c>
      <c r="G105" s="95">
        <v>43498</v>
      </c>
      <c r="H105" s="92">
        <v>1</v>
      </c>
    </row>
    <row r="106" spans="1:8">
      <c r="A106" s="93" t="s">
        <v>1021</v>
      </c>
      <c r="B106" s="94" t="s">
        <v>1022</v>
      </c>
      <c r="C106" s="95" t="s">
        <v>1040</v>
      </c>
      <c r="D106" s="95">
        <v>43476</v>
      </c>
      <c r="E106" s="96">
        <v>43494</v>
      </c>
      <c r="F106" s="95">
        <v>43471</v>
      </c>
      <c r="G106" s="95">
        <v>43477</v>
      </c>
      <c r="H106" s="92">
        <v>1</v>
      </c>
    </row>
    <row r="107" spans="1:8">
      <c r="A107" s="93" t="s">
        <v>1021</v>
      </c>
      <c r="B107" s="94" t="s">
        <v>1022</v>
      </c>
      <c r="C107" s="95" t="s">
        <v>1040</v>
      </c>
      <c r="D107" s="95">
        <v>43476</v>
      </c>
      <c r="E107" s="96">
        <v>43494</v>
      </c>
      <c r="F107" s="95">
        <v>43478</v>
      </c>
      <c r="G107" s="95">
        <v>43484</v>
      </c>
      <c r="H107" s="92">
        <v>5</v>
      </c>
    </row>
    <row r="108" spans="1:8">
      <c r="A108" s="93" t="s">
        <v>1021</v>
      </c>
      <c r="B108" s="94" t="s">
        <v>1022</v>
      </c>
      <c r="C108" s="95" t="s">
        <v>1040</v>
      </c>
      <c r="D108" s="95">
        <v>43476</v>
      </c>
      <c r="E108" s="96">
        <v>43494</v>
      </c>
      <c r="F108" s="95">
        <v>43485</v>
      </c>
      <c r="G108" s="95">
        <v>43491</v>
      </c>
      <c r="H108" s="92">
        <v>5</v>
      </c>
    </row>
    <row r="109" spans="1:8">
      <c r="A109" s="93" t="s">
        <v>1021</v>
      </c>
      <c r="B109" s="94" t="s">
        <v>1022</v>
      </c>
      <c r="C109" s="95" t="s">
        <v>1040</v>
      </c>
      <c r="D109" s="95">
        <v>43476</v>
      </c>
      <c r="E109" s="96">
        <v>43494</v>
      </c>
      <c r="F109" s="95">
        <v>43492</v>
      </c>
      <c r="G109" s="95">
        <v>43498</v>
      </c>
      <c r="H109" s="92">
        <v>2</v>
      </c>
    </row>
    <row r="110" spans="1:8">
      <c r="A110" s="93" t="s">
        <v>1023</v>
      </c>
      <c r="B110" s="94" t="s">
        <v>1024</v>
      </c>
      <c r="C110" s="95" t="s">
        <v>1040</v>
      </c>
      <c r="D110" s="95">
        <v>43497</v>
      </c>
      <c r="E110" s="96">
        <v>43501</v>
      </c>
      <c r="F110" s="95">
        <v>43492</v>
      </c>
      <c r="G110" s="95">
        <v>43498</v>
      </c>
      <c r="H110" s="92">
        <v>1</v>
      </c>
    </row>
    <row r="111" spans="1:8">
      <c r="A111" s="93" t="s">
        <v>1023</v>
      </c>
      <c r="B111" s="94" t="s">
        <v>1024</v>
      </c>
      <c r="C111" s="95" t="s">
        <v>1040</v>
      </c>
      <c r="D111" s="95">
        <v>43497</v>
      </c>
      <c r="E111" s="96">
        <v>43501</v>
      </c>
      <c r="F111" s="95">
        <v>43499</v>
      </c>
      <c r="G111" s="95">
        <v>43505</v>
      </c>
      <c r="H111" s="92">
        <v>0</v>
      </c>
    </row>
    <row r="112" spans="1:8">
      <c r="A112" s="93" t="s">
        <v>1026</v>
      </c>
      <c r="B112" s="94" t="s">
        <v>1027</v>
      </c>
      <c r="C112" s="95" t="s">
        <v>1040</v>
      </c>
      <c r="D112" s="95">
        <v>43497</v>
      </c>
      <c r="E112" s="96">
        <v>43499</v>
      </c>
      <c r="F112" s="95">
        <v>43492</v>
      </c>
      <c r="G112" s="95">
        <v>43498</v>
      </c>
      <c r="H112" s="92">
        <v>1</v>
      </c>
    </row>
    <row r="113" spans="1:8">
      <c r="A113" s="93" t="s">
        <v>1026</v>
      </c>
      <c r="B113" s="94" t="s">
        <v>1027</v>
      </c>
      <c r="C113" s="95" t="s">
        <v>1040</v>
      </c>
      <c r="D113" s="95">
        <v>43497</v>
      </c>
      <c r="E113" s="96">
        <v>43499</v>
      </c>
      <c r="F113" s="95">
        <v>43499</v>
      </c>
      <c r="G113" s="95">
        <v>43505</v>
      </c>
      <c r="H113" s="92">
        <v>0</v>
      </c>
    </row>
    <row r="114" spans="1:8">
      <c r="A114" s="93" t="s">
        <v>1028</v>
      </c>
      <c r="B114" s="94" t="s">
        <v>1029</v>
      </c>
      <c r="C114" s="95" t="s">
        <v>1040</v>
      </c>
      <c r="D114" s="95">
        <v>43501</v>
      </c>
      <c r="E114" s="96">
        <v>43503</v>
      </c>
      <c r="F114" s="95">
        <v>43499</v>
      </c>
      <c r="G114" s="95">
        <v>43505</v>
      </c>
      <c r="H114" s="92">
        <v>0.5</v>
      </c>
    </row>
    <row r="115" spans="1:8">
      <c r="A115" s="93" t="s">
        <v>1028</v>
      </c>
      <c r="B115" s="94" t="s">
        <v>1029</v>
      </c>
      <c r="C115" s="95" t="s">
        <v>1039</v>
      </c>
      <c r="D115" s="95">
        <v>43501</v>
      </c>
      <c r="E115" s="96">
        <v>43503</v>
      </c>
      <c r="F115" s="95">
        <v>43499</v>
      </c>
      <c r="G115" s="95">
        <v>43505</v>
      </c>
      <c r="H115" s="92">
        <v>0.5</v>
      </c>
    </row>
    <row r="116" spans="1:8">
      <c r="A116" s="93" t="s">
        <v>1030</v>
      </c>
      <c r="B116" s="94" t="s">
        <v>1031</v>
      </c>
      <c r="C116" s="95" t="s">
        <v>1040</v>
      </c>
      <c r="D116" s="95">
        <v>43501</v>
      </c>
      <c r="E116" s="96">
        <v>43503</v>
      </c>
      <c r="F116" s="95">
        <v>43499</v>
      </c>
      <c r="G116" s="95">
        <v>43505</v>
      </c>
      <c r="H116" s="92">
        <v>0.5</v>
      </c>
    </row>
    <row r="117" spans="1:8">
      <c r="A117" s="93" t="s">
        <v>1030</v>
      </c>
      <c r="B117" s="94" t="s">
        <v>1031</v>
      </c>
      <c r="C117" s="95" t="s">
        <v>1041</v>
      </c>
      <c r="D117" s="95">
        <v>43501</v>
      </c>
      <c r="E117" s="96">
        <v>43503</v>
      </c>
      <c r="F117" s="95">
        <v>43499</v>
      </c>
      <c r="G117" s="95">
        <v>43505</v>
      </c>
      <c r="H117" s="92">
        <v>0.5</v>
      </c>
    </row>
    <row r="118" spans="1:8">
      <c r="A118" s="93" t="s">
        <v>1032</v>
      </c>
      <c r="B118" s="94" t="s">
        <v>1033</v>
      </c>
      <c r="C118" s="95" t="s">
        <v>1040</v>
      </c>
      <c r="D118" s="95">
        <v>43501</v>
      </c>
      <c r="E118" s="96">
        <v>43503</v>
      </c>
      <c r="F118" s="95">
        <v>43499</v>
      </c>
      <c r="G118" s="95">
        <v>43505</v>
      </c>
      <c r="H118" s="92">
        <v>0.5</v>
      </c>
    </row>
    <row r="119" spans="1:8">
      <c r="A119" s="93" t="s">
        <v>1032</v>
      </c>
      <c r="B119" s="94" t="s">
        <v>1033</v>
      </c>
      <c r="C119" s="95" t="s">
        <v>1041</v>
      </c>
      <c r="D119" s="95">
        <v>43501</v>
      </c>
      <c r="E119" s="96">
        <v>43503</v>
      </c>
      <c r="F119" s="95">
        <v>43499</v>
      </c>
      <c r="G119" s="95">
        <v>43505</v>
      </c>
      <c r="H119" s="92">
        <v>0.5</v>
      </c>
    </row>
    <row r="120" spans="1:8">
      <c r="A120" s="93" t="s">
        <v>1034</v>
      </c>
      <c r="B120" s="94" t="s">
        <v>1035</v>
      </c>
      <c r="C120" s="95" t="s">
        <v>1040</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CT249"/>
  <sheetViews>
    <sheetView tabSelected="1" zoomScale="130" zoomScaleNormal="130" zoomScalePageLayoutView="55" workbookViewId="0">
      <pane ySplit="4" topLeftCell="A5" activePane="bottomLeft" state="frozen"/>
      <selection activeCell="E5" sqref="E5"/>
      <selection pane="bottomLeft" activeCell="Z7" sqref="Z7"/>
    </sheetView>
  </sheetViews>
  <sheetFormatPr defaultColWidth="10" defaultRowHeight="12" outlineLevelRow="2"/>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98" width="1.8984375" style="114" customWidth="1"/>
    <col min="99" max="16384" width="10" style="114"/>
  </cols>
  <sheetData>
    <row r="1" spans="1:98"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2019-07-04~2019-08-31 [계획:87.01% 실적:24.03%]</v>
      </c>
      <c r="AC1" s="228" t="s">
        <v>1172</v>
      </c>
      <c r="AD1" s="228"/>
      <c r="AE1" s="228"/>
      <c r="AF1" s="228"/>
      <c r="AG1" s="228"/>
      <c r="AH1" s="228"/>
      <c r="AI1" s="228"/>
      <c r="AJ1" s="228"/>
      <c r="AK1" s="228"/>
      <c r="AL1" s="228"/>
      <c r="AM1" s="228"/>
      <c r="AN1" s="228"/>
      <c r="AO1" s="228"/>
      <c r="AP1" s="228"/>
      <c r="AQ1" s="228"/>
      <c r="AR1" s="228"/>
      <c r="AS1" s="228"/>
      <c r="AT1" s="228"/>
      <c r="AU1" s="228"/>
      <c r="AV1" s="228"/>
      <c r="AW1" s="228"/>
      <c r="AX1" s="228"/>
      <c r="AY1" s="228"/>
      <c r="AZ1" s="228"/>
      <c r="BA1" s="228"/>
      <c r="BB1" s="228"/>
      <c r="BC1" s="228"/>
      <c r="BD1" s="228"/>
      <c r="BE1" s="228"/>
      <c r="BF1" s="228"/>
      <c r="BG1" s="228"/>
      <c r="BH1" s="228"/>
      <c r="BI1" s="228"/>
      <c r="BJ1" s="228"/>
      <c r="BK1" s="228"/>
      <c r="BL1" s="228"/>
      <c r="BM1" s="228"/>
      <c r="BN1" s="228"/>
      <c r="BO1" s="228"/>
      <c r="BP1" s="228"/>
      <c r="BQ1" s="228"/>
      <c r="BR1" s="228"/>
      <c r="BS1" s="228"/>
      <c r="BT1" s="228"/>
      <c r="BU1" s="228"/>
      <c r="BV1" s="228"/>
      <c r="BW1" s="228"/>
      <c r="BX1" s="228"/>
      <c r="BY1" s="228"/>
      <c r="BZ1" s="228"/>
      <c r="CA1" s="228"/>
    </row>
    <row r="2" spans="1:98" s="158" customFormat="1" ht="15" customHeight="1">
      <c r="A2" s="159"/>
      <c r="B2" s="159"/>
      <c r="C2" s="160"/>
      <c r="D2" s="239"/>
      <c r="E2" s="239"/>
      <c r="F2" s="23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1173</v>
      </c>
    </row>
    <row r="3" spans="1:98" s="1" customFormat="1" ht="19.95" customHeight="1">
      <c r="A3" s="230" t="s">
        <v>1150</v>
      </c>
      <c r="B3" s="232" t="s">
        <v>1151</v>
      </c>
      <c r="C3" s="234" t="s">
        <v>1129</v>
      </c>
      <c r="D3" s="235" t="s">
        <v>1109</v>
      </c>
      <c r="E3" s="236" t="s">
        <v>1110</v>
      </c>
      <c r="F3" s="237"/>
      <c r="G3" s="237"/>
      <c r="H3" s="237"/>
      <c r="I3" s="237"/>
      <c r="J3" s="237"/>
      <c r="K3" s="238"/>
      <c r="L3" s="219" t="s">
        <v>1107</v>
      </c>
      <c r="M3" s="219" t="s">
        <v>1123</v>
      </c>
      <c r="N3" s="219" t="s">
        <v>1111</v>
      </c>
      <c r="O3" s="240" t="s">
        <v>1152</v>
      </c>
      <c r="P3" s="218" t="s">
        <v>1153</v>
      </c>
      <c r="Q3" s="218" t="s">
        <v>1154</v>
      </c>
      <c r="R3" s="218" t="s">
        <v>1124</v>
      </c>
      <c r="S3" s="218" t="s">
        <v>1155</v>
      </c>
      <c r="T3" s="221" t="s">
        <v>1156</v>
      </c>
      <c r="U3" s="221" t="s">
        <v>1108</v>
      </c>
      <c r="V3" s="222" t="s">
        <v>1157</v>
      </c>
      <c r="W3" s="223" t="s">
        <v>1112</v>
      </c>
      <c r="X3" s="224" t="s">
        <v>1100</v>
      </c>
      <c r="Y3" s="219" t="s">
        <v>1128</v>
      </c>
      <c r="Z3" s="232" t="s">
        <v>1121</v>
      </c>
      <c r="AA3" s="225" t="s">
        <v>1125</v>
      </c>
      <c r="AB3" s="220" t="s">
        <v>1104</v>
      </c>
      <c r="AC3" s="226">
        <v>43647</v>
      </c>
      <c r="AD3" s="227"/>
      <c r="AE3" s="227"/>
      <c r="AF3" s="227"/>
      <c r="AG3" s="227">
        <v>43675</v>
      </c>
      <c r="AH3" s="227"/>
      <c r="AI3" s="227"/>
      <c r="AJ3" s="227"/>
      <c r="AK3" s="227">
        <v>43703</v>
      </c>
      <c r="AL3" s="227"/>
      <c r="AM3" s="227"/>
      <c r="AN3" s="229"/>
    </row>
    <row r="4" spans="1:98" s="2" customFormat="1" ht="4.95" customHeight="1">
      <c r="A4" s="231"/>
      <c r="B4" s="233"/>
      <c r="C4" s="230"/>
      <c r="D4" s="235"/>
      <c r="E4" s="236"/>
      <c r="F4" s="237"/>
      <c r="G4" s="237"/>
      <c r="H4" s="237"/>
      <c r="I4" s="237"/>
      <c r="J4" s="237"/>
      <c r="K4" s="238"/>
      <c r="L4" s="219"/>
      <c r="M4" s="219"/>
      <c r="N4" s="219"/>
      <c r="O4" s="240"/>
      <c r="P4" s="218"/>
      <c r="Q4" s="218"/>
      <c r="R4" s="218"/>
      <c r="S4" s="218"/>
      <c r="T4" s="219"/>
      <c r="U4" s="219"/>
      <c r="V4" s="222"/>
      <c r="W4" s="223"/>
      <c r="X4" s="224"/>
      <c r="Y4" s="219"/>
      <c r="Z4" s="232"/>
      <c r="AA4" s="225"/>
      <c r="AB4" s="220"/>
      <c r="AC4" s="112">
        <v>43647</v>
      </c>
      <c r="AD4" s="113">
        <v>43654</v>
      </c>
      <c r="AE4" s="113">
        <v>43661</v>
      </c>
      <c r="AF4" s="113">
        <v>43668</v>
      </c>
      <c r="AG4" s="113">
        <v>43675</v>
      </c>
      <c r="AH4" s="113">
        <v>43682</v>
      </c>
      <c r="AI4" s="113">
        <v>43689</v>
      </c>
      <c r="AJ4" s="113">
        <v>43696</v>
      </c>
      <c r="AK4" s="113">
        <v>43703</v>
      </c>
      <c r="AL4" s="113">
        <v>43710</v>
      </c>
      <c r="AM4" s="113"/>
      <c r="AN4" s="115"/>
      <c r="AO4" s="121"/>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row>
    <row r="5" spans="1:98">
      <c r="A5" s="116"/>
      <c r="B5" s="116"/>
      <c r="C5" s="116">
        <v>1</v>
      </c>
      <c r="D5" s="3" t="s">
        <v>1064</v>
      </c>
      <c r="E5" s="184" t="s">
        <v>538</v>
      </c>
      <c r="F5" s="184"/>
      <c r="G5" s="184"/>
      <c r="H5" s="184"/>
      <c r="I5" s="184"/>
      <c r="J5" s="184"/>
      <c r="K5" s="184"/>
      <c r="L5" s="184"/>
      <c r="M5" s="185"/>
      <c r="N5" s="185"/>
      <c r="O5" s="186"/>
      <c r="P5" s="187">
        <v>0</v>
      </c>
      <c r="Q5" s="187">
        <v>0</v>
      </c>
      <c r="R5" s="188">
        <v>0</v>
      </c>
      <c r="S5" s="188">
        <v>0</v>
      </c>
      <c r="T5" s="185"/>
      <c r="U5" s="185"/>
      <c r="V5" s="189">
        <v>0</v>
      </c>
      <c r="W5" s="190">
        <v>0</v>
      </c>
      <c r="X5" s="191"/>
      <c r="Y5" s="186"/>
      <c r="Z5" s="192"/>
      <c r="AA5" s="97">
        <v>0</v>
      </c>
      <c r="AB5" s="193">
        <v>0</v>
      </c>
      <c r="AC5" s="123"/>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row>
    <row r="6" spans="1:98">
      <c r="A6" s="116"/>
      <c r="B6" s="116"/>
      <c r="C6" s="116">
        <v>0</v>
      </c>
      <c r="D6" s="3"/>
      <c r="E6" s="184"/>
      <c r="F6" s="184"/>
      <c r="G6" s="184"/>
      <c r="H6" s="184"/>
      <c r="I6" s="184"/>
      <c r="J6" s="184"/>
      <c r="K6" s="184"/>
      <c r="L6" s="184"/>
      <c r="M6" s="185"/>
      <c r="N6" s="185"/>
      <c r="O6" s="186"/>
      <c r="P6" s="187"/>
      <c r="Q6" s="187"/>
      <c r="R6" s="188">
        <v>0</v>
      </c>
      <c r="S6" s="188">
        <v>0</v>
      </c>
      <c r="T6" s="185"/>
      <c r="U6" s="185"/>
      <c r="V6" s="189"/>
      <c r="W6" s="190">
        <v>0</v>
      </c>
      <c r="X6" s="191"/>
      <c r="Y6" s="186"/>
      <c r="Z6" s="192"/>
      <c r="AA6" s="97"/>
      <c r="AB6" s="193">
        <v>0</v>
      </c>
      <c r="AC6" s="123"/>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row>
    <row r="7" spans="1:98">
      <c r="A7" s="116"/>
      <c r="B7" s="116"/>
      <c r="C7" s="116">
        <v>0</v>
      </c>
      <c r="D7" s="3"/>
      <c r="E7" s="184"/>
      <c r="F7" s="184"/>
      <c r="G7" s="184"/>
      <c r="H7" s="184"/>
      <c r="I7" s="184"/>
      <c r="J7" s="184"/>
      <c r="K7" s="184"/>
      <c r="L7" s="184"/>
      <c r="M7" s="185"/>
      <c r="N7" s="185"/>
      <c r="O7" s="186"/>
      <c r="P7" s="187"/>
      <c r="Q7" s="187"/>
      <c r="R7" s="188">
        <v>0</v>
      </c>
      <c r="S7" s="188">
        <v>0</v>
      </c>
      <c r="T7" s="185"/>
      <c r="U7" s="185"/>
      <c r="V7" s="189"/>
      <c r="W7" s="190">
        <v>0</v>
      </c>
      <c r="X7" s="191"/>
      <c r="Y7" s="186"/>
      <c r="Z7" s="192"/>
      <c r="AA7" s="97"/>
      <c r="AB7" s="193"/>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row>
    <row r="8" spans="1:98">
      <c r="A8" s="116"/>
      <c r="B8" s="116" t="s">
        <v>1063</v>
      </c>
      <c r="C8" s="116">
        <v>1</v>
      </c>
      <c r="D8" s="3" t="s">
        <v>1065</v>
      </c>
      <c r="E8" s="215" t="s">
        <v>1308</v>
      </c>
      <c r="F8" s="184"/>
      <c r="G8" s="184"/>
      <c r="H8" s="184"/>
      <c r="I8" s="184"/>
      <c r="J8" s="184"/>
      <c r="K8" s="184"/>
      <c r="L8" s="184"/>
      <c r="M8" s="185">
        <v>43650</v>
      </c>
      <c r="N8" s="185">
        <v>43699</v>
      </c>
      <c r="O8" s="186"/>
      <c r="P8" s="187">
        <v>12</v>
      </c>
      <c r="Q8" s="187">
        <v>10</v>
      </c>
      <c r="R8" s="188">
        <v>35</v>
      </c>
      <c r="S8" s="188">
        <v>20</v>
      </c>
      <c r="T8" s="185"/>
      <c r="U8" s="185"/>
      <c r="V8" s="189">
        <v>0</v>
      </c>
      <c r="W8" s="190">
        <v>0</v>
      </c>
      <c r="X8" s="191"/>
      <c r="Y8" s="186"/>
      <c r="Z8" s="192"/>
      <c r="AA8" s="97">
        <v>0.83333333333333337</v>
      </c>
      <c r="AB8" s="193">
        <v>0.58333333333333337</v>
      </c>
      <c r="AC8" s="123"/>
      <c r="AD8" s="4"/>
      <c r="AE8" s="4"/>
      <c r="AF8" s="4"/>
      <c r="AG8" s="4" t="str">
        <f>"    " &amp; TEXT(AB8,"#0.00%") &amp; " " &amp; "분석/설계" &amp; " " &amp; IF(M8="","",TEXT(M8,"M/D-")) &amp; IF(N8="","",TEXT(N8,"M/D")) &amp; " "</f>
        <v xml:space="preserve">    58.33% 분석/설계 7/4-8/22 </v>
      </c>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row>
    <row r="9" spans="1:98" outlineLevel="1">
      <c r="A9" s="116"/>
      <c r="B9" s="116"/>
      <c r="C9" s="116">
        <v>2</v>
      </c>
      <c r="D9" s="3" t="s">
        <v>1066</v>
      </c>
      <c r="E9" s="215"/>
      <c r="F9" s="217" t="s">
        <v>1160</v>
      </c>
      <c r="G9" s="184"/>
      <c r="H9" s="184"/>
      <c r="I9" s="184"/>
      <c r="J9" s="184"/>
      <c r="K9" s="184"/>
      <c r="L9" s="184"/>
      <c r="M9" s="185">
        <v>43650</v>
      </c>
      <c r="N9" s="185">
        <v>43651</v>
      </c>
      <c r="O9" s="186"/>
      <c r="P9" s="187">
        <v>2</v>
      </c>
      <c r="Q9" s="187">
        <v>2</v>
      </c>
      <c r="R9" s="188">
        <v>2</v>
      </c>
      <c r="S9" s="188">
        <v>2</v>
      </c>
      <c r="T9" s="185"/>
      <c r="U9" s="185"/>
      <c r="V9" s="189"/>
      <c r="W9" s="190">
        <v>0</v>
      </c>
      <c r="X9" s="191">
        <v>1</v>
      </c>
      <c r="Y9" s="186" t="s">
        <v>1294</v>
      </c>
      <c r="Z9" s="192"/>
      <c r="AA9" s="97">
        <v>1</v>
      </c>
      <c r="AB9" s="193">
        <v>1</v>
      </c>
      <c r="AC9" s="123" t="str">
        <f>"     " &amp; TEXT(AB9,"#0.00%") &amp; " " &amp; "Thuns for Myanmar" &amp; "(Max,Pralhad)" &amp; " " &amp; IF(M9="","",TEXT(M9,"M/D-")) &amp; IF(N9="","",TEXT(N9,"M/D")) &amp; " "</f>
        <v xml:space="preserve">     100.00% Thuns for Myanmar(Max,Pralhad) 7/4-7/5 </v>
      </c>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row>
    <row r="10" spans="1:98" outlineLevel="1">
      <c r="A10" s="116"/>
      <c r="B10" s="116"/>
      <c r="C10" s="116">
        <v>2</v>
      </c>
      <c r="D10" s="3" t="s">
        <v>1067</v>
      </c>
      <c r="E10" s="215"/>
      <c r="F10" s="217" t="s">
        <v>1161</v>
      </c>
      <c r="G10" s="184"/>
      <c r="H10" s="184"/>
      <c r="I10" s="184"/>
      <c r="J10" s="184"/>
      <c r="K10" s="184"/>
      <c r="L10" s="184"/>
      <c r="M10" s="185">
        <v>43654</v>
      </c>
      <c r="N10" s="185">
        <v>43654</v>
      </c>
      <c r="O10" s="186"/>
      <c r="P10" s="187">
        <v>1</v>
      </c>
      <c r="Q10" s="187">
        <v>1</v>
      </c>
      <c r="R10" s="188">
        <v>1</v>
      </c>
      <c r="S10" s="188">
        <v>1</v>
      </c>
      <c r="T10" s="185"/>
      <c r="U10" s="185"/>
      <c r="V10" s="189"/>
      <c r="W10" s="190">
        <v>0</v>
      </c>
      <c r="X10" s="191">
        <v>1</v>
      </c>
      <c r="Y10" s="186" t="s">
        <v>1294</v>
      </c>
      <c r="Z10" s="192"/>
      <c r="AA10" s="97">
        <v>1</v>
      </c>
      <c r="AB10" s="193">
        <v>1</v>
      </c>
      <c r="AC10" s="123"/>
      <c r="AD10" s="4" t="str">
        <f>" " &amp; TEXT(AB10,"#0.00%") &amp; " " &amp; "Lyhour API for Cambodia deposit" &amp; "(Max,Pralhad)" &amp; " " &amp; IF(M10="","",TEXT(M10,"M/D-")) &amp; IF(N10="","",TEXT(N10,"M/D")) &amp; " "</f>
        <v xml:space="preserve"> 100.00% Lyhour API for Cambodia deposit(Max,Pralhad) 7/8-7/8 </v>
      </c>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row>
    <row r="11" spans="1:98" outlineLevel="1">
      <c r="A11" s="116"/>
      <c r="B11" s="116"/>
      <c r="C11" s="116">
        <v>2</v>
      </c>
      <c r="D11" s="3" t="s">
        <v>1174</v>
      </c>
      <c r="E11" s="184"/>
      <c r="F11" s="217" t="s">
        <v>1162</v>
      </c>
      <c r="G11" s="184"/>
      <c r="H11" s="184"/>
      <c r="I11" s="184"/>
      <c r="J11" s="184"/>
      <c r="K11" s="184"/>
      <c r="L11" s="184"/>
      <c r="M11" s="185">
        <v>43658</v>
      </c>
      <c r="N11" s="185">
        <v>43658</v>
      </c>
      <c r="O11" s="186"/>
      <c r="P11" s="187">
        <v>1</v>
      </c>
      <c r="Q11" s="187">
        <v>1</v>
      </c>
      <c r="R11" s="188">
        <v>1</v>
      </c>
      <c r="S11" s="188">
        <v>1</v>
      </c>
      <c r="T11" s="185"/>
      <c r="U11" s="185"/>
      <c r="V11" s="189"/>
      <c r="W11" s="190">
        <v>0</v>
      </c>
      <c r="X11" s="191">
        <v>1</v>
      </c>
      <c r="Y11" s="186" t="s">
        <v>1294</v>
      </c>
      <c r="Z11" s="192"/>
      <c r="AA11" s="97">
        <v>1</v>
      </c>
      <c r="AB11" s="193">
        <v>1</v>
      </c>
      <c r="AC11" s="123"/>
      <c r="AD11" s="4" t="str">
        <f>"     " &amp; TEXT(AB11,"#0.00%") &amp; " " &amp; "Inbound(Online, App) 2nd Phase" &amp; "(Max,Pralhad)" &amp; " " &amp; IF(M11="","",TEXT(M11,"M/D-")) &amp; IF(N11="","",TEXT(N11,"M/D")) &amp; " "</f>
        <v xml:space="preserve">     100.00% Inbound(Online, App) 2nd Phase(Max,Pralhad) 7/12-7/12 </v>
      </c>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row>
    <row r="12" spans="1:98" outlineLevel="1">
      <c r="A12" s="116"/>
      <c r="B12" s="116"/>
      <c r="C12" s="116">
        <v>2</v>
      </c>
      <c r="D12" s="3" t="s">
        <v>1175</v>
      </c>
      <c r="E12" s="184"/>
      <c r="F12" s="217" t="s">
        <v>1163</v>
      </c>
      <c r="G12" s="184"/>
      <c r="H12" s="184"/>
      <c r="I12" s="184"/>
      <c r="J12" s="184"/>
      <c r="K12" s="184"/>
      <c r="L12" s="184"/>
      <c r="M12" s="185">
        <v>43668</v>
      </c>
      <c r="N12" s="185">
        <v>43668</v>
      </c>
      <c r="O12" s="186"/>
      <c r="P12" s="187">
        <v>1</v>
      </c>
      <c r="Q12" s="187">
        <v>1</v>
      </c>
      <c r="R12" s="188">
        <v>1</v>
      </c>
      <c r="S12" s="188">
        <v>1</v>
      </c>
      <c r="T12" s="185"/>
      <c r="U12" s="185"/>
      <c r="V12" s="189"/>
      <c r="W12" s="190">
        <v>0</v>
      </c>
      <c r="X12" s="191">
        <v>1</v>
      </c>
      <c r="Y12" s="186" t="s">
        <v>1294</v>
      </c>
      <c r="Z12" s="192"/>
      <c r="AA12" s="97">
        <v>1</v>
      </c>
      <c r="AB12" s="193">
        <v>0</v>
      </c>
      <c r="AC12" s="123"/>
      <c r="AD12" s="4"/>
      <c r="AE12" s="4"/>
      <c r="AF12" s="4" t="str">
        <f>"" &amp; TEXT(AB12,"#0.00%") &amp; " " &amp; "Shinhan,IBK-KFTC" &amp; "(Max,Pralhad)" &amp; " " &amp; IF(M12="","",TEXT(M12,"M/D-")) &amp; IF(N12="","",TEXT(N12,"M/D")) &amp; " "</f>
        <v xml:space="preserve">0.00% Shinhan,IBK-KFTC(Max,Pralhad) 7/22-7/22 </v>
      </c>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row>
    <row r="13" spans="1:98" outlineLevel="1">
      <c r="A13" s="116"/>
      <c r="B13" s="116"/>
      <c r="C13" s="116">
        <v>2</v>
      </c>
      <c r="D13" s="3" t="s">
        <v>1176</v>
      </c>
      <c r="E13" s="184"/>
      <c r="F13" s="217" t="s">
        <v>1164</v>
      </c>
      <c r="G13" s="184"/>
      <c r="H13" s="184"/>
      <c r="I13" s="184"/>
      <c r="J13" s="184"/>
      <c r="K13" s="184"/>
      <c r="L13" s="184"/>
      <c r="M13" s="185">
        <v>43685</v>
      </c>
      <c r="N13" s="185">
        <v>43685</v>
      </c>
      <c r="O13" s="186"/>
      <c r="P13" s="187">
        <v>1</v>
      </c>
      <c r="Q13" s="187">
        <v>0</v>
      </c>
      <c r="R13" s="188">
        <v>1</v>
      </c>
      <c r="S13" s="188">
        <v>0</v>
      </c>
      <c r="T13" s="185"/>
      <c r="U13" s="185"/>
      <c r="V13" s="189"/>
      <c r="W13" s="190">
        <v>0</v>
      </c>
      <c r="X13" s="191">
        <v>1</v>
      </c>
      <c r="Y13" s="186" t="s">
        <v>1294</v>
      </c>
      <c r="Z13" s="192"/>
      <c r="AA13" s="97">
        <v>0</v>
      </c>
      <c r="AB13" s="193">
        <v>0</v>
      </c>
      <c r="AC13" s="123"/>
      <c r="AD13" s="4"/>
      <c r="AE13" s="4"/>
      <c r="AF13" s="4"/>
      <c r="AG13" s="4"/>
      <c r="AH13" s="4" t="str">
        <f>"   " &amp; TEXT(AB13,"#0.00%") &amp; " " &amp; "Agrani bank/Islami bank add to new app" &amp; "(Max,Pralhad)" &amp; " " &amp; IF(M13="","",TEXT(M13,"M/D-")) &amp; IF(N13="","",TEXT(N13,"M/D")) &amp; " "</f>
        <v xml:space="preserve">   0.00% Agrani bank/Islami bank add to new app(Max,Pralhad) 8/8-8/8 </v>
      </c>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row>
    <row r="14" spans="1:98" outlineLevel="1">
      <c r="A14" s="116"/>
      <c r="B14" s="116"/>
      <c r="C14" s="116">
        <v>2</v>
      </c>
      <c r="D14" s="3" t="s">
        <v>1177</v>
      </c>
      <c r="E14" s="184"/>
      <c r="F14" s="217" t="s">
        <v>1165</v>
      </c>
      <c r="G14" s="184"/>
      <c r="H14" s="184"/>
      <c r="I14" s="184"/>
      <c r="J14" s="184"/>
      <c r="K14" s="184"/>
      <c r="L14" s="184"/>
      <c r="M14" s="185">
        <v>43699</v>
      </c>
      <c r="N14" s="185">
        <v>43699</v>
      </c>
      <c r="O14" s="186"/>
      <c r="P14" s="187">
        <v>1</v>
      </c>
      <c r="Q14" s="187">
        <v>0</v>
      </c>
      <c r="R14" s="188">
        <v>1</v>
      </c>
      <c r="S14" s="188">
        <v>0</v>
      </c>
      <c r="T14" s="185"/>
      <c r="U14" s="185"/>
      <c r="V14" s="189"/>
      <c r="W14" s="190">
        <v>0</v>
      </c>
      <c r="X14" s="191">
        <v>1</v>
      </c>
      <c r="Y14" s="186" t="s">
        <v>1294</v>
      </c>
      <c r="Z14" s="192"/>
      <c r="AA14" s="97">
        <v>0</v>
      </c>
      <c r="AB14" s="193">
        <v>0</v>
      </c>
      <c r="AC14" s="123"/>
      <c r="AD14" s="4"/>
      <c r="AE14" s="4"/>
      <c r="AF14" s="4"/>
      <c r="AG14" s="4"/>
      <c r="AH14" s="4"/>
      <c r="AI14" s="4"/>
      <c r="AJ14" s="4" t="str">
        <f>"   " &amp; TEXT(AB14,"#0.00%") &amp; " " &amp; "KJ-Auto remit for multiple-accounts use" &amp; "(Max,Pralhad)" &amp; " " &amp; IF(M14="","",TEXT(M14,"M/D-")) &amp; IF(N14="","",TEXT(N14,"M/D")) &amp; " "</f>
        <v xml:space="preserve">   0.00% KJ-Auto remit for multiple-accounts use(Max,Pralhad) 8/22-8/22 </v>
      </c>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row>
    <row r="15" spans="1:98" outlineLevel="1">
      <c r="A15" s="116"/>
      <c r="B15" s="116"/>
      <c r="C15" s="116">
        <v>2</v>
      </c>
      <c r="D15" s="3" t="s">
        <v>1178</v>
      </c>
      <c r="E15" s="184"/>
      <c r="F15" s="217" t="s">
        <v>1166</v>
      </c>
      <c r="G15" s="184"/>
      <c r="H15" s="184"/>
      <c r="I15" s="184"/>
      <c r="J15" s="184"/>
      <c r="K15" s="184"/>
      <c r="L15" s="184"/>
      <c r="M15" s="185">
        <v>43654</v>
      </c>
      <c r="N15" s="185">
        <v>43654</v>
      </c>
      <c r="O15" s="186"/>
      <c r="P15" s="187">
        <v>1</v>
      </c>
      <c r="Q15" s="187">
        <v>1</v>
      </c>
      <c r="R15" s="188">
        <v>1</v>
      </c>
      <c r="S15" s="188">
        <v>1</v>
      </c>
      <c r="T15" s="185"/>
      <c r="U15" s="185"/>
      <c r="V15" s="189"/>
      <c r="W15" s="190">
        <v>0</v>
      </c>
      <c r="X15" s="191">
        <v>1</v>
      </c>
      <c r="Y15" s="186" t="s">
        <v>1294</v>
      </c>
      <c r="Z15" s="192"/>
      <c r="AA15" s="97">
        <v>1</v>
      </c>
      <c r="AB15" s="193">
        <v>1</v>
      </c>
      <c r="AC15" s="123"/>
      <c r="AD15" s="4" t="str">
        <f>" " &amp; TEXT(AB15,"#0.00%") &amp; " " &amp; "Registration logic" &amp; "(Max,Pralhad)" &amp; " " &amp; IF(M15="","",TEXT(M15,"M/D-")) &amp; IF(N15="","",TEXT(N15,"M/D")) &amp; " "</f>
        <v xml:space="preserve"> 100.00% Registration logic(Max,Pralhad) 7/8-7/8 </v>
      </c>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row>
    <row r="16" spans="1:98" outlineLevel="1">
      <c r="A16" s="116"/>
      <c r="B16" s="116"/>
      <c r="C16" s="116">
        <v>2</v>
      </c>
      <c r="D16" s="3" t="s">
        <v>1179</v>
      </c>
      <c r="E16" s="184"/>
      <c r="F16" s="217" t="s">
        <v>1291</v>
      </c>
      <c r="G16" s="184"/>
      <c r="H16" s="184"/>
      <c r="I16" s="184"/>
      <c r="J16" s="184"/>
      <c r="K16" s="184"/>
      <c r="L16" s="184"/>
      <c r="M16" s="185">
        <v>43655</v>
      </c>
      <c r="N16" s="185">
        <v>43655</v>
      </c>
      <c r="O16" s="186"/>
      <c r="P16" s="187">
        <v>1</v>
      </c>
      <c r="Q16" s="187">
        <v>1</v>
      </c>
      <c r="R16" s="188">
        <v>1</v>
      </c>
      <c r="S16" s="188">
        <v>1</v>
      </c>
      <c r="T16" s="185"/>
      <c r="U16" s="185"/>
      <c r="V16" s="189"/>
      <c r="W16" s="190">
        <v>0</v>
      </c>
      <c r="X16" s="191">
        <v>1</v>
      </c>
      <c r="Y16" s="186" t="s">
        <v>1294</v>
      </c>
      <c r="Z16" s="192"/>
      <c r="AA16" s="97">
        <v>1</v>
      </c>
      <c r="AB16" s="193">
        <v>1</v>
      </c>
      <c r="AC16" s="123"/>
      <c r="AD16" s="4" t="str">
        <f>"  " &amp; TEXT(AB16,"#0.00%") &amp; " " &amp; "Calculate in first screen" &amp; "(Max,Pralhad)" &amp; " " &amp; IF(M16="","",TEXT(M16,"M/D-")) &amp; IF(N16="","",TEXT(N16,"M/D")) &amp; " "</f>
        <v xml:space="preserve">  100.00% Calculate in first screen(Max,Pralhad) 7/9-7/9 </v>
      </c>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row>
    <row r="17" spans="1:98" outlineLevel="1">
      <c r="A17" s="116"/>
      <c r="B17" s="116"/>
      <c r="C17" s="116">
        <v>2</v>
      </c>
      <c r="D17" s="3" t="s">
        <v>1180</v>
      </c>
      <c r="E17" s="184"/>
      <c r="F17" s="217" t="s">
        <v>1167</v>
      </c>
      <c r="G17" s="184"/>
      <c r="H17" s="184"/>
      <c r="I17" s="184"/>
      <c r="J17" s="184"/>
      <c r="K17" s="184"/>
      <c r="L17" s="184"/>
      <c r="M17" s="185">
        <v>43656</v>
      </c>
      <c r="N17" s="185">
        <v>43656</v>
      </c>
      <c r="O17" s="186"/>
      <c r="P17" s="187">
        <v>1</v>
      </c>
      <c r="Q17" s="187">
        <v>1</v>
      </c>
      <c r="R17" s="188">
        <v>1</v>
      </c>
      <c r="S17" s="188">
        <v>1</v>
      </c>
      <c r="T17" s="185"/>
      <c r="U17" s="185"/>
      <c r="V17" s="189"/>
      <c r="W17" s="190">
        <v>0</v>
      </c>
      <c r="X17" s="191">
        <v>1</v>
      </c>
      <c r="Y17" s="186" t="s">
        <v>1294</v>
      </c>
      <c r="Z17" s="192"/>
      <c r="AA17" s="97">
        <v>1</v>
      </c>
      <c r="AB17" s="193">
        <v>0</v>
      </c>
      <c r="AC17" s="123"/>
      <c r="AD17" s="4" t="str">
        <f>"  " &amp; TEXT(AB17,"#0.00%") &amp; " " &amp; "Dynamic receiver setup" &amp; "(Max,Pralhad)" &amp; " " &amp; IF(M17="","",TEXT(M17,"M/D-")) &amp; IF(N17="","",TEXT(N17,"M/D")) &amp; " "</f>
        <v xml:space="preserve">  0.00% Dynamic receiver setup(Max,Pralhad) 7/10-7/10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row>
    <row r="18" spans="1:98" outlineLevel="1">
      <c r="A18" s="116"/>
      <c r="B18" s="116"/>
      <c r="C18" s="116">
        <v>2</v>
      </c>
      <c r="D18" s="3" t="s">
        <v>1181</v>
      </c>
      <c r="E18" s="184"/>
      <c r="F18" s="217" t="s">
        <v>1168</v>
      </c>
      <c r="G18" s="184"/>
      <c r="H18" s="184"/>
      <c r="I18" s="184"/>
      <c r="J18" s="184"/>
      <c r="K18" s="184"/>
      <c r="L18" s="184"/>
      <c r="M18" s="185">
        <v>43657</v>
      </c>
      <c r="N18" s="185">
        <v>43657</v>
      </c>
      <c r="O18" s="186"/>
      <c r="P18" s="187">
        <v>1</v>
      </c>
      <c r="Q18" s="187">
        <v>1</v>
      </c>
      <c r="R18" s="188">
        <v>1</v>
      </c>
      <c r="S18" s="188">
        <v>1</v>
      </c>
      <c r="T18" s="185"/>
      <c r="U18" s="185"/>
      <c r="V18" s="189"/>
      <c r="W18" s="190">
        <v>0</v>
      </c>
      <c r="X18" s="191">
        <v>1</v>
      </c>
      <c r="Y18" s="186" t="s">
        <v>1294</v>
      </c>
      <c r="Z18" s="192"/>
      <c r="AA18" s="97">
        <v>1</v>
      </c>
      <c r="AB18" s="193">
        <v>0</v>
      </c>
      <c r="AC18" s="123"/>
      <c r="AD18" s="4" t="str">
        <f>"   " &amp; TEXT(AB18,"#0.00%") &amp; " " &amp; "Send Txn process same as web" &amp; "(Max,Pralhad)" &amp; " " &amp; IF(M18="","",TEXT(M18,"M/D-")) &amp; IF(N18="","",TEXT(N18,"M/D")) &amp; " "</f>
        <v xml:space="preserve">   0.00% Send Txn process same as web(Max,Pralhad) 7/11-7/11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row>
    <row r="19" spans="1:98" outlineLevel="1">
      <c r="A19" s="116"/>
      <c r="B19" s="116"/>
      <c r="C19" s="116">
        <v>2</v>
      </c>
      <c r="D19" s="3" t="s">
        <v>1182</v>
      </c>
      <c r="E19" s="184"/>
      <c r="F19" s="217" t="s">
        <v>1169</v>
      </c>
      <c r="G19" s="184"/>
      <c r="H19" s="184"/>
      <c r="I19" s="184"/>
      <c r="J19" s="184"/>
      <c r="K19" s="184"/>
      <c r="L19" s="184"/>
      <c r="M19" s="185">
        <v>43658</v>
      </c>
      <c r="N19" s="185">
        <v>43658</v>
      </c>
      <c r="O19" s="186"/>
      <c r="P19" s="187">
        <v>1</v>
      </c>
      <c r="Q19" s="187">
        <v>1</v>
      </c>
      <c r="R19" s="188">
        <v>1</v>
      </c>
      <c r="S19" s="188">
        <v>1</v>
      </c>
      <c r="T19" s="185"/>
      <c r="U19" s="185"/>
      <c r="V19" s="189"/>
      <c r="W19" s="190">
        <v>0</v>
      </c>
      <c r="X19" s="191">
        <v>1</v>
      </c>
      <c r="Y19" s="186" t="s">
        <v>1294</v>
      </c>
      <c r="Z19" s="192"/>
      <c r="AA19" s="97">
        <v>1</v>
      </c>
      <c r="AB19" s="193">
        <v>1</v>
      </c>
      <c r="AC19" s="123"/>
      <c r="AD19" s="4" t="str">
        <f>"     " &amp; TEXT(AB19,"#0.00%") &amp; " " &amp; "Resend method not to check anything" &amp; "(Max,Pralhad)" &amp; " " &amp; IF(M19="","",TEXT(M19,"M/D-")) &amp; IF(N19="","",TEXT(N19,"M/D")) &amp; " "</f>
        <v xml:space="preserve">     100.00% Resend method not to check anything(Max,Pralhad) 7/12-7/12 </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row>
    <row r="20" spans="1:98" outlineLevel="1">
      <c r="A20" s="116"/>
      <c r="B20" s="116"/>
      <c r="C20" s="116">
        <v>2</v>
      </c>
      <c r="D20" s="3" t="s">
        <v>1302</v>
      </c>
      <c r="E20" s="184"/>
      <c r="F20" s="217" t="s">
        <v>1298</v>
      </c>
      <c r="G20" s="184"/>
      <c r="H20" s="184"/>
      <c r="I20" s="184"/>
      <c r="J20" s="184"/>
      <c r="K20" s="184"/>
      <c r="L20" s="184"/>
      <c r="M20" s="185"/>
      <c r="N20" s="185"/>
      <c r="O20" s="186"/>
      <c r="P20" s="187">
        <v>0</v>
      </c>
      <c r="Q20" s="187">
        <v>0</v>
      </c>
      <c r="R20" s="188">
        <v>0</v>
      </c>
      <c r="S20" s="188">
        <v>0</v>
      </c>
      <c r="T20" s="185"/>
      <c r="U20" s="185"/>
      <c r="V20" s="189">
        <v>0</v>
      </c>
      <c r="W20" s="190">
        <v>0</v>
      </c>
      <c r="X20" s="191"/>
      <c r="Y20" s="186"/>
      <c r="Z20" s="192"/>
      <c r="AA20" s="97">
        <v>0</v>
      </c>
      <c r="AB20" s="193">
        <v>0</v>
      </c>
      <c r="AC20" s="123"/>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row>
    <row r="21" spans="1:98" outlineLevel="1">
      <c r="A21" s="116"/>
      <c r="B21" s="116"/>
      <c r="C21" s="116">
        <v>2</v>
      </c>
      <c r="D21" s="3" t="s">
        <v>1303</v>
      </c>
      <c r="E21" s="184"/>
      <c r="F21" s="217" t="s">
        <v>1299</v>
      </c>
      <c r="G21" s="184"/>
      <c r="H21" s="184"/>
      <c r="I21" s="184"/>
      <c r="J21" s="184"/>
      <c r="K21" s="184"/>
      <c r="L21" s="184"/>
      <c r="M21" s="185"/>
      <c r="N21" s="185"/>
      <c r="O21" s="186"/>
      <c r="P21" s="187">
        <v>0</v>
      </c>
      <c r="Q21" s="187">
        <v>0</v>
      </c>
      <c r="R21" s="188">
        <v>0</v>
      </c>
      <c r="S21" s="188">
        <v>0</v>
      </c>
      <c r="T21" s="185"/>
      <c r="U21" s="185"/>
      <c r="V21" s="189">
        <v>0</v>
      </c>
      <c r="W21" s="190">
        <v>0</v>
      </c>
      <c r="X21" s="191"/>
      <c r="Y21" s="186"/>
      <c r="Z21" s="192"/>
      <c r="AA21" s="97">
        <v>0</v>
      </c>
      <c r="AB21" s="193">
        <v>0</v>
      </c>
      <c r="AC21" s="123"/>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row>
    <row r="22" spans="1:98" outlineLevel="1">
      <c r="A22" s="116"/>
      <c r="B22" s="116"/>
      <c r="C22" s="116">
        <v>2</v>
      </c>
      <c r="D22" s="3" t="s">
        <v>1304</v>
      </c>
      <c r="E22" s="184"/>
      <c r="F22" s="217" t="s">
        <v>1300</v>
      </c>
      <c r="G22" s="184"/>
      <c r="H22" s="184"/>
      <c r="I22" s="184"/>
      <c r="J22" s="184"/>
      <c r="K22" s="184"/>
      <c r="L22" s="184"/>
      <c r="M22" s="185"/>
      <c r="N22" s="185"/>
      <c r="O22" s="186"/>
      <c r="P22" s="187">
        <v>0</v>
      </c>
      <c r="Q22" s="187">
        <v>0</v>
      </c>
      <c r="R22" s="188">
        <v>0</v>
      </c>
      <c r="S22" s="188">
        <v>0</v>
      </c>
      <c r="T22" s="185"/>
      <c r="U22" s="185"/>
      <c r="V22" s="189">
        <v>0</v>
      </c>
      <c r="W22" s="190">
        <v>0</v>
      </c>
      <c r="X22" s="191"/>
      <c r="Y22" s="186"/>
      <c r="Z22" s="192"/>
      <c r="AA22" s="97">
        <v>0</v>
      </c>
      <c r="AB22" s="193">
        <v>0</v>
      </c>
      <c r="AC22" s="123"/>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row>
    <row r="23" spans="1:98" outlineLevel="1">
      <c r="A23" s="116"/>
      <c r="B23" s="116"/>
      <c r="C23" s="116">
        <v>2</v>
      </c>
      <c r="D23" s="3" t="s">
        <v>1305</v>
      </c>
      <c r="E23" s="184"/>
      <c r="F23" s="217" t="s">
        <v>1171</v>
      </c>
      <c r="G23" s="184"/>
      <c r="H23" s="184"/>
      <c r="I23" s="184"/>
      <c r="J23" s="184"/>
      <c r="K23" s="184"/>
      <c r="L23" s="184"/>
      <c r="M23" s="185"/>
      <c r="N23" s="185"/>
      <c r="O23" s="186"/>
      <c r="P23" s="187">
        <v>0</v>
      </c>
      <c r="Q23" s="187">
        <v>0</v>
      </c>
      <c r="R23" s="188">
        <v>0</v>
      </c>
      <c r="S23" s="188">
        <v>0</v>
      </c>
      <c r="T23" s="185"/>
      <c r="U23" s="185"/>
      <c r="V23" s="189">
        <v>0</v>
      </c>
      <c r="W23" s="190">
        <v>0</v>
      </c>
      <c r="X23" s="191"/>
      <c r="Y23" s="186"/>
      <c r="Z23" s="192"/>
      <c r="AA23" s="97">
        <v>0</v>
      </c>
      <c r="AB23" s="193">
        <v>0</v>
      </c>
      <c r="AC23" s="123"/>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row>
    <row r="24" spans="1:98" outlineLevel="1">
      <c r="A24" s="116"/>
      <c r="B24" s="116"/>
      <c r="C24" s="116">
        <v>2</v>
      </c>
      <c r="D24" s="3" t="s">
        <v>1306</v>
      </c>
      <c r="E24" s="184"/>
      <c r="F24" s="217" t="s">
        <v>1301</v>
      </c>
      <c r="G24" s="184"/>
      <c r="H24" s="184"/>
      <c r="I24" s="184"/>
      <c r="J24" s="184"/>
      <c r="K24" s="184"/>
      <c r="L24" s="184"/>
      <c r="M24" s="185"/>
      <c r="N24" s="185"/>
      <c r="O24" s="186"/>
      <c r="P24" s="187">
        <v>0</v>
      </c>
      <c r="Q24" s="187">
        <v>0</v>
      </c>
      <c r="R24" s="188">
        <v>0</v>
      </c>
      <c r="S24" s="188">
        <v>0</v>
      </c>
      <c r="T24" s="185"/>
      <c r="U24" s="185"/>
      <c r="V24" s="189">
        <v>0</v>
      </c>
      <c r="W24" s="190">
        <v>0</v>
      </c>
      <c r="X24" s="191"/>
      <c r="Y24" s="186"/>
      <c r="Z24" s="192"/>
      <c r="AA24" s="97">
        <v>0</v>
      </c>
      <c r="AB24" s="193">
        <v>0</v>
      </c>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row>
    <row r="25" spans="1:98" outlineLevel="1">
      <c r="A25" s="116"/>
      <c r="B25" s="116"/>
      <c r="C25" s="116">
        <v>0</v>
      </c>
      <c r="D25" s="3"/>
      <c r="E25" s="184"/>
      <c r="F25" s="217"/>
      <c r="G25" s="184"/>
      <c r="H25" s="184"/>
      <c r="I25" s="184"/>
      <c r="J25" s="184"/>
      <c r="K25" s="184"/>
      <c r="L25" s="184"/>
      <c r="M25" s="185"/>
      <c r="N25" s="185"/>
      <c r="O25" s="186"/>
      <c r="P25" s="187"/>
      <c r="Q25" s="187"/>
      <c r="R25" s="188">
        <v>0</v>
      </c>
      <c r="S25" s="188">
        <v>0</v>
      </c>
      <c r="T25" s="185"/>
      <c r="U25" s="185"/>
      <c r="V25" s="189"/>
      <c r="W25" s="190">
        <v>0</v>
      </c>
      <c r="X25" s="191"/>
      <c r="Y25" s="186"/>
      <c r="Z25" s="192"/>
      <c r="AA25" s="97"/>
      <c r="AB25" s="193">
        <v>0</v>
      </c>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row>
    <row r="26" spans="1:98" outlineLevel="1">
      <c r="A26" s="116"/>
      <c r="B26" s="116"/>
      <c r="C26" s="116">
        <v>0</v>
      </c>
      <c r="D26" s="3"/>
      <c r="E26" s="184"/>
      <c r="F26" s="184"/>
      <c r="G26" s="184"/>
      <c r="H26" s="184"/>
      <c r="I26" s="184"/>
      <c r="J26" s="184"/>
      <c r="K26" s="184"/>
      <c r="L26" s="184"/>
      <c r="M26" s="185"/>
      <c r="N26" s="185"/>
      <c r="O26" s="186"/>
      <c r="P26" s="187"/>
      <c r="Q26" s="187"/>
      <c r="R26" s="188">
        <v>0</v>
      </c>
      <c r="S26" s="188">
        <v>0</v>
      </c>
      <c r="T26" s="185"/>
      <c r="U26" s="185"/>
      <c r="V26" s="189"/>
      <c r="W26" s="190">
        <v>0</v>
      </c>
      <c r="X26" s="191"/>
      <c r="Y26" s="186"/>
      <c r="Z26" s="192"/>
      <c r="AA26" s="97"/>
      <c r="AB26" s="193">
        <v>0</v>
      </c>
      <c r="AC26" s="123"/>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row>
    <row r="27" spans="1:98">
      <c r="A27" s="116"/>
      <c r="B27" s="116" t="s">
        <v>1063</v>
      </c>
      <c r="C27" s="116">
        <v>1</v>
      </c>
      <c r="D27" s="3" t="s">
        <v>1130</v>
      </c>
      <c r="E27" s="215" t="s">
        <v>1025</v>
      </c>
      <c r="F27" s="184"/>
      <c r="G27" s="184"/>
      <c r="H27" s="184"/>
      <c r="I27" s="184"/>
      <c r="J27" s="184"/>
      <c r="K27" s="184"/>
      <c r="L27" s="184"/>
      <c r="M27" s="185">
        <v>43650</v>
      </c>
      <c r="N27" s="185">
        <v>43693</v>
      </c>
      <c r="O27" s="186"/>
      <c r="P27" s="187">
        <v>90</v>
      </c>
      <c r="Q27" s="187">
        <v>83</v>
      </c>
      <c r="R27" s="188">
        <v>31</v>
      </c>
      <c r="S27" s="188">
        <v>20</v>
      </c>
      <c r="T27" s="185"/>
      <c r="U27" s="185"/>
      <c r="V27" s="189">
        <v>0</v>
      </c>
      <c r="W27" s="190">
        <v>0</v>
      </c>
      <c r="X27" s="191"/>
      <c r="Y27" s="186"/>
      <c r="Z27" s="192"/>
      <c r="AA27" s="97">
        <v>0.92222222222222228</v>
      </c>
      <c r="AB27" s="193">
        <v>0.28888888888888886</v>
      </c>
      <c r="AC27" s="123"/>
      <c r="AD27" s="4"/>
      <c r="AE27" s="4" t="str">
        <f>"  " &amp; TEXT(AB27,"#0.00%") &amp; " "</f>
        <v xml:space="preserve">  28.89% </v>
      </c>
      <c r="AF27" s="4"/>
      <c r="AG27" s="4"/>
      <c r="AH27" s="4"/>
      <c r="AI27" s="4" t="str">
        <f>"     " &amp; "구현" &amp; " " &amp; IF(M27="","",TEXT(M27,"M/D-")) &amp; IF(N27="","",TEXT(N27,"M/D")) &amp; " "</f>
        <v xml:space="preserve">     구현 7/4-8/16 </v>
      </c>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row>
    <row r="28" spans="1:98" outlineLevel="1">
      <c r="A28" s="116"/>
      <c r="B28" s="116" t="s">
        <v>1063</v>
      </c>
      <c r="C28" s="116">
        <v>2</v>
      </c>
      <c r="D28" s="3" t="s">
        <v>1131</v>
      </c>
      <c r="E28" s="215"/>
      <c r="F28" s="217" t="s">
        <v>1160</v>
      </c>
      <c r="G28" s="217"/>
      <c r="H28" s="184"/>
      <c r="I28" s="184"/>
      <c r="J28" s="184"/>
      <c r="K28" s="184"/>
      <c r="L28" s="184"/>
      <c r="M28" s="185">
        <v>43650</v>
      </c>
      <c r="N28" s="185">
        <v>43655</v>
      </c>
      <c r="O28" s="186"/>
      <c r="P28" s="187">
        <v>4</v>
      </c>
      <c r="Q28" s="187">
        <v>4</v>
      </c>
      <c r="R28" s="188">
        <v>4</v>
      </c>
      <c r="S28" s="188">
        <v>4</v>
      </c>
      <c r="T28" s="185"/>
      <c r="U28" s="185"/>
      <c r="V28" s="189">
        <v>0</v>
      </c>
      <c r="W28" s="190">
        <v>0</v>
      </c>
      <c r="X28" s="191"/>
      <c r="Y28" s="186"/>
      <c r="Z28" s="192"/>
      <c r="AA28" s="97">
        <v>1</v>
      </c>
      <c r="AB28" s="193">
        <v>1</v>
      </c>
      <c r="AC28" s="123"/>
      <c r="AD28" s="4" t="str">
        <f>"  " &amp; TEXT(AB28,"#0.00%") &amp; " " &amp; "Thuns for Myanmar" &amp; " " &amp; IF(M28="","",TEXT(M28,"M/D-")) &amp; IF(N28="","",TEXT(N28,"M/D")) &amp; " "</f>
        <v xml:space="preserve">  100.00% Thuns for Myanmar 7/4-7/9 </v>
      </c>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row>
    <row r="29" spans="1:98" outlineLevel="2">
      <c r="A29" s="116"/>
      <c r="B29" s="116"/>
      <c r="C29" s="116">
        <v>3</v>
      </c>
      <c r="D29" s="3" t="s">
        <v>1204</v>
      </c>
      <c r="E29" s="215"/>
      <c r="F29" s="217"/>
      <c r="G29" s="217" t="s">
        <v>1260</v>
      </c>
      <c r="H29" s="184"/>
      <c r="I29" s="184"/>
      <c r="J29" s="184"/>
      <c r="K29" s="184"/>
      <c r="L29" s="184"/>
      <c r="M29" s="185"/>
      <c r="N29" s="185"/>
      <c r="O29" s="186"/>
      <c r="P29" s="187">
        <v>0</v>
      </c>
      <c r="Q29" s="187">
        <v>0</v>
      </c>
      <c r="R29" s="188">
        <v>0</v>
      </c>
      <c r="S29" s="188">
        <v>0</v>
      </c>
      <c r="T29" s="185"/>
      <c r="U29" s="185"/>
      <c r="V29" s="189">
        <v>0</v>
      </c>
      <c r="W29" s="190">
        <v>0</v>
      </c>
      <c r="X29" s="191"/>
      <c r="Y29" s="186"/>
      <c r="Z29" s="192"/>
      <c r="AA29" s="97">
        <v>0</v>
      </c>
      <c r="AB29" s="193">
        <v>0</v>
      </c>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row>
    <row r="30" spans="1:98" outlineLevel="2">
      <c r="A30" s="116"/>
      <c r="B30" s="116"/>
      <c r="C30" s="116">
        <v>3</v>
      </c>
      <c r="D30" s="3" t="s">
        <v>1205</v>
      </c>
      <c r="E30" s="215"/>
      <c r="F30" s="217"/>
      <c r="G30" s="217" t="s">
        <v>1261</v>
      </c>
      <c r="H30" s="184"/>
      <c r="I30" s="184"/>
      <c r="J30" s="184"/>
      <c r="K30" s="184"/>
      <c r="L30" s="184"/>
      <c r="M30" s="185"/>
      <c r="N30" s="185"/>
      <c r="O30" s="186"/>
      <c r="P30" s="187">
        <v>0</v>
      </c>
      <c r="Q30" s="187">
        <v>0</v>
      </c>
      <c r="R30" s="188">
        <v>0</v>
      </c>
      <c r="S30" s="188">
        <v>0</v>
      </c>
      <c r="T30" s="185"/>
      <c r="U30" s="185"/>
      <c r="V30" s="189">
        <v>0</v>
      </c>
      <c r="W30" s="190">
        <v>0</v>
      </c>
      <c r="X30" s="191"/>
      <c r="Y30" s="186"/>
      <c r="Z30" s="192"/>
      <c r="AA30" s="97">
        <v>0</v>
      </c>
      <c r="AB30" s="193">
        <v>0</v>
      </c>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row>
    <row r="31" spans="1:98" outlineLevel="2">
      <c r="A31" s="116"/>
      <c r="B31" s="116"/>
      <c r="C31" s="116">
        <v>3</v>
      </c>
      <c r="D31" s="3" t="s">
        <v>1206</v>
      </c>
      <c r="E31" s="215"/>
      <c r="F31" s="217"/>
      <c r="G31" s="217" t="s">
        <v>1262</v>
      </c>
      <c r="H31" s="184"/>
      <c r="I31" s="184"/>
      <c r="J31" s="184"/>
      <c r="K31" s="184"/>
      <c r="L31" s="184"/>
      <c r="M31" s="185">
        <v>43650</v>
      </c>
      <c r="N31" s="185">
        <v>43655</v>
      </c>
      <c r="O31" s="186"/>
      <c r="P31" s="187">
        <v>4</v>
      </c>
      <c r="Q31" s="187">
        <v>4</v>
      </c>
      <c r="R31" s="188">
        <v>4</v>
      </c>
      <c r="S31" s="188">
        <v>4</v>
      </c>
      <c r="T31" s="185"/>
      <c r="U31" s="185"/>
      <c r="V31" s="189"/>
      <c r="W31" s="190">
        <v>0</v>
      </c>
      <c r="X31" s="191">
        <v>1</v>
      </c>
      <c r="Y31" s="186" t="s">
        <v>1290</v>
      </c>
      <c r="Z31" s="192"/>
      <c r="AA31" s="97">
        <v>1</v>
      </c>
      <c r="AB31" s="193">
        <v>1</v>
      </c>
      <c r="AC31" s="123"/>
      <c r="AD31" s="4" t="str">
        <f>"  " &amp; TEXT(AB31,"#0.00%") &amp; " " &amp; "API" &amp; "(Saroj)" &amp; " " &amp; IF(M31="","",TEXT(M31,"M/D-")) &amp; IF(N31="","",TEXT(N31,"M/D")) &amp; " "</f>
        <v xml:space="preserve">  100.00% API(Saroj) 7/4-7/9 </v>
      </c>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row>
    <row r="32" spans="1:98" outlineLevel="2">
      <c r="A32" s="116"/>
      <c r="B32" s="116"/>
      <c r="C32" s="116">
        <v>3</v>
      </c>
      <c r="D32" s="3" t="s">
        <v>1207</v>
      </c>
      <c r="E32" s="215"/>
      <c r="F32" s="217"/>
      <c r="G32" s="217" t="s">
        <v>1263</v>
      </c>
      <c r="H32" s="184"/>
      <c r="I32" s="184"/>
      <c r="J32" s="184"/>
      <c r="K32" s="184"/>
      <c r="L32" s="184"/>
      <c r="M32" s="185"/>
      <c r="N32" s="185"/>
      <c r="O32" s="186"/>
      <c r="P32" s="187">
        <v>0</v>
      </c>
      <c r="Q32" s="187">
        <v>0</v>
      </c>
      <c r="R32" s="188">
        <v>0</v>
      </c>
      <c r="S32" s="188">
        <v>0</v>
      </c>
      <c r="T32" s="185"/>
      <c r="U32" s="185"/>
      <c r="V32" s="189">
        <v>0</v>
      </c>
      <c r="W32" s="190">
        <v>0</v>
      </c>
      <c r="X32" s="191"/>
      <c r="Y32" s="186"/>
      <c r="Z32" s="192"/>
      <c r="AA32" s="97">
        <v>0</v>
      </c>
      <c r="AB32" s="193">
        <v>0</v>
      </c>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row>
    <row r="33" spans="1:98" outlineLevel="2">
      <c r="A33" s="116"/>
      <c r="B33" s="116"/>
      <c r="C33" s="116">
        <v>0</v>
      </c>
      <c r="D33" s="3"/>
      <c r="E33" s="215"/>
      <c r="F33" s="217"/>
      <c r="G33" s="217"/>
      <c r="H33" s="184"/>
      <c r="I33" s="184"/>
      <c r="J33" s="184"/>
      <c r="K33" s="184"/>
      <c r="L33" s="184"/>
      <c r="M33" s="185"/>
      <c r="N33" s="185"/>
      <c r="O33" s="186"/>
      <c r="P33" s="187"/>
      <c r="Q33" s="187"/>
      <c r="R33" s="188">
        <v>0</v>
      </c>
      <c r="S33" s="188">
        <v>0</v>
      </c>
      <c r="T33" s="185"/>
      <c r="U33" s="185"/>
      <c r="V33" s="189"/>
      <c r="W33" s="190">
        <v>0</v>
      </c>
      <c r="X33" s="191"/>
      <c r="Y33" s="186"/>
      <c r="Z33" s="192"/>
      <c r="AA33" s="97"/>
      <c r="AB33" s="193"/>
      <c r="AC33" s="123"/>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row>
    <row r="34" spans="1:98" outlineLevel="1">
      <c r="A34" s="116"/>
      <c r="B34" s="116" t="s">
        <v>1063</v>
      </c>
      <c r="C34" s="116">
        <v>2</v>
      </c>
      <c r="D34" s="3" t="s">
        <v>1141</v>
      </c>
      <c r="E34" s="215"/>
      <c r="F34" s="217" t="s">
        <v>1161</v>
      </c>
      <c r="G34" s="217"/>
      <c r="H34" s="184"/>
      <c r="I34" s="184"/>
      <c r="J34" s="184"/>
      <c r="K34" s="184"/>
      <c r="L34" s="184"/>
      <c r="M34" s="185">
        <v>43657</v>
      </c>
      <c r="N34" s="185">
        <v>43670</v>
      </c>
      <c r="O34" s="186"/>
      <c r="P34" s="187">
        <v>13</v>
      </c>
      <c r="Q34" s="187">
        <v>13</v>
      </c>
      <c r="R34" s="188">
        <v>10</v>
      </c>
      <c r="S34" s="188">
        <v>10</v>
      </c>
      <c r="T34" s="185"/>
      <c r="U34" s="185"/>
      <c r="V34" s="189">
        <v>0</v>
      </c>
      <c r="W34" s="190">
        <v>0</v>
      </c>
      <c r="X34" s="191"/>
      <c r="Y34" s="186"/>
      <c r="Z34" s="192"/>
      <c r="AA34" s="97">
        <v>1</v>
      </c>
      <c r="AB34" s="193">
        <v>1</v>
      </c>
      <c r="AC34" s="123"/>
      <c r="AD34" s="4"/>
      <c r="AE34" s="4"/>
      <c r="AF34" s="4" t="str">
        <f>"   " &amp; TEXT(AB34,"#0.00%") &amp; " " &amp; "Lyhour API for Cambodia deposit" &amp; " " &amp; IF(M34="","",TEXT(M34,"M/D-")) &amp; IF(N34="","",TEXT(N34,"M/D")) &amp; " "</f>
        <v xml:space="preserve">   100.00% Lyhour API for Cambodia deposit 7/11-7/24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row>
    <row r="35" spans="1:98" outlineLevel="2">
      <c r="A35" s="116"/>
      <c r="B35" s="116"/>
      <c r="C35" s="116">
        <v>3</v>
      </c>
      <c r="D35" s="3" t="s">
        <v>1208</v>
      </c>
      <c r="E35" s="215"/>
      <c r="F35" s="217"/>
      <c r="G35" s="217" t="s">
        <v>1260</v>
      </c>
      <c r="H35" s="184"/>
      <c r="I35" s="184"/>
      <c r="J35" s="184"/>
      <c r="K35" s="184"/>
      <c r="L35" s="184"/>
      <c r="M35" s="185">
        <v>43663</v>
      </c>
      <c r="N35" s="185">
        <v>43665</v>
      </c>
      <c r="O35" s="186"/>
      <c r="P35" s="187">
        <v>3</v>
      </c>
      <c r="Q35" s="187">
        <v>3</v>
      </c>
      <c r="R35" s="188">
        <v>3</v>
      </c>
      <c r="S35" s="188">
        <v>3</v>
      </c>
      <c r="T35" s="185"/>
      <c r="U35" s="185"/>
      <c r="V35" s="189"/>
      <c r="W35" s="190">
        <v>0</v>
      </c>
      <c r="X35" s="191">
        <v>1</v>
      </c>
      <c r="Y35" s="186" t="s">
        <v>1290</v>
      </c>
      <c r="Z35" s="192"/>
      <c r="AA35" s="97">
        <v>1</v>
      </c>
      <c r="AB35" s="193">
        <v>1</v>
      </c>
      <c r="AC35" s="123"/>
      <c r="AD35" s="4"/>
      <c r="AE35" s="4" t="str">
        <f>"     " &amp; TEXT(AB35,"#0.00%") &amp; " " &amp; "Core" &amp; "(Saroj)" &amp; " " &amp; IF(M35="","",TEXT(M35,"M/D-")) &amp; IF(N35="","",TEXT(N35,"M/D")) &amp; " "</f>
        <v xml:space="preserve">     100.00% Core(Saroj) 7/17-7/19 </v>
      </c>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row>
    <row r="36" spans="1:98" outlineLevel="2">
      <c r="A36" s="116"/>
      <c r="B36" s="116"/>
      <c r="C36" s="116">
        <v>3</v>
      </c>
      <c r="D36" s="3" t="s">
        <v>1209</v>
      </c>
      <c r="E36" s="215"/>
      <c r="F36" s="217"/>
      <c r="G36" s="217" t="s">
        <v>1261</v>
      </c>
      <c r="H36" s="184"/>
      <c r="I36" s="184"/>
      <c r="J36" s="184"/>
      <c r="K36" s="184"/>
      <c r="L36" s="184"/>
      <c r="M36" s="185"/>
      <c r="N36" s="185"/>
      <c r="O36" s="186"/>
      <c r="P36" s="187">
        <v>0</v>
      </c>
      <c r="Q36" s="187">
        <v>0</v>
      </c>
      <c r="R36" s="188">
        <v>0</v>
      </c>
      <c r="S36" s="188">
        <v>0</v>
      </c>
      <c r="T36" s="185"/>
      <c r="U36" s="185"/>
      <c r="V36" s="189">
        <v>0</v>
      </c>
      <c r="W36" s="190">
        <v>0</v>
      </c>
      <c r="X36" s="191"/>
      <c r="Y36" s="186"/>
      <c r="Z36" s="192"/>
      <c r="AA36" s="97">
        <v>0</v>
      </c>
      <c r="AB36" s="193">
        <v>0</v>
      </c>
      <c r="AC36" s="123"/>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row>
    <row r="37" spans="1:98" outlineLevel="2">
      <c r="A37" s="116"/>
      <c r="B37" s="116"/>
      <c r="C37" s="116">
        <v>3</v>
      </c>
      <c r="D37" s="3" t="s">
        <v>1210</v>
      </c>
      <c r="E37" s="215"/>
      <c r="F37" s="217"/>
      <c r="G37" s="217" t="s">
        <v>1262</v>
      </c>
      <c r="H37" s="184"/>
      <c r="I37" s="184"/>
      <c r="J37" s="184"/>
      <c r="K37" s="184"/>
      <c r="L37" s="184"/>
      <c r="M37" s="185">
        <v>43657</v>
      </c>
      <c r="N37" s="185">
        <v>43670</v>
      </c>
      <c r="O37" s="186"/>
      <c r="P37" s="187">
        <v>10</v>
      </c>
      <c r="Q37" s="187">
        <v>10</v>
      </c>
      <c r="R37" s="188">
        <v>10</v>
      </c>
      <c r="S37" s="188">
        <v>10</v>
      </c>
      <c r="T37" s="185"/>
      <c r="U37" s="185"/>
      <c r="V37" s="189"/>
      <c r="W37" s="190">
        <v>0</v>
      </c>
      <c r="X37" s="191">
        <v>1</v>
      </c>
      <c r="Y37" s="186" t="s">
        <v>1290</v>
      </c>
      <c r="Z37" s="192"/>
      <c r="AA37" s="97">
        <v>1</v>
      </c>
      <c r="AB37" s="193">
        <v>1</v>
      </c>
      <c r="AC37" s="123"/>
      <c r="AD37" s="4"/>
      <c r="AE37" s="4"/>
      <c r="AF37" s="4" t="str">
        <f>"   " &amp; TEXT(AB37,"#0.00%") &amp; " " &amp; "API" &amp; "(Saroj)" &amp; " " &amp; IF(M37="","",TEXT(M37,"M/D-")) &amp; IF(N37="","",TEXT(N37,"M/D")) &amp; " "</f>
        <v xml:space="preserve">   100.00% API(Saroj) 7/11-7/24 </v>
      </c>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row>
    <row r="38" spans="1:98" outlineLevel="2">
      <c r="A38" s="116"/>
      <c r="B38" s="116"/>
      <c r="C38" s="116">
        <v>3</v>
      </c>
      <c r="D38" s="3" t="s">
        <v>1211</v>
      </c>
      <c r="E38" s="215"/>
      <c r="F38" s="217"/>
      <c r="G38" s="217" t="s">
        <v>1263</v>
      </c>
      <c r="H38" s="184"/>
      <c r="I38" s="184"/>
      <c r="J38" s="184"/>
      <c r="K38" s="184"/>
      <c r="L38" s="184"/>
      <c r="M38" s="185"/>
      <c r="N38" s="185"/>
      <c r="O38" s="186"/>
      <c r="P38" s="187">
        <v>0</v>
      </c>
      <c r="Q38" s="187">
        <v>0</v>
      </c>
      <c r="R38" s="188">
        <v>0</v>
      </c>
      <c r="S38" s="188">
        <v>0</v>
      </c>
      <c r="T38" s="185"/>
      <c r="U38" s="185"/>
      <c r="V38" s="189">
        <v>0</v>
      </c>
      <c r="W38" s="190">
        <v>0</v>
      </c>
      <c r="X38" s="191"/>
      <c r="Y38" s="186"/>
      <c r="Z38" s="192"/>
      <c r="AA38" s="97">
        <v>0</v>
      </c>
      <c r="AB38" s="193">
        <v>0</v>
      </c>
      <c r="AC38" s="123"/>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row>
    <row r="39" spans="1:98" outlineLevel="2">
      <c r="A39" s="116"/>
      <c r="B39" s="116"/>
      <c r="C39" s="116">
        <v>0</v>
      </c>
      <c r="D39" s="3"/>
      <c r="E39" s="215"/>
      <c r="F39" s="217"/>
      <c r="G39" s="217"/>
      <c r="H39" s="184"/>
      <c r="I39" s="184"/>
      <c r="J39" s="184"/>
      <c r="K39" s="184"/>
      <c r="L39" s="184"/>
      <c r="M39" s="185"/>
      <c r="N39" s="185"/>
      <c r="O39" s="186"/>
      <c r="P39" s="187"/>
      <c r="Q39" s="187"/>
      <c r="R39" s="188">
        <v>0</v>
      </c>
      <c r="S39" s="188">
        <v>0</v>
      </c>
      <c r="T39" s="185"/>
      <c r="U39" s="185"/>
      <c r="V39" s="189"/>
      <c r="W39" s="190">
        <v>0</v>
      </c>
      <c r="X39" s="191"/>
      <c r="Y39" s="186"/>
      <c r="Z39" s="192"/>
      <c r="AA39" s="97"/>
      <c r="AB39" s="193"/>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row>
    <row r="40" spans="1:98" outlineLevel="1">
      <c r="A40" s="116"/>
      <c r="B40" s="116" t="s">
        <v>1063</v>
      </c>
      <c r="C40" s="116">
        <v>2</v>
      </c>
      <c r="D40" s="3" t="s">
        <v>1142</v>
      </c>
      <c r="E40" s="215"/>
      <c r="F40" s="217" t="s">
        <v>1162</v>
      </c>
      <c r="G40" s="217"/>
      <c r="H40" s="184"/>
      <c r="I40" s="184"/>
      <c r="J40" s="184"/>
      <c r="K40" s="184"/>
      <c r="L40" s="184"/>
      <c r="M40" s="185">
        <v>43654</v>
      </c>
      <c r="N40" s="185">
        <v>43671</v>
      </c>
      <c r="O40" s="186"/>
      <c r="P40" s="187">
        <v>19</v>
      </c>
      <c r="Q40" s="187">
        <v>19</v>
      </c>
      <c r="R40" s="188">
        <v>14</v>
      </c>
      <c r="S40" s="188">
        <v>14</v>
      </c>
      <c r="T40" s="185"/>
      <c r="U40" s="185"/>
      <c r="V40" s="189">
        <v>0</v>
      </c>
      <c r="W40" s="190">
        <v>0</v>
      </c>
      <c r="X40" s="191"/>
      <c r="Y40" s="186"/>
      <c r="Z40" s="192"/>
      <c r="AA40" s="97">
        <v>1</v>
      </c>
      <c r="AB40" s="193">
        <v>0.47368421052631576</v>
      </c>
      <c r="AC40" s="123"/>
      <c r="AD40" s="4"/>
      <c r="AE40" s="4" t="str">
        <f>"  " &amp; TEXT(AB40,"#0.00%") &amp; " " &amp; "Inbound(Online, App) 2nd Phase" &amp; " " &amp; IF(M40="","",TEXT(M40,"M/D-")) &amp; IF(N40="","",TEXT(N40,"M/D")) &amp; " "</f>
        <v xml:space="preserve">  47.37% Inbound(Online, App) 2nd Phase 7/8-7/25 </v>
      </c>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row>
    <row r="41" spans="1:98" outlineLevel="2">
      <c r="A41" s="116"/>
      <c r="B41" s="116"/>
      <c r="C41" s="116">
        <v>3</v>
      </c>
      <c r="D41" s="3" t="s">
        <v>1212</v>
      </c>
      <c r="E41" s="215"/>
      <c r="F41" s="217"/>
      <c r="G41" s="217" t="s">
        <v>1260</v>
      </c>
      <c r="H41" s="184"/>
      <c r="I41" s="184"/>
      <c r="J41" s="184"/>
      <c r="K41" s="184"/>
      <c r="L41" s="184"/>
      <c r="M41" s="185">
        <v>43668</v>
      </c>
      <c r="N41" s="185">
        <v>43671</v>
      </c>
      <c r="O41" s="186"/>
      <c r="P41" s="187">
        <v>4</v>
      </c>
      <c r="Q41" s="187">
        <v>4</v>
      </c>
      <c r="R41" s="188">
        <v>4</v>
      </c>
      <c r="S41" s="188">
        <v>4</v>
      </c>
      <c r="T41" s="185"/>
      <c r="U41" s="185"/>
      <c r="V41" s="189"/>
      <c r="W41" s="190">
        <v>0</v>
      </c>
      <c r="X41" s="191">
        <v>1</v>
      </c>
      <c r="Y41" s="186" t="s">
        <v>1295</v>
      </c>
      <c r="Z41" s="192"/>
      <c r="AA41" s="97">
        <v>1</v>
      </c>
      <c r="AB41" s="193">
        <v>1</v>
      </c>
      <c r="AC41" s="123"/>
      <c r="AD41" s="4"/>
      <c r="AE41" s="4"/>
      <c r="AF41" s="4" t="str">
        <f>"    " &amp; TEXT(AB41,"#0.00%") &amp; " " &amp; "Core" &amp; "(Manoj)" &amp; " " &amp; IF(M41="","",TEXT(M41,"M/D-")) &amp; IF(N41="","",TEXT(N41,"M/D")) &amp; " "</f>
        <v xml:space="preserve">    100.00% Core(Manoj) 7/22-7/25 </v>
      </c>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row>
    <row r="42" spans="1:98" outlineLevel="2">
      <c r="A42" s="116"/>
      <c r="B42" s="116"/>
      <c r="C42" s="116">
        <v>3</v>
      </c>
      <c r="D42" s="3" t="s">
        <v>1213</v>
      </c>
      <c r="E42" s="215"/>
      <c r="F42" s="217"/>
      <c r="G42" s="217" t="s">
        <v>1261</v>
      </c>
      <c r="H42" s="184"/>
      <c r="I42" s="184"/>
      <c r="J42" s="184"/>
      <c r="K42" s="184"/>
      <c r="L42" s="184"/>
      <c r="M42" s="185">
        <v>43654</v>
      </c>
      <c r="N42" s="185">
        <v>43658</v>
      </c>
      <c r="O42" s="186"/>
      <c r="P42" s="187">
        <v>5</v>
      </c>
      <c r="Q42" s="187">
        <v>5</v>
      </c>
      <c r="R42" s="188">
        <v>5</v>
      </c>
      <c r="S42" s="188">
        <v>5</v>
      </c>
      <c r="T42" s="185"/>
      <c r="U42" s="185"/>
      <c r="V42" s="189"/>
      <c r="W42" s="190">
        <v>0</v>
      </c>
      <c r="X42" s="191">
        <v>1</v>
      </c>
      <c r="Y42" s="186" t="s">
        <v>1295</v>
      </c>
      <c r="Z42" s="192"/>
      <c r="AA42" s="97">
        <v>1</v>
      </c>
      <c r="AB42" s="193">
        <v>1</v>
      </c>
      <c r="AC42" s="123"/>
      <c r="AD42" s="4" t="str">
        <f>"     " &amp; TEXT(AB42,"#0.00%") &amp; " " &amp; "Online" &amp; "(Manoj)" &amp; " " &amp; IF(M42="","",TEXT(M42,"M/D-")) &amp; IF(N42="","",TEXT(N42,"M/D")) &amp; " "</f>
        <v xml:space="preserve">     100.00% Online(Manoj) 7/8-7/12 </v>
      </c>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row>
    <row r="43" spans="1:98" outlineLevel="2">
      <c r="A43" s="116"/>
      <c r="B43" s="116"/>
      <c r="C43" s="116">
        <v>3</v>
      </c>
      <c r="D43" s="3" t="s">
        <v>1214</v>
      </c>
      <c r="E43" s="215"/>
      <c r="F43" s="217"/>
      <c r="G43" s="217" t="s">
        <v>1262</v>
      </c>
      <c r="H43" s="184"/>
      <c r="I43" s="184"/>
      <c r="J43" s="184"/>
      <c r="K43" s="184"/>
      <c r="L43" s="184"/>
      <c r="M43" s="185">
        <v>43661</v>
      </c>
      <c r="N43" s="185">
        <v>43665</v>
      </c>
      <c r="O43" s="186"/>
      <c r="P43" s="187">
        <v>5</v>
      </c>
      <c r="Q43" s="187">
        <v>5</v>
      </c>
      <c r="R43" s="188">
        <v>5</v>
      </c>
      <c r="S43" s="188">
        <v>5</v>
      </c>
      <c r="T43" s="185"/>
      <c r="U43" s="185"/>
      <c r="V43" s="189"/>
      <c r="W43" s="190">
        <v>0</v>
      </c>
      <c r="X43" s="191">
        <v>1</v>
      </c>
      <c r="Y43" s="186" t="s">
        <v>1295</v>
      </c>
      <c r="Z43" s="192"/>
      <c r="AA43" s="97">
        <v>1</v>
      </c>
      <c r="AB43" s="193">
        <v>0</v>
      </c>
      <c r="AC43" s="123"/>
      <c r="AD43" s="4"/>
      <c r="AE43" s="4" t="str">
        <f>"" &amp; TEXT(AB43,"#0.00%") &amp; " " &amp; "API" &amp; "(Manoj)" &amp; " " &amp; IF(M43="","",TEXT(M43,"M/D-")) &amp; IF(N43="","",TEXT(N43,"M/D")) &amp; " "</f>
        <v xml:space="preserve">0.00% API(Manoj) 7/15-7/19 </v>
      </c>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row>
    <row r="44" spans="1:98" outlineLevel="2">
      <c r="A44" s="116"/>
      <c r="B44" s="116"/>
      <c r="C44" s="116">
        <v>3</v>
      </c>
      <c r="D44" s="3" t="s">
        <v>1215</v>
      </c>
      <c r="E44" s="215"/>
      <c r="F44" s="217"/>
      <c r="G44" s="217" t="s">
        <v>1263</v>
      </c>
      <c r="H44" s="184"/>
      <c r="I44" s="184"/>
      <c r="J44" s="184"/>
      <c r="K44" s="184"/>
      <c r="L44" s="184"/>
      <c r="M44" s="185">
        <v>43662</v>
      </c>
      <c r="N44" s="185">
        <v>43668</v>
      </c>
      <c r="O44" s="186"/>
      <c r="P44" s="187">
        <v>5</v>
      </c>
      <c r="Q44" s="187">
        <v>5</v>
      </c>
      <c r="R44" s="188">
        <v>5</v>
      </c>
      <c r="S44" s="188">
        <v>5</v>
      </c>
      <c r="T44" s="185"/>
      <c r="U44" s="185"/>
      <c r="V44" s="189"/>
      <c r="W44" s="190">
        <v>0</v>
      </c>
      <c r="X44" s="191">
        <v>1</v>
      </c>
      <c r="Y44" s="186" t="s">
        <v>1293</v>
      </c>
      <c r="Z44" s="192"/>
      <c r="AA44" s="97">
        <v>1</v>
      </c>
      <c r="AB44" s="193">
        <v>0</v>
      </c>
      <c r="AC44" s="123"/>
      <c r="AD44" s="4"/>
      <c r="AE44" s="4" t="str">
        <f>" " &amp; TEXT(AB44,"#0.00%") &amp; " " &amp; "iOS,Android" &amp; "(James,Preyea)" &amp; " " &amp; IF(M44="","",TEXT(M44,"M/D-")) &amp; IF(N44="","",TEXT(N44,"M/D")) &amp; " "</f>
        <v xml:space="preserve"> 0.00% iOS,Android(James,Preyea) 7/16-7/22 </v>
      </c>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row>
    <row r="45" spans="1:98" outlineLevel="2">
      <c r="A45" s="116"/>
      <c r="B45" s="116"/>
      <c r="C45" s="116">
        <v>0</v>
      </c>
      <c r="D45" s="3"/>
      <c r="E45" s="215"/>
      <c r="F45" s="217"/>
      <c r="G45" s="217"/>
      <c r="H45" s="184"/>
      <c r="I45" s="184"/>
      <c r="J45" s="184"/>
      <c r="K45" s="184"/>
      <c r="L45" s="184"/>
      <c r="M45" s="185"/>
      <c r="N45" s="185"/>
      <c r="O45" s="186"/>
      <c r="P45" s="187"/>
      <c r="Q45" s="187"/>
      <c r="R45" s="188">
        <v>0</v>
      </c>
      <c r="S45" s="188">
        <v>0</v>
      </c>
      <c r="T45" s="185"/>
      <c r="U45" s="185"/>
      <c r="V45" s="189"/>
      <c r="W45" s="190">
        <v>0</v>
      </c>
      <c r="X45" s="191"/>
      <c r="Y45" s="186"/>
      <c r="Z45" s="192"/>
      <c r="AA45" s="97"/>
      <c r="AB45" s="193"/>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row>
    <row r="46" spans="1:98" outlineLevel="1">
      <c r="A46" s="116"/>
      <c r="B46" s="116" t="s">
        <v>1063</v>
      </c>
      <c r="C46" s="116">
        <v>2</v>
      </c>
      <c r="D46" s="3" t="s">
        <v>1183</v>
      </c>
      <c r="E46" s="215"/>
      <c r="F46" s="217" t="s">
        <v>1163</v>
      </c>
      <c r="G46" s="217"/>
      <c r="H46" s="184"/>
      <c r="I46" s="184"/>
      <c r="J46" s="184"/>
      <c r="K46" s="184"/>
      <c r="L46" s="184"/>
      <c r="M46" s="185">
        <v>43675</v>
      </c>
      <c r="N46" s="185">
        <v>43679</v>
      </c>
      <c r="O46" s="186"/>
      <c r="P46" s="187">
        <v>6</v>
      </c>
      <c r="Q46" s="187">
        <v>3</v>
      </c>
      <c r="R46" s="188">
        <v>5</v>
      </c>
      <c r="S46" s="188">
        <v>3</v>
      </c>
      <c r="T46" s="185"/>
      <c r="U46" s="185"/>
      <c r="V46" s="189">
        <v>0</v>
      </c>
      <c r="W46" s="190">
        <v>0</v>
      </c>
      <c r="X46" s="191"/>
      <c r="Y46" s="186"/>
      <c r="Z46" s="192"/>
      <c r="AA46" s="97">
        <v>0.5</v>
      </c>
      <c r="AB46" s="193">
        <v>0</v>
      </c>
      <c r="AC46" s="123"/>
      <c r="AD46" s="4"/>
      <c r="AE46" s="4"/>
      <c r="AF46" s="4"/>
      <c r="AG46" s="4" t="str">
        <f>"" &amp; TEXT(AB46,"#0.00%") &amp; " " &amp; "Shinhan,IBK-KFTC" &amp; " " &amp; IF(M46="","",TEXT(M46,"M/D-")) &amp; IF(N46="","",TEXT(N46,"M/D")) &amp; " "</f>
        <v xml:space="preserve">0.00% Shinhan,IBK-KFTC 7/29-8/2 </v>
      </c>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row>
    <row r="47" spans="1:98" outlineLevel="2">
      <c r="A47" s="116"/>
      <c r="B47" s="116"/>
      <c r="C47" s="116">
        <v>3</v>
      </c>
      <c r="D47" s="3" t="s">
        <v>1216</v>
      </c>
      <c r="E47" s="215"/>
      <c r="F47" s="217"/>
      <c r="G47" s="217" t="s">
        <v>1260</v>
      </c>
      <c r="H47" s="184"/>
      <c r="I47" s="184"/>
      <c r="J47" s="184"/>
      <c r="K47" s="184"/>
      <c r="L47" s="184"/>
      <c r="M47" s="185">
        <v>43675</v>
      </c>
      <c r="N47" s="185">
        <v>43676</v>
      </c>
      <c r="O47" s="186"/>
      <c r="P47" s="187">
        <v>2</v>
      </c>
      <c r="Q47" s="187">
        <v>2</v>
      </c>
      <c r="R47" s="188">
        <v>2</v>
      </c>
      <c r="S47" s="188">
        <v>2</v>
      </c>
      <c r="T47" s="185"/>
      <c r="U47" s="185"/>
      <c r="V47" s="189"/>
      <c r="W47" s="190">
        <v>0</v>
      </c>
      <c r="X47" s="191">
        <v>1</v>
      </c>
      <c r="Y47" s="186"/>
      <c r="Z47" s="192"/>
      <c r="AA47" s="97">
        <v>1</v>
      </c>
      <c r="AB47" s="193">
        <v>0</v>
      </c>
      <c r="AC47" s="123"/>
      <c r="AD47" s="4"/>
      <c r="AE47" s="4"/>
      <c r="AF47" s="4"/>
      <c r="AG47" s="4" t="str">
        <f>"" &amp; TEXT(AB47,"#0.00%") &amp; " " &amp; "Core" &amp; " " &amp; IF(M47="","",TEXT(M47,"M/D-")) &amp; IF(N47="","",TEXT(N47,"M/D")) &amp; " "</f>
        <v xml:space="preserve">0.00% Core 7/29-7/30 </v>
      </c>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row>
    <row r="48" spans="1:98" outlineLevel="2">
      <c r="A48" s="116"/>
      <c r="B48" s="116"/>
      <c r="C48" s="116">
        <v>3</v>
      </c>
      <c r="D48" s="3" t="s">
        <v>1217</v>
      </c>
      <c r="E48" s="215"/>
      <c r="F48" s="217"/>
      <c r="G48" s="217" t="s">
        <v>1261</v>
      </c>
      <c r="H48" s="184"/>
      <c r="I48" s="184"/>
      <c r="J48" s="184"/>
      <c r="K48" s="184"/>
      <c r="L48" s="184"/>
      <c r="M48" s="185">
        <v>43677</v>
      </c>
      <c r="N48" s="185">
        <v>43677</v>
      </c>
      <c r="O48" s="186"/>
      <c r="P48" s="187">
        <v>1</v>
      </c>
      <c r="Q48" s="187">
        <v>1</v>
      </c>
      <c r="R48" s="188">
        <v>1</v>
      </c>
      <c r="S48" s="188">
        <v>1</v>
      </c>
      <c r="T48" s="185"/>
      <c r="U48" s="185"/>
      <c r="V48" s="189"/>
      <c r="W48" s="190">
        <v>0</v>
      </c>
      <c r="X48" s="191">
        <v>1</v>
      </c>
      <c r="Y48" s="186"/>
      <c r="Z48" s="192"/>
      <c r="AA48" s="97">
        <v>1</v>
      </c>
      <c r="AB48" s="193">
        <v>0</v>
      </c>
      <c r="AC48" s="123"/>
      <c r="AD48" s="4"/>
      <c r="AE48" s="4"/>
      <c r="AF48" s="4"/>
      <c r="AG48" s="4" t="str">
        <f>"  " &amp; TEXT(AB48,"#0.00%") &amp; " " &amp; "Online" &amp; " " &amp; IF(M48="","",TEXT(M48,"M/D-")) &amp; IF(N48="","",TEXT(N48,"M/D")) &amp; " "</f>
        <v xml:space="preserve">  0.00% Online 7/31-7/31 </v>
      </c>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row>
    <row r="49" spans="1:98" outlineLevel="2">
      <c r="A49" s="116"/>
      <c r="B49" s="116"/>
      <c r="C49" s="116">
        <v>3</v>
      </c>
      <c r="D49" s="3" t="s">
        <v>1218</v>
      </c>
      <c r="E49" s="215"/>
      <c r="F49" s="217"/>
      <c r="G49" s="217" t="s">
        <v>1262</v>
      </c>
      <c r="H49" s="184"/>
      <c r="I49" s="184"/>
      <c r="J49" s="184"/>
      <c r="K49" s="184"/>
      <c r="L49" s="184"/>
      <c r="M49" s="185">
        <v>43678</v>
      </c>
      <c r="N49" s="185">
        <v>43678</v>
      </c>
      <c r="O49" s="186"/>
      <c r="P49" s="187">
        <v>1</v>
      </c>
      <c r="Q49" s="187">
        <v>0</v>
      </c>
      <c r="R49" s="188">
        <v>1</v>
      </c>
      <c r="S49" s="188">
        <v>0</v>
      </c>
      <c r="T49" s="185"/>
      <c r="U49" s="185"/>
      <c r="V49" s="189"/>
      <c r="W49" s="190">
        <v>0</v>
      </c>
      <c r="X49" s="191">
        <v>1</v>
      </c>
      <c r="Y49" s="186"/>
      <c r="Z49" s="192"/>
      <c r="AA49" s="97">
        <v>0</v>
      </c>
      <c r="AB49" s="193">
        <v>0</v>
      </c>
      <c r="AC49" s="123"/>
      <c r="AD49" s="4"/>
      <c r="AE49" s="4"/>
      <c r="AF49" s="4"/>
      <c r="AG49" s="4" t="str">
        <f>"   " &amp; TEXT(AB49,"#0.00%") &amp; " " &amp; "API" &amp; " " &amp; IF(M49="","",TEXT(M49,"M/D-")) &amp; IF(N49="","",TEXT(N49,"M/D")) &amp; " "</f>
        <v xml:space="preserve">   0.00% API 8/1-8/1 </v>
      </c>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row>
    <row r="50" spans="1:98" outlineLevel="2">
      <c r="A50" s="116"/>
      <c r="B50" s="116"/>
      <c r="C50" s="116">
        <v>3</v>
      </c>
      <c r="D50" s="3" t="s">
        <v>1219</v>
      </c>
      <c r="E50" s="215"/>
      <c r="F50" s="217"/>
      <c r="G50" s="217" t="s">
        <v>1263</v>
      </c>
      <c r="H50" s="184"/>
      <c r="I50" s="184"/>
      <c r="J50" s="184"/>
      <c r="K50" s="184"/>
      <c r="L50" s="184"/>
      <c r="M50" s="185">
        <v>43678</v>
      </c>
      <c r="N50" s="185">
        <v>43679</v>
      </c>
      <c r="O50" s="186"/>
      <c r="P50" s="187">
        <v>2</v>
      </c>
      <c r="Q50" s="187">
        <v>0</v>
      </c>
      <c r="R50" s="188">
        <v>2</v>
      </c>
      <c r="S50" s="188">
        <v>0</v>
      </c>
      <c r="T50" s="185"/>
      <c r="U50" s="185"/>
      <c r="V50" s="189"/>
      <c r="W50" s="190">
        <v>0</v>
      </c>
      <c r="X50" s="191">
        <v>1</v>
      </c>
      <c r="Y50" s="186" t="s">
        <v>1293</v>
      </c>
      <c r="Z50" s="192"/>
      <c r="AA50" s="97">
        <v>0</v>
      </c>
      <c r="AB50" s="193">
        <v>0</v>
      </c>
      <c r="AC50" s="123"/>
      <c r="AD50" s="4"/>
      <c r="AE50" s="4"/>
      <c r="AF50" s="4"/>
      <c r="AG50" s="4" t="str">
        <f>"   " &amp; TEXT(AB50,"#0.00%") &amp; " " &amp; "iOS,Android" &amp; "(James,Preyea)" &amp; " " &amp; IF(M50="","",TEXT(M50,"M/D-")) &amp; IF(N50="","",TEXT(N50,"M/D")) &amp; " "</f>
        <v xml:space="preserve">   0.00% iOS,Android(James,Preyea) 8/1-8/2 </v>
      </c>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row>
    <row r="51" spans="1:98" outlineLevel="2">
      <c r="A51" s="116"/>
      <c r="B51" s="116"/>
      <c r="C51" s="116">
        <v>0</v>
      </c>
      <c r="D51" s="3"/>
      <c r="E51" s="215"/>
      <c r="F51" s="217"/>
      <c r="G51" s="217"/>
      <c r="H51" s="184"/>
      <c r="I51" s="184"/>
      <c r="J51" s="184"/>
      <c r="K51" s="184"/>
      <c r="L51" s="184"/>
      <c r="M51" s="185"/>
      <c r="N51" s="185"/>
      <c r="O51" s="186"/>
      <c r="P51" s="187"/>
      <c r="Q51" s="187"/>
      <c r="R51" s="188">
        <v>0</v>
      </c>
      <c r="S51" s="188">
        <v>0</v>
      </c>
      <c r="T51" s="185"/>
      <c r="U51" s="185"/>
      <c r="V51" s="189"/>
      <c r="W51" s="190">
        <v>0</v>
      </c>
      <c r="X51" s="191"/>
      <c r="Y51" s="186"/>
      <c r="Z51" s="192"/>
      <c r="AA51" s="97"/>
      <c r="AB51" s="193"/>
      <c r="AC51" s="123"/>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row>
    <row r="52" spans="1:98" outlineLevel="1">
      <c r="A52" s="116"/>
      <c r="B52" s="116" t="s">
        <v>1063</v>
      </c>
      <c r="C52" s="116">
        <v>2</v>
      </c>
      <c r="D52" s="3" t="s">
        <v>1184</v>
      </c>
      <c r="E52" s="215"/>
      <c r="F52" s="217" t="s">
        <v>1164</v>
      </c>
      <c r="G52" s="217"/>
      <c r="H52" s="184"/>
      <c r="I52" s="184"/>
      <c r="J52" s="184"/>
      <c r="K52" s="184"/>
      <c r="L52" s="184"/>
      <c r="M52" s="185">
        <v>43690</v>
      </c>
      <c r="N52" s="185">
        <v>43693</v>
      </c>
      <c r="O52" s="186"/>
      <c r="P52" s="187">
        <v>4</v>
      </c>
      <c r="Q52" s="187">
        <v>0</v>
      </c>
      <c r="R52" s="188">
        <v>3</v>
      </c>
      <c r="S52" s="188">
        <v>0</v>
      </c>
      <c r="T52" s="185"/>
      <c r="U52" s="185"/>
      <c r="V52" s="189">
        <v>0</v>
      </c>
      <c r="W52" s="190">
        <v>0</v>
      </c>
      <c r="X52" s="191"/>
      <c r="Y52" s="186"/>
      <c r="Z52" s="192"/>
      <c r="AA52" s="97">
        <v>0</v>
      </c>
      <c r="AB52" s="193">
        <v>0</v>
      </c>
      <c r="AC52" s="123"/>
      <c r="AD52" s="4"/>
      <c r="AE52" s="4"/>
      <c r="AF52" s="4"/>
      <c r="AG52" s="4"/>
      <c r="AH52" s="4"/>
      <c r="AI52" s="4" t="str">
        <f>" " &amp; TEXT(AB52,"#0.00%") &amp; " " &amp; "Agrani bank/Islami bank add to new app" &amp; " " &amp; IF(M52="","",TEXT(M52,"M/D-")) &amp; IF(N52="","",TEXT(N52,"M/D")) &amp; " "</f>
        <v xml:space="preserve"> 0.00% Agrani bank/Islami bank add to new app 8/13-8/16 </v>
      </c>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row>
    <row r="53" spans="1:98" outlineLevel="2">
      <c r="A53" s="116"/>
      <c r="B53" s="116"/>
      <c r="C53" s="116">
        <v>3</v>
      </c>
      <c r="D53" s="3" t="s">
        <v>1220</v>
      </c>
      <c r="E53" s="215"/>
      <c r="F53" s="217"/>
      <c r="G53" s="217" t="s">
        <v>1260</v>
      </c>
      <c r="H53" s="184"/>
      <c r="I53" s="184"/>
      <c r="J53" s="184"/>
      <c r="K53" s="184"/>
      <c r="L53" s="184"/>
      <c r="M53" s="185"/>
      <c r="N53" s="185"/>
      <c r="O53" s="186"/>
      <c r="P53" s="187">
        <v>0</v>
      </c>
      <c r="Q53" s="187">
        <v>0</v>
      </c>
      <c r="R53" s="188">
        <v>0</v>
      </c>
      <c r="S53" s="188">
        <v>0</v>
      </c>
      <c r="T53" s="185"/>
      <c r="U53" s="185"/>
      <c r="V53" s="189">
        <v>0</v>
      </c>
      <c r="W53" s="190">
        <v>0</v>
      </c>
      <c r="X53" s="191"/>
      <c r="Y53" s="186"/>
      <c r="Z53" s="192"/>
      <c r="AA53" s="97">
        <v>0</v>
      </c>
      <c r="AB53" s="193">
        <v>0</v>
      </c>
      <c r="AC53" s="123"/>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row>
    <row r="54" spans="1:98" outlineLevel="2">
      <c r="A54" s="116"/>
      <c r="B54" s="116"/>
      <c r="C54" s="116">
        <v>3</v>
      </c>
      <c r="D54" s="3" t="s">
        <v>1221</v>
      </c>
      <c r="E54" s="215"/>
      <c r="F54" s="217"/>
      <c r="G54" s="217" t="s">
        <v>1296</v>
      </c>
      <c r="H54" s="184"/>
      <c r="I54" s="184"/>
      <c r="J54" s="184"/>
      <c r="K54" s="184"/>
      <c r="L54" s="184"/>
      <c r="M54" s="185">
        <v>43690</v>
      </c>
      <c r="N54" s="185">
        <v>43690</v>
      </c>
      <c r="O54" s="186"/>
      <c r="P54" s="187">
        <v>1</v>
      </c>
      <c r="Q54" s="187">
        <v>0</v>
      </c>
      <c r="R54" s="188">
        <v>1</v>
      </c>
      <c r="S54" s="188">
        <v>0</v>
      </c>
      <c r="T54" s="185"/>
      <c r="U54" s="185"/>
      <c r="V54" s="189"/>
      <c r="W54" s="190">
        <v>0</v>
      </c>
      <c r="X54" s="191">
        <v>1</v>
      </c>
      <c r="Y54" s="186" t="s">
        <v>1297</v>
      </c>
      <c r="Z54" s="192"/>
      <c r="AA54" s="97">
        <v>0</v>
      </c>
      <c r="AB54" s="193">
        <v>0</v>
      </c>
      <c r="AC54" s="123"/>
      <c r="AD54" s="4"/>
      <c r="AE54" s="4"/>
      <c r="AF54" s="4"/>
      <c r="AG54" s="4"/>
      <c r="AH54" s="4"/>
      <c r="AI54" s="4" t="str">
        <f>" " &amp; TEXT(AB54,"#0.00%") &amp; " " &amp; "DB" &amp; "(Pralhad)" &amp; " " &amp; IF(M54="","",TEXT(M54,"M/D-")) &amp; IF(N54="","",TEXT(N54,"M/D")) &amp; " "</f>
        <v xml:space="preserve"> 0.00% DB(Pralhad) 8/13-8/13 </v>
      </c>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row>
    <row r="55" spans="1:98" outlineLevel="2">
      <c r="A55" s="116"/>
      <c r="B55" s="116"/>
      <c r="C55" s="116">
        <v>3</v>
      </c>
      <c r="D55" s="3" t="s">
        <v>1222</v>
      </c>
      <c r="E55" s="215"/>
      <c r="F55" s="217"/>
      <c r="G55" s="217" t="s">
        <v>1262</v>
      </c>
      <c r="H55" s="184"/>
      <c r="I55" s="184"/>
      <c r="J55" s="184"/>
      <c r="K55" s="184"/>
      <c r="L55" s="184"/>
      <c r="M55" s="185">
        <v>43691</v>
      </c>
      <c r="N55" s="185">
        <v>43693</v>
      </c>
      <c r="O55" s="186"/>
      <c r="P55" s="187">
        <v>2</v>
      </c>
      <c r="Q55" s="187">
        <v>0</v>
      </c>
      <c r="R55" s="188">
        <v>2</v>
      </c>
      <c r="S55" s="188">
        <v>0</v>
      </c>
      <c r="T55" s="185"/>
      <c r="U55" s="185"/>
      <c r="V55" s="189"/>
      <c r="W55" s="190">
        <v>0</v>
      </c>
      <c r="X55" s="191">
        <v>1</v>
      </c>
      <c r="Y55" s="186" t="s">
        <v>1297</v>
      </c>
      <c r="Z55" s="192"/>
      <c r="AA55" s="97">
        <v>0</v>
      </c>
      <c r="AB55" s="193">
        <v>0</v>
      </c>
      <c r="AC55" s="123"/>
      <c r="AD55" s="4"/>
      <c r="AE55" s="4"/>
      <c r="AF55" s="4"/>
      <c r="AG55" s="4"/>
      <c r="AH55" s="4"/>
      <c r="AI55" s="4" t="str">
        <f>"  " &amp; TEXT(AB55,"#0.00%") &amp; " " &amp; "API" &amp; "(Pralhad)" &amp; " " &amp; IF(M55="","",TEXT(M55,"M/D-")) &amp; IF(N55="","",TEXT(N55,"M/D")) &amp; " "</f>
        <v xml:space="preserve">  0.00% API(Pralhad) 8/14-8/16 </v>
      </c>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row>
    <row r="56" spans="1:98" outlineLevel="2">
      <c r="A56" s="116"/>
      <c r="B56" s="116"/>
      <c r="C56" s="116">
        <v>3</v>
      </c>
      <c r="D56" s="3" t="s">
        <v>1223</v>
      </c>
      <c r="E56" s="215"/>
      <c r="F56" s="217"/>
      <c r="G56" s="217" t="s">
        <v>1263</v>
      </c>
      <c r="H56" s="184"/>
      <c r="I56" s="184"/>
      <c r="J56" s="184"/>
      <c r="K56" s="184"/>
      <c r="L56" s="184"/>
      <c r="M56" s="185">
        <v>43693</v>
      </c>
      <c r="N56" s="185">
        <v>43693</v>
      </c>
      <c r="O56" s="186"/>
      <c r="P56" s="187">
        <v>1</v>
      </c>
      <c r="Q56" s="187">
        <v>0</v>
      </c>
      <c r="R56" s="188">
        <v>1</v>
      </c>
      <c r="S56" s="188">
        <v>0</v>
      </c>
      <c r="T56" s="185"/>
      <c r="U56" s="185"/>
      <c r="V56" s="189"/>
      <c r="W56" s="190">
        <v>0</v>
      </c>
      <c r="X56" s="191">
        <v>1</v>
      </c>
      <c r="Y56" s="186" t="s">
        <v>1293</v>
      </c>
      <c r="Z56" s="192"/>
      <c r="AA56" s="97">
        <v>0</v>
      </c>
      <c r="AB56" s="193">
        <v>0</v>
      </c>
      <c r="AC56" s="123"/>
      <c r="AD56" s="4"/>
      <c r="AE56" s="4"/>
      <c r="AF56" s="4"/>
      <c r="AG56" s="4"/>
      <c r="AH56" s="4"/>
      <c r="AI56" s="4" t="str">
        <f>"    " &amp; TEXT(AB56,"#0.00%") &amp; " " &amp; "iOS,Android" &amp; "(James,Preyea)" &amp; " " &amp; IF(M56="","",TEXT(M56,"M/D-")) &amp; IF(N56="","",TEXT(N56,"M/D")) &amp; " "</f>
        <v xml:space="preserve">    0.00% iOS,Android(James,Preyea) 8/16-8/16 </v>
      </c>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row>
    <row r="57" spans="1:98" outlineLevel="2">
      <c r="A57" s="116"/>
      <c r="B57" s="116"/>
      <c r="C57" s="116">
        <v>0</v>
      </c>
      <c r="D57" s="3"/>
      <c r="E57" s="215"/>
      <c r="F57" s="217"/>
      <c r="G57" s="217"/>
      <c r="H57" s="184"/>
      <c r="I57" s="184"/>
      <c r="J57" s="184"/>
      <c r="K57" s="184"/>
      <c r="L57" s="184"/>
      <c r="M57" s="185"/>
      <c r="N57" s="185"/>
      <c r="O57" s="186"/>
      <c r="P57" s="187"/>
      <c r="Q57" s="187"/>
      <c r="R57" s="188">
        <v>0</v>
      </c>
      <c r="S57" s="188">
        <v>0</v>
      </c>
      <c r="T57" s="185"/>
      <c r="U57" s="185"/>
      <c r="V57" s="189"/>
      <c r="W57" s="190">
        <v>0</v>
      </c>
      <c r="X57" s="191"/>
      <c r="Y57" s="186"/>
      <c r="Z57" s="192"/>
      <c r="AA57" s="97"/>
      <c r="AB57" s="193"/>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row>
    <row r="58" spans="1:98" outlineLevel="1">
      <c r="A58" s="116"/>
      <c r="B58" s="116" t="s">
        <v>1063</v>
      </c>
      <c r="C58" s="116">
        <v>2</v>
      </c>
      <c r="D58" s="3" t="s">
        <v>1185</v>
      </c>
      <c r="E58" s="215"/>
      <c r="F58" s="217" t="s">
        <v>1165</v>
      </c>
      <c r="G58" s="217"/>
      <c r="H58" s="184"/>
      <c r="I58" s="184"/>
      <c r="J58" s="184"/>
      <c r="K58" s="184"/>
      <c r="L58" s="184"/>
      <c r="M58" s="185"/>
      <c r="N58" s="185"/>
      <c r="O58" s="186"/>
      <c r="P58" s="187">
        <v>0</v>
      </c>
      <c r="Q58" s="187">
        <v>0</v>
      </c>
      <c r="R58" s="188">
        <v>0</v>
      </c>
      <c r="S58" s="188">
        <v>0</v>
      </c>
      <c r="T58" s="185"/>
      <c r="U58" s="185"/>
      <c r="V58" s="189">
        <v>0</v>
      </c>
      <c r="W58" s="190">
        <v>0</v>
      </c>
      <c r="X58" s="191"/>
      <c r="Y58" s="186"/>
      <c r="Z58" s="192"/>
      <c r="AA58" s="97">
        <v>0</v>
      </c>
      <c r="AB58" s="193">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row>
    <row r="59" spans="1:98" outlineLevel="2">
      <c r="A59" s="116"/>
      <c r="B59" s="116"/>
      <c r="C59" s="116">
        <v>3</v>
      </c>
      <c r="D59" s="3" t="s">
        <v>1224</v>
      </c>
      <c r="E59" s="215"/>
      <c r="F59" s="217"/>
      <c r="G59" s="217" t="s">
        <v>1260</v>
      </c>
      <c r="H59" s="184"/>
      <c r="I59" s="184"/>
      <c r="J59" s="184"/>
      <c r="K59" s="184"/>
      <c r="L59" s="184"/>
      <c r="M59" s="185"/>
      <c r="N59" s="185"/>
      <c r="O59" s="186"/>
      <c r="P59" s="187">
        <v>0</v>
      </c>
      <c r="Q59" s="187">
        <v>0</v>
      </c>
      <c r="R59" s="188">
        <v>0</v>
      </c>
      <c r="S59" s="188">
        <v>0</v>
      </c>
      <c r="T59" s="185"/>
      <c r="U59" s="185"/>
      <c r="V59" s="189">
        <v>0</v>
      </c>
      <c r="W59" s="190">
        <v>0</v>
      </c>
      <c r="X59" s="191"/>
      <c r="Y59" s="186"/>
      <c r="Z59" s="192"/>
      <c r="AA59" s="97">
        <v>0</v>
      </c>
      <c r="AB59" s="193">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row>
    <row r="60" spans="1:98" outlineLevel="2">
      <c r="A60" s="116"/>
      <c r="B60" s="116"/>
      <c r="C60" s="116">
        <v>3</v>
      </c>
      <c r="D60" s="3" t="s">
        <v>1225</v>
      </c>
      <c r="E60" s="215"/>
      <c r="F60" s="217"/>
      <c r="G60" s="217" t="s">
        <v>1261</v>
      </c>
      <c r="H60" s="184"/>
      <c r="I60" s="184"/>
      <c r="J60" s="184"/>
      <c r="K60" s="184"/>
      <c r="L60" s="184"/>
      <c r="M60" s="185"/>
      <c r="N60" s="185"/>
      <c r="O60" s="186"/>
      <c r="P60" s="187">
        <v>0</v>
      </c>
      <c r="Q60" s="187">
        <v>0</v>
      </c>
      <c r="R60" s="188">
        <v>0</v>
      </c>
      <c r="S60" s="188">
        <v>0</v>
      </c>
      <c r="T60" s="185"/>
      <c r="U60" s="185"/>
      <c r="V60" s="189">
        <v>0</v>
      </c>
      <c r="W60" s="190">
        <v>0</v>
      </c>
      <c r="X60" s="191"/>
      <c r="Y60" s="186"/>
      <c r="Z60" s="192"/>
      <c r="AA60" s="97">
        <v>0</v>
      </c>
      <c r="AB60" s="193">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row>
    <row r="61" spans="1:98" outlineLevel="2">
      <c r="A61" s="116"/>
      <c r="B61" s="116"/>
      <c r="C61" s="116">
        <v>3</v>
      </c>
      <c r="D61" s="3" t="s">
        <v>1226</v>
      </c>
      <c r="E61" s="215"/>
      <c r="F61" s="217"/>
      <c r="G61" s="217" t="s">
        <v>1262</v>
      </c>
      <c r="H61" s="184"/>
      <c r="I61" s="184"/>
      <c r="J61" s="184"/>
      <c r="K61" s="184"/>
      <c r="L61" s="184"/>
      <c r="M61" s="185"/>
      <c r="N61" s="185"/>
      <c r="O61" s="186"/>
      <c r="P61" s="187">
        <v>0</v>
      </c>
      <c r="Q61" s="187">
        <v>0</v>
      </c>
      <c r="R61" s="188">
        <v>0</v>
      </c>
      <c r="S61" s="188">
        <v>0</v>
      </c>
      <c r="T61" s="185"/>
      <c r="U61" s="185"/>
      <c r="V61" s="189">
        <v>0</v>
      </c>
      <c r="W61" s="190">
        <v>0</v>
      </c>
      <c r="X61" s="191"/>
      <c r="Y61" s="186"/>
      <c r="Z61" s="192"/>
      <c r="AA61" s="97">
        <v>0</v>
      </c>
      <c r="AB61" s="193">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row>
    <row r="62" spans="1:98" outlineLevel="2">
      <c r="A62" s="116"/>
      <c r="B62" s="116"/>
      <c r="C62" s="116">
        <v>3</v>
      </c>
      <c r="D62" s="3" t="s">
        <v>1227</v>
      </c>
      <c r="E62" s="215"/>
      <c r="F62" s="217"/>
      <c r="G62" s="217" t="s">
        <v>1263</v>
      </c>
      <c r="H62" s="184"/>
      <c r="I62" s="184"/>
      <c r="J62" s="184"/>
      <c r="K62" s="184"/>
      <c r="L62" s="184"/>
      <c r="M62" s="185"/>
      <c r="N62" s="185"/>
      <c r="O62" s="186"/>
      <c r="P62" s="187">
        <v>0</v>
      </c>
      <c r="Q62" s="187">
        <v>0</v>
      </c>
      <c r="R62" s="188">
        <v>0</v>
      </c>
      <c r="S62" s="188">
        <v>0</v>
      </c>
      <c r="T62" s="185"/>
      <c r="U62" s="185"/>
      <c r="V62" s="189">
        <v>0</v>
      </c>
      <c r="W62" s="190">
        <v>0</v>
      </c>
      <c r="X62" s="191"/>
      <c r="Y62" s="186"/>
      <c r="Z62" s="192"/>
      <c r="AA62" s="97">
        <v>0</v>
      </c>
      <c r="AB62" s="193">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row>
    <row r="63" spans="1:98" outlineLevel="2">
      <c r="A63" s="116"/>
      <c r="B63" s="116"/>
      <c r="C63" s="116">
        <v>0</v>
      </c>
      <c r="D63" s="3"/>
      <c r="E63" s="215"/>
      <c r="F63" s="217"/>
      <c r="G63" s="217"/>
      <c r="H63" s="184"/>
      <c r="I63" s="184"/>
      <c r="J63" s="184"/>
      <c r="K63" s="184"/>
      <c r="L63" s="184"/>
      <c r="M63" s="185"/>
      <c r="N63" s="185"/>
      <c r="O63" s="186"/>
      <c r="P63" s="187"/>
      <c r="Q63" s="187"/>
      <c r="R63" s="188">
        <v>0</v>
      </c>
      <c r="S63" s="188">
        <v>0</v>
      </c>
      <c r="T63" s="185"/>
      <c r="U63" s="185"/>
      <c r="V63" s="189"/>
      <c r="W63" s="190">
        <v>0</v>
      </c>
      <c r="X63" s="191"/>
      <c r="Y63" s="186"/>
      <c r="Z63" s="192"/>
      <c r="AA63" s="97"/>
      <c r="AB63" s="193"/>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row>
    <row r="64" spans="1:98" outlineLevel="1">
      <c r="A64" s="116"/>
      <c r="B64" s="116" t="s">
        <v>1063</v>
      </c>
      <c r="C64" s="116">
        <v>2</v>
      </c>
      <c r="D64" s="3" t="s">
        <v>1186</v>
      </c>
      <c r="E64" s="215"/>
      <c r="F64" s="217" t="s">
        <v>1166</v>
      </c>
      <c r="G64" s="217"/>
      <c r="H64" s="184"/>
      <c r="I64" s="184"/>
      <c r="J64" s="184"/>
      <c r="K64" s="184"/>
      <c r="L64" s="184"/>
      <c r="M64" s="185">
        <v>43668</v>
      </c>
      <c r="N64" s="185">
        <v>43669</v>
      </c>
      <c r="O64" s="186"/>
      <c r="P64" s="187">
        <v>4</v>
      </c>
      <c r="Q64" s="187">
        <v>4</v>
      </c>
      <c r="R64" s="188">
        <v>2</v>
      </c>
      <c r="S64" s="188">
        <v>2</v>
      </c>
      <c r="T64" s="185"/>
      <c r="U64" s="185"/>
      <c r="V64" s="189">
        <v>0</v>
      </c>
      <c r="W64" s="190">
        <v>0</v>
      </c>
      <c r="X64" s="191"/>
      <c r="Y64" s="186"/>
      <c r="Z64" s="192"/>
      <c r="AA64" s="97">
        <v>1</v>
      </c>
      <c r="AB64" s="193">
        <v>0</v>
      </c>
      <c r="AC64" s="123"/>
      <c r="AD64" s="4"/>
      <c r="AE64" s="4"/>
      <c r="AF64" s="4" t="str">
        <f>"" &amp; TEXT(AB64,"#0.00%") &amp; " " &amp; "Registration logic" &amp; " " &amp; IF(M64="","",TEXT(M64,"M/D-")) &amp; IF(N64="","",TEXT(N64,"M/D")) &amp; " "</f>
        <v xml:space="preserve">0.00% Registration logic 7/22-7/23 </v>
      </c>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row>
    <row r="65" spans="1:98" outlineLevel="2">
      <c r="A65" s="116"/>
      <c r="B65" s="116"/>
      <c r="C65" s="116">
        <v>3</v>
      </c>
      <c r="D65" s="3" t="s">
        <v>1228</v>
      </c>
      <c r="E65" s="215"/>
      <c r="F65" s="217"/>
      <c r="G65" s="217" t="s">
        <v>1260</v>
      </c>
      <c r="H65" s="184"/>
      <c r="I65" s="184"/>
      <c r="J65" s="184"/>
      <c r="K65" s="184"/>
      <c r="L65" s="184"/>
      <c r="M65" s="185"/>
      <c r="N65" s="185"/>
      <c r="O65" s="186"/>
      <c r="P65" s="187">
        <v>0</v>
      </c>
      <c r="Q65" s="187">
        <v>0</v>
      </c>
      <c r="R65" s="188">
        <v>0</v>
      </c>
      <c r="S65" s="188">
        <v>0</v>
      </c>
      <c r="T65" s="185"/>
      <c r="U65" s="185"/>
      <c r="V65" s="189">
        <v>0</v>
      </c>
      <c r="W65" s="190">
        <v>0</v>
      </c>
      <c r="X65" s="191">
        <v>1</v>
      </c>
      <c r="Y65" s="186"/>
      <c r="Z65" s="192"/>
      <c r="AA65" s="97">
        <v>0</v>
      </c>
      <c r="AB65" s="193">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row>
    <row r="66" spans="1:98" outlineLevel="2">
      <c r="A66" s="116"/>
      <c r="B66" s="116"/>
      <c r="C66" s="116">
        <v>3</v>
      </c>
      <c r="D66" s="3" t="s">
        <v>1229</v>
      </c>
      <c r="E66" s="215"/>
      <c r="F66" s="217"/>
      <c r="G66" s="217" t="s">
        <v>1261</v>
      </c>
      <c r="H66" s="184"/>
      <c r="I66" s="184"/>
      <c r="J66" s="184"/>
      <c r="K66" s="184"/>
      <c r="L66" s="184"/>
      <c r="M66" s="185"/>
      <c r="N66" s="185"/>
      <c r="O66" s="186"/>
      <c r="P66" s="187">
        <v>0</v>
      </c>
      <c r="Q66" s="187">
        <v>0</v>
      </c>
      <c r="R66" s="188">
        <v>0</v>
      </c>
      <c r="S66" s="188">
        <v>0</v>
      </c>
      <c r="T66" s="185"/>
      <c r="U66" s="185"/>
      <c r="V66" s="189">
        <v>0</v>
      </c>
      <c r="W66" s="190">
        <v>0</v>
      </c>
      <c r="X66" s="191"/>
      <c r="Y66" s="186"/>
      <c r="Z66" s="192"/>
      <c r="AA66" s="97">
        <v>0</v>
      </c>
      <c r="AB66" s="193">
        <v>0</v>
      </c>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row>
    <row r="67" spans="1:98" outlineLevel="2">
      <c r="A67" s="116"/>
      <c r="B67" s="116"/>
      <c r="C67" s="116">
        <v>3</v>
      </c>
      <c r="D67" s="3" t="s">
        <v>1230</v>
      </c>
      <c r="E67" s="215"/>
      <c r="F67" s="217"/>
      <c r="G67" s="217" t="s">
        <v>1262</v>
      </c>
      <c r="H67" s="184"/>
      <c r="I67" s="184"/>
      <c r="J67" s="184"/>
      <c r="K67" s="184"/>
      <c r="L67" s="184"/>
      <c r="M67" s="185">
        <v>43668</v>
      </c>
      <c r="N67" s="185">
        <v>43669</v>
      </c>
      <c r="O67" s="186"/>
      <c r="P67" s="187">
        <v>2</v>
      </c>
      <c r="Q67" s="187">
        <v>2</v>
      </c>
      <c r="R67" s="188">
        <v>2</v>
      </c>
      <c r="S67" s="188">
        <v>2</v>
      </c>
      <c r="T67" s="185"/>
      <c r="U67" s="185"/>
      <c r="V67" s="189"/>
      <c r="W67" s="190">
        <v>0</v>
      </c>
      <c r="X67" s="191">
        <v>1</v>
      </c>
      <c r="Y67" s="186" t="s">
        <v>1355</v>
      </c>
      <c r="Z67" s="192"/>
      <c r="AA67" s="97">
        <v>1</v>
      </c>
      <c r="AB67" s="193">
        <v>0</v>
      </c>
      <c r="AC67" s="123"/>
      <c r="AD67" s="4"/>
      <c r="AE67" s="4"/>
      <c r="AF67" s="4" t="str">
        <f>"" &amp; TEXT(AB67,"#0.00%") &amp; " " &amp; "API" &amp; "(Ram)" &amp; " " &amp; IF(M67="","",TEXT(M67,"M/D-")) &amp; IF(N67="","",TEXT(N67,"M/D")) &amp; " "</f>
        <v xml:space="preserve">0.00% API(Ram) 7/22-7/23 </v>
      </c>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row>
    <row r="68" spans="1:98" outlineLevel="2">
      <c r="A68" s="116"/>
      <c r="B68" s="116"/>
      <c r="C68" s="116">
        <v>3</v>
      </c>
      <c r="D68" s="3" t="s">
        <v>1231</v>
      </c>
      <c r="E68" s="215"/>
      <c r="F68" s="217"/>
      <c r="G68" s="217" t="s">
        <v>1263</v>
      </c>
      <c r="H68" s="184"/>
      <c r="I68" s="184"/>
      <c r="J68" s="184"/>
      <c r="K68" s="184"/>
      <c r="L68" s="184"/>
      <c r="M68" s="185">
        <v>43668</v>
      </c>
      <c r="N68" s="185">
        <v>43669</v>
      </c>
      <c r="O68" s="186"/>
      <c r="P68" s="187">
        <v>2</v>
      </c>
      <c r="Q68" s="187">
        <v>2</v>
      </c>
      <c r="R68" s="188">
        <v>2</v>
      </c>
      <c r="S68" s="188">
        <v>2</v>
      </c>
      <c r="T68" s="185"/>
      <c r="U68" s="185"/>
      <c r="V68" s="189"/>
      <c r="W68" s="190">
        <v>0</v>
      </c>
      <c r="X68" s="191">
        <v>1</v>
      </c>
      <c r="Y68" s="186" t="s">
        <v>1293</v>
      </c>
      <c r="Z68" s="192"/>
      <c r="AA68" s="97">
        <v>1</v>
      </c>
      <c r="AB68" s="193">
        <v>0</v>
      </c>
      <c r="AC68" s="123"/>
      <c r="AD68" s="4"/>
      <c r="AE68" s="4"/>
      <c r="AF68" s="4" t="str">
        <f>"" &amp; TEXT(AB68,"#0.00%") &amp; " " &amp; "iOS,Android" &amp; "(James,Preyea)" &amp; " " &amp; IF(M68="","",TEXT(M68,"M/D-")) &amp; IF(N68="","",TEXT(N68,"M/D")) &amp; " "</f>
        <v xml:space="preserve">0.00% iOS,Android(James,Preyea) 7/22-7/23 </v>
      </c>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row>
    <row r="69" spans="1:98" outlineLevel="2">
      <c r="A69" s="116"/>
      <c r="B69" s="116"/>
      <c r="C69" s="116">
        <v>0</v>
      </c>
      <c r="D69" s="3"/>
      <c r="E69" s="215"/>
      <c r="F69" s="217"/>
      <c r="G69" s="217"/>
      <c r="H69" s="184"/>
      <c r="I69" s="184"/>
      <c r="J69" s="184"/>
      <c r="K69" s="184"/>
      <c r="L69" s="184"/>
      <c r="M69" s="185"/>
      <c r="N69" s="185"/>
      <c r="O69" s="186"/>
      <c r="P69" s="187"/>
      <c r="Q69" s="187"/>
      <c r="R69" s="188">
        <v>0</v>
      </c>
      <c r="S69" s="188">
        <v>0</v>
      </c>
      <c r="T69" s="185"/>
      <c r="U69" s="185"/>
      <c r="V69" s="189"/>
      <c r="W69" s="190">
        <v>0</v>
      </c>
      <c r="X69" s="191"/>
      <c r="Y69" s="186"/>
      <c r="Z69" s="192"/>
      <c r="AA69" s="97"/>
      <c r="AB69" s="193"/>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row>
    <row r="70" spans="1:98" outlineLevel="1">
      <c r="A70" s="116"/>
      <c r="B70" s="116" t="s">
        <v>1063</v>
      </c>
      <c r="C70" s="116">
        <v>2</v>
      </c>
      <c r="D70" s="3" t="s">
        <v>1187</v>
      </c>
      <c r="E70" s="215"/>
      <c r="F70" s="217" t="s">
        <v>1291</v>
      </c>
      <c r="G70" s="217"/>
      <c r="H70" s="184"/>
      <c r="I70" s="184"/>
      <c r="J70" s="184"/>
      <c r="K70" s="184"/>
      <c r="L70" s="184"/>
      <c r="M70" s="185">
        <v>43669</v>
      </c>
      <c r="N70" s="185">
        <v>43669</v>
      </c>
      <c r="O70" s="186"/>
      <c r="P70" s="187">
        <v>1</v>
      </c>
      <c r="Q70" s="187">
        <v>1</v>
      </c>
      <c r="R70" s="188">
        <v>1</v>
      </c>
      <c r="S70" s="188">
        <v>1</v>
      </c>
      <c r="T70" s="185"/>
      <c r="U70" s="185"/>
      <c r="V70" s="189">
        <v>0</v>
      </c>
      <c r="W70" s="190">
        <v>0</v>
      </c>
      <c r="X70" s="191"/>
      <c r="Y70" s="186"/>
      <c r="Z70" s="192"/>
      <c r="AA70" s="97">
        <v>1</v>
      </c>
      <c r="AB70" s="193">
        <v>0</v>
      </c>
      <c r="AC70" s="123"/>
      <c r="AD70" s="4"/>
      <c r="AE70" s="4"/>
      <c r="AF70" s="4" t="str">
        <f>" " &amp; TEXT(AB70,"#0.00%") &amp; " " &amp; "Calculate in first screen" &amp; " " &amp; IF(M70="","",TEXT(M70,"M/D-")) &amp; IF(N70="","",TEXT(N70,"M/D")) &amp; " "</f>
        <v xml:space="preserve"> 0.00% Calculate in first screen 7/23-7/23 </v>
      </c>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row>
    <row r="71" spans="1:98" outlineLevel="2">
      <c r="A71" s="116"/>
      <c r="B71" s="116"/>
      <c r="C71" s="116">
        <v>3</v>
      </c>
      <c r="D71" s="3" t="s">
        <v>1232</v>
      </c>
      <c r="E71" s="215"/>
      <c r="F71" s="217"/>
      <c r="G71" s="217" t="s">
        <v>1260</v>
      </c>
      <c r="H71" s="184"/>
      <c r="I71" s="184"/>
      <c r="J71" s="184"/>
      <c r="K71" s="184"/>
      <c r="L71" s="184"/>
      <c r="M71" s="185"/>
      <c r="N71" s="185"/>
      <c r="O71" s="186"/>
      <c r="P71" s="187">
        <v>0</v>
      </c>
      <c r="Q71" s="187">
        <v>0</v>
      </c>
      <c r="R71" s="188">
        <v>0</v>
      </c>
      <c r="S71" s="188">
        <v>0</v>
      </c>
      <c r="T71" s="185"/>
      <c r="U71" s="185"/>
      <c r="V71" s="189">
        <v>0</v>
      </c>
      <c r="W71" s="190">
        <v>0</v>
      </c>
      <c r="X71" s="191">
        <v>1</v>
      </c>
      <c r="Y71" s="186"/>
      <c r="Z71" s="192"/>
      <c r="AA71" s="97">
        <v>0</v>
      </c>
      <c r="AB71" s="193">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row>
    <row r="72" spans="1:98" outlineLevel="2">
      <c r="A72" s="116"/>
      <c r="B72" s="116"/>
      <c r="C72" s="116">
        <v>3</v>
      </c>
      <c r="D72" s="3" t="s">
        <v>1233</v>
      </c>
      <c r="E72" s="215"/>
      <c r="F72" s="217"/>
      <c r="G72" s="217" t="s">
        <v>1261</v>
      </c>
      <c r="H72" s="184"/>
      <c r="I72" s="184"/>
      <c r="J72" s="184"/>
      <c r="K72" s="184"/>
      <c r="L72" s="184"/>
      <c r="M72" s="185"/>
      <c r="N72" s="185"/>
      <c r="O72" s="186"/>
      <c r="P72" s="187">
        <v>0</v>
      </c>
      <c r="Q72" s="187">
        <v>0</v>
      </c>
      <c r="R72" s="188">
        <v>0</v>
      </c>
      <c r="S72" s="188">
        <v>0</v>
      </c>
      <c r="T72" s="185"/>
      <c r="U72" s="185"/>
      <c r="V72" s="189">
        <v>0</v>
      </c>
      <c r="W72" s="190">
        <v>0</v>
      </c>
      <c r="X72" s="191"/>
      <c r="Y72" s="186"/>
      <c r="Z72" s="192"/>
      <c r="AA72" s="97">
        <v>0</v>
      </c>
      <c r="AB72" s="193">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row>
    <row r="73" spans="1:98" outlineLevel="2">
      <c r="A73" s="116"/>
      <c r="B73" s="116"/>
      <c r="C73" s="116">
        <v>3</v>
      </c>
      <c r="D73" s="3" t="s">
        <v>1234</v>
      </c>
      <c r="E73" s="215"/>
      <c r="F73" s="217"/>
      <c r="G73" s="217" t="s">
        <v>1262</v>
      </c>
      <c r="H73" s="184"/>
      <c r="I73" s="184"/>
      <c r="J73" s="184"/>
      <c r="K73" s="184"/>
      <c r="L73" s="184"/>
      <c r="M73" s="185"/>
      <c r="N73" s="185"/>
      <c r="O73" s="186"/>
      <c r="P73" s="187">
        <v>0</v>
      </c>
      <c r="Q73" s="187">
        <v>0</v>
      </c>
      <c r="R73" s="188">
        <v>0</v>
      </c>
      <c r="S73" s="188">
        <v>0</v>
      </c>
      <c r="T73" s="185"/>
      <c r="U73" s="185"/>
      <c r="V73" s="189">
        <v>0</v>
      </c>
      <c r="W73" s="190">
        <v>0</v>
      </c>
      <c r="X73" s="191">
        <v>1</v>
      </c>
      <c r="Y73" s="186"/>
      <c r="Z73" s="192"/>
      <c r="AA73" s="97">
        <v>0</v>
      </c>
      <c r="AB73" s="193">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row>
    <row r="74" spans="1:98" outlineLevel="2">
      <c r="A74" s="116"/>
      <c r="B74" s="116"/>
      <c r="C74" s="116">
        <v>3</v>
      </c>
      <c r="D74" s="3" t="s">
        <v>1235</v>
      </c>
      <c r="E74" s="215"/>
      <c r="F74" s="217"/>
      <c r="G74" s="217" t="s">
        <v>1263</v>
      </c>
      <c r="H74" s="184"/>
      <c r="I74" s="184"/>
      <c r="J74" s="184"/>
      <c r="K74" s="184"/>
      <c r="L74" s="184"/>
      <c r="M74" s="185">
        <v>43669</v>
      </c>
      <c r="N74" s="185">
        <v>43669</v>
      </c>
      <c r="O74" s="186"/>
      <c r="P74" s="187">
        <v>1</v>
      </c>
      <c r="Q74" s="187">
        <v>1</v>
      </c>
      <c r="R74" s="188">
        <v>1</v>
      </c>
      <c r="S74" s="188">
        <v>1</v>
      </c>
      <c r="T74" s="185"/>
      <c r="U74" s="185"/>
      <c r="V74" s="189"/>
      <c r="W74" s="190">
        <v>0</v>
      </c>
      <c r="X74" s="191">
        <v>1</v>
      </c>
      <c r="Y74" s="186" t="s">
        <v>1293</v>
      </c>
      <c r="Z74" s="192"/>
      <c r="AA74" s="97">
        <v>1</v>
      </c>
      <c r="AB74" s="193">
        <v>0</v>
      </c>
      <c r="AC74" s="123"/>
      <c r="AD74" s="4"/>
      <c r="AE74" s="4"/>
      <c r="AF74" s="4" t="str">
        <f>" " &amp; TEXT(AB74,"#0.00%") &amp; " " &amp; "iOS,Android" &amp; "(James,Preyea)" &amp; " " &amp; IF(M74="","",TEXT(M74,"M/D-")) &amp; IF(N74="","",TEXT(N74,"M/D")) &amp; " "</f>
        <v xml:space="preserve"> 0.00% iOS,Android(James,Preyea) 7/23-7/23 </v>
      </c>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row>
    <row r="75" spans="1:98" outlineLevel="2">
      <c r="A75" s="116"/>
      <c r="B75" s="116"/>
      <c r="C75" s="116">
        <v>0</v>
      </c>
      <c r="D75" s="3"/>
      <c r="E75" s="215"/>
      <c r="F75" s="217"/>
      <c r="G75" s="217"/>
      <c r="H75" s="184"/>
      <c r="I75" s="184"/>
      <c r="J75" s="184"/>
      <c r="K75" s="184"/>
      <c r="L75" s="184"/>
      <c r="M75" s="185"/>
      <c r="N75" s="185"/>
      <c r="O75" s="186"/>
      <c r="P75" s="187"/>
      <c r="Q75" s="187"/>
      <c r="R75" s="188">
        <v>0</v>
      </c>
      <c r="S75" s="188">
        <v>0</v>
      </c>
      <c r="T75" s="185"/>
      <c r="U75" s="185"/>
      <c r="V75" s="189"/>
      <c r="W75" s="190">
        <v>0</v>
      </c>
      <c r="X75" s="191"/>
      <c r="Y75" s="186"/>
      <c r="Z75" s="192"/>
      <c r="AA75" s="97"/>
      <c r="AB75" s="193"/>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row>
    <row r="76" spans="1:98" outlineLevel="1">
      <c r="A76" s="116"/>
      <c r="B76" s="116" t="s">
        <v>1063</v>
      </c>
      <c r="C76" s="116">
        <v>2</v>
      </c>
      <c r="D76" s="3" t="s">
        <v>1188</v>
      </c>
      <c r="E76" s="215"/>
      <c r="F76" s="217" t="s">
        <v>1167</v>
      </c>
      <c r="G76" s="217"/>
      <c r="H76" s="184"/>
      <c r="I76" s="184"/>
      <c r="J76" s="184"/>
      <c r="K76" s="184"/>
      <c r="L76" s="184"/>
      <c r="M76" s="185">
        <v>43668</v>
      </c>
      <c r="N76" s="185">
        <v>43671</v>
      </c>
      <c r="O76" s="186"/>
      <c r="P76" s="187">
        <v>6</v>
      </c>
      <c r="Q76" s="187">
        <v>6</v>
      </c>
      <c r="R76" s="188">
        <v>4</v>
      </c>
      <c r="S76" s="188">
        <v>4</v>
      </c>
      <c r="T76" s="185"/>
      <c r="U76" s="185"/>
      <c r="V76" s="189">
        <v>0</v>
      </c>
      <c r="W76" s="190">
        <v>0</v>
      </c>
      <c r="X76" s="191"/>
      <c r="Y76" s="186"/>
      <c r="Z76" s="192"/>
      <c r="AA76" s="97">
        <v>1</v>
      </c>
      <c r="AB76" s="193">
        <v>0</v>
      </c>
      <c r="AC76" s="123"/>
      <c r="AD76" s="4"/>
      <c r="AE76" s="4"/>
      <c r="AF76" s="4" t="str">
        <f>"" &amp; TEXT(AB76,"#0.00%") &amp; " " &amp; "Dynamic receiver setup" &amp; " " &amp; IF(M76="","",TEXT(M76,"M/D-")) &amp; IF(N76="","",TEXT(N76,"M/D")) &amp; " "</f>
        <v xml:space="preserve">0.00% Dynamic receiver setup 7/22-7/25 </v>
      </c>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row>
    <row r="77" spans="1:98" outlineLevel="2">
      <c r="A77" s="116"/>
      <c r="B77" s="116"/>
      <c r="C77" s="116">
        <v>3</v>
      </c>
      <c r="D77" s="3" t="s">
        <v>1236</v>
      </c>
      <c r="E77" s="215"/>
      <c r="F77" s="217"/>
      <c r="G77" s="217" t="s">
        <v>1260</v>
      </c>
      <c r="H77" s="184"/>
      <c r="I77" s="184"/>
      <c r="J77" s="184"/>
      <c r="K77" s="184"/>
      <c r="L77" s="184"/>
      <c r="M77" s="185">
        <v>43668</v>
      </c>
      <c r="N77" s="185">
        <v>43670</v>
      </c>
      <c r="O77" s="186"/>
      <c r="P77" s="187">
        <v>3</v>
      </c>
      <c r="Q77" s="187">
        <v>3</v>
      </c>
      <c r="R77" s="188">
        <v>3</v>
      </c>
      <c r="S77" s="188">
        <v>3</v>
      </c>
      <c r="T77" s="185"/>
      <c r="U77" s="185"/>
      <c r="V77" s="189"/>
      <c r="W77" s="190">
        <v>0</v>
      </c>
      <c r="X77" s="191">
        <v>1</v>
      </c>
      <c r="Y77" s="186" t="s">
        <v>1356</v>
      </c>
      <c r="Z77" s="192"/>
      <c r="AA77" s="97">
        <v>1</v>
      </c>
      <c r="AB77" s="193">
        <v>0</v>
      </c>
      <c r="AC77" s="123"/>
      <c r="AD77" s="4"/>
      <c r="AE77" s="4"/>
      <c r="AF77" s="4" t="str">
        <f>"" &amp; TEXT(AB77,"#0.00%") &amp; " " &amp; "Core" &amp; "(Ganesh)" &amp; " " &amp; IF(M77="","",TEXT(M77,"M/D-")) &amp; IF(N77="","",TEXT(N77,"M/D")) &amp; " "</f>
        <v xml:space="preserve">0.00% Core(Ganesh) 7/22-7/24 </v>
      </c>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row>
    <row r="78" spans="1:98" outlineLevel="2">
      <c r="A78" s="116"/>
      <c r="B78" s="116"/>
      <c r="C78" s="116">
        <v>3</v>
      </c>
      <c r="D78" s="3" t="s">
        <v>1237</v>
      </c>
      <c r="E78" s="215"/>
      <c r="F78" s="217"/>
      <c r="G78" s="217" t="s">
        <v>1261</v>
      </c>
      <c r="H78" s="184"/>
      <c r="I78" s="184"/>
      <c r="J78" s="184"/>
      <c r="K78" s="184"/>
      <c r="L78" s="184"/>
      <c r="M78" s="185"/>
      <c r="N78" s="185"/>
      <c r="O78" s="186"/>
      <c r="P78" s="187">
        <v>0</v>
      </c>
      <c r="Q78" s="187">
        <v>0</v>
      </c>
      <c r="R78" s="188">
        <v>0</v>
      </c>
      <c r="S78" s="188">
        <v>0</v>
      </c>
      <c r="T78" s="185"/>
      <c r="U78" s="185"/>
      <c r="V78" s="189">
        <v>0</v>
      </c>
      <c r="W78" s="190">
        <v>0</v>
      </c>
      <c r="X78" s="191"/>
      <c r="Y78" s="186"/>
      <c r="Z78" s="192"/>
      <c r="AA78" s="97">
        <v>0</v>
      </c>
      <c r="AB78" s="193">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row>
    <row r="79" spans="1:98" outlineLevel="2">
      <c r="A79" s="116"/>
      <c r="B79" s="116"/>
      <c r="C79" s="116">
        <v>3</v>
      </c>
      <c r="D79" s="3" t="s">
        <v>1238</v>
      </c>
      <c r="E79" s="215"/>
      <c r="F79" s="217"/>
      <c r="G79" s="217" t="s">
        <v>1262</v>
      </c>
      <c r="H79" s="184"/>
      <c r="I79" s="184"/>
      <c r="J79" s="184"/>
      <c r="K79" s="184"/>
      <c r="L79" s="184"/>
      <c r="M79" s="185">
        <v>43670</v>
      </c>
      <c r="N79" s="185">
        <v>43670</v>
      </c>
      <c r="O79" s="186"/>
      <c r="P79" s="187">
        <v>1</v>
      </c>
      <c r="Q79" s="187">
        <v>1</v>
      </c>
      <c r="R79" s="188">
        <v>1</v>
      </c>
      <c r="S79" s="188">
        <v>1</v>
      </c>
      <c r="T79" s="185"/>
      <c r="U79" s="185"/>
      <c r="V79" s="189"/>
      <c r="W79" s="190">
        <v>0</v>
      </c>
      <c r="X79" s="191">
        <v>1</v>
      </c>
      <c r="Y79" s="186" t="s">
        <v>1355</v>
      </c>
      <c r="Z79" s="192"/>
      <c r="AA79" s="97">
        <v>1</v>
      </c>
      <c r="AB79" s="193">
        <v>0</v>
      </c>
      <c r="AC79" s="123"/>
      <c r="AD79" s="4"/>
      <c r="AE79" s="4"/>
      <c r="AF79" s="4" t="str">
        <f>"  " &amp; TEXT(AB79,"#0.00%") &amp; " " &amp; "API" &amp; "(Ram)" &amp; " " &amp; IF(M79="","",TEXT(M79,"M/D-")) &amp; IF(N79="","",TEXT(N79,"M/D")) &amp; " "</f>
        <v xml:space="preserve">  0.00% API(Ram) 7/24-7/24 </v>
      </c>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row>
    <row r="80" spans="1:98" outlineLevel="2">
      <c r="A80" s="116"/>
      <c r="B80" s="116"/>
      <c r="C80" s="116">
        <v>3</v>
      </c>
      <c r="D80" s="3" t="s">
        <v>1239</v>
      </c>
      <c r="E80" s="215"/>
      <c r="F80" s="217"/>
      <c r="G80" s="217" t="s">
        <v>1263</v>
      </c>
      <c r="H80" s="184"/>
      <c r="I80" s="184"/>
      <c r="J80" s="184"/>
      <c r="K80" s="184"/>
      <c r="L80" s="184"/>
      <c r="M80" s="185">
        <v>43670</v>
      </c>
      <c r="N80" s="185">
        <v>43671</v>
      </c>
      <c r="O80" s="186"/>
      <c r="P80" s="187">
        <v>2</v>
      </c>
      <c r="Q80" s="187">
        <v>2</v>
      </c>
      <c r="R80" s="188">
        <v>2</v>
      </c>
      <c r="S80" s="188">
        <v>2</v>
      </c>
      <c r="T80" s="185"/>
      <c r="U80" s="185"/>
      <c r="V80" s="189"/>
      <c r="W80" s="190">
        <v>0</v>
      </c>
      <c r="X80" s="191">
        <v>1</v>
      </c>
      <c r="Y80" s="186" t="s">
        <v>1293</v>
      </c>
      <c r="Z80" s="192"/>
      <c r="AA80" s="97">
        <v>1</v>
      </c>
      <c r="AB80" s="193">
        <v>0</v>
      </c>
      <c r="AC80" s="123"/>
      <c r="AD80" s="4"/>
      <c r="AE80" s="4"/>
      <c r="AF80" s="4" t="str">
        <f>"  " &amp; TEXT(AB80,"#0.00%") &amp; " " &amp; "iOS,Android" &amp; "(James,Preyea)" &amp; " " &amp; IF(M80="","",TEXT(M80,"M/D-")) &amp; IF(N80="","",TEXT(N80,"M/D")) &amp; " "</f>
        <v xml:space="preserve">  0.00% iOS,Android(James,Preyea) 7/24-7/25 </v>
      </c>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row>
    <row r="81" spans="1:98" outlineLevel="2">
      <c r="A81" s="116"/>
      <c r="B81" s="116"/>
      <c r="C81" s="116">
        <v>0</v>
      </c>
      <c r="D81" s="3"/>
      <c r="E81" s="215"/>
      <c r="F81" s="217"/>
      <c r="G81" s="217"/>
      <c r="H81" s="184"/>
      <c r="I81" s="184"/>
      <c r="J81" s="184"/>
      <c r="K81" s="184"/>
      <c r="L81" s="184"/>
      <c r="M81" s="185"/>
      <c r="N81" s="185"/>
      <c r="O81" s="186"/>
      <c r="P81" s="187"/>
      <c r="Q81" s="187"/>
      <c r="R81" s="188">
        <v>0</v>
      </c>
      <c r="S81" s="188">
        <v>0</v>
      </c>
      <c r="T81" s="185"/>
      <c r="U81" s="185"/>
      <c r="V81" s="189"/>
      <c r="W81" s="190">
        <v>0</v>
      </c>
      <c r="X81" s="191"/>
      <c r="Y81" s="186"/>
      <c r="Z81" s="192"/>
      <c r="AA81" s="97"/>
      <c r="AB81" s="193"/>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row>
    <row r="82" spans="1:98" outlineLevel="1">
      <c r="A82" s="116"/>
      <c r="B82" s="116" t="s">
        <v>1063</v>
      </c>
      <c r="C82" s="116">
        <v>2</v>
      </c>
      <c r="D82" s="3" t="s">
        <v>1189</v>
      </c>
      <c r="E82" s="215"/>
      <c r="F82" s="217" t="s">
        <v>1168</v>
      </c>
      <c r="G82" s="217"/>
      <c r="H82" s="184"/>
      <c r="I82" s="184"/>
      <c r="J82" s="184"/>
      <c r="K82" s="184"/>
      <c r="L82" s="184"/>
      <c r="M82" s="185">
        <v>43671</v>
      </c>
      <c r="N82" s="185">
        <v>43675</v>
      </c>
      <c r="O82" s="186"/>
      <c r="P82" s="187">
        <v>4</v>
      </c>
      <c r="Q82" s="187">
        <v>4</v>
      </c>
      <c r="R82" s="188">
        <v>3</v>
      </c>
      <c r="S82" s="188">
        <v>3</v>
      </c>
      <c r="T82" s="185"/>
      <c r="U82" s="185"/>
      <c r="V82" s="189">
        <v>0</v>
      </c>
      <c r="W82" s="190">
        <v>0</v>
      </c>
      <c r="X82" s="191"/>
      <c r="Y82" s="186"/>
      <c r="Z82" s="192"/>
      <c r="AA82" s="97">
        <v>1</v>
      </c>
      <c r="AB82" s="193">
        <v>0</v>
      </c>
      <c r="AC82" s="123"/>
      <c r="AD82" s="4"/>
      <c r="AE82" s="4"/>
      <c r="AF82" s="4" t="str">
        <f>"   " &amp; TEXT(AB82,"#0.00%") &amp; " " &amp; "Send Txn process same as web" &amp; " " &amp; IF(M82="","",TEXT(M82,"M/D-")) &amp; IF(N82="","",TEXT(N82,"M/D")) &amp; " "</f>
        <v xml:space="preserve">   0.00% Send Txn process same as web 7/25-7/29 </v>
      </c>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row>
    <row r="83" spans="1:98" outlineLevel="2">
      <c r="A83" s="116"/>
      <c r="B83" s="116"/>
      <c r="C83" s="116">
        <v>3</v>
      </c>
      <c r="D83" s="3" t="s">
        <v>1240</v>
      </c>
      <c r="E83" s="215"/>
      <c r="F83" s="217"/>
      <c r="G83" s="217" t="s">
        <v>1260</v>
      </c>
      <c r="H83" s="184"/>
      <c r="I83" s="184"/>
      <c r="J83" s="184"/>
      <c r="K83" s="184"/>
      <c r="L83" s="184"/>
      <c r="M83" s="185"/>
      <c r="N83" s="185"/>
      <c r="O83" s="186"/>
      <c r="P83" s="187">
        <v>0</v>
      </c>
      <c r="Q83" s="187">
        <v>0</v>
      </c>
      <c r="R83" s="188">
        <v>0</v>
      </c>
      <c r="S83" s="188">
        <v>0</v>
      </c>
      <c r="T83" s="185"/>
      <c r="U83" s="185"/>
      <c r="V83" s="189">
        <v>0</v>
      </c>
      <c r="W83" s="190">
        <v>0</v>
      </c>
      <c r="X83" s="191">
        <v>1</v>
      </c>
      <c r="Y83" s="186"/>
      <c r="Z83" s="192"/>
      <c r="AA83" s="97">
        <v>0</v>
      </c>
      <c r="AB83" s="193">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row>
    <row r="84" spans="1:98" outlineLevel="2">
      <c r="A84" s="116"/>
      <c r="B84" s="116"/>
      <c r="C84" s="116">
        <v>3</v>
      </c>
      <c r="D84" s="3" t="s">
        <v>1241</v>
      </c>
      <c r="E84" s="215"/>
      <c r="F84" s="217"/>
      <c r="G84" s="217" t="s">
        <v>1261</v>
      </c>
      <c r="H84" s="184"/>
      <c r="I84" s="184"/>
      <c r="J84" s="184"/>
      <c r="K84" s="184"/>
      <c r="L84" s="184"/>
      <c r="M84" s="185"/>
      <c r="N84" s="185"/>
      <c r="O84" s="186"/>
      <c r="P84" s="187">
        <v>0</v>
      </c>
      <c r="Q84" s="187">
        <v>0</v>
      </c>
      <c r="R84" s="188">
        <v>0</v>
      </c>
      <c r="S84" s="188">
        <v>0</v>
      </c>
      <c r="T84" s="185"/>
      <c r="U84" s="185"/>
      <c r="V84" s="189">
        <v>0</v>
      </c>
      <c r="W84" s="190">
        <v>0</v>
      </c>
      <c r="X84" s="191"/>
      <c r="Y84" s="186"/>
      <c r="Z84" s="192"/>
      <c r="AA84" s="97">
        <v>0</v>
      </c>
      <c r="AB84" s="193">
        <v>0</v>
      </c>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row>
    <row r="85" spans="1:98" outlineLevel="2">
      <c r="A85" s="116"/>
      <c r="B85" s="116"/>
      <c r="C85" s="116">
        <v>3</v>
      </c>
      <c r="D85" s="3" t="s">
        <v>1242</v>
      </c>
      <c r="E85" s="215"/>
      <c r="F85" s="217"/>
      <c r="G85" s="217" t="s">
        <v>1262</v>
      </c>
      <c r="H85" s="184"/>
      <c r="I85" s="184"/>
      <c r="J85" s="184"/>
      <c r="K85" s="184"/>
      <c r="L85" s="184"/>
      <c r="M85" s="185">
        <v>43671</v>
      </c>
      <c r="N85" s="185">
        <v>43672</v>
      </c>
      <c r="O85" s="186"/>
      <c r="P85" s="187">
        <v>2</v>
      </c>
      <c r="Q85" s="187">
        <v>2</v>
      </c>
      <c r="R85" s="188">
        <v>2</v>
      </c>
      <c r="S85" s="188">
        <v>2</v>
      </c>
      <c r="T85" s="185"/>
      <c r="U85" s="185"/>
      <c r="V85" s="189"/>
      <c r="W85" s="190">
        <v>0</v>
      </c>
      <c r="X85" s="191">
        <v>1</v>
      </c>
      <c r="Y85" s="186" t="s">
        <v>1355</v>
      </c>
      <c r="Z85" s="192"/>
      <c r="AA85" s="97">
        <v>1</v>
      </c>
      <c r="AB85" s="193">
        <v>0</v>
      </c>
      <c r="AC85" s="123"/>
      <c r="AD85" s="4"/>
      <c r="AE85" s="4"/>
      <c r="AF85" s="4" t="str">
        <f>"   " &amp; TEXT(AB85,"#0.00%") &amp; " " &amp; "API" &amp; "(Ram)" &amp; " " &amp; IF(M85="","",TEXT(M85,"M/D-")) &amp; IF(N85="","",TEXT(N85,"M/D")) &amp; " "</f>
        <v xml:space="preserve">   0.00% API(Ram) 7/25-7/26 </v>
      </c>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row>
    <row r="86" spans="1:98" outlineLevel="2">
      <c r="A86" s="116"/>
      <c r="B86" s="116"/>
      <c r="C86" s="116">
        <v>3</v>
      </c>
      <c r="D86" s="3" t="s">
        <v>1243</v>
      </c>
      <c r="E86" s="215"/>
      <c r="F86" s="217"/>
      <c r="G86" s="217" t="s">
        <v>1263</v>
      </c>
      <c r="H86" s="184"/>
      <c r="I86" s="184"/>
      <c r="J86" s="184"/>
      <c r="K86" s="184"/>
      <c r="L86" s="184"/>
      <c r="M86" s="185">
        <v>43672</v>
      </c>
      <c r="N86" s="185">
        <v>43675</v>
      </c>
      <c r="O86" s="186"/>
      <c r="P86" s="187">
        <v>2</v>
      </c>
      <c r="Q86" s="187">
        <v>2</v>
      </c>
      <c r="R86" s="188">
        <v>2</v>
      </c>
      <c r="S86" s="188">
        <v>2</v>
      </c>
      <c r="T86" s="185"/>
      <c r="U86" s="185"/>
      <c r="V86" s="189"/>
      <c r="W86" s="190">
        <v>0</v>
      </c>
      <c r="X86" s="191">
        <v>1</v>
      </c>
      <c r="Y86" s="186" t="s">
        <v>1293</v>
      </c>
      <c r="Z86" s="192"/>
      <c r="AA86" s="97">
        <v>1</v>
      </c>
      <c r="AB86" s="193">
        <v>0</v>
      </c>
      <c r="AC86" s="123"/>
      <c r="AD86" s="4"/>
      <c r="AE86" s="4"/>
      <c r="AF86" s="4" t="str">
        <f>"    " &amp; TEXT(AB86,"#0.00%") &amp; " " &amp; "iOS,Android" &amp; "(James,Preyea)" &amp; " " &amp; IF(M86="","",TEXT(M86,"M/D-")) &amp; IF(N86="","",TEXT(N86,"M/D")) &amp; " "</f>
        <v xml:space="preserve">    0.00% iOS,Android(James,Preyea) 7/26-7/29 </v>
      </c>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row>
    <row r="87" spans="1:98" outlineLevel="2">
      <c r="A87" s="116"/>
      <c r="B87" s="116"/>
      <c r="C87" s="116">
        <v>0</v>
      </c>
      <c r="D87" s="3"/>
      <c r="E87" s="215"/>
      <c r="F87" s="217"/>
      <c r="G87" s="217"/>
      <c r="H87" s="184"/>
      <c r="I87" s="184"/>
      <c r="J87" s="184"/>
      <c r="K87" s="184"/>
      <c r="L87" s="184"/>
      <c r="M87" s="185"/>
      <c r="N87" s="185"/>
      <c r="O87" s="186"/>
      <c r="P87" s="187"/>
      <c r="Q87" s="187"/>
      <c r="R87" s="188">
        <v>0</v>
      </c>
      <c r="S87" s="188">
        <v>0</v>
      </c>
      <c r="T87" s="185"/>
      <c r="U87" s="185"/>
      <c r="V87" s="189"/>
      <c r="W87" s="190">
        <v>0</v>
      </c>
      <c r="X87" s="191"/>
      <c r="Y87" s="186"/>
      <c r="Z87" s="192"/>
      <c r="AA87" s="97"/>
      <c r="AB87" s="193"/>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row>
    <row r="88" spans="1:98" outlineLevel="1">
      <c r="A88" s="116"/>
      <c r="B88" s="116" t="s">
        <v>1063</v>
      </c>
      <c r="C88" s="116">
        <v>2</v>
      </c>
      <c r="D88" s="3" t="s">
        <v>1190</v>
      </c>
      <c r="E88" s="215"/>
      <c r="F88" s="217" t="s">
        <v>1169</v>
      </c>
      <c r="G88" s="217"/>
      <c r="H88" s="184"/>
      <c r="I88" s="184"/>
      <c r="J88" s="184"/>
      <c r="K88" s="184"/>
      <c r="L88" s="184"/>
      <c r="M88" s="185">
        <v>43664</v>
      </c>
      <c r="N88" s="185">
        <v>43665</v>
      </c>
      <c r="O88" s="186"/>
      <c r="P88" s="187">
        <v>3</v>
      </c>
      <c r="Q88" s="187">
        <v>3</v>
      </c>
      <c r="R88" s="188">
        <v>2</v>
      </c>
      <c r="S88" s="188">
        <v>2</v>
      </c>
      <c r="T88" s="185"/>
      <c r="U88" s="185"/>
      <c r="V88" s="189">
        <v>0</v>
      </c>
      <c r="W88" s="190">
        <v>0</v>
      </c>
      <c r="X88" s="191"/>
      <c r="Y88" s="186"/>
      <c r="Z88" s="192"/>
      <c r="AA88" s="97">
        <v>1</v>
      </c>
      <c r="AB88" s="193">
        <v>0</v>
      </c>
      <c r="AC88" s="123"/>
      <c r="AD88" s="4"/>
      <c r="AE88" s="4" t="str">
        <f>"   " &amp; TEXT(AB88,"#0.00%") &amp; " " &amp; "Resend method not to check anything" &amp; " " &amp; IF(M88="","",TEXT(M88,"M/D-")) &amp; IF(N88="","",TEXT(N88,"M/D")) &amp; " "</f>
        <v xml:space="preserve">   0.00% Resend method not to check anything 7/18-7/19 </v>
      </c>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row>
    <row r="89" spans="1:98" outlineLevel="2">
      <c r="A89" s="116"/>
      <c r="B89" s="116"/>
      <c r="C89" s="116">
        <v>3</v>
      </c>
      <c r="D89" s="3" t="s">
        <v>1244</v>
      </c>
      <c r="E89" s="215"/>
      <c r="F89" s="217"/>
      <c r="G89" s="217" t="s">
        <v>1260</v>
      </c>
      <c r="H89" s="184"/>
      <c r="I89" s="184"/>
      <c r="J89" s="184"/>
      <c r="K89" s="184"/>
      <c r="L89" s="184"/>
      <c r="M89" s="185"/>
      <c r="N89" s="185"/>
      <c r="O89" s="186"/>
      <c r="P89" s="187">
        <v>0</v>
      </c>
      <c r="Q89" s="187">
        <v>0</v>
      </c>
      <c r="R89" s="188">
        <v>0</v>
      </c>
      <c r="S89" s="188">
        <v>0</v>
      </c>
      <c r="T89" s="185"/>
      <c r="U89" s="185"/>
      <c r="V89" s="189">
        <v>0</v>
      </c>
      <c r="W89" s="190">
        <v>0</v>
      </c>
      <c r="X89" s="191">
        <v>1</v>
      </c>
      <c r="Y89" s="186"/>
      <c r="Z89" s="192"/>
      <c r="AA89" s="97">
        <v>0</v>
      </c>
      <c r="AB89" s="193">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row>
    <row r="90" spans="1:98" outlineLevel="2">
      <c r="A90" s="116"/>
      <c r="B90" s="116"/>
      <c r="C90" s="116">
        <v>3</v>
      </c>
      <c r="D90" s="3" t="s">
        <v>1245</v>
      </c>
      <c r="E90" s="215"/>
      <c r="F90" s="217"/>
      <c r="G90" s="217" t="s">
        <v>1261</v>
      </c>
      <c r="H90" s="184"/>
      <c r="I90" s="184"/>
      <c r="J90" s="184"/>
      <c r="K90" s="184"/>
      <c r="L90" s="184"/>
      <c r="M90" s="185"/>
      <c r="N90" s="185"/>
      <c r="O90" s="186"/>
      <c r="P90" s="187">
        <v>0</v>
      </c>
      <c r="Q90" s="187">
        <v>0</v>
      </c>
      <c r="R90" s="188">
        <v>0</v>
      </c>
      <c r="S90" s="188">
        <v>0</v>
      </c>
      <c r="T90" s="185"/>
      <c r="U90" s="185"/>
      <c r="V90" s="189">
        <v>0</v>
      </c>
      <c r="W90" s="190">
        <v>0</v>
      </c>
      <c r="X90" s="191"/>
      <c r="Y90" s="186"/>
      <c r="Z90" s="192"/>
      <c r="AA90" s="97">
        <v>0</v>
      </c>
      <c r="AB90" s="193">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row>
    <row r="91" spans="1:98" outlineLevel="2">
      <c r="A91" s="116"/>
      <c r="B91" s="116"/>
      <c r="C91" s="116">
        <v>3</v>
      </c>
      <c r="D91" s="3" t="s">
        <v>1246</v>
      </c>
      <c r="E91" s="215"/>
      <c r="F91" s="217"/>
      <c r="G91" s="217" t="s">
        <v>1262</v>
      </c>
      <c r="H91" s="184"/>
      <c r="I91" s="184"/>
      <c r="J91" s="184"/>
      <c r="K91" s="184"/>
      <c r="L91" s="184"/>
      <c r="M91" s="185">
        <v>43664</v>
      </c>
      <c r="N91" s="185">
        <v>43665</v>
      </c>
      <c r="O91" s="186"/>
      <c r="P91" s="187">
        <v>2</v>
      </c>
      <c r="Q91" s="187">
        <v>2</v>
      </c>
      <c r="R91" s="188">
        <v>2</v>
      </c>
      <c r="S91" s="188">
        <v>2</v>
      </c>
      <c r="T91" s="185"/>
      <c r="U91" s="185"/>
      <c r="V91" s="189"/>
      <c r="W91" s="190">
        <v>0</v>
      </c>
      <c r="X91" s="191">
        <v>1</v>
      </c>
      <c r="Y91" s="186" t="s">
        <v>1292</v>
      </c>
      <c r="Z91" s="192"/>
      <c r="AA91" s="97">
        <v>1</v>
      </c>
      <c r="AB91" s="193">
        <v>0</v>
      </c>
      <c r="AC91" s="123"/>
      <c r="AD91" s="4"/>
      <c r="AE91" s="4" t="str">
        <f>"   " &amp; TEXT(AB91,"#0.00%") &amp; " " &amp; "API" &amp; "(Ryan )" &amp; " " &amp; IF(M91="","",TEXT(M91,"M/D-")) &amp; IF(N91="","",TEXT(N91,"M/D")) &amp; " "</f>
        <v xml:space="preserve">   0.00% API(Ryan ) 7/18-7/19 </v>
      </c>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row>
    <row r="92" spans="1:98" outlineLevel="2">
      <c r="A92" s="116"/>
      <c r="B92" s="116"/>
      <c r="C92" s="116">
        <v>3</v>
      </c>
      <c r="D92" s="3" t="s">
        <v>1247</v>
      </c>
      <c r="E92" s="215"/>
      <c r="F92" s="217"/>
      <c r="G92" s="217" t="s">
        <v>1263</v>
      </c>
      <c r="H92" s="184"/>
      <c r="I92" s="184"/>
      <c r="J92" s="184"/>
      <c r="K92" s="184"/>
      <c r="L92" s="184"/>
      <c r="M92" s="185">
        <v>43665</v>
      </c>
      <c r="N92" s="185">
        <v>43665</v>
      </c>
      <c r="O92" s="186"/>
      <c r="P92" s="187">
        <v>1</v>
      </c>
      <c r="Q92" s="187">
        <v>1</v>
      </c>
      <c r="R92" s="188">
        <v>1</v>
      </c>
      <c r="S92" s="188">
        <v>1</v>
      </c>
      <c r="T92" s="185"/>
      <c r="U92" s="185"/>
      <c r="V92" s="189"/>
      <c r="W92" s="190">
        <v>0</v>
      </c>
      <c r="X92" s="191">
        <v>1</v>
      </c>
      <c r="Y92" s="186" t="s">
        <v>1293</v>
      </c>
      <c r="Z92" s="192"/>
      <c r="AA92" s="97">
        <v>1</v>
      </c>
      <c r="AB92" s="193">
        <v>0</v>
      </c>
      <c r="AC92" s="123"/>
      <c r="AD92" s="4"/>
      <c r="AE92" s="4" t="str">
        <f>"    " &amp; TEXT(AB92,"#0.00%") &amp; " " &amp; "iOS,Android" &amp; "(James,Preyea)" &amp; " " &amp; IF(M92="","",TEXT(M92,"M/D-")) &amp; IF(N92="","",TEXT(N92,"M/D")) &amp; " "</f>
        <v xml:space="preserve">    0.00% iOS,Android(James,Preyea) 7/19-7/19 </v>
      </c>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row>
    <row r="93" spans="1:98" outlineLevel="2">
      <c r="A93" s="116"/>
      <c r="B93" s="116"/>
      <c r="C93" s="116">
        <v>0</v>
      </c>
      <c r="D93" s="3"/>
      <c r="E93" s="215"/>
      <c r="F93" s="217"/>
      <c r="G93" s="217"/>
      <c r="H93" s="184"/>
      <c r="I93" s="184"/>
      <c r="J93" s="184"/>
      <c r="K93" s="184"/>
      <c r="L93" s="184"/>
      <c r="M93" s="185"/>
      <c r="N93" s="185"/>
      <c r="O93" s="186"/>
      <c r="P93" s="187"/>
      <c r="Q93" s="187"/>
      <c r="R93" s="188">
        <v>0</v>
      </c>
      <c r="S93" s="188">
        <v>0</v>
      </c>
      <c r="T93" s="185"/>
      <c r="U93" s="185"/>
      <c r="V93" s="189"/>
      <c r="W93" s="190">
        <v>0</v>
      </c>
      <c r="X93" s="191"/>
      <c r="Y93" s="186"/>
      <c r="Z93" s="192"/>
      <c r="AA93" s="97"/>
      <c r="AB93" s="193"/>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row>
    <row r="94" spans="1:98" outlineLevel="1">
      <c r="A94" s="116"/>
      <c r="B94" s="116" t="s">
        <v>1063</v>
      </c>
      <c r="C94" s="116">
        <v>2</v>
      </c>
      <c r="D94" s="3" t="s">
        <v>1309</v>
      </c>
      <c r="E94" s="215"/>
      <c r="F94" s="217" t="s">
        <v>1170</v>
      </c>
      <c r="G94" s="217"/>
      <c r="H94" s="184"/>
      <c r="I94" s="184"/>
      <c r="J94" s="184"/>
      <c r="K94" s="184"/>
      <c r="L94" s="184"/>
      <c r="M94" s="185">
        <v>43651</v>
      </c>
      <c r="N94" s="185">
        <v>43672</v>
      </c>
      <c r="O94" s="186"/>
      <c r="P94" s="187">
        <v>16</v>
      </c>
      <c r="Q94" s="187">
        <v>16</v>
      </c>
      <c r="R94" s="188">
        <v>16</v>
      </c>
      <c r="S94" s="188">
        <v>16</v>
      </c>
      <c r="T94" s="185"/>
      <c r="U94" s="185"/>
      <c r="V94" s="189">
        <v>0</v>
      </c>
      <c r="W94" s="190">
        <v>0</v>
      </c>
      <c r="X94" s="191"/>
      <c r="Y94" s="186"/>
      <c r="Z94" s="192"/>
      <c r="AA94" s="97">
        <v>1</v>
      </c>
      <c r="AB94" s="193">
        <v>0</v>
      </c>
      <c r="AC94" s="123" t="str">
        <f>"    " &amp; TEXT(AB94,"#0.00%") &amp; " " &amp; "Channel talk app in new app" &amp; " " &amp; IF(M94="","",TEXT(M94,"M/D-")) &amp; IF(N94="","",TEXT(N94,"M/D")) &amp; " "</f>
        <v xml:space="preserve">    0.00% Channel talk app in new app 7/5-7/26 </v>
      </c>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row>
    <row r="95" spans="1:98" outlineLevel="2">
      <c r="A95" s="116"/>
      <c r="B95" s="116"/>
      <c r="C95" s="116">
        <v>3</v>
      </c>
      <c r="D95" s="3" t="s">
        <v>1310</v>
      </c>
      <c r="E95" s="215"/>
      <c r="F95" s="217"/>
      <c r="G95" s="217" t="s">
        <v>1260</v>
      </c>
      <c r="H95" s="184"/>
      <c r="I95" s="184"/>
      <c r="J95" s="184"/>
      <c r="K95" s="184"/>
      <c r="L95" s="184"/>
      <c r="M95" s="185"/>
      <c r="N95" s="185"/>
      <c r="O95" s="186"/>
      <c r="P95" s="187">
        <v>0</v>
      </c>
      <c r="Q95" s="187">
        <v>0</v>
      </c>
      <c r="R95" s="188">
        <v>0</v>
      </c>
      <c r="S95" s="188">
        <v>0</v>
      </c>
      <c r="T95" s="185"/>
      <c r="U95" s="185"/>
      <c r="V95" s="189">
        <v>0</v>
      </c>
      <c r="W95" s="190">
        <v>0</v>
      </c>
      <c r="X95" s="191"/>
      <c r="Y95" s="186"/>
      <c r="Z95" s="192"/>
      <c r="AA95" s="97">
        <v>0</v>
      </c>
      <c r="AB95" s="193">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row>
    <row r="96" spans="1:98" outlineLevel="2">
      <c r="A96" s="116"/>
      <c r="B96" s="116"/>
      <c r="C96" s="116">
        <v>3</v>
      </c>
      <c r="D96" s="3" t="s">
        <v>1311</v>
      </c>
      <c r="E96" s="215"/>
      <c r="F96" s="217"/>
      <c r="G96" s="217" t="s">
        <v>1261</v>
      </c>
      <c r="H96" s="184"/>
      <c r="I96" s="184"/>
      <c r="J96" s="184"/>
      <c r="K96" s="184"/>
      <c r="L96" s="184"/>
      <c r="M96" s="185"/>
      <c r="N96" s="185"/>
      <c r="O96" s="186"/>
      <c r="P96" s="187">
        <v>0</v>
      </c>
      <c r="Q96" s="187">
        <v>0</v>
      </c>
      <c r="R96" s="188">
        <v>0</v>
      </c>
      <c r="S96" s="188">
        <v>0</v>
      </c>
      <c r="T96" s="185"/>
      <c r="U96" s="185"/>
      <c r="V96" s="189">
        <v>0</v>
      </c>
      <c r="W96" s="190">
        <v>0</v>
      </c>
      <c r="X96" s="191"/>
      <c r="Y96" s="186"/>
      <c r="Z96" s="192"/>
      <c r="AA96" s="97">
        <v>0</v>
      </c>
      <c r="AB96" s="193">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row>
    <row r="97" spans="1:98" outlineLevel="2">
      <c r="A97" s="116"/>
      <c r="B97" s="116"/>
      <c r="C97" s="116">
        <v>3</v>
      </c>
      <c r="D97" s="3" t="s">
        <v>1312</v>
      </c>
      <c r="E97" s="215"/>
      <c r="F97" s="217"/>
      <c r="G97" s="217" t="s">
        <v>1262</v>
      </c>
      <c r="H97" s="184"/>
      <c r="I97" s="184"/>
      <c r="J97" s="184"/>
      <c r="K97" s="184"/>
      <c r="L97" s="184"/>
      <c r="M97" s="185"/>
      <c r="N97" s="185"/>
      <c r="O97" s="186"/>
      <c r="P97" s="187">
        <v>0</v>
      </c>
      <c r="Q97" s="187">
        <v>0</v>
      </c>
      <c r="R97" s="188">
        <v>0</v>
      </c>
      <c r="S97" s="188">
        <v>0</v>
      </c>
      <c r="T97" s="185"/>
      <c r="U97" s="185"/>
      <c r="V97" s="189">
        <v>0</v>
      </c>
      <c r="W97" s="190">
        <v>0</v>
      </c>
      <c r="X97" s="191"/>
      <c r="Y97" s="186"/>
      <c r="Z97" s="192"/>
      <c r="AA97" s="97">
        <v>0</v>
      </c>
      <c r="AB97" s="193">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row>
    <row r="98" spans="1:98" outlineLevel="2">
      <c r="A98" s="116"/>
      <c r="B98" s="116"/>
      <c r="C98" s="116">
        <v>3</v>
      </c>
      <c r="D98" s="3" t="s">
        <v>1313</v>
      </c>
      <c r="E98" s="215"/>
      <c r="F98" s="217"/>
      <c r="G98" s="217" t="s">
        <v>1263</v>
      </c>
      <c r="H98" s="184"/>
      <c r="I98" s="184"/>
      <c r="J98" s="184"/>
      <c r="K98" s="184"/>
      <c r="L98" s="184"/>
      <c r="M98" s="185">
        <v>43651</v>
      </c>
      <c r="N98" s="185">
        <v>43672</v>
      </c>
      <c r="O98" s="186"/>
      <c r="P98" s="187">
        <v>16</v>
      </c>
      <c r="Q98" s="187">
        <v>16</v>
      </c>
      <c r="R98" s="188">
        <v>16</v>
      </c>
      <c r="S98" s="188">
        <v>16</v>
      </c>
      <c r="T98" s="185"/>
      <c r="U98" s="185"/>
      <c r="V98" s="189"/>
      <c r="W98" s="190">
        <v>0</v>
      </c>
      <c r="X98" s="191">
        <v>1</v>
      </c>
      <c r="Y98" s="186" t="s">
        <v>1293</v>
      </c>
      <c r="Z98" s="192"/>
      <c r="AA98" s="97">
        <v>1</v>
      </c>
      <c r="AB98" s="193">
        <v>0</v>
      </c>
      <c r="AC98" s="123" t="str">
        <f>"    " &amp; TEXT(AB98,"#0.00%") &amp; " " &amp; "iOS,Android" &amp; "(James,Preyea)" &amp; " " &amp; IF(M98="","",TEXT(M98,"M/D-")) &amp; IF(N98="","",TEXT(N98,"M/D")) &amp; " "</f>
        <v xml:space="preserve">    0.00% iOS,Android(James,Preyea) 7/5-7/26 </v>
      </c>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row>
    <row r="99" spans="1:98" outlineLevel="2">
      <c r="A99" s="116"/>
      <c r="B99" s="116"/>
      <c r="C99" s="116">
        <v>0</v>
      </c>
      <c r="D99" s="3"/>
      <c r="E99" s="215"/>
      <c r="F99" s="217"/>
      <c r="G99" s="217"/>
      <c r="H99" s="184"/>
      <c r="I99" s="184"/>
      <c r="J99" s="184"/>
      <c r="K99" s="184"/>
      <c r="L99" s="184"/>
      <c r="M99" s="185"/>
      <c r="N99" s="185"/>
      <c r="O99" s="186"/>
      <c r="P99" s="187"/>
      <c r="Q99" s="187"/>
      <c r="R99" s="188">
        <v>0</v>
      </c>
      <c r="S99" s="188">
        <v>0</v>
      </c>
      <c r="T99" s="185"/>
      <c r="U99" s="185"/>
      <c r="V99" s="189"/>
      <c r="W99" s="190">
        <v>0</v>
      </c>
      <c r="X99" s="191"/>
      <c r="Y99" s="186"/>
      <c r="Z99" s="192"/>
      <c r="AA99" s="97"/>
      <c r="AB99" s="193"/>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row>
    <row r="100" spans="1:98" outlineLevel="1">
      <c r="A100" s="116"/>
      <c r="B100" s="116" t="s">
        <v>1063</v>
      </c>
      <c r="C100" s="116">
        <v>2</v>
      </c>
      <c r="D100" s="3" t="s">
        <v>1314</v>
      </c>
      <c r="E100" s="215"/>
      <c r="F100" s="217" t="s">
        <v>1171</v>
      </c>
      <c r="G100" s="217"/>
      <c r="H100" s="184"/>
      <c r="I100" s="184"/>
      <c r="J100" s="184"/>
      <c r="K100" s="184"/>
      <c r="L100" s="184"/>
      <c r="M100" s="185">
        <v>43657</v>
      </c>
      <c r="N100" s="185">
        <v>43658</v>
      </c>
      <c r="O100" s="186"/>
      <c r="P100" s="187">
        <v>2</v>
      </c>
      <c r="Q100" s="187">
        <v>2</v>
      </c>
      <c r="R100" s="188">
        <v>2</v>
      </c>
      <c r="S100" s="188">
        <v>2</v>
      </c>
      <c r="T100" s="185"/>
      <c r="U100" s="185"/>
      <c r="V100" s="189">
        <v>0</v>
      </c>
      <c r="W100" s="190">
        <v>0</v>
      </c>
      <c r="X100" s="191"/>
      <c r="Y100" s="186"/>
      <c r="Z100" s="192"/>
      <c r="AA100" s="97">
        <v>1</v>
      </c>
      <c r="AB100" s="193">
        <v>0</v>
      </c>
      <c r="AC100" s="123"/>
      <c r="AD100" s="4" t="str">
        <f>"   " &amp; TEXT(AB100,"#0.00%") &amp; " " &amp; "Popup notice in new app" &amp; " " &amp; IF(M100="","",TEXT(M100,"M/D-")) &amp; IF(N100="","",TEXT(N100,"M/D")) &amp; " "</f>
        <v xml:space="preserve">   0.00% Popup notice in new app 7/11-7/12 </v>
      </c>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row>
    <row r="101" spans="1:98" outlineLevel="2">
      <c r="A101" s="116"/>
      <c r="B101" s="116"/>
      <c r="C101" s="116">
        <v>3</v>
      </c>
      <c r="D101" s="3" t="s">
        <v>1315</v>
      </c>
      <c r="E101" s="215"/>
      <c r="F101" s="217"/>
      <c r="G101" s="217" t="s">
        <v>1260</v>
      </c>
      <c r="H101" s="184"/>
      <c r="I101" s="184"/>
      <c r="J101" s="184"/>
      <c r="K101" s="184"/>
      <c r="L101" s="184"/>
      <c r="M101" s="185"/>
      <c r="N101" s="185"/>
      <c r="O101" s="186"/>
      <c r="P101" s="187">
        <v>0</v>
      </c>
      <c r="Q101" s="187">
        <v>0</v>
      </c>
      <c r="R101" s="188">
        <v>0</v>
      </c>
      <c r="S101" s="188">
        <v>0</v>
      </c>
      <c r="T101" s="185"/>
      <c r="U101" s="185"/>
      <c r="V101" s="189">
        <v>0</v>
      </c>
      <c r="W101" s="190">
        <v>0</v>
      </c>
      <c r="X101" s="191"/>
      <c r="Y101" s="186"/>
      <c r="Z101" s="192"/>
      <c r="AA101" s="97">
        <v>0</v>
      </c>
      <c r="AB101" s="193">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row>
    <row r="102" spans="1:98" outlineLevel="2">
      <c r="A102" s="116"/>
      <c r="B102" s="116"/>
      <c r="C102" s="116">
        <v>3</v>
      </c>
      <c r="D102" s="3" t="s">
        <v>1316</v>
      </c>
      <c r="E102" s="215"/>
      <c r="F102" s="217"/>
      <c r="G102" s="217" t="s">
        <v>1261</v>
      </c>
      <c r="H102" s="184"/>
      <c r="I102" s="184"/>
      <c r="J102" s="184"/>
      <c r="K102" s="184"/>
      <c r="L102" s="184"/>
      <c r="M102" s="185"/>
      <c r="N102" s="185"/>
      <c r="O102" s="186"/>
      <c r="P102" s="187">
        <v>0</v>
      </c>
      <c r="Q102" s="187">
        <v>0</v>
      </c>
      <c r="R102" s="188">
        <v>0</v>
      </c>
      <c r="S102" s="188">
        <v>0</v>
      </c>
      <c r="T102" s="185"/>
      <c r="U102" s="185"/>
      <c r="V102" s="189">
        <v>0</v>
      </c>
      <c r="W102" s="190">
        <v>0</v>
      </c>
      <c r="X102" s="191"/>
      <c r="Y102" s="186"/>
      <c r="Z102" s="192"/>
      <c r="AA102" s="97">
        <v>0</v>
      </c>
      <c r="AB102" s="193">
        <v>0</v>
      </c>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row>
    <row r="103" spans="1:98" outlineLevel="2">
      <c r="A103" s="116"/>
      <c r="B103" s="116"/>
      <c r="C103" s="116">
        <v>3</v>
      </c>
      <c r="D103" s="3" t="s">
        <v>1317</v>
      </c>
      <c r="E103" s="215"/>
      <c r="F103" s="217"/>
      <c r="G103" s="217" t="s">
        <v>1262</v>
      </c>
      <c r="H103" s="184"/>
      <c r="I103" s="184"/>
      <c r="J103" s="184"/>
      <c r="K103" s="184"/>
      <c r="L103" s="184"/>
      <c r="M103" s="185"/>
      <c r="N103" s="185"/>
      <c r="O103" s="186"/>
      <c r="P103" s="187">
        <v>0</v>
      </c>
      <c r="Q103" s="187">
        <v>0</v>
      </c>
      <c r="R103" s="188">
        <v>0</v>
      </c>
      <c r="S103" s="188">
        <v>0</v>
      </c>
      <c r="T103" s="185"/>
      <c r="U103" s="185"/>
      <c r="V103" s="189">
        <v>0</v>
      </c>
      <c r="W103" s="190">
        <v>0</v>
      </c>
      <c r="X103" s="191"/>
      <c r="Y103" s="186"/>
      <c r="Z103" s="192"/>
      <c r="AA103" s="97">
        <v>0</v>
      </c>
      <c r="AB103" s="193">
        <v>0</v>
      </c>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row>
    <row r="104" spans="1:98" outlineLevel="2">
      <c r="A104" s="116"/>
      <c r="B104" s="116"/>
      <c r="C104" s="116">
        <v>3</v>
      </c>
      <c r="D104" s="3" t="s">
        <v>1318</v>
      </c>
      <c r="E104" s="215"/>
      <c r="F104" s="217"/>
      <c r="G104" s="217" t="s">
        <v>1263</v>
      </c>
      <c r="H104" s="184"/>
      <c r="I104" s="184"/>
      <c r="J104" s="184"/>
      <c r="K104" s="184"/>
      <c r="L104" s="184"/>
      <c r="M104" s="185">
        <v>43657</v>
      </c>
      <c r="N104" s="185">
        <v>43658</v>
      </c>
      <c r="O104" s="186"/>
      <c r="P104" s="187">
        <v>2</v>
      </c>
      <c r="Q104" s="187">
        <v>2</v>
      </c>
      <c r="R104" s="188">
        <v>2</v>
      </c>
      <c r="S104" s="188">
        <v>2</v>
      </c>
      <c r="T104" s="185"/>
      <c r="U104" s="185"/>
      <c r="V104" s="189"/>
      <c r="W104" s="190">
        <v>0</v>
      </c>
      <c r="X104" s="191">
        <v>1</v>
      </c>
      <c r="Y104" s="186" t="s">
        <v>1293</v>
      </c>
      <c r="Z104" s="192"/>
      <c r="AA104" s="97">
        <v>1</v>
      </c>
      <c r="AB104" s="193">
        <v>0</v>
      </c>
      <c r="AC104" s="123"/>
      <c r="AD104" s="4" t="str">
        <f>"   " &amp; TEXT(AB104,"#0.00%") &amp; " " &amp; "iOS,Android" &amp; "(James,Preyea)" &amp; " " &amp; IF(M104="","",TEXT(M104,"M/D-")) &amp; IF(N104="","",TEXT(N104,"M/D")) &amp; " "</f>
        <v xml:space="preserve">   0.00% iOS,Android(James,Preyea) 7/11-7/12 </v>
      </c>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row>
    <row r="105" spans="1:98" outlineLevel="2">
      <c r="A105" s="116"/>
      <c r="B105" s="116"/>
      <c r="C105" s="116">
        <v>0</v>
      </c>
      <c r="D105" s="3"/>
      <c r="E105" s="215"/>
      <c r="F105" s="184"/>
      <c r="G105" s="184"/>
      <c r="H105" s="184"/>
      <c r="I105" s="184"/>
      <c r="J105" s="184"/>
      <c r="K105" s="184"/>
      <c r="L105" s="184"/>
      <c r="M105" s="185"/>
      <c r="N105" s="185"/>
      <c r="O105" s="186"/>
      <c r="P105" s="187"/>
      <c r="Q105" s="187"/>
      <c r="R105" s="188">
        <v>0</v>
      </c>
      <c r="S105" s="188">
        <v>0</v>
      </c>
      <c r="T105" s="185"/>
      <c r="U105" s="185"/>
      <c r="V105" s="189"/>
      <c r="W105" s="190">
        <v>0</v>
      </c>
      <c r="X105" s="191"/>
      <c r="Y105" s="186"/>
      <c r="Z105" s="192"/>
      <c r="AA105" s="97"/>
      <c r="AB105" s="193"/>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row>
    <row r="106" spans="1:98" outlineLevel="1">
      <c r="A106" s="116"/>
      <c r="B106" s="116" t="s">
        <v>1063</v>
      </c>
      <c r="C106" s="116">
        <v>2</v>
      </c>
      <c r="D106" s="3" t="s">
        <v>1319</v>
      </c>
      <c r="E106" s="215"/>
      <c r="F106" s="217" t="s">
        <v>1298</v>
      </c>
      <c r="G106" s="217"/>
      <c r="H106" s="184"/>
      <c r="I106" s="184"/>
      <c r="J106" s="184"/>
      <c r="K106" s="184"/>
      <c r="L106" s="184"/>
      <c r="M106" s="185">
        <v>43657</v>
      </c>
      <c r="N106" s="185">
        <v>43658</v>
      </c>
      <c r="O106" s="186"/>
      <c r="P106" s="187">
        <v>2</v>
      </c>
      <c r="Q106" s="187">
        <v>2</v>
      </c>
      <c r="R106" s="188">
        <v>2</v>
      </c>
      <c r="S106" s="188">
        <v>2</v>
      </c>
      <c r="T106" s="185"/>
      <c r="U106" s="185"/>
      <c r="V106" s="189">
        <v>0</v>
      </c>
      <c r="W106" s="190">
        <v>0</v>
      </c>
      <c r="X106" s="191"/>
      <c r="Y106" s="186"/>
      <c r="Z106" s="192"/>
      <c r="AA106" s="97">
        <v>1</v>
      </c>
      <c r="AB106" s="193">
        <v>0</v>
      </c>
      <c r="AC106" s="123"/>
      <c r="AD106" s="4" t="str">
        <f>"   " &amp; TEXT(AB106,"#0.00%") &amp; " " &amp; "Auto refund using KFTC" &amp; " " &amp; IF(M106="","",TEXT(M106,"M/D-")) &amp; IF(N106="","",TEXT(N106,"M/D")) &amp; " "</f>
        <v xml:space="preserve">   0.00% Auto refund using KFTC 7/11-7/12 </v>
      </c>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row>
    <row r="107" spans="1:98" outlineLevel="2">
      <c r="A107" s="116"/>
      <c r="B107" s="116"/>
      <c r="C107" s="116">
        <v>3</v>
      </c>
      <c r="D107" s="3" t="s">
        <v>1320</v>
      </c>
      <c r="E107" s="215"/>
      <c r="F107" s="217"/>
      <c r="G107" s="217" t="s">
        <v>1260</v>
      </c>
      <c r="H107" s="184"/>
      <c r="I107" s="184"/>
      <c r="J107" s="184"/>
      <c r="K107" s="184"/>
      <c r="L107" s="184"/>
      <c r="M107" s="185"/>
      <c r="N107" s="185"/>
      <c r="O107" s="186"/>
      <c r="P107" s="187">
        <v>0</v>
      </c>
      <c r="Q107" s="187">
        <v>0</v>
      </c>
      <c r="R107" s="188">
        <v>0</v>
      </c>
      <c r="S107" s="188">
        <v>0</v>
      </c>
      <c r="T107" s="185"/>
      <c r="U107" s="185"/>
      <c r="V107" s="189">
        <v>0</v>
      </c>
      <c r="W107" s="190">
        <v>0</v>
      </c>
      <c r="X107" s="191"/>
      <c r="Y107" s="186"/>
      <c r="Z107" s="192"/>
      <c r="AA107" s="97">
        <v>0</v>
      </c>
      <c r="AB107" s="193">
        <v>0</v>
      </c>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row>
    <row r="108" spans="1:98" outlineLevel="2">
      <c r="A108" s="116"/>
      <c r="B108" s="116"/>
      <c r="C108" s="116">
        <v>3</v>
      </c>
      <c r="D108" s="3" t="s">
        <v>1321</v>
      </c>
      <c r="E108" s="215"/>
      <c r="F108" s="217"/>
      <c r="G108" s="217" t="s">
        <v>1261</v>
      </c>
      <c r="H108" s="184"/>
      <c r="I108" s="184"/>
      <c r="J108" s="184"/>
      <c r="K108" s="184"/>
      <c r="L108" s="184"/>
      <c r="M108" s="185"/>
      <c r="N108" s="185"/>
      <c r="O108" s="186"/>
      <c r="P108" s="187">
        <v>0</v>
      </c>
      <c r="Q108" s="187">
        <v>0</v>
      </c>
      <c r="R108" s="188">
        <v>0</v>
      </c>
      <c r="S108" s="188">
        <v>0</v>
      </c>
      <c r="T108" s="185"/>
      <c r="U108" s="185"/>
      <c r="V108" s="189">
        <v>0</v>
      </c>
      <c r="W108" s="190">
        <v>0</v>
      </c>
      <c r="X108" s="191"/>
      <c r="Y108" s="186"/>
      <c r="Z108" s="192"/>
      <c r="AA108" s="97">
        <v>0</v>
      </c>
      <c r="AB108" s="193">
        <v>0</v>
      </c>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row>
    <row r="109" spans="1:98" outlineLevel="2">
      <c r="A109" s="116"/>
      <c r="B109" s="116"/>
      <c r="C109" s="116">
        <v>3</v>
      </c>
      <c r="D109" s="3" t="s">
        <v>1322</v>
      </c>
      <c r="E109" s="215"/>
      <c r="F109" s="217"/>
      <c r="G109" s="217" t="s">
        <v>1262</v>
      </c>
      <c r="H109" s="184"/>
      <c r="I109" s="184"/>
      <c r="J109" s="184"/>
      <c r="K109" s="184"/>
      <c r="L109" s="184"/>
      <c r="M109" s="185"/>
      <c r="N109" s="185"/>
      <c r="O109" s="186"/>
      <c r="P109" s="187">
        <v>0</v>
      </c>
      <c r="Q109" s="187">
        <v>0</v>
      </c>
      <c r="R109" s="188">
        <v>0</v>
      </c>
      <c r="S109" s="188">
        <v>0</v>
      </c>
      <c r="T109" s="185"/>
      <c r="U109" s="185"/>
      <c r="V109" s="189">
        <v>0</v>
      </c>
      <c r="W109" s="190">
        <v>0</v>
      </c>
      <c r="X109" s="191"/>
      <c r="Y109" s="186"/>
      <c r="Z109" s="192"/>
      <c r="AA109" s="97">
        <v>0</v>
      </c>
      <c r="AB109" s="193">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row>
    <row r="110" spans="1:98" outlineLevel="2">
      <c r="A110" s="116"/>
      <c r="B110" s="116"/>
      <c r="C110" s="116">
        <v>3</v>
      </c>
      <c r="D110" s="3" t="s">
        <v>1323</v>
      </c>
      <c r="E110" s="215"/>
      <c r="F110" s="217"/>
      <c r="G110" s="217" t="s">
        <v>1263</v>
      </c>
      <c r="H110" s="184"/>
      <c r="I110" s="184"/>
      <c r="J110" s="184"/>
      <c r="K110" s="184"/>
      <c r="L110" s="184"/>
      <c r="M110" s="185">
        <v>43657</v>
      </c>
      <c r="N110" s="185">
        <v>43658</v>
      </c>
      <c r="O110" s="186"/>
      <c r="P110" s="187">
        <v>2</v>
      </c>
      <c r="Q110" s="187">
        <v>2</v>
      </c>
      <c r="R110" s="188">
        <v>2</v>
      </c>
      <c r="S110" s="188">
        <v>2</v>
      </c>
      <c r="T110" s="185"/>
      <c r="U110" s="185"/>
      <c r="V110" s="189"/>
      <c r="W110" s="190">
        <v>0</v>
      </c>
      <c r="X110" s="191">
        <v>1</v>
      </c>
      <c r="Y110" s="186" t="s">
        <v>1293</v>
      </c>
      <c r="Z110" s="192"/>
      <c r="AA110" s="97">
        <v>1</v>
      </c>
      <c r="AB110" s="193">
        <v>0</v>
      </c>
      <c r="AC110" s="123"/>
      <c r="AD110" s="4" t="str">
        <f>"   " &amp; TEXT(AB110,"#0.00%") &amp; " " &amp; "iOS,Android" &amp; "(James,Preyea)" &amp; " " &amp; IF(M110="","",TEXT(M110,"M/D-")) &amp; IF(N110="","",TEXT(N110,"M/D")) &amp; " "</f>
        <v xml:space="preserve">   0.00% iOS,Android(James,Preyea) 7/11-7/12 </v>
      </c>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row>
    <row r="111" spans="1:98" outlineLevel="2">
      <c r="A111" s="116"/>
      <c r="B111" s="116"/>
      <c r="C111" s="116">
        <v>0</v>
      </c>
      <c r="D111" s="3"/>
      <c r="E111" s="215"/>
      <c r="F111" s="184"/>
      <c r="G111" s="184"/>
      <c r="H111" s="184"/>
      <c r="I111" s="184"/>
      <c r="J111" s="184"/>
      <c r="K111" s="184"/>
      <c r="L111" s="184"/>
      <c r="M111" s="185"/>
      <c r="N111" s="185"/>
      <c r="O111" s="186"/>
      <c r="P111" s="187"/>
      <c r="Q111" s="187"/>
      <c r="R111" s="188">
        <v>0</v>
      </c>
      <c r="S111" s="188">
        <v>0</v>
      </c>
      <c r="T111" s="185"/>
      <c r="U111" s="185"/>
      <c r="V111" s="189"/>
      <c r="W111" s="190">
        <v>0</v>
      </c>
      <c r="X111" s="191"/>
      <c r="Y111" s="186"/>
      <c r="Z111" s="192"/>
      <c r="AA111" s="97"/>
      <c r="AB111" s="193"/>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row>
    <row r="112" spans="1:98" outlineLevel="1">
      <c r="A112" s="116"/>
      <c r="B112" s="116" t="s">
        <v>1063</v>
      </c>
      <c r="C112" s="116">
        <v>2</v>
      </c>
      <c r="D112" s="3" t="s">
        <v>1324</v>
      </c>
      <c r="E112" s="215"/>
      <c r="F112" s="217" t="s">
        <v>1299</v>
      </c>
      <c r="G112" s="217"/>
      <c r="H112" s="184"/>
      <c r="I112" s="184"/>
      <c r="J112" s="184"/>
      <c r="K112" s="184"/>
      <c r="L112" s="184"/>
      <c r="M112" s="185">
        <v>43657</v>
      </c>
      <c r="N112" s="185">
        <v>43658</v>
      </c>
      <c r="O112" s="186"/>
      <c r="P112" s="187">
        <v>2</v>
      </c>
      <c r="Q112" s="187">
        <v>2</v>
      </c>
      <c r="R112" s="188">
        <v>2</v>
      </c>
      <c r="S112" s="188">
        <v>2</v>
      </c>
      <c r="T112" s="185"/>
      <c r="U112" s="185"/>
      <c r="V112" s="189">
        <v>0</v>
      </c>
      <c r="W112" s="190">
        <v>0</v>
      </c>
      <c r="X112" s="191"/>
      <c r="Y112" s="186"/>
      <c r="Z112" s="192"/>
      <c r="AA112" s="97">
        <v>1</v>
      </c>
      <c r="AB112" s="193">
        <v>0</v>
      </c>
      <c r="AC112" s="123"/>
      <c r="AD112" s="4" t="str">
        <f>"   " &amp; TEXT(AB112,"#0.00%") &amp; " " &amp; "Balance check using KFTC" &amp; " " &amp; IF(M112="","",TEXT(M112,"M/D-")) &amp; IF(N112="","",TEXT(N112,"M/D")) &amp; " "</f>
        <v xml:space="preserve">   0.00% Balance check using KFTC 7/11-7/12 </v>
      </c>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row>
    <row r="113" spans="1:98" outlineLevel="2">
      <c r="A113" s="116"/>
      <c r="B113" s="116"/>
      <c r="C113" s="116">
        <v>3</v>
      </c>
      <c r="D113" s="3" t="s">
        <v>1325</v>
      </c>
      <c r="E113" s="215"/>
      <c r="F113" s="217"/>
      <c r="G113" s="217" t="s">
        <v>1260</v>
      </c>
      <c r="H113" s="184"/>
      <c r="I113" s="184"/>
      <c r="J113" s="184"/>
      <c r="K113" s="184"/>
      <c r="L113" s="184"/>
      <c r="M113" s="185"/>
      <c r="N113" s="185"/>
      <c r="O113" s="186"/>
      <c r="P113" s="187">
        <v>0</v>
      </c>
      <c r="Q113" s="187">
        <v>0</v>
      </c>
      <c r="R113" s="188">
        <v>0</v>
      </c>
      <c r="S113" s="188">
        <v>0</v>
      </c>
      <c r="T113" s="185"/>
      <c r="U113" s="185"/>
      <c r="V113" s="189">
        <v>0</v>
      </c>
      <c r="W113" s="190">
        <v>0</v>
      </c>
      <c r="X113" s="191"/>
      <c r="Y113" s="186"/>
      <c r="Z113" s="192"/>
      <c r="AA113" s="97">
        <v>0</v>
      </c>
      <c r="AB113" s="193">
        <v>0</v>
      </c>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row>
    <row r="114" spans="1:98" outlineLevel="2">
      <c r="A114" s="116"/>
      <c r="B114" s="116"/>
      <c r="C114" s="116">
        <v>3</v>
      </c>
      <c r="D114" s="3" t="s">
        <v>1326</v>
      </c>
      <c r="E114" s="215"/>
      <c r="F114" s="217"/>
      <c r="G114" s="217" t="s">
        <v>1261</v>
      </c>
      <c r="H114" s="184"/>
      <c r="I114" s="184"/>
      <c r="J114" s="184"/>
      <c r="K114" s="184"/>
      <c r="L114" s="184"/>
      <c r="M114" s="185"/>
      <c r="N114" s="185"/>
      <c r="O114" s="186"/>
      <c r="P114" s="187">
        <v>0</v>
      </c>
      <c r="Q114" s="187">
        <v>0</v>
      </c>
      <c r="R114" s="188">
        <v>0</v>
      </c>
      <c r="S114" s="188">
        <v>0</v>
      </c>
      <c r="T114" s="185"/>
      <c r="U114" s="185"/>
      <c r="V114" s="189">
        <v>0</v>
      </c>
      <c r="W114" s="190">
        <v>0</v>
      </c>
      <c r="X114" s="191"/>
      <c r="Y114" s="186"/>
      <c r="Z114" s="192"/>
      <c r="AA114" s="97">
        <v>0</v>
      </c>
      <c r="AB114" s="193">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row>
    <row r="115" spans="1:98" outlineLevel="2">
      <c r="A115" s="116"/>
      <c r="B115" s="116"/>
      <c r="C115" s="116">
        <v>3</v>
      </c>
      <c r="D115" s="3" t="s">
        <v>1327</v>
      </c>
      <c r="E115" s="215"/>
      <c r="F115" s="217"/>
      <c r="G115" s="217" t="s">
        <v>1262</v>
      </c>
      <c r="H115" s="184"/>
      <c r="I115" s="184"/>
      <c r="J115" s="184"/>
      <c r="K115" s="184"/>
      <c r="L115" s="184"/>
      <c r="M115" s="185"/>
      <c r="N115" s="185"/>
      <c r="O115" s="186"/>
      <c r="P115" s="187">
        <v>0</v>
      </c>
      <c r="Q115" s="187">
        <v>0</v>
      </c>
      <c r="R115" s="188">
        <v>0</v>
      </c>
      <c r="S115" s="188">
        <v>0</v>
      </c>
      <c r="T115" s="185"/>
      <c r="U115" s="185"/>
      <c r="V115" s="189">
        <v>0</v>
      </c>
      <c r="W115" s="190">
        <v>0</v>
      </c>
      <c r="X115" s="191"/>
      <c r="Y115" s="186"/>
      <c r="Z115" s="192"/>
      <c r="AA115" s="97">
        <v>0</v>
      </c>
      <c r="AB115" s="193">
        <v>0</v>
      </c>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row>
    <row r="116" spans="1:98" outlineLevel="2">
      <c r="A116" s="116"/>
      <c r="B116" s="116"/>
      <c r="C116" s="116">
        <v>3</v>
      </c>
      <c r="D116" s="3" t="s">
        <v>1328</v>
      </c>
      <c r="E116" s="215"/>
      <c r="F116" s="217"/>
      <c r="G116" s="217" t="s">
        <v>1263</v>
      </c>
      <c r="H116" s="184"/>
      <c r="I116" s="184"/>
      <c r="J116" s="184"/>
      <c r="K116" s="184"/>
      <c r="L116" s="184"/>
      <c r="M116" s="185">
        <v>43657</v>
      </c>
      <c r="N116" s="185">
        <v>43658</v>
      </c>
      <c r="O116" s="186"/>
      <c r="P116" s="187">
        <v>2</v>
      </c>
      <c r="Q116" s="187">
        <v>2</v>
      </c>
      <c r="R116" s="188">
        <v>2</v>
      </c>
      <c r="S116" s="188">
        <v>2</v>
      </c>
      <c r="T116" s="185"/>
      <c r="U116" s="185"/>
      <c r="V116" s="189"/>
      <c r="W116" s="190">
        <v>0</v>
      </c>
      <c r="X116" s="191">
        <v>1</v>
      </c>
      <c r="Y116" s="186" t="s">
        <v>1293</v>
      </c>
      <c r="Z116" s="192"/>
      <c r="AA116" s="97">
        <v>1</v>
      </c>
      <c r="AB116" s="193">
        <v>0</v>
      </c>
      <c r="AC116" s="123"/>
      <c r="AD116" s="4" t="str">
        <f>"   " &amp; TEXT(AB116,"#0.00%") &amp; " " &amp; "iOS,Android" &amp; "(James,Preyea)" &amp; " " &amp; IF(M116="","",TEXT(M116,"M/D-")) &amp; IF(N116="","",TEXT(N116,"M/D")) &amp; " "</f>
        <v xml:space="preserve">   0.00% iOS,Android(James,Preyea) 7/11-7/12 </v>
      </c>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row>
    <row r="117" spans="1:98" outlineLevel="2">
      <c r="A117" s="116"/>
      <c r="B117" s="116"/>
      <c r="C117" s="116">
        <v>0</v>
      </c>
      <c r="D117" s="3"/>
      <c r="E117" s="215"/>
      <c r="F117" s="184"/>
      <c r="G117" s="184"/>
      <c r="H117" s="184"/>
      <c r="I117" s="184"/>
      <c r="J117" s="184"/>
      <c r="K117" s="184"/>
      <c r="L117" s="184"/>
      <c r="M117" s="185"/>
      <c r="N117" s="185"/>
      <c r="O117" s="186"/>
      <c r="P117" s="187"/>
      <c r="Q117" s="187"/>
      <c r="R117" s="188">
        <v>0</v>
      </c>
      <c r="S117" s="188">
        <v>0</v>
      </c>
      <c r="T117" s="185"/>
      <c r="U117" s="185"/>
      <c r="V117" s="189"/>
      <c r="W117" s="190">
        <v>0</v>
      </c>
      <c r="X117" s="191"/>
      <c r="Y117" s="186"/>
      <c r="Z117" s="192"/>
      <c r="AA117" s="97"/>
      <c r="AB117" s="193"/>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row>
    <row r="118" spans="1:98" outlineLevel="1">
      <c r="A118" s="116"/>
      <c r="B118" s="116" t="s">
        <v>1063</v>
      </c>
      <c r="C118" s="116">
        <v>2</v>
      </c>
      <c r="D118" s="3" t="s">
        <v>1329</v>
      </c>
      <c r="E118" s="215"/>
      <c r="F118" s="217" t="s">
        <v>1307</v>
      </c>
      <c r="G118" s="217"/>
      <c r="H118" s="184"/>
      <c r="I118" s="184"/>
      <c r="J118" s="184"/>
      <c r="K118" s="184"/>
      <c r="L118" s="184"/>
      <c r="M118" s="185">
        <v>43657</v>
      </c>
      <c r="N118" s="185">
        <v>43658</v>
      </c>
      <c r="O118" s="186"/>
      <c r="P118" s="187">
        <v>2</v>
      </c>
      <c r="Q118" s="187">
        <v>2</v>
      </c>
      <c r="R118" s="188">
        <v>2</v>
      </c>
      <c r="S118" s="188">
        <v>2</v>
      </c>
      <c r="T118" s="185"/>
      <c r="U118" s="185"/>
      <c r="V118" s="189">
        <v>0</v>
      </c>
      <c r="W118" s="190">
        <v>0</v>
      </c>
      <c r="X118" s="191"/>
      <c r="Y118" s="186"/>
      <c r="Z118" s="192"/>
      <c r="AA118" s="97">
        <v>1</v>
      </c>
      <c r="AB118" s="193">
        <v>0</v>
      </c>
      <c r="AC118" s="123"/>
      <c r="AD118" s="4" t="str">
        <f>"   " &amp; TEXT(AB118,"#0.00%") &amp; " " &amp; "Domestic bank transfer using KFTC" &amp; " " &amp; IF(M118="","",TEXT(M118,"M/D-")) &amp; IF(N118="","",TEXT(N118,"M/D")) &amp; " "</f>
        <v xml:space="preserve">   0.00% Domestic bank transfer using KFTC 7/11-7/12 </v>
      </c>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row>
    <row r="119" spans="1:98" outlineLevel="2">
      <c r="A119" s="116"/>
      <c r="B119" s="116"/>
      <c r="C119" s="116">
        <v>3</v>
      </c>
      <c r="D119" s="3" t="s">
        <v>1330</v>
      </c>
      <c r="E119" s="215"/>
      <c r="F119" s="217"/>
      <c r="G119" s="217" t="s">
        <v>1260</v>
      </c>
      <c r="H119" s="184"/>
      <c r="I119" s="184"/>
      <c r="J119" s="184"/>
      <c r="K119" s="184"/>
      <c r="L119" s="184"/>
      <c r="M119" s="185"/>
      <c r="N119" s="185"/>
      <c r="O119" s="186"/>
      <c r="P119" s="187">
        <v>0</v>
      </c>
      <c r="Q119" s="187">
        <v>0</v>
      </c>
      <c r="R119" s="188">
        <v>0</v>
      </c>
      <c r="S119" s="188">
        <v>0</v>
      </c>
      <c r="T119" s="185"/>
      <c r="U119" s="185"/>
      <c r="V119" s="189">
        <v>0</v>
      </c>
      <c r="W119" s="190">
        <v>0</v>
      </c>
      <c r="X119" s="191"/>
      <c r="Y119" s="186"/>
      <c r="Z119" s="192"/>
      <c r="AA119" s="97">
        <v>0</v>
      </c>
      <c r="AB119" s="193">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row>
    <row r="120" spans="1:98" outlineLevel="2">
      <c r="A120" s="116"/>
      <c r="B120" s="116"/>
      <c r="C120" s="116">
        <v>3</v>
      </c>
      <c r="D120" s="3" t="s">
        <v>1331</v>
      </c>
      <c r="E120" s="215"/>
      <c r="F120" s="217"/>
      <c r="G120" s="217" t="s">
        <v>1261</v>
      </c>
      <c r="H120" s="184"/>
      <c r="I120" s="184"/>
      <c r="J120" s="184"/>
      <c r="K120" s="184"/>
      <c r="L120" s="184"/>
      <c r="M120" s="185"/>
      <c r="N120" s="185"/>
      <c r="O120" s="186"/>
      <c r="P120" s="187">
        <v>0</v>
      </c>
      <c r="Q120" s="187">
        <v>0</v>
      </c>
      <c r="R120" s="188">
        <v>0</v>
      </c>
      <c r="S120" s="188">
        <v>0</v>
      </c>
      <c r="T120" s="185"/>
      <c r="U120" s="185"/>
      <c r="V120" s="189">
        <v>0</v>
      </c>
      <c r="W120" s="190">
        <v>0</v>
      </c>
      <c r="X120" s="191"/>
      <c r="Y120" s="186"/>
      <c r="Z120" s="192"/>
      <c r="AA120" s="97">
        <v>0</v>
      </c>
      <c r="AB120" s="193">
        <v>0</v>
      </c>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row>
    <row r="121" spans="1:98" outlineLevel="2">
      <c r="A121" s="116"/>
      <c r="B121" s="116"/>
      <c r="C121" s="116">
        <v>3</v>
      </c>
      <c r="D121" s="3" t="s">
        <v>1332</v>
      </c>
      <c r="E121" s="215"/>
      <c r="F121" s="217"/>
      <c r="G121" s="217" t="s">
        <v>1262</v>
      </c>
      <c r="H121" s="184"/>
      <c r="I121" s="184"/>
      <c r="J121" s="184"/>
      <c r="K121" s="184"/>
      <c r="L121" s="184"/>
      <c r="M121" s="185"/>
      <c r="N121" s="185"/>
      <c r="O121" s="186"/>
      <c r="P121" s="187">
        <v>0</v>
      </c>
      <c r="Q121" s="187">
        <v>0</v>
      </c>
      <c r="R121" s="188">
        <v>0</v>
      </c>
      <c r="S121" s="188">
        <v>0</v>
      </c>
      <c r="T121" s="185"/>
      <c r="U121" s="185"/>
      <c r="V121" s="189">
        <v>0</v>
      </c>
      <c r="W121" s="190">
        <v>0</v>
      </c>
      <c r="X121" s="191"/>
      <c r="Y121" s="186"/>
      <c r="Z121" s="192"/>
      <c r="AA121" s="97">
        <v>0</v>
      </c>
      <c r="AB121" s="193">
        <v>0</v>
      </c>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row>
    <row r="122" spans="1:98" outlineLevel="2">
      <c r="A122" s="116"/>
      <c r="B122" s="116"/>
      <c r="C122" s="116">
        <v>3</v>
      </c>
      <c r="D122" s="3" t="s">
        <v>1333</v>
      </c>
      <c r="E122" s="215"/>
      <c r="F122" s="217"/>
      <c r="G122" s="217" t="s">
        <v>1263</v>
      </c>
      <c r="H122" s="184"/>
      <c r="I122" s="184"/>
      <c r="J122" s="184"/>
      <c r="K122" s="184"/>
      <c r="L122" s="184"/>
      <c r="M122" s="185">
        <v>43657</v>
      </c>
      <c r="N122" s="185">
        <v>43658</v>
      </c>
      <c r="O122" s="186"/>
      <c r="P122" s="187">
        <v>2</v>
      </c>
      <c r="Q122" s="187">
        <v>2</v>
      </c>
      <c r="R122" s="188">
        <v>2</v>
      </c>
      <c r="S122" s="188">
        <v>2</v>
      </c>
      <c r="T122" s="185"/>
      <c r="U122" s="185"/>
      <c r="V122" s="189"/>
      <c r="W122" s="190">
        <v>0</v>
      </c>
      <c r="X122" s="191">
        <v>1</v>
      </c>
      <c r="Y122" s="186" t="s">
        <v>1293</v>
      </c>
      <c r="Z122" s="192"/>
      <c r="AA122" s="97">
        <v>1</v>
      </c>
      <c r="AB122" s="193">
        <v>0</v>
      </c>
      <c r="AC122" s="123"/>
      <c r="AD122" s="4" t="str">
        <f>"   " &amp; TEXT(AB122,"#0.00%") &amp; " " &amp; "iOS,Android" &amp; "(James,Preyea)" &amp; " " &amp; IF(M122="","",TEXT(M122,"M/D-")) &amp; IF(N122="","",TEXT(N122,"M/D")) &amp; " "</f>
        <v xml:space="preserve">   0.00% iOS,Android(James,Preyea) 7/11-7/12 </v>
      </c>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row>
    <row r="123" spans="1:98" outlineLevel="2">
      <c r="A123" s="116"/>
      <c r="B123" s="116"/>
      <c r="C123" s="116">
        <v>0</v>
      </c>
      <c r="D123" s="3"/>
      <c r="E123" s="184"/>
      <c r="F123" s="184"/>
      <c r="G123" s="184"/>
      <c r="H123" s="184"/>
      <c r="I123" s="184"/>
      <c r="J123" s="184"/>
      <c r="K123" s="184"/>
      <c r="L123" s="184"/>
      <c r="M123" s="185"/>
      <c r="N123" s="185"/>
      <c r="O123" s="186"/>
      <c r="P123" s="187"/>
      <c r="Q123" s="187"/>
      <c r="R123" s="188">
        <v>0</v>
      </c>
      <c r="S123" s="188">
        <v>0</v>
      </c>
      <c r="T123" s="185"/>
      <c r="U123" s="185"/>
      <c r="V123" s="189"/>
      <c r="W123" s="190">
        <v>0</v>
      </c>
      <c r="X123" s="191"/>
      <c r="Y123" s="186"/>
      <c r="Z123" s="192"/>
      <c r="AA123" s="97"/>
      <c r="AB123" s="193"/>
      <c r="AC123" s="123"/>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row>
    <row r="124" spans="1:98" outlineLevel="1">
      <c r="A124" s="116"/>
      <c r="B124" s="116" t="s">
        <v>1063</v>
      </c>
      <c r="C124" s="116">
        <v>2</v>
      </c>
      <c r="D124" s="3" t="s">
        <v>1334</v>
      </c>
      <c r="E124" s="215"/>
      <c r="F124" s="217" t="s">
        <v>1301</v>
      </c>
      <c r="G124" s="217"/>
      <c r="H124" s="184"/>
      <c r="I124" s="184"/>
      <c r="J124" s="184"/>
      <c r="K124" s="184"/>
      <c r="L124" s="184"/>
      <c r="M124" s="185">
        <v>43657</v>
      </c>
      <c r="N124" s="185">
        <v>43658</v>
      </c>
      <c r="O124" s="186"/>
      <c r="P124" s="187">
        <v>2</v>
      </c>
      <c r="Q124" s="187">
        <v>2</v>
      </c>
      <c r="R124" s="188">
        <v>2</v>
      </c>
      <c r="S124" s="188">
        <v>2</v>
      </c>
      <c r="T124" s="185"/>
      <c r="U124" s="185"/>
      <c r="V124" s="189">
        <v>0</v>
      </c>
      <c r="W124" s="190">
        <v>0</v>
      </c>
      <c r="X124" s="191"/>
      <c r="Y124" s="186"/>
      <c r="Z124" s="192"/>
      <c r="AA124" s="97">
        <v>1</v>
      </c>
      <c r="AB124" s="193">
        <v>0</v>
      </c>
      <c r="AC124" s="123"/>
      <c r="AD124" s="4" t="str">
        <f>"   " &amp; TEXT(AB124,"#0.00%") &amp; " " &amp; "Reward/Coupon system 2nd Phase" &amp; " " &amp; IF(M124="","",TEXT(M124,"M/D-")) &amp; IF(N124="","",TEXT(N124,"M/D")) &amp; " "</f>
        <v xml:space="preserve">   0.00% Reward/Coupon system 2nd Phase 7/11-7/12 </v>
      </c>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row>
    <row r="125" spans="1:98" outlineLevel="2">
      <c r="A125" s="116"/>
      <c r="B125" s="116"/>
      <c r="C125" s="116">
        <v>3</v>
      </c>
      <c r="D125" s="3" t="s">
        <v>1335</v>
      </c>
      <c r="E125" s="215"/>
      <c r="F125" s="217"/>
      <c r="G125" s="217" t="s">
        <v>1260</v>
      </c>
      <c r="H125" s="184"/>
      <c r="I125" s="184"/>
      <c r="J125" s="184"/>
      <c r="K125" s="184"/>
      <c r="L125" s="184"/>
      <c r="M125" s="185"/>
      <c r="N125" s="185"/>
      <c r="O125" s="186"/>
      <c r="P125" s="187">
        <v>0</v>
      </c>
      <c r="Q125" s="187">
        <v>0</v>
      </c>
      <c r="R125" s="188">
        <v>0</v>
      </c>
      <c r="S125" s="188">
        <v>0</v>
      </c>
      <c r="T125" s="185"/>
      <c r="U125" s="185"/>
      <c r="V125" s="189">
        <v>0</v>
      </c>
      <c r="W125" s="190">
        <v>0</v>
      </c>
      <c r="X125" s="191"/>
      <c r="Y125" s="186"/>
      <c r="Z125" s="192"/>
      <c r="AA125" s="97">
        <v>0</v>
      </c>
      <c r="AB125" s="193">
        <v>0</v>
      </c>
      <c r="AC125" s="123"/>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row>
    <row r="126" spans="1:98" outlineLevel="2">
      <c r="A126" s="116"/>
      <c r="B126" s="116"/>
      <c r="C126" s="116">
        <v>3</v>
      </c>
      <c r="D126" s="3" t="s">
        <v>1336</v>
      </c>
      <c r="E126" s="215"/>
      <c r="F126" s="217"/>
      <c r="G126" s="217" t="s">
        <v>1261</v>
      </c>
      <c r="H126" s="184"/>
      <c r="I126" s="184"/>
      <c r="J126" s="184"/>
      <c r="K126" s="184"/>
      <c r="L126" s="184"/>
      <c r="M126" s="185"/>
      <c r="N126" s="185"/>
      <c r="O126" s="186"/>
      <c r="P126" s="187">
        <v>0</v>
      </c>
      <c r="Q126" s="187">
        <v>0</v>
      </c>
      <c r="R126" s="188">
        <v>0</v>
      </c>
      <c r="S126" s="188">
        <v>0</v>
      </c>
      <c r="T126" s="185"/>
      <c r="U126" s="185"/>
      <c r="V126" s="189">
        <v>0</v>
      </c>
      <c r="W126" s="190">
        <v>0</v>
      </c>
      <c r="X126" s="191"/>
      <c r="Y126" s="186"/>
      <c r="Z126" s="192"/>
      <c r="AA126" s="97">
        <v>0</v>
      </c>
      <c r="AB126" s="193">
        <v>0</v>
      </c>
      <c r="AC126" s="123"/>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row>
    <row r="127" spans="1:98" outlineLevel="2">
      <c r="A127" s="116"/>
      <c r="B127" s="116"/>
      <c r="C127" s="116">
        <v>3</v>
      </c>
      <c r="D127" s="3" t="s">
        <v>1337</v>
      </c>
      <c r="E127" s="215"/>
      <c r="F127" s="217"/>
      <c r="G127" s="217" t="s">
        <v>1262</v>
      </c>
      <c r="H127" s="184"/>
      <c r="I127" s="184"/>
      <c r="J127" s="184"/>
      <c r="K127" s="184"/>
      <c r="L127" s="184"/>
      <c r="M127" s="185"/>
      <c r="N127" s="185"/>
      <c r="O127" s="186"/>
      <c r="P127" s="187">
        <v>0</v>
      </c>
      <c r="Q127" s="187">
        <v>0</v>
      </c>
      <c r="R127" s="188">
        <v>0</v>
      </c>
      <c r="S127" s="188">
        <v>0</v>
      </c>
      <c r="T127" s="185"/>
      <c r="U127" s="185"/>
      <c r="V127" s="189">
        <v>0</v>
      </c>
      <c r="W127" s="190">
        <v>0</v>
      </c>
      <c r="X127" s="191"/>
      <c r="Y127" s="186"/>
      <c r="Z127" s="192"/>
      <c r="AA127" s="97">
        <v>0</v>
      </c>
      <c r="AB127" s="193">
        <v>0</v>
      </c>
      <c r="AC127" s="123"/>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row>
    <row r="128" spans="1:98" outlineLevel="2">
      <c r="A128" s="116"/>
      <c r="B128" s="116"/>
      <c r="C128" s="116">
        <v>3</v>
      </c>
      <c r="D128" s="3" t="s">
        <v>1338</v>
      </c>
      <c r="E128" s="215"/>
      <c r="F128" s="217"/>
      <c r="G128" s="217" t="s">
        <v>1263</v>
      </c>
      <c r="H128" s="184"/>
      <c r="I128" s="184"/>
      <c r="J128" s="184"/>
      <c r="K128" s="184"/>
      <c r="L128" s="184"/>
      <c r="M128" s="185">
        <v>43657</v>
      </c>
      <c r="N128" s="185">
        <v>43658</v>
      </c>
      <c r="O128" s="186"/>
      <c r="P128" s="187">
        <v>2</v>
      </c>
      <c r="Q128" s="187">
        <v>2</v>
      </c>
      <c r="R128" s="188">
        <v>2</v>
      </c>
      <c r="S128" s="188">
        <v>2</v>
      </c>
      <c r="T128" s="185"/>
      <c r="U128" s="185"/>
      <c r="V128" s="189"/>
      <c r="W128" s="190">
        <v>0</v>
      </c>
      <c r="X128" s="191">
        <v>1</v>
      </c>
      <c r="Y128" s="186" t="s">
        <v>1293</v>
      </c>
      <c r="Z128" s="192"/>
      <c r="AA128" s="97">
        <v>1</v>
      </c>
      <c r="AB128" s="193">
        <v>0</v>
      </c>
      <c r="AC128" s="123"/>
      <c r="AD128" s="4" t="str">
        <f>"   " &amp; TEXT(AB128,"#0.00%") &amp; " " &amp; "iOS,Android" &amp; "(James,Preyea)" &amp; " " &amp; IF(M128="","",TEXT(M128,"M/D-")) &amp; IF(N128="","",TEXT(N128,"M/D")) &amp; " "</f>
        <v xml:space="preserve">   0.00% iOS,Android(James,Preyea) 7/11-7/12 </v>
      </c>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row>
    <row r="129" spans="1:98" outlineLevel="2">
      <c r="A129" s="116"/>
      <c r="B129" s="116"/>
      <c r="C129" s="116">
        <v>0</v>
      </c>
      <c r="D129" s="3"/>
      <c r="E129" s="184"/>
      <c r="F129" s="184"/>
      <c r="G129" s="184"/>
      <c r="H129" s="184"/>
      <c r="I129" s="184"/>
      <c r="J129" s="184"/>
      <c r="K129" s="184"/>
      <c r="L129" s="184"/>
      <c r="M129" s="185"/>
      <c r="N129" s="185"/>
      <c r="O129" s="186"/>
      <c r="P129" s="187"/>
      <c r="Q129" s="187"/>
      <c r="R129" s="188">
        <v>0</v>
      </c>
      <c r="S129" s="188">
        <v>0</v>
      </c>
      <c r="T129" s="185"/>
      <c r="U129" s="185"/>
      <c r="V129" s="189"/>
      <c r="W129" s="190">
        <v>0</v>
      </c>
      <c r="X129" s="191"/>
      <c r="Y129" s="186"/>
      <c r="Z129" s="192"/>
      <c r="AA129" s="97"/>
      <c r="AB129" s="193"/>
      <c r="AC129" s="123"/>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row>
    <row r="130" spans="1:98">
      <c r="A130" s="116"/>
      <c r="B130" s="116" t="s">
        <v>1063</v>
      </c>
      <c r="C130" s="116">
        <v>1</v>
      </c>
      <c r="D130" s="3" t="s">
        <v>1143</v>
      </c>
      <c r="E130" s="215" t="s">
        <v>1144</v>
      </c>
      <c r="F130" s="184"/>
      <c r="G130" s="184"/>
      <c r="H130" s="184"/>
      <c r="I130" s="184"/>
      <c r="J130" s="184"/>
      <c r="K130" s="184"/>
      <c r="L130" s="184"/>
      <c r="M130" s="185">
        <v>43656</v>
      </c>
      <c r="N130" s="185">
        <v>43697</v>
      </c>
      <c r="O130" s="186"/>
      <c r="P130" s="187">
        <v>40</v>
      </c>
      <c r="Q130" s="187">
        <v>34</v>
      </c>
      <c r="R130" s="188">
        <v>29</v>
      </c>
      <c r="S130" s="188">
        <v>16</v>
      </c>
      <c r="T130" s="185"/>
      <c r="U130" s="185"/>
      <c r="V130" s="189">
        <v>0</v>
      </c>
      <c r="W130" s="190">
        <v>0</v>
      </c>
      <c r="X130" s="191"/>
      <c r="Y130" s="186"/>
      <c r="Z130" s="192"/>
      <c r="AA130" s="97">
        <v>0.85</v>
      </c>
      <c r="AB130" s="193">
        <v>0.1</v>
      </c>
      <c r="AC130" s="123"/>
      <c r="AD130" s="4" t="str">
        <f>"      " &amp; TEXT(AB130,"#0.00%") &amp; " "</f>
        <v xml:space="preserve">      10.00% </v>
      </c>
      <c r="AE130" s="4"/>
      <c r="AF130" s="4"/>
      <c r="AG130" s="4"/>
      <c r="AH130" s="4"/>
      <c r="AI130" s="4"/>
      <c r="AJ130" s="4" t="str">
        <f>"  " &amp; "테스트" &amp; " " &amp; IF(M130="","",TEXT(M130,"M/D-")) &amp; IF(N130="","",TEXT(N130,"M/D")) &amp; " "</f>
        <v xml:space="preserve">  테스트 7/10-8/20 </v>
      </c>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row>
    <row r="131" spans="1:98" outlineLevel="1">
      <c r="A131" s="116"/>
      <c r="B131" s="116" t="s">
        <v>1063</v>
      </c>
      <c r="C131" s="116">
        <v>2</v>
      </c>
      <c r="D131" s="3" t="s">
        <v>1191</v>
      </c>
      <c r="E131" s="216"/>
      <c r="F131" s="217" t="s">
        <v>1160</v>
      </c>
      <c r="G131" s="217"/>
      <c r="H131" s="184"/>
      <c r="I131" s="184"/>
      <c r="J131" s="184"/>
      <c r="K131" s="184"/>
      <c r="L131" s="184"/>
      <c r="M131" s="185">
        <v>43656</v>
      </c>
      <c r="N131" s="185">
        <v>43657</v>
      </c>
      <c r="O131" s="186"/>
      <c r="P131" s="187">
        <v>2</v>
      </c>
      <c r="Q131" s="187">
        <v>2</v>
      </c>
      <c r="R131" s="188">
        <v>2</v>
      </c>
      <c r="S131" s="188">
        <v>2</v>
      </c>
      <c r="T131" s="185"/>
      <c r="U131" s="185"/>
      <c r="V131" s="189">
        <v>0</v>
      </c>
      <c r="W131" s="190">
        <v>0</v>
      </c>
      <c r="X131" s="191"/>
      <c r="Y131" s="186"/>
      <c r="Z131" s="192"/>
      <c r="AA131" s="97">
        <v>1</v>
      </c>
      <c r="AB131" s="193">
        <v>1</v>
      </c>
      <c r="AC131" s="123"/>
      <c r="AD131" s="4" t="str">
        <f>"    " &amp; TEXT(AB131,"#0.00%") &amp; " " &amp; "Thuns for Myanmar" &amp; " " &amp; IF(M131="","",TEXT(M131,"M/D-")) &amp; IF(N131="","",TEXT(N131,"M/D")) &amp; " "</f>
        <v xml:space="preserve">    100.00% Thuns for Myanmar 7/10-7/11 </v>
      </c>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row>
    <row r="132" spans="1:98" outlineLevel="2">
      <c r="A132" s="116"/>
      <c r="B132" s="116"/>
      <c r="C132" s="116">
        <v>3</v>
      </c>
      <c r="D132" s="3" t="s">
        <v>1264</v>
      </c>
      <c r="E132" s="216"/>
      <c r="F132" s="217"/>
      <c r="G132" s="217" t="s">
        <v>1248</v>
      </c>
      <c r="H132" s="184"/>
      <c r="I132" s="184"/>
      <c r="J132" s="184"/>
      <c r="K132" s="184"/>
      <c r="L132" s="184"/>
      <c r="M132" s="185">
        <v>43656</v>
      </c>
      <c r="N132" s="185">
        <v>43656</v>
      </c>
      <c r="O132" s="186"/>
      <c r="P132" s="187">
        <v>1</v>
      </c>
      <c r="Q132" s="187">
        <v>1</v>
      </c>
      <c r="R132" s="188">
        <v>1</v>
      </c>
      <c r="S132" s="188">
        <v>1</v>
      </c>
      <c r="T132" s="185"/>
      <c r="U132" s="185"/>
      <c r="V132" s="189"/>
      <c r="W132" s="190">
        <v>0</v>
      </c>
      <c r="X132" s="191">
        <v>1</v>
      </c>
      <c r="Y132" s="186" t="s">
        <v>1294</v>
      </c>
      <c r="Z132" s="192"/>
      <c r="AA132" s="97">
        <v>1</v>
      </c>
      <c r="AB132" s="193">
        <v>1</v>
      </c>
      <c r="AC132" s="123"/>
      <c r="AD132" s="4" t="str">
        <f>"   " &amp; TEXT(AB132,"#0.00%") &amp; " " &amp; "Unit Test" &amp; "(Max,Pralhad)" &amp; " " &amp; IF(M132="","",TEXT(M132,"M/D-")) &amp; IF(N132="","",TEXT(N132,"M/D")) &amp; " "</f>
        <v xml:space="preserve">   100.00% Unit Test(Max,Pralhad) 7/10-7/10 </v>
      </c>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row>
    <row r="133" spans="1:98" outlineLevel="2">
      <c r="A133" s="116"/>
      <c r="B133" s="116"/>
      <c r="C133" s="116">
        <v>3</v>
      </c>
      <c r="D133" s="3" t="s">
        <v>1265</v>
      </c>
      <c r="E133" s="216"/>
      <c r="F133" s="217"/>
      <c r="G133" s="217" t="s">
        <v>1249</v>
      </c>
      <c r="H133" s="184"/>
      <c r="I133" s="184"/>
      <c r="J133" s="184"/>
      <c r="K133" s="184"/>
      <c r="L133" s="184"/>
      <c r="M133" s="185">
        <v>43657</v>
      </c>
      <c r="N133" s="185">
        <v>43657</v>
      </c>
      <c r="O133" s="186"/>
      <c r="P133" s="187">
        <v>1</v>
      </c>
      <c r="Q133" s="187">
        <v>1</v>
      </c>
      <c r="R133" s="188">
        <v>1</v>
      </c>
      <c r="S133" s="188">
        <v>1</v>
      </c>
      <c r="T133" s="185"/>
      <c r="U133" s="185"/>
      <c r="V133" s="189"/>
      <c r="W133" s="190">
        <v>0</v>
      </c>
      <c r="X133" s="191">
        <v>1</v>
      </c>
      <c r="Y133" s="186" t="s">
        <v>1294</v>
      </c>
      <c r="Z133" s="192"/>
      <c r="AA133" s="97">
        <v>1</v>
      </c>
      <c r="AB133" s="193">
        <v>1</v>
      </c>
      <c r="AC133" s="123"/>
      <c r="AD133" s="4" t="str">
        <f>"    " &amp; TEXT(AB133,"#0.00%") &amp; " " &amp; "Integrated Test" &amp; "(Max,Pralhad)" &amp; " " &amp; IF(M133="","",TEXT(M133,"M/D-")) &amp; IF(N133="","",TEXT(N133,"M/D")) &amp; " "</f>
        <v xml:space="preserve">    100.00% Integrated Test(Max,Pralhad) 7/11-7/11 </v>
      </c>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row>
    <row r="134" spans="1:98" outlineLevel="2">
      <c r="A134" s="116"/>
      <c r="B134" s="116"/>
      <c r="C134" s="116">
        <v>0</v>
      </c>
      <c r="D134" s="3"/>
      <c r="E134" s="216"/>
      <c r="F134" s="217"/>
      <c r="G134" s="217"/>
      <c r="H134" s="184"/>
      <c r="I134" s="184"/>
      <c r="J134" s="184"/>
      <c r="K134" s="184"/>
      <c r="L134" s="184"/>
      <c r="M134" s="185"/>
      <c r="N134" s="185"/>
      <c r="O134" s="186"/>
      <c r="P134" s="187"/>
      <c r="Q134" s="187"/>
      <c r="R134" s="188">
        <v>0</v>
      </c>
      <c r="S134" s="188">
        <v>0</v>
      </c>
      <c r="T134" s="185"/>
      <c r="U134" s="185"/>
      <c r="V134" s="189"/>
      <c r="W134" s="190">
        <v>0</v>
      </c>
      <c r="X134" s="191"/>
      <c r="Y134" s="186"/>
      <c r="Z134" s="192"/>
      <c r="AA134" s="97"/>
      <c r="AB134" s="193"/>
      <c r="AC134" s="123"/>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row>
    <row r="135" spans="1:98" outlineLevel="1">
      <c r="A135" s="116"/>
      <c r="B135" s="116" t="s">
        <v>1063</v>
      </c>
      <c r="C135" s="116">
        <v>2</v>
      </c>
      <c r="D135" s="3" t="s">
        <v>1192</v>
      </c>
      <c r="E135" s="184"/>
      <c r="F135" s="217" t="s">
        <v>1161</v>
      </c>
      <c r="G135" s="217"/>
      <c r="H135" s="184"/>
      <c r="I135" s="184"/>
      <c r="J135" s="184"/>
      <c r="K135" s="184"/>
      <c r="L135" s="184"/>
      <c r="M135" s="185">
        <v>43671</v>
      </c>
      <c r="N135" s="185">
        <v>43676</v>
      </c>
      <c r="O135" s="186"/>
      <c r="P135" s="187">
        <v>4</v>
      </c>
      <c r="Q135" s="187">
        <v>4</v>
      </c>
      <c r="R135" s="188">
        <v>4</v>
      </c>
      <c r="S135" s="188">
        <v>4</v>
      </c>
      <c r="T135" s="185"/>
      <c r="U135" s="185"/>
      <c r="V135" s="189">
        <v>0</v>
      </c>
      <c r="W135" s="190">
        <v>0</v>
      </c>
      <c r="X135" s="191"/>
      <c r="Y135" s="186"/>
      <c r="Z135" s="192"/>
      <c r="AA135" s="97">
        <v>1</v>
      </c>
      <c r="AB135" s="193">
        <v>0.5</v>
      </c>
      <c r="AC135" s="123"/>
      <c r="AD135" s="4"/>
      <c r="AE135" s="4"/>
      <c r="AF135" s="4" t="str">
        <f>"      " &amp; TEXT(AB135,"#0.00%") &amp; " " &amp; "Lyhour API for Cambodia deposit" &amp; " " &amp; IF(M135="","",TEXT(M135,"M/D-")) &amp; IF(N135="","",TEXT(N135,"M/D")) &amp; " "</f>
        <v xml:space="preserve">      50.00% Lyhour API for Cambodia deposit 7/25-7/30 </v>
      </c>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row>
    <row r="136" spans="1:98" outlineLevel="2">
      <c r="A136" s="116"/>
      <c r="B136" s="116"/>
      <c r="C136" s="116">
        <v>3</v>
      </c>
      <c r="D136" s="3" t="s">
        <v>1266</v>
      </c>
      <c r="E136" s="216"/>
      <c r="F136" s="217"/>
      <c r="G136" s="217" t="s">
        <v>1248</v>
      </c>
      <c r="H136" s="184"/>
      <c r="I136" s="184"/>
      <c r="J136" s="184"/>
      <c r="K136" s="184"/>
      <c r="L136" s="184"/>
      <c r="M136" s="185">
        <v>43671</v>
      </c>
      <c r="N136" s="185">
        <v>43672</v>
      </c>
      <c r="O136" s="186"/>
      <c r="P136" s="187">
        <v>2</v>
      </c>
      <c r="Q136" s="187">
        <v>2</v>
      </c>
      <c r="R136" s="188">
        <v>2</v>
      </c>
      <c r="S136" s="188">
        <v>2</v>
      </c>
      <c r="T136" s="185"/>
      <c r="U136" s="185"/>
      <c r="V136" s="189"/>
      <c r="W136" s="190">
        <v>0</v>
      </c>
      <c r="X136" s="191">
        <v>1</v>
      </c>
      <c r="Y136" s="186" t="s">
        <v>1294</v>
      </c>
      <c r="Z136" s="192"/>
      <c r="AA136" s="97">
        <v>1</v>
      </c>
      <c r="AB136" s="193">
        <v>1</v>
      </c>
      <c r="AC136" s="123"/>
      <c r="AD136" s="4"/>
      <c r="AE136" s="4"/>
      <c r="AF136" s="4" t="str">
        <f>"     " &amp; TEXT(AB136,"#0.00%") &amp; " " &amp; "Unit Test" &amp; "(Max,Pralhad)" &amp; " " &amp; IF(M136="","",TEXT(M136,"M/D-")) &amp; IF(N136="","",TEXT(N136,"M/D")) &amp; " "</f>
        <v xml:space="preserve">     100.00% Unit Test(Max,Pralhad) 7/25-7/26 </v>
      </c>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row>
    <row r="137" spans="1:98" outlineLevel="2">
      <c r="A137" s="116"/>
      <c r="B137" s="116"/>
      <c r="C137" s="116">
        <v>3</v>
      </c>
      <c r="D137" s="3" t="s">
        <v>1267</v>
      </c>
      <c r="E137" s="216"/>
      <c r="F137" s="217"/>
      <c r="G137" s="217" t="s">
        <v>1249</v>
      </c>
      <c r="H137" s="184"/>
      <c r="I137" s="184"/>
      <c r="J137" s="184"/>
      <c r="K137" s="184"/>
      <c r="L137" s="184"/>
      <c r="M137" s="185">
        <v>43675</v>
      </c>
      <c r="N137" s="185">
        <v>43676</v>
      </c>
      <c r="O137" s="186"/>
      <c r="P137" s="187">
        <v>2</v>
      </c>
      <c r="Q137" s="187">
        <v>2</v>
      </c>
      <c r="R137" s="188">
        <v>2</v>
      </c>
      <c r="S137" s="188">
        <v>2</v>
      </c>
      <c r="T137" s="185"/>
      <c r="U137" s="185"/>
      <c r="V137" s="189"/>
      <c r="W137" s="190">
        <v>0</v>
      </c>
      <c r="X137" s="191">
        <v>1</v>
      </c>
      <c r="Y137" s="186" t="s">
        <v>1294</v>
      </c>
      <c r="Z137" s="192"/>
      <c r="AA137" s="97">
        <v>1</v>
      </c>
      <c r="AB137" s="193">
        <v>0</v>
      </c>
      <c r="AC137" s="123"/>
      <c r="AD137" s="4"/>
      <c r="AE137" s="4"/>
      <c r="AF137" s="4"/>
      <c r="AG137" s="4" t="str">
        <f>"" &amp; TEXT(AB137,"#0.00%") &amp; " " &amp; "Integrated Test" &amp; "(Max,Pralhad)" &amp; " " &amp; IF(M137="","",TEXT(M137,"M/D-")) &amp; IF(N137="","",TEXT(N137,"M/D")) &amp; " "</f>
        <v xml:space="preserve">0.00% Integrated Test(Max,Pralhad) 7/29-7/30 </v>
      </c>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row>
    <row r="138" spans="1:98" outlineLevel="2">
      <c r="A138" s="116"/>
      <c r="B138" s="116"/>
      <c r="C138" s="116">
        <v>0</v>
      </c>
      <c r="D138" s="3"/>
      <c r="E138" s="215"/>
      <c r="F138" s="217"/>
      <c r="G138" s="217"/>
      <c r="H138" s="184"/>
      <c r="I138" s="184"/>
      <c r="J138" s="184"/>
      <c r="K138" s="184"/>
      <c r="L138" s="184"/>
      <c r="M138" s="185"/>
      <c r="N138" s="185"/>
      <c r="O138" s="186"/>
      <c r="P138" s="187"/>
      <c r="Q138" s="187"/>
      <c r="R138" s="188">
        <v>0</v>
      </c>
      <c r="S138" s="188">
        <v>0</v>
      </c>
      <c r="T138" s="185"/>
      <c r="U138" s="185"/>
      <c r="V138" s="189"/>
      <c r="W138" s="190">
        <v>0</v>
      </c>
      <c r="X138" s="191"/>
      <c r="Y138" s="186"/>
      <c r="Z138" s="192"/>
      <c r="AA138" s="97"/>
      <c r="AB138" s="193"/>
      <c r="AC138" s="123"/>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row>
    <row r="139" spans="1:98" outlineLevel="1">
      <c r="A139" s="116"/>
      <c r="B139" s="116" t="s">
        <v>1063</v>
      </c>
      <c r="C139" s="116">
        <v>2</v>
      </c>
      <c r="D139" s="3" t="s">
        <v>1193</v>
      </c>
      <c r="E139" s="184"/>
      <c r="F139" s="217" t="s">
        <v>1162</v>
      </c>
      <c r="G139" s="217"/>
      <c r="H139" s="184"/>
      <c r="I139" s="184"/>
      <c r="J139" s="184"/>
      <c r="K139" s="184"/>
      <c r="L139" s="184"/>
      <c r="M139" s="185">
        <v>43669</v>
      </c>
      <c r="N139" s="185">
        <v>43676</v>
      </c>
      <c r="O139" s="186"/>
      <c r="P139" s="187">
        <v>6</v>
      </c>
      <c r="Q139" s="187">
        <v>6</v>
      </c>
      <c r="R139" s="188">
        <v>6</v>
      </c>
      <c r="S139" s="188">
        <v>6</v>
      </c>
      <c r="T139" s="185"/>
      <c r="U139" s="185"/>
      <c r="V139" s="189">
        <v>0</v>
      </c>
      <c r="W139" s="190">
        <v>0</v>
      </c>
      <c r="X139" s="191"/>
      <c r="Y139" s="186"/>
      <c r="Z139" s="192"/>
      <c r="AA139" s="97">
        <v>1</v>
      </c>
      <c r="AB139" s="193">
        <v>0</v>
      </c>
      <c r="AC139" s="123"/>
      <c r="AD139" s="4"/>
      <c r="AE139" s="4"/>
      <c r="AF139" s="4" t="str">
        <f>" " &amp; TEXT(AB139,"#0.00%") &amp; " " &amp; "Inbound(Online, App) 2nd Phase" &amp; " " &amp; IF(M139="","",TEXT(M139,"M/D-")) &amp; IF(N139="","",TEXT(N139,"M/D")) &amp; " "</f>
        <v xml:space="preserve"> 0.00% Inbound(Online, App) 2nd Phase 7/23-7/30 </v>
      </c>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row>
    <row r="140" spans="1:98" outlineLevel="2">
      <c r="A140" s="116"/>
      <c r="B140" s="116"/>
      <c r="C140" s="116">
        <v>3</v>
      </c>
      <c r="D140" s="3" t="s">
        <v>1268</v>
      </c>
      <c r="E140" s="216"/>
      <c r="F140" s="217"/>
      <c r="G140" s="217" t="s">
        <v>1248</v>
      </c>
      <c r="H140" s="184"/>
      <c r="I140" s="184"/>
      <c r="J140" s="184"/>
      <c r="K140" s="184"/>
      <c r="L140" s="184"/>
      <c r="M140" s="185">
        <v>43669</v>
      </c>
      <c r="N140" s="185">
        <v>43671</v>
      </c>
      <c r="O140" s="186"/>
      <c r="P140" s="187">
        <v>3</v>
      </c>
      <c r="Q140" s="187">
        <v>3</v>
      </c>
      <c r="R140" s="188">
        <v>3</v>
      </c>
      <c r="S140" s="188">
        <v>3</v>
      </c>
      <c r="T140" s="185"/>
      <c r="U140" s="185"/>
      <c r="V140" s="189"/>
      <c r="W140" s="190">
        <v>0</v>
      </c>
      <c r="X140" s="191">
        <v>1</v>
      </c>
      <c r="Y140" s="186" t="s">
        <v>1294</v>
      </c>
      <c r="Z140" s="192"/>
      <c r="AA140" s="97">
        <v>1</v>
      </c>
      <c r="AB140" s="193">
        <v>0</v>
      </c>
      <c r="AC140" s="123"/>
      <c r="AD140" s="4"/>
      <c r="AE140" s="4"/>
      <c r="AF140" s="4" t="str">
        <f>" " &amp; TEXT(AB140,"#0.00%") &amp; " " &amp; "Unit Test" &amp; "(Max,Pralhad)" &amp; " " &amp; IF(M140="","",TEXT(M140,"M/D-")) &amp; IF(N140="","",TEXT(N140,"M/D")) &amp; " "</f>
        <v xml:space="preserve"> 0.00% Unit Test(Max,Pralhad) 7/23-7/25 </v>
      </c>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row>
    <row r="141" spans="1:98" outlineLevel="2">
      <c r="A141" s="116"/>
      <c r="B141" s="116"/>
      <c r="C141" s="116">
        <v>3</v>
      </c>
      <c r="D141" s="3" t="s">
        <v>1269</v>
      </c>
      <c r="E141" s="216"/>
      <c r="F141" s="217"/>
      <c r="G141" s="217" t="s">
        <v>1249</v>
      </c>
      <c r="H141" s="184"/>
      <c r="I141" s="184"/>
      <c r="J141" s="184"/>
      <c r="K141" s="184"/>
      <c r="L141" s="184"/>
      <c r="M141" s="185">
        <v>43672</v>
      </c>
      <c r="N141" s="185">
        <v>43676</v>
      </c>
      <c r="O141" s="186"/>
      <c r="P141" s="187">
        <v>3</v>
      </c>
      <c r="Q141" s="187">
        <v>3</v>
      </c>
      <c r="R141" s="188">
        <v>3</v>
      </c>
      <c r="S141" s="188">
        <v>3</v>
      </c>
      <c r="T141" s="185"/>
      <c r="U141" s="185"/>
      <c r="V141" s="189"/>
      <c r="W141" s="190">
        <v>0</v>
      </c>
      <c r="X141" s="191">
        <v>1</v>
      </c>
      <c r="Y141" s="186" t="s">
        <v>1294</v>
      </c>
      <c r="Z141" s="192"/>
      <c r="AA141" s="97">
        <v>1</v>
      </c>
      <c r="AB141" s="193">
        <v>0</v>
      </c>
      <c r="AC141" s="123"/>
      <c r="AD141" s="4"/>
      <c r="AE141" s="4"/>
      <c r="AF141" s="4" t="str">
        <f>"    " &amp; TEXT(AB141,"#0.00%") &amp; " " &amp; "Integrated Test" &amp; "(Max,Pralhad)" &amp; " " &amp; IF(M141="","",TEXT(M141,"M/D-")) &amp; IF(N141="","",TEXT(N141,"M/D")) &amp; " "</f>
        <v xml:space="preserve">    0.00% Integrated Test(Max,Pralhad) 7/26-7/30 </v>
      </c>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row>
    <row r="142" spans="1:98" outlineLevel="2">
      <c r="A142" s="116"/>
      <c r="B142" s="116"/>
      <c r="C142" s="116">
        <v>0</v>
      </c>
      <c r="D142" s="3"/>
      <c r="E142" s="184"/>
      <c r="F142" s="217"/>
      <c r="G142" s="217"/>
      <c r="H142" s="184"/>
      <c r="I142" s="184"/>
      <c r="J142" s="184"/>
      <c r="K142" s="184"/>
      <c r="L142" s="184"/>
      <c r="M142" s="185"/>
      <c r="N142" s="185"/>
      <c r="O142" s="186"/>
      <c r="P142" s="187"/>
      <c r="Q142" s="187"/>
      <c r="R142" s="188">
        <v>0</v>
      </c>
      <c r="S142" s="188">
        <v>0</v>
      </c>
      <c r="T142" s="185"/>
      <c r="U142" s="185"/>
      <c r="V142" s="189"/>
      <c r="W142" s="190">
        <v>0</v>
      </c>
      <c r="X142" s="191"/>
      <c r="Y142" s="186"/>
      <c r="Z142" s="192"/>
      <c r="AA142" s="97"/>
      <c r="AB142" s="193"/>
      <c r="AC142" s="123"/>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row>
    <row r="143" spans="1:98" outlineLevel="1">
      <c r="A143" s="116"/>
      <c r="B143" s="116" t="s">
        <v>1063</v>
      </c>
      <c r="C143" s="116">
        <v>2</v>
      </c>
      <c r="D143" s="3" t="s">
        <v>1194</v>
      </c>
      <c r="E143" s="184"/>
      <c r="F143" s="217" t="s">
        <v>1163</v>
      </c>
      <c r="G143" s="217"/>
      <c r="H143" s="184"/>
      <c r="I143" s="184"/>
      <c r="J143" s="184"/>
      <c r="K143" s="184"/>
      <c r="L143" s="184"/>
      <c r="M143" s="185">
        <v>43678</v>
      </c>
      <c r="N143" s="185">
        <v>43684</v>
      </c>
      <c r="O143" s="186"/>
      <c r="P143" s="187">
        <v>4</v>
      </c>
      <c r="Q143" s="187">
        <v>0</v>
      </c>
      <c r="R143" s="188">
        <v>5</v>
      </c>
      <c r="S143" s="188">
        <v>0</v>
      </c>
      <c r="T143" s="185"/>
      <c r="U143" s="185"/>
      <c r="V143" s="189">
        <v>0</v>
      </c>
      <c r="W143" s="190">
        <v>0</v>
      </c>
      <c r="X143" s="191"/>
      <c r="Y143" s="186"/>
      <c r="Z143" s="192"/>
      <c r="AA143" s="97">
        <v>0</v>
      </c>
      <c r="AB143" s="193">
        <v>0</v>
      </c>
      <c r="AC143" s="123"/>
      <c r="AD143" s="4"/>
      <c r="AE143" s="4"/>
      <c r="AF143" s="4"/>
      <c r="AG143" s="4" t="str">
        <f>"   " &amp; TEXT(AB143,"#0.00%") &amp; " " &amp; "Shinhan,IBK-KFTC" &amp; " " &amp; IF(M143="","",TEXT(M143,"M/D-")) &amp; IF(N143="","",TEXT(N143,"M/D")) &amp; " "</f>
        <v xml:space="preserve">   0.00% Shinhan,IBK-KFTC 8/1-8/7 </v>
      </c>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row>
    <row r="144" spans="1:98" outlineLevel="2">
      <c r="A144" s="116"/>
      <c r="B144" s="116"/>
      <c r="C144" s="116">
        <v>3</v>
      </c>
      <c r="D144" s="3" t="s">
        <v>1270</v>
      </c>
      <c r="E144" s="216"/>
      <c r="F144" s="217"/>
      <c r="G144" s="217" t="s">
        <v>1248</v>
      </c>
      <c r="H144" s="184"/>
      <c r="I144" s="184"/>
      <c r="J144" s="184"/>
      <c r="K144" s="184"/>
      <c r="L144" s="184"/>
      <c r="M144" s="185">
        <v>43678</v>
      </c>
      <c r="N144" s="185">
        <v>43678</v>
      </c>
      <c r="O144" s="186"/>
      <c r="P144" s="187">
        <v>1</v>
      </c>
      <c r="Q144" s="187">
        <v>0</v>
      </c>
      <c r="R144" s="188">
        <v>1</v>
      </c>
      <c r="S144" s="188">
        <v>0</v>
      </c>
      <c r="T144" s="185"/>
      <c r="U144" s="185"/>
      <c r="V144" s="189"/>
      <c r="W144" s="190">
        <v>0</v>
      </c>
      <c r="X144" s="191">
        <v>1</v>
      </c>
      <c r="Y144" s="186" t="s">
        <v>1294</v>
      </c>
      <c r="Z144" s="192"/>
      <c r="AA144" s="97">
        <v>0</v>
      </c>
      <c r="AB144" s="193">
        <v>0</v>
      </c>
      <c r="AC144" s="123"/>
      <c r="AD144" s="4"/>
      <c r="AE144" s="4"/>
      <c r="AF144" s="4"/>
      <c r="AG144" s="4" t="str">
        <f>"   " &amp; TEXT(AB144,"#0.00%") &amp; " " &amp; "Unit Test" &amp; "(Max,Pralhad)" &amp; " " &amp; IF(M144="","",TEXT(M144,"M/D-")) &amp; IF(N144="","",TEXT(N144,"M/D")) &amp; " "</f>
        <v xml:space="preserve">   0.00% Unit Test(Max,Pralhad) 8/1-8/1 </v>
      </c>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row>
    <row r="145" spans="1:98" outlineLevel="2">
      <c r="A145" s="116"/>
      <c r="B145" s="116"/>
      <c r="C145" s="116">
        <v>3</v>
      </c>
      <c r="D145" s="3" t="s">
        <v>1271</v>
      </c>
      <c r="E145" s="216"/>
      <c r="F145" s="217"/>
      <c r="G145" s="217" t="s">
        <v>1249</v>
      </c>
      <c r="H145" s="184"/>
      <c r="I145" s="184"/>
      <c r="J145" s="184"/>
      <c r="K145" s="184"/>
      <c r="L145" s="184"/>
      <c r="M145" s="185">
        <v>43682</v>
      </c>
      <c r="N145" s="185">
        <v>43684</v>
      </c>
      <c r="O145" s="186"/>
      <c r="P145" s="187">
        <v>3</v>
      </c>
      <c r="Q145" s="187">
        <v>0</v>
      </c>
      <c r="R145" s="188">
        <v>3</v>
      </c>
      <c r="S145" s="188">
        <v>0</v>
      </c>
      <c r="T145" s="185"/>
      <c r="U145" s="185"/>
      <c r="V145" s="189"/>
      <c r="W145" s="190">
        <v>0</v>
      </c>
      <c r="X145" s="191">
        <v>1</v>
      </c>
      <c r="Y145" s="186" t="s">
        <v>1294</v>
      </c>
      <c r="Z145" s="192"/>
      <c r="AA145" s="97">
        <v>0</v>
      </c>
      <c r="AB145" s="193">
        <v>0</v>
      </c>
      <c r="AC145" s="123"/>
      <c r="AD145" s="4"/>
      <c r="AE145" s="4"/>
      <c r="AF145" s="4"/>
      <c r="AG145" s="4"/>
      <c r="AH145" s="4" t="str">
        <f>"" &amp; TEXT(AB145,"#0.00%") &amp; " " &amp; "Integrated Test" &amp; "(Max,Pralhad)" &amp; " " &amp; IF(M145="","",TEXT(M145,"M/D-")) &amp; IF(N145="","",TEXT(N145,"M/D")) &amp; " "</f>
        <v xml:space="preserve">0.00% Integrated Test(Max,Pralhad) 8/5-8/7 </v>
      </c>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row>
    <row r="146" spans="1:98" outlineLevel="2">
      <c r="A146" s="116"/>
      <c r="B146" s="116"/>
      <c r="C146" s="116">
        <v>0</v>
      </c>
      <c r="D146" s="3"/>
      <c r="E146" s="184"/>
      <c r="F146" s="217"/>
      <c r="G146" s="217"/>
      <c r="H146" s="184"/>
      <c r="I146" s="184"/>
      <c r="J146" s="184"/>
      <c r="K146" s="184"/>
      <c r="L146" s="184"/>
      <c r="M146" s="185"/>
      <c r="N146" s="185"/>
      <c r="O146" s="186"/>
      <c r="P146" s="187"/>
      <c r="Q146" s="187"/>
      <c r="R146" s="188">
        <v>0</v>
      </c>
      <c r="S146" s="188">
        <v>0</v>
      </c>
      <c r="T146" s="185"/>
      <c r="U146" s="185"/>
      <c r="V146" s="189"/>
      <c r="W146" s="190">
        <v>0</v>
      </c>
      <c r="X146" s="191"/>
      <c r="Y146" s="186"/>
      <c r="Z146" s="192"/>
      <c r="AA146" s="97"/>
      <c r="AB146" s="193"/>
      <c r="AC146" s="123"/>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row>
    <row r="147" spans="1:98" outlineLevel="1">
      <c r="A147" s="116"/>
      <c r="B147" s="116" t="s">
        <v>1063</v>
      </c>
      <c r="C147" s="116">
        <v>2</v>
      </c>
      <c r="D147" s="3" t="s">
        <v>1195</v>
      </c>
      <c r="E147" s="184"/>
      <c r="F147" s="217" t="s">
        <v>1164</v>
      </c>
      <c r="G147" s="217"/>
      <c r="H147" s="184"/>
      <c r="I147" s="184"/>
      <c r="J147" s="184"/>
      <c r="K147" s="184"/>
      <c r="L147" s="184"/>
      <c r="M147" s="185">
        <v>43696</v>
      </c>
      <c r="N147" s="185">
        <v>43697</v>
      </c>
      <c r="O147" s="186"/>
      <c r="P147" s="187">
        <v>2</v>
      </c>
      <c r="Q147" s="187">
        <v>0</v>
      </c>
      <c r="R147" s="188">
        <v>2</v>
      </c>
      <c r="S147" s="188">
        <v>0</v>
      </c>
      <c r="T147" s="185"/>
      <c r="U147" s="185"/>
      <c r="V147" s="189">
        <v>0</v>
      </c>
      <c r="W147" s="190">
        <v>0</v>
      </c>
      <c r="X147" s="191"/>
      <c r="Y147" s="186"/>
      <c r="Z147" s="192"/>
      <c r="AA147" s="97">
        <v>0</v>
      </c>
      <c r="AB147" s="193">
        <v>0</v>
      </c>
      <c r="AC147" s="123"/>
      <c r="AD147" s="4"/>
      <c r="AE147" s="4"/>
      <c r="AF147" s="4"/>
      <c r="AG147" s="4"/>
      <c r="AH147" s="4"/>
      <c r="AI147" s="4"/>
      <c r="AJ147" s="4" t="str">
        <f>"" &amp; TEXT(AB147,"#0.00%") &amp; " " &amp; "Agrani bank/Islami bank add to new app" &amp; " " &amp; IF(M147="","",TEXT(M147,"M/D-")) &amp; IF(N147="","",TEXT(N147,"M/D")) &amp; " "</f>
        <v xml:space="preserve">0.00% Agrani bank/Islami bank add to new app 8/19-8/20 </v>
      </c>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row>
    <row r="148" spans="1:98" outlineLevel="2">
      <c r="A148" s="116"/>
      <c r="B148" s="116"/>
      <c r="C148" s="116">
        <v>3</v>
      </c>
      <c r="D148" s="3" t="s">
        <v>1272</v>
      </c>
      <c r="E148" s="216"/>
      <c r="F148" s="217"/>
      <c r="G148" s="217" t="s">
        <v>1248</v>
      </c>
      <c r="H148" s="184"/>
      <c r="I148" s="184"/>
      <c r="J148" s="184"/>
      <c r="K148" s="184"/>
      <c r="L148" s="184"/>
      <c r="M148" s="185">
        <v>43696</v>
      </c>
      <c r="N148" s="185">
        <v>43696</v>
      </c>
      <c r="O148" s="186"/>
      <c r="P148" s="187">
        <v>1</v>
      </c>
      <c r="Q148" s="187">
        <v>0</v>
      </c>
      <c r="R148" s="188">
        <v>1</v>
      </c>
      <c r="S148" s="188">
        <v>0</v>
      </c>
      <c r="T148" s="185"/>
      <c r="U148" s="185"/>
      <c r="V148" s="189"/>
      <c r="W148" s="190">
        <v>0</v>
      </c>
      <c r="X148" s="191">
        <v>1</v>
      </c>
      <c r="Y148" s="186" t="s">
        <v>1294</v>
      </c>
      <c r="Z148" s="192"/>
      <c r="AA148" s="97">
        <v>0</v>
      </c>
      <c r="AB148" s="193">
        <v>0</v>
      </c>
      <c r="AC148" s="123"/>
      <c r="AD148" s="4"/>
      <c r="AE148" s="4"/>
      <c r="AF148" s="4"/>
      <c r="AG148" s="4"/>
      <c r="AH148" s="4"/>
      <c r="AI148" s="4"/>
      <c r="AJ148" s="4" t="str">
        <f>"" &amp; TEXT(AB148,"#0.00%") &amp; " " &amp; "Unit Test" &amp; "(Max,Pralhad)" &amp; " " &amp; IF(M148="","",TEXT(M148,"M/D-")) &amp; IF(N148="","",TEXT(N148,"M/D")) &amp; " "</f>
        <v xml:space="preserve">0.00% Unit Test(Max,Pralhad) 8/19-8/19 </v>
      </c>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row>
    <row r="149" spans="1:98" outlineLevel="2">
      <c r="A149" s="116"/>
      <c r="B149" s="116"/>
      <c r="C149" s="116">
        <v>3</v>
      </c>
      <c r="D149" s="3" t="s">
        <v>1273</v>
      </c>
      <c r="E149" s="216"/>
      <c r="F149" s="217"/>
      <c r="G149" s="217" t="s">
        <v>1249</v>
      </c>
      <c r="H149" s="184"/>
      <c r="I149" s="184"/>
      <c r="J149" s="184"/>
      <c r="K149" s="184"/>
      <c r="L149" s="184"/>
      <c r="M149" s="185">
        <v>43697</v>
      </c>
      <c r="N149" s="185">
        <v>43697</v>
      </c>
      <c r="O149" s="186"/>
      <c r="P149" s="187">
        <v>1</v>
      </c>
      <c r="Q149" s="187">
        <v>0</v>
      </c>
      <c r="R149" s="188">
        <v>1</v>
      </c>
      <c r="S149" s="188">
        <v>0</v>
      </c>
      <c r="T149" s="185"/>
      <c r="U149" s="185"/>
      <c r="V149" s="189"/>
      <c r="W149" s="190">
        <v>0</v>
      </c>
      <c r="X149" s="191">
        <v>1</v>
      </c>
      <c r="Y149" s="186" t="s">
        <v>1294</v>
      </c>
      <c r="Z149" s="192"/>
      <c r="AA149" s="97">
        <v>0</v>
      </c>
      <c r="AB149" s="193">
        <v>0</v>
      </c>
      <c r="AC149" s="123"/>
      <c r="AD149" s="4"/>
      <c r="AE149" s="4"/>
      <c r="AF149" s="4"/>
      <c r="AG149" s="4"/>
      <c r="AH149" s="4"/>
      <c r="AI149" s="4"/>
      <c r="AJ149" s="4" t="str">
        <f>" " &amp; TEXT(AB149,"#0.00%") &amp; " " &amp; "Integrated Test" &amp; "(Max,Pralhad)" &amp; " " &amp; IF(M149="","",TEXT(M149,"M/D-")) &amp; IF(N149="","",TEXT(N149,"M/D")) &amp; " "</f>
        <v xml:space="preserve"> 0.00% Integrated Test(Max,Pralhad) 8/20-8/20 </v>
      </c>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row>
    <row r="150" spans="1:98" outlineLevel="2">
      <c r="A150" s="116"/>
      <c r="B150" s="116"/>
      <c r="C150" s="116">
        <v>0</v>
      </c>
      <c r="D150" s="3"/>
      <c r="E150" s="184"/>
      <c r="F150" s="217"/>
      <c r="G150" s="217"/>
      <c r="H150" s="184"/>
      <c r="I150" s="184"/>
      <c r="J150" s="184"/>
      <c r="K150" s="184"/>
      <c r="L150" s="184"/>
      <c r="M150" s="185"/>
      <c r="N150" s="185"/>
      <c r="O150" s="186"/>
      <c r="P150" s="187"/>
      <c r="Q150" s="187"/>
      <c r="R150" s="188">
        <v>0</v>
      </c>
      <c r="S150" s="188">
        <v>0</v>
      </c>
      <c r="T150" s="185"/>
      <c r="U150" s="185"/>
      <c r="V150" s="189"/>
      <c r="W150" s="190">
        <v>0</v>
      </c>
      <c r="X150" s="191"/>
      <c r="Y150" s="186"/>
      <c r="Z150" s="192"/>
      <c r="AA150" s="97"/>
      <c r="AB150" s="193"/>
      <c r="AC150" s="123"/>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row>
    <row r="151" spans="1:98" outlineLevel="1">
      <c r="A151" s="116"/>
      <c r="B151" s="116" t="s">
        <v>1063</v>
      </c>
      <c r="C151" s="116">
        <v>2</v>
      </c>
      <c r="D151" s="3" t="s">
        <v>1196</v>
      </c>
      <c r="E151" s="184"/>
      <c r="F151" s="217" t="s">
        <v>1165</v>
      </c>
      <c r="G151" s="217"/>
      <c r="H151" s="184"/>
      <c r="I151" s="184"/>
      <c r="J151" s="184"/>
      <c r="K151" s="184"/>
      <c r="L151" s="184"/>
      <c r="M151" s="185"/>
      <c r="N151" s="185"/>
      <c r="O151" s="186"/>
      <c r="P151" s="187">
        <v>0</v>
      </c>
      <c r="Q151" s="187">
        <v>0</v>
      </c>
      <c r="R151" s="188">
        <v>0</v>
      </c>
      <c r="S151" s="188">
        <v>0</v>
      </c>
      <c r="T151" s="185"/>
      <c r="U151" s="185"/>
      <c r="V151" s="189">
        <v>0</v>
      </c>
      <c r="W151" s="190">
        <v>0</v>
      </c>
      <c r="X151" s="191"/>
      <c r="Y151" s="186"/>
      <c r="Z151" s="192"/>
      <c r="AA151" s="97">
        <v>0</v>
      </c>
      <c r="AB151" s="193">
        <v>0</v>
      </c>
      <c r="AC151" s="123"/>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row>
    <row r="152" spans="1:98" outlineLevel="2">
      <c r="A152" s="116"/>
      <c r="B152" s="116"/>
      <c r="C152" s="116">
        <v>3</v>
      </c>
      <c r="D152" s="3" t="s">
        <v>1274</v>
      </c>
      <c r="E152" s="216"/>
      <c r="F152" s="217"/>
      <c r="G152" s="217" t="s">
        <v>1248</v>
      </c>
      <c r="H152" s="184"/>
      <c r="I152" s="184"/>
      <c r="J152" s="184"/>
      <c r="K152" s="184"/>
      <c r="L152" s="184"/>
      <c r="M152" s="185"/>
      <c r="N152" s="185"/>
      <c r="O152" s="186"/>
      <c r="P152" s="187">
        <v>0</v>
      </c>
      <c r="Q152" s="187">
        <v>0</v>
      </c>
      <c r="R152" s="188">
        <v>0</v>
      </c>
      <c r="S152" s="188">
        <v>0</v>
      </c>
      <c r="T152" s="185"/>
      <c r="U152" s="185"/>
      <c r="V152" s="189">
        <v>0</v>
      </c>
      <c r="W152" s="190">
        <v>0</v>
      </c>
      <c r="X152" s="191"/>
      <c r="Y152" s="186"/>
      <c r="Z152" s="192"/>
      <c r="AA152" s="97">
        <v>0</v>
      </c>
      <c r="AB152" s="193">
        <v>0</v>
      </c>
      <c r="AC152" s="123"/>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row>
    <row r="153" spans="1:98" outlineLevel="2">
      <c r="A153" s="116"/>
      <c r="B153" s="116"/>
      <c r="C153" s="116">
        <v>3</v>
      </c>
      <c r="D153" s="3" t="s">
        <v>1275</v>
      </c>
      <c r="E153" s="216"/>
      <c r="F153" s="217"/>
      <c r="G153" s="217" t="s">
        <v>1249</v>
      </c>
      <c r="H153" s="184"/>
      <c r="I153" s="184"/>
      <c r="J153" s="184"/>
      <c r="K153" s="184"/>
      <c r="L153" s="184"/>
      <c r="M153" s="185"/>
      <c r="N153" s="185"/>
      <c r="O153" s="186"/>
      <c r="P153" s="187">
        <v>0</v>
      </c>
      <c r="Q153" s="187">
        <v>0</v>
      </c>
      <c r="R153" s="188">
        <v>0</v>
      </c>
      <c r="S153" s="188">
        <v>0</v>
      </c>
      <c r="T153" s="185"/>
      <c r="U153" s="185"/>
      <c r="V153" s="189">
        <v>0</v>
      </c>
      <c r="W153" s="190">
        <v>0</v>
      </c>
      <c r="X153" s="191"/>
      <c r="Y153" s="186"/>
      <c r="Z153" s="192"/>
      <c r="AA153" s="97">
        <v>0</v>
      </c>
      <c r="AB153" s="193">
        <v>0</v>
      </c>
      <c r="AC153" s="123"/>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row>
    <row r="154" spans="1:98" outlineLevel="2">
      <c r="A154" s="116"/>
      <c r="B154" s="116"/>
      <c r="C154" s="116">
        <v>0</v>
      </c>
      <c r="D154" s="3"/>
      <c r="E154" s="184"/>
      <c r="F154" s="217"/>
      <c r="G154" s="217"/>
      <c r="H154" s="184"/>
      <c r="I154" s="184"/>
      <c r="J154" s="184"/>
      <c r="K154" s="184"/>
      <c r="L154" s="184"/>
      <c r="M154" s="185"/>
      <c r="N154" s="185"/>
      <c r="O154" s="186"/>
      <c r="P154" s="187"/>
      <c r="Q154" s="187"/>
      <c r="R154" s="188">
        <v>0</v>
      </c>
      <c r="S154" s="188">
        <v>0</v>
      </c>
      <c r="T154" s="185"/>
      <c r="U154" s="185"/>
      <c r="V154" s="189"/>
      <c r="W154" s="190">
        <v>0</v>
      </c>
      <c r="X154" s="191"/>
      <c r="Y154" s="186"/>
      <c r="Z154" s="192"/>
      <c r="AA154" s="97"/>
      <c r="AB154" s="193"/>
      <c r="AC154" s="123"/>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row>
    <row r="155" spans="1:98" outlineLevel="1">
      <c r="A155" s="116"/>
      <c r="B155" s="116" t="s">
        <v>1063</v>
      </c>
      <c r="C155" s="116">
        <v>2</v>
      </c>
      <c r="D155" s="3" t="s">
        <v>1197</v>
      </c>
      <c r="E155" s="184"/>
      <c r="F155" s="217" t="s">
        <v>1166</v>
      </c>
      <c r="G155" s="217"/>
      <c r="H155" s="184"/>
      <c r="I155" s="184"/>
      <c r="J155" s="184"/>
      <c r="K155" s="184"/>
      <c r="L155" s="184"/>
      <c r="M155" s="185">
        <v>43668</v>
      </c>
      <c r="N155" s="185">
        <v>43668</v>
      </c>
      <c r="O155" s="186"/>
      <c r="P155" s="187">
        <v>2</v>
      </c>
      <c r="Q155" s="187">
        <v>2</v>
      </c>
      <c r="R155" s="188">
        <v>1</v>
      </c>
      <c r="S155" s="188">
        <v>1</v>
      </c>
      <c r="T155" s="185"/>
      <c r="U155" s="185"/>
      <c r="V155" s="189">
        <v>0</v>
      </c>
      <c r="W155" s="190">
        <v>0</v>
      </c>
      <c r="X155" s="191"/>
      <c r="Y155" s="186"/>
      <c r="Z155" s="192"/>
      <c r="AA155" s="97">
        <v>1</v>
      </c>
      <c r="AB155" s="193">
        <v>0</v>
      </c>
      <c r="AC155" s="123"/>
      <c r="AD155" s="4"/>
      <c r="AE155" s="4"/>
      <c r="AF155" s="4" t="str">
        <f>"" &amp; TEXT(AB155,"#0.00%") &amp; " " &amp; "Registration logic" &amp; " " &amp; IF(M155="","",TEXT(M155,"M/D-")) &amp; IF(N155="","",TEXT(N155,"M/D")) &amp; " "</f>
        <v xml:space="preserve">0.00% Registration logic 7/22-7/22 </v>
      </c>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row>
    <row r="156" spans="1:98" outlineLevel="2">
      <c r="A156" s="116"/>
      <c r="B156" s="116"/>
      <c r="C156" s="116">
        <v>3</v>
      </c>
      <c r="D156" s="3" t="s">
        <v>1276</v>
      </c>
      <c r="E156" s="216"/>
      <c r="F156" s="217"/>
      <c r="G156" s="217" t="s">
        <v>1248</v>
      </c>
      <c r="H156" s="184"/>
      <c r="I156" s="184"/>
      <c r="J156" s="184"/>
      <c r="K156" s="184"/>
      <c r="L156" s="184"/>
      <c r="M156" s="185">
        <v>43668</v>
      </c>
      <c r="N156" s="185">
        <v>43668</v>
      </c>
      <c r="O156" s="186"/>
      <c r="P156" s="187">
        <v>1</v>
      </c>
      <c r="Q156" s="187">
        <v>1</v>
      </c>
      <c r="R156" s="188">
        <v>1</v>
      </c>
      <c r="S156" s="188">
        <v>1</v>
      </c>
      <c r="T156" s="185"/>
      <c r="U156" s="185"/>
      <c r="V156" s="189"/>
      <c r="W156" s="190">
        <v>0</v>
      </c>
      <c r="X156" s="191">
        <v>1</v>
      </c>
      <c r="Y156" s="186" t="s">
        <v>1294</v>
      </c>
      <c r="Z156" s="192"/>
      <c r="AA156" s="97">
        <v>1</v>
      </c>
      <c r="AB156" s="193">
        <v>0</v>
      </c>
      <c r="AC156" s="123"/>
      <c r="AD156" s="4"/>
      <c r="AE156" s="4"/>
      <c r="AF156" s="4" t="str">
        <f>"" &amp; TEXT(AB156,"#0.00%") &amp; " " &amp; "Unit Test" &amp; "(Max,Pralhad)" &amp; " " &amp; IF(M156="","",TEXT(M156,"M/D-")) &amp; IF(N156="","",TEXT(N156,"M/D")) &amp; " "</f>
        <v xml:space="preserve">0.00% Unit Test(Max,Pralhad) 7/22-7/22 </v>
      </c>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row>
    <row r="157" spans="1:98" outlineLevel="2">
      <c r="A157" s="116"/>
      <c r="B157" s="116"/>
      <c r="C157" s="116">
        <v>3</v>
      </c>
      <c r="D157" s="3" t="s">
        <v>1277</v>
      </c>
      <c r="E157" s="216"/>
      <c r="F157" s="217"/>
      <c r="G157" s="217" t="s">
        <v>1249</v>
      </c>
      <c r="H157" s="184"/>
      <c r="I157" s="184"/>
      <c r="J157" s="184"/>
      <c r="K157" s="184"/>
      <c r="L157" s="184"/>
      <c r="M157" s="185">
        <v>43668</v>
      </c>
      <c r="N157" s="185">
        <v>43668</v>
      </c>
      <c r="O157" s="186"/>
      <c r="P157" s="187">
        <v>1</v>
      </c>
      <c r="Q157" s="187">
        <v>1</v>
      </c>
      <c r="R157" s="188">
        <v>1</v>
      </c>
      <c r="S157" s="188">
        <v>1</v>
      </c>
      <c r="T157" s="185"/>
      <c r="U157" s="185"/>
      <c r="V157" s="189"/>
      <c r="W157" s="190">
        <v>0</v>
      </c>
      <c r="X157" s="191">
        <v>1</v>
      </c>
      <c r="Y157" s="186" t="s">
        <v>1294</v>
      </c>
      <c r="Z157" s="192"/>
      <c r="AA157" s="97">
        <v>1</v>
      </c>
      <c r="AB157" s="193">
        <v>0</v>
      </c>
      <c r="AC157" s="123"/>
      <c r="AD157" s="4"/>
      <c r="AE157" s="4"/>
      <c r="AF157" s="4" t="str">
        <f>"" &amp; TEXT(AB157,"#0.00%") &amp; " " &amp; "Integrated Test" &amp; "(Max,Pralhad)" &amp; " " &amp; IF(M157="","",TEXT(M157,"M/D-")) &amp; IF(N157="","",TEXT(N157,"M/D")) &amp; " "</f>
        <v xml:space="preserve">0.00% Integrated Test(Max,Pralhad) 7/22-7/22 </v>
      </c>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row>
    <row r="158" spans="1:98" outlineLevel="2">
      <c r="A158" s="116"/>
      <c r="B158" s="116"/>
      <c r="C158" s="116">
        <v>0</v>
      </c>
      <c r="D158" s="3"/>
      <c r="E158" s="184"/>
      <c r="F158" s="217"/>
      <c r="G158" s="217"/>
      <c r="H158" s="184"/>
      <c r="I158" s="184"/>
      <c r="J158" s="184"/>
      <c r="K158" s="184"/>
      <c r="L158" s="184"/>
      <c r="M158" s="185"/>
      <c r="N158" s="185"/>
      <c r="O158" s="186"/>
      <c r="P158" s="187"/>
      <c r="Q158" s="187"/>
      <c r="R158" s="188">
        <v>0</v>
      </c>
      <c r="S158" s="188">
        <v>0</v>
      </c>
      <c r="T158" s="185"/>
      <c r="U158" s="185"/>
      <c r="V158" s="189"/>
      <c r="W158" s="190">
        <v>0</v>
      </c>
      <c r="X158" s="191"/>
      <c r="Y158" s="186"/>
      <c r="Z158" s="192"/>
      <c r="AA158" s="97"/>
      <c r="AB158" s="193"/>
      <c r="AC158" s="123"/>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row>
    <row r="159" spans="1:98" outlineLevel="1">
      <c r="A159" s="116"/>
      <c r="B159" s="116" t="s">
        <v>1063</v>
      </c>
      <c r="C159" s="116">
        <v>2</v>
      </c>
      <c r="D159" s="3" t="s">
        <v>1198</v>
      </c>
      <c r="E159" s="184"/>
      <c r="F159" s="217" t="s">
        <v>1291</v>
      </c>
      <c r="G159" s="217"/>
      <c r="H159" s="184"/>
      <c r="I159" s="184"/>
      <c r="J159" s="184"/>
      <c r="K159" s="184"/>
      <c r="L159" s="184"/>
      <c r="M159" s="185">
        <v>43669</v>
      </c>
      <c r="N159" s="185">
        <v>43669</v>
      </c>
      <c r="O159" s="186"/>
      <c r="P159" s="187">
        <v>2</v>
      </c>
      <c r="Q159" s="187">
        <v>2</v>
      </c>
      <c r="R159" s="188">
        <v>1</v>
      </c>
      <c r="S159" s="188">
        <v>1</v>
      </c>
      <c r="T159" s="185"/>
      <c r="U159" s="185"/>
      <c r="V159" s="189">
        <v>0</v>
      </c>
      <c r="W159" s="190">
        <v>0</v>
      </c>
      <c r="X159" s="191"/>
      <c r="Y159" s="186"/>
      <c r="Z159" s="192"/>
      <c r="AA159" s="97">
        <v>1</v>
      </c>
      <c r="AB159" s="193">
        <v>0</v>
      </c>
      <c r="AC159" s="123"/>
      <c r="AD159" s="4"/>
      <c r="AE159" s="4"/>
      <c r="AF159" s="4" t="str">
        <f>" " &amp; TEXT(AB159,"#0.00%") &amp; " " &amp; "Calculate in first screen" &amp; " " &amp; IF(M159="","",TEXT(M159,"M/D-")) &amp; IF(N159="","",TEXT(N159,"M/D")) &amp; " "</f>
        <v xml:space="preserve"> 0.00% Calculate in first screen 7/23-7/23 </v>
      </c>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row>
    <row r="160" spans="1:98" outlineLevel="2">
      <c r="A160" s="116"/>
      <c r="B160" s="116"/>
      <c r="C160" s="116">
        <v>3</v>
      </c>
      <c r="D160" s="3" t="s">
        <v>1278</v>
      </c>
      <c r="E160" s="216"/>
      <c r="F160" s="217"/>
      <c r="G160" s="217" t="s">
        <v>1248</v>
      </c>
      <c r="H160" s="184"/>
      <c r="I160" s="184"/>
      <c r="J160" s="184"/>
      <c r="K160" s="184"/>
      <c r="L160" s="184"/>
      <c r="M160" s="185">
        <v>43669</v>
      </c>
      <c r="N160" s="185">
        <v>43669</v>
      </c>
      <c r="O160" s="186"/>
      <c r="P160" s="187">
        <v>1</v>
      </c>
      <c r="Q160" s="187">
        <v>1</v>
      </c>
      <c r="R160" s="188">
        <v>1</v>
      </c>
      <c r="S160" s="188">
        <v>1</v>
      </c>
      <c r="T160" s="185"/>
      <c r="U160" s="185"/>
      <c r="V160" s="189"/>
      <c r="W160" s="190">
        <v>0</v>
      </c>
      <c r="X160" s="191">
        <v>1</v>
      </c>
      <c r="Y160" s="186" t="s">
        <v>1294</v>
      </c>
      <c r="Z160" s="192"/>
      <c r="AA160" s="97">
        <v>1</v>
      </c>
      <c r="AB160" s="193">
        <v>0</v>
      </c>
      <c r="AC160" s="123"/>
      <c r="AD160" s="4"/>
      <c r="AE160" s="4"/>
      <c r="AF160" s="4" t="str">
        <f>" " &amp; TEXT(AB160,"#0.00%") &amp; " " &amp; "Unit Test" &amp; "(Max,Pralhad)" &amp; " " &amp; IF(M160="","",TEXT(M160,"M/D-")) &amp; IF(N160="","",TEXT(N160,"M/D")) &amp; " "</f>
        <v xml:space="preserve"> 0.00% Unit Test(Max,Pralhad) 7/23-7/23 </v>
      </c>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row>
    <row r="161" spans="1:98" outlineLevel="2">
      <c r="A161" s="116"/>
      <c r="B161" s="116"/>
      <c r="C161" s="116">
        <v>3</v>
      </c>
      <c r="D161" s="3" t="s">
        <v>1279</v>
      </c>
      <c r="E161" s="216"/>
      <c r="F161" s="217"/>
      <c r="G161" s="217" t="s">
        <v>1249</v>
      </c>
      <c r="H161" s="184"/>
      <c r="I161" s="184"/>
      <c r="J161" s="184"/>
      <c r="K161" s="184"/>
      <c r="L161" s="184"/>
      <c r="M161" s="185">
        <v>43669</v>
      </c>
      <c r="N161" s="185">
        <v>43669</v>
      </c>
      <c r="O161" s="186"/>
      <c r="P161" s="187">
        <v>1</v>
      </c>
      <c r="Q161" s="187">
        <v>1</v>
      </c>
      <c r="R161" s="188">
        <v>1</v>
      </c>
      <c r="S161" s="188">
        <v>1</v>
      </c>
      <c r="T161" s="185"/>
      <c r="U161" s="185"/>
      <c r="V161" s="189"/>
      <c r="W161" s="190">
        <v>0</v>
      </c>
      <c r="X161" s="191">
        <v>1</v>
      </c>
      <c r="Y161" s="186" t="s">
        <v>1294</v>
      </c>
      <c r="Z161" s="192"/>
      <c r="AA161" s="97">
        <v>1</v>
      </c>
      <c r="AB161" s="193">
        <v>0</v>
      </c>
      <c r="AC161" s="123"/>
      <c r="AD161" s="4"/>
      <c r="AE161" s="4"/>
      <c r="AF161" s="4" t="str">
        <f>" " &amp; TEXT(AB161,"#0.00%") &amp; " " &amp; "Integrated Test" &amp; "(Max,Pralhad)" &amp; " " &amp; IF(M161="","",TEXT(M161,"M/D-")) &amp; IF(N161="","",TEXT(N161,"M/D")) &amp; " "</f>
        <v xml:space="preserve"> 0.00% Integrated Test(Max,Pralhad) 7/23-7/23 </v>
      </c>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row>
    <row r="162" spans="1:98" outlineLevel="2">
      <c r="A162" s="116"/>
      <c r="B162" s="116"/>
      <c r="C162" s="116">
        <v>0</v>
      </c>
      <c r="D162" s="3"/>
      <c r="E162" s="184"/>
      <c r="F162" s="217"/>
      <c r="G162" s="217"/>
      <c r="H162" s="184"/>
      <c r="I162" s="184"/>
      <c r="J162" s="184"/>
      <c r="K162" s="184"/>
      <c r="L162" s="184"/>
      <c r="M162" s="185"/>
      <c r="N162" s="185"/>
      <c r="O162" s="186"/>
      <c r="P162" s="187"/>
      <c r="Q162" s="187"/>
      <c r="R162" s="188">
        <v>0</v>
      </c>
      <c r="S162" s="188">
        <v>0</v>
      </c>
      <c r="T162" s="185"/>
      <c r="U162" s="185"/>
      <c r="V162" s="189"/>
      <c r="W162" s="190">
        <v>0</v>
      </c>
      <c r="X162" s="191"/>
      <c r="Y162" s="186"/>
      <c r="Z162" s="192"/>
      <c r="AA162" s="97"/>
      <c r="AB162" s="193"/>
      <c r="AC162" s="123"/>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row>
    <row r="163" spans="1:98" outlineLevel="1">
      <c r="A163" s="116"/>
      <c r="B163" s="116" t="s">
        <v>1063</v>
      </c>
      <c r="C163" s="116">
        <v>2</v>
      </c>
      <c r="D163" s="3" t="s">
        <v>1199</v>
      </c>
      <c r="E163" s="184"/>
      <c r="F163" s="217" t="s">
        <v>1167</v>
      </c>
      <c r="G163" s="217"/>
      <c r="H163" s="184"/>
      <c r="I163" s="184"/>
      <c r="J163" s="184"/>
      <c r="K163" s="184"/>
      <c r="L163" s="184"/>
      <c r="M163" s="185">
        <v>43670</v>
      </c>
      <c r="N163" s="185">
        <v>43671</v>
      </c>
      <c r="O163" s="186"/>
      <c r="P163" s="187">
        <v>2</v>
      </c>
      <c r="Q163" s="187">
        <v>2</v>
      </c>
      <c r="R163" s="188">
        <v>2</v>
      </c>
      <c r="S163" s="188">
        <v>2</v>
      </c>
      <c r="T163" s="185"/>
      <c r="U163" s="185"/>
      <c r="V163" s="189">
        <v>0</v>
      </c>
      <c r="W163" s="190">
        <v>0</v>
      </c>
      <c r="X163" s="191"/>
      <c r="Y163" s="186"/>
      <c r="Z163" s="192"/>
      <c r="AA163" s="97">
        <v>1</v>
      </c>
      <c r="AB163" s="193">
        <v>0</v>
      </c>
      <c r="AC163" s="123"/>
      <c r="AD163" s="4"/>
      <c r="AE163" s="4"/>
      <c r="AF163" s="4" t="str">
        <f>"  " &amp; TEXT(AB163,"#0.00%") &amp; " " &amp; "Dynamic receiver setup" &amp; " " &amp; IF(M163="","",TEXT(M163,"M/D-")) &amp; IF(N163="","",TEXT(N163,"M/D")) &amp; " "</f>
        <v xml:space="preserve">  0.00% Dynamic receiver setup 7/24-7/25 </v>
      </c>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row>
    <row r="164" spans="1:98" outlineLevel="2">
      <c r="A164" s="116"/>
      <c r="B164" s="116"/>
      <c r="C164" s="116">
        <v>3</v>
      </c>
      <c r="D164" s="3" t="s">
        <v>1280</v>
      </c>
      <c r="E164" s="216"/>
      <c r="F164" s="217"/>
      <c r="G164" s="217" t="s">
        <v>1248</v>
      </c>
      <c r="H164" s="184"/>
      <c r="I164" s="184"/>
      <c r="J164" s="184"/>
      <c r="K164" s="184"/>
      <c r="L164" s="184"/>
      <c r="M164" s="185">
        <v>43670</v>
      </c>
      <c r="N164" s="185">
        <v>43670</v>
      </c>
      <c r="O164" s="186"/>
      <c r="P164" s="187">
        <v>1</v>
      </c>
      <c r="Q164" s="187">
        <v>1</v>
      </c>
      <c r="R164" s="188">
        <v>1</v>
      </c>
      <c r="S164" s="188">
        <v>1</v>
      </c>
      <c r="T164" s="185"/>
      <c r="U164" s="185"/>
      <c r="V164" s="189"/>
      <c r="W164" s="190">
        <v>0</v>
      </c>
      <c r="X164" s="191">
        <v>1</v>
      </c>
      <c r="Y164" s="186" t="s">
        <v>1294</v>
      </c>
      <c r="Z164" s="192"/>
      <c r="AA164" s="97">
        <v>1</v>
      </c>
      <c r="AB164" s="193">
        <v>0</v>
      </c>
      <c r="AC164" s="123"/>
      <c r="AD164" s="4"/>
      <c r="AE164" s="4"/>
      <c r="AF164" s="4" t="str">
        <f>"  " &amp; TEXT(AB164,"#0.00%") &amp; " " &amp; "Unit Test" &amp; "(Max,Pralhad)" &amp; " " &amp; IF(M164="","",TEXT(M164,"M/D-")) &amp; IF(N164="","",TEXT(N164,"M/D")) &amp; " "</f>
        <v xml:space="preserve">  0.00% Unit Test(Max,Pralhad) 7/24-7/24 </v>
      </c>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row>
    <row r="165" spans="1:98" outlineLevel="2">
      <c r="A165" s="116"/>
      <c r="B165" s="116"/>
      <c r="C165" s="116">
        <v>3</v>
      </c>
      <c r="D165" s="3" t="s">
        <v>1281</v>
      </c>
      <c r="E165" s="216"/>
      <c r="F165" s="217"/>
      <c r="G165" s="217" t="s">
        <v>1249</v>
      </c>
      <c r="H165" s="184"/>
      <c r="I165" s="184"/>
      <c r="J165" s="184"/>
      <c r="K165" s="184"/>
      <c r="L165" s="184"/>
      <c r="M165" s="185">
        <v>43671</v>
      </c>
      <c r="N165" s="185">
        <v>43671</v>
      </c>
      <c r="O165" s="186"/>
      <c r="P165" s="187">
        <v>1</v>
      </c>
      <c r="Q165" s="187">
        <v>1</v>
      </c>
      <c r="R165" s="188">
        <v>1</v>
      </c>
      <c r="S165" s="188">
        <v>1</v>
      </c>
      <c r="T165" s="185"/>
      <c r="U165" s="185"/>
      <c r="V165" s="189"/>
      <c r="W165" s="190">
        <v>0</v>
      </c>
      <c r="X165" s="191">
        <v>1</v>
      </c>
      <c r="Y165" s="186" t="s">
        <v>1294</v>
      </c>
      <c r="Z165" s="192"/>
      <c r="AA165" s="97">
        <v>1</v>
      </c>
      <c r="AB165" s="193">
        <v>0</v>
      </c>
      <c r="AC165" s="123"/>
      <c r="AD165" s="4"/>
      <c r="AE165" s="4"/>
      <c r="AF165" s="4" t="str">
        <f>"   " &amp; TEXT(AB165,"#0.00%") &amp; " " &amp; "Integrated Test" &amp; "(Max,Pralhad)" &amp; " " &amp; IF(M165="","",TEXT(M165,"M/D-")) &amp; IF(N165="","",TEXT(N165,"M/D")) &amp; " "</f>
        <v xml:space="preserve">   0.00% Integrated Test(Max,Pralhad) 7/25-7/25 </v>
      </c>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row>
    <row r="166" spans="1:98" outlineLevel="2">
      <c r="A166" s="116"/>
      <c r="B166" s="116"/>
      <c r="C166" s="116">
        <v>0</v>
      </c>
      <c r="D166" s="3"/>
      <c r="E166" s="184"/>
      <c r="F166" s="217"/>
      <c r="G166" s="217"/>
      <c r="H166" s="184"/>
      <c r="I166" s="184"/>
      <c r="J166" s="184"/>
      <c r="K166" s="184"/>
      <c r="L166" s="184"/>
      <c r="M166" s="185"/>
      <c r="N166" s="185"/>
      <c r="O166" s="186"/>
      <c r="P166" s="187"/>
      <c r="Q166" s="187"/>
      <c r="R166" s="188">
        <v>0</v>
      </c>
      <c r="S166" s="188">
        <v>0</v>
      </c>
      <c r="T166" s="185"/>
      <c r="U166" s="185"/>
      <c r="V166" s="189"/>
      <c r="W166" s="190">
        <v>0</v>
      </c>
      <c r="X166" s="191"/>
      <c r="Y166" s="186"/>
      <c r="Z166" s="192"/>
      <c r="AA166" s="97"/>
      <c r="AB166" s="193"/>
      <c r="AC166" s="123"/>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row>
    <row r="167" spans="1:98" outlineLevel="1">
      <c r="A167" s="116"/>
      <c r="B167" s="116" t="s">
        <v>1063</v>
      </c>
      <c r="C167" s="116">
        <v>2</v>
      </c>
      <c r="D167" s="3" t="s">
        <v>1200</v>
      </c>
      <c r="E167" s="184"/>
      <c r="F167" s="217" t="s">
        <v>1168</v>
      </c>
      <c r="G167" s="217"/>
      <c r="H167" s="184"/>
      <c r="I167" s="184"/>
      <c r="J167" s="184"/>
      <c r="K167" s="184"/>
      <c r="L167" s="184"/>
      <c r="M167" s="185">
        <v>43672</v>
      </c>
      <c r="N167" s="185">
        <v>43672</v>
      </c>
      <c r="O167" s="186"/>
      <c r="P167" s="187">
        <v>2</v>
      </c>
      <c r="Q167" s="187">
        <v>2</v>
      </c>
      <c r="R167" s="188">
        <v>1</v>
      </c>
      <c r="S167" s="188">
        <v>1</v>
      </c>
      <c r="T167" s="185"/>
      <c r="U167" s="185"/>
      <c r="V167" s="189">
        <v>0</v>
      </c>
      <c r="W167" s="190">
        <v>0</v>
      </c>
      <c r="X167" s="191"/>
      <c r="Y167" s="186"/>
      <c r="Z167" s="192"/>
      <c r="AA167" s="97">
        <v>1</v>
      </c>
      <c r="AB167" s="193">
        <v>0</v>
      </c>
      <c r="AC167" s="123"/>
      <c r="AD167" s="4"/>
      <c r="AE167" s="4"/>
      <c r="AF167" s="4" t="str">
        <f>"    " &amp; TEXT(AB167,"#0.00%") &amp; " " &amp; "Send Txn process same as web" &amp; " " &amp; IF(M167="","",TEXT(M167,"M/D-")) &amp; IF(N167="","",TEXT(N167,"M/D")) &amp; " "</f>
        <v xml:space="preserve">    0.00% Send Txn process same as web 7/26-7/26 </v>
      </c>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row>
    <row r="168" spans="1:98" outlineLevel="2">
      <c r="A168" s="116"/>
      <c r="B168" s="116"/>
      <c r="C168" s="116">
        <v>3</v>
      </c>
      <c r="D168" s="3" t="s">
        <v>1282</v>
      </c>
      <c r="E168" s="216"/>
      <c r="F168" s="217"/>
      <c r="G168" s="217" t="s">
        <v>1248</v>
      </c>
      <c r="H168" s="184"/>
      <c r="I168" s="184"/>
      <c r="J168" s="184"/>
      <c r="K168" s="184"/>
      <c r="L168" s="184"/>
      <c r="M168" s="185">
        <v>43672</v>
      </c>
      <c r="N168" s="185">
        <v>43672</v>
      </c>
      <c r="O168" s="186"/>
      <c r="P168" s="187">
        <v>1</v>
      </c>
      <c r="Q168" s="187">
        <v>1</v>
      </c>
      <c r="R168" s="188">
        <v>1</v>
      </c>
      <c r="S168" s="188">
        <v>1</v>
      </c>
      <c r="T168" s="185"/>
      <c r="U168" s="185"/>
      <c r="V168" s="189"/>
      <c r="W168" s="190">
        <v>0</v>
      </c>
      <c r="X168" s="191">
        <v>1</v>
      </c>
      <c r="Y168" s="186" t="s">
        <v>1294</v>
      </c>
      <c r="Z168" s="192"/>
      <c r="AA168" s="97">
        <v>1</v>
      </c>
      <c r="AB168" s="193">
        <v>0</v>
      </c>
      <c r="AC168" s="123"/>
      <c r="AD168" s="4"/>
      <c r="AE168" s="4"/>
      <c r="AF168" s="4" t="str">
        <f>"    " &amp; TEXT(AB168,"#0.00%") &amp; " " &amp; "Unit Test" &amp; "(Max,Pralhad)" &amp; " " &amp; IF(M168="","",TEXT(M168,"M/D-")) &amp; IF(N168="","",TEXT(N168,"M/D")) &amp; " "</f>
        <v xml:space="preserve">    0.00% Unit Test(Max,Pralhad) 7/26-7/26 </v>
      </c>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row>
    <row r="169" spans="1:98" outlineLevel="2">
      <c r="A169" s="116"/>
      <c r="B169" s="116"/>
      <c r="C169" s="116">
        <v>3</v>
      </c>
      <c r="D169" s="3" t="s">
        <v>1283</v>
      </c>
      <c r="E169" s="216"/>
      <c r="F169" s="217"/>
      <c r="G169" s="217" t="s">
        <v>1249</v>
      </c>
      <c r="H169" s="184"/>
      <c r="I169" s="184"/>
      <c r="J169" s="184"/>
      <c r="K169" s="184"/>
      <c r="L169" s="184"/>
      <c r="M169" s="185">
        <v>43672</v>
      </c>
      <c r="N169" s="185">
        <v>43672</v>
      </c>
      <c r="O169" s="186"/>
      <c r="P169" s="187">
        <v>1</v>
      </c>
      <c r="Q169" s="187">
        <v>1</v>
      </c>
      <c r="R169" s="188">
        <v>1</v>
      </c>
      <c r="S169" s="188">
        <v>1</v>
      </c>
      <c r="T169" s="185"/>
      <c r="U169" s="185"/>
      <c r="V169" s="189"/>
      <c r="W169" s="190">
        <v>0</v>
      </c>
      <c r="X169" s="191">
        <v>1</v>
      </c>
      <c r="Y169" s="186" t="s">
        <v>1294</v>
      </c>
      <c r="Z169" s="192"/>
      <c r="AA169" s="97">
        <v>1</v>
      </c>
      <c r="AB169" s="193">
        <v>0</v>
      </c>
      <c r="AC169" s="123"/>
      <c r="AD169" s="4"/>
      <c r="AE169" s="4"/>
      <c r="AF169" s="4" t="str">
        <f>"    " &amp; TEXT(AB169,"#0.00%") &amp; " " &amp; "Integrated Test" &amp; "(Max,Pralhad)" &amp; " " &amp; IF(M169="","",TEXT(M169,"M/D-")) &amp; IF(N169="","",TEXT(N169,"M/D")) &amp; " "</f>
        <v xml:space="preserve">    0.00% Integrated Test(Max,Pralhad) 7/26-7/26 </v>
      </c>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row>
    <row r="170" spans="1:98" outlineLevel="2">
      <c r="A170" s="116"/>
      <c r="B170" s="116"/>
      <c r="C170" s="116">
        <v>0</v>
      </c>
      <c r="D170" s="3"/>
      <c r="E170" s="184"/>
      <c r="F170" s="217"/>
      <c r="G170" s="217"/>
      <c r="H170" s="184"/>
      <c r="I170" s="184"/>
      <c r="J170" s="184"/>
      <c r="K170" s="184"/>
      <c r="L170" s="184"/>
      <c r="M170" s="185"/>
      <c r="N170" s="185"/>
      <c r="O170" s="186"/>
      <c r="P170" s="187"/>
      <c r="Q170" s="187"/>
      <c r="R170" s="188">
        <v>0</v>
      </c>
      <c r="S170" s="188">
        <v>0</v>
      </c>
      <c r="T170" s="185"/>
      <c r="U170" s="185"/>
      <c r="V170" s="189"/>
      <c r="W170" s="190">
        <v>0</v>
      </c>
      <c r="X170" s="191"/>
      <c r="Y170" s="186"/>
      <c r="Z170" s="192"/>
      <c r="AA170" s="97"/>
      <c r="AB170" s="193"/>
      <c r="AC170" s="123"/>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row>
    <row r="171" spans="1:98" outlineLevel="1">
      <c r="A171" s="116"/>
      <c r="B171" s="116" t="s">
        <v>1063</v>
      </c>
      <c r="C171" s="116">
        <v>2</v>
      </c>
      <c r="D171" s="3" t="s">
        <v>1201</v>
      </c>
      <c r="E171" s="184"/>
      <c r="F171" s="217" t="s">
        <v>1169</v>
      </c>
      <c r="G171" s="217"/>
      <c r="H171" s="184"/>
      <c r="I171" s="184"/>
      <c r="J171" s="184"/>
      <c r="K171" s="184"/>
      <c r="L171" s="184"/>
      <c r="M171" s="185">
        <v>43675</v>
      </c>
      <c r="N171" s="185">
        <v>43675</v>
      </c>
      <c r="O171" s="186"/>
      <c r="P171" s="187">
        <v>2</v>
      </c>
      <c r="Q171" s="187">
        <v>2</v>
      </c>
      <c r="R171" s="188">
        <v>1</v>
      </c>
      <c r="S171" s="188">
        <v>1</v>
      </c>
      <c r="T171" s="185"/>
      <c r="U171" s="185"/>
      <c r="V171" s="189">
        <v>0</v>
      </c>
      <c r="W171" s="190">
        <v>0</v>
      </c>
      <c r="X171" s="191"/>
      <c r="Y171" s="186"/>
      <c r="Z171" s="192"/>
      <c r="AA171" s="97">
        <v>1</v>
      </c>
      <c r="AB171" s="193">
        <v>0</v>
      </c>
      <c r="AC171" s="123"/>
      <c r="AD171" s="4"/>
      <c r="AE171" s="4"/>
      <c r="AF171" s="4"/>
      <c r="AG171" s="4" t="str">
        <f>"" &amp; TEXT(AB171,"#0.00%") &amp; " " &amp; "Resend method not to check anything" &amp; " " &amp; IF(M171="","",TEXT(M171,"M/D-")) &amp; IF(N171="","",TEXT(N171,"M/D")) &amp; " "</f>
        <v xml:space="preserve">0.00% Resend method not to check anything 7/29-7/29 </v>
      </c>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row>
    <row r="172" spans="1:98" outlineLevel="2">
      <c r="A172" s="116"/>
      <c r="B172" s="116"/>
      <c r="C172" s="116">
        <v>3</v>
      </c>
      <c r="D172" s="3" t="s">
        <v>1284</v>
      </c>
      <c r="E172" s="216"/>
      <c r="F172" s="217"/>
      <c r="G172" s="217" t="s">
        <v>1248</v>
      </c>
      <c r="H172" s="184"/>
      <c r="I172" s="184"/>
      <c r="J172" s="184"/>
      <c r="K172" s="184"/>
      <c r="L172" s="184"/>
      <c r="M172" s="185">
        <v>43675</v>
      </c>
      <c r="N172" s="185">
        <v>43675</v>
      </c>
      <c r="O172" s="186"/>
      <c r="P172" s="187">
        <v>1</v>
      </c>
      <c r="Q172" s="187">
        <v>1</v>
      </c>
      <c r="R172" s="188">
        <v>1</v>
      </c>
      <c r="S172" s="188">
        <v>1</v>
      </c>
      <c r="T172" s="185"/>
      <c r="U172" s="185"/>
      <c r="V172" s="189"/>
      <c r="W172" s="190">
        <v>0</v>
      </c>
      <c r="X172" s="191">
        <v>1</v>
      </c>
      <c r="Y172" s="186" t="s">
        <v>1294</v>
      </c>
      <c r="Z172" s="192"/>
      <c r="AA172" s="97">
        <v>1</v>
      </c>
      <c r="AB172" s="193">
        <v>0</v>
      </c>
      <c r="AC172" s="123"/>
      <c r="AD172" s="4"/>
      <c r="AE172" s="4"/>
      <c r="AF172" s="4"/>
      <c r="AG172" s="4" t="str">
        <f>"" &amp; TEXT(AB172,"#0.00%") &amp; " " &amp; "Unit Test" &amp; "(Max,Pralhad)" &amp; " " &amp; IF(M172="","",TEXT(M172,"M/D-")) &amp; IF(N172="","",TEXT(N172,"M/D")) &amp; " "</f>
        <v xml:space="preserve">0.00% Unit Test(Max,Pralhad) 7/29-7/29 </v>
      </c>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row>
    <row r="173" spans="1:98" outlineLevel="2">
      <c r="A173" s="116"/>
      <c r="B173" s="116"/>
      <c r="C173" s="116">
        <v>3</v>
      </c>
      <c r="D173" s="3" t="s">
        <v>1285</v>
      </c>
      <c r="E173" s="216"/>
      <c r="F173" s="217"/>
      <c r="G173" s="217" t="s">
        <v>1249</v>
      </c>
      <c r="H173" s="184"/>
      <c r="I173" s="184"/>
      <c r="J173" s="184"/>
      <c r="K173" s="184"/>
      <c r="L173" s="184"/>
      <c r="M173" s="185">
        <v>43675</v>
      </c>
      <c r="N173" s="185">
        <v>43675</v>
      </c>
      <c r="O173" s="186"/>
      <c r="P173" s="187">
        <v>1</v>
      </c>
      <c r="Q173" s="187">
        <v>1</v>
      </c>
      <c r="R173" s="188">
        <v>1</v>
      </c>
      <c r="S173" s="188">
        <v>1</v>
      </c>
      <c r="T173" s="185"/>
      <c r="U173" s="185"/>
      <c r="V173" s="189"/>
      <c r="W173" s="190">
        <v>0</v>
      </c>
      <c r="X173" s="191">
        <v>1</v>
      </c>
      <c r="Y173" s="186" t="s">
        <v>1294</v>
      </c>
      <c r="Z173" s="192"/>
      <c r="AA173" s="97">
        <v>1</v>
      </c>
      <c r="AB173" s="193">
        <v>0</v>
      </c>
      <c r="AC173" s="123"/>
      <c r="AD173" s="4"/>
      <c r="AE173" s="4"/>
      <c r="AF173" s="4"/>
      <c r="AG173" s="4" t="str">
        <f>"" &amp; TEXT(AB173,"#0.00%") &amp; " " &amp; "Integrated Test" &amp; "(Max,Pralhad)" &amp; " " &amp; IF(M173="","",TEXT(M173,"M/D-")) &amp; IF(N173="","",TEXT(N173,"M/D")) &amp; " "</f>
        <v xml:space="preserve">0.00% Integrated Test(Max,Pralhad) 7/29-7/29 </v>
      </c>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row>
    <row r="174" spans="1:98" outlineLevel="2">
      <c r="A174" s="116"/>
      <c r="B174" s="116"/>
      <c r="C174" s="116">
        <v>0</v>
      </c>
      <c r="D174" s="3"/>
      <c r="E174" s="184"/>
      <c r="F174" s="217"/>
      <c r="G174" s="217"/>
      <c r="H174" s="184"/>
      <c r="I174" s="184"/>
      <c r="J174" s="184"/>
      <c r="K174" s="184"/>
      <c r="L174" s="184"/>
      <c r="M174" s="185"/>
      <c r="N174" s="185"/>
      <c r="O174" s="186"/>
      <c r="P174" s="187"/>
      <c r="Q174" s="187"/>
      <c r="R174" s="188">
        <v>0</v>
      </c>
      <c r="S174" s="188">
        <v>0</v>
      </c>
      <c r="T174" s="185"/>
      <c r="U174" s="185"/>
      <c r="V174" s="189"/>
      <c r="W174" s="190">
        <v>0</v>
      </c>
      <c r="X174" s="191"/>
      <c r="Y174" s="186"/>
      <c r="Z174" s="192"/>
      <c r="AA174" s="97"/>
      <c r="AB174" s="193"/>
      <c r="AC174" s="123"/>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row>
    <row r="175" spans="1:98" outlineLevel="1">
      <c r="A175" s="116"/>
      <c r="B175" s="116" t="s">
        <v>1063</v>
      </c>
      <c r="C175" s="116">
        <v>2</v>
      </c>
      <c r="D175" s="3" t="s">
        <v>1202</v>
      </c>
      <c r="E175" s="184"/>
      <c r="F175" s="217" t="s">
        <v>1170</v>
      </c>
      <c r="G175" s="217"/>
      <c r="H175" s="184"/>
      <c r="I175" s="184"/>
      <c r="J175" s="184"/>
      <c r="K175" s="184"/>
      <c r="L175" s="184"/>
      <c r="M175" s="185">
        <v>43657</v>
      </c>
      <c r="N175" s="185">
        <v>43658</v>
      </c>
      <c r="O175" s="186"/>
      <c r="P175" s="187">
        <v>2</v>
      </c>
      <c r="Q175" s="187">
        <v>2</v>
      </c>
      <c r="R175" s="188">
        <v>2</v>
      </c>
      <c r="S175" s="188">
        <v>2</v>
      </c>
      <c r="T175" s="185"/>
      <c r="U175" s="185"/>
      <c r="V175" s="189">
        <v>0</v>
      </c>
      <c r="W175" s="190">
        <v>0</v>
      </c>
      <c r="X175" s="191"/>
      <c r="Y175" s="186"/>
      <c r="Z175" s="192"/>
      <c r="AA175" s="97">
        <v>1</v>
      </c>
      <c r="AB175" s="193">
        <v>0</v>
      </c>
      <c r="AC175" s="123"/>
      <c r="AD175" s="4" t="str">
        <f>"   " &amp; TEXT(AB175,"#0.00%") &amp; " " &amp; "Channel talk app in new app" &amp; " " &amp; IF(M175="","",TEXT(M175,"M/D-")) &amp; IF(N175="","",TEXT(N175,"M/D")) &amp; " "</f>
        <v xml:space="preserve">   0.00% Channel talk app in new app 7/11-7/12 </v>
      </c>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row>
    <row r="176" spans="1:98" outlineLevel="2">
      <c r="A176" s="116"/>
      <c r="B176" s="116"/>
      <c r="C176" s="116">
        <v>3</v>
      </c>
      <c r="D176" s="3" t="s">
        <v>1286</v>
      </c>
      <c r="E176" s="216"/>
      <c r="F176" s="217"/>
      <c r="G176" s="217" t="s">
        <v>1248</v>
      </c>
      <c r="H176" s="184"/>
      <c r="I176" s="184"/>
      <c r="J176" s="184"/>
      <c r="K176" s="184"/>
      <c r="L176" s="184"/>
      <c r="M176" s="185">
        <v>43657</v>
      </c>
      <c r="N176" s="185">
        <v>43657</v>
      </c>
      <c r="O176" s="186"/>
      <c r="P176" s="187">
        <v>1</v>
      </c>
      <c r="Q176" s="187">
        <v>1</v>
      </c>
      <c r="R176" s="188">
        <v>1</v>
      </c>
      <c r="S176" s="188">
        <v>1</v>
      </c>
      <c r="T176" s="185"/>
      <c r="U176" s="185"/>
      <c r="V176" s="189"/>
      <c r="W176" s="190">
        <v>0</v>
      </c>
      <c r="X176" s="191">
        <v>1</v>
      </c>
      <c r="Y176" s="186" t="s">
        <v>1294</v>
      </c>
      <c r="Z176" s="192"/>
      <c r="AA176" s="97">
        <v>1</v>
      </c>
      <c r="AB176" s="193">
        <v>0</v>
      </c>
      <c r="AC176" s="123"/>
      <c r="AD176" s="4" t="str">
        <f>"   " &amp; TEXT(AB176,"#0.00%") &amp; " " &amp; "Unit Test" &amp; "(Max,Pralhad)" &amp; " " &amp; IF(M176="","",TEXT(M176,"M/D-")) &amp; IF(N176="","",TEXT(N176,"M/D")) &amp; " "</f>
        <v xml:space="preserve">   0.00% Unit Test(Max,Pralhad) 7/11-7/11 </v>
      </c>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row>
    <row r="177" spans="1:98" outlineLevel="2">
      <c r="A177" s="116"/>
      <c r="B177" s="116"/>
      <c r="C177" s="116">
        <v>3</v>
      </c>
      <c r="D177" s="3" t="s">
        <v>1287</v>
      </c>
      <c r="E177" s="216"/>
      <c r="F177" s="217"/>
      <c r="G177" s="217" t="s">
        <v>1249</v>
      </c>
      <c r="H177" s="184"/>
      <c r="I177" s="184"/>
      <c r="J177" s="184"/>
      <c r="K177" s="184"/>
      <c r="L177" s="184"/>
      <c r="M177" s="185">
        <v>43658</v>
      </c>
      <c r="N177" s="185">
        <v>43658</v>
      </c>
      <c r="O177" s="186"/>
      <c r="P177" s="187">
        <v>1</v>
      </c>
      <c r="Q177" s="187">
        <v>1</v>
      </c>
      <c r="R177" s="188">
        <v>1</v>
      </c>
      <c r="S177" s="188">
        <v>1</v>
      </c>
      <c r="T177" s="185"/>
      <c r="U177" s="185"/>
      <c r="V177" s="189"/>
      <c r="W177" s="190">
        <v>0</v>
      </c>
      <c r="X177" s="191">
        <v>1</v>
      </c>
      <c r="Y177" s="186" t="s">
        <v>1294</v>
      </c>
      <c r="Z177" s="192"/>
      <c r="AA177" s="97">
        <v>1</v>
      </c>
      <c r="AB177" s="193">
        <v>0</v>
      </c>
      <c r="AC177" s="123"/>
      <c r="AD177" s="4" t="str">
        <f>"    " &amp; TEXT(AB177,"#0.00%") &amp; " " &amp; "Integrated Test" &amp; "(Max,Pralhad)" &amp; " " &amp; IF(M177="","",TEXT(M177,"M/D-")) &amp; IF(N177="","",TEXT(N177,"M/D")) &amp; " "</f>
        <v xml:space="preserve">    0.00% Integrated Test(Max,Pralhad) 7/12-7/12 </v>
      </c>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row>
    <row r="178" spans="1:98" outlineLevel="2">
      <c r="A178" s="116"/>
      <c r="B178" s="116"/>
      <c r="C178" s="116">
        <v>0</v>
      </c>
      <c r="D178" s="3"/>
      <c r="E178" s="184"/>
      <c r="F178" s="217"/>
      <c r="G178" s="217"/>
      <c r="H178" s="184"/>
      <c r="I178" s="184"/>
      <c r="J178" s="184"/>
      <c r="K178" s="184"/>
      <c r="L178" s="184"/>
      <c r="M178" s="185"/>
      <c r="N178" s="185"/>
      <c r="O178" s="186"/>
      <c r="P178" s="187"/>
      <c r="Q178" s="187"/>
      <c r="R178" s="188">
        <v>0</v>
      </c>
      <c r="S178" s="188">
        <v>0</v>
      </c>
      <c r="T178" s="185"/>
      <c r="U178" s="185"/>
      <c r="V178" s="189"/>
      <c r="W178" s="190">
        <v>0</v>
      </c>
      <c r="X178" s="191"/>
      <c r="Y178" s="186"/>
      <c r="Z178" s="192"/>
      <c r="AA178" s="97"/>
      <c r="AB178" s="193"/>
      <c r="AC178" s="123"/>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row>
    <row r="179" spans="1:98" outlineLevel="1">
      <c r="A179" s="116"/>
      <c r="B179" s="116" t="s">
        <v>1063</v>
      </c>
      <c r="C179" s="116">
        <v>2</v>
      </c>
      <c r="D179" s="3" t="s">
        <v>1203</v>
      </c>
      <c r="E179" s="184"/>
      <c r="F179" s="217" t="s">
        <v>1171</v>
      </c>
      <c r="G179" s="217"/>
      <c r="H179" s="184"/>
      <c r="I179" s="184"/>
      <c r="J179" s="184"/>
      <c r="K179" s="184"/>
      <c r="L179" s="184"/>
      <c r="M179" s="185">
        <v>43661</v>
      </c>
      <c r="N179" s="185">
        <v>43662</v>
      </c>
      <c r="O179" s="186"/>
      <c r="P179" s="187">
        <v>2</v>
      </c>
      <c r="Q179" s="187">
        <v>2</v>
      </c>
      <c r="R179" s="188">
        <v>2</v>
      </c>
      <c r="S179" s="188">
        <v>2</v>
      </c>
      <c r="T179" s="185"/>
      <c r="U179" s="185"/>
      <c r="V179" s="189">
        <v>0</v>
      </c>
      <c r="W179" s="190">
        <v>0</v>
      </c>
      <c r="X179" s="191"/>
      <c r="Y179" s="186"/>
      <c r="Z179" s="192"/>
      <c r="AA179" s="97">
        <v>1</v>
      </c>
      <c r="AB179" s="193">
        <v>0</v>
      </c>
      <c r="AC179" s="123"/>
      <c r="AD179" s="4"/>
      <c r="AE179" s="4" t="str">
        <f>"" &amp; TEXT(AB179,"#0.00%") &amp; " " &amp; "Popup notice in new app" &amp; " " &amp; IF(M179="","",TEXT(M179,"M/D-")) &amp; IF(N179="","",TEXT(N179,"M/D")) &amp; " "</f>
        <v xml:space="preserve">0.00% Popup notice in new app 7/15-7/16 </v>
      </c>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row>
    <row r="180" spans="1:98" outlineLevel="2">
      <c r="A180" s="116"/>
      <c r="B180" s="116"/>
      <c r="C180" s="116">
        <v>3</v>
      </c>
      <c r="D180" s="3" t="s">
        <v>1288</v>
      </c>
      <c r="E180" s="216"/>
      <c r="F180" s="217"/>
      <c r="G180" s="217" t="s">
        <v>1248</v>
      </c>
      <c r="H180" s="184"/>
      <c r="I180" s="184"/>
      <c r="J180" s="184"/>
      <c r="K180" s="184"/>
      <c r="L180" s="184"/>
      <c r="M180" s="185">
        <v>43661</v>
      </c>
      <c r="N180" s="185">
        <v>43661</v>
      </c>
      <c r="O180" s="186"/>
      <c r="P180" s="187">
        <v>1</v>
      </c>
      <c r="Q180" s="187">
        <v>1</v>
      </c>
      <c r="R180" s="188">
        <v>1</v>
      </c>
      <c r="S180" s="188">
        <v>1</v>
      </c>
      <c r="T180" s="185"/>
      <c r="U180" s="185"/>
      <c r="V180" s="189"/>
      <c r="W180" s="190">
        <v>0</v>
      </c>
      <c r="X180" s="191">
        <v>1</v>
      </c>
      <c r="Y180" s="186" t="s">
        <v>1294</v>
      </c>
      <c r="Z180" s="192"/>
      <c r="AA180" s="97">
        <v>1</v>
      </c>
      <c r="AB180" s="193">
        <v>0</v>
      </c>
      <c r="AC180" s="123"/>
      <c r="AD180" s="4"/>
      <c r="AE180" s="4" t="str">
        <f>"" &amp; TEXT(AB180,"#0.00%") &amp; " " &amp; "Unit Test" &amp; "(Max,Pralhad)" &amp; " " &amp; IF(M180="","",TEXT(M180,"M/D-")) &amp; IF(N180="","",TEXT(N180,"M/D")) &amp; " "</f>
        <v xml:space="preserve">0.00% Unit Test(Max,Pralhad) 7/15-7/15 </v>
      </c>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row>
    <row r="181" spans="1:98" outlineLevel="2">
      <c r="A181" s="116"/>
      <c r="B181" s="116"/>
      <c r="C181" s="116">
        <v>3</v>
      </c>
      <c r="D181" s="3" t="s">
        <v>1289</v>
      </c>
      <c r="E181" s="216"/>
      <c r="F181" s="217"/>
      <c r="G181" s="217" t="s">
        <v>1249</v>
      </c>
      <c r="H181" s="184"/>
      <c r="I181" s="184"/>
      <c r="J181" s="184"/>
      <c r="K181" s="184"/>
      <c r="L181" s="184"/>
      <c r="M181" s="185">
        <v>43662</v>
      </c>
      <c r="N181" s="185">
        <v>43662</v>
      </c>
      <c r="O181" s="186"/>
      <c r="P181" s="187">
        <v>1</v>
      </c>
      <c r="Q181" s="187">
        <v>1</v>
      </c>
      <c r="R181" s="188">
        <v>1</v>
      </c>
      <c r="S181" s="188">
        <v>1</v>
      </c>
      <c r="T181" s="185"/>
      <c r="U181" s="185"/>
      <c r="V181" s="189"/>
      <c r="W181" s="190">
        <v>0</v>
      </c>
      <c r="X181" s="191">
        <v>1</v>
      </c>
      <c r="Y181" s="186" t="s">
        <v>1294</v>
      </c>
      <c r="Z181" s="192"/>
      <c r="AA181" s="97">
        <v>1</v>
      </c>
      <c r="AB181" s="193">
        <v>0</v>
      </c>
      <c r="AC181" s="123"/>
      <c r="AD181" s="4"/>
      <c r="AE181" s="4" t="str">
        <f>" " &amp; TEXT(AB181,"#0.00%") &amp; " " &amp; "Integrated Test" &amp; "(Max,Pralhad)" &amp; " " &amp; IF(M181="","",TEXT(M181,"M/D-")) &amp; IF(N181="","",TEXT(N181,"M/D")) &amp; " "</f>
        <v xml:space="preserve"> 0.00% Integrated Test(Max,Pralhad) 7/16-7/16 </v>
      </c>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row>
    <row r="182" spans="1:98" outlineLevel="2">
      <c r="A182" s="116"/>
      <c r="B182" s="116"/>
      <c r="C182" s="116">
        <v>0</v>
      </c>
      <c r="D182" s="3"/>
      <c r="E182" s="184"/>
      <c r="F182" s="217"/>
      <c r="G182" s="217"/>
      <c r="H182" s="184"/>
      <c r="I182" s="184"/>
      <c r="J182" s="184"/>
      <c r="K182" s="184"/>
      <c r="L182" s="184"/>
      <c r="M182" s="185"/>
      <c r="N182" s="185"/>
      <c r="O182" s="186"/>
      <c r="P182" s="187"/>
      <c r="Q182" s="187"/>
      <c r="R182" s="188">
        <v>0</v>
      </c>
      <c r="S182" s="188">
        <v>0</v>
      </c>
      <c r="T182" s="185"/>
      <c r="U182" s="185"/>
      <c r="V182" s="189"/>
      <c r="W182" s="190">
        <v>0</v>
      </c>
      <c r="X182" s="191"/>
      <c r="Y182" s="186"/>
      <c r="Z182" s="192"/>
      <c r="AA182" s="97"/>
      <c r="AB182" s="193"/>
      <c r="AC182" s="123"/>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row>
    <row r="183" spans="1:98" outlineLevel="1">
      <c r="A183" s="116"/>
      <c r="B183" s="116" t="s">
        <v>1063</v>
      </c>
      <c r="C183" s="116">
        <v>2</v>
      </c>
      <c r="D183" s="3" t="s">
        <v>1339</v>
      </c>
      <c r="E183" s="184"/>
      <c r="F183" s="217" t="s">
        <v>1298</v>
      </c>
      <c r="G183" s="217"/>
      <c r="H183" s="184"/>
      <c r="I183" s="184"/>
      <c r="J183" s="184"/>
      <c r="K183" s="184"/>
      <c r="L183" s="184"/>
      <c r="M183" s="185">
        <v>43661</v>
      </c>
      <c r="N183" s="185">
        <v>43662</v>
      </c>
      <c r="O183" s="186"/>
      <c r="P183" s="187">
        <v>2</v>
      </c>
      <c r="Q183" s="187">
        <v>2</v>
      </c>
      <c r="R183" s="188">
        <v>2</v>
      </c>
      <c r="S183" s="188">
        <v>2</v>
      </c>
      <c r="T183" s="185"/>
      <c r="U183" s="185"/>
      <c r="V183" s="189">
        <v>0</v>
      </c>
      <c r="W183" s="190">
        <v>0</v>
      </c>
      <c r="X183" s="191"/>
      <c r="Y183" s="186"/>
      <c r="Z183" s="192"/>
      <c r="AA183" s="97">
        <v>1</v>
      </c>
      <c r="AB183" s="193">
        <v>0</v>
      </c>
      <c r="AC183" s="123"/>
      <c r="AD183" s="4"/>
      <c r="AE183" s="4" t="str">
        <f>"" &amp; TEXT(AB183,"#0.00%") &amp; " " &amp; "Auto refund using KFTC" &amp; " " &amp; IF(M183="","",TEXT(M183,"M/D-")) &amp; IF(N183="","",TEXT(N183,"M/D")) &amp; " "</f>
        <v xml:space="preserve">0.00% Auto refund using KFTC 7/15-7/16 </v>
      </c>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row>
    <row r="184" spans="1:98" outlineLevel="2">
      <c r="A184" s="116"/>
      <c r="B184" s="116"/>
      <c r="C184" s="116">
        <v>3</v>
      </c>
      <c r="D184" s="3" t="s">
        <v>1340</v>
      </c>
      <c r="E184" s="216"/>
      <c r="F184" s="217"/>
      <c r="G184" s="217" t="s">
        <v>1248</v>
      </c>
      <c r="H184" s="184"/>
      <c r="I184" s="184"/>
      <c r="J184" s="184"/>
      <c r="K184" s="184"/>
      <c r="L184" s="184"/>
      <c r="M184" s="185">
        <v>43661</v>
      </c>
      <c r="N184" s="185">
        <v>43661</v>
      </c>
      <c r="O184" s="186"/>
      <c r="P184" s="187">
        <v>1</v>
      </c>
      <c r="Q184" s="187">
        <v>1</v>
      </c>
      <c r="R184" s="188">
        <v>1</v>
      </c>
      <c r="S184" s="188">
        <v>1</v>
      </c>
      <c r="T184" s="185"/>
      <c r="U184" s="185"/>
      <c r="V184" s="189"/>
      <c r="W184" s="190">
        <v>0</v>
      </c>
      <c r="X184" s="191">
        <v>1</v>
      </c>
      <c r="Y184" s="186" t="s">
        <v>1294</v>
      </c>
      <c r="Z184" s="192"/>
      <c r="AA184" s="97">
        <v>1</v>
      </c>
      <c r="AB184" s="193">
        <v>0</v>
      </c>
      <c r="AC184" s="123"/>
      <c r="AD184" s="4"/>
      <c r="AE184" s="4" t="str">
        <f>"" &amp; TEXT(AB184,"#0.00%") &amp; " " &amp; "Unit Test" &amp; "(Max,Pralhad)" &amp; " " &amp; IF(M184="","",TEXT(M184,"M/D-")) &amp; IF(N184="","",TEXT(N184,"M/D")) &amp; " "</f>
        <v xml:space="preserve">0.00% Unit Test(Max,Pralhad) 7/15-7/15 </v>
      </c>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row>
    <row r="185" spans="1:98" outlineLevel="2">
      <c r="A185" s="116"/>
      <c r="B185" s="116"/>
      <c r="C185" s="116">
        <v>3</v>
      </c>
      <c r="D185" s="3" t="s">
        <v>1341</v>
      </c>
      <c r="E185" s="216"/>
      <c r="F185" s="217"/>
      <c r="G185" s="217" t="s">
        <v>1249</v>
      </c>
      <c r="H185" s="184"/>
      <c r="I185" s="184"/>
      <c r="J185" s="184"/>
      <c r="K185" s="184"/>
      <c r="L185" s="184"/>
      <c r="M185" s="185">
        <v>43662</v>
      </c>
      <c r="N185" s="185">
        <v>43662</v>
      </c>
      <c r="O185" s="186"/>
      <c r="P185" s="187">
        <v>1</v>
      </c>
      <c r="Q185" s="187">
        <v>1</v>
      </c>
      <c r="R185" s="188">
        <v>1</v>
      </c>
      <c r="S185" s="188">
        <v>1</v>
      </c>
      <c r="T185" s="185"/>
      <c r="U185" s="185"/>
      <c r="V185" s="189"/>
      <c r="W185" s="190">
        <v>0</v>
      </c>
      <c r="X185" s="191">
        <v>1</v>
      </c>
      <c r="Y185" s="186" t="s">
        <v>1294</v>
      </c>
      <c r="Z185" s="192"/>
      <c r="AA185" s="97">
        <v>1</v>
      </c>
      <c r="AB185" s="193">
        <v>0</v>
      </c>
      <c r="AC185" s="123"/>
      <c r="AD185" s="4"/>
      <c r="AE185" s="4" t="str">
        <f>" " &amp; TEXT(AB185,"#0.00%") &amp; " " &amp; "Integrated Test" &amp; "(Max,Pralhad)" &amp; " " &amp; IF(M185="","",TEXT(M185,"M/D-")) &amp; IF(N185="","",TEXT(N185,"M/D")) &amp; " "</f>
        <v xml:space="preserve"> 0.00% Integrated Test(Max,Pralhad) 7/16-7/16 </v>
      </c>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row>
    <row r="186" spans="1:98" outlineLevel="2">
      <c r="A186" s="116"/>
      <c r="B186" s="116"/>
      <c r="C186" s="116">
        <v>0</v>
      </c>
      <c r="D186" s="3"/>
      <c r="E186" s="216"/>
      <c r="F186" s="217"/>
      <c r="G186" s="217"/>
      <c r="H186" s="184"/>
      <c r="I186" s="184"/>
      <c r="J186" s="184"/>
      <c r="K186" s="184"/>
      <c r="L186" s="184"/>
      <c r="M186" s="185"/>
      <c r="N186" s="185"/>
      <c r="O186" s="186"/>
      <c r="P186" s="187"/>
      <c r="Q186" s="187"/>
      <c r="R186" s="188">
        <v>0</v>
      </c>
      <c r="S186" s="188">
        <v>0</v>
      </c>
      <c r="T186" s="185"/>
      <c r="U186" s="185"/>
      <c r="V186" s="189"/>
      <c r="W186" s="190">
        <v>0</v>
      </c>
      <c r="X186" s="191"/>
      <c r="Y186" s="186"/>
      <c r="Z186" s="192"/>
      <c r="AA186" s="97"/>
      <c r="AB186" s="193"/>
      <c r="AC186" s="123"/>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row>
    <row r="187" spans="1:98" outlineLevel="1">
      <c r="A187" s="116"/>
      <c r="B187" s="116" t="s">
        <v>1063</v>
      </c>
      <c r="C187" s="116">
        <v>2</v>
      </c>
      <c r="D187" s="3" t="s">
        <v>1342</v>
      </c>
      <c r="E187" s="184"/>
      <c r="F187" s="217" t="s">
        <v>1299</v>
      </c>
      <c r="G187" s="217"/>
      <c r="H187" s="184"/>
      <c r="I187" s="184"/>
      <c r="J187" s="184"/>
      <c r="K187" s="184"/>
      <c r="L187" s="184"/>
      <c r="M187" s="185">
        <v>43661</v>
      </c>
      <c r="N187" s="185">
        <v>43662</v>
      </c>
      <c r="O187" s="186"/>
      <c r="P187" s="187">
        <v>2</v>
      </c>
      <c r="Q187" s="187">
        <v>2</v>
      </c>
      <c r="R187" s="188">
        <v>2</v>
      </c>
      <c r="S187" s="188">
        <v>2</v>
      </c>
      <c r="T187" s="185"/>
      <c r="U187" s="185"/>
      <c r="V187" s="189">
        <v>0</v>
      </c>
      <c r="W187" s="190">
        <v>0</v>
      </c>
      <c r="X187" s="191"/>
      <c r="Y187" s="186"/>
      <c r="Z187" s="192"/>
      <c r="AA187" s="97">
        <v>1</v>
      </c>
      <c r="AB187" s="193">
        <v>0</v>
      </c>
      <c r="AC187" s="123"/>
      <c r="AD187" s="4"/>
      <c r="AE187" s="4" t="str">
        <f>"" &amp; TEXT(AB187,"#0.00%") &amp; " " &amp; "Balance check using KFTC" &amp; " " &amp; IF(M187="","",TEXT(M187,"M/D-")) &amp; IF(N187="","",TEXT(N187,"M/D")) &amp; " "</f>
        <v xml:space="preserve">0.00% Balance check using KFTC 7/15-7/16 </v>
      </c>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row>
    <row r="188" spans="1:98" outlineLevel="2">
      <c r="A188" s="116"/>
      <c r="B188" s="116"/>
      <c r="C188" s="116">
        <v>3</v>
      </c>
      <c r="D188" s="3" t="s">
        <v>1343</v>
      </c>
      <c r="E188" s="216"/>
      <c r="F188" s="217"/>
      <c r="G188" s="217" t="s">
        <v>1248</v>
      </c>
      <c r="H188" s="184"/>
      <c r="I188" s="184"/>
      <c r="J188" s="184"/>
      <c r="K188" s="184"/>
      <c r="L188" s="184"/>
      <c r="M188" s="185">
        <v>43661</v>
      </c>
      <c r="N188" s="185">
        <v>43661</v>
      </c>
      <c r="O188" s="186"/>
      <c r="P188" s="187">
        <v>1</v>
      </c>
      <c r="Q188" s="187">
        <v>1</v>
      </c>
      <c r="R188" s="188">
        <v>1</v>
      </c>
      <c r="S188" s="188">
        <v>1</v>
      </c>
      <c r="T188" s="185"/>
      <c r="U188" s="185"/>
      <c r="V188" s="189"/>
      <c r="W188" s="190">
        <v>0</v>
      </c>
      <c r="X188" s="191">
        <v>1</v>
      </c>
      <c r="Y188" s="186" t="s">
        <v>1294</v>
      </c>
      <c r="Z188" s="192"/>
      <c r="AA188" s="97">
        <v>1</v>
      </c>
      <c r="AB188" s="193">
        <v>0</v>
      </c>
      <c r="AC188" s="123"/>
      <c r="AD188" s="4"/>
      <c r="AE188" s="4" t="str">
        <f>"" &amp; TEXT(AB188,"#0.00%") &amp; " " &amp; "Unit Test" &amp; "(Max,Pralhad)" &amp; " " &amp; IF(M188="","",TEXT(M188,"M/D-")) &amp; IF(N188="","",TEXT(N188,"M/D")) &amp; " "</f>
        <v xml:space="preserve">0.00% Unit Test(Max,Pralhad) 7/15-7/15 </v>
      </c>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row>
    <row r="189" spans="1:98" outlineLevel="2">
      <c r="A189" s="116"/>
      <c r="B189" s="116"/>
      <c r="C189" s="116">
        <v>3</v>
      </c>
      <c r="D189" s="3" t="s">
        <v>1344</v>
      </c>
      <c r="E189" s="216"/>
      <c r="F189" s="217"/>
      <c r="G189" s="217" t="s">
        <v>1249</v>
      </c>
      <c r="H189" s="184"/>
      <c r="I189" s="184"/>
      <c r="J189" s="184"/>
      <c r="K189" s="184"/>
      <c r="L189" s="184"/>
      <c r="M189" s="185">
        <v>43662</v>
      </c>
      <c r="N189" s="185">
        <v>43662</v>
      </c>
      <c r="O189" s="186"/>
      <c r="P189" s="187">
        <v>1</v>
      </c>
      <c r="Q189" s="187">
        <v>1</v>
      </c>
      <c r="R189" s="188">
        <v>1</v>
      </c>
      <c r="S189" s="188">
        <v>1</v>
      </c>
      <c r="T189" s="185"/>
      <c r="U189" s="185"/>
      <c r="V189" s="189"/>
      <c r="W189" s="190">
        <v>0</v>
      </c>
      <c r="X189" s="191">
        <v>1</v>
      </c>
      <c r="Y189" s="186" t="s">
        <v>1294</v>
      </c>
      <c r="Z189" s="192"/>
      <c r="AA189" s="97">
        <v>1</v>
      </c>
      <c r="AB189" s="193">
        <v>0</v>
      </c>
      <c r="AC189" s="123"/>
      <c r="AD189" s="4"/>
      <c r="AE189" s="4" t="str">
        <f>" " &amp; TEXT(AB189,"#0.00%") &amp; " " &amp; "Integrated Test" &amp; "(Max,Pralhad)" &amp; " " &amp; IF(M189="","",TEXT(M189,"M/D-")) &amp; IF(N189="","",TEXT(N189,"M/D")) &amp; " "</f>
        <v xml:space="preserve"> 0.00% Integrated Test(Max,Pralhad) 7/16-7/16 </v>
      </c>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row>
    <row r="190" spans="1:98" outlineLevel="2">
      <c r="A190" s="116"/>
      <c r="B190" s="116"/>
      <c r="C190" s="116">
        <v>0</v>
      </c>
      <c r="D190" s="3"/>
      <c r="E190" s="216"/>
      <c r="F190" s="217"/>
      <c r="G190" s="217"/>
      <c r="H190" s="184"/>
      <c r="I190" s="184"/>
      <c r="J190" s="184"/>
      <c r="K190" s="184"/>
      <c r="L190" s="184"/>
      <c r="M190" s="185"/>
      <c r="N190" s="185"/>
      <c r="O190" s="186"/>
      <c r="P190" s="187"/>
      <c r="Q190" s="187"/>
      <c r="R190" s="188">
        <v>0</v>
      </c>
      <c r="S190" s="188">
        <v>0</v>
      </c>
      <c r="T190" s="185"/>
      <c r="U190" s="185"/>
      <c r="V190" s="189"/>
      <c r="W190" s="190">
        <v>0</v>
      </c>
      <c r="X190" s="191"/>
      <c r="Y190" s="186"/>
      <c r="Z190" s="192"/>
      <c r="AA190" s="97"/>
      <c r="AB190" s="193"/>
      <c r="AC190" s="123"/>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row>
    <row r="191" spans="1:98" outlineLevel="1">
      <c r="A191" s="116"/>
      <c r="B191" s="116" t="s">
        <v>1063</v>
      </c>
      <c r="C191" s="116">
        <v>2</v>
      </c>
      <c r="D191" s="3" t="s">
        <v>1345</v>
      </c>
      <c r="E191" s="184"/>
      <c r="F191" s="217" t="s">
        <v>1307</v>
      </c>
      <c r="G191" s="217"/>
      <c r="H191" s="184"/>
      <c r="I191" s="184"/>
      <c r="J191" s="184"/>
      <c r="K191" s="184"/>
      <c r="L191" s="184"/>
      <c r="M191" s="185">
        <v>43661</v>
      </c>
      <c r="N191" s="185">
        <v>43662</v>
      </c>
      <c r="O191" s="186"/>
      <c r="P191" s="187">
        <v>2</v>
      </c>
      <c r="Q191" s="187">
        <v>2</v>
      </c>
      <c r="R191" s="188">
        <v>2</v>
      </c>
      <c r="S191" s="188">
        <v>2</v>
      </c>
      <c r="T191" s="185"/>
      <c r="U191" s="185"/>
      <c r="V191" s="189">
        <v>0</v>
      </c>
      <c r="W191" s="190">
        <v>0</v>
      </c>
      <c r="X191" s="191"/>
      <c r="Y191" s="186"/>
      <c r="Z191" s="192"/>
      <c r="AA191" s="97">
        <v>1</v>
      </c>
      <c r="AB191" s="193">
        <v>0</v>
      </c>
      <c r="AC191" s="123"/>
      <c r="AD191" s="4"/>
      <c r="AE191" s="4" t="str">
        <f>"" &amp; TEXT(AB191,"#0.00%") &amp; " " &amp; "Domestic bank transfer using KFTC" &amp; " " &amp; IF(M191="","",TEXT(M191,"M/D-")) &amp; IF(N191="","",TEXT(N191,"M/D")) &amp; " "</f>
        <v xml:space="preserve">0.00% Domestic bank transfer using KFTC 7/15-7/16 </v>
      </c>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row>
    <row r="192" spans="1:98" outlineLevel="2">
      <c r="A192" s="116"/>
      <c r="B192" s="116"/>
      <c r="C192" s="116">
        <v>3</v>
      </c>
      <c r="D192" s="3" t="s">
        <v>1346</v>
      </c>
      <c r="E192" s="216"/>
      <c r="F192" s="217"/>
      <c r="G192" s="217" t="s">
        <v>1248</v>
      </c>
      <c r="H192" s="184"/>
      <c r="I192" s="184"/>
      <c r="J192" s="184"/>
      <c r="K192" s="184"/>
      <c r="L192" s="184"/>
      <c r="M192" s="185">
        <v>43661</v>
      </c>
      <c r="N192" s="185">
        <v>43661</v>
      </c>
      <c r="O192" s="186"/>
      <c r="P192" s="187">
        <v>1</v>
      </c>
      <c r="Q192" s="187">
        <v>1</v>
      </c>
      <c r="R192" s="188">
        <v>1</v>
      </c>
      <c r="S192" s="188">
        <v>1</v>
      </c>
      <c r="T192" s="185"/>
      <c r="U192" s="185"/>
      <c r="V192" s="189"/>
      <c r="W192" s="190">
        <v>0</v>
      </c>
      <c r="X192" s="191">
        <v>1</v>
      </c>
      <c r="Y192" s="186" t="s">
        <v>1294</v>
      </c>
      <c r="Z192" s="192"/>
      <c r="AA192" s="97">
        <v>1</v>
      </c>
      <c r="AB192" s="193">
        <v>0</v>
      </c>
      <c r="AC192" s="123"/>
      <c r="AD192" s="4"/>
      <c r="AE192" s="4" t="str">
        <f>"" &amp; TEXT(AB192,"#0.00%") &amp; " " &amp; "Unit Test" &amp; "(Max,Pralhad)" &amp; " " &amp; IF(M192="","",TEXT(M192,"M/D-")) &amp; IF(N192="","",TEXT(N192,"M/D")) &amp; " "</f>
        <v xml:space="preserve">0.00% Unit Test(Max,Pralhad) 7/15-7/15 </v>
      </c>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row>
    <row r="193" spans="1:98" outlineLevel="2">
      <c r="A193" s="116"/>
      <c r="B193" s="116"/>
      <c r="C193" s="116">
        <v>3</v>
      </c>
      <c r="D193" s="3" t="s">
        <v>1347</v>
      </c>
      <c r="E193" s="216"/>
      <c r="F193" s="217"/>
      <c r="G193" s="217" t="s">
        <v>1249</v>
      </c>
      <c r="H193" s="184"/>
      <c r="I193" s="184"/>
      <c r="J193" s="184"/>
      <c r="K193" s="184"/>
      <c r="L193" s="184"/>
      <c r="M193" s="185">
        <v>43662</v>
      </c>
      <c r="N193" s="185">
        <v>43662</v>
      </c>
      <c r="O193" s="186"/>
      <c r="P193" s="187">
        <v>1</v>
      </c>
      <c r="Q193" s="187">
        <v>1</v>
      </c>
      <c r="R193" s="188">
        <v>1</v>
      </c>
      <c r="S193" s="188">
        <v>1</v>
      </c>
      <c r="T193" s="185"/>
      <c r="U193" s="185"/>
      <c r="V193" s="189"/>
      <c r="W193" s="190">
        <v>0</v>
      </c>
      <c r="X193" s="191">
        <v>1</v>
      </c>
      <c r="Y193" s="186" t="s">
        <v>1294</v>
      </c>
      <c r="Z193" s="192"/>
      <c r="AA193" s="97">
        <v>1</v>
      </c>
      <c r="AB193" s="193">
        <v>0</v>
      </c>
      <c r="AC193" s="123"/>
      <c r="AD193" s="4"/>
      <c r="AE193" s="4" t="str">
        <f>" " &amp; TEXT(AB193,"#0.00%") &amp; " " &amp; "Integrated Test" &amp; "(Max,Pralhad)" &amp; " " &amp; IF(M193="","",TEXT(M193,"M/D-")) &amp; IF(N193="","",TEXT(N193,"M/D")) &amp; " "</f>
        <v xml:space="preserve"> 0.00% Integrated Test(Max,Pralhad) 7/16-7/16 </v>
      </c>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row>
    <row r="194" spans="1:98" outlineLevel="2">
      <c r="A194" s="116"/>
      <c r="B194" s="116"/>
      <c r="C194" s="116">
        <v>0</v>
      </c>
      <c r="D194" s="3"/>
      <c r="E194" s="216"/>
      <c r="F194" s="217"/>
      <c r="G194" s="217"/>
      <c r="H194" s="184"/>
      <c r="I194" s="184"/>
      <c r="J194" s="184"/>
      <c r="K194" s="184"/>
      <c r="L194" s="184"/>
      <c r="M194" s="185"/>
      <c r="N194" s="185"/>
      <c r="O194" s="186"/>
      <c r="P194" s="187"/>
      <c r="Q194" s="187"/>
      <c r="R194" s="188">
        <v>0</v>
      </c>
      <c r="S194" s="188">
        <v>0</v>
      </c>
      <c r="T194" s="185"/>
      <c r="U194" s="185"/>
      <c r="V194" s="189"/>
      <c r="W194" s="190">
        <v>0</v>
      </c>
      <c r="X194" s="191"/>
      <c r="Y194" s="186"/>
      <c r="Z194" s="192"/>
      <c r="AA194" s="97"/>
      <c r="AB194" s="193"/>
      <c r="AC194" s="123"/>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row>
    <row r="195" spans="1:98" outlineLevel="1">
      <c r="A195" s="116"/>
      <c r="B195" s="116" t="s">
        <v>1063</v>
      </c>
      <c r="C195" s="116">
        <v>2</v>
      </c>
      <c r="D195" s="3" t="s">
        <v>1348</v>
      </c>
      <c r="E195" s="184"/>
      <c r="F195" s="217" t="s">
        <v>1301</v>
      </c>
      <c r="G195" s="217"/>
      <c r="H195" s="184"/>
      <c r="I195" s="184"/>
      <c r="J195" s="184"/>
      <c r="K195" s="184"/>
      <c r="L195" s="184"/>
      <c r="M195" s="185">
        <v>43661</v>
      </c>
      <c r="N195" s="185">
        <v>43662</v>
      </c>
      <c r="O195" s="186"/>
      <c r="P195" s="187">
        <v>2</v>
      </c>
      <c r="Q195" s="187">
        <v>2</v>
      </c>
      <c r="R195" s="188">
        <v>2</v>
      </c>
      <c r="S195" s="188">
        <v>2</v>
      </c>
      <c r="T195" s="185"/>
      <c r="U195" s="185"/>
      <c r="V195" s="189">
        <v>0</v>
      </c>
      <c r="W195" s="190">
        <v>0</v>
      </c>
      <c r="X195" s="191"/>
      <c r="Y195" s="186"/>
      <c r="Z195" s="192"/>
      <c r="AA195" s="97">
        <v>1</v>
      </c>
      <c r="AB195" s="193">
        <v>0</v>
      </c>
      <c r="AC195" s="123"/>
      <c r="AD195" s="4"/>
      <c r="AE195" s="4" t="str">
        <f>"" &amp; TEXT(AB195,"#0.00%") &amp; " " &amp; "Reward/Coupon system 2nd Phase" &amp; " " &amp; IF(M195="","",TEXT(M195,"M/D-")) &amp; IF(N195="","",TEXT(N195,"M/D")) &amp; " "</f>
        <v xml:space="preserve">0.00% Reward/Coupon system 2nd Phase 7/15-7/16 </v>
      </c>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row>
    <row r="196" spans="1:98" outlineLevel="2">
      <c r="A196" s="116"/>
      <c r="B196" s="116"/>
      <c r="C196" s="116">
        <v>3</v>
      </c>
      <c r="D196" s="3" t="s">
        <v>1349</v>
      </c>
      <c r="E196" s="216"/>
      <c r="F196" s="217"/>
      <c r="G196" s="217" t="s">
        <v>1248</v>
      </c>
      <c r="H196" s="184"/>
      <c r="I196" s="184"/>
      <c r="J196" s="184"/>
      <c r="K196" s="184"/>
      <c r="L196" s="184"/>
      <c r="M196" s="185">
        <v>43661</v>
      </c>
      <c r="N196" s="185">
        <v>43661</v>
      </c>
      <c r="O196" s="186"/>
      <c r="P196" s="187">
        <v>1</v>
      </c>
      <c r="Q196" s="187">
        <v>1</v>
      </c>
      <c r="R196" s="188">
        <v>1</v>
      </c>
      <c r="S196" s="188">
        <v>1</v>
      </c>
      <c r="T196" s="185"/>
      <c r="U196" s="185"/>
      <c r="V196" s="189"/>
      <c r="W196" s="190">
        <v>0</v>
      </c>
      <c r="X196" s="191">
        <v>1</v>
      </c>
      <c r="Y196" s="186" t="s">
        <v>1294</v>
      </c>
      <c r="Z196" s="192"/>
      <c r="AA196" s="97">
        <v>1</v>
      </c>
      <c r="AB196" s="193">
        <v>0</v>
      </c>
      <c r="AC196" s="123"/>
      <c r="AD196" s="4"/>
      <c r="AE196" s="4" t="str">
        <f>"" &amp; TEXT(AB196,"#0.00%") &amp; " " &amp; "Unit Test" &amp; "(Max,Pralhad)" &amp; " " &amp; IF(M196="","",TEXT(M196,"M/D-")) &amp; IF(N196="","",TEXT(N196,"M/D")) &amp; " "</f>
        <v xml:space="preserve">0.00% Unit Test(Max,Pralhad) 7/15-7/15 </v>
      </c>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row>
    <row r="197" spans="1:98" outlineLevel="2">
      <c r="A197" s="116"/>
      <c r="B197" s="116"/>
      <c r="C197" s="116">
        <v>3</v>
      </c>
      <c r="D197" s="3" t="s">
        <v>1350</v>
      </c>
      <c r="E197" s="216"/>
      <c r="F197" s="217"/>
      <c r="G197" s="217" t="s">
        <v>1249</v>
      </c>
      <c r="H197" s="184"/>
      <c r="I197" s="184"/>
      <c r="J197" s="184"/>
      <c r="K197" s="184"/>
      <c r="L197" s="184"/>
      <c r="M197" s="185">
        <v>43662</v>
      </c>
      <c r="N197" s="185">
        <v>43662</v>
      </c>
      <c r="O197" s="186"/>
      <c r="P197" s="187">
        <v>1</v>
      </c>
      <c r="Q197" s="187">
        <v>1</v>
      </c>
      <c r="R197" s="188">
        <v>1</v>
      </c>
      <c r="S197" s="188">
        <v>1</v>
      </c>
      <c r="T197" s="185"/>
      <c r="U197" s="185"/>
      <c r="V197" s="189"/>
      <c r="W197" s="190">
        <v>0</v>
      </c>
      <c r="X197" s="191">
        <v>1</v>
      </c>
      <c r="Y197" s="186" t="s">
        <v>1294</v>
      </c>
      <c r="Z197" s="192"/>
      <c r="AA197" s="97">
        <v>1</v>
      </c>
      <c r="AB197" s="193">
        <v>0</v>
      </c>
      <c r="AC197" s="123"/>
      <c r="AD197" s="4"/>
      <c r="AE197" s="4" t="str">
        <f>" " &amp; TEXT(AB197,"#0.00%") &amp; " " &amp; "Integrated Test" &amp; "(Max,Pralhad)" &amp; " " &amp; IF(M197="","",TEXT(M197,"M/D-")) &amp; IF(N197="","",TEXT(N197,"M/D")) &amp; " "</f>
        <v xml:space="preserve"> 0.00% Integrated Test(Max,Pralhad) 7/16-7/16 </v>
      </c>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row>
    <row r="198" spans="1:98" outlineLevel="2">
      <c r="A198" s="116"/>
      <c r="B198" s="116"/>
      <c r="C198" s="116">
        <v>0</v>
      </c>
      <c r="D198" s="3"/>
      <c r="E198" s="216"/>
      <c r="F198" s="217"/>
      <c r="G198" s="217"/>
      <c r="H198" s="184"/>
      <c r="I198" s="184"/>
      <c r="J198" s="184"/>
      <c r="K198" s="184"/>
      <c r="L198" s="184"/>
      <c r="M198" s="185"/>
      <c r="N198" s="185"/>
      <c r="O198" s="186"/>
      <c r="P198" s="187"/>
      <c r="Q198" s="187"/>
      <c r="R198" s="188">
        <v>0</v>
      </c>
      <c r="S198" s="188">
        <v>0</v>
      </c>
      <c r="T198" s="185"/>
      <c r="U198" s="185"/>
      <c r="V198" s="189"/>
      <c r="W198" s="190">
        <v>0</v>
      </c>
      <c r="X198" s="191"/>
      <c r="Y198" s="186"/>
      <c r="Z198" s="192"/>
      <c r="AA198" s="97"/>
      <c r="AB198" s="193"/>
      <c r="AC198" s="123"/>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row>
    <row r="199" spans="1:98" outlineLevel="2">
      <c r="A199" s="116"/>
      <c r="B199" s="116"/>
      <c r="C199" s="116">
        <v>0</v>
      </c>
      <c r="D199" s="3"/>
      <c r="E199" s="184"/>
      <c r="F199" s="184"/>
      <c r="G199" s="184"/>
      <c r="H199" s="184"/>
      <c r="I199" s="184"/>
      <c r="J199" s="184"/>
      <c r="K199" s="184"/>
      <c r="L199" s="184"/>
      <c r="M199" s="185"/>
      <c r="N199" s="185"/>
      <c r="O199" s="186"/>
      <c r="P199" s="187"/>
      <c r="Q199" s="187"/>
      <c r="R199" s="188">
        <v>0</v>
      </c>
      <c r="S199" s="188">
        <v>0</v>
      </c>
      <c r="T199" s="185"/>
      <c r="U199" s="185"/>
      <c r="V199" s="189"/>
      <c r="W199" s="190">
        <v>0</v>
      </c>
      <c r="X199" s="191"/>
      <c r="Y199" s="186"/>
      <c r="Z199" s="192"/>
      <c r="AA199" s="97"/>
      <c r="AB199" s="193"/>
      <c r="AC199" s="123"/>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row>
    <row r="200" spans="1:98">
      <c r="A200" s="116"/>
      <c r="B200" s="116" t="s">
        <v>1063</v>
      </c>
      <c r="C200" s="116">
        <v>1</v>
      </c>
      <c r="D200" s="3" t="s">
        <v>1146</v>
      </c>
      <c r="E200" s="215" t="s">
        <v>1145</v>
      </c>
      <c r="F200" s="184"/>
      <c r="G200" s="184"/>
      <c r="H200" s="184"/>
      <c r="I200" s="184"/>
      <c r="J200" s="184"/>
      <c r="K200" s="184"/>
      <c r="L200" s="184"/>
      <c r="M200" s="185">
        <v>43664</v>
      </c>
      <c r="N200" s="185">
        <v>43698</v>
      </c>
      <c r="O200" s="186"/>
      <c r="P200" s="187">
        <v>12</v>
      </c>
      <c r="Q200" s="187">
        <v>7</v>
      </c>
      <c r="R200" s="188">
        <v>24</v>
      </c>
      <c r="S200" s="188">
        <v>10</v>
      </c>
      <c r="T200" s="185"/>
      <c r="U200" s="185"/>
      <c r="V200" s="189">
        <v>0</v>
      </c>
      <c r="W200" s="190">
        <v>0</v>
      </c>
      <c r="X200" s="191"/>
      <c r="Y200" s="186"/>
      <c r="Z200" s="192"/>
      <c r="AA200" s="97">
        <v>0.58333333333333337</v>
      </c>
      <c r="AB200" s="193">
        <v>0</v>
      </c>
      <c r="AC200" s="123"/>
      <c r="AD200" s="4"/>
      <c r="AE200" s="4" t="str">
        <f>"   " &amp; TEXT(AB200,"#0.00%") &amp; " "</f>
        <v xml:space="preserve">   0.00% </v>
      </c>
      <c r="AF200" s="4"/>
      <c r="AG200" s="4"/>
      <c r="AH200" s="4"/>
      <c r="AI200" s="4"/>
      <c r="AJ200" s="4" t="str">
        <f>"   " &amp; "배포" &amp; " " &amp; IF(M200="","",TEXT(M200,"M/D-")) &amp; IF(N200="","",TEXT(N200,"M/D")) &amp; " "</f>
        <v xml:space="preserve">   배포 7/18-8/21 </v>
      </c>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row>
    <row r="201" spans="1:98" outlineLevel="1">
      <c r="A201" s="116"/>
      <c r="B201" s="116"/>
      <c r="C201" s="116">
        <v>2</v>
      </c>
      <c r="D201" s="3" t="s">
        <v>1147</v>
      </c>
      <c r="E201" s="216"/>
      <c r="F201" s="217" t="s">
        <v>1160</v>
      </c>
      <c r="G201" s="184"/>
      <c r="H201" s="184"/>
      <c r="I201" s="184"/>
      <c r="J201" s="184"/>
      <c r="K201" s="184"/>
      <c r="L201" s="184"/>
      <c r="M201" s="185">
        <v>43664</v>
      </c>
      <c r="N201" s="185">
        <v>43664</v>
      </c>
      <c r="O201" s="186"/>
      <c r="P201" s="187">
        <v>1</v>
      </c>
      <c r="Q201" s="187">
        <v>1</v>
      </c>
      <c r="R201" s="188">
        <v>1</v>
      </c>
      <c r="S201" s="188">
        <v>1</v>
      </c>
      <c r="T201" s="185"/>
      <c r="U201" s="185"/>
      <c r="V201" s="189"/>
      <c r="W201" s="190">
        <v>0</v>
      </c>
      <c r="X201" s="191">
        <v>1</v>
      </c>
      <c r="Y201" s="186" t="s">
        <v>1294</v>
      </c>
      <c r="Z201" s="192"/>
      <c r="AA201" s="97">
        <v>1</v>
      </c>
      <c r="AB201" s="193">
        <v>0</v>
      </c>
      <c r="AC201" s="123"/>
      <c r="AD201" s="4"/>
      <c r="AE201" s="4" t="str">
        <f>"   " &amp; TEXT(AB201,"#0.00%") &amp; " " &amp; "Thuns for Myanmar" &amp; "(Max,Pralhad)" &amp; " " &amp; IF(M201="","",TEXT(M201,"M/D-")) &amp; IF(N201="","",TEXT(N201,"M/D")) &amp; " "</f>
        <v xml:space="preserve">   0.00% Thuns for Myanmar(Max,Pralhad) 7/18-7/18 </v>
      </c>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row>
    <row r="202" spans="1:98" outlineLevel="1">
      <c r="A202" s="116"/>
      <c r="B202" s="116"/>
      <c r="C202" s="116">
        <v>2</v>
      </c>
      <c r="D202" s="3" t="s">
        <v>1148</v>
      </c>
      <c r="E202" s="184"/>
      <c r="F202" s="217" t="s">
        <v>1161</v>
      </c>
      <c r="G202" s="184"/>
      <c r="H202" s="184"/>
      <c r="I202" s="184"/>
      <c r="J202" s="184"/>
      <c r="K202" s="184"/>
      <c r="L202" s="184"/>
      <c r="M202" s="185">
        <v>43677</v>
      </c>
      <c r="N202" s="185">
        <v>43678</v>
      </c>
      <c r="O202" s="186"/>
      <c r="P202" s="187">
        <v>2</v>
      </c>
      <c r="Q202" s="187">
        <v>1</v>
      </c>
      <c r="R202" s="188">
        <v>2</v>
      </c>
      <c r="S202" s="188">
        <v>1</v>
      </c>
      <c r="T202" s="185"/>
      <c r="U202" s="185"/>
      <c r="V202" s="189"/>
      <c r="W202" s="190">
        <v>0</v>
      </c>
      <c r="X202" s="191">
        <v>1</v>
      </c>
      <c r="Y202" s="186" t="s">
        <v>1294</v>
      </c>
      <c r="Z202" s="192"/>
      <c r="AA202" s="97">
        <v>0.5</v>
      </c>
      <c r="AB202" s="193">
        <v>0</v>
      </c>
      <c r="AC202" s="123"/>
      <c r="AD202" s="4"/>
      <c r="AE202" s="4"/>
      <c r="AF202" s="4"/>
      <c r="AG202" s="4" t="str">
        <f>"  " &amp; TEXT(AB202,"#0.00%") &amp; " " &amp; "Lyhour API for Cambodia deposit" &amp; "(Max,Pralhad)" &amp; " " &amp; IF(M202="","",TEXT(M202,"M/D-")) &amp; IF(N202="","",TEXT(N202,"M/D")) &amp; " "</f>
        <v xml:space="preserve">  0.00% Lyhour API for Cambodia deposit(Max,Pralhad) 7/31-8/1 </v>
      </c>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row>
    <row r="203" spans="1:98" outlineLevel="1">
      <c r="A203" s="116"/>
      <c r="B203" s="116"/>
      <c r="C203" s="116">
        <v>2</v>
      </c>
      <c r="D203" s="3" t="s">
        <v>1149</v>
      </c>
      <c r="E203" s="184"/>
      <c r="F203" s="217" t="s">
        <v>1162</v>
      </c>
      <c r="G203" s="184"/>
      <c r="H203" s="184"/>
      <c r="I203" s="184"/>
      <c r="J203" s="184"/>
      <c r="K203" s="184"/>
      <c r="L203" s="184"/>
      <c r="M203" s="185">
        <v>43683</v>
      </c>
      <c r="N203" s="185">
        <v>43684</v>
      </c>
      <c r="O203" s="186"/>
      <c r="P203" s="187">
        <v>2</v>
      </c>
      <c r="Q203" s="187">
        <v>0</v>
      </c>
      <c r="R203" s="188">
        <v>2</v>
      </c>
      <c r="S203" s="188">
        <v>0</v>
      </c>
      <c r="T203" s="185"/>
      <c r="U203" s="185"/>
      <c r="V203" s="189"/>
      <c r="W203" s="190">
        <v>0</v>
      </c>
      <c r="X203" s="191">
        <v>1</v>
      </c>
      <c r="Y203" s="186" t="s">
        <v>1294</v>
      </c>
      <c r="Z203" s="192"/>
      <c r="AA203" s="97">
        <v>0</v>
      </c>
      <c r="AB203" s="193">
        <v>0</v>
      </c>
      <c r="AC203" s="123"/>
      <c r="AD203" s="4"/>
      <c r="AE203" s="4"/>
      <c r="AF203" s="4"/>
      <c r="AG203" s="4"/>
      <c r="AH203" s="4" t="str">
        <f>" " &amp; TEXT(AB203,"#0.00%") &amp; " " &amp; "Inbound(Online, App) 2nd Phase" &amp; "(Max,Pralhad)" &amp; " " &amp; IF(M203="","",TEXT(M203,"M/D-")) &amp; IF(N203="","",TEXT(N203,"M/D")) &amp; " "</f>
        <v xml:space="preserve"> 0.00% Inbound(Online, App) 2nd Phase(Max,Pralhad) 8/6-8/7 </v>
      </c>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row>
    <row r="204" spans="1:98" outlineLevel="1">
      <c r="A204" s="116"/>
      <c r="B204" s="116"/>
      <c r="C204" s="116">
        <v>2</v>
      </c>
      <c r="D204" s="3" t="s">
        <v>1250</v>
      </c>
      <c r="E204" s="184"/>
      <c r="F204" s="217" t="s">
        <v>1163</v>
      </c>
      <c r="G204" s="184"/>
      <c r="H204" s="184"/>
      <c r="I204" s="184"/>
      <c r="J204" s="184"/>
      <c r="K204" s="184"/>
      <c r="L204" s="184"/>
      <c r="M204" s="185">
        <v>43685</v>
      </c>
      <c r="N204" s="185">
        <v>43685</v>
      </c>
      <c r="O204" s="186"/>
      <c r="P204" s="187">
        <v>1</v>
      </c>
      <c r="Q204" s="187">
        <v>0</v>
      </c>
      <c r="R204" s="188">
        <v>1</v>
      </c>
      <c r="S204" s="188">
        <v>0</v>
      </c>
      <c r="T204" s="185"/>
      <c r="U204" s="185"/>
      <c r="V204" s="189"/>
      <c r="W204" s="190">
        <v>0</v>
      </c>
      <c r="X204" s="191">
        <v>1</v>
      </c>
      <c r="Y204" s="186" t="s">
        <v>1294</v>
      </c>
      <c r="Z204" s="192"/>
      <c r="AA204" s="97">
        <v>0</v>
      </c>
      <c r="AB204" s="193">
        <v>0</v>
      </c>
      <c r="AC204" s="123"/>
      <c r="AD204" s="4"/>
      <c r="AE204" s="4"/>
      <c r="AF204" s="4"/>
      <c r="AG204" s="4"/>
      <c r="AH204" s="4" t="str">
        <f>"   " &amp; TEXT(AB204,"#0.00%") &amp; " " &amp; "Shinhan,IBK-KFTC" &amp; "(Max,Pralhad)" &amp; " " &amp; IF(M204="","",TEXT(M204,"M/D-")) &amp; IF(N204="","",TEXT(N204,"M/D")) &amp; " "</f>
        <v xml:space="preserve">   0.00% Shinhan,IBK-KFTC(Max,Pralhad) 8/8-8/8 </v>
      </c>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row>
    <row r="205" spans="1:98" outlineLevel="1">
      <c r="A205" s="116"/>
      <c r="B205" s="116"/>
      <c r="C205" s="116">
        <v>2</v>
      </c>
      <c r="D205" s="3" t="s">
        <v>1251</v>
      </c>
      <c r="E205" s="184"/>
      <c r="F205" s="217" t="s">
        <v>1164</v>
      </c>
      <c r="G205" s="184"/>
      <c r="H205" s="184"/>
      <c r="I205" s="184"/>
      <c r="J205" s="184"/>
      <c r="K205" s="184"/>
      <c r="L205" s="184"/>
      <c r="M205" s="185">
        <v>43698</v>
      </c>
      <c r="N205" s="185">
        <v>43698</v>
      </c>
      <c r="O205" s="186"/>
      <c r="P205" s="187">
        <v>1</v>
      </c>
      <c r="Q205" s="187">
        <v>0</v>
      </c>
      <c r="R205" s="188">
        <v>1</v>
      </c>
      <c r="S205" s="188">
        <v>0</v>
      </c>
      <c r="T205" s="185"/>
      <c r="U205" s="185"/>
      <c r="V205" s="189"/>
      <c r="W205" s="190">
        <v>0</v>
      </c>
      <c r="X205" s="191">
        <v>1</v>
      </c>
      <c r="Y205" s="186" t="s">
        <v>1294</v>
      </c>
      <c r="Z205" s="192"/>
      <c r="AA205" s="97">
        <v>0</v>
      </c>
      <c r="AB205" s="193">
        <v>0</v>
      </c>
      <c r="AC205" s="123"/>
      <c r="AD205" s="4"/>
      <c r="AE205" s="4"/>
      <c r="AF205" s="4"/>
      <c r="AG205" s="4"/>
      <c r="AH205" s="4"/>
      <c r="AI205" s="4"/>
      <c r="AJ205" s="4" t="str">
        <f>"  " &amp; TEXT(AB205,"#0.00%") &amp; " " &amp; "Agrani bank/Islami bank add to new app" &amp; "(Max,Pralhad)" &amp; " " &amp; IF(M205="","",TEXT(M205,"M/D-")) &amp; IF(N205="","",TEXT(N205,"M/D")) &amp; " "</f>
        <v xml:space="preserve">  0.00% Agrani bank/Islami bank add to new app(Max,Pralhad) 8/21-8/21 </v>
      </c>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row>
    <row r="206" spans="1:98" outlineLevel="1">
      <c r="A206" s="116"/>
      <c r="B206" s="116"/>
      <c r="C206" s="116">
        <v>2</v>
      </c>
      <c r="D206" s="3" t="s">
        <v>1252</v>
      </c>
      <c r="E206" s="184"/>
      <c r="F206" s="217" t="s">
        <v>1165</v>
      </c>
      <c r="G206" s="184"/>
      <c r="H206" s="184"/>
      <c r="I206" s="184"/>
      <c r="J206" s="184"/>
      <c r="K206" s="184"/>
      <c r="L206" s="184"/>
      <c r="M206" s="185"/>
      <c r="N206" s="185"/>
      <c r="O206" s="186"/>
      <c r="P206" s="187">
        <v>0</v>
      </c>
      <c r="Q206" s="187">
        <v>0</v>
      </c>
      <c r="R206" s="188">
        <v>0</v>
      </c>
      <c r="S206" s="188">
        <v>0</v>
      </c>
      <c r="T206" s="185"/>
      <c r="U206" s="185"/>
      <c r="V206" s="189">
        <v>0</v>
      </c>
      <c r="W206" s="190">
        <v>0</v>
      </c>
      <c r="X206" s="191"/>
      <c r="Y206" s="186" t="s">
        <v>1294</v>
      </c>
      <c r="Z206" s="192"/>
      <c r="AA206" s="97">
        <v>0</v>
      </c>
      <c r="AB206" s="193">
        <v>0</v>
      </c>
      <c r="AC206" s="123"/>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row>
    <row r="207" spans="1:98" outlineLevel="1">
      <c r="A207" s="116"/>
      <c r="B207" s="116"/>
      <c r="C207" s="116">
        <v>2</v>
      </c>
      <c r="D207" s="3" t="s">
        <v>1253</v>
      </c>
      <c r="E207" s="184"/>
      <c r="F207" s="217" t="s">
        <v>1166</v>
      </c>
      <c r="G207" s="184"/>
      <c r="H207" s="184"/>
      <c r="I207" s="184"/>
      <c r="J207" s="184"/>
      <c r="K207" s="184"/>
      <c r="L207" s="184"/>
      <c r="M207" s="185">
        <v>43676</v>
      </c>
      <c r="N207" s="185">
        <v>43676</v>
      </c>
      <c r="O207" s="186"/>
      <c r="P207" s="187">
        <v>1</v>
      </c>
      <c r="Q207" s="187">
        <v>1</v>
      </c>
      <c r="R207" s="188">
        <v>1</v>
      </c>
      <c r="S207" s="188">
        <v>1</v>
      </c>
      <c r="T207" s="185"/>
      <c r="U207" s="185"/>
      <c r="V207" s="189"/>
      <c r="W207" s="190">
        <v>0</v>
      </c>
      <c r="X207" s="191">
        <v>1</v>
      </c>
      <c r="Y207" s="186" t="s">
        <v>1294</v>
      </c>
      <c r="Z207" s="192"/>
      <c r="AA207" s="97">
        <v>1</v>
      </c>
      <c r="AB207" s="193">
        <v>0</v>
      </c>
      <c r="AC207" s="123"/>
      <c r="AD207" s="4"/>
      <c r="AE207" s="4"/>
      <c r="AF207" s="4"/>
      <c r="AG207" s="4" t="str">
        <f>" " &amp; TEXT(AB207,"#0.00%") &amp; " " &amp; "Registration logic" &amp; "(Max,Pralhad)" &amp; " " &amp; IF(M207="","",TEXT(M207,"M/D-")) &amp; IF(N207="","",TEXT(N207,"M/D")) &amp; " "</f>
        <v xml:space="preserve"> 0.00% Registration logic(Max,Pralhad) 7/30-7/30 </v>
      </c>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row>
    <row r="208" spans="1:98" outlineLevel="1">
      <c r="A208" s="116"/>
      <c r="B208" s="116"/>
      <c r="C208" s="116">
        <v>2</v>
      </c>
      <c r="D208" s="3" t="s">
        <v>1254</v>
      </c>
      <c r="E208" s="184"/>
      <c r="F208" s="217" t="s">
        <v>1291</v>
      </c>
      <c r="G208" s="184"/>
      <c r="H208" s="184"/>
      <c r="I208" s="184"/>
      <c r="J208" s="184"/>
      <c r="K208" s="184"/>
      <c r="L208" s="184"/>
      <c r="M208" s="185">
        <v>43676</v>
      </c>
      <c r="N208" s="185">
        <v>43676</v>
      </c>
      <c r="O208" s="186"/>
      <c r="P208" s="187">
        <v>1</v>
      </c>
      <c r="Q208" s="187">
        <v>1</v>
      </c>
      <c r="R208" s="188">
        <v>1</v>
      </c>
      <c r="S208" s="188">
        <v>1</v>
      </c>
      <c r="T208" s="185"/>
      <c r="U208" s="185"/>
      <c r="V208" s="189"/>
      <c r="W208" s="190">
        <v>0</v>
      </c>
      <c r="X208" s="191">
        <v>1</v>
      </c>
      <c r="Y208" s="186" t="s">
        <v>1294</v>
      </c>
      <c r="Z208" s="192"/>
      <c r="AA208" s="97">
        <v>1</v>
      </c>
      <c r="AB208" s="193">
        <v>0</v>
      </c>
      <c r="AC208" s="123"/>
      <c r="AD208" s="4"/>
      <c r="AE208" s="4"/>
      <c r="AF208" s="4"/>
      <c r="AG208" s="4" t="str">
        <f>" " &amp; TEXT(AB208,"#0.00%") &amp; " " &amp; "Calculate in first screen" &amp; "(Max,Pralhad)" &amp; " " &amp; IF(M208="","",TEXT(M208,"M/D-")) &amp; IF(N208="","",TEXT(N208,"M/D")) &amp; " "</f>
        <v xml:space="preserve"> 0.00% Calculate in first screen(Max,Pralhad) 7/30-7/30 </v>
      </c>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row>
    <row r="209" spans="1:98" outlineLevel="1">
      <c r="A209" s="116"/>
      <c r="B209" s="116"/>
      <c r="C209" s="116">
        <v>2</v>
      </c>
      <c r="D209" s="3" t="s">
        <v>1255</v>
      </c>
      <c r="E209" s="184"/>
      <c r="F209" s="217" t="s">
        <v>1167</v>
      </c>
      <c r="G209" s="184"/>
      <c r="H209" s="184"/>
      <c r="I209" s="184"/>
      <c r="J209" s="184"/>
      <c r="K209" s="184"/>
      <c r="L209" s="184"/>
      <c r="M209" s="185">
        <v>43676</v>
      </c>
      <c r="N209" s="185">
        <v>43676</v>
      </c>
      <c r="O209" s="186"/>
      <c r="P209" s="187">
        <v>1</v>
      </c>
      <c r="Q209" s="187">
        <v>1</v>
      </c>
      <c r="R209" s="188">
        <v>1</v>
      </c>
      <c r="S209" s="188">
        <v>1</v>
      </c>
      <c r="T209" s="185"/>
      <c r="U209" s="185"/>
      <c r="V209" s="189"/>
      <c r="W209" s="190">
        <v>0</v>
      </c>
      <c r="X209" s="191">
        <v>1</v>
      </c>
      <c r="Y209" s="186" t="s">
        <v>1294</v>
      </c>
      <c r="Z209" s="192"/>
      <c r="AA209" s="97">
        <v>1</v>
      </c>
      <c r="AB209" s="193">
        <v>0</v>
      </c>
      <c r="AC209" s="123"/>
      <c r="AD209" s="4"/>
      <c r="AE209" s="4"/>
      <c r="AF209" s="4"/>
      <c r="AG209" s="4" t="str">
        <f>" " &amp; TEXT(AB209,"#0.00%") &amp; " " &amp; "Dynamic receiver setup" &amp; "(Max,Pralhad)" &amp; " " &amp; IF(M209="","",TEXT(M209,"M/D-")) &amp; IF(N209="","",TEXT(N209,"M/D")) &amp; " "</f>
        <v xml:space="preserve"> 0.00% Dynamic receiver setup(Max,Pralhad) 7/30-7/30 </v>
      </c>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row>
    <row r="210" spans="1:98" outlineLevel="1">
      <c r="A210" s="116"/>
      <c r="B210" s="116"/>
      <c r="C210" s="116">
        <v>2</v>
      </c>
      <c r="D210" s="3" t="s">
        <v>1256</v>
      </c>
      <c r="E210" s="184"/>
      <c r="F210" s="217" t="s">
        <v>1168</v>
      </c>
      <c r="G210" s="184"/>
      <c r="H210" s="184"/>
      <c r="I210" s="184"/>
      <c r="J210" s="184"/>
      <c r="K210" s="184"/>
      <c r="L210" s="184"/>
      <c r="M210" s="185">
        <v>43676</v>
      </c>
      <c r="N210" s="185">
        <v>43676</v>
      </c>
      <c r="O210" s="186"/>
      <c r="P210" s="187">
        <v>1</v>
      </c>
      <c r="Q210" s="187">
        <v>1</v>
      </c>
      <c r="R210" s="188">
        <v>1</v>
      </c>
      <c r="S210" s="188">
        <v>1</v>
      </c>
      <c r="T210" s="185"/>
      <c r="U210" s="185"/>
      <c r="V210" s="189"/>
      <c r="W210" s="190">
        <v>0</v>
      </c>
      <c r="X210" s="191">
        <v>1</v>
      </c>
      <c r="Y210" s="186" t="s">
        <v>1294</v>
      </c>
      <c r="Z210" s="192"/>
      <c r="AA210" s="97">
        <v>1</v>
      </c>
      <c r="AB210" s="193">
        <v>0</v>
      </c>
      <c r="AC210" s="123"/>
      <c r="AD210" s="4"/>
      <c r="AE210" s="4"/>
      <c r="AF210" s="4"/>
      <c r="AG210" s="4" t="str">
        <f>" " &amp; TEXT(AB210,"#0.00%") &amp; " " &amp; "Send Txn process same as web" &amp; "(Max,Pralhad)" &amp; " " &amp; IF(M210="","",TEXT(M210,"M/D-")) &amp; IF(N210="","",TEXT(N210,"M/D")) &amp; " "</f>
        <v xml:space="preserve"> 0.00% Send Txn process same as web(Max,Pralhad) 7/30-7/30 </v>
      </c>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row>
    <row r="211" spans="1:98" outlineLevel="1">
      <c r="A211" s="116"/>
      <c r="B211" s="116"/>
      <c r="C211" s="116">
        <v>2</v>
      </c>
      <c r="D211" s="3" t="s">
        <v>1257</v>
      </c>
      <c r="E211" s="184"/>
      <c r="F211" s="217" t="s">
        <v>1169</v>
      </c>
      <c r="G211" s="184"/>
      <c r="H211" s="184"/>
      <c r="I211" s="184"/>
      <c r="J211" s="184"/>
      <c r="K211" s="184"/>
      <c r="L211" s="184"/>
      <c r="M211" s="185">
        <v>43676</v>
      </c>
      <c r="N211" s="185">
        <v>43676</v>
      </c>
      <c r="O211" s="186"/>
      <c r="P211" s="187">
        <v>1</v>
      </c>
      <c r="Q211" s="187">
        <v>1</v>
      </c>
      <c r="R211" s="188">
        <v>1</v>
      </c>
      <c r="S211" s="188">
        <v>1</v>
      </c>
      <c r="T211" s="185"/>
      <c r="U211" s="185"/>
      <c r="V211" s="189"/>
      <c r="W211" s="190">
        <v>0</v>
      </c>
      <c r="X211" s="191">
        <v>1</v>
      </c>
      <c r="Y211" s="186" t="s">
        <v>1294</v>
      </c>
      <c r="Z211" s="192"/>
      <c r="AA211" s="97">
        <v>1</v>
      </c>
      <c r="AB211" s="193">
        <v>0</v>
      </c>
      <c r="AC211" s="123"/>
      <c r="AD211" s="4"/>
      <c r="AE211" s="4"/>
      <c r="AF211" s="4"/>
      <c r="AG211" s="4" t="str">
        <f>" " &amp; TEXT(AB211,"#0.00%") &amp; " " &amp; "Resend method not to check anything" &amp; "(Max,Pralhad)" &amp; " " &amp; IF(M211="","",TEXT(M211,"M/D-")) &amp; IF(N211="","",TEXT(N211,"M/D")) &amp; " "</f>
        <v xml:space="preserve"> 0.00% Resend method not to check anything(Max,Pralhad) 7/30-7/30 </v>
      </c>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row>
    <row r="212" spans="1:98" outlineLevel="1">
      <c r="A212" s="116"/>
      <c r="B212" s="116"/>
      <c r="C212" s="116">
        <v>2</v>
      </c>
      <c r="D212" s="3" t="s">
        <v>1258</v>
      </c>
      <c r="E212" s="184"/>
      <c r="F212" s="217" t="s">
        <v>1170</v>
      </c>
      <c r="G212" s="184"/>
      <c r="H212" s="184"/>
      <c r="I212" s="184"/>
      <c r="J212" s="184"/>
      <c r="K212" s="184"/>
      <c r="L212" s="184"/>
      <c r="M212" s="185"/>
      <c r="N212" s="185"/>
      <c r="O212" s="186"/>
      <c r="P212" s="187">
        <v>0</v>
      </c>
      <c r="Q212" s="187">
        <v>0</v>
      </c>
      <c r="R212" s="188"/>
      <c r="S212" s="188"/>
      <c r="T212" s="185"/>
      <c r="U212" s="185"/>
      <c r="V212" s="189">
        <v>0</v>
      </c>
      <c r="W212" s="190"/>
      <c r="X212" s="191"/>
      <c r="Y212" s="186" t="s">
        <v>1293</v>
      </c>
      <c r="Z212" s="192"/>
      <c r="AA212" s="97">
        <v>0</v>
      </c>
      <c r="AB212" s="193">
        <v>0</v>
      </c>
      <c r="AC212" s="123"/>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row>
    <row r="213" spans="1:98" outlineLevel="1">
      <c r="A213" s="116"/>
      <c r="B213" s="116"/>
      <c r="C213" s="116">
        <v>2</v>
      </c>
      <c r="D213" s="3" t="s">
        <v>1259</v>
      </c>
      <c r="E213" s="184"/>
      <c r="F213" s="217" t="s">
        <v>1171</v>
      </c>
      <c r="G213" s="184"/>
      <c r="H213" s="184"/>
      <c r="I213" s="184"/>
      <c r="J213" s="184"/>
      <c r="K213" s="184"/>
      <c r="L213" s="184"/>
      <c r="M213" s="185"/>
      <c r="N213" s="185"/>
      <c r="O213" s="186"/>
      <c r="P213" s="187">
        <v>0</v>
      </c>
      <c r="Q213" s="187">
        <v>0</v>
      </c>
      <c r="R213" s="188"/>
      <c r="S213" s="188"/>
      <c r="T213" s="185"/>
      <c r="U213" s="185"/>
      <c r="V213" s="189">
        <v>0</v>
      </c>
      <c r="W213" s="190"/>
      <c r="X213" s="191"/>
      <c r="Y213" s="186" t="s">
        <v>1294</v>
      </c>
      <c r="Z213" s="192"/>
      <c r="AA213" s="97">
        <v>0</v>
      </c>
      <c r="AB213" s="193">
        <v>0</v>
      </c>
      <c r="AC213" s="123"/>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row>
    <row r="214" spans="1:98" outlineLevel="1">
      <c r="A214" s="116"/>
      <c r="B214" s="116"/>
      <c r="C214" s="116">
        <v>2</v>
      </c>
      <c r="D214" s="3" t="s">
        <v>1351</v>
      </c>
      <c r="E214" s="184"/>
      <c r="F214" s="184" t="s">
        <v>1298</v>
      </c>
      <c r="G214" s="184"/>
      <c r="H214" s="184"/>
      <c r="I214" s="184"/>
      <c r="J214" s="184"/>
      <c r="K214" s="184"/>
      <c r="L214" s="184"/>
      <c r="M214" s="185"/>
      <c r="N214" s="185"/>
      <c r="O214" s="186"/>
      <c r="P214" s="187">
        <v>0</v>
      </c>
      <c r="Q214" s="187">
        <v>0</v>
      </c>
      <c r="R214" s="188"/>
      <c r="S214" s="188"/>
      <c r="T214" s="185"/>
      <c r="U214" s="185"/>
      <c r="V214" s="189">
        <v>0</v>
      </c>
      <c r="W214" s="190"/>
      <c r="X214" s="191"/>
      <c r="Y214" s="186"/>
      <c r="Z214" s="192"/>
      <c r="AA214" s="97">
        <v>0</v>
      </c>
      <c r="AB214" s="193">
        <v>0</v>
      </c>
      <c r="AC214" s="182"/>
      <c r="AD214" s="182"/>
      <c r="AE214" s="182"/>
      <c r="AF214" s="182"/>
      <c r="AG214" s="182"/>
      <c r="AH214" s="182"/>
      <c r="AI214" s="182"/>
      <c r="AJ214" s="182"/>
      <c r="AK214" s="182"/>
      <c r="AL214" s="182"/>
      <c r="AM214" s="182"/>
      <c r="AN214" s="182"/>
      <c r="AO214" s="182"/>
      <c r="AP214" s="182"/>
      <c r="AQ214" s="182"/>
      <c r="AR214" s="182"/>
      <c r="AS214" s="182"/>
      <c r="AT214" s="182"/>
      <c r="AU214" s="182"/>
      <c r="AV214" s="182"/>
      <c r="AW214" s="182"/>
      <c r="AX214" s="182"/>
      <c r="AY214" s="182"/>
      <c r="AZ214" s="182"/>
      <c r="BA214" s="182"/>
      <c r="BB214" s="182"/>
      <c r="BC214" s="182"/>
      <c r="BD214" s="182"/>
      <c r="BE214" s="182"/>
      <c r="BF214" s="182"/>
      <c r="BG214" s="182"/>
      <c r="BH214" s="182"/>
      <c r="BI214" s="182"/>
      <c r="BJ214" s="182"/>
      <c r="BK214" s="182"/>
      <c r="BL214" s="182"/>
      <c r="BM214" s="182"/>
      <c r="BN214" s="182"/>
      <c r="BO214" s="182"/>
      <c r="BP214" s="182"/>
      <c r="BQ214" s="182"/>
      <c r="BR214" s="182"/>
      <c r="BS214" s="182"/>
      <c r="BT214" s="182"/>
      <c r="BU214" s="182"/>
      <c r="BV214" s="182"/>
      <c r="BW214" s="182"/>
      <c r="BX214" s="182"/>
      <c r="BY214" s="182"/>
      <c r="BZ214" s="182"/>
      <c r="CA214" s="182"/>
      <c r="CB214" s="182"/>
      <c r="CC214" s="182"/>
      <c r="CD214" s="182"/>
      <c r="CE214" s="182"/>
      <c r="CF214" s="182"/>
      <c r="CG214" s="182"/>
      <c r="CH214" s="182"/>
      <c r="CI214" s="182"/>
      <c r="CJ214" s="182"/>
      <c r="CK214" s="182"/>
      <c r="CL214" s="182"/>
      <c r="CM214" s="182"/>
      <c r="CN214" s="182"/>
      <c r="CO214" s="182"/>
      <c r="CP214" s="182"/>
      <c r="CQ214" s="182"/>
      <c r="CR214" s="182"/>
      <c r="CS214" s="182"/>
      <c r="CT214" s="182"/>
    </row>
    <row r="215" spans="1:98" outlineLevel="1">
      <c r="A215" s="116"/>
      <c r="B215" s="116"/>
      <c r="C215" s="116">
        <v>2</v>
      </c>
      <c r="D215" s="3" t="s">
        <v>1352</v>
      </c>
      <c r="E215" s="184"/>
      <c r="F215" s="184" t="s">
        <v>1299</v>
      </c>
      <c r="G215" s="184"/>
      <c r="H215" s="184"/>
      <c r="I215" s="184"/>
      <c r="J215" s="184"/>
      <c r="K215" s="184"/>
      <c r="L215" s="184"/>
      <c r="M215" s="185"/>
      <c r="N215" s="185"/>
      <c r="O215" s="186"/>
      <c r="P215" s="187">
        <v>0</v>
      </c>
      <c r="Q215" s="187">
        <v>0</v>
      </c>
      <c r="R215" s="188"/>
      <c r="S215" s="188"/>
      <c r="T215" s="185"/>
      <c r="U215" s="185"/>
      <c r="V215" s="189">
        <v>0</v>
      </c>
      <c r="W215" s="190"/>
      <c r="X215" s="191"/>
      <c r="Y215" s="186"/>
      <c r="Z215" s="192"/>
      <c r="AA215" s="97">
        <v>0</v>
      </c>
      <c r="AB215" s="193">
        <v>0</v>
      </c>
    </row>
    <row r="216" spans="1:98" outlineLevel="1">
      <c r="A216" s="116"/>
      <c r="B216" s="116"/>
      <c r="C216" s="116">
        <v>2</v>
      </c>
      <c r="D216" s="3" t="s">
        <v>1353</v>
      </c>
      <c r="E216" s="184"/>
      <c r="F216" s="184" t="s">
        <v>1307</v>
      </c>
      <c r="G216" s="184"/>
      <c r="H216" s="184"/>
      <c r="I216" s="184"/>
      <c r="J216" s="184"/>
      <c r="K216" s="184"/>
      <c r="L216" s="184"/>
      <c r="M216" s="185"/>
      <c r="N216" s="185"/>
      <c r="O216" s="186"/>
      <c r="P216" s="187">
        <v>0</v>
      </c>
      <c r="Q216" s="187">
        <v>0</v>
      </c>
      <c r="R216" s="188"/>
      <c r="S216" s="188"/>
      <c r="T216" s="185"/>
      <c r="U216" s="185"/>
      <c r="V216" s="189">
        <v>0</v>
      </c>
      <c r="W216" s="190"/>
      <c r="X216" s="191"/>
      <c r="Y216" s="186"/>
      <c r="Z216" s="192"/>
      <c r="AA216" s="97">
        <v>0</v>
      </c>
      <c r="AB216" s="193">
        <v>0</v>
      </c>
    </row>
    <row r="217" spans="1:98" outlineLevel="1">
      <c r="A217" s="116"/>
      <c r="B217" s="116"/>
      <c r="C217" s="116">
        <v>2</v>
      </c>
      <c r="D217" s="3" t="s">
        <v>1354</v>
      </c>
      <c r="E217" s="184"/>
      <c r="F217" s="184" t="s">
        <v>1301</v>
      </c>
      <c r="G217" s="184"/>
      <c r="H217" s="184"/>
      <c r="I217" s="184"/>
      <c r="J217" s="184"/>
      <c r="K217" s="184"/>
      <c r="L217" s="184"/>
      <c r="M217" s="185"/>
      <c r="N217" s="185"/>
      <c r="O217" s="186"/>
      <c r="P217" s="187">
        <v>0</v>
      </c>
      <c r="Q217" s="187">
        <v>0</v>
      </c>
      <c r="R217" s="188"/>
      <c r="S217" s="188"/>
      <c r="T217" s="185"/>
      <c r="U217" s="185"/>
      <c r="V217" s="189">
        <v>0</v>
      </c>
      <c r="W217" s="190"/>
      <c r="X217" s="191"/>
      <c r="Y217" s="186"/>
      <c r="Z217" s="192"/>
      <c r="AA217" s="97">
        <v>0</v>
      </c>
      <c r="AB217" s="193">
        <v>0</v>
      </c>
    </row>
    <row r="218" spans="1:98">
      <c r="A218" s="194"/>
      <c r="B218" s="194"/>
      <c r="C218" s="194">
        <v>0</v>
      </c>
      <c r="D218" s="195"/>
      <c r="E218" s="196"/>
      <c r="F218" s="196"/>
      <c r="G218" s="196"/>
      <c r="H218" s="196"/>
      <c r="I218" s="196"/>
      <c r="J218" s="196"/>
      <c r="K218" s="196"/>
      <c r="L218" s="196"/>
      <c r="M218" s="197"/>
      <c r="N218" s="197"/>
      <c r="O218" s="198"/>
      <c r="P218" s="199"/>
      <c r="Q218" s="199"/>
      <c r="R218" s="200"/>
      <c r="S218" s="200"/>
      <c r="T218" s="197"/>
      <c r="U218" s="197"/>
      <c r="V218" s="201"/>
      <c r="W218" s="202"/>
      <c r="X218" s="203"/>
      <c r="Y218" s="198"/>
      <c r="Z218" s="204"/>
      <c r="AA218" s="205"/>
      <c r="AB218" s="206"/>
    </row>
    <row r="219" spans="1:98">
      <c r="A219" s="194"/>
      <c r="B219" s="194"/>
      <c r="C219" s="194"/>
      <c r="D219" s="195"/>
      <c r="E219" s="196"/>
      <c r="F219" s="196"/>
      <c r="G219" s="196"/>
      <c r="H219" s="196"/>
      <c r="I219" s="196"/>
      <c r="J219" s="196"/>
      <c r="K219" s="196"/>
      <c r="L219" s="196"/>
      <c r="M219" s="197"/>
      <c r="N219" s="197"/>
      <c r="O219" s="198"/>
      <c r="P219" s="199"/>
      <c r="Q219" s="199"/>
      <c r="R219" s="200"/>
      <c r="S219" s="200"/>
      <c r="T219" s="197"/>
      <c r="U219" s="197"/>
      <c r="V219" s="201"/>
      <c r="W219" s="202"/>
      <c r="X219" s="203"/>
      <c r="Y219" s="198"/>
      <c r="Z219" s="204"/>
      <c r="AA219" s="205"/>
      <c r="AB219" s="206"/>
    </row>
    <row r="220" spans="1:98">
      <c r="A220" s="116"/>
      <c r="B220" s="116"/>
      <c r="C220" s="116"/>
      <c r="D220" s="3"/>
      <c r="E220" s="184"/>
      <c r="F220" s="184"/>
      <c r="G220" s="184"/>
      <c r="H220" s="184"/>
      <c r="I220" s="184"/>
      <c r="J220" s="184"/>
      <c r="K220" s="184"/>
      <c r="L220" s="184"/>
      <c r="M220" s="185"/>
      <c r="N220" s="185"/>
      <c r="O220" s="186"/>
      <c r="P220" s="187"/>
      <c r="Q220" s="187"/>
      <c r="R220" s="188"/>
      <c r="S220" s="188"/>
      <c r="T220" s="185"/>
      <c r="U220" s="185"/>
      <c r="V220" s="189"/>
      <c r="W220" s="190"/>
      <c r="X220" s="191"/>
      <c r="Y220" s="186"/>
      <c r="Z220" s="192"/>
      <c r="AA220" s="97"/>
      <c r="AB220" s="193"/>
    </row>
    <row r="221" spans="1:98">
      <c r="A221" s="116"/>
      <c r="B221" s="116"/>
      <c r="C221" s="116"/>
      <c r="D221" s="3"/>
      <c r="E221" s="184"/>
      <c r="F221" s="184"/>
      <c r="G221" s="184"/>
      <c r="H221" s="184"/>
      <c r="I221" s="184"/>
      <c r="J221" s="184"/>
      <c r="K221" s="184"/>
      <c r="L221" s="184"/>
      <c r="M221" s="185"/>
      <c r="N221" s="185"/>
      <c r="O221" s="186"/>
      <c r="P221" s="187"/>
      <c r="Q221" s="187"/>
      <c r="R221" s="188"/>
      <c r="S221" s="188"/>
      <c r="T221" s="185"/>
      <c r="U221" s="185"/>
      <c r="V221" s="189"/>
      <c r="W221" s="190"/>
      <c r="X221" s="191"/>
      <c r="Y221" s="186"/>
      <c r="Z221" s="192"/>
      <c r="AA221" s="97"/>
      <c r="AB221" s="193"/>
    </row>
    <row r="222" spans="1:98">
      <c r="A222" s="116"/>
      <c r="B222" s="116"/>
      <c r="C222" s="116"/>
      <c r="D222" s="3"/>
      <c r="E222" s="184"/>
      <c r="F222" s="184"/>
      <c r="G222" s="184"/>
      <c r="H222" s="184"/>
      <c r="I222" s="184"/>
      <c r="J222" s="184"/>
      <c r="K222" s="184"/>
      <c r="L222" s="184"/>
      <c r="M222" s="185"/>
      <c r="N222" s="185"/>
      <c r="O222" s="186"/>
      <c r="P222" s="187"/>
      <c r="Q222" s="187"/>
      <c r="R222" s="188"/>
      <c r="S222" s="188"/>
      <c r="T222" s="185"/>
      <c r="U222" s="185"/>
      <c r="V222" s="189"/>
      <c r="W222" s="190"/>
      <c r="X222" s="191"/>
      <c r="Y222" s="186"/>
      <c r="Z222" s="192"/>
      <c r="AA222" s="97"/>
      <c r="AB222" s="193"/>
    </row>
    <row r="223" spans="1:98">
      <c r="A223" s="116"/>
      <c r="B223" s="116"/>
      <c r="C223" s="116"/>
      <c r="D223" s="3"/>
      <c r="E223" s="184"/>
      <c r="F223" s="184"/>
      <c r="G223" s="184"/>
      <c r="H223" s="184"/>
      <c r="I223" s="184"/>
      <c r="J223" s="184"/>
      <c r="K223" s="184"/>
      <c r="L223" s="184"/>
      <c r="M223" s="185"/>
      <c r="N223" s="185"/>
      <c r="O223" s="186"/>
      <c r="P223" s="187"/>
      <c r="Q223" s="187"/>
      <c r="R223" s="188"/>
      <c r="S223" s="188"/>
      <c r="T223" s="185"/>
      <c r="U223" s="185"/>
      <c r="V223" s="189"/>
      <c r="W223" s="190"/>
      <c r="X223" s="191"/>
      <c r="Y223" s="186"/>
      <c r="Z223" s="192"/>
      <c r="AA223" s="97"/>
      <c r="AB223" s="193"/>
    </row>
    <row r="224" spans="1:98">
      <c r="A224" s="116"/>
      <c r="B224" s="116"/>
      <c r="C224" s="116"/>
      <c r="D224" s="3"/>
      <c r="E224" s="184"/>
      <c r="F224" s="184"/>
      <c r="G224" s="184"/>
      <c r="H224" s="184"/>
      <c r="I224" s="184"/>
      <c r="J224" s="184"/>
      <c r="K224" s="184"/>
      <c r="L224" s="184"/>
      <c r="M224" s="185"/>
      <c r="N224" s="185"/>
      <c r="O224" s="186"/>
      <c r="P224" s="187"/>
      <c r="Q224" s="187"/>
      <c r="R224" s="188"/>
      <c r="S224" s="188"/>
      <c r="T224" s="185"/>
      <c r="U224" s="185"/>
      <c r="V224" s="189"/>
      <c r="W224" s="190"/>
      <c r="X224" s="191"/>
      <c r="Y224" s="186"/>
      <c r="Z224" s="192"/>
      <c r="AA224" s="97"/>
      <c r="AB224" s="193"/>
    </row>
    <row r="225" spans="1:28">
      <c r="A225" s="116"/>
      <c r="B225" s="116"/>
      <c r="C225" s="116"/>
      <c r="D225" s="3"/>
      <c r="E225" s="184"/>
      <c r="F225" s="184"/>
      <c r="G225" s="184"/>
      <c r="H225" s="184"/>
      <c r="I225" s="184"/>
      <c r="J225" s="184"/>
      <c r="K225" s="184"/>
      <c r="L225" s="184"/>
      <c r="M225" s="185"/>
      <c r="N225" s="185"/>
      <c r="O225" s="186"/>
      <c r="P225" s="187"/>
      <c r="Q225" s="187"/>
      <c r="R225" s="188"/>
      <c r="S225" s="188"/>
      <c r="T225" s="185"/>
      <c r="U225" s="185"/>
      <c r="V225" s="189"/>
      <c r="W225" s="190"/>
      <c r="X225" s="191"/>
      <c r="Y225" s="186"/>
      <c r="Z225" s="192"/>
      <c r="AA225" s="97"/>
      <c r="AB225" s="193"/>
    </row>
    <row r="226" spans="1:28">
      <c r="A226" s="116"/>
      <c r="B226" s="116"/>
      <c r="C226" s="116"/>
      <c r="D226" s="3"/>
      <c r="E226" s="184"/>
      <c r="F226" s="184"/>
      <c r="G226" s="184"/>
      <c r="H226" s="184"/>
      <c r="I226" s="184"/>
      <c r="J226" s="184"/>
      <c r="K226" s="184"/>
      <c r="L226" s="184"/>
      <c r="M226" s="185"/>
      <c r="N226" s="185"/>
      <c r="O226" s="186"/>
      <c r="P226" s="187"/>
      <c r="Q226" s="187"/>
      <c r="R226" s="188"/>
      <c r="S226" s="188"/>
      <c r="T226" s="185"/>
      <c r="U226" s="185"/>
      <c r="V226" s="189"/>
      <c r="W226" s="190"/>
      <c r="X226" s="191"/>
      <c r="Y226" s="186"/>
      <c r="Z226" s="192"/>
      <c r="AA226" s="97"/>
      <c r="AB226" s="193"/>
    </row>
    <row r="227" spans="1:28">
      <c r="A227" s="116"/>
      <c r="B227" s="116"/>
      <c r="C227" s="116"/>
      <c r="D227" s="3"/>
      <c r="E227" s="184"/>
      <c r="F227" s="184"/>
      <c r="G227" s="184"/>
      <c r="H227" s="184"/>
      <c r="I227" s="184"/>
      <c r="J227" s="184"/>
      <c r="K227" s="184"/>
      <c r="L227" s="184"/>
      <c r="M227" s="185"/>
      <c r="N227" s="185"/>
      <c r="O227" s="186"/>
      <c r="P227" s="187"/>
      <c r="Q227" s="187"/>
      <c r="R227" s="188"/>
      <c r="S227" s="188"/>
      <c r="T227" s="185"/>
      <c r="U227" s="185"/>
      <c r="V227" s="189"/>
      <c r="W227" s="190"/>
      <c r="X227" s="191"/>
      <c r="Y227" s="186"/>
      <c r="Z227" s="192"/>
      <c r="AA227" s="97"/>
      <c r="AB227" s="193"/>
    </row>
    <row r="228" spans="1:28">
      <c r="A228" s="116"/>
      <c r="B228" s="116"/>
      <c r="C228" s="116"/>
      <c r="D228" s="3"/>
      <c r="E228" s="184"/>
      <c r="F228" s="184"/>
      <c r="G228" s="184"/>
      <c r="H228" s="184"/>
      <c r="I228" s="184"/>
      <c r="J228" s="184"/>
      <c r="K228" s="184"/>
      <c r="L228" s="184"/>
      <c r="M228" s="185"/>
      <c r="N228" s="185"/>
      <c r="O228" s="186"/>
      <c r="P228" s="187"/>
      <c r="Q228" s="187"/>
      <c r="R228" s="188"/>
      <c r="S228" s="188"/>
      <c r="T228" s="185"/>
      <c r="U228" s="185"/>
      <c r="V228" s="189"/>
      <c r="W228" s="190"/>
      <c r="X228" s="191"/>
      <c r="Y228" s="186"/>
      <c r="Z228" s="192"/>
      <c r="AA228" s="97"/>
      <c r="AB228" s="193"/>
    </row>
    <row r="229" spans="1:28">
      <c r="A229" s="116"/>
      <c r="B229" s="116"/>
      <c r="C229" s="116"/>
      <c r="D229" s="3"/>
      <c r="E229" s="184"/>
      <c r="F229" s="184"/>
      <c r="G229" s="184"/>
      <c r="H229" s="184"/>
      <c r="I229" s="184"/>
      <c r="J229" s="184"/>
      <c r="K229" s="184"/>
      <c r="L229" s="184"/>
      <c r="M229" s="185"/>
      <c r="N229" s="185"/>
      <c r="O229" s="186"/>
      <c r="P229" s="187"/>
      <c r="Q229" s="187"/>
      <c r="R229" s="188"/>
      <c r="S229" s="188"/>
      <c r="T229" s="185"/>
      <c r="U229" s="185"/>
      <c r="V229" s="189"/>
      <c r="W229" s="190"/>
      <c r="X229" s="191"/>
      <c r="Y229" s="186"/>
      <c r="Z229" s="192"/>
      <c r="AA229" s="97"/>
      <c r="AB229" s="193"/>
    </row>
    <row r="230" spans="1:28">
      <c r="A230" s="116"/>
      <c r="B230" s="116"/>
      <c r="C230" s="116"/>
      <c r="D230" s="3"/>
      <c r="E230" s="184"/>
      <c r="F230" s="184"/>
      <c r="G230" s="184"/>
      <c r="H230" s="184"/>
      <c r="I230" s="184"/>
      <c r="J230" s="184"/>
      <c r="K230" s="184"/>
      <c r="L230" s="184"/>
      <c r="M230" s="185"/>
      <c r="N230" s="185"/>
      <c r="O230" s="186"/>
      <c r="P230" s="187"/>
      <c r="Q230" s="187"/>
      <c r="R230" s="188"/>
      <c r="S230" s="188"/>
      <c r="T230" s="185"/>
      <c r="U230" s="185"/>
      <c r="V230" s="189"/>
      <c r="W230" s="190"/>
      <c r="X230" s="191"/>
      <c r="Y230" s="186"/>
      <c r="Z230" s="192"/>
      <c r="AA230" s="97"/>
      <c r="AB230" s="193"/>
    </row>
    <row r="231" spans="1:28">
      <c r="A231" s="116"/>
      <c r="B231" s="116"/>
      <c r="C231" s="116"/>
      <c r="D231" s="3"/>
      <c r="E231" s="184"/>
      <c r="F231" s="184"/>
      <c r="G231" s="184"/>
      <c r="H231" s="184"/>
      <c r="I231" s="184"/>
      <c r="J231" s="184"/>
      <c r="K231" s="184"/>
      <c r="L231" s="184"/>
      <c r="M231" s="185"/>
      <c r="N231" s="185"/>
      <c r="O231" s="186"/>
      <c r="P231" s="187"/>
      <c r="Q231" s="187"/>
      <c r="R231" s="188"/>
      <c r="S231" s="188"/>
      <c r="T231" s="185"/>
      <c r="U231" s="185"/>
      <c r="V231" s="189"/>
      <c r="W231" s="190"/>
      <c r="X231" s="191"/>
      <c r="Y231" s="186"/>
      <c r="Z231" s="192"/>
      <c r="AA231" s="97"/>
      <c r="AB231" s="193"/>
    </row>
    <row r="232" spans="1:28">
      <c r="A232" s="116"/>
      <c r="B232" s="116"/>
      <c r="C232" s="116"/>
      <c r="D232" s="3"/>
      <c r="E232" s="184"/>
      <c r="F232" s="184"/>
      <c r="G232" s="184"/>
      <c r="H232" s="184"/>
      <c r="I232" s="184"/>
      <c r="J232" s="184"/>
      <c r="K232" s="184"/>
      <c r="L232" s="184"/>
      <c r="M232" s="185"/>
      <c r="N232" s="185"/>
      <c r="O232" s="186"/>
      <c r="P232" s="187"/>
      <c r="Q232" s="187"/>
      <c r="R232" s="188"/>
      <c r="S232" s="188"/>
      <c r="T232" s="185"/>
      <c r="U232" s="185"/>
      <c r="V232" s="189"/>
      <c r="W232" s="190"/>
      <c r="X232" s="191"/>
      <c r="Y232" s="186"/>
      <c r="Z232" s="192"/>
      <c r="AA232" s="97"/>
      <c r="AB232" s="193"/>
    </row>
    <row r="233" spans="1:28">
      <c r="A233" s="116"/>
      <c r="B233" s="116"/>
      <c r="C233" s="116"/>
      <c r="D233" s="3"/>
      <c r="E233" s="184"/>
      <c r="F233" s="184"/>
      <c r="G233" s="184"/>
      <c r="H233" s="184"/>
      <c r="I233" s="184"/>
      <c r="J233" s="184"/>
      <c r="K233" s="184"/>
      <c r="L233" s="184"/>
      <c r="M233" s="185"/>
      <c r="N233" s="185"/>
      <c r="O233" s="186"/>
      <c r="P233" s="187"/>
      <c r="Q233" s="187"/>
      <c r="R233" s="188"/>
      <c r="S233" s="188"/>
      <c r="T233" s="185"/>
      <c r="U233" s="185"/>
      <c r="V233" s="189"/>
      <c r="W233" s="190"/>
      <c r="X233" s="191"/>
      <c r="Y233" s="186"/>
      <c r="Z233" s="192"/>
      <c r="AA233" s="97"/>
      <c r="AB233" s="193"/>
    </row>
    <row r="234" spans="1:28">
      <c r="A234" s="116"/>
      <c r="B234" s="116"/>
      <c r="C234" s="116"/>
      <c r="D234" s="3"/>
      <c r="E234" s="184"/>
      <c r="F234" s="184"/>
      <c r="G234" s="184"/>
      <c r="H234" s="184"/>
      <c r="I234" s="184"/>
      <c r="J234" s="184"/>
      <c r="K234" s="184"/>
      <c r="L234" s="184"/>
      <c r="M234" s="185"/>
      <c r="N234" s="185"/>
      <c r="O234" s="186"/>
      <c r="P234" s="187"/>
      <c r="Q234" s="187"/>
      <c r="R234" s="188"/>
      <c r="S234" s="188"/>
      <c r="T234" s="185"/>
      <c r="U234" s="185"/>
      <c r="V234" s="189"/>
      <c r="W234" s="190"/>
      <c r="X234" s="191"/>
      <c r="Y234" s="186"/>
      <c r="Z234" s="192"/>
      <c r="AA234" s="97"/>
      <c r="AB234" s="193"/>
    </row>
    <row r="235" spans="1:28">
      <c r="A235" s="116"/>
      <c r="B235" s="116"/>
      <c r="C235" s="116"/>
      <c r="D235" s="3"/>
      <c r="E235" s="184"/>
      <c r="F235" s="184"/>
      <c r="G235" s="184"/>
      <c r="H235" s="184"/>
      <c r="I235" s="184"/>
      <c r="J235" s="184"/>
      <c r="K235" s="184"/>
      <c r="L235" s="184"/>
      <c r="M235" s="185"/>
      <c r="N235" s="185"/>
      <c r="O235" s="186"/>
      <c r="P235" s="187"/>
      <c r="Q235" s="187"/>
      <c r="R235" s="188"/>
      <c r="S235" s="188"/>
      <c r="T235" s="185"/>
      <c r="U235" s="185"/>
      <c r="V235" s="189"/>
      <c r="W235" s="190"/>
      <c r="X235" s="191"/>
      <c r="Y235" s="186"/>
      <c r="Z235" s="192"/>
      <c r="AA235" s="97"/>
      <c r="AB235" s="193"/>
    </row>
    <row r="236" spans="1:28">
      <c r="A236" s="116"/>
      <c r="B236" s="116"/>
      <c r="C236" s="116"/>
      <c r="D236" s="3"/>
      <c r="E236" s="184"/>
      <c r="F236" s="184"/>
      <c r="G236" s="184"/>
      <c r="H236" s="184"/>
      <c r="I236" s="184"/>
      <c r="J236" s="184"/>
      <c r="K236" s="184"/>
      <c r="L236" s="184"/>
      <c r="M236" s="185"/>
      <c r="N236" s="185"/>
      <c r="O236" s="186"/>
      <c r="P236" s="187"/>
      <c r="Q236" s="187"/>
      <c r="R236" s="188"/>
      <c r="S236" s="188"/>
      <c r="T236" s="185"/>
      <c r="U236" s="185"/>
      <c r="V236" s="189"/>
      <c r="W236" s="190"/>
      <c r="X236" s="191"/>
      <c r="Y236" s="186"/>
      <c r="Z236" s="192"/>
      <c r="AA236" s="97"/>
      <c r="AB236" s="193"/>
    </row>
    <row r="237" spans="1:28">
      <c r="A237" s="116"/>
      <c r="B237" s="116"/>
      <c r="C237" s="116"/>
      <c r="D237" s="3"/>
      <c r="E237" s="184"/>
      <c r="F237" s="184"/>
      <c r="G237" s="184"/>
      <c r="H237" s="184"/>
      <c r="I237" s="184"/>
      <c r="J237" s="184"/>
      <c r="K237" s="184"/>
      <c r="L237" s="184"/>
      <c r="M237" s="185"/>
      <c r="N237" s="185"/>
      <c r="O237" s="186"/>
      <c r="P237" s="187"/>
      <c r="Q237" s="187"/>
      <c r="R237" s="188"/>
      <c r="S237" s="188"/>
      <c r="T237" s="185"/>
      <c r="U237" s="185"/>
      <c r="V237" s="189"/>
      <c r="W237" s="190"/>
      <c r="X237" s="191"/>
      <c r="Y237" s="186"/>
      <c r="Z237" s="192"/>
      <c r="AA237" s="97"/>
      <c r="AB237" s="193"/>
    </row>
    <row r="238" spans="1:28">
      <c r="A238" s="116"/>
      <c r="B238" s="116"/>
      <c r="C238" s="116"/>
      <c r="D238" s="3"/>
      <c r="E238" s="184"/>
      <c r="F238" s="184"/>
      <c r="G238" s="184"/>
      <c r="H238" s="184"/>
      <c r="I238" s="184"/>
      <c r="J238" s="184"/>
      <c r="K238" s="184"/>
      <c r="L238" s="184"/>
      <c r="M238" s="185"/>
      <c r="N238" s="185"/>
      <c r="O238" s="186"/>
      <c r="P238" s="187"/>
      <c r="Q238" s="187"/>
      <c r="R238" s="188"/>
      <c r="S238" s="188"/>
      <c r="T238" s="185"/>
      <c r="U238" s="185"/>
      <c r="V238" s="189"/>
      <c r="W238" s="190"/>
      <c r="X238" s="191"/>
      <c r="Y238" s="186"/>
      <c r="Z238" s="192"/>
      <c r="AA238" s="97"/>
      <c r="AB238" s="193"/>
    </row>
    <row r="239" spans="1:28">
      <c r="A239" s="116"/>
      <c r="B239" s="116"/>
      <c r="C239" s="116"/>
      <c r="D239" s="3"/>
      <c r="E239" s="184"/>
      <c r="F239" s="184"/>
      <c r="G239" s="184"/>
      <c r="H239" s="184"/>
      <c r="I239" s="184"/>
      <c r="J239" s="184"/>
      <c r="K239" s="184"/>
      <c r="L239" s="184"/>
      <c r="M239" s="185"/>
      <c r="N239" s="185"/>
      <c r="O239" s="186"/>
      <c r="P239" s="187"/>
      <c r="Q239" s="187"/>
      <c r="R239" s="188"/>
      <c r="S239" s="188"/>
      <c r="T239" s="185"/>
      <c r="U239" s="185"/>
      <c r="V239" s="189"/>
      <c r="W239" s="190"/>
      <c r="X239" s="191"/>
      <c r="Y239" s="186"/>
      <c r="Z239" s="192"/>
      <c r="AA239" s="97"/>
      <c r="AB239" s="193"/>
    </row>
    <row r="240" spans="1:28">
      <c r="A240" s="116"/>
      <c r="B240" s="116"/>
      <c r="C240" s="116"/>
      <c r="D240" s="3"/>
      <c r="E240" s="184"/>
      <c r="F240" s="184"/>
      <c r="G240" s="184"/>
      <c r="H240" s="184"/>
      <c r="I240" s="184"/>
      <c r="J240" s="184"/>
      <c r="K240" s="184"/>
      <c r="L240" s="184"/>
      <c r="M240" s="185"/>
      <c r="N240" s="185"/>
      <c r="O240" s="186"/>
      <c r="P240" s="187"/>
      <c r="Q240" s="187"/>
      <c r="R240" s="188"/>
      <c r="S240" s="188"/>
      <c r="T240" s="185"/>
      <c r="U240" s="185"/>
      <c r="V240" s="189"/>
      <c r="W240" s="190"/>
      <c r="X240" s="191"/>
      <c r="Y240" s="186"/>
      <c r="Z240" s="192"/>
      <c r="AA240" s="97"/>
      <c r="AB240" s="193"/>
    </row>
    <row r="241" spans="1:28">
      <c r="A241" s="116"/>
      <c r="B241" s="116"/>
      <c r="C241" s="116"/>
      <c r="D241" s="3"/>
      <c r="E241" s="184"/>
      <c r="F241" s="184"/>
      <c r="G241" s="184"/>
      <c r="H241" s="184"/>
      <c r="I241" s="184"/>
      <c r="J241" s="184"/>
      <c r="K241" s="184"/>
      <c r="L241" s="184"/>
      <c r="M241" s="185"/>
      <c r="N241" s="185"/>
      <c r="O241" s="186"/>
      <c r="P241" s="187"/>
      <c r="Q241" s="187"/>
      <c r="R241" s="188"/>
      <c r="S241" s="188"/>
      <c r="T241" s="185"/>
      <c r="U241" s="185"/>
      <c r="V241" s="189"/>
      <c r="W241" s="190"/>
      <c r="X241" s="191"/>
      <c r="Y241" s="186"/>
      <c r="Z241" s="192"/>
      <c r="AA241" s="97"/>
      <c r="AB241" s="193"/>
    </row>
    <row r="242" spans="1:28">
      <c r="A242" s="116"/>
      <c r="B242" s="116"/>
      <c r="C242" s="116"/>
      <c r="D242" s="3"/>
      <c r="E242" s="184"/>
      <c r="F242" s="184"/>
      <c r="G242" s="184"/>
      <c r="H242" s="184"/>
      <c r="I242" s="184"/>
      <c r="J242" s="184"/>
      <c r="K242" s="184"/>
      <c r="L242" s="184"/>
      <c r="M242" s="185"/>
      <c r="N242" s="185"/>
      <c r="O242" s="186"/>
      <c r="P242" s="187"/>
      <c r="Q242" s="187"/>
      <c r="R242" s="188"/>
      <c r="S242" s="188"/>
      <c r="T242" s="185"/>
      <c r="U242" s="185"/>
      <c r="V242" s="189"/>
      <c r="W242" s="190"/>
      <c r="X242" s="191"/>
      <c r="Y242" s="186"/>
      <c r="Z242" s="192"/>
      <c r="AA242" s="97"/>
      <c r="AB242" s="193"/>
    </row>
    <row r="243" spans="1:28">
      <c r="A243" s="116"/>
      <c r="B243" s="116"/>
      <c r="C243" s="116"/>
      <c r="D243" s="3"/>
      <c r="E243" s="184"/>
      <c r="F243" s="184"/>
      <c r="G243" s="184"/>
      <c r="H243" s="184"/>
      <c r="I243" s="184"/>
      <c r="J243" s="184"/>
      <c r="K243" s="184"/>
      <c r="L243" s="184"/>
      <c r="M243" s="185"/>
      <c r="N243" s="185"/>
      <c r="O243" s="186"/>
      <c r="P243" s="187"/>
      <c r="Q243" s="187"/>
      <c r="R243" s="188"/>
      <c r="S243" s="188"/>
      <c r="T243" s="185"/>
      <c r="U243" s="185"/>
      <c r="V243" s="189"/>
      <c r="W243" s="190"/>
      <c r="X243" s="191"/>
      <c r="Y243" s="186"/>
      <c r="Z243" s="192"/>
      <c r="AA243" s="97"/>
      <c r="AB243" s="193"/>
    </row>
    <row r="244" spans="1:28">
      <c r="A244" s="116"/>
      <c r="B244" s="116"/>
      <c r="C244" s="116"/>
      <c r="D244" s="3"/>
      <c r="E244" s="184"/>
      <c r="F244" s="184"/>
      <c r="G244" s="184"/>
      <c r="H244" s="184"/>
      <c r="I244" s="184"/>
      <c r="J244" s="184"/>
      <c r="K244" s="184"/>
      <c r="L244" s="184"/>
      <c r="M244" s="185"/>
      <c r="N244" s="185"/>
      <c r="O244" s="186"/>
      <c r="P244" s="187"/>
      <c r="Q244" s="187"/>
      <c r="R244" s="188"/>
      <c r="S244" s="188"/>
      <c r="T244" s="185"/>
      <c r="U244" s="185"/>
      <c r="V244" s="189"/>
      <c r="W244" s="190"/>
      <c r="X244" s="191"/>
      <c r="Y244" s="186"/>
      <c r="Z244" s="192"/>
      <c r="AA244" s="97"/>
      <c r="AB244" s="193"/>
    </row>
    <row r="245" spans="1:28">
      <c r="A245" s="116"/>
      <c r="B245" s="116"/>
      <c r="C245" s="116"/>
      <c r="D245" s="3"/>
      <c r="E245" s="184"/>
      <c r="F245" s="184"/>
      <c r="G245" s="184"/>
      <c r="H245" s="184"/>
      <c r="I245" s="184"/>
      <c r="J245" s="184"/>
      <c r="K245" s="184"/>
      <c r="L245" s="184"/>
      <c r="M245" s="185"/>
      <c r="N245" s="185"/>
      <c r="O245" s="186"/>
      <c r="P245" s="187"/>
      <c r="Q245" s="187"/>
      <c r="R245" s="188"/>
      <c r="S245" s="188"/>
      <c r="T245" s="185"/>
      <c r="U245" s="185"/>
      <c r="V245" s="189"/>
      <c r="W245" s="190"/>
      <c r="X245" s="191"/>
      <c r="Y245" s="186"/>
      <c r="Z245" s="192"/>
      <c r="AA245" s="97"/>
      <c r="AB245" s="193"/>
    </row>
    <row r="246" spans="1:28">
      <c r="A246" s="116"/>
      <c r="B246" s="116"/>
      <c r="C246" s="116"/>
      <c r="D246" s="3"/>
      <c r="E246" s="184"/>
      <c r="F246" s="184"/>
      <c r="G246" s="184"/>
      <c r="H246" s="184"/>
      <c r="I246" s="184"/>
      <c r="J246" s="184"/>
      <c r="K246" s="184"/>
      <c r="L246" s="184"/>
      <c r="M246" s="185"/>
      <c r="N246" s="185"/>
      <c r="O246" s="186"/>
      <c r="P246" s="187"/>
      <c r="Q246" s="187"/>
      <c r="R246" s="188"/>
      <c r="S246" s="188"/>
      <c r="T246" s="185"/>
      <c r="U246" s="185"/>
      <c r="V246" s="189"/>
      <c r="W246" s="190"/>
      <c r="X246" s="191"/>
      <c r="Y246" s="186"/>
      <c r="Z246" s="192"/>
      <c r="AA246" s="97"/>
      <c r="AB246" s="193"/>
    </row>
    <row r="247" spans="1:28">
      <c r="A247" s="116"/>
      <c r="B247" s="116"/>
      <c r="C247" s="116"/>
      <c r="D247" s="3"/>
      <c r="E247" s="184"/>
      <c r="F247" s="184"/>
      <c r="G247" s="184"/>
      <c r="H247" s="184"/>
      <c r="I247" s="184"/>
      <c r="J247" s="184"/>
      <c r="K247" s="184"/>
      <c r="L247" s="184"/>
      <c r="M247" s="185"/>
      <c r="N247" s="185"/>
      <c r="O247" s="186"/>
      <c r="P247" s="187"/>
      <c r="Q247" s="187"/>
      <c r="R247" s="188"/>
      <c r="S247" s="188"/>
      <c r="T247" s="185"/>
      <c r="U247" s="185"/>
      <c r="V247" s="189"/>
      <c r="W247" s="190"/>
      <c r="X247" s="191"/>
      <c r="Y247" s="186"/>
      <c r="Z247" s="192"/>
      <c r="AA247" s="97"/>
      <c r="AB247" s="193"/>
    </row>
    <row r="248" spans="1:28">
      <c r="A248" s="116"/>
      <c r="B248" s="116"/>
      <c r="C248" s="116"/>
      <c r="D248" s="3"/>
      <c r="E248" s="184"/>
      <c r="F248" s="184"/>
      <c r="G248" s="184"/>
      <c r="H248" s="184"/>
      <c r="I248" s="184"/>
      <c r="J248" s="184"/>
      <c r="K248" s="184"/>
      <c r="L248" s="184"/>
      <c r="M248" s="185"/>
      <c r="N248" s="185"/>
      <c r="O248" s="186"/>
      <c r="P248" s="187"/>
      <c r="Q248" s="187"/>
      <c r="R248" s="188"/>
      <c r="S248" s="188"/>
      <c r="T248" s="185"/>
      <c r="U248" s="185"/>
      <c r="V248" s="189"/>
      <c r="W248" s="190"/>
      <c r="X248" s="191"/>
      <c r="Y248" s="186"/>
      <c r="Z248" s="192"/>
      <c r="AA248" s="97"/>
      <c r="AB248" s="193"/>
    </row>
    <row r="249" spans="1:28">
      <c r="A249" s="169"/>
      <c r="B249" s="169"/>
      <c r="C249" s="169"/>
      <c r="D249" s="170"/>
      <c r="E249" s="171"/>
      <c r="F249" s="171"/>
      <c r="G249" s="171"/>
      <c r="H249" s="171"/>
      <c r="I249" s="171"/>
      <c r="J249" s="171"/>
      <c r="K249" s="171"/>
      <c r="L249" s="171"/>
      <c r="M249" s="172"/>
      <c r="N249" s="172"/>
      <c r="O249" s="173"/>
      <c r="P249" s="174"/>
      <c r="Q249" s="174"/>
      <c r="R249" s="175"/>
      <c r="S249" s="175"/>
      <c r="T249" s="172"/>
      <c r="U249" s="172"/>
      <c r="V249" s="176"/>
      <c r="W249" s="177"/>
      <c r="X249" s="178"/>
      <c r="Y249" s="173"/>
      <c r="Z249" s="179"/>
      <c r="AA249" s="180"/>
      <c r="AB249" s="181"/>
    </row>
  </sheetData>
  <sheetProtection formatCells="0" formatColumns="0" formatRows="0" insertColumns="0" insertRows="0" insertHyperlinks="0" deleteColumns="0" deleteRows="0" sort="0" autoFilter="0" pivotTables="0"/>
  <dataConsolidate/>
  <mergeCells count="27">
    <mergeCell ref="AC3:AF3"/>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217">
    <cfRule type="expression" dxfId="2" priority="2">
      <formula>($B5="G")</formula>
    </cfRule>
    <cfRule type="expression" dxfId="1" priority="1">
      <formula>($AB5=1)</formula>
    </cfRule>
  </conditionalFormatting>
  <hyperlinks>
    <hyperlink ref="AC1:CA1" r:id="rId1" display="http://xlworks.net/" xr:uid="{0143E295-FF6F-4203-9232-FEBBA62CE7B6}"/>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1140</v>
      </c>
      <c r="B1" s="18"/>
      <c r="C1" s="18"/>
      <c r="D1" s="18"/>
      <c r="E1" s="18"/>
      <c r="F1" s="18"/>
      <c r="G1" s="18"/>
      <c r="H1" s="18"/>
      <c r="I1" s="18"/>
      <c r="J1" s="18"/>
      <c r="K1" s="18"/>
      <c r="L1" s="243"/>
      <c r="M1" s="244"/>
      <c r="N1" s="244"/>
      <c r="O1" s="19"/>
      <c r="P1" s="19"/>
      <c r="Q1" s="19"/>
    </row>
    <row r="2" spans="1:17" s="23" customFormat="1" ht="13.8">
      <c r="A2" s="21" t="s">
        <v>1074</v>
      </c>
      <c r="B2" s="22"/>
    </row>
    <row r="3" spans="1:17" s="23" customFormat="1" ht="13.8">
      <c r="A3" s="21" t="s">
        <v>1075</v>
      </c>
      <c r="B3" s="22"/>
    </row>
    <row r="4" spans="1:17" s="23" customFormat="1" ht="13.8">
      <c r="A4" s="245"/>
      <c r="B4" s="245"/>
      <c r="C4" s="24"/>
      <c r="D4" s="25"/>
      <c r="E4" s="25"/>
      <c r="F4" s="25"/>
    </row>
    <row r="5" spans="1:17" s="31" customFormat="1" ht="13.8">
      <c r="A5" s="26"/>
      <c r="B5" s="27"/>
      <c r="C5" s="28"/>
      <c r="D5" s="29"/>
      <c r="E5" s="30"/>
      <c r="F5" s="30"/>
      <c r="G5" s="30"/>
    </row>
    <row r="6" spans="1:17" s="31" customFormat="1" ht="13.8">
      <c r="A6" s="32" t="s">
        <v>1076</v>
      </c>
      <c r="B6" s="33">
        <v>154</v>
      </c>
      <c r="C6" s="31" t="s">
        <v>1</v>
      </c>
      <c r="D6" s="242" t="s">
        <v>1077</v>
      </c>
      <c r="E6" s="242"/>
      <c r="F6" s="242"/>
      <c r="G6" s="24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1078</v>
      </c>
      <c r="B9" s="33">
        <v>134</v>
      </c>
      <c r="C9" s="31" t="s">
        <v>1</v>
      </c>
      <c r="D9" s="241" t="s">
        <v>1079</v>
      </c>
      <c r="E9" s="241"/>
      <c r="F9" s="241"/>
      <c r="G9" s="24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1073</v>
      </c>
      <c r="B12" s="33">
        <v>37</v>
      </c>
      <c r="C12" s="31" t="s">
        <v>1</v>
      </c>
      <c r="D12" s="241" t="s">
        <v>1122</v>
      </c>
      <c r="E12" s="241"/>
      <c r="F12" s="241"/>
      <c r="G12" s="24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1073</v>
      </c>
      <c r="B15" s="33"/>
      <c r="C15" s="31" t="s">
        <v>1</v>
      </c>
      <c r="D15" s="241" t="s">
        <v>1080</v>
      </c>
      <c r="E15" s="241"/>
      <c r="F15" s="241"/>
      <c r="G15" s="24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1081</v>
      </c>
      <c r="B18" s="55">
        <v>0.87012987012987009</v>
      </c>
      <c r="D18" s="241" t="s">
        <v>1082</v>
      </c>
      <c r="E18" s="241"/>
      <c r="F18" s="241"/>
      <c r="G18" s="24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1083</v>
      </c>
      <c r="B21" s="55">
        <v>0.24025974025974026</v>
      </c>
      <c r="D21" s="241" t="s">
        <v>1084</v>
      </c>
      <c r="E21" s="241"/>
      <c r="F21" s="241"/>
      <c r="G21" s="24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1085</v>
      </c>
      <c r="B24" s="65">
        <f>ACTUAL_RATE-PLANNED_RATE</f>
        <v>-0.6298701298701298</v>
      </c>
      <c r="D24" s="242" t="s">
        <v>1086</v>
      </c>
      <c r="E24" s="242"/>
      <c r="F24" s="242"/>
      <c r="G24" s="24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2" customWidth="1"/>
    <col min="2" max="3" width="10.59765625" style="212" bestFit="1" customWidth="1"/>
    <col min="4" max="4" width="9.09765625" style="212"/>
    <col min="5" max="5" width="10.59765625" style="212" customWidth="1"/>
    <col min="6" max="16384" width="9.09765625" style="212"/>
  </cols>
  <sheetData>
    <row r="1" spans="2:6" ht="36.9" customHeight="1">
      <c r="B1" s="78" t="s">
        <v>1116</v>
      </c>
    </row>
    <row r="2" spans="2:6">
      <c r="B2" s="212" t="s">
        <v>1117</v>
      </c>
    </row>
    <row r="3" spans="2:6">
      <c r="B3" s="212" t="s">
        <v>1118</v>
      </c>
    </row>
    <row r="6" spans="2:6" ht="28.8">
      <c r="B6" s="79" t="s">
        <v>1087</v>
      </c>
      <c r="C6" s="183" t="s">
        <v>1088</v>
      </c>
      <c r="D6" s="183" t="s">
        <v>2</v>
      </c>
      <c r="E6" s="183" t="s">
        <v>1119</v>
      </c>
      <c r="F6" s="211" t="s">
        <v>1120</v>
      </c>
    </row>
    <row r="7" spans="2:6">
      <c r="B7" s="207">
        <v>43375</v>
      </c>
      <c r="C7" s="207">
        <v>43379</v>
      </c>
      <c r="D7" s="208">
        <v>1</v>
      </c>
      <c r="E7" s="208">
        <f>D7</f>
        <v>1</v>
      </c>
      <c r="F7" s="213">
        <f t="shared" ref="F7:F28" si="0">E7/$D$29</f>
        <v>3.8022813688212928E-3</v>
      </c>
    </row>
    <row r="8" spans="2:6">
      <c r="B8" s="209">
        <v>43380</v>
      </c>
      <c r="C8" s="209">
        <v>43386</v>
      </c>
      <c r="D8" s="210">
        <v>10</v>
      </c>
      <c r="E8" s="210">
        <f>E7+D8</f>
        <v>11</v>
      </c>
      <c r="F8" s="214">
        <f t="shared" si="0"/>
        <v>4.1825095057034217E-2</v>
      </c>
    </row>
    <row r="9" spans="2:6">
      <c r="B9" s="209">
        <v>43387</v>
      </c>
      <c r="C9" s="209">
        <v>43393</v>
      </c>
      <c r="D9" s="210">
        <v>15</v>
      </c>
      <c r="E9" s="210">
        <f t="shared" ref="E9:E28" si="1">E8+D9</f>
        <v>26</v>
      </c>
      <c r="F9" s="214">
        <f t="shared" si="0"/>
        <v>9.8859315589353611E-2</v>
      </c>
    </row>
    <row r="10" spans="2:6">
      <c r="B10" s="209">
        <v>43394</v>
      </c>
      <c r="C10" s="209">
        <v>43400</v>
      </c>
      <c r="D10" s="210">
        <v>10</v>
      </c>
      <c r="E10" s="210">
        <f t="shared" si="1"/>
        <v>36</v>
      </c>
      <c r="F10" s="214">
        <f t="shared" si="0"/>
        <v>0.13688212927756654</v>
      </c>
    </row>
    <row r="11" spans="2:6">
      <c r="B11" s="209">
        <v>43401</v>
      </c>
      <c r="C11" s="209">
        <v>43407</v>
      </c>
      <c r="D11" s="210">
        <v>9</v>
      </c>
      <c r="E11" s="210">
        <f t="shared" si="1"/>
        <v>45</v>
      </c>
      <c r="F11" s="214">
        <f t="shared" si="0"/>
        <v>0.17110266159695817</v>
      </c>
    </row>
    <row r="12" spans="2:6">
      <c r="B12" s="209">
        <v>43408</v>
      </c>
      <c r="C12" s="209">
        <v>43414</v>
      </c>
      <c r="D12" s="210">
        <v>12</v>
      </c>
      <c r="E12" s="210">
        <f t="shared" si="1"/>
        <v>57</v>
      </c>
      <c r="F12" s="214">
        <f t="shared" si="0"/>
        <v>0.21673003802281368</v>
      </c>
    </row>
    <row r="13" spans="2:6">
      <c r="B13" s="209">
        <v>43415</v>
      </c>
      <c r="C13" s="209">
        <v>43421</v>
      </c>
      <c r="D13" s="210">
        <v>14</v>
      </c>
      <c r="E13" s="210">
        <f t="shared" si="1"/>
        <v>71</v>
      </c>
      <c r="F13" s="214">
        <f t="shared" si="0"/>
        <v>0.26996197718631176</v>
      </c>
    </row>
    <row r="14" spans="2:6">
      <c r="B14" s="209">
        <v>43422</v>
      </c>
      <c r="C14" s="209">
        <v>43428</v>
      </c>
      <c r="D14" s="210">
        <v>7</v>
      </c>
      <c r="E14" s="210">
        <f t="shared" si="1"/>
        <v>78</v>
      </c>
      <c r="F14" s="214">
        <f t="shared" si="0"/>
        <v>0.29657794676806082</v>
      </c>
    </row>
    <row r="15" spans="2:6">
      <c r="B15" s="209">
        <v>43429</v>
      </c>
      <c r="C15" s="209">
        <v>43435</v>
      </c>
      <c r="D15" s="210">
        <v>8</v>
      </c>
      <c r="E15" s="210">
        <f t="shared" si="1"/>
        <v>86</v>
      </c>
      <c r="F15" s="214">
        <f t="shared" si="0"/>
        <v>0.3269961977186312</v>
      </c>
    </row>
    <row r="16" spans="2:6">
      <c r="B16" s="209">
        <v>43436</v>
      </c>
      <c r="C16" s="209">
        <v>43442</v>
      </c>
      <c r="D16" s="210">
        <v>18</v>
      </c>
      <c r="E16" s="210">
        <f t="shared" si="1"/>
        <v>104</v>
      </c>
      <c r="F16" s="214">
        <f t="shared" si="0"/>
        <v>0.39543726235741444</v>
      </c>
    </row>
    <row r="17" spans="2:6">
      <c r="B17" s="209">
        <v>43443</v>
      </c>
      <c r="C17" s="209">
        <v>43449</v>
      </c>
      <c r="D17" s="210">
        <v>18</v>
      </c>
      <c r="E17" s="210">
        <f t="shared" si="1"/>
        <v>122</v>
      </c>
      <c r="F17" s="214">
        <f t="shared" si="0"/>
        <v>0.46387832699619774</v>
      </c>
    </row>
    <row r="18" spans="2:6">
      <c r="B18" s="209">
        <v>43450</v>
      </c>
      <c r="C18" s="209">
        <v>43456</v>
      </c>
      <c r="D18" s="210">
        <v>17</v>
      </c>
      <c r="E18" s="210">
        <f t="shared" si="1"/>
        <v>139</v>
      </c>
      <c r="F18" s="214">
        <f t="shared" si="0"/>
        <v>0.52851711026615966</v>
      </c>
    </row>
    <row r="19" spans="2:6">
      <c r="B19" s="209">
        <v>43457</v>
      </c>
      <c r="C19" s="209">
        <v>43463</v>
      </c>
      <c r="D19" s="210">
        <v>12</v>
      </c>
      <c r="E19" s="210">
        <f t="shared" si="1"/>
        <v>151</v>
      </c>
      <c r="F19" s="214">
        <f t="shared" si="0"/>
        <v>0.57414448669201523</v>
      </c>
    </row>
    <row r="20" spans="2:6">
      <c r="B20" s="209">
        <v>43464</v>
      </c>
      <c r="C20" s="209">
        <v>43470</v>
      </c>
      <c r="D20" s="210">
        <v>14</v>
      </c>
      <c r="E20" s="210">
        <f t="shared" si="1"/>
        <v>165</v>
      </c>
      <c r="F20" s="214">
        <f t="shared" si="0"/>
        <v>0.62737642585551334</v>
      </c>
    </row>
    <row r="21" spans="2:6">
      <c r="B21" s="209">
        <v>43471</v>
      </c>
      <c r="C21" s="209">
        <v>43477</v>
      </c>
      <c r="D21" s="210">
        <v>21</v>
      </c>
      <c r="E21" s="210">
        <f t="shared" si="1"/>
        <v>186</v>
      </c>
      <c r="F21" s="214">
        <f t="shared" si="0"/>
        <v>0.70722433460076051</v>
      </c>
    </row>
    <row r="22" spans="2:6">
      <c r="B22" s="209">
        <v>43478</v>
      </c>
      <c r="C22" s="209">
        <v>43484</v>
      </c>
      <c r="D22" s="210">
        <v>25</v>
      </c>
      <c r="E22" s="210">
        <f t="shared" si="1"/>
        <v>211</v>
      </c>
      <c r="F22" s="214">
        <f t="shared" si="0"/>
        <v>0.80228136882129275</v>
      </c>
    </row>
    <row r="23" spans="2:6">
      <c r="B23" s="209">
        <v>43485</v>
      </c>
      <c r="C23" s="209">
        <v>43491</v>
      </c>
      <c r="D23" s="210">
        <v>25</v>
      </c>
      <c r="E23" s="210">
        <f t="shared" si="1"/>
        <v>236</v>
      </c>
      <c r="F23" s="214">
        <f t="shared" si="0"/>
        <v>0.89733840304182511</v>
      </c>
    </row>
    <row r="24" spans="2:6">
      <c r="B24" s="209">
        <v>43492</v>
      </c>
      <c r="C24" s="209">
        <v>43498</v>
      </c>
      <c r="D24" s="210">
        <v>8</v>
      </c>
      <c r="E24" s="210">
        <f t="shared" si="1"/>
        <v>244</v>
      </c>
      <c r="F24" s="214">
        <f t="shared" si="0"/>
        <v>0.92775665399239549</v>
      </c>
    </row>
    <row r="25" spans="2:6">
      <c r="B25" s="209">
        <v>43499</v>
      </c>
      <c r="C25" s="209">
        <v>43505</v>
      </c>
      <c r="D25" s="210">
        <v>6</v>
      </c>
      <c r="E25" s="210">
        <f t="shared" si="1"/>
        <v>250</v>
      </c>
      <c r="F25" s="214">
        <f t="shared" si="0"/>
        <v>0.95057034220532322</v>
      </c>
    </row>
    <row r="26" spans="2:6">
      <c r="B26" s="209">
        <v>43506</v>
      </c>
      <c r="C26" s="209">
        <v>43512</v>
      </c>
      <c r="D26" s="210">
        <v>4</v>
      </c>
      <c r="E26" s="210">
        <f t="shared" si="1"/>
        <v>254</v>
      </c>
      <c r="F26" s="214">
        <f t="shared" si="0"/>
        <v>0.96577946768060841</v>
      </c>
    </row>
    <row r="27" spans="2:6">
      <c r="B27" s="209">
        <v>43513</v>
      </c>
      <c r="C27" s="209">
        <v>43519</v>
      </c>
      <c r="D27" s="210">
        <v>5</v>
      </c>
      <c r="E27" s="210">
        <f t="shared" si="1"/>
        <v>259</v>
      </c>
      <c r="F27" s="214">
        <f t="shared" si="0"/>
        <v>0.98479087452471481</v>
      </c>
    </row>
    <row r="28" spans="2:6">
      <c r="B28" s="209">
        <v>43520</v>
      </c>
      <c r="C28" s="209">
        <v>43526</v>
      </c>
      <c r="D28" s="210">
        <v>4</v>
      </c>
      <c r="E28" s="210">
        <f t="shared" si="1"/>
        <v>263</v>
      </c>
      <c r="F28" s="214">
        <f t="shared" si="0"/>
        <v>1</v>
      </c>
    </row>
    <row r="29" spans="2:6">
      <c r="C29" s="212" t="s">
        <v>4</v>
      </c>
      <c r="D29" s="212">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1090</v>
      </c>
      <c r="B1" s="17"/>
      <c r="C1" s="17"/>
      <c r="D1" s="17"/>
      <c r="E1" s="17"/>
      <c r="F1" s="17"/>
      <c r="G1" s="17"/>
      <c r="H1" s="17"/>
    </row>
    <row r="2" spans="1:9" s="81" customFormat="1" ht="78.75" customHeight="1">
      <c r="A2" s="246" t="s">
        <v>1091</v>
      </c>
      <c r="B2" s="246"/>
      <c r="C2" s="246"/>
      <c r="D2" s="246"/>
      <c r="E2" s="246"/>
      <c r="F2" s="246"/>
      <c r="G2" s="246"/>
      <c r="H2" s="246"/>
    </row>
    <row r="3" spans="1:9" s="81" customFormat="1" ht="24.75" customHeight="1">
      <c r="A3" s="247" t="s">
        <v>1092</v>
      </c>
      <c r="B3" s="247"/>
      <c r="D3" s="247" t="s">
        <v>1093</v>
      </c>
      <c r="E3" s="247"/>
      <c r="G3" s="247" t="s">
        <v>1094</v>
      </c>
      <c r="H3" s="247"/>
    </row>
    <row r="4" spans="1:9" s="83" customFormat="1" ht="19.5" customHeight="1">
      <c r="A4" s="82" t="s">
        <v>1095</v>
      </c>
      <c r="B4" s="82" t="s">
        <v>1097</v>
      </c>
      <c r="D4" s="82" t="s">
        <v>1096</v>
      </c>
      <c r="E4" s="82" t="s">
        <v>1098</v>
      </c>
      <c r="G4" s="82" t="s">
        <v>1096</v>
      </c>
      <c r="H4" s="82" t="s">
        <v>1097</v>
      </c>
    </row>
    <row r="5" spans="1:9" ht="17.399999999999999">
      <c r="A5" s="118" t="s">
        <v>1047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1048</v>
      </c>
      <c r="B6" s="119">
        <v>43146</v>
      </c>
      <c r="C6" s="86" t="str">
        <f t="shared" si="0"/>
        <v>(목)</v>
      </c>
      <c r="D6" s="84"/>
      <c r="E6" s="85"/>
      <c r="F6" s="86" t="str">
        <f t="shared" si="1"/>
        <v/>
      </c>
      <c r="G6" s="84"/>
      <c r="H6" s="85"/>
      <c r="I6" s="86" t="str">
        <f t="shared" si="2"/>
        <v/>
      </c>
    </row>
    <row r="7" spans="1:9" ht="17.399999999999999">
      <c r="A7" s="118" t="s">
        <v>1049</v>
      </c>
      <c r="B7" s="119">
        <v>43147</v>
      </c>
      <c r="C7" s="86" t="str">
        <f t="shared" si="0"/>
        <v>(금)</v>
      </c>
      <c r="D7" s="84"/>
      <c r="E7" s="85"/>
      <c r="F7" s="86" t="str">
        <f t="shared" si="1"/>
        <v/>
      </c>
      <c r="G7" s="84"/>
      <c r="H7" s="85"/>
      <c r="I7" s="86" t="str">
        <f t="shared" si="2"/>
        <v/>
      </c>
    </row>
    <row r="8" spans="1:9" ht="17.399999999999999">
      <c r="A8" s="118" t="s">
        <v>1050</v>
      </c>
      <c r="B8" s="119">
        <v>43160</v>
      </c>
      <c r="C8" s="86" t="str">
        <f t="shared" si="0"/>
        <v>(목)</v>
      </c>
      <c r="D8" s="84"/>
      <c r="E8" s="85"/>
      <c r="F8" s="86" t="str">
        <f t="shared" si="1"/>
        <v/>
      </c>
      <c r="G8" s="84"/>
      <c r="H8" s="85"/>
      <c r="I8" s="86" t="str">
        <f t="shared" si="2"/>
        <v/>
      </c>
    </row>
    <row r="9" spans="1:9" ht="17.399999999999999">
      <c r="A9" s="118" t="s">
        <v>913</v>
      </c>
      <c r="B9" s="119">
        <v>43227</v>
      </c>
      <c r="C9" s="86" t="str">
        <f t="shared" si="0"/>
        <v>(월)</v>
      </c>
      <c r="D9" s="84"/>
      <c r="E9" s="85"/>
      <c r="F9" s="86" t="str">
        <f t="shared" si="1"/>
        <v/>
      </c>
      <c r="G9" s="84"/>
      <c r="H9" s="85"/>
      <c r="I9" s="86" t="str">
        <f t="shared" si="2"/>
        <v/>
      </c>
    </row>
    <row r="10" spans="1:9" ht="17.399999999999999">
      <c r="A10" s="118" t="s">
        <v>914</v>
      </c>
      <c r="B10" s="119">
        <v>43242</v>
      </c>
      <c r="C10" s="86" t="str">
        <f t="shared" si="0"/>
        <v>(화)</v>
      </c>
      <c r="D10" s="84"/>
      <c r="E10" s="85"/>
      <c r="F10" s="86" t="str">
        <f t="shared" si="1"/>
        <v/>
      </c>
      <c r="G10" s="84"/>
      <c r="H10" s="85"/>
      <c r="I10" s="86" t="str">
        <f t="shared" si="2"/>
        <v/>
      </c>
    </row>
    <row r="11" spans="1:9" ht="17.399999999999999">
      <c r="A11" s="118" t="s">
        <v>915</v>
      </c>
      <c r="B11" s="119">
        <v>43257</v>
      </c>
      <c r="C11" s="86" t="str">
        <f t="shared" si="0"/>
        <v>(수)</v>
      </c>
      <c r="D11" s="84"/>
      <c r="E11" s="85"/>
      <c r="F11" s="86" t="str">
        <f t="shared" si="1"/>
        <v/>
      </c>
      <c r="G11" s="84"/>
      <c r="H11" s="85"/>
      <c r="I11" s="86" t="str">
        <f t="shared" si="2"/>
        <v/>
      </c>
    </row>
    <row r="12" spans="1:9" ht="17.399999999999999">
      <c r="A12" s="118" t="s">
        <v>916</v>
      </c>
      <c r="B12" s="119">
        <v>43327</v>
      </c>
      <c r="C12" s="86" t="str">
        <f t="shared" si="0"/>
        <v>(수)</v>
      </c>
      <c r="D12" s="84"/>
      <c r="E12" s="85"/>
      <c r="F12" s="86" t="str">
        <f t="shared" si="1"/>
        <v/>
      </c>
      <c r="G12" s="84"/>
      <c r="H12" s="85"/>
      <c r="I12" s="86" t="str">
        <f t="shared" si="2"/>
        <v/>
      </c>
    </row>
    <row r="13" spans="1:9" ht="17.399999999999999">
      <c r="A13" s="118" t="s">
        <v>917</v>
      </c>
      <c r="B13" s="119">
        <v>43367</v>
      </c>
      <c r="C13" s="86" t="str">
        <f t="shared" si="0"/>
        <v>(월)</v>
      </c>
      <c r="D13" s="84"/>
      <c r="E13" s="85"/>
      <c r="F13" s="86" t="str">
        <f t="shared" si="1"/>
        <v/>
      </c>
      <c r="G13" s="84"/>
      <c r="H13" s="85"/>
      <c r="I13" s="86" t="str">
        <f t="shared" si="2"/>
        <v/>
      </c>
    </row>
    <row r="14" spans="1:9" ht="17.399999999999999">
      <c r="A14" s="118" t="s">
        <v>918</v>
      </c>
      <c r="B14" s="119">
        <v>43368</v>
      </c>
      <c r="C14" s="86" t="str">
        <f t="shared" si="0"/>
        <v>(화)</v>
      </c>
      <c r="D14" s="84"/>
      <c r="E14" s="85"/>
      <c r="F14" s="86" t="str">
        <f t="shared" si="1"/>
        <v/>
      </c>
      <c r="G14" s="84"/>
      <c r="H14" s="85"/>
      <c r="I14" s="86" t="str">
        <f t="shared" si="2"/>
        <v/>
      </c>
    </row>
    <row r="15" spans="1:9" ht="17.399999999999999">
      <c r="A15" s="118" t="s">
        <v>919</v>
      </c>
      <c r="B15" s="119">
        <v>43369</v>
      </c>
      <c r="C15" s="86" t="str">
        <f t="shared" si="0"/>
        <v>(수)</v>
      </c>
      <c r="D15" s="84"/>
      <c r="E15" s="85"/>
      <c r="F15" s="86" t="str">
        <f t="shared" si="1"/>
        <v/>
      </c>
      <c r="G15" s="84"/>
      <c r="H15" s="85"/>
      <c r="I15" s="86" t="str">
        <f t="shared" si="2"/>
        <v/>
      </c>
    </row>
    <row r="16" spans="1:9" ht="17.399999999999999">
      <c r="A16" s="118" t="s">
        <v>920</v>
      </c>
      <c r="B16" s="119">
        <v>43376</v>
      </c>
      <c r="C16" s="86" t="str">
        <f t="shared" si="0"/>
        <v>(수)</v>
      </c>
      <c r="D16" s="84"/>
      <c r="E16" s="85"/>
      <c r="F16" s="86" t="str">
        <f t="shared" si="1"/>
        <v/>
      </c>
      <c r="G16" s="84"/>
      <c r="H16" s="85"/>
      <c r="I16" s="86" t="str">
        <f t="shared" si="2"/>
        <v/>
      </c>
    </row>
    <row r="17" spans="1:10" ht="17.399999999999999">
      <c r="A17" s="118" t="s">
        <v>921</v>
      </c>
      <c r="B17" s="119">
        <v>43382</v>
      </c>
      <c r="C17" s="86" t="str">
        <f t="shared" si="0"/>
        <v>(화)</v>
      </c>
      <c r="D17" s="84"/>
      <c r="E17" s="85"/>
      <c r="F17" s="86" t="str">
        <f t="shared" si="1"/>
        <v/>
      </c>
      <c r="G17" s="84"/>
      <c r="H17" s="85"/>
      <c r="I17" s="86" t="str">
        <f t="shared" si="2"/>
        <v/>
      </c>
    </row>
    <row r="18" spans="1:10" ht="17.399999999999999">
      <c r="A18" s="118" t="s">
        <v>922</v>
      </c>
      <c r="B18" s="119">
        <v>43459</v>
      </c>
      <c r="C18" s="86" t="str">
        <f t="shared" si="0"/>
        <v>(화)</v>
      </c>
      <c r="D18" s="84"/>
      <c r="E18" s="85"/>
      <c r="F18" s="86" t="str">
        <f t="shared" si="1"/>
        <v/>
      </c>
      <c r="G18" s="84"/>
      <c r="H18" s="85"/>
      <c r="I18" s="86" t="str">
        <f t="shared" si="2"/>
        <v/>
      </c>
    </row>
    <row r="19" spans="1:10" ht="17.399999999999999">
      <c r="A19" s="118" t="s">
        <v>1051</v>
      </c>
      <c r="B19" s="119">
        <v>43466</v>
      </c>
      <c r="C19" s="86" t="str">
        <f t="shared" si="0"/>
        <v>(화)</v>
      </c>
      <c r="D19" s="84"/>
      <c r="E19" s="85"/>
      <c r="F19" s="86" t="str">
        <f t="shared" si="1"/>
        <v/>
      </c>
      <c r="G19" s="84"/>
      <c r="H19" s="85"/>
      <c r="I19" s="86" t="str">
        <f t="shared" si="2"/>
        <v/>
      </c>
      <c r="J19" s="87"/>
    </row>
    <row r="20" spans="1:10" ht="17.399999999999999">
      <c r="A20" s="118" t="s">
        <v>1052</v>
      </c>
      <c r="B20" s="119">
        <v>43500</v>
      </c>
      <c r="C20" s="86" t="str">
        <f t="shared" si="0"/>
        <v>(월)</v>
      </c>
      <c r="D20" s="84"/>
      <c r="E20" s="85"/>
      <c r="F20" s="86" t="str">
        <f t="shared" si="1"/>
        <v/>
      </c>
      <c r="G20" s="84"/>
      <c r="H20" s="85"/>
      <c r="I20" s="86" t="str">
        <f t="shared" si="2"/>
        <v/>
      </c>
      <c r="J20" s="87"/>
    </row>
    <row r="21" spans="1:10" ht="17.399999999999999">
      <c r="A21" s="118" t="s">
        <v>1053</v>
      </c>
      <c r="B21" s="119">
        <v>43501</v>
      </c>
      <c r="C21" s="86" t="str">
        <f t="shared" si="0"/>
        <v>(화)</v>
      </c>
      <c r="D21" s="84"/>
      <c r="E21" s="85"/>
      <c r="F21" s="86" t="str">
        <f t="shared" si="1"/>
        <v/>
      </c>
      <c r="G21" s="84"/>
      <c r="H21" s="85"/>
      <c r="I21" s="86" t="str">
        <f t="shared" si="2"/>
        <v/>
      </c>
    </row>
    <row r="22" spans="1:10" ht="17.399999999999999">
      <c r="A22" s="118" t="s">
        <v>1052</v>
      </c>
      <c r="B22" s="119">
        <v>43502</v>
      </c>
      <c r="C22" s="86" t="str">
        <f t="shared" si="0"/>
        <v>(수)</v>
      </c>
      <c r="D22" s="84"/>
      <c r="E22" s="85"/>
      <c r="F22" s="86" t="str">
        <f t="shared" si="1"/>
        <v/>
      </c>
      <c r="G22" s="84"/>
      <c r="H22" s="85"/>
      <c r="I22" s="86" t="str">
        <f t="shared" si="2"/>
        <v/>
      </c>
    </row>
    <row r="23" spans="1:10" ht="17.399999999999999">
      <c r="A23" s="118" t="s">
        <v>1054</v>
      </c>
      <c r="B23" s="119">
        <v>43525</v>
      </c>
      <c r="C23" s="86" t="str">
        <f t="shared" si="0"/>
        <v>(금)</v>
      </c>
      <c r="D23" s="84"/>
      <c r="E23" s="85"/>
      <c r="F23" s="86" t="str">
        <f t="shared" si="1"/>
        <v/>
      </c>
      <c r="G23" s="84"/>
      <c r="H23" s="85"/>
      <c r="I23" s="86" t="str">
        <f t="shared" si="2"/>
        <v/>
      </c>
    </row>
    <row r="24" spans="1:10" ht="17.399999999999999">
      <c r="A24" s="118" t="s">
        <v>1055</v>
      </c>
      <c r="B24" s="119">
        <v>43591</v>
      </c>
      <c r="C24" s="86" t="str">
        <f t="shared" si="0"/>
        <v>(월)</v>
      </c>
      <c r="D24" s="84"/>
      <c r="E24" s="85"/>
      <c r="F24" s="86" t="str">
        <f t="shared" si="1"/>
        <v/>
      </c>
      <c r="G24" s="84"/>
      <c r="H24" s="85"/>
      <c r="I24" s="86" t="str">
        <f t="shared" si="2"/>
        <v/>
      </c>
    </row>
    <row r="25" spans="1:10" ht="17.399999999999999">
      <c r="A25" s="118" t="s">
        <v>1056</v>
      </c>
      <c r="B25" s="119">
        <v>43622</v>
      </c>
      <c r="C25" s="86" t="str">
        <f t="shared" si="0"/>
        <v>(목)</v>
      </c>
      <c r="D25" s="84"/>
      <c r="E25" s="85"/>
      <c r="F25" s="86" t="str">
        <f t="shared" si="1"/>
        <v/>
      </c>
      <c r="G25" s="84"/>
      <c r="H25" s="85"/>
      <c r="I25" s="86" t="str">
        <f t="shared" si="2"/>
        <v/>
      </c>
    </row>
    <row r="26" spans="1:10" ht="17.399999999999999">
      <c r="A26" s="118" t="s">
        <v>1057</v>
      </c>
      <c r="B26" s="119">
        <v>43692</v>
      </c>
      <c r="C26" s="86" t="str">
        <f t="shared" si="0"/>
        <v>(목)</v>
      </c>
      <c r="D26" s="84"/>
      <c r="E26" s="85"/>
      <c r="F26" s="86" t="str">
        <f t="shared" si="1"/>
        <v/>
      </c>
      <c r="G26" s="84"/>
      <c r="H26" s="85"/>
      <c r="I26" s="86" t="str">
        <f t="shared" si="2"/>
        <v/>
      </c>
    </row>
    <row r="27" spans="1:10" ht="17.399999999999999">
      <c r="A27" s="118" t="s">
        <v>1058</v>
      </c>
      <c r="B27" s="119">
        <v>43720</v>
      </c>
      <c r="C27" s="86" t="str">
        <f t="shared" si="0"/>
        <v>(목)</v>
      </c>
      <c r="D27" s="84"/>
      <c r="E27" s="85"/>
      <c r="F27" s="86" t="str">
        <f t="shared" si="1"/>
        <v/>
      </c>
      <c r="G27" s="84"/>
      <c r="H27" s="85"/>
      <c r="I27" s="86" t="str">
        <f t="shared" si="2"/>
        <v/>
      </c>
    </row>
    <row r="28" spans="1:10" ht="17.399999999999999">
      <c r="A28" s="118" t="s">
        <v>1059</v>
      </c>
      <c r="B28" s="119">
        <v>43721</v>
      </c>
      <c r="C28" s="86" t="str">
        <f t="shared" si="0"/>
        <v>(금)</v>
      </c>
      <c r="D28" s="84"/>
      <c r="E28" s="85"/>
      <c r="F28" s="86" t="str">
        <f t="shared" si="1"/>
        <v/>
      </c>
      <c r="G28" s="84"/>
      <c r="H28" s="85"/>
      <c r="I28" s="86" t="str">
        <f t="shared" si="2"/>
        <v/>
      </c>
    </row>
    <row r="29" spans="1:10" ht="17.399999999999999">
      <c r="A29" s="118" t="s">
        <v>1060</v>
      </c>
      <c r="B29" s="119">
        <v>43741</v>
      </c>
      <c r="C29" s="86" t="str">
        <f t="shared" si="0"/>
        <v>(목)</v>
      </c>
      <c r="D29" s="84"/>
      <c r="E29" s="85"/>
      <c r="F29" s="86" t="str">
        <f t="shared" si="1"/>
        <v/>
      </c>
      <c r="G29" s="84"/>
      <c r="H29" s="85"/>
      <c r="I29" s="86" t="str">
        <f t="shared" si="2"/>
        <v/>
      </c>
    </row>
    <row r="30" spans="1:10" ht="17.399999999999999">
      <c r="A30" s="118" t="s">
        <v>1061</v>
      </c>
      <c r="B30" s="119">
        <v>43747</v>
      </c>
      <c r="C30" s="86" t="str">
        <f t="shared" si="0"/>
        <v>(수)</v>
      </c>
      <c r="D30" s="84"/>
      <c r="E30" s="85"/>
      <c r="F30" s="86" t="str">
        <f t="shared" si="1"/>
        <v/>
      </c>
      <c r="G30" s="84"/>
      <c r="H30" s="85"/>
      <c r="I30" s="86" t="str">
        <f t="shared" si="2"/>
        <v/>
      </c>
    </row>
    <row r="31" spans="1:10" ht="17.399999999999999">
      <c r="A31" s="118" t="s">
        <v>1062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1099</v>
      </c>
      <c r="D305" s="86" t="s">
        <v>1099</v>
      </c>
      <c r="G305" s="86" t="s">
        <v>1099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2019-08-07T11:28:57Z</dcterms:modified>
</cp:coreProperties>
</file>