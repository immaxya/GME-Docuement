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mc:AlternateContent xmlns:mc="http://schemas.openxmlformats.org/markup-compatibility/2006">
    <mc:Choice Requires="x15">
      <x15ac:absPath xmlns:x15ac="http://schemas.microsoft.com/office/spreadsheetml/2010/11/ac" url="D:\12.Document\01.Project\00. 스케쥴\02.2020년\"/>
    </mc:Choice>
  </mc:AlternateContent>
  <xr:revisionPtr revIDLastSave="0" documentId="13_ncr:1_{263ED29A-E53B-47EF-B858-7483DEB6A5C0}" xr6:coauthVersionLast="45" xr6:coauthVersionMax="45" xr10:uidLastSave="{00000000-0000-0000-0000-000000000000}"/>
  <bookViews>
    <workbookView minimized="1" xWindow="0" yWindow="2856" windowWidth="17280" windowHeight="9060" tabRatio="632"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externalReferences>
    <externalReference r:id="rId10"/>
  </externalReferences>
  <definedNames>
    <definedName name="_xlnm._FilterDatabase" localSheetId="2" hidden="1">Schedule!$P$3:$AE$4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Schedule!$D$1:$CJ$71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 localSheetId="7">[1]Schedule!#REF!</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2" l="1"/>
  <c r="AG9" i="2"/>
  <c r="AG12" i="2"/>
  <c r="AG13" i="2"/>
  <c r="AG14" i="2"/>
  <c r="AG18" i="2"/>
  <c r="AG19" i="2"/>
  <c r="AG20" i="2"/>
  <c r="AG23" i="2"/>
  <c r="AG24" i="2"/>
  <c r="AG25" i="2"/>
  <c r="AG28" i="2"/>
  <c r="AG29" i="2"/>
  <c r="AG30" i="2"/>
  <c r="L20" i="4" l="1"/>
  <c r="L18" i="4"/>
  <c r="L17" i="4"/>
  <c r="L16" i="4"/>
  <c r="L14" i="4"/>
  <c r="L12" i="4"/>
  <c r="L10" i="4"/>
  <c r="L9" i="4"/>
  <c r="L8" i="4"/>
  <c r="L7" i="4"/>
  <c r="O21" i="4"/>
  <c r="I21" i="4"/>
  <c r="H21" i="4"/>
  <c r="G21" i="4"/>
  <c r="J21" i="4" s="1"/>
  <c r="O19" i="4"/>
  <c r="I19" i="4"/>
  <c r="K19" i="4" s="1"/>
  <c r="L19" i="4" s="1"/>
  <c r="H19" i="4"/>
  <c r="J19" i="4" s="1"/>
  <c r="G19" i="4"/>
  <c r="O15" i="4"/>
  <c r="I15" i="4"/>
  <c r="K15" i="4" s="1"/>
  <c r="L15" i="4" s="1"/>
  <c r="H15" i="4"/>
  <c r="J15" i="4" s="1"/>
  <c r="G15" i="4"/>
  <c r="O13" i="4"/>
  <c r="I13" i="4"/>
  <c r="K13" i="4" s="1"/>
  <c r="H13" i="4"/>
  <c r="J13" i="4" s="1"/>
  <c r="G13" i="4"/>
  <c r="O11" i="4"/>
  <c r="O23" i="4" s="1"/>
  <c r="I11" i="4"/>
  <c r="K11" i="4" s="1"/>
  <c r="H11" i="4"/>
  <c r="J11" i="4" s="1"/>
  <c r="G11" i="4"/>
  <c r="L11" i="4" l="1"/>
  <c r="G23" i="4"/>
  <c r="K21" i="4"/>
  <c r="L21" i="4" s="1"/>
  <c r="L13" i="4"/>
  <c r="H23" i="4"/>
  <c r="J23" i="4" s="1"/>
  <c r="I23" i="4"/>
  <c r="K23" i="4" s="1"/>
  <c r="L23" i="4" l="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E2" i="2"/>
  <c r="AE1" i="2"/>
  <c r="D1" i="2"/>
</calcChain>
</file>

<file path=xl/sharedStrings.xml><?xml version="1.0" encoding="utf-8"?>
<sst xmlns="http://schemas.openxmlformats.org/spreadsheetml/2006/main" count="1683" uniqueCount="1390">
  <si>
    <t>Man/Day</t>
    <phoneticPr fontId="7" type="noConversion"/>
  </si>
  <si>
    <t>Man-Day</t>
  </si>
  <si>
    <t>Man-Month</t>
  </si>
  <si>
    <t>ITEM</t>
    <phoneticPr fontId="7" type="noConversion"/>
  </si>
  <si>
    <t>VALUE1</t>
    <phoneticPr fontId="7" type="noConversion"/>
  </si>
  <si>
    <t>VALUE2</t>
    <phoneticPr fontId="7" type="noConversion"/>
  </si>
  <si>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</si>
  <si>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</si>
  <si>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</si>
  <si>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</si>
  <si>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</si>
  <si>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</si>
  <si>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</si>
  <si>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</si>
  <si>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</si>
  <si>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</si>
  <si>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http://xlworks.net</t>
    <phoneticPr fontId="7" type="noConversion"/>
  </si>
  <si>
    <t>PROGRAM_SITE_DISP</t>
    <phoneticPr fontId="7" type="noConversion"/>
  </si>
  <si>
    <t>VERSION</t>
    <phoneticPr fontId="7" type="noConversion"/>
  </si>
  <si>
    <t>DO NOT UPDATE</t>
    <phoneticPr fontId="7" type="noConversion"/>
  </si>
  <si>
    <t>RELEASE_DATE</t>
    <phoneticPr fontId="7" type="noConversion"/>
  </si>
  <si>
    <t>LICENSE</t>
    <phoneticPr fontId="7" type="noConversion"/>
  </si>
  <si>
    <t>Freeware</t>
    <phoneticPr fontId="7" type="noConversion"/>
  </si>
  <si>
    <t>Name:projectName</t>
  </si>
  <si>
    <t>Name:isConfirmedProjectBasicInfo</t>
  </si>
  <si>
    <t>Name:projectStartDate</t>
  </si>
  <si>
    <t>Name:projectEndDate</t>
  </si>
  <si>
    <t>Name:optScheduleChangeMgt</t>
  </si>
  <si>
    <t>Name:optPlanRateCriteriaDate</t>
  </si>
  <si>
    <t>Name:chkDeliverablesMgt</t>
    <phoneticPr fontId="7" type="noConversion"/>
  </si>
  <si>
    <t>Name:savePathType</t>
    <phoneticPr fontId="7" type="noConversion"/>
  </si>
  <si>
    <t>Name:txtDefinedPath</t>
    <phoneticPr fontId="7" type="noConversion"/>
  </si>
  <si>
    <t>Name:txtAutoDefinedBasePath</t>
    <phoneticPr fontId="7" type="noConversion"/>
  </si>
  <si>
    <t>Name:txtPgmName1</t>
    <phoneticPr fontId="7" type="noConversion"/>
  </si>
  <si>
    <t>Name:txtFileExt1</t>
  </si>
  <si>
    <t>Name:txtPgmPath1</t>
    <phoneticPr fontId="7" type="noConversion"/>
  </si>
  <si>
    <t>Name:chkInclude2SelectList1</t>
    <phoneticPr fontId="7" type="noConversion"/>
  </si>
  <si>
    <t>Name:txtPgmName2</t>
    <phoneticPr fontId="7" type="noConversion"/>
  </si>
  <si>
    <t>Name:txtFileExt2</t>
    <phoneticPr fontId="7" type="noConversion"/>
  </si>
  <si>
    <t>Name:txtPgmPath2</t>
    <phoneticPr fontId="7" type="noConversion"/>
  </si>
  <si>
    <t>Name:chkInclude2SelectList2</t>
    <phoneticPr fontId="7" type="noConversion"/>
  </si>
  <si>
    <t>Name:txtPgmName3</t>
    <phoneticPr fontId="7" type="noConversion"/>
  </si>
  <si>
    <t>Name:txtFileExt3</t>
    <phoneticPr fontId="7" type="noConversion"/>
  </si>
  <si>
    <t>Name:txtPgmPath3</t>
    <phoneticPr fontId="7" type="noConversion"/>
  </si>
  <si>
    <t>Name:chkInclude2SelectList3</t>
    <phoneticPr fontId="7" type="noConversion"/>
  </si>
  <si>
    <t>Name:txtPgmName4</t>
    <phoneticPr fontId="7" type="noConversion"/>
  </si>
  <si>
    <t>Name:txtFileExt4</t>
    <phoneticPr fontId="7" type="noConversion"/>
  </si>
  <si>
    <t>Name:txtPgmPath4</t>
    <phoneticPr fontId="7" type="noConversion"/>
  </si>
  <si>
    <t>Name:chkInclude2SelectList4</t>
    <phoneticPr fontId="7" type="noConversion"/>
  </si>
  <si>
    <t>Name:txtPgmName5</t>
    <phoneticPr fontId="7" type="noConversion"/>
  </si>
  <si>
    <t>Name:txtFileExt5</t>
    <phoneticPr fontId="7" type="noConversion"/>
  </si>
  <si>
    <t>Name:txtPgmPath5</t>
    <phoneticPr fontId="7" type="noConversion"/>
  </si>
  <si>
    <t>Name:chkInclude2SelectList5</t>
    <phoneticPr fontId="7"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</si>
  <si>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</si>
  <si>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</si>
  <si>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</si>
  <si>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</si>
  <si>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</si>
  <si>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</si>
  <si>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</si>
  <si>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</si>
  <si>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</si>
  <si>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</si>
  <si>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</si>
  <si>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</si>
  <si>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</si>
  <si>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</si>
  <si>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</si>
  <si>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</si>
  <si>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</si>
  <si>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</si>
  <si>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</si>
  <si>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</si>
  <si>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</si>
  <si>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</si>
  <si>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</si>
  <si>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</si>
  <si>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</si>
  <si>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</si>
  <si>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</si>
  <si>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</si>
  <si>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</si>
  <si>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</si>
  <si>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</si>
  <si>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</si>
  <si>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</si>
  <si>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</si>
  <si>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</si>
  <si>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</si>
  <si>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</si>
  <si>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</si>
  <si>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</si>
  <si>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</si>
  <si>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</si>
  <si>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</si>
  <si>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</si>
  <si>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</si>
  <si>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</si>
  <si>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</si>
  <si>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</si>
  <si>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</si>
  <si>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</si>
  <si>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</si>
  <si>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</si>
  <si>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</si>
  <si>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</si>
  <si>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</si>
  <si>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</si>
  <si>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</si>
  <si>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</si>
  <si>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</si>
  <si>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</si>
  <si>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</si>
  <si>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</si>
  <si>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</si>
  <si>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</si>
  <si>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</si>
  <si>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</si>
  <si>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</si>
  <si>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</si>
  <si>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</si>
  <si>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</si>
  <si>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</si>
  <si>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</si>
  <si>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</si>
  <si>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</si>
  <si>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</si>
  <si>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</si>
  <si>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</si>
  <si>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</si>
  <si>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</si>
  <si>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</si>
  <si>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</si>
  <si>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</si>
  <si>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</si>
  <si>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</si>
  <si>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</si>
  <si>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</si>
  <si>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</si>
  <si>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</si>
  <si>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</si>
  <si>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</si>
  <si>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</si>
  <si>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</si>
  <si>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</si>
  <si>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</si>
  <si>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</si>
  <si>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</si>
  <si>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</si>
  <si>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</si>
  <si>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</si>
  <si>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</si>
  <si>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</si>
  <si>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</si>
  <si>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</si>
  <si>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</si>
  <si>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</si>
  <si>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</si>
  <si>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</si>
  <si>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</si>
  <si>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</si>
  <si>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</si>
  <si>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</si>
  <si>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</si>
  <si>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</si>
  <si>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</si>
  <si>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</si>
  <si>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</si>
  <si>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</si>
  <si>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</si>
  <si>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</si>
  <si>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</si>
  <si>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</si>
  <si>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</si>
  <si>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</si>
  <si>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</si>
  <si>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</si>
  <si>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</si>
  <si>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</si>
  <si>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</si>
  <si>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</si>
  <si>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</si>
  <si>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</si>
  <si>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</si>
  <si>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</si>
  <si>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</si>
  <si>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</si>
  <si>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</si>
  <si>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</si>
  <si>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</si>
  <si>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</si>
  <si>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</si>
  <si>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</si>
  <si>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</si>
  <si>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</si>
  <si>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</si>
  <si>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</si>
  <si>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</si>
  <si>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</si>
  <si>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</si>
  <si>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</si>
  <si>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</si>
  <si>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</si>
  <si>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</si>
  <si>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</si>
  <si>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</si>
  <si>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</si>
  <si>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</si>
  <si>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</si>
  <si>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</si>
  <si>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</si>
  <si>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</si>
  <si>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</si>
  <si>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</si>
  <si>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</si>
  <si>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</si>
  <si>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</si>
  <si>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</si>
  <si>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</si>
  <si>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</si>
  <si>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</si>
  <si>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</si>
  <si>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</si>
  <si>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</si>
  <si>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</si>
  <si>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</si>
  <si>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</si>
  <si>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</si>
  <si>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</si>
  <si>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</si>
  <si>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</si>
  <si>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</si>
  <si>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</si>
  <si>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</si>
  <si>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</si>
  <si>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</si>
  <si>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</si>
  <si>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</si>
  <si>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</si>
  <si>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</si>
  <si>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</si>
  <si>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</si>
  <si>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</si>
  <si>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</si>
  <si>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</si>
  <si>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</si>
  <si>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</si>
  <si>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</si>
  <si>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</si>
  <si>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</si>
  <si>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</si>
  <si>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</si>
  <si>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</si>
  <si>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</si>
  <si>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</si>
  <si>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</si>
  <si>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</si>
  <si>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</si>
  <si>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</si>
  <si>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</si>
  <si>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</si>
  <si>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</si>
  <si>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</si>
  <si>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</si>
  <si>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</si>
  <si>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</si>
  <si>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</si>
  <si>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</si>
  <si>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</si>
  <si>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</si>
  <si>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</si>
  <si>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</si>
  <si>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</si>
  <si>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</si>
  <si>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</si>
  <si>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</si>
  <si>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</si>
  <si>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</si>
  <si>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</si>
  <si>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</si>
  <si>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</si>
  <si>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</si>
  <si>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</si>
  <si>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</si>
  <si>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</si>
  <si>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</si>
  <si>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</si>
  <si>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</si>
  <si>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</si>
  <si>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</si>
  <si>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</si>
  <si>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</si>
  <si>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</si>
  <si>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</si>
  <si>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</si>
  <si>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</si>
  <si>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</si>
  <si>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</si>
  <si>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</si>
  <si>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</si>
  <si>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</si>
  <si>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</si>
  <si>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</si>
  <si>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</si>
  <si>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</si>
  <si>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</si>
  <si>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</si>
  <si>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</si>
  <si>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</si>
  <si>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</si>
  <si>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</si>
  <si>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</si>
  <si>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</si>
  <si>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</si>
  <si>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</si>
  <si>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</si>
  <si>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</si>
  <si>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</si>
  <si>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</si>
  <si>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</si>
  <si>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</si>
  <si>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</si>
  <si>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</si>
  <si>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</si>
  <si>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</si>
  <si>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</si>
  <si>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</si>
  <si>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</si>
  <si>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</si>
  <si>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</si>
  <si>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</si>
  <si>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</si>
  <si>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</si>
  <si>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</si>
  <si>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</si>
  <si>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</si>
  <si>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</si>
  <si>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</si>
  <si>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</si>
  <si>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</si>
  <si>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</si>
  <si>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</si>
  <si>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</si>
  <si>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</si>
  <si>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</si>
  <si>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</si>
  <si>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</si>
  <si>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</si>
  <si>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</si>
  <si>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</si>
  <si>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</si>
  <si>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</si>
  <si>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</si>
  <si>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</si>
  <si>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</si>
  <si>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</si>
  <si>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</si>
  <si>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</si>
  <si>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</si>
  <si>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</si>
  <si>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</si>
  <si>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</si>
  <si>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</si>
  <si>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</si>
  <si>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</si>
  <si>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</si>
  <si>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</si>
  <si>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</si>
  <si>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</si>
  <si>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</si>
  <si>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</si>
  <si>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</si>
  <si>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</si>
  <si>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</si>
  <si>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</si>
  <si>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</si>
  <si>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</si>
  <si>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</si>
  <si>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</si>
  <si>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</si>
  <si>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</si>
  <si>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</si>
  <si>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</si>
  <si>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</si>
  <si>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</si>
  <si>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</si>
  <si>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</si>
  <si>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</si>
  <si>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</si>
  <si>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7" type="noConversion"/>
  </si>
  <si>
    <t>admin@xlworks.net</t>
    <phoneticPr fontId="7"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</si>
  <si>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</si>
  <si>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</si>
  <si>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</si>
  <si>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</si>
  <si>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</si>
  <si>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</si>
  <si>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</si>
  <si>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</si>
  <si>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</si>
  <si>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</si>
  <si>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</si>
  <si>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</si>
  <si>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</si>
  <si>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</si>
  <si>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</si>
  <si>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</si>
  <si>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</si>
  <si>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</si>
  <si>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</si>
  <si>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</si>
  <si>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</si>
  <si>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</si>
  <si>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</si>
  <si>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</si>
  <si>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</si>
  <si>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</si>
  <si>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</si>
  <si>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</si>
  <si>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</si>
  <si>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</si>
  <si>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</si>
  <si>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</si>
  <si>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</si>
  <si>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</si>
  <si>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</si>
  <si>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</si>
  <si>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</si>
  <si>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</si>
  <si>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</si>
  <si>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</si>
  <si>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</si>
  <si>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</si>
  <si>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</si>
  <si>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</si>
  <si>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</si>
  <si>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</si>
  <si>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</si>
  <si>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</si>
  <si>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</si>
  <si>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</si>
  <si>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</si>
  <si>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</si>
  <si>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</si>
  <si>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</si>
  <si>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</si>
  <si>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</si>
  <si>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</si>
  <si>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</si>
  <si>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</si>
  <si>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</si>
  <si>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</si>
  <si>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</si>
  <si>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</si>
  <si>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</si>
  <si>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</si>
  <si>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</si>
  <si>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</si>
  <si>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</si>
  <si>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</si>
  <si>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</si>
  <si>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</si>
  <si>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</si>
  <si>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</si>
  <si>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</si>
  <si>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</si>
  <si>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</si>
  <si>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</si>
  <si>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</si>
  <si>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</si>
  <si>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</si>
  <si>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</si>
  <si>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</si>
  <si>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</si>
  <si>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</si>
  <si>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</si>
  <si>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</si>
  <si>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</si>
  <si>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</si>
  <si>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</si>
  <si>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</si>
  <si>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</si>
  <si>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</si>
  <si>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</si>
  <si>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</si>
  <si>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</si>
  <si>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</si>
  <si>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</si>
  <si>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</si>
  <si>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</si>
  <si>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</si>
  <si>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</si>
  <si>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</si>
  <si>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</si>
  <si>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</si>
  <si>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</si>
  <si>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</si>
  <si>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</si>
  <si>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</si>
  <si>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</si>
  <si>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</si>
  <si>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</si>
  <si>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</si>
  <si>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7" type="noConversion"/>
  </si>
  <si>
    <t>Saturdays, Sundays and the dates entered in the Calendar sheet_x000D_</t>
    <phoneticPr fontId="2" type="noConversion"/>
  </si>
  <si>
    <t>Actual__Total Work</t>
    <phoneticPr fontId="7" type="noConversion"/>
  </si>
  <si>
    <t>Reserved</t>
    <phoneticPr fontId="7" type="noConversion"/>
  </si>
  <si>
    <t>Text Index</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</si>
  <si>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</si>
  <si>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</si>
  <si>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</si>
  <si>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</si>
  <si>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</si>
  <si>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</si>
  <si>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7" type="noConversion"/>
  </si>
  <si>
    <t>%Work__Complete</t>
    <phoneticPr fontId="7" type="noConversion"/>
  </si>
  <si>
    <t>manual input</t>
    <phoneticPr fontId="2" type="noConversion"/>
  </si>
  <si>
    <t>Actual</t>
    <phoneticPr fontId="2" type="noConversion"/>
  </si>
  <si>
    <t>실적</t>
    <phoneticPr fontId="2" type="noConversion"/>
  </si>
  <si>
    <t>Actual Total__Duration</t>
    <phoneticPr fontId="7" type="noConversion"/>
  </si>
  <si>
    <t>for import columun</t>
    <phoneticPr fontId="7" type="noConversion"/>
  </si>
  <si>
    <t>Actual__Finish</t>
    <phoneticPr fontId="7" type="noConversion"/>
  </si>
  <si>
    <t>Actual__Start</t>
    <phoneticPr fontId="7" type="noConversion"/>
  </si>
  <si>
    <t>Actual__Total Duration</t>
    <phoneticPr fontId="7"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</si>
  <si>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</si>
  <si>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</si>
  <si>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</si>
  <si>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</si>
  <si>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7" type="noConversion"/>
  </si>
  <si>
    <t>Planned__Duration</t>
    <phoneticPr fontId="7" type="noConversion"/>
  </si>
  <si>
    <t>Planned__Work</t>
    <phoneticPr fontId="7"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</si>
  <si>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</si>
  <si>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</si>
  <si>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</si>
  <si>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t>Total__Work</t>
    <phoneticPr fontId="7" type="noConversion"/>
  </si>
  <si>
    <t>Would you like to update the schedule before saving?</t>
    <phoneticPr fontId="7" type="noConversion"/>
  </si>
  <si>
    <t>Name:groupRows</t>
  </si>
  <si>
    <t>Group rows</t>
    <phoneticPr fontId="2" type="noConversion"/>
  </si>
  <si>
    <t>C:\Temp</t>
    <phoneticPr fontId="7" type="noConversion"/>
  </si>
  <si>
    <t>Display font color to the gray for the completed tasks</t>
    <phoneticPr fontId="2" type="noConversion"/>
  </si>
  <si>
    <t>비고</t>
  </si>
  <si>
    <t>가중치</t>
  </si>
  <si>
    <t>담당</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</si>
  <si>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</si>
  <si>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</si>
  <si>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</si>
  <si>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</si>
  <si>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</si>
  <si>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</si>
  <si>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</si>
  <si>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30" type="noConversion"/>
  </si>
  <si>
    <t>사용법</t>
    <phoneticPr fontId="30" type="noConversion"/>
  </si>
  <si>
    <t>시트 구성</t>
    <phoneticPr fontId="30" type="noConversion"/>
  </si>
  <si>
    <t>작업과 일정을 입력하면 진척율이 계산되며 작업의 일정을 간트차트로 표시해 준다.</t>
    <phoneticPr fontId="2" type="noConversion"/>
  </si>
  <si>
    <t>작업입력, 스케줄 업데이트</t>
    <phoneticPr fontId="2" type="noConversion"/>
  </si>
  <si>
    <t>간단 사용법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</si>
  <si>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</si>
  <si>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</si>
  <si>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(숨겨진 시트) 언어별 번역이 들어 있다.</t>
    <phoneticPr fontId="2" type="noConversion"/>
  </si>
  <si>
    <t>Gantt Chart Zoom Ratio(Max 999%)</t>
    <phoneticPr fontId="2" type="noConversion"/>
  </si>
  <si>
    <t>Display date on timescale</t>
    <phoneticPr fontId="2" type="noConversion"/>
  </si>
  <si>
    <t>Name:dateDispOnTimescale</t>
  </si>
  <si>
    <t>ppt*</t>
    <phoneticPr fontId="7" type="noConversion"/>
  </si>
  <si>
    <t>간트차트 눈금에 날짜 표시</t>
    <phoneticPr fontId="2" type="noConversion"/>
  </si>
  <si>
    <t>메모장</t>
    <phoneticPr fontId="7"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</si>
  <si>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</si>
  <si>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</si>
  <si>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</si>
  <si>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</si>
  <si>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</si>
  <si>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</si>
  <si>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7" type="noConversion"/>
  </si>
  <si>
    <t>WBS</t>
    <phoneticPr fontId="7" type="noConversion"/>
  </si>
  <si>
    <t>Calendar</t>
    <phoneticPr fontId="7" type="noConversion"/>
  </si>
  <si>
    <t>doc*</t>
    <phoneticPr fontId="7" type="noConversion"/>
  </si>
  <si>
    <t>xls*</t>
    <phoneticPr fontId="7" type="noConversion"/>
  </si>
  <si>
    <t>txt</t>
    <phoneticPr fontId="7" type="noConversion"/>
  </si>
  <si>
    <t>E</t>
    <phoneticPr fontId="2" type="noConversion"/>
  </si>
  <si>
    <t>1:English,82:Korean</t>
    <phoneticPr fontId="2" type="noConversion"/>
  </si>
  <si>
    <t>reserved</t>
    <phoneticPr fontId="7" type="noConversion"/>
  </si>
  <si>
    <t>C:\WINDOWS\system32\notepad.exe</t>
    <phoneticPr fontId="7" type="noConversion"/>
  </si>
  <si>
    <t>wbs_level</t>
    <phoneticPr fontId="7" type="noConversion"/>
  </si>
  <si>
    <t>시작일</t>
  </si>
  <si>
    <t>완료일</t>
  </si>
  <si>
    <t>[담당자미지정]</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</si>
  <si>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</si>
  <si>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</si>
  <si>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</si>
  <si>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</si>
  <si>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</si>
  <si>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</si>
  <si>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</si>
  <si>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간트차트 표시방법 설정</t>
    <phoneticPr fontId="2" type="noConversion"/>
  </si>
  <si>
    <t>프로젝트 전체 진행상황 파악하기</t>
    <phoneticPr fontId="2" type="noConversion"/>
  </si>
  <si>
    <t>분석 리포트</t>
    <phoneticPr fontId="2" type="noConversion"/>
  </si>
  <si>
    <t>일정계획 변경관리</t>
  </si>
  <si>
    <t>일정계획 변경관리</t>
    <phoneticPr fontId="2" type="noConversion"/>
  </si>
  <si>
    <t>산출물 관리</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</si>
  <si>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</si>
  <si>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</si>
  <si>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</si>
  <si>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</si>
  <si>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Calendar관리</t>
    <phoneticPr fontId="2" type="noConversion"/>
  </si>
  <si>
    <t>작업</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</si>
  <si>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</si>
  <si>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</si>
  <si>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</si>
  <si>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</si>
  <si>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</si>
  <si>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</si>
  <si>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</si>
  <si>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</si>
  <si>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</si>
  <si>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</si>
  <si>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</si>
  <si>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</si>
  <si>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</si>
  <si>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</si>
  <si>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</si>
  <si>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</si>
  <si>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</si>
  <si>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</si>
  <si>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</si>
  <si>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</si>
  <si>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</si>
  <si>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</si>
  <si>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</si>
  <si>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</si>
  <si>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</si>
  <si>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</si>
  <si>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</si>
  <si>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</si>
  <si>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</si>
  <si>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</si>
  <si>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</si>
  <si>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</si>
  <si>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</si>
  <si>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</si>
  <si>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</si>
  <si>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</si>
  <si>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</si>
  <si>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</si>
  <si>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</si>
  <si>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</si>
  <si>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</si>
  <si>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</si>
  <si>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</si>
  <si>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</si>
  <si>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</si>
  <si>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</si>
  <si>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</si>
  <si>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</si>
  <si>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</si>
  <si>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</si>
  <si>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</si>
  <si>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</si>
  <si>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</si>
  <si>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</si>
  <si>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</si>
  <si>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</si>
  <si>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</si>
  <si>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</si>
  <si>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</si>
  <si>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</si>
  <si>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</si>
  <si>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7" type="noConversion"/>
  </si>
  <si>
    <t>실제\n총기간</t>
  </si>
  <si>
    <t>실제 총작업량\n(총ManDay,_x000D_가중치 감안)</t>
    <phoneticPr fontId="7" type="noConversion"/>
  </si>
  <si>
    <t>실제__완료일</t>
    <phoneticPr fontId="7" type="noConversion"/>
  </si>
  <si>
    <t>실제__시작일</t>
    <phoneticPr fontId="7" type="noConversion"/>
  </si>
  <si>
    <t>실제__총기간</t>
    <phoneticPr fontId="7" type="noConversion"/>
  </si>
  <si>
    <t>실제__총작업량</t>
    <phoneticPr fontId="7"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</si>
  <si>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</si>
  <si>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</si>
  <si>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</si>
  <si>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</si>
  <si>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</si>
  <si>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</si>
  <si>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</si>
  <si>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</si>
  <si>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</si>
  <si>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</si>
  <si>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</si>
  <si>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</si>
  <si>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</si>
  <si>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</si>
  <si>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</si>
  <si>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</si>
  <si>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</si>
  <si>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</si>
  <si>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</si>
  <si>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</si>
  <si>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</si>
  <si>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</si>
  <si>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</si>
  <si>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</si>
  <si>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</si>
  <si>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</si>
  <si>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</si>
  <si>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</si>
  <si>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</si>
  <si>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</si>
  <si>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</si>
  <si>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</si>
  <si>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</si>
  <si>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</si>
  <si>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</si>
  <si>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</si>
  <si>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</si>
  <si>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</si>
  <si>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</si>
  <si>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</si>
  <si>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</si>
  <si>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</si>
  <si>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</si>
  <si>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</si>
  <si>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</si>
  <si>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</si>
  <si>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</si>
  <si>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</si>
  <si>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</si>
  <si>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</si>
  <si>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</si>
  <si>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</si>
  <si>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</si>
  <si>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</si>
  <si>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</si>
  <si>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</si>
  <si>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</si>
  <si>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</si>
  <si>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</si>
  <si>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</si>
  <si>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</si>
  <si>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</si>
  <si>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</si>
  <si>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</si>
  <si>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</si>
  <si>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</si>
  <si>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</si>
  <si>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</si>
  <si>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</si>
  <si>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</si>
  <si>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</si>
  <si>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</si>
  <si>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</si>
  <si>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</si>
  <si>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</si>
  <si>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</si>
  <si>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</si>
  <si>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</si>
  <si>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</si>
  <si>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</si>
  <si>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</si>
  <si>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</si>
  <si>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</si>
  <si>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</si>
  <si>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</si>
  <si>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</si>
  <si>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</si>
  <si>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</si>
  <si>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</si>
  <si>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</si>
  <si>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</si>
  <si>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</si>
  <si>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</si>
  <si>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</si>
  <si>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</si>
  <si>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</si>
  <si>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</si>
  <si>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</si>
  <si>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</si>
  <si>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</si>
  <si>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</si>
  <si>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</si>
  <si>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</si>
  <si>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</si>
  <si>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</si>
  <si>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</si>
  <si>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</si>
  <si>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</si>
  <si>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</si>
  <si>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</si>
  <si>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</si>
  <si>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</si>
  <si>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</si>
  <si>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</si>
  <si>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</si>
  <si>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</si>
  <si>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</si>
  <si>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</si>
  <si>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</si>
  <si>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</si>
  <si>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</si>
  <si>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</si>
  <si>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</si>
  <si>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</si>
  <si>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</si>
  <si>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</si>
  <si>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</si>
  <si>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</si>
  <si>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</si>
  <si>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</si>
  <si>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</si>
  <si>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</si>
  <si>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</si>
  <si>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</si>
  <si>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</si>
  <si>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</si>
  <si>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</si>
  <si>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</si>
  <si>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</si>
  <si>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</si>
  <si>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</si>
  <si>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</si>
  <si>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7" type="noConversion"/>
  </si>
  <si>
    <t>계획__작업량</t>
    <phoneticPr fontId="7"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</si>
  <si>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</si>
  <si>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</si>
  <si>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</si>
  <si>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</si>
  <si>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</si>
  <si>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</si>
  <si>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</si>
  <si>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</si>
  <si>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</si>
  <si>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</si>
  <si>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</si>
  <si>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</si>
  <si>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</si>
  <si>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</si>
  <si>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</si>
  <si>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</si>
  <si>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</si>
  <si>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</si>
  <si>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</si>
  <si>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</si>
  <si>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</si>
  <si>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</si>
  <si>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</si>
  <si>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</si>
  <si>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</si>
  <si>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</si>
  <si>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</si>
  <si>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</si>
  <si>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</si>
  <si>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</si>
  <si>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</si>
  <si>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</si>
  <si>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</si>
  <si>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</si>
  <si>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</si>
  <si>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</si>
  <si>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</si>
  <si>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</si>
  <si>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</si>
  <si>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</si>
  <si>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</si>
  <si>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</si>
  <si>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</si>
  <si>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</si>
  <si>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</si>
  <si>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</si>
  <si>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</si>
  <si>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</si>
  <si>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</si>
  <si>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</si>
  <si>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</si>
  <si>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</si>
  <si>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</si>
  <si>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</si>
  <si>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</si>
  <si>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</si>
  <si>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</si>
  <si>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</si>
  <si>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</si>
  <si>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</si>
  <si>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</si>
  <si>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</si>
  <si>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</si>
  <si>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</si>
  <si>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</si>
  <si>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</si>
  <si>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</si>
  <si>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</si>
  <si>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</si>
  <si>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</si>
  <si>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</si>
  <si>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</si>
  <si>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</si>
  <si>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</si>
  <si>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</si>
  <si>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</si>
  <si>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</si>
  <si>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</si>
  <si>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</si>
  <si>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</si>
  <si>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</si>
  <si>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</si>
  <si>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</si>
  <si>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</si>
  <si>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</si>
  <si>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</si>
  <si>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</si>
  <si>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</si>
  <si>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7"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</si>
  <si>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</si>
  <si>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</si>
  <si>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</si>
  <si>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</si>
  <si>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</si>
  <si>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</si>
  <si>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</si>
  <si>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</si>
  <si>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</si>
  <si>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</si>
  <si>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</si>
  <si>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</si>
  <si>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</si>
  <si>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</si>
  <si>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</si>
  <si>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</si>
  <si>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</si>
  <si>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</si>
  <si>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</si>
  <si>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</si>
  <si>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</si>
  <si>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</si>
  <si>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</si>
  <si>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</si>
  <si>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</si>
  <si>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</si>
  <si>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</si>
  <si>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</si>
  <si>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</si>
  <si>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</si>
  <si>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</si>
  <si>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</si>
  <si>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</si>
  <si>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</si>
  <si>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</si>
  <si>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</si>
  <si>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7" type="noConversion"/>
  </si>
  <si>
    <t>총__작업량</t>
    <phoneticPr fontId="7"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</si>
  <si>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</si>
  <si>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</si>
  <si>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</si>
  <si>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</si>
  <si>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</si>
  <si>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</si>
  <si>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</si>
  <si>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</si>
  <si>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</si>
  <si>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</si>
  <si>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</si>
  <si>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</si>
  <si>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</si>
  <si>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</si>
  <si>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</si>
  <si>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</si>
  <si>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</si>
  <si>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</si>
  <si>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</si>
  <si>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</si>
  <si>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</si>
  <si>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</si>
  <si>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</si>
  <si>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7"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</si>
  <si>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</si>
  <si>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</si>
  <si>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</si>
  <si>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</si>
  <si>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</si>
  <si>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</si>
  <si>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</si>
  <si>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</si>
  <si>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</si>
  <si>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</si>
  <si>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</si>
  <si>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</si>
  <si>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</si>
  <si>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</si>
  <si>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</si>
  <si>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</si>
  <si>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</si>
  <si>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</si>
  <si>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</si>
  <si>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</si>
  <si>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</si>
  <si>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</si>
  <si>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</si>
  <si>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</si>
  <si>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</si>
  <si>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</si>
  <si>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</si>
  <si>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</si>
  <si>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</si>
  <si>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</si>
  <si>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</si>
  <si>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</si>
  <si>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</si>
  <si>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</si>
  <si>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</si>
  <si>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</si>
  <si>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</si>
  <si>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</si>
  <si>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</si>
  <si>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</si>
  <si>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</si>
  <si>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</si>
  <si>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</si>
  <si>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</si>
  <si>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설계</t>
  </si>
  <si>
    <t>wbs_level</t>
  </si>
  <si>
    <t>xlgantt_reserved</t>
  </si>
  <si>
    <t>xlgantt_task_connection</t>
  </si>
  <si>
    <t>xlgantt_task_id</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</si>
  <si>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</si>
  <si>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</si>
  <si>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</si>
  <si>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</si>
  <si>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</si>
  <si>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</si>
  <si>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</si>
  <si>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</si>
  <si>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</si>
  <si>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</si>
  <si>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</si>
  <si>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</si>
  <si>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</si>
  <si>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</si>
  <si>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</si>
  <si>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</si>
  <si>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</si>
  <si>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</si>
  <si>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</si>
  <si>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</si>
  <si>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</si>
  <si>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</si>
  <si>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</si>
  <si>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</si>
  <si>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</si>
  <si>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</si>
  <si>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7" type="noConversion"/>
  </si>
  <si>
    <t>AutoCAD</t>
    <phoneticPr fontId="7" type="noConversion"/>
  </si>
  <si>
    <t>C:\Program Files\Autodesk\AutoCAD 2019\acad.exe</t>
    <phoneticPr fontId="7" type="noConversion"/>
  </si>
  <si>
    <t>Notepad++</t>
    <phoneticPr fontId="7" type="noConversion"/>
  </si>
  <si>
    <t>html</t>
    <phoneticPr fontId="7" type="noConversion"/>
  </si>
  <si>
    <t>C:\Program Files\Notepad++\notepad++.exe</t>
    <phoneticPr fontId="7" type="noConversion"/>
  </si>
  <si>
    <t>XYZ시스템 구축</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</si>
  <si>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</si>
  <si>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</si>
  <si>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</si>
  <si>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</si>
  <si>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</si>
  <si>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</si>
  <si>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</si>
  <si>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</si>
  <si>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</si>
  <si>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</si>
  <si>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</si>
  <si>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</si>
  <si>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</si>
  <si>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</si>
  <si>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</si>
  <si>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</si>
  <si>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</si>
  <si>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</si>
  <si>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</si>
  <si>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</si>
  <si>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</si>
  <si>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</si>
  <si>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</si>
  <si>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</si>
  <si>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</si>
  <si>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</si>
  <si>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</si>
  <si>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</si>
  <si>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</si>
  <si>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</si>
  <si>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</si>
  <si>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</si>
  <si>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</si>
  <si>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</si>
  <si>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</si>
  <si>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</si>
  <si>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</si>
  <si>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</si>
  <si>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</si>
  <si>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</si>
  <si>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</si>
  <si>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</si>
  <si>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</si>
  <si>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</si>
  <si>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</si>
  <si>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</si>
  <si>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</si>
  <si>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</si>
  <si>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</si>
  <si>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</si>
  <si>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</si>
  <si>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</si>
  <si>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</si>
  <si>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</si>
  <si>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</si>
  <si>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</si>
  <si>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</si>
  <si>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</si>
  <si>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</si>
  <si>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TODAY</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</si>
  <si>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</si>
  <si>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</si>
  <si>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</si>
  <si>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</si>
  <si>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</si>
  <si>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</si>
  <si>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</si>
  <si>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</si>
  <si>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</si>
  <si>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</si>
  <si>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</si>
  <si>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</si>
  <si>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현재일까지 계획된 작업량</t>
    <phoneticPr fontId="7" type="noConversion"/>
  </si>
  <si>
    <t>해당작업의 시작일부터 현재일까지의 작업기간을 의미함(현재 날짜까지 진행되었어야 할 기간)</t>
    <phoneticPr fontId="7" type="noConversion"/>
  </si>
  <si>
    <t>일정변경 관리할 때 현재까지 실제로 투입된 작업기간을 표시함</t>
    <phoneticPr fontId="7" type="noConversion"/>
  </si>
  <si>
    <t>계획 진척율(A)</t>
    <phoneticPr fontId="7" type="noConversion"/>
  </si>
  <si>
    <t>현재날짜까지 계획된 진척율, WBS의 "계획진척율"의 전체 합계 진척율을 표시함</t>
    <phoneticPr fontId="7" type="noConversion"/>
  </si>
  <si>
    <t>실적 진척율(B)</t>
    <phoneticPr fontId="7" type="noConversion"/>
  </si>
  <si>
    <t>현재날짜까지 실제로 진행된 진척율, WBS의 "실적진척율"의 전체 합계 진척율을 표시함</t>
    <phoneticPr fontId="7" type="noConversion"/>
  </si>
  <si>
    <t>차이(B-A)</t>
    <phoneticPr fontId="7" type="noConversion"/>
  </si>
  <si>
    <t>양수이면 계획보다 빨리 진행, 음수이면 지연</t>
    <phoneticPr fontId="7" type="noConversion"/>
  </si>
  <si>
    <t>작업*</t>
    <phoneticPr fontId="7" type="noConversion"/>
  </si>
  <si>
    <t>비고</t>
    <phoneticPr fontId="7" type="noConversion"/>
  </si>
  <si>
    <t>시작일*</t>
    <phoneticPr fontId="7" type="noConversion"/>
  </si>
  <si>
    <t>완료일*</t>
    <phoneticPr fontId="7" type="noConversion"/>
  </si>
  <si>
    <t>총_x000D_
작업량</t>
    <phoneticPr fontId="7" type="noConversion"/>
  </si>
  <si>
    <t>계획_x000D_
작업량</t>
    <phoneticPr fontId="7" type="noConversion"/>
  </si>
  <si>
    <t>총_x000D_
기간</t>
    <phoneticPr fontId="7" type="noConversion"/>
  </si>
  <si>
    <t>계획_x000D_
기간</t>
    <phoneticPr fontId="7" type="noConversion"/>
  </si>
  <si>
    <t>실제_x000D_
시작일</t>
    <phoneticPr fontId="7" type="noConversion"/>
  </si>
  <si>
    <t>실제_x000D_
완료일</t>
    <phoneticPr fontId="7" type="noConversion"/>
  </si>
  <si>
    <t>실제_x000D_
총작업량</t>
    <phoneticPr fontId="7" type="noConversion"/>
  </si>
  <si>
    <t>실제_x000D_
총기간</t>
    <phoneticPr fontId="7" type="noConversion"/>
  </si>
  <si>
    <t>가중치</t>
    <phoneticPr fontId="7" type="noConversion"/>
  </si>
  <si>
    <t>담당</t>
    <phoneticPr fontId="7" type="noConversion"/>
  </si>
  <si>
    <t>산출물</t>
    <phoneticPr fontId="7" type="noConversion"/>
  </si>
  <si>
    <t>계획</t>
    <phoneticPr fontId="7" type="noConversion"/>
  </si>
  <si>
    <t>실적*</t>
    <phoneticPr fontId="7" type="noConversion"/>
  </si>
  <si>
    <t xml:space="preserve"> 프로젝트 휴무일 Calendar 설정</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</si>
  <si>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</si>
  <si>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표준캘린더</t>
    <phoneticPr fontId="7" type="noConversion"/>
  </si>
  <si>
    <t>사용자정의 캘린더1</t>
    <phoneticPr fontId="7" type="noConversion"/>
  </si>
  <si>
    <t>사용자정의 캘린더2</t>
    <phoneticPr fontId="7" type="noConversion"/>
  </si>
  <si>
    <t>휴무일명</t>
    <phoneticPr fontId="7" type="noConversion"/>
  </si>
  <si>
    <t>휴무일자</t>
    <phoneticPr fontId="7" type="noConversion"/>
  </si>
  <si>
    <t>더 이상 입력불가</t>
    <phoneticPr fontId="7" type="noConversion"/>
  </si>
  <si>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</si>
  <si>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</si>
  <si>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</si>
  <si>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</si>
  <si>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</si>
  <si>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</si>
  <si>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</si>
  <si>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</si>
  <si>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</si>
  <si>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</si>
  <si>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</si>
  <si>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</si>
  <si>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</si>
  <si>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</si>
  <si>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</si>
  <si>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</si>
  <si>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</si>
  <si>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</si>
  <si>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</si>
  <si>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</si>
  <si>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</si>
  <si>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</si>
  <si>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</si>
  <si>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</si>
  <si>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</si>
  <si>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</si>
  <si>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</si>
  <si>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</si>
  <si>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</si>
  <si>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</si>
  <si>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</si>
  <si>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도움말</t>
  </si>
  <si>
    <t>도움말</t>
    <phoneticPr fontId="2" type="noConversion"/>
  </si>
  <si>
    <t>Bar chart형태로 간트차트를 보여주고 있으며 여러 가지 표시방법을 옵션에서 설정할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</si>
  <si>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</si>
  <si>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</si>
  <si>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</si>
  <si>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</si>
  <si>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</si>
  <si>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</si>
  <si>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</si>
  <si>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</si>
  <si>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Server Data 가져오기</t>
    <phoneticPr fontId="2" type="noConversion"/>
  </si>
  <si>
    <t>진척율을 이용하여 프로젝트 전체 진행상황을 파악할 수 있다.</t>
    <phoneticPr fontId="2" type="noConversion"/>
  </si>
  <si>
    <t>한주의 시작요일 지정, 휴무일 설정, 주차표시 기능을 제공한다.
리본메뉴 &gt; XLGantt – Project Scheduler &gt; 옵션 &gt; “Calendar” 탭에서 설정할 수 있다.</t>
    <phoneticPr fontId="2" type="noConversion"/>
  </si>
  <si>
    <t xml:space="preserve">        엑셀간트(XLGantt) - 엑셀 일정관리</t>
    <phoneticPr fontId="30" type="noConversion"/>
  </si>
  <si>
    <t xml:space="preserve">도움말, 최신 버전 다운로드 https://xlworks.net </t>
    <phoneticPr fontId="2" type="noConversion"/>
  </si>
  <si>
    <t>5</t>
  </si>
  <si>
    <t>6</t>
  </si>
  <si>
    <t>7</t>
  </si>
  <si>
    <t>8</t>
  </si>
  <si>
    <t>9</t>
  </si>
  <si>
    <t>10</t>
  </si>
  <si>
    <t>11</t>
  </si>
  <si>
    <t>12</t>
  </si>
  <si>
    <t>13</t>
  </si>
  <si>
    <t>14</t>
  </si>
  <si>
    <t>15</t>
  </si>
  <si>
    <t>16</t>
  </si>
  <si>
    <t>Project X</t>
  </si>
  <si>
    <t>범위정의</t>
  </si>
  <si>
    <t>범위확정</t>
  </si>
  <si>
    <t>Benchmarking</t>
  </si>
  <si>
    <t>Workshop</t>
  </si>
  <si>
    <t>데이터베이스 설계</t>
  </si>
  <si>
    <t>UI설계</t>
  </si>
  <si>
    <t>개발</t>
  </si>
  <si>
    <t>코딩</t>
  </si>
  <si>
    <t>단위테스트</t>
  </si>
  <si>
    <t>테스트</t>
  </si>
  <si>
    <t>통합테스트</t>
  </si>
  <si>
    <t>시스템테스트</t>
  </si>
  <si>
    <t>1.1.3</t>
  </si>
  <si>
    <t>1.1.4</t>
  </si>
  <si>
    <t>1.2.2</t>
  </si>
  <si>
    <t>1.3.2</t>
  </si>
  <si>
    <t>1.4</t>
  </si>
  <si>
    <t>1.4.1</t>
  </si>
  <si>
    <t>1.4.2</t>
  </si>
  <si>
    <t>1.4.3</t>
  </si>
  <si>
    <t>이지은,김분석</t>
    <phoneticPr fontId="2" type="noConversion"/>
  </si>
  <si>
    <t>이지은</t>
    <phoneticPr fontId="2" type="noConversion"/>
  </si>
  <si>
    <t>박설계</t>
    <phoneticPr fontId="2" type="noConversion"/>
  </si>
  <si>
    <t>나개발</t>
    <phoneticPr fontId="2" type="noConversion"/>
  </si>
  <si>
    <t>김분석,이지은</t>
    <phoneticPr fontId="2" type="noConversion"/>
  </si>
  <si>
    <t>홍길동</t>
    <phoneticPr fontId="2" type="noConversion"/>
  </si>
  <si>
    <t>나고객,이고객</t>
    <phoneticPr fontId="2" type="noConversion"/>
  </si>
  <si>
    <t>UAT</t>
    <phoneticPr fontId="2" type="noConversion"/>
  </si>
  <si>
    <t>범위확정시 주요화면 준비</t>
    <phoneticPr fontId="2" type="noConversion"/>
  </si>
  <si>
    <t>성능테스트Tool필요</t>
    <phoneticPr fontId="2" type="noConversion"/>
  </si>
  <si>
    <t>__확인사항</t>
    <phoneticPr fontId="2" type="noConversion"/>
  </si>
  <si>
    <t>3.0.0</t>
    <phoneticPr fontId="2" type="noConversion"/>
  </si>
  <si>
    <t xml:space="preserve">  XLGantt 3.0.0 ©XLWorks</t>
  </si>
  <si>
    <t>2020년 신정</t>
  </si>
  <si>
    <t>2020년 설연휴</t>
  </si>
  <si>
    <t>2019년 신정</t>
    <phoneticPr fontId="2" type="noConversion"/>
  </si>
  <si>
    <t>2019년 설연휴</t>
    <phoneticPr fontId="2" type="noConversion"/>
  </si>
  <si>
    <t>2019년 설날</t>
    <phoneticPr fontId="2" type="noConversion"/>
  </si>
  <si>
    <t>2019년 삼일절</t>
  </si>
  <si>
    <t>2019년 어린이날 대체휴일</t>
  </si>
  <si>
    <t>2019년 현충일</t>
  </si>
  <si>
    <t>2019년 광복절</t>
  </si>
  <si>
    <t>2019년 추석연휴</t>
  </si>
  <si>
    <t>2019년 추석</t>
    <phoneticPr fontId="2" type="noConversion"/>
  </si>
  <si>
    <t>2019년 개천절</t>
  </si>
  <si>
    <t>2019년 한글날</t>
  </si>
  <si>
    <t>2019년 성탄절</t>
  </si>
  <si>
    <t>2020년 설날 대체휴일</t>
    <phoneticPr fontId="2" type="noConversion"/>
  </si>
  <si>
    <t>21대 국회위원 선거일</t>
    <phoneticPr fontId="2" type="noConversion"/>
  </si>
  <si>
    <t>2020년 부처님오신날</t>
    <phoneticPr fontId="2" type="noConversion"/>
  </si>
  <si>
    <t>2020년 어린이날</t>
    <phoneticPr fontId="2" type="noConversion"/>
  </si>
  <si>
    <t xml:space="preserve">XLGantt 3.0.0 ⓒXLWorks </t>
    <phoneticPr fontId="7" type="noConversion"/>
  </si>
  <si>
    <t>2020년 추석연휴</t>
    <phoneticPr fontId="2" type="noConversion"/>
  </si>
  <si>
    <t>2020년 추석</t>
    <phoneticPr fontId="2" type="noConversion"/>
  </si>
  <si>
    <t>2020년 한글날</t>
    <phoneticPr fontId="2" type="noConversion"/>
  </si>
  <si>
    <t>2020년 성탄절</t>
    <phoneticPr fontId="2" type="noConversion"/>
  </si>
  <si>
    <t>실적기성</t>
    <phoneticPr fontId="7" type="noConversion"/>
  </si>
  <si>
    <t>Earned value on planned schedule(Total Duration x %Work Complete)</t>
    <phoneticPr fontId="2" type="noConversion"/>
  </si>
  <si>
    <t>실적기성(총기간 x 총실적진행율)</t>
    <phoneticPr fontId="2" type="noConversion"/>
  </si>
  <si>
    <t>실적기성(총기간 x 총실적진행율)</t>
    <phoneticPr fontId="7" type="noConversion"/>
  </si>
  <si>
    <t>실제 투입된 작업량</t>
    <phoneticPr fontId="2" type="noConversion"/>
  </si>
  <si>
    <t>실제 투입된 작업량</t>
    <phoneticPr fontId="7" type="noConversion"/>
  </si>
  <si>
    <t>파워포인트</t>
    <phoneticPr fontId="7" type="noConversion"/>
  </si>
  <si>
    <t>자동지정</t>
    <phoneticPr fontId="7" type="noConversion"/>
  </si>
  <si>
    <t>워드</t>
    <phoneticPr fontId="7" type="noConversion"/>
  </si>
  <si>
    <t>엑셀</t>
    <phoneticPr fontId="7" type="noConversion"/>
  </si>
  <si>
    <t>G</t>
  </si>
  <si>
    <t>1;3;4;0;1</t>
    <phoneticPr fontId="2" type="noConversion"/>
  </si>
  <si>
    <t>2.1</t>
  </si>
  <si>
    <t>2.2</t>
  </si>
  <si>
    <t>2.3</t>
  </si>
  <si>
    <t>2.4</t>
  </si>
  <si>
    <t>{"TASK_FIRST_COL":"5","START_ROW":"5","WBS_AREA_LAST_COL":"31"}</t>
    <phoneticPr fontId="7" type="noConversion"/>
  </si>
  <si>
    <t>SCHEDULE_SHEET_POSITION:3545151617181920212223242526272829303132</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</si>
  <si>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</si>
  <si>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</si>
  <si>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</si>
  <si>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</si>
  <si>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</si>
  <si>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</si>
  <si>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</si>
  <si>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</si>
  <si>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 xml:space="preserve">  주별보기, Zoom 100%, 계산 옵션 : 자동</t>
  </si>
  <si>
    <t>DEFINED</t>
    <phoneticPr fontId="7"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</si>
  <si>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</si>
  <si>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</si>
  <si>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</si>
  <si>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</si>
  <si>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</si>
  <si>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XLGantt Version 3.0.0 사용조건</t>
    <phoneticPr fontId="2" type="noConversion"/>
  </si>
  <si>
    <t>Workload data를 주별/월별로 만들어 준다. 피벗 등의 기능으로 사용자가 원하는대로 분석을 할 수 있다.</t>
    <phoneticPr fontId="2" type="noConversion"/>
  </si>
  <si>
    <t>GME-Project</t>
    <phoneticPr fontId="2" type="noConversion"/>
  </si>
  <si>
    <t>D:\12.Document\01.Project\00. 스케쥴\02.2020년</t>
    <phoneticPr fontId="7" type="noConversion"/>
  </si>
  <si>
    <t>Core</t>
  </si>
  <si>
    <t>API</t>
  </si>
  <si>
    <t>iOS/Android</t>
  </si>
  <si>
    <t>1.5</t>
  </si>
  <si>
    <t>Test</t>
  </si>
  <si>
    <t>Publish</t>
  </si>
  <si>
    <t>Reward/Coupon 2nd Phase</t>
  </si>
  <si>
    <t>Notify cs for unsuccessful transaction</t>
  </si>
  <si>
    <t>Chris</t>
  </si>
  <si>
    <t>02/17
W8</t>
  </si>
  <si>
    <t>03/16
W12</t>
  </si>
  <si>
    <t>04/13
W16</t>
  </si>
  <si>
    <t>05/11
W20</t>
  </si>
  <si>
    <t>06/08
W24</t>
  </si>
  <si>
    <t>07/06
W28</t>
  </si>
  <si>
    <t>08/03
W32</t>
  </si>
  <si>
    <t>08/31
W36</t>
  </si>
  <si>
    <t>09/28
W40</t>
  </si>
  <si>
    <t>10/26
W44</t>
  </si>
  <si>
    <t>11/23
W48</t>
  </si>
  <si>
    <t>12/21
W52</t>
  </si>
  <si>
    <t>Transaction details lookup using KFTC API</t>
  </si>
  <si>
    <t>Change customer information</t>
  </si>
  <si>
    <t>Auto Remit with KJ API</t>
  </si>
  <si>
    <t>EXIM Bank API</t>
  </si>
  <si>
    <t>Holding list menu in real-time txn</t>
  </si>
  <si>
    <t>Inbound Txn Report</t>
  </si>
  <si>
    <t>Local topup service using KFTC API</t>
  </si>
  <si>
    <t>Micro loan</t>
  </si>
  <si>
    <t>New individual referral code for everyone</t>
  </si>
  <si>
    <t>JB,Preyea</t>
  </si>
  <si>
    <t>Manoj</t>
  </si>
  <si>
    <t>New registration</t>
  </si>
  <si>
    <t>3.1</t>
  </si>
  <si>
    <t>3.2</t>
  </si>
  <si>
    <t>3.3</t>
  </si>
  <si>
    <t>4.1</t>
  </si>
  <si>
    <t>4.2</t>
  </si>
  <si>
    <t>4.3</t>
  </si>
  <si>
    <t>5.1</t>
  </si>
  <si>
    <t>5.2</t>
  </si>
  <si>
    <t>5.3</t>
  </si>
  <si>
    <t>6.1</t>
  </si>
  <si>
    <t>6.2</t>
  </si>
  <si>
    <t>6.3</t>
  </si>
  <si>
    <t>6.4</t>
  </si>
  <si>
    <t>7.1</t>
  </si>
  <si>
    <t>7.2</t>
  </si>
  <si>
    <t>7.3</t>
  </si>
  <si>
    <t>7.4</t>
  </si>
  <si>
    <t>8.1</t>
  </si>
  <si>
    <t>8.2</t>
  </si>
  <si>
    <t>8.3</t>
  </si>
  <si>
    <t>9.1</t>
  </si>
  <si>
    <t>9.2</t>
  </si>
  <si>
    <t>9.3</t>
  </si>
  <si>
    <t>10.1</t>
  </si>
  <si>
    <t>10.2</t>
  </si>
  <si>
    <t>10.3</t>
  </si>
  <si>
    <t>11.1</t>
  </si>
  <si>
    <t>11.2</t>
  </si>
  <si>
    <t>11.3</t>
  </si>
  <si>
    <t>11.4</t>
  </si>
  <si>
    <t>8.4</t>
  </si>
  <si>
    <t>프로젝트 진척율 - 일정변경 관리할때</t>
    <phoneticPr fontId="7" type="noConversion"/>
  </si>
  <si>
    <t>9.4</t>
  </si>
  <si>
    <t>JB</t>
  </si>
  <si>
    <t>Preyea</t>
  </si>
  <si>
    <t>12.1</t>
  </si>
  <si>
    <t>12.2</t>
  </si>
  <si>
    <t>12.3</t>
  </si>
  <si>
    <t>담당별_x000D_
진행율</t>
  </si>
  <si>
    <t>총작업량(A)_x000D_
Man-day</t>
  </si>
  <si>
    <t>계획작업량(B)_x000D_
Man-day</t>
  </si>
  <si>
    <t>실적기성( C )_x000D_
Man-day</t>
  </si>
  <si>
    <t>실제 총작업량_x000D_
Man-day</t>
  </si>
  <si>
    <t>[담당자미지정] 요약</t>
  </si>
  <si>
    <t>Chris 요약</t>
  </si>
  <si>
    <t>JB 요약</t>
  </si>
  <si>
    <t>Manoj 요약</t>
  </si>
  <si>
    <t>Preyea 요약</t>
  </si>
  <si>
    <t>총합계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</si>
</sst>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60">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11"/>
      <name val="CA"/>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12"/>
      <name val="맑은 고딕"/>
      <family val="3"/>
      <charset val="129"/>
      <scheme val="minor"/>
    </font>
    <font>
      <sz val="8"/>
      <name val="Arial"/>
      <family val="2"/>
    </font>
    <font>
      <sz val="10"/>
      <name val="맑은 고딕"/>
      <family val="3"/>
      <charset val="129"/>
      <scheme val="minor"/>
    </font>
    <font>
      <b/>
      <sz val="11"/>
      <color theme="1"/>
      <name val="맑은 고딕"/>
      <family val="3"/>
      <charset val="129"/>
      <scheme val="minor"/>
    </font>
    <font>
      <sz val="11"/>
      <name val="맑은 고딕"/>
      <family val="3"/>
      <charset val="129"/>
      <scheme val="minor"/>
    </font>
    <font>
      <b/>
      <u/>
      <sz val="11"/>
      <color theme="0"/>
      <name val="맑은 고딕"/>
      <family val="3"/>
      <charset val="129"/>
      <scheme val="minor"/>
    </font>
    <font>
      <b/>
      <sz val="12"/>
      <color theme="1"/>
      <name val="맑은 고딕"/>
      <family val="3"/>
      <charset val="129"/>
      <scheme val="minor"/>
    </font>
    <font>
      <b/>
      <sz val="11"/>
      <color theme="0"/>
      <name val="맑은 고딕"/>
      <family val="3"/>
      <charset val="129"/>
      <scheme val="minor"/>
    </font>
    <font>
      <b/>
      <u/>
      <sz val="11"/>
      <color theme="10"/>
      <name val="맑은 고딕"/>
      <family val="3"/>
      <charset val="129"/>
      <scheme val="minor"/>
    </font>
    <font>
      <b/>
      <u/>
      <sz val="12"/>
      <color rgb="FFFF8800"/>
      <name val="맑은 고딕"/>
      <family val="3"/>
      <charset val="129"/>
      <scheme val="minor"/>
    </font>
    <font>
      <sz val="8"/>
      <name val="Calibri"/>
      <family val="2"/>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sz val="8"/>
      <color theme="0"/>
      <name val="Calibri"/>
      <family val="2"/>
    </font>
    <font>
      <sz val="8"/>
      <color rgb="FFFF8800"/>
      <name val="Calibri"/>
      <family val="2"/>
    </font>
    <font>
      <sz val="9"/>
      <color theme="0"/>
      <name val="맑은 고딕"/>
      <family val="3"/>
      <charset val="129"/>
    </font>
    <font>
      <u/>
      <sz val="11"/>
      <color theme="10"/>
      <name val="맑은 고딕"/>
      <family val="3"/>
      <charset val="129"/>
      <scheme val="minor"/>
    </font>
    <font>
      <b/>
      <sz val="11"/>
      <name val="맑은 고딕"/>
      <family val="3"/>
      <charset val="129"/>
      <scheme val="minor"/>
    </font>
    <font>
      <sz val="11"/>
      <color rgb="FF333333"/>
      <name val="맑은 고딕"/>
      <family val="3"/>
      <charset val="129"/>
      <scheme val="minor"/>
    </font>
    <font>
      <b/>
      <sz val="18"/>
      <color theme="1"/>
      <name val="맑은 고딕"/>
      <family val="3"/>
      <charset val="129"/>
      <scheme val="minor"/>
    </font>
    <font>
      <b/>
      <sz val="14"/>
      <color theme="1"/>
      <name val="맑은 고딕"/>
      <family val="3"/>
      <charset val="129"/>
      <scheme val="minor"/>
    </font>
    <font>
      <sz val="11"/>
      <color theme="1"/>
      <name val="맑은 고딕"/>
      <family val="2"/>
      <scheme val="minor"/>
    </font>
    <font>
      <b/>
      <sz val="14"/>
      <color rgb="FFFF8800"/>
      <name val="Calibri"/>
      <family val="2"/>
    </font>
    <font>
      <b/>
      <sz val="9"/>
      <color rgb="FFFF8800"/>
      <name val="Calibri"/>
      <family val="2"/>
    </font>
    <font>
      <sz val="12"/>
      <color rgb="FF222222"/>
      <name val="맑은 고딕"/>
      <family val="3"/>
      <charset val="129"/>
      <scheme val="minor"/>
    </font>
    <font>
      <sz val="10"/>
      <name val="Calibri"/>
      <family val="3"/>
      <charset val="129"/>
    </font>
    <font>
      <sz val="9"/>
      <name val="Calibri"/>
      <family val="3"/>
    </font>
    <font>
      <b/>
      <sz val="11"/>
      <name val="Calibri"/>
      <family val="2"/>
    </font>
    <font>
      <sz val="11"/>
      <color rgb="FFFF0000"/>
      <name val="Calibri"/>
      <family val="2"/>
    </font>
  </fonts>
  <fills count="19">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3" tint="0.79995117038483843"/>
        <bgColor indexed="64"/>
      </patternFill>
    </fill>
  </fills>
  <borders count="28">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right>
      <top/>
      <bottom/>
      <diagonal/>
    </border>
    <border>
      <left style="thin">
        <color theme="0" tint="-4.9989318521683403E-2"/>
      </left>
      <right style="thin">
        <color theme="0" tint="-4.9989318521683403E-2"/>
      </right>
      <top/>
      <bottom/>
      <diagonal/>
    </border>
    <border>
      <left/>
      <right/>
      <top/>
      <bottom style="thin">
        <color theme="0" tint="-0.34998626667073579"/>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8" fillId="0" borderId="0" applyFont="0" applyFill="0" applyBorder="0" applyAlignment="0" applyProtection="0">
      <alignment vertical="center"/>
    </xf>
    <xf numFmtId="0" fontId="8" fillId="0" borderId="0"/>
    <xf numFmtId="0" fontId="21" fillId="0" borderId="0"/>
    <xf numFmtId="9" fontId="52" fillId="0" borderId="0" applyFont="0" applyFill="0" applyBorder="0" applyAlignment="0" applyProtection="0">
      <alignment vertical="center"/>
    </xf>
  </cellStyleXfs>
  <cellXfs count="290">
    <xf numFmtId="0" fontId="0" fillId="0" borderId="0" xfId="0"/>
    <xf numFmtId="0" fontId="11" fillId="0" borderId="5" xfId="4" applyFont="1" applyFill="1" applyBorder="1" applyAlignment="1" applyProtection="1">
      <alignment horizontal="right" vertical="top"/>
      <protection locked="0"/>
    </xf>
    <xf numFmtId="0" fontId="11" fillId="0" borderId="5" xfId="4" applyFont="1" applyFill="1" applyBorder="1" applyAlignment="1" applyProtection="1">
      <alignment horizontal="left" vertical="top"/>
      <protection locked="0"/>
    </xf>
    <xf numFmtId="14"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left" vertical="top"/>
      <protection locked="0"/>
    </xf>
    <xf numFmtId="176"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center" vertical="top"/>
      <protection locked="0"/>
    </xf>
    <xf numFmtId="177" fontId="11" fillId="0" borderId="5" xfId="4" applyNumberFormat="1" applyFont="1" applyFill="1" applyBorder="1" applyAlignment="1" applyProtection="1">
      <alignment horizontal="center" vertical="top"/>
      <protection locked="0"/>
    </xf>
    <xf numFmtId="1" fontId="11" fillId="0" borderId="5" xfId="4" applyNumberFormat="1" applyFont="1" applyFill="1" applyBorder="1" applyAlignment="1" applyProtection="1">
      <alignment horizontal="center" vertical="top"/>
      <protection locked="0"/>
    </xf>
    <xf numFmtId="178" fontId="11" fillId="0" borderId="5" xfId="4" applyNumberFormat="1" applyFont="1" applyFill="1" applyBorder="1" applyAlignment="1" applyProtection="1">
      <alignment horizontal="center" vertical="top"/>
      <protection locked="0"/>
    </xf>
    <xf numFmtId="14" fontId="11" fillId="0" borderId="5" xfId="4" applyNumberFormat="1" applyFont="1" applyFill="1" applyBorder="1" applyAlignment="1" applyProtection="1">
      <alignment horizontal="left" vertical="top"/>
      <protection locked="0"/>
    </xf>
    <xf numFmtId="10" fontId="11" fillId="0" borderId="5" xfId="3" applyNumberFormat="1" applyFont="1" applyFill="1" applyBorder="1" applyAlignment="1" applyProtection="1">
      <alignment horizontal="right" vertical="top" wrapText="1"/>
      <protection locked="0"/>
    </xf>
    <xf numFmtId="10" fontId="11" fillId="0" borderId="5" xfId="3" applyNumberFormat="1" applyFont="1" applyFill="1" applyBorder="1" applyAlignment="1" applyProtection="1">
      <alignment horizontal="right" vertical="top"/>
      <protection locked="0"/>
    </xf>
    <xf numFmtId="0" fontId="12" fillId="0" borderId="0" xfId="1" applyFont="1" applyFill="1" applyBorder="1" applyAlignment="1">
      <alignment vertical="center"/>
    </xf>
    <xf numFmtId="0" fontId="9" fillId="0" borderId="0" xfId="1" applyFont="1" applyFill="1" applyBorder="1" applyAlignment="1">
      <alignment vertical="center"/>
    </xf>
    <xf numFmtId="14" fontId="13" fillId="0" borderId="0" xfId="4" applyNumberFormat="1" applyFont="1" applyFill="1" applyBorder="1" applyAlignment="1" applyProtection="1">
      <alignment vertical="center"/>
    </xf>
    <xf numFmtId="14" fontId="14" fillId="0" borderId="0" xfId="4" applyNumberFormat="1" applyFont="1" applyFill="1" applyBorder="1" applyAlignment="1" applyProtection="1">
      <alignment vertical="center"/>
    </xf>
    <xf numFmtId="14" fontId="15" fillId="3" borderId="0" xfId="4" quotePrefix="1" applyNumberFormat="1" applyFont="1" applyFill="1" applyBorder="1" applyProtection="1"/>
    <xf numFmtId="14" fontId="15" fillId="3" borderId="0" xfId="4" applyNumberFormat="1" applyFont="1" applyFill="1" applyBorder="1" applyAlignment="1" applyProtection="1">
      <alignment vertical="center"/>
    </xf>
    <xf numFmtId="0" fontId="15" fillId="3" borderId="0" xfId="4" applyFont="1" applyFill="1" applyBorder="1" applyProtection="1"/>
    <xf numFmtId="176" fontId="17" fillId="3" borderId="0" xfId="4" applyNumberFormat="1" applyFont="1" applyFill="1" applyBorder="1" applyAlignment="1" applyProtection="1">
      <alignment vertical="center"/>
      <protection locked="0"/>
    </xf>
    <xf numFmtId="14" fontId="16" fillId="3" borderId="0" xfId="4" applyNumberFormat="1" applyFont="1" applyFill="1" applyBorder="1" applyAlignment="1" applyProtection="1">
      <alignment vertical="center"/>
    </xf>
    <xf numFmtId="14" fontId="15" fillId="0" borderId="6" xfId="4" applyNumberFormat="1" applyFont="1" applyFill="1" applyBorder="1" applyAlignment="1" applyProtection="1">
      <alignment vertical="top"/>
      <protection locked="0"/>
    </xf>
    <xf numFmtId="14" fontId="15" fillId="0" borderId="6" xfId="4" applyNumberFormat="1" applyFont="1" applyFill="1" applyBorder="1" applyAlignment="1" applyProtection="1">
      <alignment vertical="center"/>
      <protection locked="0"/>
    </xf>
    <xf numFmtId="0" fontId="15" fillId="0" borderId="6" xfId="4" applyFont="1" applyFill="1" applyBorder="1" applyAlignment="1" applyProtection="1">
      <alignment vertical="top"/>
      <protection locked="0"/>
    </xf>
    <xf numFmtId="0" fontId="15" fillId="0" borderId="6" xfId="4" applyFont="1" applyFill="1" applyBorder="1" applyAlignment="1" applyProtection="1">
      <alignment vertical="center" wrapText="1"/>
      <protection locked="0"/>
    </xf>
    <xf numFmtId="0" fontId="15" fillId="0" borderId="6" xfId="4" applyFont="1" applyFill="1" applyBorder="1" applyAlignment="1" applyProtection="1">
      <alignment vertical="center"/>
      <protection locked="0"/>
    </xf>
    <xf numFmtId="0" fontId="15" fillId="0" borderId="0" xfId="4" applyFont="1" applyFill="1" applyBorder="1" applyAlignment="1" applyProtection="1">
      <alignment vertical="top"/>
      <protection locked="0"/>
    </xf>
    <xf numFmtId="14" fontId="18" fillId="0" borderId="0" xfId="4" applyNumberFormat="1" applyFont="1" applyFill="1" applyBorder="1" applyAlignment="1" applyProtection="1">
      <alignment horizontal="right" vertical="top"/>
      <protection locked="0"/>
    </xf>
    <xf numFmtId="179" fontId="15" fillId="6" borderId="7" xfId="4" applyNumberFormat="1" applyFont="1" applyFill="1" applyBorder="1" applyAlignment="1" applyProtection="1">
      <alignment vertical="center"/>
      <protection locked="0"/>
    </xf>
    <xf numFmtId="14" fontId="18" fillId="0" borderId="8" xfId="4" applyNumberFormat="1" applyFont="1" applyFill="1" applyBorder="1" applyAlignment="1" applyProtection="1">
      <alignment horizontal="right" vertical="top"/>
      <protection locked="0"/>
    </xf>
    <xf numFmtId="14" fontId="15" fillId="0" borderId="8" xfId="4" applyNumberFormat="1" applyFont="1" applyFill="1" applyBorder="1" applyAlignment="1" applyProtection="1">
      <alignment vertical="center"/>
      <protection locked="0"/>
    </xf>
    <xf numFmtId="0" fontId="15" fillId="0" borderId="8" xfId="4" applyFont="1" applyFill="1" applyBorder="1" applyAlignment="1" applyProtection="1">
      <alignment vertical="top"/>
      <protection locked="0"/>
    </xf>
    <xf numFmtId="0" fontId="15" fillId="0" borderId="8" xfId="4" applyFont="1" applyFill="1" applyBorder="1" applyAlignment="1" applyProtection="1">
      <alignment vertical="center"/>
      <protection locked="0"/>
    </xf>
    <xf numFmtId="14" fontId="18" fillId="0" borderId="0" xfId="4" applyNumberFormat="1" applyFont="1" applyFill="1" applyBorder="1" applyAlignment="1" applyProtection="1">
      <alignment vertical="top"/>
      <protection locked="0"/>
    </xf>
    <xf numFmtId="14" fontId="15" fillId="0" borderId="0" xfId="4" applyNumberFormat="1" applyFont="1" applyFill="1" applyBorder="1" applyAlignment="1" applyProtection="1">
      <alignment vertical="center"/>
      <protection locked="0"/>
    </xf>
    <xf numFmtId="0" fontId="15" fillId="0" borderId="9" xfId="4" applyFont="1" applyFill="1" applyBorder="1" applyAlignment="1" applyProtection="1">
      <alignment vertical="center" wrapText="1"/>
      <protection locked="0"/>
    </xf>
    <xf numFmtId="14" fontId="15" fillId="0" borderId="0" xfId="4" applyNumberFormat="1" applyFont="1" applyFill="1" applyBorder="1" applyAlignment="1" applyProtection="1">
      <alignment vertical="top"/>
      <protection locked="0"/>
    </xf>
    <xf numFmtId="14" fontId="18" fillId="0" borderId="8" xfId="4" applyNumberFormat="1" applyFont="1" applyFill="1" applyBorder="1" applyAlignment="1" applyProtection="1">
      <alignment vertical="top"/>
      <protection locked="0"/>
    </xf>
    <xf numFmtId="0" fontId="15" fillId="0" borderId="8" xfId="4" applyFont="1" applyFill="1" applyBorder="1" applyAlignment="1" applyProtection="1">
      <alignment vertical="center" wrapText="1"/>
      <protection locked="0"/>
    </xf>
    <xf numFmtId="14" fontId="18" fillId="0" borderId="9" xfId="4" applyNumberFormat="1" applyFont="1" applyFill="1" applyBorder="1" applyAlignment="1" applyProtection="1">
      <alignment vertical="center" wrapText="1"/>
      <protection locked="0"/>
    </xf>
    <xf numFmtId="14" fontId="18" fillId="0" borderId="0" xfId="4" applyNumberFormat="1" applyFont="1" applyFill="1" applyBorder="1" applyAlignment="1" applyProtection="1">
      <alignment horizontal="right" vertical="center" wrapText="1"/>
      <protection locked="0"/>
    </xf>
    <xf numFmtId="14" fontId="18" fillId="0" borderId="8" xfId="4" applyNumberFormat="1" applyFont="1" applyFill="1" applyBorder="1" applyAlignment="1" applyProtection="1">
      <alignment vertical="center" wrapText="1"/>
      <protection locked="0"/>
    </xf>
    <xf numFmtId="0" fontId="15" fillId="0" borderId="8" xfId="4" applyFont="1" applyFill="1" applyBorder="1" applyProtection="1">
      <protection locked="0"/>
    </xf>
    <xf numFmtId="0" fontId="15" fillId="0" borderId="0" xfId="4" applyFont="1" applyFill="1" applyBorder="1" applyProtection="1">
      <protection locked="0"/>
    </xf>
    <xf numFmtId="14" fontId="15" fillId="0" borderId="0" xfId="4" applyNumberFormat="1" applyFont="1" applyFill="1" applyBorder="1" applyProtection="1">
      <protection locked="0"/>
    </xf>
    <xf numFmtId="14" fontId="15" fillId="0" borderId="9" xfId="4" applyNumberFormat="1" applyFont="1" applyFill="1" applyBorder="1" applyAlignment="1" applyProtection="1">
      <alignment vertical="center"/>
      <protection locked="0"/>
    </xf>
    <xf numFmtId="0" fontId="15" fillId="0" borderId="9" xfId="4" applyFont="1" applyFill="1" applyBorder="1" applyProtection="1">
      <protection locked="0"/>
    </xf>
    <xf numFmtId="14" fontId="15" fillId="0" borderId="10" xfId="4" applyNumberFormat="1" applyFont="1" applyFill="1" applyBorder="1" applyAlignment="1" applyProtection="1">
      <alignment vertical="center"/>
      <protection locked="0"/>
    </xf>
    <xf numFmtId="0" fontId="15" fillId="0" borderId="10" xfId="4" applyFont="1" applyFill="1" applyBorder="1" applyAlignment="1" applyProtection="1">
      <alignment vertical="top"/>
      <protection locked="0"/>
    </xf>
    <xf numFmtId="14" fontId="18" fillId="0" borderId="9" xfId="4" applyNumberFormat="1" applyFont="1" applyFill="1" applyBorder="1" applyProtection="1">
      <protection locked="0"/>
    </xf>
    <xf numFmtId="10" fontId="15" fillId="6" borderId="7" xfId="3" applyNumberFormat="1" applyFont="1" applyFill="1" applyBorder="1" applyAlignment="1" applyProtection="1">
      <alignment vertical="center"/>
      <protection locked="0"/>
    </xf>
    <xf numFmtId="14" fontId="18" fillId="0" borderId="10" xfId="4" applyNumberFormat="1" applyFont="1" applyFill="1" applyBorder="1" applyAlignment="1" applyProtection="1">
      <alignment horizontal="right" vertical="top"/>
      <protection locked="0"/>
    </xf>
    <xf numFmtId="14" fontId="18" fillId="0" borderId="6" xfId="4" applyNumberFormat="1" applyFont="1" applyFill="1" applyBorder="1" applyAlignment="1" applyProtection="1">
      <alignment horizontal="right" vertical="top"/>
      <protection locked="0"/>
    </xf>
    <xf numFmtId="14" fontId="18" fillId="0" borderId="11" xfId="4" applyNumberFormat="1" applyFont="1" applyFill="1" applyBorder="1" applyAlignment="1" applyProtection="1">
      <alignment horizontal="right" vertical="top"/>
      <protection locked="0"/>
    </xf>
    <xf numFmtId="14" fontId="15" fillId="0" borderId="11" xfId="4" applyNumberFormat="1" applyFont="1" applyFill="1" applyBorder="1" applyAlignment="1" applyProtection="1">
      <alignment vertical="center"/>
      <protection locked="0"/>
    </xf>
    <xf numFmtId="0" fontId="15" fillId="0" borderId="11" xfId="4" applyFont="1" applyFill="1" applyBorder="1" applyAlignment="1" applyProtection="1">
      <alignment vertical="top"/>
      <protection locked="0"/>
    </xf>
    <xf numFmtId="14" fontId="18" fillId="0" borderId="12" xfId="4" applyNumberFormat="1" applyFont="1" applyFill="1" applyBorder="1" applyAlignment="1" applyProtection="1">
      <alignment vertical="top"/>
      <protection locked="0"/>
    </xf>
    <xf numFmtId="14" fontId="15" fillId="0" borderId="12" xfId="4" applyNumberFormat="1" applyFont="1" applyFill="1" applyBorder="1" applyAlignment="1" applyProtection="1">
      <alignment vertical="center"/>
      <protection locked="0"/>
    </xf>
    <xf numFmtId="0" fontId="15" fillId="0" borderId="12" xfId="4" applyFont="1" applyFill="1" applyBorder="1" applyAlignment="1" applyProtection="1">
      <alignment vertical="top"/>
      <protection locked="0"/>
    </xf>
    <xf numFmtId="0" fontId="15" fillId="0" borderId="9" xfId="4" applyFont="1" applyFill="1" applyBorder="1" applyAlignment="1" applyProtection="1">
      <alignment vertical="center"/>
      <protection locked="0"/>
    </xf>
    <xf numFmtId="10" fontId="15" fillId="6" borderId="7" xfId="3" applyNumberFormat="1" applyFont="1" applyFill="1" applyBorder="1" applyAlignment="1" applyProtection="1">
      <alignment vertical="center"/>
    </xf>
    <xf numFmtId="14" fontId="15" fillId="0" borderId="13" xfId="4" applyNumberFormat="1" applyFont="1" applyFill="1" applyBorder="1" applyAlignment="1" applyProtection="1">
      <alignment horizontal="right" vertical="top"/>
      <protection locked="0"/>
    </xf>
    <xf numFmtId="14" fontId="15" fillId="0" borderId="13" xfId="4" applyNumberFormat="1" applyFont="1" applyFill="1" applyBorder="1" applyAlignment="1" applyProtection="1">
      <alignment vertical="center"/>
      <protection locked="0"/>
    </xf>
    <xf numFmtId="0" fontId="15" fillId="0" borderId="13" xfId="4" applyFont="1" applyFill="1" applyBorder="1" applyAlignment="1" applyProtection="1">
      <alignment vertical="top"/>
      <protection locked="0"/>
    </xf>
    <xf numFmtId="0" fontId="15" fillId="0" borderId="13" xfId="4" applyFont="1" applyFill="1" applyBorder="1" applyAlignment="1" applyProtection="1">
      <alignment vertical="center"/>
      <protection locked="0"/>
    </xf>
    <xf numFmtId="14" fontId="14"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4" fillId="0" borderId="0" xfId="4" applyNumberFormat="1" applyFont="1" applyFill="1" applyBorder="1" applyProtection="1">
      <protection locked="0"/>
    </xf>
    <xf numFmtId="179" fontId="14" fillId="0" borderId="0" xfId="3" applyNumberFormat="1" applyFont="1" applyFill="1" applyBorder="1" applyAlignment="1" applyProtection="1">
      <alignment vertical="center"/>
      <protection locked="0"/>
    </xf>
    <xf numFmtId="0" fontId="14" fillId="0" borderId="0" xfId="4" applyFont="1" applyFill="1" applyBorder="1" applyProtection="1">
      <protection locked="0"/>
    </xf>
    <xf numFmtId="1" fontId="14" fillId="0" borderId="0" xfId="4" applyNumberFormat="1" applyFont="1" applyFill="1" applyBorder="1" applyAlignment="1" applyProtection="1">
      <alignment vertical="center"/>
      <protection locked="0"/>
    </xf>
    <xf numFmtId="176" fontId="14" fillId="0" borderId="0" xfId="4" applyNumberFormat="1" applyFont="1" applyFill="1" applyBorder="1" applyAlignment="1" applyProtection="1">
      <alignment vertical="center"/>
      <protection locked="0"/>
    </xf>
    <xf numFmtId="0" fontId="12" fillId="0" borderId="0" xfId="4" applyFont="1" applyFill="1" applyBorder="1" applyAlignment="1">
      <alignment vertical="center"/>
    </xf>
    <xf numFmtId="0" fontId="14" fillId="7" borderId="1" xfId="4" applyFont="1" applyFill="1" applyBorder="1" applyAlignment="1">
      <alignment horizontal="left" wrapText="1"/>
    </xf>
    <xf numFmtId="14" fontId="14" fillId="0" borderId="0" xfId="4" applyNumberFormat="1" applyFont="1" applyFill="1" applyProtection="1"/>
    <xf numFmtId="14" fontId="14" fillId="3" borderId="0" xfId="4" applyNumberFormat="1" applyFont="1" applyFill="1" applyAlignment="1" applyProtection="1">
      <alignment vertical="top"/>
    </xf>
    <xf numFmtId="14" fontId="20" fillId="4" borderId="14" xfId="4" applyNumberFormat="1" applyFont="1" applyFill="1" applyBorder="1" applyAlignment="1" applyProtection="1">
      <alignment horizontal="center" vertical="center"/>
    </xf>
    <xf numFmtId="14" fontId="14" fillId="0" borderId="0" xfId="4" applyNumberFormat="1" applyFont="1" applyAlignment="1" applyProtection="1">
      <alignment horizontal="center" vertical="center"/>
    </xf>
    <xf numFmtId="14" fontId="14" fillId="0" borderId="0" xfId="4" applyNumberFormat="1" applyFont="1" applyProtection="1"/>
    <xf numFmtId="0"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0" fontId="15" fillId="9" borderId="15" xfId="4" applyFont="1" applyFill="1" applyBorder="1" applyAlignment="1">
      <alignment horizontal="left" vertical="top"/>
    </xf>
    <xf numFmtId="0" fontId="15" fillId="0" borderId="0" xfId="4" applyFont="1" applyFill="1" applyAlignment="1">
      <alignment horizontal="left" vertical="top"/>
    </xf>
    <xf numFmtId="0" fontId="15" fillId="0" borderId="0" xfId="4" applyFont="1" applyFill="1" applyBorder="1" applyAlignment="1">
      <alignment vertical="top"/>
    </xf>
    <xf numFmtId="0" fontId="15" fillId="0" borderId="0" xfId="4" applyFont="1" applyFill="1" applyBorder="1" applyAlignment="1">
      <alignment horizontal="left" vertical="top"/>
    </xf>
    <xf numFmtId="0" fontId="15" fillId="0" borderId="0" xfId="4" applyFont="1" applyFill="1" applyAlignment="1">
      <alignment vertical="top"/>
    </xf>
    <xf numFmtId="0" fontId="15" fillId="0" borderId="0" xfId="4" quotePrefix="1" applyFont="1" applyFill="1" applyBorder="1" applyAlignment="1">
      <alignment horizontal="left" vertical="top"/>
    </xf>
    <xf numFmtId="14" fontId="15" fillId="0" borderId="0" xfId="4" applyNumberFormat="1" applyFont="1" applyFill="1" applyBorder="1" applyAlignment="1">
      <alignment horizontal="left" vertical="top"/>
    </xf>
    <xf numFmtId="0" fontId="15" fillId="0" borderId="15" xfId="4" applyFont="1" applyFill="1" applyBorder="1" applyAlignment="1">
      <alignment vertical="top"/>
    </xf>
    <xf numFmtId="0" fontId="15" fillId="0" borderId="15" xfId="4" applyFont="1" applyFill="1" applyBorder="1" applyAlignment="1">
      <alignment horizontal="left" vertical="top"/>
    </xf>
    <xf numFmtId="14" fontId="15" fillId="0" borderId="0" xfId="4" applyNumberFormat="1" applyFont="1" applyFill="1" applyAlignment="1">
      <alignment horizontal="left" vertical="top"/>
    </xf>
    <xf numFmtId="1" fontId="15" fillId="0" borderId="0" xfId="4" applyNumberFormat="1" applyFont="1" applyFill="1" applyAlignment="1">
      <alignment horizontal="left" vertical="top"/>
    </xf>
    <xf numFmtId="22" fontId="15" fillId="0" borderId="0" xfId="4" applyNumberFormat="1" applyFont="1" applyFill="1" applyAlignment="1">
      <alignment horizontal="left" vertical="top"/>
    </xf>
    <xf numFmtId="14" fontId="15" fillId="0" borderId="0" xfId="4" applyNumberFormat="1" applyFont="1" applyFill="1" applyAlignment="1">
      <alignment vertical="top"/>
    </xf>
    <xf numFmtId="0" fontId="22" fillId="0" borderId="0" xfId="0" applyFont="1" applyAlignment="1"/>
    <xf numFmtId="0" fontId="11" fillId="0" borderId="4" xfId="4" applyFont="1" applyFill="1" applyBorder="1" applyAlignment="1" applyProtection="1">
      <alignment horizontal="left" vertical="center"/>
      <protection locked="0"/>
    </xf>
    <xf numFmtId="0" fontId="11" fillId="0" borderId="5" xfId="4" applyFont="1" applyFill="1" applyBorder="1" applyAlignment="1" applyProtection="1">
      <alignment vertical="top"/>
      <protection locked="0"/>
    </xf>
    <xf numFmtId="0" fontId="12"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28" fillId="11" borderId="0" xfId="1" applyNumberFormat="1" applyFont="1" applyFill="1" applyBorder="1" applyAlignment="1">
      <alignment horizontal="left" vertical="top" wrapText="1"/>
    </xf>
    <xf numFmtId="0" fontId="17" fillId="11" borderId="0" xfId="1" applyFont="1" applyFill="1" applyBorder="1" applyAlignment="1">
      <alignment horizontal="center" vertical="top"/>
    </xf>
    <xf numFmtId="0" fontId="12"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2"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7" fillId="11" borderId="0" xfId="2" applyFont="1" applyFill="1" applyBorder="1" applyAlignment="1">
      <alignment vertical="top" wrapText="1"/>
    </xf>
    <xf numFmtId="0" fontId="17" fillId="11" borderId="0" xfId="2" applyNumberFormat="1" applyFont="1" applyFill="1" applyBorder="1" applyAlignment="1">
      <alignment vertical="top"/>
    </xf>
    <xf numFmtId="0" fontId="17"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24" fillId="11" borderId="0" xfId="1" applyFont="1" applyFill="1" applyBorder="1" applyAlignment="1">
      <alignment horizontal="left" vertical="top"/>
    </xf>
    <xf numFmtId="0" fontId="25" fillId="11" borderId="0" xfId="1" applyFont="1" applyFill="1" applyBorder="1" applyAlignment="1">
      <alignment horizontal="left" vertical="top"/>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9" fillId="0" borderId="0" xfId="0" applyFont="1"/>
    <xf numFmtId="0" fontId="31" fillId="0" borderId="0" xfId="0" applyFont="1" applyProtection="1">
      <protection locked="0"/>
    </xf>
    <xf numFmtId="0" fontId="32" fillId="0" borderId="0" xfId="0" applyFont="1" applyProtection="1">
      <protection locked="0"/>
    </xf>
    <xf numFmtId="0" fontId="31" fillId="0" borderId="0" xfId="0" applyFont="1" applyAlignment="1" applyProtection="1">
      <alignment vertical="center"/>
      <protection locked="0"/>
    </xf>
    <xf numFmtId="0" fontId="29" fillId="0" borderId="0" xfId="0" applyFont="1" applyAlignment="1">
      <alignment vertical="center"/>
    </xf>
    <xf numFmtId="0" fontId="33" fillId="0" borderId="0" xfId="0" applyFont="1" applyAlignment="1">
      <alignment vertical="center"/>
    </xf>
    <xf numFmtId="0" fontId="34" fillId="12" borderId="17" xfId="2" applyFont="1" applyFill="1" applyBorder="1" applyAlignment="1" applyProtection="1">
      <alignment horizontal="center" vertical="center" wrapText="1"/>
      <protection locked="0"/>
    </xf>
    <xf numFmtId="0" fontId="36" fillId="12" borderId="17" xfId="2" applyFont="1" applyFill="1" applyBorder="1" applyAlignment="1" applyProtection="1">
      <alignment horizontal="center" vertical="center" wrapText="1"/>
      <protection locked="0"/>
    </xf>
    <xf numFmtId="0" fontId="37" fillId="0" borderId="18" xfId="2" applyFont="1" applyFill="1" applyBorder="1" applyAlignment="1" applyProtection="1">
      <alignment horizontal="center" vertical="center" wrapText="1"/>
      <protection locked="0"/>
    </xf>
    <xf numFmtId="0" fontId="34" fillId="13" borderId="17" xfId="2" applyFont="1" applyFill="1" applyBorder="1" applyAlignment="1" applyProtection="1">
      <alignment horizontal="center" vertical="center" wrapText="1"/>
      <protection locked="0"/>
    </xf>
    <xf numFmtId="0" fontId="34" fillId="14" borderId="17" xfId="2" applyFont="1" applyFill="1" applyBorder="1" applyAlignment="1" applyProtection="1">
      <alignment horizontal="center" vertical="center" wrapText="1"/>
      <protection locked="0"/>
    </xf>
    <xf numFmtId="14" fontId="0" fillId="0" borderId="0" xfId="0" applyNumberFormat="1"/>
    <xf numFmtId="0" fontId="39" fillId="0" borderId="0" xfId="4" applyFont="1" applyFill="1" applyBorder="1" applyAlignment="1" applyProtection="1">
      <alignment horizontal="left" vertical="center"/>
    </xf>
    <xf numFmtId="0" fontId="29" fillId="0" borderId="0" xfId="0" applyFont="1" applyAlignment="1">
      <alignment horizontal="center"/>
    </xf>
    <xf numFmtId="0" fontId="31" fillId="0" borderId="0" xfId="0" applyFont="1" applyAlignment="1" applyProtection="1">
      <alignment horizontal="center"/>
      <protection locked="0"/>
    </xf>
    <xf numFmtId="0" fontId="35" fillId="0" borderId="0" xfId="0" applyFont="1" applyAlignment="1" applyProtection="1">
      <alignment horizontal="center"/>
      <protection locked="0"/>
    </xf>
    <xf numFmtId="0" fontId="29" fillId="0" borderId="0" xfId="0" applyFont="1" applyAlignment="1">
      <alignment horizontal="center" vertical="center"/>
    </xf>
    <xf numFmtId="0" fontId="32" fillId="0" borderId="0" xfId="0" applyFont="1" applyAlignment="1" applyProtection="1">
      <alignment horizontal="center"/>
      <protection locked="0"/>
    </xf>
    <xf numFmtId="9" fontId="0" fillId="0" borderId="0" xfId="0" applyNumberFormat="1"/>
    <xf numFmtId="0" fontId="40" fillId="4" borderId="1" xfId="4" applyFont="1" applyFill="1" applyBorder="1" applyAlignment="1">
      <alignment horizontal="center" vertical="center"/>
    </xf>
    <xf numFmtId="0" fontId="40" fillId="4" borderId="1" xfId="4" applyFont="1" applyFill="1" applyBorder="1" applyAlignment="1">
      <alignment horizontal="center" vertical="center" wrapText="1"/>
    </xf>
    <xf numFmtId="0" fontId="41" fillId="0" borderId="0" xfId="0" applyFont="1" applyAlignment="1">
      <alignment vertical="top"/>
    </xf>
    <xf numFmtId="0" fontId="41" fillId="0" borderId="0" xfId="0" applyFont="1" applyAlignment="1">
      <alignment horizontal="center" vertical="top"/>
    </xf>
    <xf numFmtId="0" fontId="42" fillId="0" borderId="0" xfId="0" applyFont="1" applyAlignment="1">
      <alignment vertical="top"/>
    </xf>
    <xf numFmtId="0" fontId="41" fillId="0" borderId="0" xfId="0" applyFont="1" applyAlignment="1">
      <alignment vertical="top" wrapText="1"/>
    </xf>
    <xf numFmtId="0" fontId="41" fillId="0" borderId="0" xfId="5" applyFont="1" applyFill="1" applyBorder="1" applyAlignment="1">
      <alignment horizontal="left" vertical="top" wrapText="1"/>
    </xf>
    <xf numFmtId="0" fontId="41" fillId="0" borderId="0" xfId="5" applyFont="1" applyFill="1" applyBorder="1" applyAlignment="1">
      <alignment horizontal="left" vertical="top"/>
    </xf>
    <xf numFmtId="0" fontId="42" fillId="0" borderId="0" xfId="5" applyFont="1" applyFill="1" applyBorder="1" applyAlignment="1">
      <alignment horizontal="left" vertical="top"/>
    </xf>
    <xf numFmtId="0" fontId="43" fillId="0" borderId="0" xfId="4" applyFont="1" applyAlignment="1">
      <alignment vertical="top"/>
    </xf>
    <xf numFmtId="0" fontId="41" fillId="0" borderId="0" xfId="5" applyNumberFormat="1" applyFont="1" applyFill="1" applyBorder="1" applyAlignment="1">
      <alignment horizontal="left" vertical="top" wrapText="1"/>
    </xf>
    <xf numFmtId="14" fontId="41" fillId="0" borderId="0" xfId="5" applyNumberFormat="1" applyFont="1" applyFill="1" applyBorder="1" applyAlignment="1">
      <alignment horizontal="left" vertical="top" wrapText="1"/>
    </xf>
    <xf numFmtId="0" fontId="43" fillId="0" borderId="0" xfId="5" applyFont="1" applyFill="1" applyBorder="1" applyAlignment="1">
      <alignment horizontal="left" vertical="top"/>
    </xf>
    <xf numFmtId="0" fontId="42" fillId="0" borderId="0" xfId="5" applyFont="1" applyFill="1" applyBorder="1" applyAlignment="1">
      <alignment horizontal="left" vertical="top" wrapText="1"/>
    </xf>
    <xf numFmtId="0" fontId="41" fillId="0" borderId="0" xfId="0" applyFont="1" applyAlignment="1"/>
    <xf numFmtId="0" fontId="39" fillId="0" borderId="0" xfId="1" applyFont="1" applyFill="1" applyBorder="1" applyAlignment="1">
      <alignment horizontal="left" vertical="center"/>
    </xf>
    <xf numFmtId="0" fontId="29" fillId="11" borderId="0" xfId="0" applyFont="1" applyFill="1" applyBorder="1" applyAlignment="1">
      <alignment vertical="center"/>
    </xf>
    <xf numFmtId="0" fontId="23" fillId="0" borderId="0" xfId="4" quotePrefix="1" applyNumberFormat="1" applyFont="1" applyFill="1" applyBorder="1" applyAlignment="1" applyProtection="1">
      <alignment horizontal="right"/>
      <protection locked="0"/>
    </xf>
    <xf numFmtId="0" fontId="14" fillId="7" borderId="2" xfId="4" applyFont="1" applyFill="1" applyBorder="1" applyAlignment="1">
      <alignment horizontal="left" wrapText="1"/>
    </xf>
    <xf numFmtId="0" fontId="23" fillId="0" borderId="0" xfId="4" applyNumberFormat="1" applyFont="1" applyFill="1" applyBorder="1" applyProtection="1">
      <protection locked="0"/>
    </xf>
    <xf numFmtId="0" fontId="14" fillId="0" borderId="0" xfId="4" applyNumberFormat="1" applyFont="1" applyBorder="1"/>
    <xf numFmtId="14" fontId="23" fillId="0" borderId="0" xfId="4" applyNumberFormat="1" applyFont="1" applyFill="1" applyBorder="1" applyAlignment="1" applyProtection="1">
      <alignment horizontal="right"/>
      <protection locked="0"/>
    </xf>
    <xf numFmtId="14" fontId="23" fillId="0" borderId="0" xfId="4" applyNumberFormat="1" applyFont="1" applyFill="1" applyBorder="1" applyAlignment="1" applyProtection="1">
      <alignment horizontal="left"/>
      <protection locked="0"/>
    </xf>
    <xf numFmtId="10" fontId="23" fillId="0" borderId="0" xfId="4" applyNumberFormat="1" applyFont="1" applyFill="1" applyBorder="1" applyAlignment="1" applyProtection="1">
      <alignment horizontal="center"/>
      <protection locked="0"/>
    </xf>
    <xf numFmtId="10" fontId="23" fillId="0" borderId="0" xfId="4" applyNumberFormat="1" applyFont="1" applyFill="1" applyBorder="1" applyProtection="1">
      <protection locked="0"/>
    </xf>
    <xf numFmtId="10" fontId="0" fillId="0" borderId="0" xfId="0" applyNumberFormat="1"/>
    <xf numFmtId="0" fontId="36" fillId="10" borderId="17" xfId="2" applyFont="1" applyFill="1" applyBorder="1" applyAlignment="1" applyProtection="1">
      <alignment horizontal="center" vertical="center" wrapText="1"/>
      <protection locked="0"/>
    </xf>
    <xf numFmtId="0" fontId="34" fillId="15" borderId="17" xfId="2" applyFont="1" applyFill="1" applyBorder="1" applyAlignment="1" applyProtection="1">
      <alignment horizontal="center" vertical="center" wrapText="1"/>
      <protection locked="0"/>
    </xf>
    <xf numFmtId="0" fontId="34" fillId="16" borderId="17" xfId="2" applyFont="1" applyFill="1" applyBorder="1" applyAlignment="1" applyProtection="1">
      <alignment horizontal="center" vertical="center" wrapText="1"/>
      <protection locked="0"/>
    </xf>
    <xf numFmtId="0" fontId="47" fillId="0" borderId="18" xfId="2" applyFont="1" applyFill="1" applyBorder="1" applyAlignment="1" applyProtection="1">
      <alignment horizontal="center" vertical="center" wrapText="1"/>
      <protection locked="0"/>
    </xf>
    <xf numFmtId="0" fontId="35" fillId="17" borderId="0" xfId="0" applyFont="1" applyFill="1" applyAlignment="1" applyProtection="1">
      <alignment horizontal="left"/>
      <protection locked="0"/>
    </xf>
    <xf numFmtId="0" fontId="31" fillId="17" borderId="0" xfId="0" applyFont="1" applyFill="1" applyProtection="1">
      <protection locked="0"/>
    </xf>
    <xf numFmtId="0" fontId="32" fillId="17" borderId="0" xfId="0" applyFont="1" applyFill="1" applyProtection="1">
      <protection locked="0"/>
    </xf>
    <xf numFmtId="0" fontId="31" fillId="17" borderId="0" xfId="0" applyFont="1" applyFill="1" applyAlignment="1" applyProtection="1">
      <alignment vertical="center"/>
      <protection locked="0"/>
    </xf>
    <xf numFmtId="0" fontId="51" fillId="0" borderId="0" xfId="0" applyFont="1" applyAlignment="1" applyProtection="1">
      <alignment horizontal="center"/>
      <protection locked="0"/>
    </xf>
    <xf numFmtId="180" fontId="45" fillId="5" borderId="19" xfId="4" applyNumberFormat="1" applyFont="1" applyFill="1" applyBorder="1" applyAlignment="1" applyProtection="1">
      <alignment horizontal="center" vertical="center"/>
    </xf>
    <xf numFmtId="180" fontId="45" fillId="5" borderId="21" xfId="4" applyNumberFormat="1" applyFont="1" applyFill="1" applyBorder="1" applyAlignment="1" applyProtection="1">
      <alignment horizontal="center" vertical="center"/>
    </xf>
    <xf numFmtId="0" fontId="4" fillId="11" borderId="0" xfId="1" applyFont="1" applyFill="1" applyBorder="1" applyAlignment="1">
      <alignment horizontal="left" vertical="center"/>
    </xf>
    <xf numFmtId="0" fontId="53" fillId="11" borderId="0" xfId="2" applyFont="1" applyFill="1" applyBorder="1" applyAlignment="1">
      <alignment horizontal="left" vertical="center"/>
    </xf>
    <xf numFmtId="0" fontId="54" fillId="11" borderId="0" xfId="1" applyFont="1" applyFill="1" applyBorder="1" applyAlignment="1">
      <alignment horizontal="left" vertical="center"/>
    </xf>
    <xf numFmtId="0" fontId="0" fillId="9" borderId="0" xfId="0" applyFill="1"/>
    <xf numFmtId="14" fontId="0" fillId="9" borderId="0" xfId="0" applyNumberFormat="1" applyFill="1"/>
    <xf numFmtId="0" fontId="45" fillId="0" borderId="0" xfId="4" applyFont="1" applyFill="1" applyBorder="1" applyAlignment="1" applyProtection="1">
      <alignment horizontal="left" vertical="center"/>
    </xf>
    <xf numFmtId="14" fontId="33" fillId="8" borderId="14" xfId="0" applyNumberFormat="1" applyFont="1" applyFill="1" applyBorder="1" applyProtection="1">
      <protection locked="0"/>
    </xf>
    <xf numFmtId="14" fontId="33" fillId="0" borderId="14" xfId="0" applyNumberFormat="1" applyFont="1" applyBorder="1" applyProtection="1">
      <protection locked="0"/>
    </xf>
    <xf numFmtId="14" fontId="33" fillId="0" borderId="0" xfId="4" applyNumberFormat="1" applyFont="1" applyProtection="1"/>
    <xf numFmtId="14" fontId="33" fillId="8" borderId="14" xfId="4" applyNumberFormat="1" applyFont="1" applyFill="1" applyBorder="1" applyProtection="1">
      <protection locked="0"/>
    </xf>
    <xf numFmtId="14" fontId="33" fillId="0" borderId="14" xfId="4" applyNumberFormat="1" applyFont="1" applyBorder="1" applyProtection="1">
      <protection locked="0"/>
    </xf>
    <xf numFmtId="0" fontId="55" fillId="0" borderId="0" xfId="4" applyFont="1"/>
    <xf numFmtId="14" fontId="33" fillId="0" borderId="14" xfId="0" applyNumberFormat="1" applyFont="1" applyFill="1" applyBorder="1" applyProtection="1">
      <protection locked="0"/>
    </xf>
    <xf numFmtId="14" fontId="33" fillId="0" borderId="14" xfId="4" applyNumberFormat="1" applyFont="1" applyBorder="1" applyProtection="1"/>
    <xf numFmtId="0" fontId="14" fillId="0" borderId="0" xfId="4" applyFont="1" applyBorder="1"/>
    <xf numFmtId="0" fontId="14" fillId="7" borderId="2" xfId="4" applyNumberFormat="1" applyFont="1" applyFill="1" applyBorder="1" applyAlignment="1">
      <alignment horizontal="left" wrapText="1"/>
    </xf>
    <xf numFmtId="0" fontId="11" fillId="0" borderId="23" xfId="4" applyFont="1" applyFill="1" applyBorder="1" applyAlignment="1" applyProtection="1">
      <alignment horizontal="left" vertical="center"/>
      <protection locked="0"/>
    </xf>
    <xf numFmtId="0" fontId="11" fillId="0" borderId="24" xfId="4" applyFont="1" applyFill="1" applyBorder="1" applyAlignment="1" applyProtection="1">
      <alignment horizontal="left" vertical="center"/>
      <protection locked="0"/>
    </xf>
    <xf numFmtId="0" fontId="11" fillId="0" borderId="25" xfId="4" applyFont="1" applyFill="1" applyBorder="1" applyAlignment="1" applyProtection="1">
      <alignment horizontal="left" vertical="center"/>
      <protection locked="0"/>
    </xf>
    <xf numFmtId="0" fontId="11" fillId="0" borderId="26" xfId="4" applyFont="1" applyFill="1" applyBorder="1" applyAlignment="1" applyProtection="1">
      <alignment vertical="top"/>
      <protection locked="0"/>
    </xf>
    <xf numFmtId="0" fontId="11" fillId="0" borderId="26" xfId="4" applyFont="1" applyFill="1" applyBorder="1" applyAlignment="1" applyProtection="1">
      <alignment horizontal="right" vertical="top"/>
      <protection locked="0"/>
    </xf>
    <xf numFmtId="0" fontId="11" fillId="0" borderId="26" xfId="4" applyFont="1" applyFill="1" applyBorder="1" applyAlignment="1" applyProtection="1">
      <alignment horizontal="left" vertical="top"/>
      <protection locked="0"/>
    </xf>
    <xf numFmtId="14" fontId="11" fillId="0" borderId="26" xfId="4" applyNumberFormat="1" applyFont="1" applyFill="1" applyBorder="1" applyAlignment="1" applyProtection="1">
      <alignment horizontal="center" vertical="top"/>
      <protection locked="0"/>
    </xf>
    <xf numFmtId="0" fontId="11" fillId="0" borderId="26" xfId="4" applyNumberFormat="1" applyFont="1" applyFill="1" applyBorder="1" applyAlignment="1" applyProtection="1">
      <alignment horizontal="center" vertical="top"/>
      <protection locked="0"/>
    </xf>
    <xf numFmtId="0" fontId="11" fillId="0" borderId="26" xfId="4" applyNumberFormat="1" applyFont="1" applyFill="1" applyBorder="1" applyAlignment="1" applyProtection="1">
      <alignment horizontal="left" vertical="top"/>
      <protection locked="0"/>
    </xf>
    <xf numFmtId="176" fontId="11" fillId="0" borderId="26" xfId="4" applyNumberFormat="1" applyFont="1" applyFill="1" applyBorder="1" applyAlignment="1" applyProtection="1">
      <alignment horizontal="center" vertical="top"/>
      <protection locked="0"/>
    </xf>
    <xf numFmtId="177" fontId="11" fillId="0" borderId="26" xfId="4" applyNumberFormat="1" applyFont="1" applyFill="1" applyBorder="1" applyAlignment="1" applyProtection="1">
      <alignment horizontal="center" vertical="top"/>
      <protection locked="0"/>
    </xf>
    <xf numFmtId="1" fontId="11" fillId="0" borderId="26" xfId="4" applyNumberFormat="1" applyFont="1" applyFill="1" applyBorder="1" applyAlignment="1" applyProtection="1">
      <alignment horizontal="center" vertical="top"/>
      <protection locked="0"/>
    </xf>
    <xf numFmtId="178" fontId="11" fillId="0" borderId="26" xfId="4" applyNumberFormat="1" applyFont="1" applyFill="1" applyBorder="1" applyAlignment="1" applyProtection="1">
      <alignment horizontal="center" vertical="top"/>
      <protection locked="0"/>
    </xf>
    <xf numFmtId="14" fontId="11" fillId="0" borderId="26" xfId="4" applyNumberFormat="1" applyFont="1" applyFill="1" applyBorder="1" applyAlignment="1" applyProtection="1">
      <alignment horizontal="left" vertical="top"/>
      <protection locked="0"/>
    </xf>
    <xf numFmtId="10" fontId="11" fillId="0" borderId="26" xfId="3" applyNumberFormat="1" applyFont="1" applyFill="1" applyBorder="1" applyAlignment="1" applyProtection="1">
      <alignment horizontal="right" vertical="top" wrapText="1"/>
      <protection locked="0"/>
    </xf>
    <xf numFmtId="10" fontId="11" fillId="0" borderId="26" xfId="3" applyNumberFormat="1" applyFont="1" applyFill="1" applyBorder="1" applyAlignment="1" applyProtection="1">
      <alignment horizontal="right" vertical="top"/>
      <protection locked="0"/>
    </xf>
    <xf numFmtId="0" fontId="11" fillId="0" borderId="27" xfId="4" applyFont="1" applyFill="1" applyBorder="1" applyAlignment="1" applyProtection="1">
      <alignment vertical="top"/>
      <protection locked="0"/>
    </xf>
    <xf numFmtId="0" fontId="11" fillId="0" borderId="27" xfId="4" applyFont="1" applyFill="1" applyBorder="1" applyAlignment="1" applyProtection="1">
      <alignment horizontal="left" vertical="top"/>
      <protection locked="0"/>
    </xf>
    <xf numFmtId="14"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left" vertical="top"/>
      <protection locked="0"/>
    </xf>
    <xf numFmtId="176" fontId="11" fillId="0" borderId="27" xfId="4" applyNumberFormat="1" applyFont="1" applyFill="1" applyBorder="1" applyAlignment="1" applyProtection="1">
      <alignment horizontal="center" vertical="top"/>
      <protection locked="0"/>
    </xf>
    <xf numFmtId="177" fontId="11" fillId="0" borderId="27" xfId="4" applyNumberFormat="1" applyFont="1" applyFill="1" applyBorder="1" applyAlignment="1" applyProtection="1">
      <alignment horizontal="center" vertical="top"/>
      <protection locked="0"/>
    </xf>
    <xf numFmtId="1" fontId="11" fillId="0" borderId="27" xfId="4" applyNumberFormat="1" applyFont="1" applyFill="1" applyBorder="1" applyAlignment="1" applyProtection="1">
      <alignment horizontal="center" vertical="top"/>
      <protection locked="0"/>
    </xf>
    <xf numFmtId="178" fontId="11" fillId="0" borderId="27" xfId="4" applyNumberFormat="1" applyFont="1" applyFill="1" applyBorder="1" applyAlignment="1" applyProtection="1">
      <alignment horizontal="center" vertical="top"/>
      <protection locked="0"/>
    </xf>
    <xf numFmtId="14" fontId="11" fillId="0" borderId="27" xfId="4" applyNumberFormat="1" applyFont="1" applyFill="1" applyBorder="1" applyAlignment="1" applyProtection="1">
      <alignment horizontal="left" vertical="top"/>
      <protection locked="0"/>
    </xf>
    <xf numFmtId="10" fontId="11" fillId="0" borderId="27" xfId="6" applyNumberFormat="1" applyFont="1" applyFill="1" applyBorder="1" applyAlignment="1" applyProtection="1">
      <alignment horizontal="right" vertical="top" wrapText="1"/>
      <protection locked="0"/>
    </xf>
    <xf numFmtId="10" fontId="11" fillId="0" borderId="27" xfId="6" applyNumberFormat="1" applyFont="1" applyFill="1" applyBorder="1" applyAlignment="1" applyProtection="1">
      <alignment horizontal="right" vertical="top"/>
      <protection locked="0"/>
    </xf>
    <xf numFmtId="0" fontId="45" fillId="5" borderId="21" xfId="4" applyFont="1" applyFill="1" applyBorder="1" applyAlignment="1" applyProtection="1">
      <alignment horizontal="left" vertical="center"/>
    </xf>
    <xf numFmtId="0" fontId="45" fillId="5" borderId="20" xfId="4" applyFont="1" applyFill="1" applyBorder="1" applyAlignment="1" applyProtection="1">
      <alignment horizontal="left" vertical="center"/>
    </xf>
    <xf numFmtId="0" fontId="11" fillId="0" borderId="27" xfId="4" quotePrefix="1" applyFont="1" applyFill="1" applyBorder="1" applyAlignment="1" applyProtection="1">
      <alignment horizontal="right" vertical="top"/>
      <protection locked="0"/>
    </xf>
    <xf numFmtId="0" fontId="11" fillId="0" borderId="27" xfId="4" quotePrefix="1" applyFont="1" applyBorder="1" applyAlignment="1" applyProtection="1">
      <alignment horizontal="right" vertical="top"/>
      <protection locked="0"/>
    </xf>
    <xf numFmtId="0" fontId="57" fillId="0" borderId="27" xfId="4" applyFont="1" applyBorder="1" applyAlignment="1" applyProtection="1">
      <alignment horizontal="left" vertical="top"/>
      <protection locked="0"/>
    </xf>
    <xf numFmtId="0" fontId="11" fillId="0" borderId="27" xfId="4" applyFont="1" applyBorder="1" applyAlignment="1" applyProtection="1">
      <alignment horizontal="left" vertical="top"/>
      <protection locked="0"/>
    </xf>
    <xf numFmtId="0" fontId="11" fillId="0" borderId="27" xfId="4" applyFont="1" applyFill="1" applyBorder="1" applyAlignment="1" applyProtection="1">
      <alignment horizontal="right" vertical="top"/>
      <protection locked="0"/>
    </xf>
    <xf numFmtId="14" fontId="14" fillId="0" borderId="0" xfId="4" applyNumberFormat="1" applyFont="1" applyBorder="1"/>
    <xf numFmtId="0" fontId="14" fillId="7" borderId="3" xfId="4" applyFont="1" applyFill="1" applyBorder="1" applyAlignment="1">
      <alignment horizontal="left" wrapText="1"/>
    </xf>
    <xf numFmtId="0" fontId="14" fillId="0" borderId="0" xfId="4" quotePrefix="1" applyFont="1" applyBorder="1"/>
    <xf numFmtId="0" fontId="5" fillId="0" borderId="0" xfId="2" quotePrefix="1" applyBorder="1"/>
    <xf numFmtId="0" fontId="58" fillId="18" borderId="0" xfId="4" quotePrefix="1" applyFont="1" applyFill="1" applyBorder="1"/>
    <xf numFmtId="0" fontId="5" fillId="18" borderId="0" xfId="2" quotePrefix="1" applyFill="1" applyBorder="1"/>
    <xf numFmtId="0" fontId="14" fillId="18" borderId="0" xfId="4" quotePrefix="1" applyFont="1" applyFill="1" applyBorder="1"/>
    <xf numFmtId="14" fontId="14" fillId="18" borderId="0" xfId="4" applyNumberFormat="1" applyFont="1" applyFill="1" applyBorder="1"/>
    <xf numFmtId="0" fontId="14" fillId="18" borderId="0" xfId="4" applyFont="1" applyFill="1" applyBorder="1"/>
    <xf numFmtId="0" fontId="14" fillId="18" borderId="0" xfId="4" applyNumberFormat="1" applyFont="1" applyFill="1" applyBorder="1"/>
    <xf numFmtId="0" fontId="58" fillId="18" borderId="0" xfId="4" applyFont="1" applyFill="1" applyBorder="1"/>
    <xf numFmtId="10" fontId="14" fillId="0" borderId="0" xfId="4" applyNumberFormat="1" applyFont="1" applyBorder="1"/>
    <xf numFmtId="10" fontId="14" fillId="18" borderId="0" xfId="4" applyNumberFormat="1" applyFont="1" applyFill="1" applyBorder="1"/>
    <xf numFmtId="10" fontId="59" fillId="0" borderId="0" xfId="4" applyNumberFormat="1" applyFont="1" applyBorder="1"/>
    <xf numFmtId="10" fontId="59" fillId="18" borderId="0" xfId="4" applyNumberFormat="1" applyFont="1" applyFill="1" applyBorder="1"/>
    <xf numFmtId="0" fontId="33" fillId="0" borderId="18" xfId="0" applyFont="1" applyFill="1" applyBorder="1" applyAlignment="1" applyProtection="1">
      <alignment horizontal="left" vertical="top" wrapText="1"/>
      <protection locked="0"/>
    </xf>
    <xf numFmtId="0" fontId="49" fillId="17" borderId="0" xfId="0" applyFont="1" applyFill="1" applyAlignment="1">
      <alignment horizontal="left" vertical="top" wrapText="1"/>
    </xf>
    <xf numFmtId="0" fontId="38" fillId="11" borderId="0" xfId="2" applyFont="1" applyFill="1" applyBorder="1" applyAlignment="1" applyProtection="1">
      <alignment horizontal="right"/>
    </xf>
    <xf numFmtId="0" fontId="48" fillId="11" borderId="22" xfId="2" applyFont="1" applyFill="1" applyBorder="1" applyAlignment="1" applyProtection="1">
      <alignment horizontal="right" vertical="center"/>
    </xf>
    <xf numFmtId="0" fontId="29" fillId="0" borderId="0" xfId="0" applyFont="1" applyFill="1" applyAlignment="1">
      <alignment horizontal="left" vertical="top" wrapText="1"/>
    </xf>
    <xf numFmtId="0" fontId="33" fillId="0" borderId="15" xfId="0" applyFont="1" applyFill="1" applyBorder="1" applyAlignment="1" applyProtection="1">
      <alignment horizontal="left" vertical="center" wrapText="1"/>
      <protection locked="0"/>
    </xf>
    <xf numFmtId="0" fontId="33" fillId="0" borderId="18" xfId="0" applyFont="1" applyFill="1" applyBorder="1" applyAlignment="1" applyProtection="1">
      <alignment horizontal="left" vertical="center" wrapText="1"/>
      <protection locked="0"/>
    </xf>
    <xf numFmtId="0" fontId="50" fillId="11" borderId="0" xfId="0" applyFont="1" applyFill="1" applyBorder="1" applyAlignment="1" applyProtection="1">
      <alignment horizontal="left" vertical="center"/>
    </xf>
    <xf numFmtId="0" fontId="50" fillId="11" borderId="22" xfId="0" applyFont="1" applyFill="1" applyBorder="1" applyAlignment="1" applyProtection="1">
      <alignment horizontal="left" vertical="center"/>
    </xf>
    <xf numFmtId="0" fontId="44" fillId="5" borderId="21" xfId="1" applyFont="1" applyFill="1" applyBorder="1" applyAlignment="1">
      <alignment horizontal="left" vertical="center" wrapText="1"/>
    </xf>
    <xf numFmtId="0" fontId="44" fillId="5" borderId="21" xfId="1" applyFont="1" applyFill="1" applyBorder="1" applyAlignment="1">
      <alignment horizontal="left" vertical="center"/>
    </xf>
    <xf numFmtId="0" fontId="44" fillId="5" borderId="20" xfId="1" applyFont="1" applyFill="1" applyBorder="1" applyAlignment="1">
      <alignment horizontal="left" vertical="center"/>
    </xf>
    <xf numFmtId="176" fontId="10" fillId="10" borderId="2" xfId="4" applyNumberFormat="1" applyFont="1" applyFill="1" applyBorder="1" applyAlignment="1" applyProtection="1">
      <alignment horizontal="center" vertical="center"/>
    </xf>
    <xf numFmtId="0" fontId="26" fillId="11" borderId="0" xfId="3" applyNumberFormat="1" applyFont="1" applyFill="1" applyBorder="1" applyAlignment="1">
      <alignment horizontal="center" vertical="center" wrapText="1"/>
    </xf>
    <xf numFmtId="14" fontId="46" fillId="10" borderId="2" xfId="4" applyNumberFormat="1" applyFont="1" applyFill="1" applyBorder="1" applyAlignment="1" applyProtection="1">
      <alignment horizontal="center" vertical="center"/>
    </xf>
    <xf numFmtId="14" fontId="10" fillId="10" borderId="2" xfId="4" applyNumberFormat="1"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center" wrapText="1"/>
    </xf>
    <xf numFmtId="0" fontId="10" fillId="10" borderId="2" xfId="4" applyNumberFormat="1" applyFont="1" applyFill="1" applyBorder="1" applyAlignment="1" applyProtection="1">
      <alignment horizontal="center" vertical="center"/>
    </xf>
    <xf numFmtId="10" fontId="10" fillId="10" borderId="3" xfId="3" applyNumberFormat="1" applyFont="1" applyFill="1" applyBorder="1" applyAlignment="1" applyProtection="1">
      <alignment horizontal="center" vertical="center" wrapText="1"/>
    </xf>
    <xf numFmtId="0" fontId="10" fillId="10" borderId="1" xfId="4" applyFont="1" applyFill="1" applyBorder="1" applyAlignment="1" applyProtection="1">
      <alignment horizontal="center" vertical="center" wrapText="1"/>
    </xf>
    <xf numFmtId="0" fontId="10" fillId="10" borderId="0" xfId="4" applyFont="1" applyFill="1" applyBorder="1" applyAlignment="1" applyProtection="1">
      <alignment horizontal="center" vertical="center" wrapText="1"/>
    </xf>
    <xf numFmtId="0" fontId="10" fillId="10" borderId="2" xfId="4" applyFont="1" applyFill="1" applyBorder="1" applyAlignment="1" applyProtection="1">
      <alignment horizontal="center" vertical="center"/>
    </xf>
    <xf numFmtId="0" fontId="10" fillId="10" borderId="16" xfId="4" applyFont="1" applyFill="1" applyBorder="1" applyAlignment="1" applyProtection="1">
      <alignment horizontal="center" vertical="center"/>
    </xf>
    <xf numFmtId="0" fontId="10" fillId="10" borderId="2" xfId="4" applyFont="1" applyFill="1" applyBorder="1" applyAlignment="1" applyProtection="1">
      <alignment horizontal="center" vertical="center" wrapText="1"/>
    </xf>
    <xf numFmtId="0" fontId="10" fillId="5" borderId="2" xfId="4" applyFont="1" applyFill="1" applyBorder="1" applyAlignment="1" applyProtection="1">
      <alignment horizontal="center" vertical="center"/>
    </xf>
    <xf numFmtId="0" fontId="10" fillId="10" borderId="3" xfId="4" applyFont="1" applyFill="1" applyBorder="1" applyAlignment="1" applyProtection="1">
      <alignment horizontal="center" vertical="center"/>
    </xf>
    <xf numFmtId="0" fontId="10" fillId="10" borderId="0" xfId="4"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top" wrapText="1"/>
    </xf>
    <xf numFmtId="14" fontId="10" fillId="10" borderId="2" xfId="4" applyNumberFormat="1" applyFont="1" applyFill="1" applyBorder="1" applyAlignment="1" applyProtection="1">
      <alignment horizontal="center" vertical="center" wrapText="1"/>
    </xf>
    <xf numFmtId="0" fontId="10" fillId="5" borderId="2" xfId="4" applyNumberFormat="1" applyFont="1" applyFill="1" applyBorder="1" applyAlignment="1" applyProtection="1">
      <alignment horizontal="center" vertical="center" wrapText="1"/>
    </xf>
    <xf numFmtId="10" fontId="10" fillId="5" borderId="2" xfId="3" applyNumberFormat="1" applyFont="1" applyFill="1" applyBorder="1" applyAlignment="1" applyProtection="1">
      <alignment horizontal="center" vertical="center" wrapText="1"/>
    </xf>
    <xf numFmtId="1" fontId="10" fillId="5" borderId="2" xfId="4" applyNumberFormat="1" applyFont="1" applyFill="1" applyBorder="1" applyAlignment="1" applyProtection="1">
      <alignment horizontal="center" vertical="center" wrapText="1"/>
    </xf>
    <xf numFmtId="177" fontId="10" fillId="5" borderId="2" xfId="4" applyNumberFormat="1" applyFont="1" applyFill="1" applyBorder="1" applyAlignment="1" applyProtection="1">
      <alignment horizontal="center" vertical="center" wrapText="1"/>
    </xf>
    <xf numFmtId="0" fontId="44" fillId="5" borderId="19" xfId="1" applyFont="1" applyFill="1" applyBorder="1" applyAlignment="1">
      <alignment horizontal="left" vertical="center" wrapText="1"/>
    </xf>
    <xf numFmtId="0" fontId="15" fillId="0" borderId="0" xfId="4" applyFont="1" applyFill="1" applyBorder="1" applyAlignment="1" applyProtection="1">
      <alignment horizontal="left" vertical="center" wrapText="1"/>
      <protection locked="0"/>
    </xf>
    <xf numFmtId="0" fontId="15" fillId="0" borderId="0" xfId="4" applyFont="1" applyFill="1" applyBorder="1" applyAlignment="1" applyProtection="1">
      <alignment horizontal="left" vertical="center"/>
      <protection locked="0"/>
    </xf>
    <xf numFmtId="0" fontId="12" fillId="0" borderId="0" xfId="1" applyFont="1" applyFill="1" applyBorder="1" applyAlignment="1">
      <alignment horizontal="left" vertical="center"/>
    </xf>
    <xf numFmtId="0" fontId="9" fillId="0" borderId="0" xfId="1" applyFont="1" applyFill="1" applyBorder="1" applyAlignment="1">
      <alignment horizontal="left" vertical="center"/>
    </xf>
    <xf numFmtId="14" fontId="16" fillId="3" borderId="0" xfId="4" applyNumberFormat="1" applyFont="1" applyFill="1" applyBorder="1" applyAlignment="1" applyProtection="1">
      <alignment horizontal="right" vertical="center"/>
    </xf>
    <xf numFmtId="0" fontId="56" fillId="0" borderId="0" xfId="4" applyFont="1" applyFill="1" applyBorder="1" applyAlignment="1" applyProtection="1">
      <alignment horizontal="left" vertical="center" wrapText="1"/>
      <protection locked="0"/>
    </xf>
    <xf numFmtId="14" fontId="14" fillId="3" borderId="0" xfId="4" applyNumberFormat="1" applyFont="1" applyFill="1" applyBorder="1" applyAlignment="1" applyProtection="1">
      <alignment horizontal="left" vertical="top" wrapText="1"/>
    </xf>
    <xf numFmtId="14" fontId="19" fillId="8"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0">
    <dxf>
      <fill>
        <patternFill>
          <fgColor indexed="64"/>
          <bgColor rgb="FFFFFF99"/>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3399FF"/>
      <color rgb="FF2592FF"/>
      <color rgb="FF00A44A"/>
      <color rgb="FFF2F2FF"/>
      <color rgb="FFFF3300"/>
      <color rgb="FFFF6F0D"/>
      <color rgb="FFED7D31"/>
      <color rgb="FF198CFF"/>
      <color rgb="FFFF6600"/>
      <color rgb="FFFA6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521698</xdr:colOff>
      <xdr:row>4</xdr:row>
      <xdr:rowOff>1778</xdr:rowOff>
    </xdr:from>
    <xdr:to>
      <xdr:col>30</xdr:col>
      <xdr:colOff>521698</xdr:colOff>
      <xdr:row>26</xdr:row>
      <xdr:rowOff>1905</xdr:rowOff>
    </xdr:to>
    <xdr:cxnSp macro="">
      <xdr:nvCxnSpPr>
        <xdr:cNvPr id="15" name="직선 화살표 연결선 14">
          <a:extLst>
            <a:ext uri="{FF2B5EF4-FFF2-40B4-BE49-F238E27FC236}">
              <a16:creationId xmlns:a16="http://schemas.microsoft.com/office/drawing/2014/main" id="{2888C87E-F967-4DDC-A095-F183DB1D5040}"/>
            </a:ext>
          </a:extLst>
        </xdr:cNvPr>
        <xdr:cNvCxnSpPr/>
      </xdr:nvCxnSpPr>
      <xdr:spPr>
        <a:xfrm>
          <a:off x="11618323" y="754253"/>
          <a:ext cx="0" cy="1066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761999</xdr:colOff>
      <xdr:row>3</xdr:row>
      <xdr:rowOff>76073</xdr:rowOff>
    </xdr:from>
    <xdr:to>
      <xdr:col>46</xdr:col>
      <xdr:colOff>761999</xdr:colOff>
      <xdr:row>71</xdr:row>
      <xdr:rowOff>0</xdr:rowOff>
    </xdr:to>
    <xdr:cxnSp macro="">
      <xdr:nvCxnSpPr>
        <xdr:cNvPr id="35" name="직선 화살표 연결선 34">
          <a:extLst>
            <a:ext uri="{FF2B5EF4-FFF2-40B4-BE49-F238E27FC236}">
              <a16:creationId xmlns:a16="http://schemas.microsoft.com/office/drawing/2014/main" id="{646F7593-8FE1-476F-AD8C-C781CB88BDA8}"/>
            </a:ext>
          </a:extLst>
        </xdr:cNvPr>
        <xdr:cNvCxnSpPr/>
      </xdr:nvCxnSpPr>
      <xdr:spPr>
        <a:xfrm>
          <a:off x="23789639" y="754253"/>
          <a:ext cx="0" cy="10210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761999</xdr:colOff>
      <xdr:row>3</xdr:row>
      <xdr:rowOff>76073</xdr:rowOff>
    </xdr:from>
    <xdr:to>
      <xdr:col>62</xdr:col>
      <xdr:colOff>761999</xdr:colOff>
      <xdr:row>71</xdr:row>
      <xdr:rowOff>0</xdr:rowOff>
    </xdr:to>
    <xdr:cxnSp macro="">
      <xdr:nvCxnSpPr>
        <xdr:cNvPr id="36" name="직선 화살표 연결선 35">
          <a:extLst>
            <a:ext uri="{FF2B5EF4-FFF2-40B4-BE49-F238E27FC236}">
              <a16:creationId xmlns:a16="http://schemas.microsoft.com/office/drawing/2014/main" id="{3E6F1C97-124C-40B5-B350-6DF2B41FC996}"/>
            </a:ext>
          </a:extLst>
        </xdr:cNvPr>
        <xdr:cNvCxnSpPr/>
      </xdr:nvCxnSpPr>
      <xdr:spPr>
        <a:xfrm>
          <a:off x="35981639" y="754253"/>
          <a:ext cx="0" cy="10210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761999</xdr:colOff>
      <xdr:row>3</xdr:row>
      <xdr:rowOff>76073</xdr:rowOff>
    </xdr:from>
    <xdr:to>
      <xdr:col>78</xdr:col>
      <xdr:colOff>761999</xdr:colOff>
      <xdr:row>71</xdr:row>
      <xdr:rowOff>0</xdr:rowOff>
    </xdr:to>
    <xdr:cxnSp macro="">
      <xdr:nvCxnSpPr>
        <xdr:cNvPr id="37" name="직선 화살표 연결선 36">
          <a:extLst>
            <a:ext uri="{FF2B5EF4-FFF2-40B4-BE49-F238E27FC236}">
              <a16:creationId xmlns:a16="http://schemas.microsoft.com/office/drawing/2014/main" id="{6D8B8D7C-8DAB-4415-A6FD-2C1AB62AA18E}"/>
            </a:ext>
          </a:extLst>
        </xdr:cNvPr>
        <xdr:cNvCxnSpPr/>
      </xdr:nvCxnSpPr>
      <xdr:spPr>
        <a:xfrm>
          <a:off x="48173639" y="754253"/>
          <a:ext cx="0" cy="10210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3</xdr:row>
      <xdr:rowOff>76073</xdr:rowOff>
    </xdr:from>
    <xdr:to>
      <xdr:col>32</xdr:col>
      <xdr:colOff>82731</xdr:colOff>
      <xdr:row>71</xdr:row>
      <xdr:rowOff>0</xdr:rowOff>
    </xdr:to>
    <xdr:cxnSp macro="">
      <xdr:nvCxnSpPr>
        <xdr:cNvPr id="38" name="직선 화살표 연결선 37">
          <a:extLst>
            <a:ext uri="{FF2B5EF4-FFF2-40B4-BE49-F238E27FC236}">
              <a16:creationId xmlns:a16="http://schemas.microsoft.com/office/drawing/2014/main" id="{3677C305-E89A-47FF-83B5-E13414159A28}"/>
            </a:ext>
          </a:extLst>
        </xdr:cNvPr>
        <xdr:cNvCxnSpPr/>
      </xdr:nvCxnSpPr>
      <xdr:spPr>
        <a:xfrm>
          <a:off x="11825151" y="754253"/>
          <a:ext cx="0" cy="1021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29</xdr:row>
      <xdr:rowOff>19050</xdr:rowOff>
    </xdr:from>
    <xdr:to>
      <xdr:col>32</xdr:col>
      <xdr:colOff>84001</xdr:colOff>
      <xdr:row>29</xdr:row>
      <xdr:rowOff>133350</xdr:rowOff>
    </xdr:to>
    <xdr:sp macro="" textlink="">
      <xdr:nvSpPr>
        <xdr:cNvPr id="39" name="26">
          <a:extLst>
            <a:ext uri="{FF2B5EF4-FFF2-40B4-BE49-F238E27FC236}">
              <a16:creationId xmlns:a16="http://schemas.microsoft.com/office/drawing/2014/main" id="{8EEB7F33-1A9B-4E00-9DDB-4AB5246B309C}"/>
            </a:ext>
          </a:extLst>
        </xdr:cNvPr>
        <xdr:cNvSpPr/>
      </xdr:nvSpPr>
      <xdr:spPr>
        <a:xfrm>
          <a:off x="11804469" y="4583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29</xdr:row>
      <xdr:rowOff>76200</xdr:rowOff>
    </xdr:from>
    <xdr:to>
      <xdr:col>32</xdr:col>
      <xdr:colOff>62049</xdr:colOff>
      <xdr:row>29</xdr:row>
      <xdr:rowOff>76200</xdr:rowOff>
    </xdr:to>
    <xdr:cxnSp macro="">
      <xdr:nvCxnSpPr>
        <xdr:cNvPr id="40" name="직선 화살표 연결선 39">
          <a:extLst>
            <a:ext uri="{FF2B5EF4-FFF2-40B4-BE49-F238E27FC236}">
              <a16:creationId xmlns:a16="http://schemas.microsoft.com/office/drawing/2014/main" id="{FFFD5BBC-D814-45F7-ABBF-195B390E082E}"/>
            </a:ext>
          </a:extLst>
        </xdr:cNvPr>
        <xdr:cNvCxnSpPr/>
      </xdr:nvCxnSpPr>
      <xdr:spPr>
        <a:xfrm>
          <a:off x="11804469"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28</xdr:row>
      <xdr:rowOff>19050</xdr:rowOff>
    </xdr:from>
    <xdr:to>
      <xdr:col>32</xdr:col>
      <xdr:colOff>21953</xdr:colOff>
      <xdr:row>28</xdr:row>
      <xdr:rowOff>133350</xdr:rowOff>
    </xdr:to>
    <xdr:sp macro="" textlink="">
      <xdr:nvSpPr>
        <xdr:cNvPr id="41" name="25">
          <a:extLst>
            <a:ext uri="{FF2B5EF4-FFF2-40B4-BE49-F238E27FC236}">
              <a16:creationId xmlns:a16="http://schemas.microsoft.com/office/drawing/2014/main" id="{09240BC3-69A5-4187-8DA2-5C155A7DA197}"/>
            </a:ext>
          </a:extLst>
        </xdr:cNvPr>
        <xdr:cNvSpPr/>
      </xdr:nvSpPr>
      <xdr:spPr>
        <a:xfrm>
          <a:off x="11680372" y="4431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28</xdr:row>
      <xdr:rowOff>76200</xdr:rowOff>
    </xdr:from>
    <xdr:to>
      <xdr:col>31</xdr:col>
      <xdr:colOff>82732</xdr:colOff>
      <xdr:row>28</xdr:row>
      <xdr:rowOff>76200</xdr:rowOff>
    </xdr:to>
    <xdr:cxnSp macro="">
      <xdr:nvCxnSpPr>
        <xdr:cNvPr id="42" name="직선 화살표 연결선 41">
          <a:extLst>
            <a:ext uri="{FF2B5EF4-FFF2-40B4-BE49-F238E27FC236}">
              <a16:creationId xmlns:a16="http://schemas.microsoft.com/office/drawing/2014/main" id="{A5DEBEF7-3831-4F5C-BEBE-8EF350C537C2}"/>
            </a:ext>
          </a:extLst>
        </xdr:cNvPr>
        <xdr:cNvCxnSpPr/>
      </xdr:nvCxnSpPr>
      <xdr:spPr>
        <a:xfrm>
          <a:off x="11680372"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27</xdr:row>
      <xdr:rowOff>19050</xdr:rowOff>
    </xdr:from>
    <xdr:to>
      <xdr:col>32</xdr:col>
      <xdr:colOff>84001</xdr:colOff>
      <xdr:row>27</xdr:row>
      <xdr:rowOff>133350</xdr:rowOff>
    </xdr:to>
    <xdr:sp macro="" textlink="">
      <xdr:nvSpPr>
        <xdr:cNvPr id="43" name="24">
          <a:extLst>
            <a:ext uri="{FF2B5EF4-FFF2-40B4-BE49-F238E27FC236}">
              <a16:creationId xmlns:a16="http://schemas.microsoft.com/office/drawing/2014/main" id="{B4B86ABA-17CD-4E83-AFBF-F18852B843A2}"/>
            </a:ext>
          </a:extLst>
        </xdr:cNvPr>
        <xdr:cNvSpPr/>
      </xdr:nvSpPr>
      <xdr:spPr>
        <a:xfrm>
          <a:off x="11680372" y="4278630"/>
          <a:ext cx="146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27</xdr:row>
      <xdr:rowOff>76200</xdr:rowOff>
    </xdr:from>
    <xdr:to>
      <xdr:col>31</xdr:col>
      <xdr:colOff>82732</xdr:colOff>
      <xdr:row>27</xdr:row>
      <xdr:rowOff>76200</xdr:rowOff>
    </xdr:to>
    <xdr:cxnSp macro="">
      <xdr:nvCxnSpPr>
        <xdr:cNvPr id="44" name="직선 화살표 연결선 43">
          <a:extLst>
            <a:ext uri="{FF2B5EF4-FFF2-40B4-BE49-F238E27FC236}">
              <a16:creationId xmlns:a16="http://schemas.microsoft.com/office/drawing/2014/main" id="{9B4093F4-65A9-4901-8116-01688035E4B9}"/>
            </a:ext>
          </a:extLst>
        </xdr:cNvPr>
        <xdr:cNvCxnSpPr/>
      </xdr:nvCxnSpPr>
      <xdr:spPr>
        <a:xfrm>
          <a:off x="11680372"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24</xdr:row>
      <xdr:rowOff>19050</xdr:rowOff>
    </xdr:from>
    <xdr:to>
      <xdr:col>32</xdr:col>
      <xdr:colOff>63318</xdr:colOff>
      <xdr:row>24</xdr:row>
      <xdr:rowOff>133350</xdr:rowOff>
    </xdr:to>
    <xdr:sp macro="" textlink="">
      <xdr:nvSpPr>
        <xdr:cNvPr id="45" name="21">
          <a:extLst>
            <a:ext uri="{FF2B5EF4-FFF2-40B4-BE49-F238E27FC236}">
              <a16:creationId xmlns:a16="http://schemas.microsoft.com/office/drawing/2014/main" id="{B55BEEE4-0872-4B16-8E4C-0BE688A6780E}"/>
            </a:ext>
          </a:extLst>
        </xdr:cNvPr>
        <xdr:cNvSpPr/>
      </xdr:nvSpPr>
      <xdr:spPr>
        <a:xfrm>
          <a:off x="11763103" y="3821430"/>
          <a:ext cx="426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24</xdr:row>
      <xdr:rowOff>76200</xdr:rowOff>
    </xdr:from>
    <xdr:to>
      <xdr:col>32</xdr:col>
      <xdr:colOff>20683</xdr:colOff>
      <xdr:row>24</xdr:row>
      <xdr:rowOff>76200</xdr:rowOff>
    </xdr:to>
    <xdr:cxnSp macro="">
      <xdr:nvCxnSpPr>
        <xdr:cNvPr id="46" name="직선 화살표 연결선 45">
          <a:extLst>
            <a:ext uri="{FF2B5EF4-FFF2-40B4-BE49-F238E27FC236}">
              <a16:creationId xmlns:a16="http://schemas.microsoft.com/office/drawing/2014/main" id="{25EB64BA-CAB6-41C2-957B-D08AB0BC1802}"/>
            </a:ext>
          </a:extLst>
        </xdr:cNvPr>
        <xdr:cNvCxnSpPr/>
      </xdr:nvCxnSpPr>
      <xdr:spPr>
        <a:xfrm>
          <a:off x="11763103"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23</xdr:row>
      <xdr:rowOff>19050</xdr:rowOff>
    </xdr:from>
    <xdr:to>
      <xdr:col>32</xdr:col>
      <xdr:colOff>21953</xdr:colOff>
      <xdr:row>23</xdr:row>
      <xdr:rowOff>133350</xdr:rowOff>
    </xdr:to>
    <xdr:sp macro="" textlink="">
      <xdr:nvSpPr>
        <xdr:cNvPr id="47" name="20">
          <a:extLst>
            <a:ext uri="{FF2B5EF4-FFF2-40B4-BE49-F238E27FC236}">
              <a16:creationId xmlns:a16="http://schemas.microsoft.com/office/drawing/2014/main" id="{53E94D3A-4D98-45F0-947A-02FBB27F91C8}"/>
            </a:ext>
          </a:extLst>
        </xdr:cNvPr>
        <xdr:cNvSpPr/>
      </xdr:nvSpPr>
      <xdr:spPr>
        <a:xfrm>
          <a:off x="11742420" y="3669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23</xdr:row>
      <xdr:rowOff>76200</xdr:rowOff>
    </xdr:from>
    <xdr:to>
      <xdr:col>32</xdr:col>
      <xdr:colOff>0</xdr:colOff>
      <xdr:row>23</xdr:row>
      <xdr:rowOff>76200</xdr:rowOff>
    </xdr:to>
    <xdr:cxnSp macro="">
      <xdr:nvCxnSpPr>
        <xdr:cNvPr id="48" name="직선 화살표 연결선 47">
          <a:extLst>
            <a:ext uri="{FF2B5EF4-FFF2-40B4-BE49-F238E27FC236}">
              <a16:creationId xmlns:a16="http://schemas.microsoft.com/office/drawing/2014/main" id="{A0B9F1E3-1154-4768-8AB6-1227D8B8FE5A}"/>
            </a:ext>
          </a:extLst>
        </xdr:cNvPr>
        <xdr:cNvCxnSpPr/>
      </xdr:nvCxnSpPr>
      <xdr:spPr>
        <a:xfrm>
          <a:off x="11742420"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22</xdr:row>
      <xdr:rowOff>19050</xdr:rowOff>
    </xdr:from>
    <xdr:to>
      <xdr:col>32</xdr:col>
      <xdr:colOff>63318</xdr:colOff>
      <xdr:row>22</xdr:row>
      <xdr:rowOff>133350</xdr:rowOff>
    </xdr:to>
    <xdr:sp macro="" textlink="">
      <xdr:nvSpPr>
        <xdr:cNvPr id="49" name="19">
          <a:extLst>
            <a:ext uri="{FF2B5EF4-FFF2-40B4-BE49-F238E27FC236}">
              <a16:creationId xmlns:a16="http://schemas.microsoft.com/office/drawing/2014/main" id="{FBE1AEEA-7CC4-40AB-89F3-53068FD269C4}"/>
            </a:ext>
          </a:extLst>
        </xdr:cNvPr>
        <xdr:cNvSpPr/>
      </xdr:nvSpPr>
      <xdr:spPr>
        <a:xfrm>
          <a:off x="11742420" y="35166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22</xdr:row>
      <xdr:rowOff>76200</xdr:rowOff>
    </xdr:from>
    <xdr:to>
      <xdr:col>32</xdr:col>
      <xdr:colOff>0</xdr:colOff>
      <xdr:row>22</xdr:row>
      <xdr:rowOff>76200</xdr:rowOff>
    </xdr:to>
    <xdr:cxnSp macro="">
      <xdr:nvCxnSpPr>
        <xdr:cNvPr id="50" name="직선 화살표 연결선 49">
          <a:extLst>
            <a:ext uri="{FF2B5EF4-FFF2-40B4-BE49-F238E27FC236}">
              <a16:creationId xmlns:a16="http://schemas.microsoft.com/office/drawing/2014/main" id="{9DA69E4A-91BE-4A9C-A890-985DCCD71D95}"/>
            </a:ext>
          </a:extLst>
        </xdr:cNvPr>
        <xdr:cNvCxnSpPr/>
      </xdr:nvCxnSpPr>
      <xdr:spPr>
        <a:xfrm>
          <a:off x="11742420"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19</xdr:row>
      <xdr:rowOff>19050</xdr:rowOff>
    </xdr:from>
    <xdr:to>
      <xdr:col>32</xdr:col>
      <xdr:colOff>42635</xdr:colOff>
      <xdr:row>19</xdr:row>
      <xdr:rowOff>133350</xdr:rowOff>
    </xdr:to>
    <xdr:sp macro="" textlink="">
      <xdr:nvSpPr>
        <xdr:cNvPr id="51" name="16">
          <a:extLst>
            <a:ext uri="{FF2B5EF4-FFF2-40B4-BE49-F238E27FC236}">
              <a16:creationId xmlns:a16="http://schemas.microsoft.com/office/drawing/2014/main" id="{551200F2-16E7-4C20-A7A9-7170B1E83F8C}"/>
            </a:ext>
          </a:extLst>
        </xdr:cNvPr>
        <xdr:cNvSpPr/>
      </xdr:nvSpPr>
      <xdr:spPr>
        <a:xfrm>
          <a:off x="11763103" y="3059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19</xdr:row>
      <xdr:rowOff>76200</xdr:rowOff>
    </xdr:from>
    <xdr:to>
      <xdr:col>32</xdr:col>
      <xdr:colOff>20683</xdr:colOff>
      <xdr:row>19</xdr:row>
      <xdr:rowOff>76200</xdr:rowOff>
    </xdr:to>
    <xdr:cxnSp macro="">
      <xdr:nvCxnSpPr>
        <xdr:cNvPr id="52" name="직선 화살표 연결선 51">
          <a:extLst>
            <a:ext uri="{FF2B5EF4-FFF2-40B4-BE49-F238E27FC236}">
              <a16:creationId xmlns:a16="http://schemas.microsoft.com/office/drawing/2014/main" id="{289ABCFA-58E8-4244-A6F6-6173C5768D04}"/>
            </a:ext>
          </a:extLst>
        </xdr:cNvPr>
        <xdr:cNvCxnSpPr/>
      </xdr:nvCxnSpPr>
      <xdr:spPr>
        <a:xfrm>
          <a:off x="11763103"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18</xdr:row>
      <xdr:rowOff>19050</xdr:rowOff>
    </xdr:from>
    <xdr:to>
      <xdr:col>32</xdr:col>
      <xdr:colOff>21953</xdr:colOff>
      <xdr:row>18</xdr:row>
      <xdr:rowOff>133350</xdr:rowOff>
    </xdr:to>
    <xdr:sp macro="" textlink="">
      <xdr:nvSpPr>
        <xdr:cNvPr id="53" name="15">
          <a:extLst>
            <a:ext uri="{FF2B5EF4-FFF2-40B4-BE49-F238E27FC236}">
              <a16:creationId xmlns:a16="http://schemas.microsoft.com/office/drawing/2014/main" id="{8CF53FEB-18CD-4B0C-962A-6A5241A9848F}"/>
            </a:ext>
          </a:extLst>
        </xdr:cNvPr>
        <xdr:cNvSpPr/>
      </xdr:nvSpPr>
      <xdr:spPr>
        <a:xfrm>
          <a:off x="11742420" y="2907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18</xdr:row>
      <xdr:rowOff>76200</xdr:rowOff>
    </xdr:from>
    <xdr:to>
      <xdr:col>32</xdr:col>
      <xdr:colOff>20683</xdr:colOff>
      <xdr:row>18</xdr:row>
      <xdr:rowOff>76200</xdr:rowOff>
    </xdr:to>
    <xdr:cxnSp macro="">
      <xdr:nvCxnSpPr>
        <xdr:cNvPr id="54" name="직선 화살표 연결선 53">
          <a:extLst>
            <a:ext uri="{FF2B5EF4-FFF2-40B4-BE49-F238E27FC236}">
              <a16:creationId xmlns:a16="http://schemas.microsoft.com/office/drawing/2014/main" id="{3D611E38-5B90-407A-B0F5-F0F5919A7BB7}"/>
            </a:ext>
          </a:extLst>
        </xdr:cNvPr>
        <xdr:cNvCxnSpPr/>
      </xdr:nvCxnSpPr>
      <xdr:spPr>
        <a:xfrm>
          <a:off x="11742420" y="2964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17</xdr:row>
      <xdr:rowOff>19050</xdr:rowOff>
    </xdr:from>
    <xdr:to>
      <xdr:col>32</xdr:col>
      <xdr:colOff>42635</xdr:colOff>
      <xdr:row>17</xdr:row>
      <xdr:rowOff>133350</xdr:rowOff>
    </xdr:to>
    <xdr:sp macro="" textlink="">
      <xdr:nvSpPr>
        <xdr:cNvPr id="55" name="14">
          <a:extLst>
            <a:ext uri="{FF2B5EF4-FFF2-40B4-BE49-F238E27FC236}">
              <a16:creationId xmlns:a16="http://schemas.microsoft.com/office/drawing/2014/main" id="{3BAEE5E9-4660-45D0-8F78-D337F2871D72}"/>
            </a:ext>
          </a:extLst>
        </xdr:cNvPr>
        <xdr:cNvSpPr/>
      </xdr:nvSpPr>
      <xdr:spPr>
        <a:xfrm>
          <a:off x="11742420" y="2754630"/>
          <a:ext cx="426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17</xdr:row>
      <xdr:rowOff>76200</xdr:rowOff>
    </xdr:from>
    <xdr:to>
      <xdr:col>32</xdr:col>
      <xdr:colOff>20682</xdr:colOff>
      <xdr:row>17</xdr:row>
      <xdr:rowOff>76200</xdr:rowOff>
    </xdr:to>
    <xdr:cxnSp macro="">
      <xdr:nvCxnSpPr>
        <xdr:cNvPr id="56" name="직선 화살표 연결선 55">
          <a:extLst>
            <a:ext uri="{FF2B5EF4-FFF2-40B4-BE49-F238E27FC236}">
              <a16:creationId xmlns:a16="http://schemas.microsoft.com/office/drawing/2014/main" id="{C746BE86-536E-49FC-9044-92A2FC9A3408}"/>
            </a:ext>
          </a:extLst>
        </xdr:cNvPr>
        <xdr:cNvCxnSpPr/>
      </xdr:nvCxnSpPr>
      <xdr:spPr>
        <a:xfrm>
          <a:off x="11742420" y="28117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13</xdr:row>
      <xdr:rowOff>19050</xdr:rowOff>
    </xdr:from>
    <xdr:to>
      <xdr:col>32</xdr:col>
      <xdr:colOff>104684</xdr:colOff>
      <xdr:row>13</xdr:row>
      <xdr:rowOff>133350</xdr:rowOff>
    </xdr:to>
    <xdr:sp macro="" textlink="">
      <xdr:nvSpPr>
        <xdr:cNvPr id="57" name="10">
          <a:extLst>
            <a:ext uri="{FF2B5EF4-FFF2-40B4-BE49-F238E27FC236}">
              <a16:creationId xmlns:a16="http://schemas.microsoft.com/office/drawing/2014/main" id="{3519AB67-276E-4007-A586-D91CA4D6DA7F}"/>
            </a:ext>
          </a:extLst>
        </xdr:cNvPr>
        <xdr:cNvSpPr/>
      </xdr:nvSpPr>
      <xdr:spPr>
        <a:xfrm>
          <a:off x="11742420" y="21450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13</xdr:row>
      <xdr:rowOff>76200</xdr:rowOff>
    </xdr:from>
    <xdr:to>
      <xdr:col>32</xdr:col>
      <xdr:colOff>0</xdr:colOff>
      <xdr:row>13</xdr:row>
      <xdr:rowOff>76200</xdr:rowOff>
    </xdr:to>
    <xdr:cxnSp macro="">
      <xdr:nvCxnSpPr>
        <xdr:cNvPr id="58" name="직선 화살표 연결선 57">
          <a:extLst>
            <a:ext uri="{FF2B5EF4-FFF2-40B4-BE49-F238E27FC236}">
              <a16:creationId xmlns:a16="http://schemas.microsoft.com/office/drawing/2014/main" id="{B33C90D3-1558-42C8-942E-EA124ACBC6CF}"/>
            </a:ext>
          </a:extLst>
        </xdr:cNvPr>
        <xdr:cNvCxnSpPr/>
      </xdr:nvCxnSpPr>
      <xdr:spPr>
        <a:xfrm>
          <a:off x="11742420"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12</xdr:row>
      <xdr:rowOff>19050</xdr:rowOff>
    </xdr:from>
    <xdr:to>
      <xdr:col>32</xdr:col>
      <xdr:colOff>21953</xdr:colOff>
      <xdr:row>12</xdr:row>
      <xdr:rowOff>133350</xdr:rowOff>
    </xdr:to>
    <xdr:sp macro="" textlink="">
      <xdr:nvSpPr>
        <xdr:cNvPr id="59" name="9">
          <a:extLst>
            <a:ext uri="{FF2B5EF4-FFF2-40B4-BE49-F238E27FC236}">
              <a16:creationId xmlns:a16="http://schemas.microsoft.com/office/drawing/2014/main" id="{F5653426-A480-41E1-85CE-4CD8A412DE38}"/>
            </a:ext>
          </a:extLst>
        </xdr:cNvPr>
        <xdr:cNvSpPr/>
      </xdr:nvSpPr>
      <xdr:spPr>
        <a:xfrm>
          <a:off x="11742420" y="19926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12</xdr:row>
      <xdr:rowOff>76200</xdr:rowOff>
    </xdr:from>
    <xdr:to>
      <xdr:col>32</xdr:col>
      <xdr:colOff>20683</xdr:colOff>
      <xdr:row>12</xdr:row>
      <xdr:rowOff>76200</xdr:rowOff>
    </xdr:to>
    <xdr:cxnSp macro="">
      <xdr:nvCxnSpPr>
        <xdr:cNvPr id="60" name="직선 화살표 연결선 59">
          <a:extLst>
            <a:ext uri="{FF2B5EF4-FFF2-40B4-BE49-F238E27FC236}">
              <a16:creationId xmlns:a16="http://schemas.microsoft.com/office/drawing/2014/main" id="{DCE02721-639A-4924-8F58-3A717A023091}"/>
            </a:ext>
          </a:extLst>
        </xdr:cNvPr>
        <xdr:cNvCxnSpPr/>
      </xdr:nvCxnSpPr>
      <xdr:spPr>
        <a:xfrm>
          <a:off x="11742420" y="2049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11</xdr:row>
      <xdr:rowOff>19050</xdr:rowOff>
    </xdr:from>
    <xdr:to>
      <xdr:col>32</xdr:col>
      <xdr:colOff>104684</xdr:colOff>
      <xdr:row>11</xdr:row>
      <xdr:rowOff>133350</xdr:rowOff>
    </xdr:to>
    <xdr:sp macro="" textlink="">
      <xdr:nvSpPr>
        <xdr:cNvPr id="61" name="8">
          <a:extLst>
            <a:ext uri="{FF2B5EF4-FFF2-40B4-BE49-F238E27FC236}">
              <a16:creationId xmlns:a16="http://schemas.microsoft.com/office/drawing/2014/main" id="{9C9FA12A-7E66-47C8-9B3A-ED83949036E5}"/>
            </a:ext>
          </a:extLst>
        </xdr:cNvPr>
        <xdr:cNvSpPr/>
      </xdr:nvSpPr>
      <xdr:spPr>
        <a:xfrm>
          <a:off x="11742420" y="18402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11</xdr:row>
      <xdr:rowOff>76200</xdr:rowOff>
    </xdr:from>
    <xdr:to>
      <xdr:col>32</xdr:col>
      <xdr:colOff>17236</xdr:colOff>
      <xdr:row>11</xdr:row>
      <xdr:rowOff>76200</xdr:rowOff>
    </xdr:to>
    <xdr:cxnSp macro="">
      <xdr:nvCxnSpPr>
        <xdr:cNvPr id="62" name="직선 화살표 연결선 61">
          <a:extLst>
            <a:ext uri="{FF2B5EF4-FFF2-40B4-BE49-F238E27FC236}">
              <a16:creationId xmlns:a16="http://schemas.microsoft.com/office/drawing/2014/main" id="{1AE9564D-2611-4B5B-958E-C2CE1E6737CB}"/>
            </a:ext>
          </a:extLst>
        </xdr:cNvPr>
        <xdr:cNvCxnSpPr/>
      </xdr:nvCxnSpPr>
      <xdr:spPr>
        <a:xfrm>
          <a:off x="11742420" y="1897380"/>
          <a:ext cx="172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8</xdr:row>
      <xdr:rowOff>19050</xdr:rowOff>
    </xdr:from>
    <xdr:to>
      <xdr:col>32</xdr:col>
      <xdr:colOff>84001</xdr:colOff>
      <xdr:row>8</xdr:row>
      <xdr:rowOff>133350</xdr:rowOff>
    </xdr:to>
    <xdr:sp macro="" textlink="">
      <xdr:nvSpPr>
        <xdr:cNvPr id="63" name="5">
          <a:extLst>
            <a:ext uri="{FF2B5EF4-FFF2-40B4-BE49-F238E27FC236}">
              <a16:creationId xmlns:a16="http://schemas.microsoft.com/office/drawing/2014/main" id="{996644ED-A93C-40B2-AAF0-35A3F110F024}"/>
            </a:ext>
          </a:extLst>
        </xdr:cNvPr>
        <xdr:cNvSpPr/>
      </xdr:nvSpPr>
      <xdr:spPr>
        <a:xfrm>
          <a:off x="11763103" y="1383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8</xdr:row>
      <xdr:rowOff>76200</xdr:rowOff>
    </xdr:from>
    <xdr:to>
      <xdr:col>32</xdr:col>
      <xdr:colOff>20683</xdr:colOff>
      <xdr:row>8</xdr:row>
      <xdr:rowOff>76200</xdr:rowOff>
    </xdr:to>
    <xdr:cxnSp macro="">
      <xdr:nvCxnSpPr>
        <xdr:cNvPr id="23296" name="직선 화살표 연결선 23295">
          <a:extLst>
            <a:ext uri="{FF2B5EF4-FFF2-40B4-BE49-F238E27FC236}">
              <a16:creationId xmlns:a16="http://schemas.microsoft.com/office/drawing/2014/main" id="{FAC93A06-C5A6-4B09-B739-1A15A1DD59C3}"/>
            </a:ext>
          </a:extLst>
        </xdr:cNvPr>
        <xdr:cNvCxnSpPr/>
      </xdr:nvCxnSpPr>
      <xdr:spPr>
        <a:xfrm>
          <a:off x="1176310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4</xdr:row>
      <xdr:rowOff>19050</xdr:rowOff>
    </xdr:from>
    <xdr:to>
      <xdr:col>32</xdr:col>
      <xdr:colOff>84001</xdr:colOff>
      <xdr:row>4</xdr:row>
      <xdr:rowOff>133350</xdr:rowOff>
    </xdr:to>
    <xdr:sp macro="" textlink="">
      <xdr:nvSpPr>
        <xdr:cNvPr id="23297" name="1">
          <a:extLst>
            <a:ext uri="{FF2B5EF4-FFF2-40B4-BE49-F238E27FC236}">
              <a16:creationId xmlns:a16="http://schemas.microsoft.com/office/drawing/2014/main" id="{F35C34B6-92F1-4F71-81AE-013E0C0FF606}"/>
            </a:ext>
          </a:extLst>
        </xdr:cNvPr>
        <xdr:cNvSpPr/>
      </xdr:nvSpPr>
      <xdr:spPr>
        <a:xfrm>
          <a:off x="11763103" y="7734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4</xdr:row>
      <xdr:rowOff>76200</xdr:rowOff>
    </xdr:from>
    <xdr:to>
      <xdr:col>32</xdr:col>
      <xdr:colOff>20683</xdr:colOff>
      <xdr:row>4</xdr:row>
      <xdr:rowOff>76200</xdr:rowOff>
    </xdr:to>
    <xdr:cxnSp macro="">
      <xdr:nvCxnSpPr>
        <xdr:cNvPr id="23298" name="직선 화살표 연결선 23297">
          <a:extLst>
            <a:ext uri="{FF2B5EF4-FFF2-40B4-BE49-F238E27FC236}">
              <a16:creationId xmlns:a16="http://schemas.microsoft.com/office/drawing/2014/main" id="{A7305C4F-135F-44D9-93D7-652D76B22F9A}"/>
            </a:ext>
          </a:extLst>
        </xdr:cNvPr>
        <xdr:cNvCxnSpPr/>
      </xdr:nvCxnSpPr>
      <xdr:spPr>
        <a:xfrm>
          <a:off x="11763103"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project-scheduler/"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4" sqref="C24"/>
    </sheetView>
  </sheetViews>
  <sheetFormatPr defaultColWidth="10" defaultRowHeight="13.8"/>
  <cols>
    <col min="1" max="1" width="28.19921875" style="91" bestFit="1" customWidth="1"/>
    <col min="2" max="2" width="23.09765625" style="88" bestFit="1" customWidth="1"/>
    <col min="3" max="3" width="53.3984375" style="88" bestFit="1" customWidth="1"/>
    <col min="4" max="4" width="27.3984375" style="88" bestFit="1" customWidth="1"/>
    <col min="5" max="5" width="12.8984375" style="88" bestFit="1" customWidth="1"/>
    <col min="6" max="6" width="17.69921875" style="88" bestFit="1" customWidth="1"/>
    <col min="7" max="7" width="21.8984375" style="91" bestFit="1" customWidth="1"/>
    <col min="8" max="8" width="23.69921875" style="91" bestFit="1" customWidth="1"/>
    <col min="9" max="9" width="9.69921875" style="91" bestFit="1" customWidth="1"/>
    <col min="10" max="10" width="25.09765625" style="91" bestFit="1" customWidth="1"/>
    <col min="11" max="11" width="60.69921875" style="91" bestFit="1" customWidth="1"/>
    <col min="12" max="12" width="25.09765625" style="91" bestFit="1" customWidth="1"/>
    <col min="13" max="13" width="4.8984375" style="91" bestFit="1" customWidth="1"/>
    <col min="14" max="14" width="23" style="91" bestFit="1" customWidth="1"/>
    <col min="15" max="15" width="14.5" style="91" customWidth="1"/>
    <col min="16" max="16" width="28.3984375" style="91" bestFit="1" customWidth="1"/>
    <col min="17" max="17" width="9.5" style="91" bestFit="1" customWidth="1"/>
    <col min="18" max="18" width="27.69921875" style="91" bestFit="1" customWidth="1"/>
    <col min="19" max="19" width="4.8984375" style="91" bestFit="1" customWidth="1"/>
    <col min="20" max="20" width="25" style="91" bestFit="1" customWidth="1"/>
    <col min="21" max="21" width="4.3984375" style="91" bestFit="1" customWidth="1"/>
    <col min="22" max="22" width="23" style="91" bestFit="1" customWidth="1"/>
    <col min="23" max="23" width="8.09765625" style="91" bestFit="1" customWidth="1"/>
    <col min="24" max="24" width="22.59765625" style="91" bestFit="1" customWidth="1"/>
    <col min="25" max="25" width="9.5" style="91" bestFit="1" customWidth="1"/>
    <col min="26" max="26" width="26.19921875" style="91" bestFit="1" customWidth="1"/>
    <col min="27" max="27" width="7.8984375" style="91" bestFit="1" customWidth="1"/>
    <col min="28" max="28" width="21.19921875" style="91" bestFit="1" customWidth="1"/>
    <col min="29" max="29" width="15.59765625" style="91" bestFit="1" customWidth="1"/>
    <col min="30" max="30" width="23.5" style="91" bestFit="1" customWidth="1"/>
    <col min="31" max="31" width="39.59765625" style="91" bestFit="1" customWidth="1"/>
    <col min="32" max="32" width="22.59765625" style="91" bestFit="1" customWidth="1"/>
    <col min="33" max="33" width="60.8984375" style="91" bestFit="1" customWidth="1"/>
    <col min="34" max="34" width="28.3984375" style="91" bestFit="1" customWidth="1"/>
    <col min="35" max="35" width="11.5" style="91" bestFit="1" customWidth="1"/>
    <col min="36" max="36" width="25.09765625" style="91" bestFit="1" customWidth="1"/>
    <col min="37" max="37" width="4" style="91" bestFit="1" customWidth="1"/>
    <col min="38" max="38" width="14.8984375" style="91" bestFit="1" customWidth="1"/>
    <col min="39" max="39" width="11.59765625" style="91" bestFit="1" customWidth="1"/>
    <col min="40" max="40" width="22.59765625" style="91" bestFit="1" customWidth="1"/>
    <col min="41" max="41" width="5.8984375" style="91" bestFit="1" customWidth="1"/>
    <col min="42" max="42" width="15.8984375" style="91" bestFit="1" customWidth="1"/>
    <col min="43" max="43" width="6.3984375" style="91" bestFit="1" customWidth="1"/>
    <col min="44" max="44" width="13.19921875" style="91" bestFit="1" customWidth="1"/>
    <col min="45" max="45" width="3.19921875" style="91" bestFit="1" customWidth="1"/>
    <col min="46" max="46" width="14.8984375" style="91" bestFit="1" customWidth="1"/>
    <col min="47" max="47" width="28.59765625" style="91" bestFit="1" customWidth="1"/>
    <col min="48" max="48" width="22.59765625" style="91" bestFit="1" customWidth="1"/>
    <col min="49" max="49" width="5.3984375" style="91" bestFit="1" customWidth="1"/>
    <col min="50" max="50" width="15.8984375" style="91" bestFit="1" customWidth="1"/>
    <col min="51" max="51" width="10" style="91"/>
    <col min="52" max="52" width="13.19921875" style="91" bestFit="1" customWidth="1"/>
    <col min="53" max="53" width="10" style="91"/>
    <col min="54" max="54" width="14.8984375" style="91" bestFit="1" customWidth="1"/>
    <col min="55" max="55" width="10" style="91"/>
    <col min="56" max="56" width="22.59765625" style="91" bestFit="1" customWidth="1"/>
    <col min="57" max="57" width="10" style="91"/>
    <col min="58" max="58" width="15.8984375" style="91" bestFit="1" customWidth="1"/>
    <col min="59" max="59" width="10" style="91"/>
    <col min="60" max="60" width="13.19921875" style="91" bestFit="1" customWidth="1"/>
    <col min="61" max="61" width="10" style="91"/>
    <col min="62" max="62" width="14.8984375" style="91" bestFit="1" customWidth="1"/>
    <col min="63" max="63" width="10" style="91"/>
    <col min="64" max="64" width="22.59765625" style="91" bestFit="1" customWidth="1"/>
    <col min="65" max="65" width="10" style="91"/>
    <col min="66" max="66" width="33.69921875" style="91" bestFit="1" customWidth="1"/>
    <col min="67" max="16384" width="10" style="91"/>
  </cols>
  <sheetData>
    <row r="1" spans="1:64" s="88" customFormat="1">
      <c r="A1" s="87" t="s">
        <v>3</v>
      </c>
      <c r="B1" s="87" t="s">
        <v>4</v>
      </c>
      <c r="C1" s="87" t="s">
        <v>5</v>
      </c>
      <c r="D1" s="87" t="s">
        <v>6</v>
      </c>
      <c r="E1" s="87" t="s">
        <v>7</v>
      </c>
      <c r="F1" s="87" t="s">
        <v>8</v>
      </c>
    </row>
    <row r="2" spans="1:64">
      <c r="A2" s="89" t="s">
        <v>9</v>
      </c>
      <c r="B2" s="90" t="s">
        <v>10</v>
      </c>
      <c r="C2" s="90"/>
      <c r="D2" s="90"/>
      <c r="E2" s="90" t="s">
        <v>11</v>
      </c>
      <c r="F2" s="90"/>
    </row>
    <row r="3" spans="1:64">
      <c r="A3" s="89" t="s">
        <v>389</v>
      </c>
      <c r="B3" s="90" t="s">
        <v>10</v>
      </c>
      <c r="C3" s="90"/>
      <c r="D3" s="90"/>
      <c r="E3" s="90" t="s">
        <v>11</v>
      </c>
      <c r="F3" s="90"/>
    </row>
    <row r="4" spans="1:64">
      <c r="A4" s="89" t="s">
        <v>12</v>
      </c>
      <c r="B4" s="100" t="s">
        <v>390</v>
      </c>
      <c r="C4" s="90"/>
      <c r="D4" s="90"/>
      <c r="E4" s="90" t="s">
        <v>11</v>
      </c>
      <c r="F4" s="90"/>
    </row>
    <row r="5" spans="1:64">
      <c r="A5" s="89" t="s">
        <v>13</v>
      </c>
      <c r="B5" s="90" t="s">
        <v>14</v>
      </c>
      <c r="C5" s="90"/>
      <c r="D5" s="90"/>
      <c r="E5" s="90" t="s">
        <v>11</v>
      </c>
      <c r="F5" s="90"/>
    </row>
    <row r="6" spans="1:64">
      <c r="A6" s="89" t="s">
        <v>15</v>
      </c>
      <c r="B6" s="100" t="s">
        <v>16</v>
      </c>
      <c r="C6" s="90"/>
      <c r="D6" s="90"/>
      <c r="E6" s="90" t="s">
        <v>11</v>
      </c>
      <c r="F6" s="90"/>
    </row>
    <row r="7" spans="1:64">
      <c r="A7" s="89" t="s">
        <v>17</v>
      </c>
      <c r="B7" s="89" t="s">
        <v>10</v>
      </c>
      <c r="C7" s="90"/>
      <c r="D7" s="90"/>
      <c r="E7" s="90" t="s">
        <v>11</v>
      </c>
      <c r="F7" s="90"/>
    </row>
    <row r="8" spans="1:64">
      <c r="A8" s="89" t="s">
        <v>18</v>
      </c>
      <c r="B8" s="92" t="s">
        <v>1246</v>
      </c>
      <c r="C8" s="90" t="s">
        <v>1287</v>
      </c>
      <c r="D8" s="90">
        <v>82</v>
      </c>
      <c r="E8" s="90" t="s">
        <v>19</v>
      </c>
      <c r="F8" s="90"/>
    </row>
    <row r="9" spans="1:64">
      <c r="A9" s="89" t="s">
        <v>20</v>
      </c>
      <c r="B9" s="93">
        <v>43734</v>
      </c>
      <c r="C9" s="90"/>
      <c r="D9" s="90"/>
      <c r="E9" s="90" t="s">
        <v>11</v>
      </c>
      <c r="F9" s="90"/>
    </row>
    <row r="10" spans="1:64">
      <c r="A10" s="94" t="s">
        <v>21</v>
      </c>
      <c r="B10" s="95" t="s">
        <v>22</v>
      </c>
      <c r="C10" s="95"/>
      <c r="D10" s="95"/>
      <c r="E10" s="95" t="s">
        <v>11</v>
      </c>
      <c r="F10" s="95"/>
    </row>
    <row r="11" spans="1:64">
      <c r="A11" s="91" t="s">
        <v>391</v>
      </c>
      <c r="B11" s="96" t="s">
        <v>23</v>
      </c>
      <c r="C11" s="88" t="s">
        <v>1306</v>
      </c>
      <c r="D11" s="88" t="s">
        <v>24</v>
      </c>
      <c r="E11" s="97">
        <v>1</v>
      </c>
      <c r="F11" s="98" t="s">
        <v>25</v>
      </c>
      <c r="G11" s="99">
        <v>43878</v>
      </c>
      <c r="H11" s="98" t="s">
        <v>26</v>
      </c>
      <c r="I11" s="99">
        <v>44196</v>
      </c>
      <c r="J11" s="91" t="s">
        <v>408</v>
      </c>
      <c r="K11" s="91" t="s">
        <v>1288</v>
      </c>
      <c r="L11" s="91" t="s">
        <v>405</v>
      </c>
      <c r="M11" s="91">
        <v>0</v>
      </c>
      <c r="N11" s="96" t="s">
        <v>27</v>
      </c>
      <c r="O11" s="88">
        <v>1</v>
      </c>
      <c r="P11" s="88" t="s">
        <v>28</v>
      </c>
      <c r="Q11" s="96" t="s">
        <v>1108</v>
      </c>
      <c r="R11" s="91" t="s">
        <v>410</v>
      </c>
      <c r="S11" s="91">
        <v>2</v>
      </c>
      <c r="T11" s="91" t="s">
        <v>415</v>
      </c>
      <c r="U11" s="91">
        <v>1</v>
      </c>
      <c r="V11" s="91" t="s">
        <v>416</v>
      </c>
      <c r="W11" s="91">
        <v>0</v>
      </c>
      <c r="X11" s="91" t="s">
        <v>419</v>
      </c>
      <c r="Y11" s="91">
        <v>1</v>
      </c>
      <c r="Z11" s="91" t="s">
        <v>589</v>
      </c>
      <c r="AA11" s="91">
        <v>0</v>
      </c>
      <c r="AB11" s="91" t="s">
        <v>1003</v>
      </c>
      <c r="AC11" s="91">
        <v>0</v>
      </c>
      <c r="AD11" s="91" t="s">
        <v>1039</v>
      </c>
      <c r="AE11" s="91">
        <v>2</v>
      </c>
    </row>
    <row r="12" spans="1:64">
      <c r="A12" s="91" t="s">
        <v>394</v>
      </c>
      <c r="B12" s="91" t="s">
        <v>395</v>
      </c>
      <c r="C12" s="91">
        <v>1</v>
      </c>
      <c r="D12" s="91" t="s">
        <v>396</v>
      </c>
      <c r="E12" s="91">
        <v>1</v>
      </c>
      <c r="F12" s="91" t="s">
        <v>397</v>
      </c>
      <c r="G12" s="91">
        <v>0</v>
      </c>
      <c r="H12" s="91" t="s">
        <v>398</v>
      </c>
      <c r="I12" s="91">
        <v>1</v>
      </c>
      <c r="J12" s="91" t="s">
        <v>399</v>
      </c>
      <c r="K12" s="91">
        <v>0.7</v>
      </c>
      <c r="L12" s="91" t="s">
        <v>400</v>
      </c>
      <c r="M12" s="91">
        <v>2</v>
      </c>
      <c r="N12" s="91" t="s">
        <v>401</v>
      </c>
      <c r="O12" s="91">
        <v>0</v>
      </c>
      <c r="P12" s="91" t="s">
        <v>404</v>
      </c>
      <c r="Q12" s="91">
        <v>1</v>
      </c>
      <c r="R12" s="91" t="s">
        <v>411</v>
      </c>
      <c r="S12" s="91">
        <v>7</v>
      </c>
      <c r="T12" s="91" t="s">
        <v>412</v>
      </c>
      <c r="U12" s="91">
        <v>0</v>
      </c>
      <c r="V12" s="91" t="s">
        <v>413</v>
      </c>
      <c r="W12" s="91">
        <v>100</v>
      </c>
      <c r="X12" s="91" t="s">
        <v>414</v>
      </c>
      <c r="Y12" s="91">
        <v>0</v>
      </c>
      <c r="Z12" s="91" t="s">
        <v>417</v>
      </c>
      <c r="AA12" s="91">
        <v>1</v>
      </c>
      <c r="AB12" s="91" t="s">
        <v>418</v>
      </c>
      <c r="AC12" s="91">
        <v>1</v>
      </c>
      <c r="AD12" s="91" t="s">
        <v>536</v>
      </c>
      <c r="AE12" s="91">
        <v>1</v>
      </c>
      <c r="AF12" s="91" t="s">
        <v>561</v>
      </c>
      <c r="AG12" s="91">
        <v>0</v>
      </c>
      <c r="AH12" s="91" t="s">
        <v>1010</v>
      </c>
      <c r="AI12" s="91">
        <v>9</v>
      </c>
    </row>
    <row r="13" spans="1:64">
      <c r="A13" s="90" t="s">
        <v>392</v>
      </c>
      <c r="B13" s="96" t="s">
        <v>29</v>
      </c>
      <c r="C13" s="88">
        <v>1</v>
      </c>
      <c r="D13" s="96" t="s">
        <v>30</v>
      </c>
      <c r="E13" s="88" t="s">
        <v>1298</v>
      </c>
      <c r="F13" s="88" t="s">
        <v>31</v>
      </c>
      <c r="G13" s="98" t="s">
        <v>1307</v>
      </c>
      <c r="H13" s="98" t="s">
        <v>32</v>
      </c>
      <c r="I13" s="91" t="s">
        <v>538</v>
      </c>
    </row>
    <row r="14" spans="1:64">
      <c r="A14" s="90" t="s">
        <v>393</v>
      </c>
      <c r="B14" s="97" t="s">
        <v>33</v>
      </c>
      <c r="C14" s="97" t="s">
        <v>1277</v>
      </c>
      <c r="D14" s="97" t="s">
        <v>34</v>
      </c>
      <c r="E14" s="97" t="s">
        <v>562</v>
      </c>
      <c r="F14" s="97" t="s">
        <v>35</v>
      </c>
      <c r="G14" s="97" t="s">
        <v>1278</v>
      </c>
      <c r="H14" s="97" t="s">
        <v>36</v>
      </c>
      <c r="I14" s="97" t="b">
        <v>0</v>
      </c>
      <c r="J14" s="97" t="s">
        <v>37</v>
      </c>
      <c r="K14" s="97" t="s">
        <v>1279</v>
      </c>
      <c r="L14" s="97" t="s">
        <v>38</v>
      </c>
      <c r="M14" s="97" t="s">
        <v>574</v>
      </c>
      <c r="N14" s="97" t="s">
        <v>39</v>
      </c>
      <c r="O14" s="97" t="s">
        <v>1278</v>
      </c>
      <c r="P14" s="97" t="s">
        <v>40</v>
      </c>
      <c r="Q14" s="97" t="b">
        <v>0</v>
      </c>
      <c r="R14" s="97" t="s">
        <v>41</v>
      </c>
      <c r="S14" s="97" t="s">
        <v>1280</v>
      </c>
      <c r="T14" s="97" t="s">
        <v>42</v>
      </c>
      <c r="U14" s="97" t="s">
        <v>575</v>
      </c>
      <c r="V14" s="97" t="s">
        <v>43</v>
      </c>
      <c r="W14" s="97" t="s">
        <v>1278</v>
      </c>
      <c r="X14" s="97" t="s">
        <v>44</v>
      </c>
      <c r="Y14" s="97" t="b">
        <v>1</v>
      </c>
      <c r="Z14" s="97" t="s">
        <v>45</v>
      </c>
      <c r="AA14" s="97" t="s">
        <v>1043</v>
      </c>
      <c r="AB14" s="97" t="s">
        <v>46</v>
      </c>
      <c r="AC14" s="97" t="s">
        <v>1042</v>
      </c>
      <c r="AD14" s="97" t="s">
        <v>47</v>
      </c>
      <c r="AE14" s="97" t="s">
        <v>1044</v>
      </c>
      <c r="AF14" s="97" t="s">
        <v>48</v>
      </c>
      <c r="AG14" s="97" t="b">
        <v>1</v>
      </c>
      <c r="AH14" s="97" t="s">
        <v>49</v>
      </c>
      <c r="AI14" s="97" t="s">
        <v>1045</v>
      </c>
      <c r="AJ14" s="97" t="s">
        <v>50</v>
      </c>
      <c r="AK14" s="97" t="s">
        <v>1046</v>
      </c>
      <c r="AL14" s="97" t="s">
        <v>51</v>
      </c>
      <c r="AM14" s="97" t="s">
        <v>1047</v>
      </c>
      <c r="AN14" s="97" t="s">
        <v>52</v>
      </c>
      <c r="AO14" s="97" t="b">
        <v>0</v>
      </c>
      <c r="AP14" s="97" t="s">
        <v>53</v>
      </c>
      <c r="AQ14" s="97" t="s">
        <v>564</v>
      </c>
      <c r="AR14" s="97" t="s">
        <v>54</v>
      </c>
      <c r="AS14" s="97" t="s">
        <v>576</v>
      </c>
      <c r="AT14" s="97" t="s">
        <v>55</v>
      </c>
      <c r="AU14" s="97" t="s">
        <v>580</v>
      </c>
      <c r="AV14" s="97" t="s">
        <v>56</v>
      </c>
      <c r="AW14" s="97" t="b">
        <v>1</v>
      </c>
      <c r="AX14" s="91" t="s">
        <v>57</v>
      </c>
      <c r="AZ14" s="91" t="s">
        <v>58</v>
      </c>
      <c r="BB14" s="91" t="s">
        <v>59</v>
      </c>
      <c r="BD14" s="91" t="s">
        <v>60</v>
      </c>
      <c r="BF14" s="91" t="s">
        <v>61</v>
      </c>
      <c r="BH14" s="91" t="s">
        <v>62</v>
      </c>
      <c r="BJ14" s="91" t="s">
        <v>63</v>
      </c>
      <c r="BL14" s="91" t="s">
        <v>64</v>
      </c>
    </row>
    <row r="15" spans="1:64">
      <c r="A15" s="90" t="s">
        <v>409</v>
      </c>
      <c r="B15" s="91" t="s">
        <v>402</v>
      </c>
      <c r="C15" s="91">
        <v>1</v>
      </c>
      <c r="D15" s="91" t="s">
        <v>403</v>
      </c>
      <c r="E15" s="91">
        <v>82</v>
      </c>
      <c r="F15" s="91" t="s">
        <v>406</v>
      </c>
      <c r="G15" s="91" t="s">
        <v>578</v>
      </c>
      <c r="H15" s="91" t="s">
        <v>407</v>
      </c>
      <c r="I15" s="9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4"/>
  <sheetViews>
    <sheetView showGridLines="0" topLeftCell="A19" zoomScale="90" zoomScaleNormal="90" workbookViewId="0">
      <selection activeCell="P17" sqref="P17"/>
    </sheetView>
  </sheetViews>
  <sheetFormatPr defaultColWidth="9" defaultRowHeight="19.2"/>
  <cols>
    <col min="1" max="1" width="5.8984375" style="126" customWidth="1"/>
    <col min="2" max="2" width="29.8984375" style="139" customWidth="1"/>
    <col min="3" max="3" width="1.19921875" style="126" customWidth="1"/>
    <col min="4" max="11" width="9" style="126"/>
    <col min="12" max="12" width="19.5" style="126" customWidth="1"/>
    <col min="13" max="16384" width="9" style="126"/>
  </cols>
  <sheetData>
    <row r="1" spans="1:12" ht="20.25" customHeight="1">
      <c r="A1" s="255" t="s">
        <v>1200</v>
      </c>
      <c r="B1" s="255"/>
      <c r="C1" s="255"/>
      <c r="D1" s="255"/>
      <c r="E1" s="255"/>
      <c r="F1" s="255"/>
      <c r="G1" s="255"/>
      <c r="H1" s="255"/>
      <c r="I1" s="161"/>
      <c r="J1" s="250" t="s">
        <v>1266</v>
      </c>
      <c r="K1" s="250"/>
      <c r="L1" s="250"/>
    </row>
    <row r="2" spans="1:12" s="127" customFormat="1" ht="33.75" customHeight="1">
      <c r="A2" s="256"/>
      <c r="B2" s="256"/>
      <c r="C2" s="256"/>
      <c r="D2" s="256"/>
      <c r="E2" s="256"/>
      <c r="F2" s="256"/>
      <c r="G2" s="256"/>
      <c r="H2" s="256"/>
      <c r="I2" s="251" t="s">
        <v>1201</v>
      </c>
      <c r="J2" s="251"/>
      <c r="K2" s="251"/>
      <c r="L2" s="251"/>
    </row>
    <row r="4" spans="1:12" ht="17.25" customHeight="1">
      <c r="B4" s="252" t="s">
        <v>550</v>
      </c>
      <c r="C4" s="252"/>
      <c r="D4" s="252"/>
      <c r="E4" s="252"/>
      <c r="F4" s="252"/>
      <c r="G4" s="252"/>
      <c r="H4" s="252"/>
      <c r="I4" s="252"/>
      <c r="J4" s="252"/>
      <c r="K4" s="252"/>
      <c r="L4" s="252"/>
    </row>
    <row r="5" spans="1:12" ht="27.75" customHeight="1">
      <c r="B5" s="252"/>
      <c r="C5" s="252"/>
      <c r="D5" s="252"/>
      <c r="E5" s="252"/>
      <c r="F5" s="252"/>
      <c r="G5" s="252"/>
      <c r="H5" s="252"/>
      <c r="I5" s="252"/>
      <c r="J5" s="252"/>
      <c r="K5" s="252"/>
      <c r="L5" s="252"/>
    </row>
    <row r="6" spans="1:12" s="127" customFormat="1" ht="15.6">
      <c r="B6" s="140"/>
    </row>
    <row r="7" spans="1:12" s="127" customFormat="1" ht="21">
      <c r="B7" s="179" t="s">
        <v>552</v>
      </c>
      <c r="D7" s="128"/>
    </row>
    <row r="8" spans="1:12" s="127" customFormat="1" ht="7.5" customHeight="1">
      <c r="B8" s="140"/>
    </row>
    <row r="9" spans="1:12" s="127" customFormat="1" ht="27.75" customHeight="1" thickBot="1">
      <c r="A9" s="129"/>
      <c r="B9" s="136" t="s">
        <v>545</v>
      </c>
      <c r="C9" s="129"/>
      <c r="D9" s="254" t="s">
        <v>553</v>
      </c>
      <c r="E9" s="254"/>
      <c r="F9" s="254"/>
      <c r="G9" s="254"/>
      <c r="H9" s="254"/>
      <c r="I9" s="254"/>
      <c r="J9" s="254"/>
      <c r="K9" s="254"/>
      <c r="L9" s="254"/>
    </row>
    <row r="10" spans="1:12" s="127" customFormat="1" ht="27.75" customHeight="1" thickTop="1" thickBot="1">
      <c r="A10" s="129"/>
      <c r="B10" s="135" t="s">
        <v>546</v>
      </c>
      <c r="C10" s="129"/>
      <c r="D10" s="254" t="s">
        <v>1300</v>
      </c>
      <c r="E10" s="254"/>
      <c r="F10" s="254"/>
      <c r="G10" s="254"/>
      <c r="H10" s="254"/>
      <c r="I10" s="254"/>
      <c r="J10" s="254"/>
      <c r="K10" s="254"/>
      <c r="L10" s="254"/>
    </row>
    <row r="11" spans="1:12" s="127" customFormat="1" ht="27.75" customHeight="1" thickTop="1" thickBot="1">
      <c r="A11" s="129"/>
      <c r="B11" s="172" t="s">
        <v>547</v>
      </c>
      <c r="C11" s="129"/>
      <c r="D11" s="254" t="s">
        <v>1301</v>
      </c>
      <c r="E11" s="254"/>
      <c r="F11" s="254"/>
      <c r="G11" s="254"/>
      <c r="H11" s="254"/>
      <c r="I11" s="254"/>
      <c r="J11" s="254"/>
      <c r="K11" s="254"/>
      <c r="L11" s="254"/>
    </row>
    <row r="12" spans="1:12" s="127" customFormat="1" ht="27.75" customHeight="1" thickTop="1" thickBot="1">
      <c r="A12" s="129"/>
      <c r="B12" s="173" t="s">
        <v>548</v>
      </c>
      <c r="C12" s="129"/>
      <c r="D12" s="254" t="s">
        <v>1302</v>
      </c>
      <c r="E12" s="254"/>
      <c r="F12" s="254"/>
      <c r="G12" s="254"/>
      <c r="H12" s="254"/>
      <c r="I12" s="254"/>
      <c r="J12" s="254"/>
      <c r="K12" s="254"/>
      <c r="L12" s="254"/>
    </row>
    <row r="13" spans="1:12" s="127" customFormat="1" ht="27.75" customHeight="1" thickTop="1" thickBot="1">
      <c r="A13" s="129"/>
      <c r="B13" s="132" t="s">
        <v>1171</v>
      </c>
      <c r="C13" s="129"/>
      <c r="D13" s="254" t="s">
        <v>1305</v>
      </c>
      <c r="E13" s="254"/>
      <c r="F13" s="254"/>
      <c r="G13" s="254"/>
      <c r="H13" s="254"/>
      <c r="I13" s="254"/>
      <c r="J13" s="254"/>
      <c r="K13" s="254"/>
      <c r="L13" s="254"/>
    </row>
    <row r="14" spans="1:12" s="127" customFormat="1" ht="27.75" customHeight="1" thickTop="1" thickBot="1">
      <c r="A14" s="129"/>
      <c r="B14" s="132" t="s">
        <v>1049</v>
      </c>
      <c r="C14" s="129"/>
      <c r="D14" s="253" t="s">
        <v>1303</v>
      </c>
      <c r="E14" s="253"/>
      <c r="F14" s="253"/>
      <c r="G14" s="253"/>
      <c r="H14" s="253"/>
      <c r="I14" s="253"/>
      <c r="J14" s="253"/>
      <c r="K14" s="253"/>
      <c r="L14" s="253"/>
    </row>
    <row r="15" spans="1:12" s="127" customFormat="1" ht="27.75" customHeight="1" thickTop="1" thickBot="1">
      <c r="A15" s="129"/>
      <c r="B15" s="133" t="s">
        <v>549</v>
      </c>
      <c r="C15" s="129"/>
      <c r="D15" s="254" t="s">
        <v>558</v>
      </c>
      <c r="E15" s="254"/>
      <c r="F15" s="254"/>
      <c r="G15" s="254"/>
      <c r="H15" s="254"/>
      <c r="I15" s="254"/>
      <c r="J15" s="254"/>
      <c r="K15" s="254"/>
      <c r="L15" s="254"/>
    </row>
    <row r="16" spans="1:12" ht="19.8" thickTop="1">
      <c r="A16" s="130"/>
      <c r="B16" s="142"/>
      <c r="C16" s="130"/>
      <c r="D16" s="131"/>
      <c r="E16" s="131"/>
      <c r="F16" s="131"/>
      <c r="G16" s="131"/>
      <c r="H16" s="131"/>
      <c r="I16" s="131"/>
      <c r="J16" s="131"/>
      <c r="K16" s="131"/>
      <c r="L16" s="131"/>
    </row>
    <row r="17" spans="2:12" s="127" customFormat="1" ht="21">
      <c r="B17" s="179" t="s">
        <v>551</v>
      </c>
      <c r="D17" s="128"/>
    </row>
    <row r="18" spans="2:12" s="127" customFormat="1" ht="5.25" customHeight="1">
      <c r="B18" s="141"/>
      <c r="D18" s="128"/>
    </row>
    <row r="19" spans="2:12" s="127" customFormat="1" ht="24.75" customHeight="1" thickBot="1">
      <c r="B19" s="171" t="s">
        <v>555</v>
      </c>
      <c r="D19" s="248" t="s">
        <v>556</v>
      </c>
      <c r="E19" s="248"/>
      <c r="F19" s="248"/>
      <c r="G19" s="248"/>
      <c r="H19" s="248"/>
      <c r="I19" s="248"/>
      <c r="J19" s="248"/>
      <c r="K19" s="248"/>
      <c r="L19" s="134" t="s">
        <v>1187</v>
      </c>
    </row>
    <row r="20" spans="2:12" s="127" customFormat="1" ht="41.25" customHeight="1" thickTop="1" thickBot="1">
      <c r="B20" s="171" t="s">
        <v>554</v>
      </c>
      <c r="D20" s="248" t="s">
        <v>557</v>
      </c>
      <c r="E20" s="248"/>
      <c r="F20" s="248"/>
      <c r="G20" s="248"/>
      <c r="H20" s="248"/>
      <c r="I20" s="248"/>
      <c r="J20" s="248"/>
      <c r="K20" s="248"/>
      <c r="L20" s="174" t="s">
        <v>1186</v>
      </c>
    </row>
    <row r="21" spans="2:12" s="127" customFormat="1" ht="37.5" customHeight="1" thickTop="1" thickBot="1">
      <c r="B21" s="171" t="s">
        <v>592</v>
      </c>
      <c r="D21" s="248" t="s">
        <v>1188</v>
      </c>
      <c r="E21" s="248"/>
      <c r="F21" s="248"/>
      <c r="G21" s="248"/>
      <c r="H21" s="248"/>
      <c r="I21" s="248"/>
      <c r="J21" s="248"/>
      <c r="K21" s="248"/>
      <c r="L21" s="174" t="s">
        <v>1186</v>
      </c>
    </row>
    <row r="22" spans="2:12" s="127" customFormat="1" ht="41.25" customHeight="1" thickTop="1" thickBot="1">
      <c r="B22" s="171" t="s">
        <v>593</v>
      </c>
      <c r="D22" s="248" t="s">
        <v>1198</v>
      </c>
      <c r="E22" s="248"/>
      <c r="F22" s="248"/>
      <c r="G22" s="248"/>
      <c r="H22" s="248"/>
      <c r="I22" s="248"/>
      <c r="J22" s="248"/>
      <c r="K22" s="248"/>
      <c r="L22" s="174" t="s">
        <v>1186</v>
      </c>
    </row>
    <row r="23" spans="2:12" s="127" customFormat="1" ht="36" customHeight="1" thickTop="1" thickBot="1">
      <c r="B23" s="171" t="s">
        <v>594</v>
      </c>
      <c r="D23" s="248" t="s">
        <v>1189</v>
      </c>
      <c r="E23" s="248"/>
      <c r="F23" s="248"/>
      <c r="G23" s="248"/>
      <c r="H23" s="248"/>
      <c r="I23" s="248"/>
      <c r="J23" s="248"/>
      <c r="K23" s="248"/>
      <c r="L23" s="174" t="s">
        <v>1186</v>
      </c>
    </row>
    <row r="24" spans="2:12" s="127" customFormat="1" ht="52.5" customHeight="1" thickTop="1" thickBot="1">
      <c r="B24" s="171" t="s">
        <v>596</v>
      </c>
      <c r="D24" s="248" t="s">
        <v>1190</v>
      </c>
      <c r="E24" s="248"/>
      <c r="F24" s="248"/>
      <c r="G24" s="248"/>
      <c r="H24" s="248"/>
      <c r="I24" s="248"/>
      <c r="J24" s="248"/>
      <c r="K24" s="248"/>
      <c r="L24" s="174" t="s">
        <v>1186</v>
      </c>
    </row>
    <row r="25" spans="2:12" s="127" customFormat="1" ht="57" customHeight="1" thickTop="1" thickBot="1">
      <c r="B25" s="171" t="s">
        <v>597</v>
      </c>
      <c r="D25" s="248" t="s">
        <v>1191</v>
      </c>
      <c r="E25" s="248"/>
      <c r="F25" s="248"/>
      <c r="G25" s="248"/>
      <c r="H25" s="248"/>
      <c r="I25" s="248"/>
      <c r="J25" s="248"/>
      <c r="K25" s="248"/>
      <c r="L25" s="174" t="s">
        <v>1186</v>
      </c>
    </row>
    <row r="26" spans="2:12" s="127" customFormat="1" ht="48.75" customHeight="1" thickTop="1" thickBot="1">
      <c r="B26" s="171" t="s">
        <v>598</v>
      </c>
      <c r="D26" s="248" t="s">
        <v>1192</v>
      </c>
      <c r="E26" s="248"/>
      <c r="F26" s="248"/>
      <c r="G26" s="248"/>
      <c r="H26" s="248"/>
      <c r="I26" s="248"/>
      <c r="J26" s="248"/>
      <c r="K26" s="248"/>
      <c r="L26" s="174" t="s">
        <v>1186</v>
      </c>
    </row>
    <row r="27" spans="2:12" s="127" customFormat="1" ht="43.5" customHeight="1" thickTop="1" thickBot="1">
      <c r="B27" s="171" t="s">
        <v>599</v>
      </c>
      <c r="D27" s="248" t="s">
        <v>1193</v>
      </c>
      <c r="E27" s="248"/>
      <c r="F27" s="248"/>
      <c r="G27" s="248"/>
      <c r="H27" s="248"/>
      <c r="I27" s="248"/>
      <c r="J27" s="248"/>
      <c r="K27" s="248"/>
      <c r="L27" s="174" t="s">
        <v>1186</v>
      </c>
    </row>
    <row r="28" spans="2:12" s="127" customFormat="1" ht="43.5" customHeight="1" thickTop="1" thickBot="1">
      <c r="B28" s="171" t="s">
        <v>600</v>
      </c>
      <c r="D28" s="248" t="s">
        <v>1194</v>
      </c>
      <c r="E28" s="248"/>
      <c r="F28" s="248"/>
      <c r="G28" s="248"/>
      <c r="H28" s="248"/>
      <c r="I28" s="248"/>
      <c r="J28" s="248"/>
      <c r="K28" s="248"/>
      <c r="L28" s="174" t="s">
        <v>1186</v>
      </c>
    </row>
    <row r="29" spans="2:12" s="127" customFormat="1" ht="50.25" customHeight="1" thickTop="1" thickBot="1">
      <c r="B29" s="171" t="s">
        <v>602</v>
      </c>
      <c r="D29" s="248" t="s">
        <v>1199</v>
      </c>
      <c r="E29" s="248"/>
      <c r="F29" s="248"/>
      <c r="G29" s="248"/>
      <c r="H29" s="248"/>
      <c r="I29" s="248"/>
      <c r="J29" s="248"/>
      <c r="K29" s="248"/>
      <c r="L29" s="174" t="s">
        <v>1186</v>
      </c>
    </row>
    <row r="30" spans="2:12" s="127" customFormat="1" ht="57.75" customHeight="1" thickTop="1" thickBot="1">
      <c r="B30" s="171" t="s">
        <v>601</v>
      </c>
      <c r="D30" s="248" t="s">
        <v>1195</v>
      </c>
      <c r="E30" s="248"/>
      <c r="F30" s="248"/>
      <c r="G30" s="248"/>
      <c r="H30" s="248"/>
      <c r="I30" s="248"/>
      <c r="J30" s="248"/>
      <c r="K30" s="248"/>
      <c r="L30" s="174" t="s">
        <v>1186</v>
      </c>
    </row>
    <row r="31" spans="2:12" s="127" customFormat="1" ht="67.5" customHeight="1" thickTop="1" thickBot="1">
      <c r="B31" s="171" t="s">
        <v>1197</v>
      </c>
      <c r="D31" s="248" t="s">
        <v>1299</v>
      </c>
      <c r="E31" s="248"/>
      <c r="F31" s="248"/>
      <c r="G31" s="248"/>
      <c r="H31" s="248"/>
      <c r="I31" s="248"/>
      <c r="J31" s="248"/>
      <c r="K31" s="248"/>
      <c r="L31" s="174" t="s">
        <v>1186</v>
      </c>
    </row>
    <row r="32" spans="2:12" s="127" customFormat="1" ht="18" thickTop="1">
      <c r="B32" s="143"/>
      <c r="D32" s="128"/>
      <c r="L32" s="129"/>
    </row>
    <row r="33" spans="2:12" s="127" customFormat="1" ht="18.75" customHeight="1">
      <c r="B33" s="175" t="s">
        <v>1304</v>
      </c>
      <c r="C33" s="176"/>
      <c r="D33" s="177"/>
      <c r="E33" s="176"/>
      <c r="F33" s="176"/>
      <c r="G33" s="176"/>
      <c r="H33" s="176"/>
      <c r="I33" s="176"/>
      <c r="J33" s="176"/>
      <c r="K33" s="176"/>
      <c r="L33" s="178"/>
    </row>
    <row r="34" spans="2:12" s="127" customFormat="1" ht="59.25" customHeight="1">
      <c r="B34" s="249" t="s">
        <v>1196</v>
      </c>
      <c r="C34" s="249"/>
      <c r="D34" s="249"/>
      <c r="E34" s="249"/>
      <c r="F34" s="249"/>
      <c r="G34" s="249"/>
      <c r="H34" s="249"/>
      <c r="I34" s="249"/>
      <c r="J34" s="249"/>
      <c r="K34" s="249"/>
      <c r="L34" s="249"/>
    </row>
  </sheetData>
  <mergeCells count="25">
    <mergeCell ref="D23:K23"/>
    <mergeCell ref="D26:K26"/>
    <mergeCell ref="D27:K27"/>
    <mergeCell ref="D28:K28"/>
    <mergeCell ref="D11:L11"/>
    <mergeCell ref="D12:L12"/>
    <mergeCell ref="D15:L15"/>
    <mergeCell ref="D13:L13"/>
    <mergeCell ref="D24:K24"/>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A1:H2"/>
    <mergeCell ref="D25:K25"/>
  </mergeCells>
  <phoneticPr fontId="2" type="noConversion"/>
  <hyperlinks>
    <hyperlink ref="B9" location="Schedule!A1" display="Schedule" xr:uid="{00000000-0004-0000-0200-000000000000}"/>
    <hyperlink ref="B10" location="Progress!A1" display="Progress" xr:uid="{00000000-0004-0000-0200-000001000000}"/>
    <hyperlink ref="J1" r:id="rId1" display="ⓒXLWorks" xr:uid="{00000000-0004-0000-0200-000003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2" display="도움말 링크" xr:uid="{00000000-0004-0000-0200-000009000000}"/>
    <hyperlink ref="L20" r:id="rId3" xr:uid="{00000000-0004-0000-0200-00000A000000}"/>
    <hyperlink ref="L21" r:id="rId4" xr:uid="{00000000-0004-0000-0200-00000B000000}"/>
    <hyperlink ref="L23" r:id="rId5" xr:uid="{00000000-0004-0000-0200-00000D000000}"/>
    <hyperlink ref="L24" r:id="rId6" xr:uid="{00000000-0004-0000-0200-00000E000000}"/>
    <hyperlink ref="L25" r:id="rId7" xr:uid="{00000000-0004-0000-0200-00000F000000}"/>
    <hyperlink ref="I2" r:id="rId8" display="최신 버전 다운로드 https://xlworks.net" xr:uid="{00000000-0004-0000-0200-000011000000}"/>
    <hyperlink ref="L26" r:id="rId9" xr:uid="{423DE1E1-7322-43C8-884A-3985C3D42DBA}"/>
    <hyperlink ref="L27" r:id="rId10" xr:uid="{28BAD743-7265-4620-97AC-8124DB0B1D7C}"/>
    <hyperlink ref="L28" r:id="rId11" xr:uid="{E14A75FF-521C-422B-9FE7-980188152BB9}"/>
    <hyperlink ref="L29" r:id="rId12" xr:uid="{0FB2DC2E-E56F-4E03-A2CF-500B3745E3EA}"/>
    <hyperlink ref="L30" r:id="rId13" xr:uid="{CCBF42A0-CEAA-4863-8CEE-5A42FF6A85B1}"/>
    <hyperlink ref="L22" r:id="rId14" xr:uid="{00000000-0004-0000-0200-00000C000000}"/>
    <hyperlink ref="L31" r:id="rId15" xr:uid="{26788545-63B4-4141-A001-034A938CA870}"/>
    <hyperlink ref="B12" location="Calendar!A1" display="Calendar" xr:uid="{AE45EC12-A6C9-4053-B73A-1BB77F452809}"/>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MO72"/>
  <sheetViews>
    <sheetView tabSelected="1" zoomScale="130" zoomScaleNormal="130" zoomScalePageLayoutView="55" workbookViewId="0">
      <pane ySplit="4" topLeftCell="A5" activePane="bottomLeft" state="frozen"/>
      <selection activeCell="E5" sqref="E5"/>
      <selection pane="bottomLeft" activeCell="D5" sqref="D5"/>
    </sheetView>
  </sheetViews>
  <sheetFormatPr defaultColWidth="10" defaultRowHeight="12" outlineLevelRow="1"/>
  <cols>
    <col min="1" max="2" width="9" style="102" hidden="1" customWidth="1"/>
    <col min="3" max="3" width="8.3984375" style="102" hidden="1" customWidth="1"/>
    <col min="4" max="4" width="12.69921875" style="1" customWidth="1"/>
    <col min="5" max="13" width="2.69921875" style="2" customWidth="1"/>
    <col min="14" max="14" width="4.5" style="2" bestFit="1" customWidth="1"/>
    <col min="15" max="15" width="5.19921875" style="2" bestFit="1" customWidth="1"/>
    <col min="16" max="17" width="8.5" style="3" bestFit="1" customWidth="1"/>
    <col min="18" max="18" width="7.59765625" style="4" customWidth="1"/>
    <col min="19" max="19" width="6" style="5" bestFit="1" customWidth="1"/>
    <col min="20" max="20" width="4.5" style="5" bestFit="1" customWidth="1"/>
    <col min="21" max="22" width="4.5" style="6" bestFit="1" customWidth="1"/>
    <col min="23" max="24" width="8.5" style="3" customWidth="1"/>
    <col min="25" max="25" width="7.5" style="7" customWidth="1"/>
    <col min="26" max="26" width="6" style="8" hidden="1" customWidth="1"/>
    <col min="27" max="27" width="6" style="9" bestFit="1" customWidth="1"/>
    <col min="28" max="28" width="11" style="4" bestFit="1" customWidth="1"/>
    <col min="29" max="29" width="6" style="10" bestFit="1" customWidth="1"/>
    <col min="30" max="30" width="6.69921875" style="11" bestFit="1" customWidth="1"/>
    <col min="31" max="31" width="7.19921875" style="12" customWidth="1"/>
    <col min="32" max="353" width="1.8984375" style="101" customWidth="1"/>
    <col min="354" max="16384" width="10" style="101"/>
  </cols>
  <sheetData>
    <row r="1" spans="1:353" s="182" customFormat="1" ht="19.95" customHeight="1">
      <c r="A1" s="103"/>
      <c r="B1" s="113"/>
      <c r="C1" s="104"/>
      <c r="D1" s="105" t="str">
        <f ca="1">xlgantt.ProjectName()</f>
        <v>GME-Project</v>
      </c>
      <c r="E1" s="106"/>
      <c r="F1" s="106"/>
      <c r="G1" s="106"/>
      <c r="H1" s="106"/>
      <c r="I1" s="106"/>
      <c r="J1" s="106"/>
      <c r="K1" s="106"/>
      <c r="L1" s="106"/>
      <c r="M1" s="106"/>
      <c r="N1" s="106"/>
      <c r="O1" s="106"/>
      <c r="P1" s="106"/>
      <c r="Q1" s="107"/>
      <c r="R1" s="108"/>
      <c r="S1" s="109"/>
      <c r="T1" s="110"/>
      <c r="U1" s="111"/>
      <c r="V1" s="111"/>
      <c r="W1" s="112"/>
      <c r="X1" s="112"/>
      <c r="Y1" s="113"/>
      <c r="Z1" s="114"/>
      <c r="AA1" s="115"/>
      <c r="AB1" s="116"/>
      <c r="AC1" s="117"/>
      <c r="AD1" s="118"/>
      <c r="AE1" s="119" t="str">
        <f ca="1">xlgantt.ProjectProgressString()</f>
        <v>2020-02-17~2020-12-31 [계획:94.12% 실적:11.76%]</v>
      </c>
      <c r="AF1" s="183" t="s">
        <v>1247</v>
      </c>
    </row>
    <row r="2" spans="1:353" s="182" customFormat="1" ht="15" customHeight="1">
      <c r="A2" s="120"/>
      <c r="B2" s="120"/>
      <c r="C2" s="121"/>
      <c r="D2" s="261"/>
      <c r="E2" s="261"/>
      <c r="F2" s="261"/>
      <c r="G2" s="122"/>
      <c r="H2" s="123"/>
      <c r="I2" s="122"/>
      <c r="J2" s="122"/>
      <c r="K2" s="122"/>
      <c r="L2" s="122"/>
      <c r="M2" s="122"/>
      <c r="N2" s="122"/>
      <c r="O2" s="122"/>
      <c r="P2" s="122"/>
      <c r="Q2" s="122"/>
      <c r="R2" s="122"/>
      <c r="S2" s="122"/>
      <c r="T2" s="122"/>
      <c r="U2" s="122"/>
      <c r="V2" s="122"/>
      <c r="W2" s="122"/>
      <c r="X2" s="122"/>
      <c r="Y2" s="122"/>
      <c r="Z2" s="122"/>
      <c r="AA2" s="122"/>
      <c r="AB2" s="122"/>
      <c r="AC2" s="124"/>
      <c r="AD2" s="125"/>
      <c r="AE2" s="122" t="str">
        <f ca="1">xlgantt.CommentOnHeadArea()</f>
        <v>별(*)표시는 필수입력, 주황색열은 자동계산</v>
      </c>
      <c r="AF2" s="184" t="s">
        <v>1297</v>
      </c>
    </row>
    <row r="3" spans="1:353" s="160" customFormat="1" ht="19.05" customHeight="1">
      <c r="A3" s="267" t="s">
        <v>579</v>
      </c>
      <c r="B3" s="269" t="s">
        <v>571</v>
      </c>
      <c r="C3" s="271" t="s">
        <v>581</v>
      </c>
      <c r="D3" s="272" t="s">
        <v>572</v>
      </c>
      <c r="E3" s="273" t="s">
        <v>1130</v>
      </c>
      <c r="F3" s="274"/>
      <c r="G3" s="274"/>
      <c r="H3" s="274"/>
      <c r="I3" s="274"/>
      <c r="J3" s="274"/>
      <c r="K3" s="274"/>
      <c r="L3" s="274"/>
      <c r="M3" s="274"/>
      <c r="N3" s="274"/>
      <c r="O3" s="262" t="s">
        <v>1131</v>
      </c>
      <c r="P3" s="263" t="s">
        <v>1132</v>
      </c>
      <c r="Q3" s="263" t="s">
        <v>1133</v>
      </c>
      <c r="R3" s="265" t="s">
        <v>573</v>
      </c>
      <c r="S3" s="264" t="s">
        <v>1134</v>
      </c>
      <c r="T3" s="275" t="s">
        <v>1135</v>
      </c>
      <c r="U3" s="277" t="s">
        <v>1136</v>
      </c>
      <c r="V3" s="277" t="s">
        <v>1137</v>
      </c>
      <c r="W3" s="276" t="s">
        <v>1138</v>
      </c>
      <c r="X3" s="276" t="s">
        <v>1139</v>
      </c>
      <c r="Y3" s="280" t="s">
        <v>1140</v>
      </c>
      <c r="Z3" s="279" t="s">
        <v>1141</v>
      </c>
      <c r="AA3" s="260" t="s">
        <v>1142</v>
      </c>
      <c r="AB3" s="263" t="s">
        <v>1143</v>
      </c>
      <c r="AC3" s="269" t="s">
        <v>1144</v>
      </c>
      <c r="AD3" s="278" t="s">
        <v>1145</v>
      </c>
      <c r="AE3" s="266" t="s">
        <v>1146</v>
      </c>
      <c r="AF3" s="281" t="s">
        <v>1317</v>
      </c>
      <c r="AG3" s="258"/>
      <c r="AH3" s="258"/>
      <c r="AI3" s="258"/>
      <c r="AJ3" s="257" t="s">
        <v>1318</v>
      </c>
      <c r="AK3" s="258"/>
      <c r="AL3" s="258"/>
      <c r="AM3" s="258"/>
      <c r="AN3" s="257" t="s">
        <v>1319</v>
      </c>
      <c r="AO3" s="258"/>
      <c r="AP3" s="258"/>
      <c r="AQ3" s="258"/>
      <c r="AR3" s="257" t="s">
        <v>1320</v>
      </c>
      <c r="AS3" s="258"/>
      <c r="AT3" s="258"/>
      <c r="AU3" s="258"/>
      <c r="AV3" s="257" t="s">
        <v>1321</v>
      </c>
      <c r="AW3" s="258"/>
      <c r="AX3" s="258"/>
      <c r="AY3" s="258"/>
      <c r="AZ3" s="257" t="s">
        <v>1322</v>
      </c>
      <c r="BA3" s="258"/>
      <c r="BB3" s="258"/>
      <c r="BC3" s="258"/>
      <c r="BD3" s="257" t="s">
        <v>1323</v>
      </c>
      <c r="BE3" s="258"/>
      <c r="BF3" s="258"/>
      <c r="BG3" s="258"/>
      <c r="BH3" s="257" t="s">
        <v>1324</v>
      </c>
      <c r="BI3" s="258"/>
      <c r="BJ3" s="258"/>
      <c r="BK3" s="258"/>
      <c r="BL3" s="257" t="s">
        <v>1325</v>
      </c>
      <c r="BM3" s="258"/>
      <c r="BN3" s="258"/>
      <c r="BO3" s="258"/>
      <c r="BP3" s="257" t="s">
        <v>1326</v>
      </c>
      <c r="BQ3" s="258"/>
      <c r="BR3" s="258"/>
      <c r="BS3" s="258"/>
      <c r="BT3" s="257" t="s">
        <v>1327</v>
      </c>
      <c r="BU3" s="258"/>
      <c r="BV3" s="258"/>
      <c r="BW3" s="258"/>
      <c r="BX3" s="257" t="s">
        <v>1328</v>
      </c>
      <c r="BY3" s="258"/>
      <c r="BZ3" s="258"/>
      <c r="CA3" s="259"/>
    </row>
    <row r="4" spans="1:353" s="138" customFormat="1" ht="6" customHeight="1">
      <c r="A4" s="268"/>
      <c r="B4" s="270"/>
      <c r="C4" s="267"/>
      <c r="D4" s="272"/>
      <c r="E4" s="273"/>
      <c r="F4" s="274"/>
      <c r="G4" s="274"/>
      <c r="H4" s="274"/>
      <c r="I4" s="274"/>
      <c r="J4" s="274"/>
      <c r="K4" s="274"/>
      <c r="L4" s="274"/>
      <c r="M4" s="274"/>
      <c r="N4" s="274"/>
      <c r="O4" s="263"/>
      <c r="P4" s="263"/>
      <c r="Q4" s="263"/>
      <c r="R4" s="265"/>
      <c r="S4" s="264"/>
      <c r="T4" s="275"/>
      <c r="U4" s="277"/>
      <c r="V4" s="277"/>
      <c r="W4" s="263"/>
      <c r="X4" s="263"/>
      <c r="Y4" s="280"/>
      <c r="Z4" s="279"/>
      <c r="AA4" s="260"/>
      <c r="AB4" s="263"/>
      <c r="AC4" s="269"/>
      <c r="AD4" s="278"/>
      <c r="AE4" s="266"/>
      <c r="AF4" s="180">
        <v>43878</v>
      </c>
      <c r="AG4" s="181">
        <v>43885</v>
      </c>
      <c r="AH4" s="181">
        <v>43892</v>
      </c>
      <c r="AI4" s="181">
        <v>43899</v>
      </c>
      <c r="AJ4" s="181">
        <v>43906</v>
      </c>
      <c r="AK4" s="181">
        <v>43913</v>
      </c>
      <c r="AL4" s="181">
        <v>43920</v>
      </c>
      <c r="AM4" s="181">
        <v>43927</v>
      </c>
      <c r="AN4" s="181">
        <v>43934</v>
      </c>
      <c r="AO4" s="181">
        <v>43941</v>
      </c>
      <c r="AP4" s="181">
        <v>43948</v>
      </c>
      <c r="AQ4" s="181">
        <v>43955</v>
      </c>
      <c r="AR4" s="181">
        <v>43962</v>
      </c>
      <c r="AS4" s="181">
        <v>43969</v>
      </c>
      <c r="AT4" s="181">
        <v>43976</v>
      </c>
      <c r="AU4" s="181">
        <v>43983</v>
      </c>
      <c r="AV4" s="181">
        <v>43990</v>
      </c>
      <c r="AW4" s="181">
        <v>43997</v>
      </c>
      <c r="AX4" s="181">
        <v>44004</v>
      </c>
      <c r="AY4" s="181">
        <v>44011</v>
      </c>
      <c r="AZ4" s="181">
        <v>44018</v>
      </c>
      <c r="BA4" s="181">
        <v>44025</v>
      </c>
      <c r="BB4" s="181">
        <v>44032</v>
      </c>
      <c r="BC4" s="181">
        <v>44039</v>
      </c>
      <c r="BD4" s="181">
        <v>44046</v>
      </c>
      <c r="BE4" s="181">
        <v>44053</v>
      </c>
      <c r="BF4" s="181">
        <v>44060</v>
      </c>
      <c r="BG4" s="181">
        <v>44067</v>
      </c>
      <c r="BH4" s="181">
        <v>44074</v>
      </c>
      <c r="BI4" s="181">
        <v>44081</v>
      </c>
      <c r="BJ4" s="181">
        <v>44088</v>
      </c>
      <c r="BK4" s="181">
        <v>44095</v>
      </c>
      <c r="BL4" s="181">
        <v>44102</v>
      </c>
      <c r="BM4" s="181">
        <v>44109</v>
      </c>
      <c r="BN4" s="181">
        <v>44116</v>
      </c>
      <c r="BO4" s="181">
        <v>44123</v>
      </c>
      <c r="BP4" s="181">
        <v>44130</v>
      </c>
      <c r="BQ4" s="181">
        <v>44137</v>
      </c>
      <c r="BR4" s="181">
        <v>44144</v>
      </c>
      <c r="BS4" s="181">
        <v>44151</v>
      </c>
      <c r="BT4" s="181">
        <v>44158</v>
      </c>
      <c r="BU4" s="181">
        <v>44165</v>
      </c>
      <c r="BV4" s="181">
        <v>44172</v>
      </c>
      <c r="BW4" s="181">
        <v>44179</v>
      </c>
      <c r="BX4" s="181">
        <v>44186</v>
      </c>
      <c r="BY4" s="181">
        <v>44193</v>
      </c>
      <c r="BZ4" s="226"/>
      <c r="CA4" s="22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c r="DR4" s="187"/>
      <c r="DS4" s="187"/>
      <c r="DT4" s="187"/>
      <c r="DU4" s="187"/>
      <c r="DV4" s="187"/>
      <c r="DW4" s="187"/>
      <c r="DX4" s="187"/>
      <c r="DY4" s="187"/>
      <c r="DZ4" s="187"/>
      <c r="EA4" s="187"/>
      <c r="EB4" s="187"/>
      <c r="EC4" s="187"/>
      <c r="ED4" s="187"/>
      <c r="EE4" s="187"/>
      <c r="EF4" s="187"/>
      <c r="EG4" s="187"/>
      <c r="EH4" s="187"/>
      <c r="EI4" s="187"/>
      <c r="EJ4" s="187"/>
      <c r="EK4" s="187"/>
      <c r="EL4" s="187"/>
      <c r="EM4" s="187"/>
      <c r="EN4" s="187"/>
      <c r="EO4" s="187"/>
      <c r="EP4" s="187"/>
      <c r="EQ4" s="187"/>
      <c r="ER4" s="187"/>
      <c r="ES4" s="187"/>
      <c r="ET4" s="187"/>
      <c r="EU4" s="187"/>
      <c r="EV4" s="187"/>
      <c r="EW4" s="187"/>
      <c r="EX4" s="187"/>
      <c r="EY4" s="187"/>
      <c r="EZ4" s="187"/>
      <c r="FA4" s="187"/>
      <c r="FB4" s="187"/>
      <c r="FC4" s="187"/>
      <c r="FD4" s="187"/>
      <c r="FE4" s="187"/>
      <c r="FF4" s="187"/>
      <c r="FG4" s="187"/>
      <c r="FH4" s="187"/>
      <c r="FI4" s="187"/>
      <c r="FJ4" s="187"/>
      <c r="FK4" s="187"/>
      <c r="FL4" s="187"/>
      <c r="FM4" s="187"/>
      <c r="FN4" s="187"/>
      <c r="FO4" s="187"/>
      <c r="FP4" s="187"/>
      <c r="FQ4" s="187"/>
      <c r="FR4" s="187"/>
      <c r="FS4" s="187"/>
      <c r="FT4" s="187"/>
      <c r="FU4" s="187"/>
      <c r="FV4" s="187"/>
      <c r="FW4" s="187"/>
      <c r="FX4" s="187"/>
      <c r="FY4" s="187"/>
      <c r="FZ4" s="187"/>
      <c r="GA4" s="187"/>
      <c r="GB4" s="187"/>
      <c r="GC4" s="187"/>
      <c r="GD4" s="187"/>
      <c r="GE4" s="187"/>
      <c r="GF4" s="187"/>
      <c r="GG4" s="187"/>
      <c r="GH4" s="187"/>
      <c r="GI4" s="187"/>
      <c r="GJ4" s="187"/>
      <c r="GK4" s="187"/>
      <c r="GL4" s="187"/>
      <c r="GM4" s="187"/>
      <c r="GN4" s="187"/>
      <c r="GO4" s="187"/>
      <c r="GP4" s="187"/>
      <c r="GQ4" s="187"/>
      <c r="GR4" s="187"/>
      <c r="GS4" s="187"/>
      <c r="GT4" s="187"/>
      <c r="GU4" s="187"/>
      <c r="GV4" s="187"/>
      <c r="GW4" s="187"/>
      <c r="GX4" s="187"/>
      <c r="GY4" s="187"/>
      <c r="GZ4" s="187"/>
      <c r="HA4" s="187"/>
      <c r="HB4" s="187"/>
      <c r="HC4" s="187"/>
      <c r="HD4" s="187"/>
      <c r="HE4" s="187"/>
      <c r="HF4" s="187"/>
      <c r="HG4" s="187"/>
      <c r="HH4" s="187"/>
      <c r="HI4" s="187"/>
      <c r="HJ4" s="187"/>
      <c r="HK4" s="187"/>
      <c r="HL4" s="187"/>
      <c r="HM4" s="187"/>
      <c r="HN4" s="187"/>
      <c r="HO4" s="187"/>
      <c r="HP4" s="187"/>
      <c r="HQ4" s="187"/>
      <c r="HR4" s="187"/>
      <c r="HS4" s="187"/>
      <c r="HT4" s="187"/>
      <c r="HU4" s="187"/>
      <c r="HV4" s="187"/>
      <c r="HW4" s="187"/>
      <c r="HX4" s="187"/>
      <c r="HY4" s="187"/>
      <c r="HZ4" s="187"/>
      <c r="IA4" s="187"/>
      <c r="IB4" s="187"/>
      <c r="IC4" s="187"/>
      <c r="ID4" s="187"/>
      <c r="IE4" s="187"/>
      <c r="IF4" s="187"/>
      <c r="IG4" s="187"/>
      <c r="IH4" s="187"/>
      <c r="II4" s="187"/>
      <c r="IJ4" s="187"/>
      <c r="IK4" s="187"/>
      <c r="IL4" s="187"/>
      <c r="IM4" s="187"/>
      <c r="IN4" s="187"/>
      <c r="IO4" s="187"/>
      <c r="IP4" s="187"/>
      <c r="IQ4" s="187"/>
      <c r="IR4" s="187"/>
      <c r="IS4" s="187"/>
      <c r="IT4" s="187"/>
      <c r="IU4" s="187"/>
      <c r="IV4" s="187"/>
      <c r="IW4" s="187"/>
      <c r="IX4" s="187"/>
      <c r="IY4" s="187"/>
      <c r="IZ4" s="187"/>
      <c r="JA4" s="187"/>
      <c r="JB4" s="187"/>
      <c r="JC4" s="187"/>
      <c r="JD4" s="187"/>
      <c r="JE4" s="187"/>
      <c r="JF4" s="187"/>
      <c r="JG4" s="187"/>
      <c r="JH4" s="187"/>
      <c r="JI4" s="187"/>
      <c r="JJ4" s="187"/>
      <c r="JK4" s="187"/>
      <c r="JL4" s="187"/>
      <c r="JM4" s="187"/>
      <c r="JN4" s="187"/>
      <c r="JO4" s="187"/>
      <c r="JP4" s="187"/>
      <c r="JQ4" s="187"/>
      <c r="JR4" s="187"/>
      <c r="JS4" s="187"/>
      <c r="JT4" s="187"/>
      <c r="JU4" s="187"/>
      <c r="JV4" s="187"/>
      <c r="JW4" s="187"/>
      <c r="JX4" s="187"/>
      <c r="JY4" s="187"/>
      <c r="JZ4" s="187"/>
      <c r="KA4" s="187"/>
      <c r="KB4" s="187"/>
      <c r="KC4" s="187"/>
      <c r="KD4" s="187"/>
      <c r="KE4" s="187"/>
      <c r="KF4" s="187"/>
      <c r="KG4" s="187"/>
      <c r="KH4" s="187"/>
      <c r="KI4" s="187"/>
      <c r="KJ4" s="187"/>
      <c r="KK4" s="187"/>
      <c r="KL4" s="187"/>
      <c r="KM4" s="187"/>
      <c r="KN4" s="187"/>
      <c r="KO4" s="187"/>
      <c r="KP4" s="187"/>
      <c r="KQ4" s="187"/>
      <c r="KR4" s="187"/>
      <c r="KS4" s="187"/>
      <c r="KT4" s="187"/>
      <c r="KU4" s="187"/>
      <c r="KV4" s="187"/>
      <c r="KW4" s="187"/>
      <c r="KX4" s="187"/>
      <c r="KY4" s="187"/>
      <c r="KZ4" s="187"/>
      <c r="LA4" s="187"/>
      <c r="LB4" s="187"/>
      <c r="LC4" s="187"/>
      <c r="LD4" s="187"/>
      <c r="LE4" s="187"/>
      <c r="LF4" s="187"/>
      <c r="LG4" s="187"/>
      <c r="LH4" s="187"/>
      <c r="LI4" s="187"/>
      <c r="LJ4" s="187"/>
      <c r="LK4" s="187"/>
      <c r="LL4" s="187"/>
      <c r="LM4" s="187"/>
      <c r="LN4" s="187"/>
      <c r="LO4" s="187"/>
      <c r="LP4" s="187"/>
      <c r="LQ4" s="187"/>
      <c r="LR4" s="187"/>
      <c r="LS4" s="187"/>
      <c r="LT4" s="187"/>
      <c r="LU4" s="187"/>
      <c r="LV4" s="187"/>
      <c r="LW4" s="187"/>
      <c r="LX4" s="187"/>
      <c r="LY4" s="187"/>
      <c r="LZ4" s="187"/>
      <c r="MA4" s="187"/>
      <c r="MB4" s="187"/>
      <c r="MC4" s="187"/>
      <c r="MD4" s="187"/>
      <c r="ME4" s="187"/>
      <c r="MF4" s="187"/>
      <c r="MG4" s="187"/>
      <c r="MH4" s="187"/>
      <c r="MI4" s="187"/>
      <c r="MJ4" s="187"/>
      <c r="MK4" s="187"/>
      <c r="ML4" s="187"/>
      <c r="MM4" s="187"/>
      <c r="MN4" s="187"/>
      <c r="MO4" s="187"/>
    </row>
    <row r="5" spans="1:353">
      <c r="A5" s="214"/>
      <c r="B5" s="214" t="s">
        <v>1281</v>
      </c>
      <c r="C5" s="214">
        <v>1</v>
      </c>
      <c r="D5" s="229" t="s">
        <v>1064</v>
      </c>
      <c r="E5" s="230" t="s">
        <v>1314</v>
      </c>
      <c r="F5" s="231"/>
      <c r="G5" s="215"/>
      <c r="H5" s="215"/>
      <c r="I5" s="215"/>
      <c r="J5" s="215"/>
      <c r="K5" s="215"/>
      <c r="L5" s="215"/>
      <c r="M5" s="215"/>
      <c r="N5" s="215"/>
      <c r="O5" s="215"/>
      <c r="P5" s="216">
        <v>43886</v>
      </c>
      <c r="Q5" s="216">
        <v>43888</v>
      </c>
      <c r="R5" s="218"/>
      <c r="S5" s="219">
        <v>3</v>
      </c>
      <c r="T5" s="219">
        <v>3</v>
      </c>
      <c r="U5" s="217">
        <v>3</v>
      </c>
      <c r="V5" s="217">
        <v>3</v>
      </c>
      <c r="W5" s="216"/>
      <c r="X5" s="216"/>
      <c r="Y5" s="220">
        <v>0</v>
      </c>
      <c r="Z5" s="221">
        <v>0</v>
      </c>
      <c r="AA5" s="222"/>
      <c r="AB5" s="218"/>
      <c r="AC5" s="223"/>
      <c r="AD5" s="224">
        <v>1</v>
      </c>
      <c r="AE5" s="225">
        <v>0</v>
      </c>
      <c r="AF5" s="199"/>
      <c r="AG5" s="200" t="str">
        <f>"    " &amp; "Reward/Coupon 2nd Phase" &amp; " " &amp; IF(P5="","",TEXT(P5,"M/D-")) &amp; IF(Q5="","",TEXT(Q5,"M/D")) &amp; " "</f>
        <v xml:space="preserve">    Reward/Coupon 2nd Phase 2/25-2/27 </v>
      </c>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200"/>
      <c r="BS5" s="200"/>
      <c r="BT5" s="200"/>
      <c r="BU5" s="200"/>
      <c r="BV5" s="200"/>
      <c r="BW5" s="200"/>
      <c r="BX5" s="200"/>
      <c r="BY5" s="200"/>
      <c r="BZ5" s="200"/>
      <c r="CA5" s="198"/>
    </row>
    <row r="6" spans="1:353" outlineLevel="1">
      <c r="A6" s="214"/>
      <c r="B6" s="214"/>
      <c r="C6" s="214">
        <v>2</v>
      </c>
      <c r="D6" s="229" t="s">
        <v>1177</v>
      </c>
      <c r="E6" s="231"/>
      <c r="F6" s="231" t="s">
        <v>1308</v>
      </c>
      <c r="G6" s="215"/>
      <c r="H6" s="215"/>
      <c r="I6" s="215"/>
      <c r="J6" s="215"/>
      <c r="K6" s="215"/>
      <c r="L6" s="215"/>
      <c r="M6" s="215"/>
      <c r="N6" s="215"/>
      <c r="O6" s="215"/>
      <c r="P6" s="216"/>
      <c r="Q6" s="216"/>
      <c r="R6" s="218"/>
      <c r="S6" s="219">
        <v>0</v>
      </c>
      <c r="T6" s="219">
        <v>0</v>
      </c>
      <c r="U6" s="217">
        <v>0</v>
      </c>
      <c r="V6" s="217">
        <v>0</v>
      </c>
      <c r="W6" s="216"/>
      <c r="X6" s="216"/>
      <c r="Y6" s="220">
        <v>0</v>
      </c>
      <c r="Z6" s="221">
        <v>0</v>
      </c>
      <c r="AA6" s="222"/>
      <c r="AB6" s="218"/>
      <c r="AC6" s="223"/>
      <c r="AD6" s="224">
        <v>0</v>
      </c>
      <c r="AE6" s="225">
        <v>0</v>
      </c>
      <c r="AF6" s="199"/>
      <c r="AG6" s="200"/>
      <c r="AH6" s="200"/>
      <c r="AI6" s="200"/>
      <c r="AJ6" s="200"/>
      <c r="AK6" s="200"/>
      <c r="AL6" s="200"/>
      <c r="AM6" s="200"/>
      <c r="AN6" s="200"/>
      <c r="AO6" s="200"/>
      <c r="AP6" s="200"/>
      <c r="AQ6" s="200"/>
      <c r="AR6" s="200"/>
      <c r="AS6" s="200"/>
      <c r="AT6" s="200"/>
      <c r="AU6" s="200"/>
      <c r="AV6" s="200"/>
      <c r="AW6" s="200"/>
      <c r="AX6" s="200"/>
      <c r="AY6" s="200"/>
      <c r="AZ6" s="200"/>
      <c r="BA6" s="200"/>
      <c r="BB6" s="200"/>
      <c r="BC6" s="200"/>
      <c r="BD6" s="200"/>
      <c r="BE6" s="200"/>
      <c r="BF6" s="200"/>
      <c r="BG6" s="200"/>
      <c r="BH6" s="200"/>
      <c r="BI6" s="200"/>
      <c r="BJ6" s="200"/>
      <c r="BK6" s="200"/>
      <c r="BL6" s="200"/>
      <c r="BM6" s="200"/>
      <c r="BN6" s="200"/>
      <c r="BO6" s="200"/>
      <c r="BP6" s="200"/>
      <c r="BQ6" s="200"/>
      <c r="BR6" s="200"/>
      <c r="BS6" s="200"/>
      <c r="BT6" s="200"/>
      <c r="BU6" s="200"/>
      <c r="BV6" s="200"/>
      <c r="BW6" s="200"/>
      <c r="BX6" s="200"/>
      <c r="BY6" s="200"/>
      <c r="BZ6" s="200"/>
    </row>
    <row r="7" spans="1:353" outlineLevel="1">
      <c r="A7" s="214"/>
      <c r="B7" s="214"/>
      <c r="C7" s="214">
        <v>2</v>
      </c>
      <c r="D7" s="229" t="s">
        <v>1180</v>
      </c>
      <c r="E7" s="231"/>
      <c r="F7" s="231" t="s">
        <v>1309</v>
      </c>
      <c r="G7" s="215"/>
      <c r="H7" s="215"/>
      <c r="I7" s="215"/>
      <c r="J7" s="215"/>
      <c r="K7" s="215"/>
      <c r="L7" s="215"/>
      <c r="M7" s="215"/>
      <c r="N7" s="215"/>
      <c r="O7" s="215"/>
      <c r="P7" s="216"/>
      <c r="Q7" s="216"/>
      <c r="R7" s="218"/>
      <c r="S7" s="219">
        <v>0</v>
      </c>
      <c r="T7" s="219">
        <v>0</v>
      </c>
      <c r="U7" s="217">
        <v>0</v>
      </c>
      <c r="V7" s="217">
        <v>0</v>
      </c>
      <c r="W7" s="216"/>
      <c r="X7" s="216"/>
      <c r="Y7" s="220">
        <v>0</v>
      </c>
      <c r="Z7" s="221">
        <v>0</v>
      </c>
      <c r="AA7" s="222"/>
      <c r="AB7" s="218" t="s">
        <v>1316</v>
      </c>
      <c r="AC7" s="223"/>
      <c r="AD7" s="224">
        <v>0</v>
      </c>
      <c r="AE7" s="225">
        <v>0</v>
      </c>
      <c r="AF7" s="199"/>
      <c r="AG7" s="200"/>
      <c r="AH7" s="200"/>
      <c r="AI7" s="200"/>
      <c r="AJ7" s="200"/>
      <c r="AK7" s="200"/>
      <c r="AL7" s="200"/>
      <c r="AM7" s="200"/>
      <c r="AN7" s="200"/>
      <c r="AO7" s="200"/>
      <c r="AP7" s="200"/>
      <c r="AQ7" s="200"/>
      <c r="AR7" s="200"/>
      <c r="AS7" s="200"/>
      <c r="AT7" s="200"/>
      <c r="AU7" s="200"/>
      <c r="AV7" s="200"/>
      <c r="AW7" s="200"/>
      <c r="AX7" s="200"/>
      <c r="AY7" s="200"/>
      <c r="AZ7" s="200"/>
      <c r="BA7" s="200"/>
      <c r="BB7" s="200"/>
      <c r="BC7" s="200"/>
      <c r="BD7" s="200"/>
      <c r="BE7" s="200"/>
      <c r="BF7" s="200"/>
      <c r="BG7" s="200"/>
      <c r="BH7" s="200"/>
      <c r="BI7" s="200"/>
      <c r="BJ7" s="200"/>
      <c r="BK7" s="200"/>
      <c r="BL7" s="200"/>
      <c r="BM7" s="200"/>
      <c r="BN7" s="200"/>
      <c r="BO7" s="200"/>
      <c r="BP7" s="200"/>
      <c r="BQ7" s="200"/>
      <c r="BR7" s="200"/>
      <c r="BS7" s="200"/>
      <c r="BT7" s="200"/>
      <c r="BU7" s="200"/>
      <c r="BV7" s="200"/>
      <c r="BW7" s="200"/>
      <c r="BX7" s="200"/>
      <c r="BY7" s="200"/>
      <c r="BZ7" s="200"/>
    </row>
    <row r="8" spans="1:353" outlineLevel="1">
      <c r="A8" s="214"/>
      <c r="B8" s="214"/>
      <c r="C8" s="214">
        <v>2</v>
      </c>
      <c r="D8" s="229" t="s">
        <v>1182</v>
      </c>
      <c r="E8" s="231"/>
      <c r="F8" s="231" t="s">
        <v>1310</v>
      </c>
      <c r="G8" s="215"/>
      <c r="H8" s="215"/>
      <c r="I8" s="215"/>
      <c r="J8" s="215"/>
      <c r="K8" s="215"/>
      <c r="L8" s="215"/>
      <c r="M8" s="215"/>
      <c r="N8" s="215"/>
      <c r="O8" s="215"/>
      <c r="P8" s="216"/>
      <c r="Q8" s="216"/>
      <c r="R8" s="218"/>
      <c r="S8" s="219">
        <v>0</v>
      </c>
      <c r="T8" s="219">
        <v>0</v>
      </c>
      <c r="U8" s="217">
        <v>0</v>
      </c>
      <c r="V8" s="217">
        <v>0</v>
      </c>
      <c r="W8" s="216"/>
      <c r="X8" s="216"/>
      <c r="Y8" s="220">
        <v>0</v>
      </c>
      <c r="Z8" s="221">
        <v>0</v>
      </c>
      <c r="AA8" s="222"/>
      <c r="AB8" s="218" t="s">
        <v>1338</v>
      </c>
      <c r="AC8" s="223"/>
      <c r="AD8" s="224">
        <v>0</v>
      </c>
      <c r="AE8" s="225">
        <v>0</v>
      </c>
      <c r="AF8" s="199"/>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row>
    <row r="9" spans="1:353" outlineLevel="1">
      <c r="A9" s="214"/>
      <c r="B9" s="214"/>
      <c r="C9" s="214">
        <v>2</v>
      </c>
      <c r="D9" s="229" t="s">
        <v>1231</v>
      </c>
      <c r="E9" s="231"/>
      <c r="F9" s="231" t="s">
        <v>1312</v>
      </c>
      <c r="G9" s="215"/>
      <c r="H9" s="215"/>
      <c r="I9" s="215"/>
      <c r="J9" s="215"/>
      <c r="K9" s="215"/>
      <c r="L9" s="215"/>
      <c r="M9" s="215"/>
      <c r="N9" s="215"/>
      <c r="O9" s="215"/>
      <c r="P9" s="216">
        <v>43886</v>
      </c>
      <c r="Q9" s="216">
        <v>43888</v>
      </c>
      <c r="R9" s="218"/>
      <c r="S9" s="219">
        <v>3</v>
      </c>
      <c r="T9" s="219">
        <v>3</v>
      </c>
      <c r="U9" s="217">
        <v>3</v>
      </c>
      <c r="V9" s="217">
        <v>3</v>
      </c>
      <c r="W9" s="216"/>
      <c r="X9" s="216"/>
      <c r="Y9" s="220">
        <v>0</v>
      </c>
      <c r="Z9" s="221">
        <v>0</v>
      </c>
      <c r="AA9" s="222">
        <v>1</v>
      </c>
      <c r="AB9" s="218"/>
      <c r="AC9" s="223"/>
      <c r="AD9" s="224">
        <v>1</v>
      </c>
      <c r="AE9" s="225">
        <v>0</v>
      </c>
      <c r="AF9" s="199"/>
      <c r="AG9" s="200" t="str">
        <f>"    " &amp; "Test" &amp; " " &amp; IF(P9="","",TEXT(P9,"M/D-")) &amp; IF(Q9="","",TEXT(Q9,"M/D")) &amp; " "</f>
        <v xml:space="preserve">    Test 2/25-2/27 </v>
      </c>
      <c r="AH9" s="200"/>
      <c r="AI9" s="200"/>
      <c r="AJ9" s="200"/>
      <c r="AK9" s="200"/>
      <c r="AL9" s="200"/>
      <c r="AM9" s="200"/>
      <c r="AN9" s="200"/>
      <c r="AO9" s="200"/>
      <c r="AP9" s="200"/>
      <c r="AQ9" s="200"/>
      <c r="AR9" s="200"/>
      <c r="AS9" s="200"/>
      <c r="AT9" s="200"/>
      <c r="AU9" s="200"/>
      <c r="AV9" s="200"/>
      <c r="AW9" s="200"/>
      <c r="AX9" s="200"/>
      <c r="AY9" s="200"/>
      <c r="AZ9" s="200"/>
      <c r="BA9" s="200"/>
      <c r="BB9" s="200"/>
      <c r="BC9" s="200"/>
      <c r="BD9" s="200"/>
      <c r="BE9" s="200"/>
      <c r="BF9" s="200"/>
      <c r="BG9" s="200"/>
      <c r="BH9" s="200"/>
      <c r="BI9" s="200"/>
      <c r="BJ9" s="200"/>
      <c r="BK9" s="200"/>
      <c r="BL9" s="200"/>
      <c r="BM9" s="200"/>
      <c r="BN9" s="200"/>
      <c r="BO9" s="200"/>
      <c r="BP9" s="200"/>
      <c r="BQ9" s="200"/>
      <c r="BR9" s="200"/>
      <c r="BS9" s="200"/>
      <c r="BT9" s="200"/>
      <c r="BU9" s="200"/>
      <c r="BV9" s="200"/>
      <c r="BW9" s="200"/>
      <c r="BX9" s="200"/>
      <c r="BY9" s="200"/>
      <c r="BZ9" s="200"/>
    </row>
    <row r="10" spans="1:353" outlineLevel="1">
      <c r="A10" s="214"/>
      <c r="B10" s="214"/>
      <c r="C10" s="214">
        <v>2</v>
      </c>
      <c r="D10" s="229" t="s">
        <v>1311</v>
      </c>
      <c r="E10" s="231"/>
      <c r="F10" s="231" t="s">
        <v>1313</v>
      </c>
      <c r="G10" s="215"/>
      <c r="H10" s="215"/>
      <c r="I10" s="215"/>
      <c r="J10" s="215"/>
      <c r="K10" s="215"/>
      <c r="L10" s="215"/>
      <c r="M10" s="215"/>
      <c r="N10" s="215"/>
      <c r="O10" s="215"/>
      <c r="P10" s="216"/>
      <c r="Q10" s="216"/>
      <c r="R10" s="218"/>
      <c r="S10" s="219">
        <v>0</v>
      </c>
      <c r="T10" s="219">
        <v>0</v>
      </c>
      <c r="U10" s="217">
        <v>0</v>
      </c>
      <c r="V10" s="217">
        <v>0</v>
      </c>
      <c r="W10" s="216"/>
      <c r="X10" s="216"/>
      <c r="Y10" s="220">
        <v>0</v>
      </c>
      <c r="Z10" s="221">
        <v>0</v>
      </c>
      <c r="AA10" s="222"/>
      <c r="AB10" s="218"/>
      <c r="AC10" s="223"/>
      <c r="AD10" s="224">
        <v>0</v>
      </c>
      <c r="AE10" s="225">
        <v>0</v>
      </c>
      <c r="AF10" s="199"/>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200"/>
      <c r="BJ10" s="200"/>
      <c r="BK10" s="200"/>
      <c r="BL10" s="200"/>
      <c r="BM10" s="200"/>
      <c r="BN10" s="200"/>
      <c r="BO10" s="200"/>
      <c r="BP10" s="200"/>
      <c r="BQ10" s="200"/>
      <c r="BR10" s="200"/>
      <c r="BS10" s="200"/>
      <c r="BT10" s="200"/>
      <c r="BU10" s="200"/>
      <c r="BV10" s="200"/>
      <c r="BW10" s="200"/>
      <c r="BX10" s="200"/>
      <c r="BY10" s="200"/>
      <c r="BZ10" s="200"/>
    </row>
    <row r="11" spans="1:353" outlineLevel="1">
      <c r="A11" s="214"/>
      <c r="B11" s="214"/>
      <c r="C11" s="214">
        <v>0</v>
      </c>
      <c r="D11" s="229"/>
      <c r="E11" s="231"/>
      <c r="F11" s="231"/>
      <c r="G11" s="215"/>
      <c r="H11" s="215"/>
      <c r="I11" s="215"/>
      <c r="J11" s="215"/>
      <c r="K11" s="215"/>
      <c r="L11" s="215"/>
      <c r="M11" s="215"/>
      <c r="N11" s="215"/>
      <c r="O11" s="215"/>
      <c r="P11" s="216"/>
      <c r="Q11" s="216"/>
      <c r="R11" s="218"/>
      <c r="S11" s="219"/>
      <c r="T11" s="219"/>
      <c r="U11" s="217">
        <v>0</v>
      </c>
      <c r="V11" s="217">
        <v>0</v>
      </c>
      <c r="W11" s="216"/>
      <c r="X11" s="216"/>
      <c r="Y11" s="220"/>
      <c r="Z11" s="221">
        <v>0</v>
      </c>
      <c r="AA11" s="222"/>
      <c r="AB11" s="218"/>
      <c r="AC11" s="223"/>
      <c r="AD11" s="224"/>
      <c r="AE11" s="225"/>
      <c r="AF11" s="199"/>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200"/>
      <c r="BJ11" s="200"/>
      <c r="BK11" s="200"/>
      <c r="BL11" s="200"/>
      <c r="BM11" s="200"/>
      <c r="BN11" s="200"/>
      <c r="BO11" s="200"/>
      <c r="BP11" s="200"/>
      <c r="BQ11" s="200"/>
      <c r="BR11" s="200"/>
      <c r="BS11" s="200"/>
      <c r="BT11" s="200"/>
      <c r="BU11" s="200"/>
      <c r="BV11" s="200"/>
      <c r="BW11" s="200"/>
      <c r="BX11" s="200"/>
      <c r="BY11" s="200"/>
      <c r="BZ11" s="200"/>
    </row>
    <row r="12" spans="1:353">
      <c r="A12" s="214"/>
      <c r="B12" s="214" t="s">
        <v>1281</v>
      </c>
      <c r="C12" s="214">
        <v>1</v>
      </c>
      <c r="D12" s="228" t="s">
        <v>1167</v>
      </c>
      <c r="E12" s="215" t="s">
        <v>1335</v>
      </c>
      <c r="F12" s="215"/>
      <c r="G12" s="215"/>
      <c r="H12" s="215"/>
      <c r="I12" s="215"/>
      <c r="J12" s="215"/>
      <c r="K12" s="215"/>
      <c r="L12" s="215"/>
      <c r="M12" s="215"/>
      <c r="N12" s="215"/>
      <c r="O12" s="215"/>
      <c r="P12" s="216">
        <v>43885</v>
      </c>
      <c r="Q12" s="216">
        <v>43889</v>
      </c>
      <c r="R12" s="218"/>
      <c r="S12" s="219">
        <v>6</v>
      </c>
      <c r="T12" s="219">
        <v>5</v>
      </c>
      <c r="U12" s="217">
        <v>5</v>
      </c>
      <c r="V12" s="217">
        <v>4</v>
      </c>
      <c r="W12" s="216">
        <v>43885</v>
      </c>
      <c r="X12" s="216"/>
      <c r="Y12" s="220">
        <v>1</v>
      </c>
      <c r="Z12" s="221">
        <v>0</v>
      </c>
      <c r="AA12" s="222"/>
      <c r="AB12" s="218"/>
      <c r="AC12" s="223"/>
      <c r="AD12" s="224">
        <v>0.83333333333333337</v>
      </c>
      <c r="AE12" s="225">
        <v>0.16666666666666666</v>
      </c>
      <c r="AF12" s="199"/>
      <c r="AG12" s="200" t="str">
        <f>"     " &amp; "Local topup service using KFTC API" &amp; " " &amp; IF(P12="","",TEXT(P12,"M/D-")) &amp; IF(Q12="","",TEXT(Q12,"M/D")) &amp; " "</f>
        <v xml:space="preserve">     Local topup service using KFTC API 2/24-2/28 </v>
      </c>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row>
    <row r="13" spans="1:353" outlineLevel="1">
      <c r="A13" s="214"/>
      <c r="B13" s="214"/>
      <c r="C13" s="214">
        <v>2</v>
      </c>
      <c r="D13" s="228" t="s">
        <v>1283</v>
      </c>
      <c r="E13" s="215"/>
      <c r="F13" s="215" t="s">
        <v>1309</v>
      </c>
      <c r="G13" s="215"/>
      <c r="H13" s="215"/>
      <c r="I13" s="215"/>
      <c r="J13" s="215"/>
      <c r="K13" s="215"/>
      <c r="L13" s="215"/>
      <c r="M13" s="215"/>
      <c r="N13" s="215"/>
      <c r="O13" s="215"/>
      <c r="P13" s="216">
        <v>43885</v>
      </c>
      <c r="Q13" s="216">
        <v>43885</v>
      </c>
      <c r="R13" s="218"/>
      <c r="S13" s="219">
        <v>1</v>
      </c>
      <c r="T13" s="219">
        <v>1</v>
      </c>
      <c r="U13" s="217">
        <v>1</v>
      </c>
      <c r="V13" s="217">
        <v>1</v>
      </c>
      <c r="W13" s="216">
        <v>43885</v>
      </c>
      <c r="X13" s="216">
        <v>43885</v>
      </c>
      <c r="Y13" s="220">
        <v>1</v>
      </c>
      <c r="Z13" s="221">
        <v>1</v>
      </c>
      <c r="AA13" s="222">
        <v>1</v>
      </c>
      <c r="AB13" s="218" t="s">
        <v>1339</v>
      </c>
      <c r="AC13" s="223"/>
      <c r="AD13" s="224">
        <v>1</v>
      </c>
      <c r="AE13" s="225">
        <v>1</v>
      </c>
      <c r="AF13" s="199"/>
      <c r="AG13" s="200" t="str">
        <f>" " &amp; "API" &amp; "(Manoj)" &amp; " " &amp; IF(P13="","",TEXT(P13,"M/D-")) &amp; IF(Q13="","",TEXT(Q13,"M/D")) &amp; " "</f>
        <v xml:space="preserve"> API(Manoj) 2/24-2/24 </v>
      </c>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row>
    <row r="14" spans="1:353" outlineLevel="1">
      <c r="A14" s="214"/>
      <c r="B14" s="214"/>
      <c r="C14" s="214">
        <v>2</v>
      </c>
      <c r="D14" s="228" t="s">
        <v>1284</v>
      </c>
      <c r="E14" s="215"/>
      <c r="F14" s="215" t="s">
        <v>1310</v>
      </c>
      <c r="G14" s="215"/>
      <c r="H14" s="215"/>
      <c r="I14" s="215"/>
      <c r="J14" s="215"/>
      <c r="K14" s="215"/>
      <c r="L14" s="215"/>
      <c r="M14" s="215"/>
      <c r="N14" s="215"/>
      <c r="O14" s="215"/>
      <c r="P14" s="216">
        <v>43885</v>
      </c>
      <c r="Q14" s="216">
        <v>43889</v>
      </c>
      <c r="R14" s="218"/>
      <c r="S14" s="219">
        <v>5</v>
      </c>
      <c r="T14" s="219">
        <v>4</v>
      </c>
      <c r="U14" s="217">
        <v>5</v>
      </c>
      <c r="V14" s="217">
        <v>4</v>
      </c>
      <c r="W14" s="216">
        <v>43885</v>
      </c>
      <c r="X14" s="216"/>
      <c r="Y14" s="220">
        <v>0</v>
      </c>
      <c r="Z14" s="221">
        <v>0</v>
      </c>
      <c r="AA14" s="222">
        <v>1</v>
      </c>
      <c r="AB14" s="218" t="s">
        <v>1338</v>
      </c>
      <c r="AC14" s="223"/>
      <c r="AD14" s="224">
        <v>0.8</v>
      </c>
      <c r="AE14" s="225">
        <v>0</v>
      </c>
      <c r="AF14" s="199"/>
      <c r="AG14" s="200" t="str">
        <f>"     " &amp; "iOS/Android" &amp; "(JB,Preyea)" &amp; " " &amp; IF(P14="","",TEXT(P14,"M/D-")) &amp; IF(Q14="","",TEXT(Q14,"M/D")) &amp; " "</f>
        <v xml:space="preserve">     iOS/Android(JB,Preyea) 2/24-2/28 </v>
      </c>
      <c r="AH14" s="200"/>
      <c r="AI14" s="200"/>
      <c r="AJ14" s="200"/>
      <c r="AK14" s="200"/>
      <c r="AL14" s="200"/>
      <c r="AM14" s="200"/>
      <c r="AN14" s="200"/>
      <c r="AO14" s="200"/>
      <c r="AP14" s="200"/>
      <c r="AQ14" s="200"/>
      <c r="AR14" s="200"/>
      <c r="AS14" s="200"/>
      <c r="AT14" s="200"/>
      <c r="AU14" s="200"/>
      <c r="AV14" s="200"/>
      <c r="AW14" s="200"/>
      <c r="AX14" s="200"/>
      <c r="AY14" s="200"/>
      <c r="AZ14" s="200"/>
      <c r="BA14" s="200"/>
      <c r="BB14" s="200"/>
      <c r="BC14" s="200"/>
      <c r="BD14" s="200"/>
      <c r="BE14" s="200"/>
      <c r="BF14" s="200"/>
      <c r="BG14" s="200"/>
      <c r="BH14" s="200"/>
      <c r="BI14" s="200"/>
      <c r="BJ14" s="200"/>
      <c r="BK14" s="200"/>
      <c r="BL14" s="200"/>
      <c r="BM14" s="200"/>
      <c r="BN14" s="200"/>
      <c r="BO14" s="200"/>
      <c r="BP14" s="200"/>
      <c r="BQ14" s="200"/>
      <c r="BR14" s="200"/>
      <c r="BS14" s="200"/>
      <c r="BT14" s="200"/>
      <c r="BU14" s="200"/>
      <c r="BV14" s="200"/>
      <c r="BW14" s="200"/>
      <c r="BX14" s="200"/>
      <c r="BY14" s="200"/>
      <c r="BZ14" s="200"/>
    </row>
    <row r="15" spans="1:353" outlineLevel="1">
      <c r="A15" s="214"/>
      <c r="B15" s="214"/>
      <c r="C15" s="214">
        <v>2</v>
      </c>
      <c r="D15" s="228" t="s">
        <v>1285</v>
      </c>
      <c r="E15" s="215"/>
      <c r="F15" s="215" t="s">
        <v>1312</v>
      </c>
      <c r="G15" s="215"/>
      <c r="H15" s="215"/>
      <c r="I15" s="215"/>
      <c r="J15" s="215"/>
      <c r="K15" s="215"/>
      <c r="L15" s="215"/>
      <c r="M15" s="215"/>
      <c r="N15" s="215"/>
      <c r="O15" s="215"/>
      <c r="P15" s="216"/>
      <c r="Q15" s="216"/>
      <c r="R15" s="218"/>
      <c r="S15" s="219">
        <v>0</v>
      </c>
      <c r="T15" s="219">
        <v>0</v>
      </c>
      <c r="U15" s="217">
        <v>0</v>
      </c>
      <c r="V15" s="217">
        <v>0</v>
      </c>
      <c r="W15" s="216"/>
      <c r="X15" s="216"/>
      <c r="Y15" s="220">
        <v>0</v>
      </c>
      <c r="Z15" s="221">
        <v>0</v>
      </c>
      <c r="AA15" s="222"/>
      <c r="AB15" s="218"/>
      <c r="AC15" s="223"/>
      <c r="AD15" s="224">
        <v>0</v>
      </c>
      <c r="AE15" s="225">
        <v>0</v>
      </c>
      <c r="AF15" s="199"/>
      <c r="AG15" s="200"/>
      <c r="AH15" s="200"/>
      <c r="AI15" s="200"/>
      <c r="AJ15" s="200"/>
      <c r="AK15" s="200"/>
      <c r="AL15" s="200"/>
      <c r="AM15" s="200"/>
      <c r="AN15" s="200"/>
      <c r="AO15" s="200"/>
      <c r="AP15" s="200"/>
      <c r="AQ15" s="200"/>
      <c r="AR15" s="200"/>
      <c r="AS15" s="200"/>
      <c r="AT15" s="200"/>
      <c r="AU15" s="200"/>
      <c r="AV15" s="200"/>
      <c r="AW15" s="200"/>
      <c r="AX15" s="200"/>
      <c r="AY15" s="200"/>
      <c r="AZ15" s="200"/>
      <c r="BA15" s="200"/>
      <c r="BB15" s="200"/>
      <c r="BC15" s="200"/>
      <c r="BD15" s="200"/>
      <c r="BE15" s="200"/>
      <c r="BF15" s="200"/>
      <c r="BG15" s="200"/>
      <c r="BH15" s="200"/>
      <c r="BI15" s="200"/>
      <c r="BJ15" s="200"/>
      <c r="BK15" s="200"/>
      <c r="BL15" s="200"/>
      <c r="BM15" s="200"/>
      <c r="BN15" s="200"/>
      <c r="BO15" s="200"/>
      <c r="BP15" s="200"/>
      <c r="BQ15" s="200"/>
      <c r="BR15" s="200"/>
      <c r="BS15" s="200"/>
      <c r="BT15" s="200"/>
      <c r="BU15" s="200"/>
      <c r="BV15" s="200"/>
      <c r="BW15" s="200"/>
      <c r="BX15" s="200"/>
      <c r="BY15" s="200"/>
      <c r="BZ15" s="200"/>
    </row>
    <row r="16" spans="1:353" outlineLevel="1">
      <c r="A16" s="214"/>
      <c r="B16" s="214"/>
      <c r="C16" s="214">
        <v>2</v>
      </c>
      <c r="D16" s="228" t="s">
        <v>1286</v>
      </c>
      <c r="E16" s="215"/>
      <c r="F16" s="215" t="s">
        <v>1313</v>
      </c>
      <c r="G16" s="215"/>
      <c r="H16" s="215"/>
      <c r="I16" s="215"/>
      <c r="J16" s="215"/>
      <c r="K16" s="215"/>
      <c r="L16" s="215"/>
      <c r="M16" s="215"/>
      <c r="N16" s="215"/>
      <c r="O16" s="215"/>
      <c r="P16" s="216"/>
      <c r="Q16" s="216"/>
      <c r="R16" s="218"/>
      <c r="S16" s="219">
        <v>0</v>
      </c>
      <c r="T16" s="219">
        <v>0</v>
      </c>
      <c r="U16" s="217">
        <v>0</v>
      </c>
      <c r="V16" s="217">
        <v>0</v>
      </c>
      <c r="W16" s="216"/>
      <c r="X16" s="216"/>
      <c r="Y16" s="220">
        <v>0</v>
      </c>
      <c r="Z16" s="221">
        <v>0</v>
      </c>
      <c r="AA16" s="222"/>
      <c r="AB16" s="218"/>
      <c r="AC16" s="223"/>
      <c r="AD16" s="224">
        <v>0</v>
      </c>
      <c r="AE16" s="225">
        <v>0</v>
      </c>
      <c r="AF16" s="199"/>
      <c r="AG16" s="200"/>
      <c r="AH16" s="200"/>
      <c r="AI16" s="200"/>
      <c r="AJ16" s="200"/>
      <c r="AK16" s="200"/>
      <c r="AL16" s="200"/>
      <c r="AM16" s="200"/>
      <c r="AN16" s="200"/>
      <c r="AO16" s="200"/>
      <c r="AP16" s="200"/>
      <c r="AQ16" s="200"/>
      <c r="AR16" s="200"/>
      <c r="AS16" s="200"/>
      <c r="AT16" s="200"/>
      <c r="AU16" s="200"/>
      <c r="AV16" s="200"/>
      <c r="AW16" s="200"/>
      <c r="AX16" s="200"/>
      <c r="AY16" s="200"/>
      <c r="AZ16" s="200"/>
      <c r="BA16" s="200"/>
      <c r="BB16" s="200"/>
      <c r="BC16" s="200"/>
      <c r="BD16" s="200"/>
      <c r="BE16" s="200"/>
      <c r="BF16" s="200"/>
      <c r="BG16" s="200"/>
      <c r="BH16" s="200"/>
      <c r="BI16" s="200"/>
      <c r="BJ16" s="200"/>
      <c r="BK16" s="200"/>
      <c r="BL16" s="200"/>
      <c r="BM16" s="200"/>
      <c r="BN16" s="200"/>
      <c r="BO16" s="200"/>
      <c r="BP16" s="200"/>
      <c r="BQ16" s="200"/>
      <c r="BR16" s="200"/>
      <c r="BS16" s="200"/>
      <c r="BT16" s="200"/>
      <c r="BU16" s="200"/>
      <c r="BV16" s="200"/>
      <c r="BW16" s="200"/>
      <c r="BX16" s="200"/>
      <c r="BY16" s="200"/>
      <c r="BZ16" s="200"/>
    </row>
    <row r="17" spans="1:78" outlineLevel="1">
      <c r="A17" s="214"/>
      <c r="B17" s="214"/>
      <c r="C17" s="214">
        <v>0</v>
      </c>
      <c r="D17" s="228"/>
      <c r="E17" s="215"/>
      <c r="F17" s="215"/>
      <c r="G17" s="215"/>
      <c r="H17" s="215"/>
      <c r="I17" s="215"/>
      <c r="J17" s="215"/>
      <c r="K17" s="215"/>
      <c r="L17" s="215"/>
      <c r="M17" s="215"/>
      <c r="N17" s="215"/>
      <c r="O17" s="215"/>
      <c r="P17" s="216"/>
      <c r="Q17" s="216"/>
      <c r="R17" s="218"/>
      <c r="S17" s="219"/>
      <c r="T17" s="219"/>
      <c r="U17" s="217">
        <v>0</v>
      </c>
      <c r="V17" s="217">
        <v>0</v>
      </c>
      <c r="W17" s="216"/>
      <c r="X17" s="216"/>
      <c r="Y17" s="220"/>
      <c r="Z17" s="221">
        <v>0</v>
      </c>
      <c r="AA17" s="222"/>
      <c r="AB17" s="218"/>
      <c r="AC17" s="223"/>
      <c r="AD17" s="224"/>
      <c r="AE17" s="225"/>
      <c r="AF17" s="199"/>
      <c r="AG17" s="200"/>
      <c r="AH17" s="200"/>
      <c r="AI17" s="200"/>
      <c r="AJ17" s="200"/>
      <c r="AK17" s="200"/>
      <c r="AL17" s="200"/>
      <c r="AM17" s="200"/>
      <c r="AN17" s="200"/>
      <c r="AO17" s="200"/>
      <c r="AP17" s="200"/>
      <c r="AQ17" s="200"/>
      <c r="AR17" s="200"/>
      <c r="AS17" s="200"/>
      <c r="AT17" s="200"/>
      <c r="AU17" s="200"/>
      <c r="AV17" s="200"/>
      <c r="AW17" s="200"/>
      <c r="AX17" s="200"/>
      <c r="AY17" s="200"/>
      <c r="AZ17" s="200"/>
      <c r="BA17" s="200"/>
      <c r="BB17" s="200"/>
      <c r="BC17" s="200"/>
      <c r="BD17" s="200"/>
      <c r="BE17" s="200"/>
      <c r="BF17" s="200"/>
      <c r="BG17" s="200"/>
      <c r="BH17" s="200"/>
      <c r="BI17" s="200"/>
      <c r="BJ17" s="200"/>
      <c r="BK17" s="200"/>
      <c r="BL17" s="200"/>
      <c r="BM17" s="200"/>
      <c r="BN17" s="200"/>
      <c r="BO17" s="200"/>
      <c r="BP17" s="200"/>
      <c r="BQ17" s="200"/>
      <c r="BR17" s="200"/>
      <c r="BS17" s="200"/>
      <c r="BT17" s="200"/>
      <c r="BU17" s="200"/>
      <c r="BV17" s="200"/>
      <c r="BW17" s="200"/>
      <c r="BX17" s="200"/>
      <c r="BY17" s="200"/>
      <c r="BZ17" s="200"/>
    </row>
    <row r="18" spans="1:78">
      <c r="A18" s="214"/>
      <c r="B18" s="214" t="s">
        <v>1281</v>
      </c>
      <c r="C18" s="214">
        <v>1</v>
      </c>
      <c r="D18" s="228" t="s">
        <v>1184</v>
      </c>
      <c r="E18" s="215" t="s">
        <v>1334</v>
      </c>
      <c r="F18" s="215"/>
      <c r="G18" s="215"/>
      <c r="H18" s="215"/>
      <c r="I18" s="215"/>
      <c r="J18" s="215"/>
      <c r="K18" s="215"/>
      <c r="L18" s="215"/>
      <c r="M18" s="215"/>
      <c r="N18" s="215"/>
      <c r="O18" s="215"/>
      <c r="P18" s="216">
        <v>43885</v>
      </c>
      <c r="Q18" s="216">
        <v>43886</v>
      </c>
      <c r="R18" s="218"/>
      <c r="S18" s="219">
        <v>2</v>
      </c>
      <c r="T18" s="219">
        <v>2</v>
      </c>
      <c r="U18" s="217">
        <v>2</v>
      </c>
      <c r="V18" s="217">
        <v>2</v>
      </c>
      <c r="W18" s="216">
        <v>43885</v>
      </c>
      <c r="X18" s="216"/>
      <c r="Y18" s="220">
        <v>1</v>
      </c>
      <c r="Z18" s="221">
        <v>0</v>
      </c>
      <c r="AA18" s="222"/>
      <c r="AB18" s="218"/>
      <c r="AC18" s="223"/>
      <c r="AD18" s="224">
        <v>1</v>
      </c>
      <c r="AE18" s="225">
        <v>0.5</v>
      </c>
      <c r="AF18" s="199"/>
      <c r="AG18" s="200" t="str">
        <f>"  " &amp; "Inbound Txn Report" &amp; " " &amp; IF(P18="","",TEXT(P18,"M/D-")) &amp; IF(Q18="","",TEXT(Q18,"M/D")) &amp; " "</f>
        <v xml:space="preserve">  Inbound Txn Report 2/24-2/25 </v>
      </c>
      <c r="AH18" s="200"/>
      <c r="AI18" s="200"/>
      <c r="AJ18" s="200"/>
      <c r="AK18" s="200"/>
      <c r="AL18" s="200"/>
      <c r="AM18" s="200"/>
      <c r="AN18" s="200"/>
      <c r="AO18" s="200"/>
      <c r="AP18" s="200"/>
      <c r="AQ18" s="200"/>
      <c r="AR18" s="200"/>
      <c r="AS18" s="200"/>
      <c r="AT18" s="200"/>
      <c r="AU18" s="200"/>
      <c r="AV18" s="200"/>
      <c r="AW18" s="200"/>
      <c r="AX18" s="200"/>
      <c r="AY18" s="200"/>
      <c r="AZ18" s="200"/>
      <c r="BA18" s="200"/>
      <c r="BB18" s="200"/>
      <c r="BC18" s="200"/>
      <c r="BD18" s="200"/>
      <c r="BE18" s="200"/>
      <c r="BF18" s="200"/>
      <c r="BG18" s="200"/>
      <c r="BH18" s="200"/>
      <c r="BI18" s="200"/>
      <c r="BJ18" s="200"/>
      <c r="BK18" s="200"/>
      <c r="BL18" s="200"/>
      <c r="BM18" s="200"/>
      <c r="BN18" s="200"/>
      <c r="BO18" s="200"/>
      <c r="BP18" s="200"/>
      <c r="BQ18" s="200"/>
      <c r="BR18" s="200"/>
      <c r="BS18" s="200"/>
      <c r="BT18" s="200"/>
      <c r="BU18" s="200"/>
      <c r="BV18" s="200"/>
      <c r="BW18" s="200"/>
      <c r="BX18" s="200"/>
      <c r="BY18" s="200"/>
      <c r="BZ18" s="200"/>
    </row>
    <row r="19" spans="1:78" outlineLevel="1">
      <c r="A19" s="214"/>
      <c r="B19" s="214"/>
      <c r="C19" s="214">
        <v>2</v>
      </c>
      <c r="D19" s="228" t="s">
        <v>1341</v>
      </c>
      <c r="E19" s="215"/>
      <c r="F19" s="215" t="s">
        <v>1308</v>
      </c>
      <c r="G19" s="215"/>
      <c r="H19" s="215"/>
      <c r="I19" s="215"/>
      <c r="J19" s="215"/>
      <c r="K19" s="215"/>
      <c r="L19" s="215"/>
      <c r="M19" s="215"/>
      <c r="N19" s="215"/>
      <c r="O19" s="215"/>
      <c r="P19" s="216">
        <v>43885</v>
      </c>
      <c r="Q19" s="216">
        <v>43885</v>
      </c>
      <c r="R19" s="218"/>
      <c r="S19" s="219">
        <v>1</v>
      </c>
      <c r="T19" s="219">
        <v>1</v>
      </c>
      <c r="U19" s="217">
        <v>1</v>
      </c>
      <c r="V19" s="217">
        <v>1</v>
      </c>
      <c r="W19" s="216">
        <v>43885</v>
      </c>
      <c r="X19" s="216">
        <v>43885</v>
      </c>
      <c r="Y19" s="220">
        <v>1</v>
      </c>
      <c r="Z19" s="221">
        <v>1</v>
      </c>
      <c r="AA19" s="222">
        <v>1</v>
      </c>
      <c r="AB19" s="218" t="s">
        <v>1339</v>
      </c>
      <c r="AC19" s="223"/>
      <c r="AD19" s="224">
        <v>1</v>
      </c>
      <c r="AE19" s="225">
        <v>1</v>
      </c>
      <c r="AF19" s="199"/>
      <c r="AG19" s="200" t="str">
        <f>" " &amp; "Core" &amp; "(Manoj)" &amp; " " &amp; IF(P19="","",TEXT(P19,"M/D-")) &amp; IF(Q19="","",TEXT(Q19,"M/D")) &amp; " "</f>
        <v xml:space="preserve"> Core(Manoj) 2/24-2/24 </v>
      </c>
      <c r="AH19" s="200"/>
      <c r="AI19" s="200"/>
      <c r="AJ19" s="200"/>
      <c r="AK19" s="200"/>
      <c r="AL19" s="200"/>
      <c r="AM19" s="200"/>
      <c r="AN19" s="200"/>
      <c r="AO19" s="200"/>
      <c r="AP19" s="200"/>
      <c r="AQ19" s="200"/>
      <c r="AR19" s="200"/>
      <c r="AS19" s="200"/>
      <c r="AT19" s="200"/>
      <c r="AU19" s="200"/>
      <c r="AV19" s="200"/>
      <c r="AW19" s="200"/>
      <c r="AX19" s="200"/>
      <c r="AY19" s="200"/>
      <c r="AZ19" s="200"/>
      <c r="BA19" s="200"/>
      <c r="BB19" s="200"/>
      <c r="BC19" s="200"/>
      <c r="BD19" s="200"/>
      <c r="BE19" s="200"/>
      <c r="BF19" s="200"/>
      <c r="BG19" s="200"/>
      <c r="BH19" s="200"/>
      <c r="BI19" s="200"/>
      <c r="BJ19" s="200"/>
      <c r="BK19" s="200"/>
      <c r="BL19" s="200"/>
      <c r="BM19" s="200"/>
      <c r="BN19" s="200"/>
      <c r="BO19" s="200"/>
      <c r="BP19" s="200"/>
      <c r="BQ19" s="200"/>
      <c r="BR19" s="200"/>
      <c r="BS19" s="200"/>
      <c r="BT19" s="200"/>
      <c r="BU19" s="200"/>
      <c r="BV19" s="200"/>
      <c r="BW19" s="200"/>
      <c r="BX19" s="200"/>
      <c r="BY19" s="200"/>
      <c r="BZ19" s="200"/>
    </row>
    <row r="20" spans="1:78" outlineLevel="1">
      <c r="A20" s="214"/>
      <c r="B20" s="214"/>
      <c r="C20" s="214">
        <v>2</v>
      </c>
      <c r="D20" s="228" t="s">
        <v>1342</v>
      </c>
      <c r="E20" s="215"/>
      <c r="F20" s="215" t="s">
        <v>1312</v>
      </c>
      <c r="G20" s="215"/>
      <c r="H20" s="215"/>
      <c r="I20" s="215"/>
      <c r="J20" s="215"/>
      <c r="K20" s="215"/>
      <c r="L20" s="215"/>
      <c r="M20" s="215"/>
      <c r="N20" s="215"/>
      <c r="O20" s="215"/>
      <c r="P20" s="216">
        <v>43886</v>
      </c>
      <c r="Q20" s="216">
        <v>43886</v>
      </c>
      <c r="R20" s="218"/>
      <c r="S20" s="219">
        <v>1</v>
      </c>
      <c r="T20" s="219">
        <v>1</v>
      </c>
      <c r="U20" s="217">
        <v>1</v>
      </c>
      <c r="V20" s="217">
        <v>1</v>
      </c>
      <c r="W20" s="216"/>
      <c r="X20" s="216"/>
      <c r="Y20" s="220">
        <v>0</v>
      </c>
      <c r="Z20" s="221">
        <v>0</v>
      </c>
      <c r="AA20" s="222">
        <v>1</v>
      </c>
      <c r="AB20" s="218"/>
      <c r="AC20" s="223"/>
      <c r="AD20" s="224">
        <v>1</v>
      </c>
      <c r="AE20" s="225">
        <v>0</v>
      </c>
      <c r="AF20" s="199"/>
      <c r="AG20" s="200" t="str">
        <f>"  " &amp; "Test" &amp; " " &amp; IF(P20="","",TEXT(P20,"M/D-")) &amp; IF(Q20="","",TEXT(Q20,"M/D")) &amp; " "</f>
        <v xml:space="preserve">  Test 2/25-2/25 </v>
      </c>
      <c r="AH20" s="200"/>
      <c r="AI20" s="200"/>
      <c r="AJ20" s="200"/>
      <c r="AK20" s="200"/>
      <c r="AL20" s="200"/>
      <c r="AM20" s="200"/>
      <c r="AN20" s="200"/>
      <c r="AO20" s="200"/>
      <c r="AP20" s="200"/>
      <c r="AQ20" s="200"/>
      <c r="AR20" s="200"/>
      <c r="AS20" s="200"/>
      <c r="AT20" s="200"/>
      <c r="AU20" s="200"/>
      <c r="AV20" s="200"/>
      <c r="AW20" s="200"/>
      <c r="AX20" s="200"/>
      <c r="AY20" s="200"/>
      <c r="AZ20" s="200"/>
      <c r="BA20" s="200"/>
      <c r="BB20" s="200"/>
      <c r="BC20" s="200"/>
      <c r="BD20" s="200"/>
      <c r="BE20" s="200"/>
      <c r="BF20" s="200"/>
      <c r="BG20" s="200"/>
      <c r="BH20" s="200"/>
      <c r="BI20" s="200"/>
      <c r="BJ20" s="200"/>
      <c r="BK20" s="200"/>
      <c r="BL20" s="200"/>
      <c r="BM20" s="200"/>
      <c r="BN20" s="200"/>
      <c r="BO20" s="200"/>
      <c r="BP20" s="200"/>
      <c r="BQ20" s="200"/>
      <c r="BR20" s="200"/>
      <c r="BS20" s="200"/>
      <c r="BT20" s="200"/>
      <c r="BU20" s="200"/>
      <c r="BV20" s="200"/>
      <c r="BW20" s="200"/>
      <c r="BX20" s="200"/>
      <c r="BY20" s="200"/>
      <c r="BZ20" s="200"/>
    </row>
    <row r="21" spans="1:78" outlineLevel="1">
      <c r="A21" s="214"/>
      <c r="B21" s="214"/>
      <c r="C21" s="214">
        <v>2</v>
      </c>
      <c r="D21" s="228" t="s">
        <v>1343</v>
      </c>
      <c r="E21" s="215"/>
      <c r="F21" s="215" t="s">
        <v>1313</v>
      </c>
      <c r="G21" s="215"/>
      <c r="H21" s="215"/>
      <c r="I21" s="215"/>
      <c r="J21" s="215"/>
      <c r="K21" s="215"/>
      <c r="L21" s="215"/>
      <c r="M21" s="215"/>
      <c r="N21" s="215"/>
      <c r="O21" s="215"/>
      <c r="P21" s="216"/>
      <c r="Q21" s="216"/>
      <c r="R21" s="218"/>
      <c r="S21" s="219">
        <v>0</v>
      </c>
      <c r="T21" s="219">
        <v>0</v>
      </c>
      <c r="U21" s="217">
        <v>0</v>
      </c>
      <c r="V21" s="217">
        <v>0</v>
      </c>
      <c r="W21" s="216"/>
      <c r="X21" s="216"/>
      <c r="Y21" s="220">
        <v>0</v>
      </c>
      <c r="Z21" s="221">
        <v>0</v>
      </c>
      <c r="AA21" s="222"/>
      <c r="AB21" s="218"/>
      <c r="AC21" s="223"/>
      <c r="AD21" s="224">
        <v>0</v>
      </c>
      <c r="AE21" s="225">
        <v>0</v>
      </c>
      <c r="AF21" s="199"/>
      <c r="AG21" s="200"/>
      <c r="AH21" s="200"/>
      <c r="AI21" s="200"/>
      <c r="AJ21" s="200"/>
      <c r="AK21" s="200"/>
      <c r="AL21" s="200"/>
      <c r="AM21" s="200"/>
      <c r="AN21" s="200"/>
      <c r="AO21" s="200"/>
      <c r="AP21" s="200"/>
      <c r="AQ21" s="200"/>
      <c r="AR21" s="200"/>
      <c r="AS21" s="200"/>
      <c r="AT21" s="200"/>
      <c r="AU21" s="200"/>
      <c r="AV21" s="200"/>
      <c r="AW21" s="200"/>
      <c r="AX21" s="200"/>
      <c r="AY21" s="200"/>
      <c r="AZ21" s="200"/>
      <c r="BA21" s="200"/>
      <c r="BB21" s="200"/>
      <c r="BC21" s="200"/>
      <c r="BD21" s="200"/>
      <c r="BE21" s="200"/>
      <c r="BF21" s="200"/>
      <c r="BG21" s="200"/>
      <c r="BH21" s="200"/>
      <c r="BI21" s="200"/>
      <c r="BJ21" s="200"/>
      <c r="BK21" s="200"/>
      <c r="BL21" s="200"/>
      <c r="BM21" s="200"/>
      <c r="BN21" s="200"/>
      <c r="BO21" s="200"/>
      <c r="BP21" s="200"/>
      <c r="BQ21" s="200"/>
      <c r="BR21" s="200"/>
      <c r="BS21" s="200"/>
      <c r="BT21" s="200"/>
      <c r="BU21" s="200"/>
      <c r="BV21" s="200"/>
      <c r="BW21" s="200"/>
      <c r="BX21" s="200"/>
      <c r="BY21" s="200"/>
      <c r="BZ21" s="200"/>
    </row>
    <row r="22" spans="1:78" outlineLevel="1">
      <c r="A22" s="214"/>
      <c r="B22" s="214"/>
      <c r="C22" s="214">
        <v>0</v>
      </c>
      <c r="D22" s="228"/>
      <c r="E22" s="215"/>
      <c r="F22" s="215"/>
      <c r="G22" s="215"/>
      <c r="H22" s="215"/>
      <c r="I22" s="215"/>
      <c r="J22" s="215"/>
      <c r="K22" s="215"/>
      <c r="L22" s="215"/>
      <c r="M22" s="215"/>
      <c r="N22" s="215"/>
      <c r="O22" s="215"/>
      <c r="P22" s="216"/>
      <c r="Q22" s="216"/>
      <c r="R22" s="218"/>
      <c r="S22" s="219"/>
      <c r="T22" s="219"/>
      <c r="U22" s="217">
        <v>0</v>
      </c>
      <c r="V22" s="217">
        <v>0</v>
      </c>
      <c r="W22" s="216"/>
      <c r="X22" s="216"/>
      <c r="Y22" s="220"/>
      <c r="Z22" s="221">
        <v>0</v>
      </c>
      <c r="AA22" s="222"/>
      <c r="AB22" s="218"/>
      <c r="AC22" s="223"/>
      <c r="AD22" s="224"/>
      <c r="AE22" s="225"/>
      <c r="AF22" s="199"/>
      <c r="AG22" s="200"/>
      <c r="AH22" s="200"/>
      <c r="AI22" s="200"/>
      <c r="AJ22" s="200"/>
      <c r="AK22" s="200"/>
      <c r="AL22" s="200"/>
      <c r="AM22" s="200"/>
      <c r="AN22" s="200"/>
      <c r="AO22" s="200"/>
      <c r="AP22" s="200"/>
      <c r="AQ22" s="200"/>
      <c r="AR22" s="200"/>
      <c r="AS22" s="200"/>
      <c r="AT22" s="200"/>
      <c r="AU22" s="200"/>
      <c r="AV22" s="200"/>
      <c r="AW22" s="200"/>
      <c r="AX22" s="200"/>
      <c r="AY22" s="200"/>
      <c r="AZ22" s="200"/>
      <c r="BA22" s="200"/>
      <c r="BB22" s="200"/>
      <c r="BC22" s="200"/>
      <c r="BD22" s="200"/>
      <c r="BE22" s="200"/>
      <c r="BF22" s="200"/>
      <c r="BG22" s="200"/>
      <c r="BH22" s="200"/>
      <c r="BI22" s="200"/>
      <c r="BJ22" s="200"/>
      <c r="BK22" s="200"/>
      <c r="BL22" s="200"/>
      <c r="BM22" s="200"/>
      <c r="BN22" s="200"/>
      <c r="BO22" s="200"/>
      <c r="BP22" s="200"/>
      <c r="BQ22" s="200"/>
      <c r="BR22" s="200"/>
      <c r="BS22" s="200"/>
      <c r="BT22" s="200"/>
      <c r="BU22" s="200"/>
      <c r="BV22" s="200"/>
      <c r="BW22" s="200"/>
      <c r="BX22" s="200"/>
      <c r="BY22" s="200"/>
      <c r="BZ22" s="200"/>
    </row>
    <row r="23" spans="1:78">
      <c r="A23" s="214"/>
      <c r="B23" s="214" t="s">
        <v>1281</v>
      </c>
      <c r="C23" s="214">
        <v>1</v>
      </c>
      <c r="D23" s="229" t="s">
        <v>1185</v>
      </c>
      <c r="E23" s="231" t="s">
        <v>1340</v>
      </c>
      <c r="F23" s="231"/>
      <c r="G23" s="215"/>
      <c r="H23" s="215"/>
      <c r="I23" s="215"/>
      <c r="J23" s="215"/>
      <c r="K23" s="215"/>
      <c r="L23" s="215"/>
      <c r="M23" s="215"/>
      <c r="N23" s="215"/>
      <c r="O23" s="215"/>
      <c r="P23" s="216">
        <v>43885</v>
      </c>
      <c r="Q23" s="216">
        <v>43887</v>
      </c>
      <c r="R23" s="218"/>
      <c r="S23" s="219">
        <v>3</v>
      </c>
      <c r="T23" s="219">
        <v>3</v>
      </c>
      <c r="U23" s="217">
        <v>3</v>
      </c>
      <c r="V23" s="217">
        <v>3</v>
      </c>
      <c r="W23" s="216"/>
      <c r="X23" s="216"/>
      <c r="Y23" s="220">
        <v>0</v>
      </c>
      <c r="Z23" s="221">
        <v>0</v>
      </c>
      <c r="AA23" s="222"/>
      <c r="AB23" s="218"/>
      <c r="AC23" s="223"/>
      <c r="AD23" s="224">
        <v>1</v>
      </c>
      <c r="AE23" s="225">
        <v>0</v>
      </c>
      <c r="AF23" s="199"/>
      <c r="AG23" s="200" t="str">
        <f>"   " &amp; "New registration" &amp; " " &amp; IF(P23="","",TEXT(P23,"M/D-")) &amp; IF(Q23="","",TEXT(Q23,"M/D")) &amp; " "</f>
        <v xml:space="preserve">   New registration 2/24-2/26 </v>
      </c>
      <c r="AH23" s="200"/>
      <c r="AI23" s="200"/>
      <c r="AJ23" s="200"/>
      <c r="AK23" s="200"/>
      <c r="AL23" s="200"/>
      <c r="AM23" s="200"/>
      <c r="AN23" s="200"/>
      <c r="AO23" s="200"/>
      <c r="AP23" s="200"/>
      <c r="AQ23" s="200"/>
      <c r="AR23" s="200"/>
      <c r="AS23" s="200"/>
      <c r="AT23" s="200"/>
      <c r="AU23" s="200"/>
      <c r="AV23" s="200"/>
      <c r="AW23" s="200"/>
      <c r="AX23" s="200"/>
      <c r="AY23" s="200"/>
      <c r="AZ23" s="200"/>
      <c r="BA23" s="200"/>
      <c r="BB23" s="200"/>
      <c r="BC23" s="200"/>
      <c r="BD23" s="200"/>
      <c r="BE23" s="200"/>
      <c r="BF23" s="200"/>
      <c r="BG23" s="200"/>
      <c r="BH23" s="200"/>
      <c r="BI23" s="200"/>
      <c r="BJ23" s="200"/>
      <c r="BK23" s="200"/>
      <c r="BL23" s="200"/>
      <c r="BM23" s="200"/>
      <c r="BN23" s="200"/>
      <c r="BO23" s="200"/>
      <c r="BP23" s="200"/>
      <c r="BQ23" s="200"/>
      <c r="BR23" s="200"/>
      <c r="BS23" s="200"/>
      <c r="BT23" s="200"/>
      <c r="BU23" s="200"/>
      <c r="BV23" s="200"/>
      <c r="BW23" s="200"/>
      <c r="BX23" s="200"/>
      <c r="BY23" s="200"/>
      <c r="BZ23" s="200"/>
    </row>
    <row r="24" spans="1:78" outlineLevel="1">
      <c r="A24" s="214"/>
      <c r="B24" s="214"/>
      <c r="C24" s="214">
        <v>2</v>
      </c>
      <c r="D24" s="229" t="s">
        <v>1344</v>
      </c>
      <c r="E24" s="231"/>
      <c r="F24" s="231" t="s">
        <v>1309</v>
      </c>
      <c r="G24" s="215"/>
      <c r="H24" s="215"/>
      <c r="I24" s="215"/>
      <c r="J24" s="215"/>
      <c r="K24" s="215"/>
      <c r="L24" s="215"/>
      <c r="M24" s="215"/>
      <c r="N24" s="215"/>
      <c r="O24" s="215"/>
      <c r="P24" s="216">
        <v>43885</v>
      </c>
      <c r="Q24" s="216">
        <v>43885</v>
      </c>
      <c r="R24" s="218"/>
      <c r="S24" s="219">
        <v>1</v>
      </c>
      <c r="T24" s="219">
        <v>1</v>
      </c>
      <c r="U24" s="217">
        <v>1</v>
      </c>
      <c r="V24" s="217">
        <v>1</v>
      </c>
      <c r="W24" s="216"/>
      <c r="X24" s="216"/>
      <c r="Y24" s="220">
        <v>0</v>
      </c>
      <c r="Z24" s="221">
        <v>0</v>
      </c>
      <c r="AA24" s="222">
        <v>1</v>
      </c>
      <c r="AB24" s="218" t="s">
        <v>1339</v>
      </c>
      <c r="AC24" s="223"/>
      <c r="AD24" s="224">
        <v>1</v>
      </c>
      <c r="AE24" s="225">
        <v>0</v>
      </c>
      <c r="AF24" s="199"/>
      <c r="AG24" s="200" t="str">
        <f>" " &amp; "API" &amp; "(Manoj)" &amp; " " &amp; IF(P24="","",TEXT(P24,"M/D-")) &amp; IF(Q24="","",TEXT(Q24,"M/D")) &amp; " "</f>
        <v xml:space="preserve"> API(Manoj) 2/24-2/24 </v>
      </c>
      <c r="AH24" s="200"/>
      <c r="AI24" s="200"/>
      <c r="AJ24" s="200"/>
      <c r="AK24" s="200"/>
      <c r="AL24" s="200"/>
      <c r="AM24" s="200"/>
      <c r="AN24" s="200"/>
      <c r="AO24" s="200"/>
      <c r="AP24" s="200"/>
      <c r="AQ24" s="200"/>
      <c r="AR24" s="200"/>
      <c r="AS24" s="200"/>
      <c r="AT24" s="200"/>
      <c r="AU24" s="200"/>
      <c r="AV24" s="200"/>
      <c r="AW24" s="200"/>
      <c r="AX24" s="200"/>
      <c r="AY24" s="200"/>
      <c r="AZ24" s="200"/>
      <c r="BA24" s="200"/>
      <c r="BB24" s="200"/>
      <c r="BC24" s="200"/>
      <c r="BD24" s="200"/>
      <c r="BE24" s="200"/>
      <c r="BF24" s="200"/>
      <c r="BG24" s="200"/>
      <c r="BH24" s="200"/>
      <c r="BI24" s="200"/>
      <c r="BJ24" s="200"/>
      <c r="BK24" s="200"/>
      <c r="BL24" s="200"/>
      <c r="BM24" s="200"/>
      <c r="BN24" s="200"/>
      <c r="BO24" s="200"/>
      <c r="BP24" s="200"/>
      <c r="BQ24" s="200"/>
      <c r="BR24" s="200"/>
      <c r="BS24" s="200"/>
      <c r="BT24" s="200"/>
      <c r="BU24" s="200"/>
      <c r="BV24" s="200"/>
      <c r="BW24" s="200"/>
      <c r="BX24" s="200"/>
      <c r="BY24" s="200"/>
      <c r="BZ24" s="200"/>
    </row>
    <row r="25" spans="1:78" outlineLevel="1">
      <c r="A25" s="214"/>
      <c r="B25" s="214"/>
      <c r="C25" s="214">
        <v>2</v>
      </c>
      <c r="D25" s="229" t="s">
        <v>1345</v>
      </c>
      <c r="E25" s="231"/>
      <c r="F25" s="231" t="s">
        <v>1312</v>
      </c>
      <c r="G25" s="215"/>
      <c r="H25" s="215"/>
      <c r="I25" s="215"/>
      <c r="J25" s="215"/>
      <c r="K25" s="215"/>
      <c r="L25" s="215"/>
      <c r="M25" s="215"/>
      <c r="N25" s="215"/>
      <c r="O25" s="215"/>
      <c r="P25" s="216">
        <v>43886</v>
      </c>
      <c r="Q25" s="216">
        <v>43887</v>
      </c>
      <c r="R25" s="218"/>
      <c r="S25" s="219">
        <v>2</v>
      </c>
      <c r="T25" s="219">
        <v>2</v>
      </c>
      <c r="U25" s="217">
        <v>2</v>
      </c>
      <c r="V25" s="217">
        <v>2</v>
      </c>
      <c r="W25" s="216"/>
      <c r="X25" s="216"/>
      <c r="Y25" s="220">
        <v>0</v>
      </c>
      <c r="Z25" s="221">
        <v>0</v>
      </c>
      <c r="AA25" s="222">
        <v>1</v>
      </c>
      <c r="AB25" s="218"/>
      <c r="AC25" s="223"/>
      <c r="AD25" s="224">
        <v>1</v>
      </c>
      <c r="AE25" s="225">
        <v>0</v>
      </c>
      <c r="AF25" s="199"/>
      <c r="AG25" s="200" t="str">
        <f>"   " &amp; "Test" &amp; " " &amp; IF(P25="","",TEXT(P25,"M/D-")) &amp; IF(Q25="","",TEXT(Q25,"M/D")) &amp; " "</f>
        <v xml:space="preserve">   Test 2/25-2/26 </v>
      </c>
      <c r="AH25" s="200"/>
      <c r="AI25" s="200"/>
      <c r="AJ25" s="200"/>
      <c r="AK25" s="200"/>
      <c r="AL25" s="200"/>
      <c r="AM25" s="200"/>
      <c r="AN25" s="200"/>
      <c r="AO25" s="200"/>
      <c r="AP25" s="200"/>
      <c r="AQ25" s="200"/>
      <c r="AR25" s="200"/>
      <c r="AS25" s="200"/>
      <c r="AT25" s="200"/>
      <c r="AU25" s="200"/>
      <c r="AV25" s="200"/>
      <c r="AW25" s="200"/>
      <c r="AX25" s="200"/>
      <c r="AY25" s="200"/>
      <c r="AZ25" s="200"/>
      <c r="BA25" s="200"/>
      <c r="BB25" s="200"/>
      <c r="BC25" s="200"/>
      <c r="BD25" s="200"/>
      <c r="BE25" s="200"/>
      <c r="BF25" s="200"/>
      <c r="BG25" s="200"/>
      <c r="BH25" s="200"/>
      <c r="BI25" s="200"/>
      <c r="BJ25" s="200"/>
      <c r="BK25" s="200"/>
      <c r="BL25" s="200"/>
      <c r="BM25" s="200"/>
      <c r="BN25" s="200"/>
      <c r="BO25" s="200"/>
      <c r="BP25" s="200"/>
      <c r="BQ25" s="200"/>
      <c r="BR25" s="200"/>
      <c r="BS25" s="200"/>
      <c r="BT25" s="200"/>
      <c r="BU25" s="200"/>
      <c r="BV25" s="200"/>
      <c r="BW25" s="200"/>
      <c r="BX25" s="200"/>
      <c r="BY25" s="200"/>
      <c r="BZ25" s="200"/>
    </row>
    <row r="26" spans="1:78" outlineLevel="1">
      <c r="A26" s="214"/>
      <c r="B26" s="214"/>
      <c r="C26" s="214">
        <v>2</v>
      </c>
      <c r="D26" s="229" t="s">
        <v>1346</v>
      </c>
      <c r="E26" s="231"/>
      <c r="F26" s="231" t="s">
        <v>1313</v>
      </c>
      <c r="G26" s="215"/>
      <c r="H26" s="215"/>
      <c r="I26" s="215"/>
      <c r="J26" s="215"/>
      <c r="K26" s="215"/>
      <c r="L26" s="215"/>
      <c r="M26" s="215"/>
      <c r="N26" s="215"/>
      <c r="O26" s="215"/>
      <c r="P26" s="216"/>
      <c r="Q26" s="216"/>
      <c r="R26" s="218"/>
      <c r="S26" s="219">
        <v>0</v>
      </c>
      <c r="T26" s="219">
        <v>0</v>
      </c>
      <c r="U26" s="217">
        <v>0</v>
      </c>
      <c r="V26" s="217">
        <v>0</v>
      </c>
      <c r="W26" s="216"/>
      <c r="X26" s="216"/>
      <c r="Y26" s="220">
        <v>0</v>
      </c>
      <c r="Z26" s="221">
        <v>0</v>
      </c>
      <c r="AA26" s="222"/>
      <c r="AB26" s="218"/>
      <c r="AC26" s="223"/>
      <c r="AD26" s="224">
        <v>0</v>
      </c>
      <c r="AE26" s="225">
        <v>0</v>
      </c>
      <c r="AF26" s="199"/>
      <c r="AG26" s="200"/>
      <c r="AH26" s="200"/>
      <c r="AI26" s="200"/>
      <c r="AJ26" s="200"/>
      <c r="AK26" s="200"/>
      <c r="AL26" s="200"/>
      <c r="AM26" s="200"/>
      <c r="AN26" s="200"/>
      <c r="AO26" s="200"/>
      <c r="AP26" s="200"/>
      <c r="AQ26" s="200"/>
      <c r="AR26" s="200"/>
      <c r="AS26" s="200"/>
      <c r="AT26" s="200"/>
      <c r="AU26" s="200"/>
      <c r="AV26" s="200"/>
      <c r="AW26" s="200"/>
      <c r="AX26" s="200"/>
      <c r="AY26" s="200"/>
      <c r="AZ26" s="200"/>
      <c r="BA26" s="200"/>
      <c r="BB26" s="200"/>
      <c r="BC26" s="200"/>
      <c r="BD26" s="200"/>
      <c r="BE26" s="200"/>
      <c r="BF26" s="200"/>
      <c r="BG26" s="200"/>
      <c r="BH26" s="200"/>
      <c r="BI26" s="200"/>
      <c r="BJ26" s="200"/>
      <c r="BK26" s="200"/>
      <c r="BL26" s="200"/>
      <c r="BM26" s="200"/>
      <c r="BN26" s="200"/>
      <c r="BO26" s="200"/>
      <c r="BP26" s="200"/>
      <c r="BQ26" s="200"/>
      <c r="BR26" s="200"/>
      <c r="BS26" s="200"/>
      <c r="BT26" s="200"/>
      <c r="BU26" s="200"/>
      <c r="BV26" s="200"/>
      <c r="BW26" s="200"/>
      <c r="BX26" s="200"/>
      <c r="BY26" s="200"/>
      <c r="BZ26" s="200"/>
    </row>
    <row r="27" spans="1:78" outlineLevel="1">
      <c r="A27" s="214"/>
      <c r="B27" s="214"/>
      <c r="C27" s="214">
        <v>0</v>
      </c>
      <c r="D27" s="228"/>
      <c r="E27" s="215"/>
      <c r="F27" s="215"/>
      <c r="G27" s="215"/>
      <c r="H27" s="215"/>
      <c r="I27" s="215"/>
      <c r="J27" s="215"/>
      <c r="K27" s="215"/>
      <c r="L27" s="215"/>
      <c r="M27" s="215"/>
      <c r="N27" s="215"/>
      <c r="O27" s="215"/>
      <c r="P27" s="216"/>
      <c r="Q27" s="216"/>
      <c r="R27" s="218"/>
      <c r="S27" s="219"/>
      <c r="T27" s="219"/>
      <c r="U27" s="217">
        <v>0</v>
      </c>
      <c r="V27" s="217">
        <v>0</v>
      </c>
      <c r="W27" s="216"/>
      <c r="X27" s="216"/>
      <c r="Y27" s="220"/>
      <c r="Z27" s="221">
        <v>0</v>
      </c>
      <c r="AA27" s="222"/>
      <c r="AB27" s="218"/>
      <c r="AC27" s="223"/>
      <c r="AD27" s="224"/>
      <c r="AE27" s="225"/>
      <c r="AF27" s="199"/>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c r="BC27" s="200"/>
      <c r="BD27" s="200"/>
      <c r="BE27" s="200"/>
      <c r="BF27" s="200"/>
      <c r="BG27" s="200"/>
      <c r="BH27" s="200"/>
      <c r="BI27" s="200"/>
      <c r="BJ27" s="200"/>
      <c r="BK27" s="200"/>
      <c r="BL27" s="200"/>
      <c r="BM27" s="200"/>
      <c r="BN27" s="200"/>
      <c r="BO27" s="200"/>
      <c r="BP27" s="200"/>
      <c r="BQ27" s="200"/>
      <c r="BR27" s="200"/>
      <c r="BS27" s="200"/>
      <c r="BT27" s="200"/>
      <c r="BU27" s="200"/>
      <c r="BV27" s="200"/>
      <c r="BW27" s="200"/>
      <c r="BX27" s="200"/>
      <c r="BY27" s="200"/>
      <c r="BZ27" s="200"/>
    </row>
    <row r="28" spans="1:78">
      <c r="A28" s="214"/>
      <c r="B28" s="214" t="s">
        <v>1281</v>
      </c>
      <c r="C28" s="214">
        <v>1</v>
      </c>
      <c r="D28" s="228" t="s">
        <v>1202</v>
      </c>
      <c r="E28" s="215" t="s">
        <v>1315</v>
      </c>
      <c r="F28" s="215"/>
      <c r="G28" s="215"/>
      <c r="H28" s="215"/>
      <c r="I28" s="215"/>
      <c r="J28" s="215"/>
      <c r="K28" s="215"/>
      <c r="L28" s="215"/>
      <c r="M28" s="215"/>
      <c r="N28" s="215"/>
      <c r="O28" s="215"/>
      <c r="P28" s="216">
        <v>43882</v>
      </c>
      <c r="Q28" s="216">
        <v>43888</v>
      </c>
      <c r="R28" s="218"/>
      <c r="S28" s="219">
        <v>3</v>
      </c>
      <c r="T28" s="219">
        <v>3</v>
      </c>
      <c r="U28" s="217">
        <v>5</v>
      </c>
      <c r="V28" s="217">
        <v>5</v>
      </c>
      <c r="W28" s="216">
        <v>43882</v>
      </c>
      <c r="X28" s="216"/>
      <c r="Y28" s="220">
        <v>0</v>
      </c>
      <c r="Z28" s="221">
        <v>0</v>
      </c>
      <c r="AA28" s="222"/>
      <c r="AB28" s="218"/>
      <c r="AC28" s="223"/>
      <c r="AD28" s="224">
        <v>1</v>
      </c>
      <c r="AE28" s="225">
        <v>0</v>
      </c>
      <c r="AF28" s="199"/>
      <c r="AG28" s="200" t="str">
        <f>"    " &amp; "Notify cs for unsuccessful transaction" &amp; " " &amp; IF(P28="","",TEXT(P28,"M/D-")) &amp; IF(Q28="","",TEXT(Q28,"M/D")) &amp; " "</f>
        <v xml:space="preserve">    Notify cs for unsuccessful transaction 2/21-2/27 </v>
      </c>
      <c r="AH28" s="200"/>
      <c r="AI28" s="200"/>
      <c r="AJ28" s="200"/>
      <c r="AK28" s="200"/>
      <c r="AL28" s="200"/>
      <c r="AM28" s="200"/>
      <c r="AN28" s="200"/>
      <c r="AO28" s="200"/>
      <c r="AP28" s="200"/>
      <c r="AQ28" s="200"/>
      <c r="AR28" s="200"/>
      <c r="AS28" s="200"/>
      <c r="AT28" s="200"/>
      <c r="AU28" s="200"/>
      <c r="AV28" s="200"/>
      <c r="AW28" s="200"/>
      <c r="AX28" s="200"/>
      <c r="AY28" s="200"/>
      <c r="AZ28" s="200"/>
      <c r="BA28" s="200"/>
      <c r="BB28" s="200"/>
      <c r="BC28" s="200"/>
      <c r="BD28" s="200"/>
      <c r="BE28" s="200"/>
      <c r="BF28" s="200"/>
      <c r="BG28" s="200"/>
      <c r="BH28" s="200"/>
      <c r="BI28" s="200"/>
      <c r="BJ28" s="200"/>
      <c r="BK28" s="200"/>
      <c r="BL28" s="200"/>
      <c r="BM28" s="200"/>
      <c r="BN28" s="200"/>
      <c r="BO28" s="200"/>
      <c r="BP28" s="200"/>
      <c r="BQ28" s="200"/>
      <c r="BR28" s="200"/>
      <c r="BS28" s="200"/>
      <c r="BT28" s="200"/>
      <c r="BU28" s="200"/>
      <c r="BV28" s="200"/>
      <c r="BW28" s="200"/>
      <c r="BX28" s="200"/>
      <c r="BY28" s="200"/>
      <c r="BZ28" s="200"/>
    </row>
    <row r="29" spans="1:78" outlineLevel="1">
      <c r="A29" s="214"/>
      <c r="B29" s="214"/>
      <c r="C29" s="214">
        <v>2</v>
      </c>
      <c r="D29" s="228" t="s">
        <v>1347</v>
      </c>
      <c r="E29" s="215"/>
      <c r="F29" s="215" t="s">
        <v>1308</v>
      </c>
      <c r="G29" s="215"/>
      <c r="H29" s="215"/>
      <c r="I29" s="215"/>
      <c r="J29" s="215"/>
      <c r="K29" s="215"/>
      <c r="L29" s="215"/>
      <c r="M29" s="215"/>
      <c r="N29" s="215"/>
      <c r="O29" s="215"/>
      <c r="P29" s="216">
        <v>43882</v>
      </c>
      <c r="Q29" s="216">
        <v>43885</v>
      </c>
      <c r="R29" s="218"/>
      <c r="S29" s="219">
        <v>2</v>
      </c>
      <c r="T29" s="219">
        <v>2</v>
      </c>
      <c r="U29" s="217">
        <v>2</v>
      </c>
      <c r="V29" s="217">
        <v>2</v>
      </c>
      <c r="W29" s="216">
        <v>43882</v>
      </c>
      <c r="X29" s="216"/>
      <c r="Y29" s="220">
        <v>0</v>
      </c>
      <c r="Z29" s="221">
        <v>0</v>
      </c>
      <c r="AA29" s="222">
        <v>1</v>
      </c>
      <c r="AB29" s="218" t="s">
        <v>1316</v>
      </c>
      <c r="AC29" s="223"/>
      <c r="AD29" s="224">
        <v>1</v>
      </c>
      <c r="AE29" s="225">
        <v>0</v>
      </c>
      <c r="AF29" s="199"/>
      <c r="AG29" s="200" t="str">
        <f>" " &amp; "Core" &amp; "(Chris)" &amp; " " &amp; IF(P29="","",TEXT(P29,"M/D-")) &amp; IF(Q29="","",TEXT(Q29,"M/D")) &amp; " "</f>
        <v xml:space="preserve"> Core(Chris) 2/21-2/24 </v>
      </c>
      <c r="AH29" s="200"/>
      <c r="AI29" s="200"/>
      <c r="AJ29" s="200"/>
      <c r="AK29" s="200"/>
      <c r="AL29" s="200"/>
      <c r="AM29" s="200"/>
      <c r="AN29" s="200"/>
      <c r="AO29" s="200"/>
      <c r="AP29" s="200"/>
      <c r="AQ29" s="200"/>
      <c r="AR29" s="200"/>
      <c r="AS29" s="200"/>
      <c r="AT29" s="200"/>
      <c r="AU29" s="200"/>
      <c r="AV29" s="200"/>
      <c r="AW29" s="200"/>
      <c r="AX29" s="200"/>
      <c r="AY29" s="200"/>
      <c r="AZ29" s="200"/>
      <c r="BA29" s="200"/>
      <c r="BB29" s="200"/>
      <c r="BC29" s="200"/>
      <c r="BD29" s="200"/>
      <c r="BE29" s="200"/>
      <c r="BF29" s="200"/>
      <c r="BG29" s="200"/>
      <c r="BH29" s="200"/>
      <c r="BI29" s="200"/>
      <c r="BJ29" s="200"/>
      <c r="BK29" s="200"/>
      <c r="BL29" s="200"/>
      <c r="BM29" s="200"/>
      <c r="BN29" s="200"/>
      <c r="BO29" s="200"/>
      <c r="BP29" s="200"/>
      <c r="BQ29" s="200"/>
      <c r="BR29" s="200"/>
      <c r="BS29" s="200"/>
      <c r="BT29" s="200"/>
      <c r="BU29" s="200"/>
      <c r="BV29" s="200"/>
      <c r="BW29" s="200"/>
      <c r="BX29" s="200"/>
      <c r="BY29" s="200"/>
      <c r="BZ29" s="200"/>
    </row>
    <row r="30" spans="1:78" outlineLevel="1">
      <c r="A30" s="214"/>
      <c r="B30" s="214"/>
      <c r="C30" s="214">
        <v>2</v>
      </c>
      <c r="D30" s="228" t="s">
        <v>1348</v>
      </c>
      <c r="E30" s="215"/>
      <c r="F30" s="215" t="s">
        <v>1312</v>
      </c>
      <c r="G30" s="215"/>
      <c r="H30" s="215"/>
      <c r="I30" s="215"/>
      <c r="J30" s="215"/>
      <c r="K30" s="215"/>
      <c r="L30" s="215"/>
      <c r="M30" s="215"/>
      <c r="N30" s="215"/>
      <c r="O30" s="215"/>
      <c r="P30" s="216">
        <v>43888</v>
      </c>
      <c r="Q30" s="216">
        <v>43888</v>
      </c>
      <c r="R30" s="218"/>
      <c r="S30" s="219">
        <v>1</v>
      </c>
      <c r="T30" s="219">
        <v>1</v>
      </c>
      <c r="U30" s="217">
        <v>1</v>
      </c>
      <c r="V30" s="217">
        <v>1</v>
      </c>
      <c r="W30" s="216"/>
      <c r="X30" s="216"/>
      <c r="Y30" s="220">
        <v>0</v>
      </c>
      <c r="Z30" s="221">
        <v>0</v>
      </c>
      <c r="AA30" s="222">
        <v>1</v>
      </c>
      <c r="AB30" s="218"/>
      <c r="AC30" s="223"/>
      <c r="AD30" s="224">
        <v>1</v>
      </c>
      <c r="AE30" s="225">
        <v>0</v>
      </c>
      <c r="AF30" s="199"/>
      <c r="AG30" s="200" t="str">
        <f>"    " &amp; "Test" &amp; " " &amp; IF(P30="","",TEXT(P30,"M/D-")) &amp; IF(Q30="","",TEXT(Q30,"M/D")) &amp; " "</f>
        <v xml:space="preserve">    Test 2/27-2/27 </v>
      </c>
      <c r="AH30" s="200"/>
      <c r="AI30" s="200"/>
      <c r="AJ30" s="200"/>
      <c r="AK30" s="200"/>
      <c r="AL30" s="200"/>
      <c r="AM30" s="200"/>
      <c r="AN30" s="200"/>
      <c r="AO30" s="200"/>
      <c r="AP30" s="200"/>
      <c r="AQ30" s="200"/>
      <c r="AR30" s="200"/>
      <c r="AS30" s="200"/>
      <c r="AT30" s="200"/>
      <c r="AU30" s="200"/>
      <c r="AV30" s="200"/>
      <c r="AW30" s="200"/>
      <c r="AX30" s="200"/>
      <c r="AY30" s="200"/>
      <c r="AZ30" s="200"/>
      <c r="BA30" s="200"/>
      <c r="BB30" s="200"/>
      <c r="BC30" s="200"/>
      <c r="BD30" s="200"/>
      <c r="BE30" s="200"/>
      <c r="BF30" s="200"/>
      <c r="BG30" s="200"/>
      <c r="BH30" s="200"/>
      <c r="BI30" s="200"/>
      <c r="BJ30" s="200"/>
      <c r="BK30" s="200"/>
      <c r="BL30" s="200"/>
      <c r="BM30" s="200"/>
      <c r="BN30" s="200"/>
      <c r="BO30" s="200"/>
      <c r="BP30" s="200"/>
      <c r="BQ30" s="200"/>
      <c r="BR30" s="200"/>
      <c r="BS30" s="200"/>
      <c r="BT30" s="200"/>
      <c r="BU30" s="200"/>
      <c r="BV30" s="200"/>
      <c r="BW30" s="200"/>
      <c r="BX30" s="200"/>
      <c r="BY30" s="200"/>
      <c r="BZ30" s="200"/>
    </row>
    <row r="31" spans="1:78" outlineLevel="1">
      <c r="A31" s="214"/>
      <c r="B31" s="214"/>
      <c r="C31" s="214">
        <v>2</v>
      </c>
      <c r="D31" s="228" t="s">
        <v>1349</v>
      </c>
      <c r="E31" s="215"/>
      <c r="F31" s="215" t="s">
        <v>1313</v>
      </c>
      <c r="G31" s="215"/>
      <c r="H31" s="215"/>
      <c r="I31" s="215"/>
      <c r="J31" s="215"/>
      <c r="K31" s="215"/>
      <c r="L31" s="215"/>
      <c r="M31" s="215"/>
      <c r="N31" s="215"/>
      <c r="O31" s="215"/>
      <c r="P31" s="216"/>
      <c r="Q31" s="216"/>
      <c r="R31" s="218"/>
      <c r="S31" s="219">
        <v>0</v>
      </c>
      <c r="T31" s="219">
        <v>0</v>
      </c>
      <c r="U31" s="217">
        <v>0</v>
      </c>
      <c r="V31" s="217">
        <v>0</v>
      </c>
      <c r="W31" s="216"/>
      <c r="X31" s="216"/>
      <c r="Y31" s="220">
        <v>0</v>
      </c>
      <c r="Z31" s="221">
        <v>0</v>
      </c>
      <c r="AA31" s="222"/>
      <c r="AB31" s="218"/>
      <c r="AC31" s="223"/>
      <c r="AD31" s="224">
        <v>0</v>
      </c>
      <c r="AE31" s="225">
        <v>0</v>
      </c>
      <c r="AF31" s="199"/>
      <c r="AG31" s="200"/>
      <c r="AH31" s="200"/>
      <c r="AI31" s="200"/>
      <c r="AJ31" s="200"/>
      <c r="AK31" s="200"/>
      <c r="AL31" s="200"/>
      <c r="AM31" s="200"/>
      <c r="AN31" s="200"/>
      <c r="AO31" s="200"/>
      <c r="AP31" s="200"/>
      <c r="AQ31" s="200"/>
      <c r="AR31" s="200"/>
      <c r="AS31" s="200"/>
      <c r="AT31" s="200"/>
      <c r="AU31" s="200"/>
      <c r="AV31" s="200"/>
      <c r="AW31" s="200"/>
      <c r="AX31" s="200"/>
      <c r="AY31" s="200"/>
      <c r="AZ31" s="200"/>
      <c r="BA31" s="200"/>
      <c r="BB31" s="200"/>
      <c r="BC31" s="200"/>
      <c r="BD31" s="200"/>
      <c r="BE31" s="200"/>
      <c r="BF31" s="200"/>
      <c r="BG31" s="200"/>
      <c r="BH31" s="200"/>
      <c r="BI31" s="200"/>
      <c r="BJ31" s="200"/>
      <c r="BK31" s="200"/>
      <c r="BL31" s="200"/>
      <c r="BM31" s="200"/>
      <c r="BN31" s="200"/>
      <c r="BO31" s="200"/>
      <c r="BP31" s="200"/>
      <c r="BQ31" s="200"/>
      <c r="BR31" s="200"/>
      <c r="BS31" s="200"/>
      <c r="BT31" s="200"/>
      <c r="BU31" s="200"/>
      <c r="BV31" s="200"/>
      <c r="BW31" s="200"/>
      <c r="BX31" s="200"/>
      <c r="BY31" s="200"/>
      <c r="BZ31" s="200"/>
    </row>
    <row r="32" spans="1:78" outlineLevel="1">
      <c r="A32" s="214"/>
      <c r="B32" s="214"/>
      <c r="C32" s="214">
        <v>0</v>
      </c>
      <c r="D32" s="228"/>
      <c r="E32" s="215"/>
      <c r="F32" s="215"/>
      <c r="G32" s="215"/>
      <c r="H32" s="215"/>
      <c r="I32" s="215"/>
      <c r="J32" s="215"/>
      <c r="K32" s="215"/>
      <c r="L32" s="215"/>
      <c r="M32" s="215"/>
      <c r="N32" s="215"/>
      <c r="O32" s="215"/>
      <c r="P32" s="216"/>
      <c r="Q32" s="216"/>
      <c r="R32" s="218"/>
      <c r="S32" s="219"/>
      <c r="T32" s="219"/>
      <c r="U32" s="217">
        <v>0</v>
      </c>
      <c r="V32" s="217">
        <v>0</v>
      </c>
      <c r="W32" s="216"/>
      <c r="X32" s="216"/>
      <c r="Y32" s="220"/>
      <c r="Z32" s="221">
        <v>0</v>
      </c>
      <c r="AA32" s="222"/>
      <c r="AB32" s="218"/>
      <c r="AC32" s="223"/>
      <c r="AD32" s="224"/>
      <c r="AE32" s="225"/>
      <c r="AF32" s="199"/>
      <c r="AG32" s="200"/>
      <c r="AH32" s="200"/>
      <c r="AI32" s="200"/>
      <c r="AJ32" s="200"/>
      <c r="AK32" s="200"/>
      <c r="AL32" s="200"/>
      <c r="AM32" s="200"/>
      <c r="AN32" s="200"/>
      <c r="AO32" s="200"/>
      <c r="AP32" s="200"/>
      <c r="AQ32" s="200"/>
      <c r="AR32" s="200"/>
      <c r="AS32" s="200"/>
      <c r="AT32" s="200"/>
      <c r="AU32" s="200"/>
      <c r="AV32" s="200"/>
      <c r="AW32" s="200"/>
      <c r="AX32" s="200"/>
      <c r="AY32" s="200"/>
      <c r="AZ32" s="200"/>
      <c r="BA32" s="200"/>
      <c r="BB32" s="200"/>
      <c r="BC32" s="200"/>
      <c r="BD32" s="200"/>
      <c r="BE32" s="200"/>
      <c r="BF32" s="200"/>
      <c r="BG32" s="200"/>
      <c r="BH32" s="200"/>
      <c r="BI32" s="200"/>
      <c r="BJ32" s="200"/>
      <c r="BK32" s="200"/>
      <c r="BL32" s="200"/>
      <c r="BM32" s="200"/>
      <c r="BN32" s="200"/>
      <c r="BO32" s="200"/>
      <c r="BP32" s="200"/>
      <c r="BQ32" s="200"/>
      <c r="BR32" s="200"/>
      <c r="BS32" s="200"/>
      <c r="BT32" s="200"/>
      <c r="BU32" s="200"/>
      <c r="BV32" s="200"/>
      <c r="BW32" s="200"/>
      <c r="BX32" s="200"/>
      <c r="BY32" s="200"/>
      <c r="BZ32" s="200"/>
    </row>
    <row r="33" spans="1:78">
      <c r="A33" s="214"/>
      <c r="B33" s="214" t="s">
        <v>1281</v>
      </c>
      <c r="C33" s="214">
        <v>1</v>
      </c>
      <c r="D33" s="228" t="s">
        <v>1203</v>
      </c>
      <c r="E33" s="215" t="s">
        <v>1330</v>
      </c>
      <c r="F33" s="215"/>
      <c r="G33" s="215"/>
      <c r="H33" s="215"/>
      <c r="I33" s="215"/>
      <c r="J33" s="215"/>
      <c r="K33" s="215"/>
      <c r="L33" s="215"/>
      <c r="M33" s="215"/>
      <c r="N33" s="215"/>
      <c r="O33" s="215"/>
      <c r="P33" s="216"/>
      <c r="Q33" s="216"/>
      <c r="R33" s="218"/>
      <c r="S33" s="219">
        <v>0</v>
      </c>
      <c r="T33" s="219">
        <v>0</v>
      </c>
      <c r="U33" s="217">
        <v>0</v>
      </c>
      <c r="V33" s="217">
        <v>0</v>
      </c>
      <c r="W33" s="216"/>
      <c r="X33" s="216"/>
      <c r="Y33" s="220">
        <v>0</v>
      </c>
      <c r="Z33" s="221">
        <v>0</v>
      </c>
      <c r="AA33" s="222"/>
      <c r="AB33" s="218"/>
      <c r="AC33" s="223"/>
      <c r="AD33" s="224">
        <v>0</v>
      </c>
      <c r="AE33" s="225">
        <v>0</v>
      </c>
      <c r="AF33" s="199"/>
      <c r="AG33" s="200"/>
      <c r="AH33" s="200"/>
      <c r="AI33" s="200"/>
      <c r="AJ33" s="200"/>
      <c r="AK33" s="200"/>
      <c r="AL33" s="200"/>
      <c r="AM33" s="200"/>
      <c r="AN33" s="200"/>
      <c r="AO33" s="200"/>
      <c r="AP33" s="200"/>
      <c r="AQ33" s="200"/>
      <c r="AR33" s="200"/>
      <c r="AS33" s="200"/>
      <c r="AT33" s="200"/>
      <c r="AU33" s="200"/>
      <c r="AV33" s="200"/>
      <c r="AW33" s="200"/>
      <c r="AX33" s="200"/>
      <c r="AY33" s="200"/>
      <c r="AZ33" s="200"/>
      <c r="BA33" s="200"/>
      <c r="BB33" s="200"/>
      <c r="BC33" s="200"/>
      <c r="BD33" s="200"/>
      <c r="BE33" s="200"/>
      <c r="BF33" s="200"/>
      <c r="BG33" s="200"/>
      <c r="BH33" s="200"/>
      <c r="BI33" s="200"/>
      <c r="BJ33" s="200"/>
      <c r="BK33" s="200"/>
      <c r="BL33" s="200"/>
      <c r="BM33" s="200"/>
      <c r="BN33" s="200"/>
      <c r="BO33" s="200"/>
      <c r="BP33" s="200"/>
      <c r="BQ33" s="200"/>
      <c r="BR33" s="200"/>
      <c r="BS33" s="200"/>
      <c r="BT33" s="200"/>
      <c r="BU33" s="200"/>
      <c r="BV33" s="200"/>
      <c r="BW33" s="200"/>
      <c r="BX33" s="200"/>
      <c r="BY33" s="200"/>
      <c r="BZ33" s="200"/>
    </row>
    <row r="34" spans="1:78" outlineLevel="1">
      <c r="A34" s="214"/>
      <c r="B34" s="214"/>
      <c r="C34" s="214">
        <v>2</v>
      </c>
      <c r="D34" s="228" t="s">
        <v>1350</v>
      </c>
      <c r="E34" s="215"/>
      <c r="F34" s="215" t="s">
        <v>1309</v>
      </c>
      <c r="G34" s="215"/>
      <c r="H34" s="215"/>
      <c r="I34" s="215"/>
      <c r="J34" s="215"/>
      <c r="K34" s="215"/>
      <c r="L34" s="215"/>
      <c r="M34" s="215"/>
      <c r="N34" s="215"/>
      <c r="O34" s="215"/>
      <c r="P34" s="216"/>
      <c r="Q34" s="216"/>
      <c r="R34" s="218"/>
      <c r="S34" s="219">
        <v>0</v>
      </c>
      <c r="T34" s="219">
        <v>0</v>
      </c>
      <c r="U34" s="217">
        <v>0</v>
      </c>
      <c r="V34" s="217">
        <v>0</v>
      </c>
      <c r="W34" s="216"/>
      <c r="X34" s="216"/>
      <c r="Y34" s="220">
        <v>0</v>
      </c>
      <c r="Z34" s="221">
        <v>0</v>
      </c>
      <c r="AA34" s="222"/>
      <c r="AB34" s="218"/>
      <c r="AC34" s="223"/>
      <c r="AD34" s="224">
        <v>0</v>
      </c>
      <c r="AE34" s="225">
        <v>0</v>
      </c>
      <c r="AF34" s="199"/>
      <c r="AG34" s="200"/>
      <c r="AH34" s="200"/>
      <c r="AI34" s="200"/>
      <c r="AJ34" s="200"/>
      <c r="AK34" s="200"/>
      <c r="AL34" s="200"/>
      <c r="AM34" s="200"/>
      <c r="AN34" s="200"/>
      <c r="AO34" s="200"/>
      <c r="AP34" s="200"/>
      <c r="AQ34" s="200"/>
      <c r="AR34" s="200"/>
      <c r="AS34" s="200"/>
      <c r="AT34" s="200"/>
      <c r="AU34" s="200"/>
      <c r="AV34" s="200"/>
      <c r="AW34" s="200"/>
      <c r="AX34" s="200"/>
      <c r="AY34" s="200"/>
      <c r="AZ34" s="200"/>
      <c r="BA34" s="200"/>
      <c r="BB34" s="200"/>
      <c r="BC34" s="200"/>
      <c r="BD34" s="200"/>
      <c r="BE34" s="200"/>
      <c r="BF34" s="200"/>
      <c r="BG34" s="200"/>
      <c r="BH34" s="200"/>
      <c r="BI34" s="200"/>
      <c r="BJ34" s="200"/>
      <c r="BK34" s="200"/>
      <c r="BL34" s="200"/>
      <c r="BM34" s="200"/>
      <c r="BN34" s="200"/>
      <c r="BO34" s="200"/>
      <c r="BP34" s="200"/>
      <c r="BQ34" s="200"/>
      <c r="BR34" s="200"/>
      <c r="BS34" s="200"/>
      <c r="BT34" s="200"/>
      <c r="BU34" s="200"/>
      <c r="BV34" s="200"/>
      <c r="BW34" s="200"/>
      <c r="BX34" s="200"/>
      <c r="BY34" s="200"/>
      <c r="BZ34" s="200"/>
    </row>
    <row r="35" spans="1:78" outlineLevel="1">
      <c r="A35" s="214"/>
      <c r="B35" s="214"/>
      <c r="C35" s="214">
        <v>2</v>
      </c>
      <c r="D35" s="228" t="s">
        <v>1351</v>
      </c>
      <c r="E35" s="215"/>
      <c r="F35" s="215" t="s">
        <v>1310</v>
      </c>
      <c r="G35" s="215"/>
      <c r="H35" s="215"/>
      <c r="I35" s="215"/>
      <c r="J35" s="215"/>
      <c r="K35" s="215"/>
      <c r="L35" s="215"/>
      <c r="M35" s="215"/>
      <c r="N35" s="215"/>
      <c r="O35" s="215"/>
      <c r="P35" s="216"/>
      <c r="Q35" s="216"/>
      <c r="R35" s="218"/>
      <c r="S35" s="219">
        <v>0</v>
      </c>
      <c r="T35" s="219">
        <v>0</v>
      </c>
      <c r="U35" s="217">
        <v>0</v>
      </c>
      <c r="V35" s="217">
        <v>0</v>
      </c>
      <c r="W35" s="216"/>
      <c r="X35" s="216"/>
      <c r="Y35" s="220">
        <v>0</v>
      </c>
      <c r="Z35" s="221">
        <v>0</v>
      </c>
      <c r="AA35" s="222"/>
      <c r="AB35" s="218" t="s">
        <v>1338</v>
      </c>
      <c r="AC35" s="223"/>
      <c r="AD35" s="224">
        <v>0</v>
      </c>
      <c r="AE35" s="225">
        <v>0</v>
      </c>
      <c r="AF35" s="199"/>
      <c r="AG35" s="200"/>
      <c r="AH35" s="200"/>
      <c r="AI35" s="200"/>
      <c r="AJ35" s="200"/>
      <c r="AK35" s="200"/>
      <c r="AL35" s="200"/>
      <c r="AM35" s="200"/>
      <c r="AN35" s="200"/>
      <c r="AO35" s="200"/>
      <c r="AP35" s="200"/>
      <c r="AQ35" s="200"/>
      <c r="AR35" s="200"/>
      <c r="AS35" s="200"/>
      <c r="AT35" s="200"/>
      <c r="AU35" s="200"/>
      <c r="AV35" s="200"/>
      <c r="AW35" s="200"/>
      <c r="AX35" s="200"/>
      <c r="AY35" s="200"/>
      <c r="AZ35" s="200"/>
      <c r="BA35" s="200"/>
      <c r="BB35" s="200"/>
      <c r="BC35" s="200"/>
      <c r="BD35" s="200"/>
      <c r="BE35" s="200"/>
      <c r="BF35" s="200"/>
      <c r="BG35" s="200"/>
      <c r="BH35" s="200"/>
      <c r="BI35" s="200"/>
      <c r="BJ35" s="200"/>
      <c r="BK35" s="200"/>
      <c r="BL35" s="200"/>
      <c r="BM35" s="200"/>
      <c r="BN35" s="200"/>
      <c r="BO35" s="200"/>
      <c r="BP35" s="200"/>
      <c r="BQ35" s="200"/>
      <c r="BR35" s="200"/>
      <c r="BS35" s="200"/>
      <c r="BT35" s="200"/>
      <c r="BU35" s="200"/>
      <c r="BV35" s="200"/>
      <c r="BW35" s="200"/>
      <c r="BX35" s="200"/>
      <c r="BY35" s="200"/>
      <c r="BZ35" s="200"/>
    </row>
    <row r="36" spans="1:78" outlineLevel="1">
      <c r="A36" s="214"/>
      <c r="B36" s="214"/>
      <c r="C36" s="214">
        <v>2</v>
      </c>
      <c r="D36" s="228" t="s">
        <v>1352</v>
      </c>
      <c r="E36" s="215"/>
      <c r="F36" s="215" t="s">
        <v>1312</v>
      </c>
      <c r="G36" s="215"/>
      <c r="H36" s="215"/>
      <c r="I36" s="215"/>
      <c r="J36" s="215"/>
      <c r="K36" s="215"/>
      <c r="L36" s="215"/>
      <c r="M36" s="215"/>
      <c r="N36" s="215"/>
      <c r="O36" s="215"/>
      <c r="P36" s="216"/>
      <c r="Q36" s="216"/>
      <c r="R36" s="218"/>
      <c r="S36" s="219">
        <v>0</v>
      </c>
      <c r="T36" s="219">
        <v>0</v>
      </c>
      <c r="U36" s="217">
        <v>0</v>
      </c>
      <c r="V36" s="217">
        <v>0</v>
      </c>
      <c r="W36" s="216"/>
      <c r="X36" s="216"/>
      <c r="Y36" s="220">
        <v>0</v>
      </c>
      <c r="Z36" s="221">
        <v>0</v>
      </c>
      <c r="AA36" s="222"/>
      <c r="AB36" s="218"/>
      <c r="AC36" s="223"/>
      <c r="AD36" s="224">
        <v>0</v>
      </c>
      <c r="AE36" s="225">
        <v>0</v>
      </c>
      <c r="AF36" s="199"/>
      <c r="AG36" s="200"/>
      <c r="AH36" s="200"/>
      <c r="AI36" s="200"/>
      <c r="AJ36" s="200"/>
      <c r="AK36" s="200"/>
      <c r="AL36" s="200"/>
      <c r="AM36" s="200"/>
      <c r="AN36" s="200"/>
      <c r="AO36" s="200"/>
      <c r="AP36" s="200"/>
      <c r="AQ36" s="200"/>
      <c r="AR36" s="200"/>
      <c r="AS36" s="200"/>
      <c r="AT36" s="200"/>
      <c r="AU36" s="200"/>
      <c r="AV36" s="200"/>
      <c r="AW36" s="200"/>
      <c r="AX36" s="200"/>
      <c r="AY36" s="200"/>
      <c r="AZ36" s="200"/>
      <c r="BA36" s="200"/>
      <c r="BB36" s="200"/>
      <c r="BC36" s="200"/>
      <c r="BD36" s="200"/>
      <c r="BE36" s="200"/>
      <c r="BF36" s="200"/>
      <c r="BG36" s="200"/>
      <c r="BH36" s="200"/>
      <c r="BI36" s="200"/>
      <c r="BJ36" s="200"/>
      <c r="BK36" s="200"/>
      <c r="BL36" s="200"/>
      <c r="BM36" s="200"/>
      <c r="BN36" s="200"/>
      <c r="BO36" s="200"/>
      <c r="BP36" s="200"/>
      <c r="BQ36" s="200"/>
      <c r="BR36" s="200"/>
      <c r="BS36" s="200"/>
      <c r="BT36" s="200"/>
      <c r="BU36" s="200"/>
      <c r="BV36" s="200"/>
      <c r="BW36" s="200"/>
      <c r="BX36" s="200"/>
      <c r="BY36" s="200"/>
      <c r="BZ36" s="200"/>
    </row>
    <row r="37" spans="1:78" outlineLevel="1">
      <c r="A37" s="214"/>
      <c r="B37" s="214"/>
      <c r="C37" s="214">
        <v>2</v>
      </c>
      <c r="D37" s="228" t="s">
        <v>1353</v>
      </c>
      <c r="E37" s="215"/>
      <c r="F37" s="215" t="s">
        <v>1313</v>
      </c>
      <c r="G37" s="215"/>
      <c r="H37" s="215"/>
      <c r="I37" s="215"/>
      <c r="J37" s="215"/>
      <c r="K37" s="215"/>
      <c r="L37" s="215"/>
      <c r="M37" s="215"/>
      <c r="N37" s="215"/>
      <c r="O37" s="215"/>
      <c r="P37" s="216"/>
      <c r="Q37" s="216"/>
      <c r="R37" s="218"/>
      <c r="S37" s="219">
        <v>0</v>
      </c>
      <c r="T37" s="219">
        <v>0</v>
      </c>
      <c r="U37" s="217">
        <v>0</v>
      </c>
      <c r="V37" s="217">
        <v>0</v>
      </c>
      <c r="W37" s="216"/>
      <c r="X37" s="216"/>
      <c r="Y37" s="220">
        <v>0</v>
      </c>
      <c r="Z37" s="221">
        <v>0</v>
      </c>
      <c r="AA37" s="222"/>
      <c r="AB37" s="218"/>
      <c r="AC37" s="223"/>
      <c r="AD37" s="224">
        <v>0</v>
      </c>
      <c r="AE37" s="225">
        <v>0</v>
      </c>
      <c r="AF37" s="199"/>
      <c r="AG37" s="200"/>
      <c r="AH37" s="200"/>
      <c r="AI37" s="200"/>
      <c r="AJ37" s="200"/>
      <c r="AK37" s="200"/>
      <c r="AL37" s="200"/>
      <c r="AM37" s="200"/>
      <c r="AN37" s="200"/>
      <c r="AO37" s="200"/>
      <c r="AP37" s="200"/>
      <c r="AQ37" s="200"/>
      <c r="AR37" s="200"/>
      <c r="AS37" s="200"/>
      <c r="AT37" s="200"/>
      <c r="AU37" s="200"/>
      <c r="AV37" s="200"/>
      <c r="AW37" s="200"/>
      <c r="AX37" s="200"/>
      <c r="AY37" s="200"/>
      <c r="AZ37" s="200"/>
      <c r="BA37" s="200"/>
      <c r="BB37" s="200"/>
      <c r="BC37" s="200"/>
      <c r="BD37" s="200"/>
      <c r="BE37" s="200"/>
      <c r="BF37" s="200"/>
      <c r="BG37" s="200"/>
      <c r="BH37" s="200"/>
      <c r="BI37" s="200"/>
      <c r="BJ37" s="200"/>
      <c r="BK37" s="200"/>
      <c r="BL37" s="200"/>
      <c r="BM37" s="200"/>
      <c r="BN37" s="200"/>
      <c r="BO37" s="200"/>
      <c r="BP37" s="200"/>
      <c r="BQ37" s="200"/>
      <c r="BR37" s="200"/>
      <c r="BS37" s="200"/>
      <c r="BT37" s="200"/>
      <c r="BU37" s="200"/>
      <c r="BV37" s="200"/>
      <c r="BW37" s="200"/>
      <c r="BX37" s="200"/>
      <c r="BY37" s="200"/>
      <c r="BZ37" s="200"/>
    </row>
    <row r="38" spans="1:78" outlineLevel="1">
      <c r="A38" s="214"/>
      <c r="B38" s="214"/>
      <c r="C38" s="214">
        <v>0</v>
      </c>
      <c r="D38" s="228"/>
      <c r="E38" s="215"/>
      <c r="F38" s="215"/>
      <c r="G38" s="215"/>
      <c r="H38" s="215"/>
      <c r="I38" s="215"/>
      <c r="J38" s="215"/>
      <c r="K38" s="215"/>
      <c r="L38" s="215"/>
      <c r="M38" s="215"/>
      <c r="N38" s="215"/>
      <c r="O38" s="215"/>
      <c r="P38" s="216"/>
      <c r="Q38" s="216"/>
      <c r="R38" s="218"/>
      <c r="S38" s="219"/>
      <c r="T38" s="219"/>
      <c r="U38" s="217">
        <v>0</v>
      </c>
      <c r="V38" s="217">
        <v>0</v>
      </c>
      <c r="W38" s="216"/>
      <c r="X38" s="216"/>
      <c r="Y38" s="220"/>
      <c r="Z38" s="221">
        <v>0</v>
      </c>
      <c r="AA38" s="222"/>
      <c r="AB38" s="218"/>
      <c r="AC38" s="223"/>
      <c r="AD38" s="224"/>
      <c r="AE38" s="225"/>
      <c r="AF38" s="199"/>
      <c r="AG38" s="200"/>
      <c r="AH38" s="200"/>
      <c r="AI38" s="200"/>
      <c r="AJ38" s="200"/>
      <c r="AK38" s="200"/>
      <c r="AL38" s="200"/>
      <c r="AM38" s="200"/>
      <c r="AN38" s="200"/>
      <c r="AO38" s="200"/>
      <c r="AP38" s="200"/>
      <c r="AQ38" s="200"/>
      <c r="AR38" s="200"/>
      <c r="AS38" s="200"/>
      <c r="AT38" s="200"/>
      <c r="AU38" s="200"/>
      <c r="AV38" s="200"/>
      <c r="AW38" s="200"/>
      <c r="AX38" s="200"/>
      <c r="AY38" s="200"/>
      <c r="AZ38" s="200"/>
      <c r="BA38" s="200"/>
      <c r="BB38" s="200"/>
      <c r="BC38" s="200"/>
      <c r="BD38" s="200"/>
      <c r="BE38" s="200"/>
      <c r="BF38" s="200"/>
      <c r="BG38" s="200"/>
      <c r="BH38" s="200"/>
      <c r="BI38" s="200"/>
      <c r="BJ38" s="200"/>
      <c r="BK38" s="200"/>
      <c r="BL38" s="200"/>
      <c r="BM38" s="200"/>
      <c r="BN38" s="200"/>
      <c r="BO38" s="200"/>
      <c r="BP38" s="200"/>
      <c r="BQ38" s="200"/>
      <c r="BR38" s="200"/>
      <c r="BS38" s="200"/>
      <c r="BT38" s="200"/>
      <c r="BU38" s="200"/>
      <c r="BV38" s="200"/>
      <c r="BW38" s="200"/>
      <c r="BX38" s="200"/>
      <c r="BY38" s="200"/>
      <c r="BZ38" s="200"/>
    </row>
    <row r="39" spans="1:78">
      <c r="A39" s="214"/>
      <c r="B39" s="214" t="s">
        <v>1281</v>
      </c>
      <c r="C39" s="214">
        <v>1</v>
      </c>
      <c r="D39" s="228" t="s">
        <v>1204</v>
      </c>
      <c r="E39" s="215" t="s">
        <v>1329</v>
      </c>
      <c r="F39" s="215"/>
      <c r="G39" s="215"/>
      <c r="H39" s="215"/>
      <c r="I39" s="215"/>
      <c r="J39" s="215"/>
      <c r="K39" s="215"/>
      <c r="L39" s="215"/>
      <c r="M39" s="215"/>
      <c r="N39" s="215"/>
      <c r="O39" s="215"/>
      <c r="P39" s="216"/>
      <c r="Q39" s="216"/>
      <c r="R39" s="218"/>
      <c r="S39" s="219">
        <v>0</v>
      </c>
      <c r="T39" s="219">
        <v>0</v>
      </c>
      <c r="U39" s="217">
        <v>0</v>
      </c>
      <c r="V39" s="217">
        <v>0</v>
      </c>
      <c r="W39" s="216"/>
      <c r="X39" s="216"/>
      <c r="Y39" s="220">
        <v>0</v>
      </c>
      <c r="Z39" s="221">
        <v>0</v>
      </c>
      <c r="AA39" s="222"/>
      <c r="AB39" s="218"/>
      <c r="AC39" s="223"/>
      <c r="AD39" s="224">
        <v>0</v>
      </c>
      <c r="AE39" s="225">
        <v>0</v>
      </c>
      <c r="AF39" s="199"/>
      <c r="AG39" s="200"/>
      <c r="AH39" s="200"/>
      <c r="AI39" s="200"/>
      <c r="AJ39" s="200"/>
      <c r="AK39" s="200"/>
      <c r="AL39" s="200"/>
      <c r="AM39" s="200"/>
      <c r="AN39" s="200"/>
      <c r="AO39" s="200"/>
      <c r="AP39" s="200"/>
      <c r="AQ39" s="200"/>
      <c r="AR39" s="200"/>
      <c r="AS39" s="200"/>
      <c r="AT39" s="200"/>
      <c r="AU39" s="200"/>
      <c r="AV39" s="200"/>
      <c r="AW39" s="200"/>
      <c r="AX39" s="200"/>
      <c r="AY39" s="200"/>
      <c r="AZ39" s="200"/>
      <c r="BA39" s="200"/>
      <c r="BB39" s="200"/>
      <c r="BC39" s="200"/>
      <c r="BD39" s="200"/>
      <c r="BE39" s="200"/>
      <c r="BF39" s="200"/>
      <c r="BG39" s="200"/>
      <c r="BH39" s="200"/>
      <c r="BI39" s="200"/>
      <c r="BJ39" s="200"/>
      <c r="BK39" s="200"/>
      <c r="BL39" s="200"/>
      <c r="BM39" s="200"/>
      <c r="BN39" s="200"/>
      <c r="BO39" s="200"/>
      <c r="BP39" s="200"/>
      <c r="BQ39" s="200"/>
      <c r="BR39" s="200"/>
      <c r="BS39" s="200"/>
      <c r="BT39" s="200"/>
      <c r="BU39" s="200"/>
      <c r="BV39" s="200"/>
      <c r="BW39" s="200"/>
      <c r="BX39" s="200"/>
      <c r="BY39" s="200"/>
      <c r="BZ39" s="200"/>
    </row>
    <row r="40" spans="1:78" outlineLevel="1">
      <c r="A40" s="214"/>
      <c r="B40" s="214"/>
      <c r="C40" s="214">
        <v>2</v>
      </c>
      <c r="D40" s="228" t="s">
        <v>1354</v>
      </c>
      <c r="E40" s="215"/>
      <c r="F40" s="215" t="s">
        <v>1309</v>
      </c>
      <c r="G40" s="215"/>
      <c r="H40" s="215"/>
      <c r="I40" s="215"/>
      <c r="J40" s="215"/>
      <c r="K40" s="215"/>
      <c r="L40" s="215"/>
      <c r="M40" s="215"/>
      <c r="N40" s="215"/>
      <c r="O40" s="215"/>
      <c r="P40" s="216"/>
      <c r="Q40" s="216"/>
      <c r="R40" s="218"/>
      <c r="S40" s="219">
        <v>0</v>
      </c>
      <c r="T40" s="219">
        <v>0</v>
      </c>
      <c r="U40" s="217">
        <v>0</v>
      </c>
      <c r="V40" s="217">
        <v>0</v>
      </c>
      <c r="W40" s="216"/>
      <c r="X40" s="216"/>
      <c r="Y40" s="220">
        <v>0</v>
      </c>
      <c r="Z40" s="221">
        <v>0</v>
      </c>
      <c r="AA40" s="222"/>
      <c r="AB40" s="218"/>
      <c r="AC40" s="223"/>
      <c r="AD40" s="224">
        <v>0</v>
      </c>
      <c r="AE40" s="225">
        <v>0</v>
      </c>
      <c r="AF40" s="199"/>
      <c r="AG40" s="200"/>
      <c r="AH40" s="200"/>
      <c r="AI40" s="200"/>
      <c r="AJ40" s="200"/>
      <c r="AK40" s="200"/>
      <c r="AL40" s="200"/>
      <c r="AM40" s="200"/>
      <c r="AN40" s="200"/>
      <c r="AO40" s="200"/>
      <c r="AP40" s="200"/>
      <c r="AQ40" s="200"/>
      <c r="AR40" s="200"/>
      <c r="AS40" s="200"/>
      <c r="AT40" s="200"/>
      <c r="AU40" s="200"/>
      <c r="AV40" s="200"/>
      <c r="AW40" s="200"/>
      <c r="AX40" s="200"/>
      <c r="AY40" s="200"/>
      <c r="AZ40" s="200"/>
      <c r="BA40" s="200"/>
      <c r="BB40" s="200"/>
      <c r="BC40" s="200"/>
      <c r="BD40" s="200"/>
      <c r="BE40" s="200"/>
      <c r="BF40" s="200"/>
      <c r="BG40" s="200"/>
      <c r="BH40" s="200"/>
      <c r="BI40" s="200"/>
      <c r="BJ40" s="200"/>
      <c r="BK40" s="200"/>
      <c r="BL40" s="200"/>
      <c r="BM40" s="200"/>
      <c r="BN40" s="200"/>
      <c r="BO40" s="200"/>
      <c r="BP40" s="200"/>
      <c r="BQ40" s="200"/>
      <c r="BR40" s="200"/>
      <c r="BS40" s="200"/>
      <c r="BT40" s="200"/>
      <c r="BU40" s="200"/>
      <c r="BV40" s="200"/>
      <c r="BW40" s="200"/>
      <c r="BX40" s="200"/>
      <c r="BY40" s="200"/>
      <c r="BZ40" s="200"/>
    </row>
    <row r="41" spans="1:78" outlineLevel="1">
      <c r="A41" s="214"/>
      <c r="B41" s="214"/>
      <c r="C41" s="214">
        <v>2</v>
      </c>
      <c r="D41" s="228" t="s">
        <v>1355</v>
      </c>
      <c r="E41" s="215"/>
      <c r="F41" s="215" t="s">
        <v>1310</v>
      </c>
      <c r="G41" s="215"/>
      <c r="H41" s="215"/>
      <c r="I41" s="215"/>
      <c r="J41" s="215"/>
      <c r="K41" s="215"/>
      <c r="L41" s="215"/>
      <c r="M41" s="215"/>
      <c r="N41" s="215"/>
      <c r="O41" s="215"/>
      <c r="P41" s="216"/>
      <c r="Q41" s="216"/>
      <c r="R41" s="218"/>
      <c r="S41" s="219">
        <v>0</v>
      </c>
      <c r="T41" s="219">
        <v>0</v>
      </c>
      <c r="U41" s="217">
        <v>0</v>
      </c>
      <c r="V41" s="217">
        <v>0</v>
      </c>
      <c r="W41" s="216"/>
      <c r="X41" s="216"/>
      <c r="Y41" s="220">
        <v>0</v>
      </c>
      <c r="Z41" s="221">
        <v>0</v>
      </c>
      <c r="AA41" s="222"/>
      <c r="AB41" s="218"/>
      <c r="AC41" s="223"/>
      <c r="AD41" s="224">
        <v>0</v>
      </c>
      <c r="AE41" s="225">
        <v>0</v>
      </c>
      <c r="AF41" s="199"/>
      <c r="AG41" s="200"/>
      <c r="AH41" s="200"/>
      <c r="AI41" s="200"/>
      <c r="AJ41" s="200"/>
      <c r="AK41" s="200"/>
      <c r="AL41" s="200"/>
      <c r="AM41" s="200"/>
      <c r="AN41" s="200"/>
      <c r="AO41" s="200"/>
      <c r="AP41" s="200"/>
      <c r="AQ41" s="200"/>
      <c r="AR41" s="200"/>
      <c r="AS41" s="200"/>
      <c r="AT41" s="200"/>
      <c r="AU41" s="200"/>
      <c r="AV41" s="200"/>
      <c r="AW41" s="200"/>
      <c r="AX41" s="200"/>
      <c r="AY41" s="200"/>
      <c r="AZ41" s="200"/>
      <c r="BA41" s="200"/>
      <c r="BB41" s="200"/>
      <c r="BC41" s="200"/>
      <c r="BD41" s="200"/>
      <c r="BE41" s="200"/>
      <c r="BF41" s="200"/>
      <c r="BG41" s="200"/>
      <c r="BH41" s="200"/>
      <c r="BI41" s="200"/>
      <c r="BJ41" s="200"/>
      <c r="BK41" s="200"/>
      <c r="BL41" s="200"/>
      <c r="BM41" s="200"/>
      <c r="BN41" s="200"/>
      <c r="BO41" s="200"/>
      <c r="BP41" s="200"/>
      <c r="BQ41" s="200"/>
      <c r="BR41" s="200"/>
      <c r="BS41" s="200"/>
      <c r="BT41" s="200"/>
      <c r="BU41" s="200"/>
      <c r="BV41" s="200"/>
      <c r="BW41" s="200"/>
      <c r="BX41" s="200"/>
      <c r="BY41" s="200"/>
      <c r="BZ41" s="200"/>
    </row>
    <row r="42" spans="1:78" outlineLevel="1">
      <c r="A42" s="214"/>
      <c r="B42" s="214"/>
      <c r="C42" s="214">
        <v>2</v>
      </c>
      <c r="D42" s="228" t="s">
        <v>1356</v>
      </c>
      <c r="E42" s="215"/>
      <c r="F42" s="215" t="s">
        <v>1312</v>
      </c>
      <c r="G42" s="215"/>
      <c r="H42" s="215"/>
      <c r="I42" s="215"/>
      <c r="J42" s="215"/>
      <c r="K42" s="215"/>
      <c r="L42" s="215"/>
      <c r="M42" s="215"/>
      <c r="N42" s="215"/>
      <c r="O42" s="215"/>
      <c r="P42" s="216"/>
      <c r="Q42" s="216"/>
      <c r="R42" s="218"/>
      <c r="S42" s="219">
        <v>0</v>
      </c>
      <c r="T42" s="219">
        <v>0</v>
      </c>
      <c r="U42" s="217">
        <v>0</v>
      </c>
      <c r="V42" s="217">
        <v>0</v>
      </c>
      <c r="W42" s="216"/>
      <c r="X42" s="216"/>
      <c r="Y42" s="220">
        <v>0</v>
      </c>
      <c r="Z42" s="221">
        <v>0</v>
      </c>
      <c r="AA42" s="222"/>
      <c r="AB42" s="218"/>
      <c r="AC42" s="223"/>
      <c r="AD42" s="224">
        <v>0</v>
      </c>
      <c r="AE42" s="225">
        <v>0</v>
      </c>
      <c r="AF42" s="199"/>
      <c r="AG42" s="200"/>
      <c r="AH42" s="200"/>
      <c r="AI42" s="200"/>
      <c r="AJ42" s="200"/>
      <c r="AK42" s="200"/>
      <c r="AL42" s="200"/>
      <c r="AM42" s="200"/>
      <c r="AN42" s="200"/>
      <c r="AO42" s="200"/>
      <c r="AP42" s="200"/>
      <c r="AQ42" s="200"/>
      <c r="AR42" s="200"/>
      <c r="AS42" s="200"/>
      <c r="AT42" s="200"/>
      <c r="AU42" s="200"/>
      <c r="AV42" s="200"/>
      <c r="AW42" s="200"/>
      <c r="AX42" s="200"/>
      <c r="AY42" s="200"/>
      <c r="AZ42" s="200"/>
      <c r="BA42" s="200"/>
      <c r="BB42" s="200"/>
      <c r="BC42" s="200"/>
      <c r="BD42" s="200"/>
      <c r="BE42" s="200"/>
      <c r="BF42" s="200"/>
      <c r="BG42" s="200"/>
      <c r="BH42" s="200"/>
      <c r="BI42" s="200"/>
      <c r="BJ42" s="200"/>
      <c r="BK42" s="200"/>
      <c r="BL42" s="200"/>
      <c r="BM42" s="200"/>
      <c r="BN42" s="200"/>
      <c r="BO42" s="200"/>
      <c r="BP42" s="200"/>
      <c r="BQ42" s="200"/>
      <c r="BR42" s="200"/>
      <c r="BS42" s="200"/>
      <c r="BT42" s="200"/>
      <c r="BU42" s="200"/>
      <c r="BV42" s="200"/>
      <c r="BW42" s="200"/>
      <c r="BX42" s="200"/>
      <c r="BY42" s="200"/>
      <c r="BZ42" s="200"/>
    </row>
    <row r="43" spans="1:78" outlineLevel="1">
      <c r="A43" s="214"/>
      <c r="B43" s="214"/>
      <c r="C43" s="214">
        <v>2</v>
      </c>
      <c r="D43" s="228" t="s">
        <v>1357</v>
      </c>
      <c r="E43" s="215"/>
      <c r="F43" s="215" t="s">
        <v>1313</v>
      </c>
      <c r="G43" s="215"/>
      <c r="H43" s="215"/>
      <c r="I43" s="215"/>
      <c r="J43" s="215"/>
      <c r="K43" s="215"/>
      <c r="L43" s="215"/>
      <c r="M43" s="215"/>
      <c r="N43" s="215"/>
      <c r="O43" s="215"/>
      <c r="P43" s="216"/>
      <c r="Q43" s="216"/>
      <c r="R43" s="218"/>
      <c r="S43" s="219">
        <v>0</v>
      </c>
      <c r="T43" s="219">
        <v>0</v>
      </c>
      <c r="U43" s="217">
        <v>0</v>
      </c>
      <c r="V43" s="217">
        <v>0</v>
      </c>
      <c r="W43" s="216"/>
      <c r="X43" s="216"/>
      <c r="Y43" s="220">
        <v>0</v>
      </c>
      <c r="Z43" s="221">
        <v>0</v>
      </c>
      <c r="AA43" s="222"/>
      <c r="AB43" s="218"/>
      <c r="AC43" s="223"/>
      <c r="AD43" s="224">
        <v>0</v>
      </c>
      <c r="AE43" s="225">
        <v>0</v>
      </c>
      <c r="AF43" s="199"/>
      <c r="AG43" s="200"/>
      <c r="AH43" s="200"/>
      <c r="AI43" s="200"/>
      <c r="AJ43" s="200"/>
      <c r="AK43" s="200"/>
      <c r="AL43" s="200"/>
      <c r="AM43" s="200"/>
      <c r="AN43" s="200"/>
      <c r="AO43" s="200"/>
      <c r="AP43" s="200"/>
      <c r="AQ43" s="200"/>
      <c r="AR43" s="200"/>
      <c r="AS43" s="200"/>
      <c r="AT43" s="200"/>
      <c r="AU43" s="200"/>
      <c r="AV43" s="200"/>
      <c r="AW43" s="200"/>
      <c r="AX43" s="200"/>
      <c r="AY43" s="200"/>
      <c r="AZ43" s="200"/>
      <c r="BA43" s="200"/>
      <c r="BB43" s="200"/>
      <c r="BC43" s="200"/>
      <c r="BD43" s="200"/>
      <c r="BE43" s="200"/>
      <c r="BF43" s="200"/>
      <c r="BG43" s="200"/>
      <c r="BH43" s="200"/>
      <c r="BI43" s="200"/>
      <c r="BJ43" s="200"/>
      <c r="BK43" s="200"/>
      <c r="BL43" s="200"/>
      <c r="BM43" s="200"/>
      <c r="BN43" s="200"/>
      <c r="BO43" s="200"/>
      <c r="BP43" s="200"/>
      <c r="BQ43" s="200"/>
      <c r="BR43" s="200"/>
      <c r="BS43" s="200"/>
      <c r="BT43" s="200"/>
      <c r="BU43" s="200"/>
      <c r="BV43" s="200"/>
      <c r="BW43" s="200"/>
      <c r="BX43" s="200"/>
      <c r="BY43" s="200"/>
      <c r="BZ43" s="200"/>
    </row>
    <row r="44" spans="1:78" outlineLevel="1">
      <c r="A44" s="214"/>
      <c r="B44" s="214"/>
      <c r="C44" s="214">
        <v>0</v>
      </c>
      <c r="D44" s="228"/>
      <c r="E44" s="215"/>
      <c r="F44" s="215"/>
      <c r="G44" s="215"/>
      <c r="H44" s="215"/>
      <c r="I44" s="215"/>
      <c r="J44" s="215"/>
      <c r="K44" s="215"/>
      <c r="L44" s="215"/>
      <c r="M44" s="215"/>
      <c r="N44" s="215"/>
      <c r="O44" s="215"/>
      <c r="P44" s="216"/>
      <c r="Q44" s="216"/>
      <c r="R44" s="218"/>
      <c r="S44" s="219"/>
      <c r="T44" s="219"/>
      <c r="U44" s="217">
        <v>0</v>
      </c>
      <c r="V44" s="217">
        <v>0</v>
      </c>
      <c r="W44" s="216"/>
      <c r="X44" s="216"/>
      <c r="Y44" s="220"/>
      <c r="Z44" s="221">
        <v>0</v>
      </c>
      <c r="AA44" s="222"/>
      <c r="AB44" s="218"/>
      <c r="AC44" s="223"/>
      <c r="AD44" s="224"/>
      <c r="AE44" s="225"/>
      <c r="AF44" s="199"/>
      <c r="AG44" s="200"/>
      <c r="AH44" s="200"/>
      <c r="AI44" s="200"/>
      <c r="AJ44" s="200"/>
      <c r="AK44" s="200"/>
      <c r="AL44" s="200"/>
      <c r="AM44" s="200"/>
      <c r="AN44" s="200"/>
      <c r="AO44" s="200"/>
      <c r="AP44" s="200"/>
      <c r="AQ44" s="200"/>
      <c r="AR44" s="200"/>
      <c r="AS44" s="200"/>
      <c r="AT44" s="200"/>
      <c r="AU44" s="200"/>
      <c r="AV44" s="200"/>
      <c r="AW44" s="200"/>
      <c r="AX44" s="200"/>
      <c r="AY44" s="200"/>
      <c r="AZ44" s="200"/>
      <c r="BA44" s="200"/>
      <c r="BB44" s="200"/>
      <c r="BC44" s="200"/>
      <c r="BD44" s="200"/>
      <c r="BE44" s="200"/>
      <c r="BF44" s="200"/>
      <c r="BG44" s="200"/>
      <c r="BH44" s="200"/>
      <c r="BI44" s="200"/>
      <c r="BJ44" s="200"/>
      <c r="BK44" s="200"/>
      <c r="BL44" s="200"/>
      <c r="BM44" s="200"/>
      <c r="BN44" s="200"/>
      <c r="BO44" s="200"/>
      <c r="BP44" s="200"/>
      <c r="BQ44" s="200"/>
      <c r="BR44" s="200"/>
      <c r="BS44" s="200"/>
      <c r="BT44" s="200"/>
      <c r="BU44" s="200"/>
      <c r="BV44" s="200"/>
      <c r="BW44" s="200"/>
      <c r="BX44" s="200"/>
      <c r="BY44" s="200"/>
      <c r="BZ44" s="200"/>
    </row>
    <row r="45" spans="1:78">
      <c r="A45" s="214"/>
      <c r="B45" s="214" t="s">
        <v>1281</v>
      </c>
      <c r="C45" s="214">
        <v>1</v>
      </c>
      <c r="D45" s="228" t="s">
        <v>1205</v>
      </c>
      <c r="E45" s="215" t="s">
        <v>1331</v>
      </c>
      <c r="F45" s="215"/>
      <c r="G45" s="215"/>
      <c r="H45" s="215"/>
      <c r="I45" s="215"/>
      <c r="J45" s="215"/>
      <c r="K45" s="215"/>
      <c r="L45" s="215"/>
      <c r="M45" s="215"/>
      <c r="N45" s="215"/>
      <c r="O45" s="215"/>
      <c r="P45" s="216"/>
      <c r="Q45" s="216"/>
      <c r="R45" s="218"/>
      <c r="S45" s="219">
        <v>0</v>
      </c>
      <c r="T45" s="219">
        <v>0</v>
      </c>
      <c r="U45" s="217">
        <v>0</v>
      </c>
      <c r="V45" s="217">
        <v>0</v>
      </c>
      <c r="W45" s="216"/>
      <c r="X45" s="216"/>
      <c r="Y45" s="220">
        <v>0</v>
      </c>
      <c r="Z45" s="221">
        <v>0</v>
      </c>
      <c r="AA45" s="222"/>
      <c r="AB45" s="218"/>
      <c r="AC45" s="223"/>
      <c r="AD45" s="224">
        <v>0</v>
      </c>
      <c r="AE45" s="225">
        <v>0</v>
      </c>
      <c r="AF45" s="199"/>
      <c r="AG45" s="200"/>
      <c r="AH45" s="200"/>
      <c r="AI45" s="200"/>
      <c r="AJ45" s="200"/>
      <c r="AK45" s="200"/>
      <c r="AL45" s="200"/>
      <c r="AM45" s="200"/>
      <c r="AN45" s="200"/>
      <c r="AO45" s="200"/>
      <c r="AP45" s="200"/>
      <c r="AQ45" s="200"/>
      <c r="AR45" s="200"/>
      <c r="AS45" s="200"/>
      <c r="AT45" s="200"/>
      <c r="AU45" s="200"/>
      <c r="AV45" s="200"/>
      <c r="AW45" s="200"/>
      <c r="AX45" s="200"/>
      <c r="AY45" s="200"/>
      <c r="AZ45" s="200"/>
      <c r="BA45" s="200"/>
      <c r="BB45" s="200"/>
      <c r="BC45" s="200"/>
      <c r="BD45" s="200"/>
      <c r="BE45" s="200"/>
      <c r="BF45" s="200"/>
      <c r="BG45" s="200"/>
      <c r="BH45" s="200"/>
      <c r="BI45" s="200"/>
      <c r="BJ45" s="200"/>
      <c r="BK45" s="200"/>
      <c r="BL45" s="200"/>
      <c r="BM45" s="200"/>
      <c r="BN45" s="200"/>
      <c r="BO45" s="200"/>
      <c r="BP45" s="200"/>
      <c r="BQ45" s="200"/>
      <c r="BR45" s="200"/>
      <c r="BS45" s="200"/>
      <c r="BT45" s="200"/>
      <c r="BU45" s="200"/>
      <c r="BV45" s="200"/>
      <c r="BW45" s="200"/>
      <c r="BX45" s="200"/>
      <c r="BY45" s="200"/>
      <c r="BZ45" s="200"/>
    </row>
    <row r="46" spans="1:78" outlineLevel="1">
      <c r="A46" s="214"/>
      <c r="B46" s="214"/>
      <c r="C46" s="214">
        <v>2</v>
      </c>
      <c r="D46" s="228" t="s">
        <v>1358</v>
      </c>
      <c r="E46" s="215"/>
      <c r="F46" s="215" t="s">
        <v>1309</v>
      </c>
      <c r="G46" s="215"/>
      <c r="H46" s="215"/>
      <c r="I46" s="215"/>
      <c r="J46" s="215"/>
      <c r="K46" s="215"/>
      <c r="L46" s="215"/>
      <c r="M46" s="215"/>
      <c r="N46" s="215"/>
      <c r="O46" s="215"/>
      <c r="P46" s="216"/>
      <c r="Q46" s="216"/>
      <c r="R46" s="218"/>
      <c r="S46" s="219">
        <v>0</v>
      </c>
      <c r="T46" s="219">
        <v>0</v>
      </c>
      <c r="U46" s="217">
        <v>0</v>
      </c>
      <c r="V46" s="217">
        <v>0</v>
      </c>
      <c r="W46" s="216"/>
      <c r="X46" s="216"/>
      <c r="Y46" s="220">
        <v>0</v>
      </c>
      <c r="Z46" s="221">
        <v>0</v>
      </c>
      <c r="AA46" s="222"/>
      <c r="AB46" s="218"/>
      <c r="AC46" s="223"/>
      <c r="AD46" s="224">
        <v>0</v>
      </c>
      <c r="AE46" s="225">
        <v>0</v>
      </c>
      <c r="AF46" s="199"/>
      <c r="AG46" s="200"/>
      <c r="AH46" s="200"/>
      <c r="AI46" s="200"/>
      <c r="AJ46" s="200"/>
      <c r="AK46" s="200"/>
      <c r="AL46" s="200"/>
      <c r="AM46" s="200"/>
      <c r="AN46" s="200"/>
      <c r="AO46" s="200"/>
      <c r="AP46" s="200"/>
      <c r="AQ46" s="200"/>
      <c r="AR46" s="200"/>
      <c r="AS46" s="200"/>
      <c r="AT46" s="200"/>
      <c r="AU46" s="200"/>
      <c r="AV46" s="200"/>
      <c r="AW46" s="200"/>
      <c r="AX46" s="200"/>
      <c r="AY46" s="200"/>
      <c r="AZ46" s="200"/>
      <c r="BA46" s="200"/>
      <c r="BB46" s="200"/>
      <c r="BC46" s="200"/>
      <c r="BD46" s="200"/>
      <c r="BE46" s="200"/>
      <c r="BF46" s="200"/>
      <c r="BG46" s="200"/>
      <c r="BH46" s="200"/>
      <c r="BI46" s="200"/>
      <c r="BJ46" s="200"/>
      <c r="BK46" s="200"/>
      <c r="BL46" s="200"/>
      <c r="BM46" s="200"/>
      <c r="BN46" s="200"/>
      <c r="BO46" s="200"/>
      <c r="BP46" s="200"/>
      <c r="BQ46" s="200"/>
      <c r="BR46" s="200"/>
      <c r="BS46" s="200"/>
      <c r="BT46" s="200"/>
      <c r="BU46" s="200"/>
      <c r="BV46" s="200"/>
      <c r="BW46" s="200"/>
      <c r="BX46" s="200"/>
      <c r="BY46" s="200"/>
      <c r="BZ46" s="200"/>
    </row>
    <row r="47" spans="1:78" outlineLevel="1">
      <c r="A47" s="214"/>
      <c r="B47" s="214"/>
      <c r="C47" s="214">
        <v>2</v>
      </c>
      <c r="D47" s="228" t="s">
        <v>1359</v>
      </c>
      <c r="E47" s="215"/>
      <c r="F47" s="215" t="s">
        <v>1310</v>
      </c>
      <c r="G47" s="215"/>
      <c r="H47" s="215"/>
      <c r="I47" s="215"/>
      <c r="J47" s="215"/>
      <c r="K47" s="215"/>
      <c r="L47" s="215"/>
      <c r="M47" s="215"/>
      <c r="N47" s="215"/>
      <c r="O47" s="215"/>
      <c r="P47" s="216"/>
      <c r="Q47" s="216"/>
      <c r="R47" s="218"/>
      <c r="S47" s="219">
        <v>0</v>
      </c>
      <c r="T47" s="219">
        <v>0</v>
      </c>
      <c r="U47" s="217">
        <v>0</v>
      </c>
      <c r="V47" s="217">
        <v>0</v>
      </c>
      <c r="W47" s="216"/>
      <c r="X47" s="216"/>
      <c r="Y47" s="220">
        <v>0</v>
      </c>
      <c r="Z47" s="221">
        <v>0</v>
      </c>
      <c r="AA47" s="222"/>
      <c r="AB47" s="218"/>
      <c r="AC47" s="223"/>
      <c r="AD47" s="224">
        <v>0</v>
      </c>
      <c r="AE47" s="225">
        <v>0</v>
      </c>
      <c r="AF47" s="199"/>
      <c r="AG47" s="200"/>
      <c r="AH47" s="200"/>
      <c r="AI47" s="200"/>
      <c r="AJ47" s="200"/>
      <c r="AK47" s="200"/>
      <c r="AL47" s="200"/>
      <c r="AM47" s="200"/>
      <c r="AN47" s="200"/>
      <c r="AO47" s="200"/>
      <c r="AP47" s="200"/>
      <c r="AQ47" s="200"/>
      <c r="AR47" s="200"/>
      <c r="AS47" s="200"/>
      <c r="AT47" s="200"/>
      <c r="AU47" s="200"/>
      <c r="AV47" s="200"/>
      <c r="AW47" s="200"/>
      <c r="AX47" s="200"/>
      <c r="AY47" s="200"/>
      <c r="AZ47" s="200"/>
      <c r="BA47" s="200"/>
      <c r="BB47" s="200"/>
      <c r="BC47" s="200"/>
      <c r="BD47" s="200"/>
      <c r="BE47" s="200"/>
      <c r="BF47" s="200"/>
      <c r="BG47" s="200"/>
      <c r="BH47" s="200"/>
      <c r="BI47" s="200"/>
      <c r="BJ47" s="200"/>
      <c r="BK47" s="200"/>
      <c r="BL47" s="200"/>
      <c r="BM47" s="200"/>
      <c r="BN47" s="200"/>
      <c r="BO47" s="200"/>
      <c r="BP47" s="200"/>
      <c r="BQ47" s="200"/>
      <c r="BR47" s="200"/>
      <c r="BS47" s="200"/>
      <c r="BT47" s="200"/>
      <c r="BU47" s="200"/>
      <c r="BV47" s="200"/>
      <c r="BW47" s="200"/>
      <c r="BX47" s="200"/>
      <c r="BY47" s="200"/>
      <c r="BZ47" s="200"/>
    </row>
    <row r="48" spans="1:78" outlineLevel="1">
      <c r="A48" s="214"/>
      <c r="B48" s="214"/>
      <c r="C48" s="214">
        <v>2</v>
      </c>
      <c r="D48" s="228" t="s">
        <v>1360</v>
      </c>
      <c r="E48" s="215"/>
      <c r="F48" s="215" t="s">
        <v>1312</v>
      </c>
      <c r="G48" s="215"/>
      <c r="H48" s="215"/>
      <c r="I48" s="215"/>
      <c r="J48" s="215"/>
      <c r="K48" s="215"/>
      <c r="L48" s="215"/>
      <c r="M48" s="215"/>
      <c r="N48" s="215"/>
      <c r="O48" s="215"/>
      <c r="P48" s="216"/>
      <c r="Q48" s="216"/>
      <c r="R48" s="218"/>
      <c r="S48" s="219">
        <v>0</v>
      </c>
      <c r="T48" s="219">
        <v>0</v>
      </c>
      <c r="U48" s="217">
        <v>0</v>
      </c>
      <c r="V48" s="217">
        <v>0</v>
      </c>
      <c r="W48" s="216"/>
      <c r="X48" s="216"/>
      <c r="Y48" s="220">
        <v>0</v>
      </c>
      <c r="Z48" s="221">
        <v>0</v>
      </c>
      <c r="AA48" s="222"/>
      <c r="AB48" s="218"/>
      <c r="AC48" s="223"/>
      <c r="AD48" s="224">
        <v>0</v>
      </c>
      <c r="AE48" s="225">
        <v>0</v>
      </c>
      <c r="AF48" s="199"/>
      <c r="AG48" s="200"/>
      <c r="AH48" s="200"/>
      <c r="AI48" s="200"/>
      <c r="AJ48" s="200"/>
      <c r="AK48" s="200"/>
      <c r="AL48" s="200"/>
      <c r="AM48" s="200"/>
      <c r="AN48" s="200"/>
      <c r="AO48" s="200"/>
      <c r="AP48" s="200"/>
      <c r="AQ48" s="200"/>
      <c r="AR48" s="200"/>
      <c r="AS48" s="200"/>
      <c r="AT48" s="200"/>
      <c r="AU48" s="200"/>
      <c r="AV48" s="200"/>
      <c r="AW48" s="200"/>
      <c r="AX48" s="200"/>
      <c r="AY48" s="200"/>
      <c r="AZ48" s="200"/>
      <c r="BA48" s="200"/>
      <c r="BB48" s="200"/>
      <c r="BC48" s="200"/>
      <c r="BD48" s="200"/>
      <c r="BE48" s="200"/>
      <c r="BF48" s="200"/>
      <c r="BG48" s="200"/>
      <c r="BH48" s="200"/>
      <c r="BI48" s="200"/>
      <c r="BJ48" s="200"/>
      <c r="BK48" s="200"/>
      <c r="BL48" s="200"/>
      <c r="BM48" s="200"/>
      <c r="BN48" s="200"/>
      <c r="BO48" s="200"/>
      <c r="BP48" s="200"/>
      <c r="BQ48" s="200"/>
      <c r="BR48" s="200"/>
      <c r="BS48" s="200"/>
      <c r="BT48" s="200"/>
      <c r="BU48" s="200"/>
      <c r="BV48" s="200"/>
      <c r="BW48" s="200"/>
      <c r="BX48" s="200"/>
      <c r="BY48" s="200"/>
      <c r="BZ48" s="200"/>
    </row>
    <row r="49" spans="1:78" outlineLevel="1">
      <c r="A49" s="214"/>
      <c r="B49" s="214"/>
      <c r="C49" s="214">
        <v>2</v>
      </c>
      <c r="D49" s="228" t="s">
        <v>1371</v>
      </c>
      <c r="E49" s="215"/>
      <c r="F49" s="215" t="s">
        <v>1313</v>
      </c>
      <c r="G49" s="215"/>
      <c r="H49" s="215"/>
      <c r="I49" s="215"/>
      <c r="J49" s="215"/>
      <c r="K49" s="215"/>
      <c r="L49" s="215"/>
      <c r="M49" s="215"/>
      <c r="N49" s="215"/>
      <c r="O49" s="215"/>
      <c r="P49" s="216"/>
      <c r="Q49" s="216"/>
      <c r="R49" s="218"/>
      <c r="S49" s="219">
        <v>0</v>
      </c>
      <c r="T49" s="219">
        <v>0</v>
      </c>
      <c r="U49" s="217">
        <v>0</v>
      </c>
      <c r="V49" s="217">
        <v>0</v>
      </c>
      <c r="W49" s="216"/>
      <c r="X49" s="216"/>
      <c r="Y49" s="220">
        <v>0</v>
      </c>
      <c r="Z49" s="221">
        <v>0</v>
      </c>
      <c r="AA49" s="222"/>
      <c r="AB49" s="218"/>
      <c r="AC49" s="223"/>
      <c r="AD49" s="224">
        <v>0</v>
      </c>
      <c r="AE49" s="225">
        <v>0</v>
      </c>
      <c r="AF49" s="199"/>
      <c r="AG49" s="200"/>
      <c r="AH49" s="200"/>
      <c r="AI49" s="200"/>
      <c r="AJ49" s="200"/>
      <c r="AK49" s="200"/>
      <c r="AL49" s="200"/>
      <c r="AM49" s="200"/>
      <c r="AN49" s="200"/>
      <c r="AO49" s="200"/>
      <c r="AP49" s="200"/>
      <c r="AQ49" s="200"/>
      <c r="AR49" s="200"/>
      <c r="AS49" s="200"/>
      <c r="AT49" s="200"/>
      <c r="AU49" s="200"/>
      <c r="AV49" s="200"/>
      <c r="AW49" s="200"/>
      <c r="AX49" s="200"/>
      <c r="AY49" s="200"/>
      <c r="AZ49" s="200"/>
      <c r="BA49" s="200"/>
      <c r="BB49" s="200"/>
      <c r="BC49" s="200"/>
      <c r="BD49" s="200"/>
      <c r="BE49" s="200"/>
      <c r="BF49" s="200"/>
      <c r="BG49" s="200"/>
      <c r="BH49" s="200"/>
      <c r="BI49" s="200"/>
      <c r="BJ49" s="200"/>
      <c r="BK49" s="200"/>
      <c r="BL49" s="200"/>
      <c r="BM49" s="200"/>
      <c r="BN49" s="200"/>
      <c r="BO49" s="200"/>
      <c r="BP49" s="200"/>
      <c r="BQ49" s="200"/>
      <c r="BR49" s="200"/>
      <c r="BS49" s="200"/>
      <c r="BT49" s="200"/>
      <c r="BU49" s="200"/>
      <c r="BV49" s="200"/>
      <c r="BW49" s="200"/>
      <c r="BX49" s="200"/>
      <c r="BY49" s="200"/>
      <c r="BZ49" s="200"/>
    </row>
    <row r="50" spans="1:78" outlineLevel="1">
      <c r="A50" s="214"/>
      <c r="B50" s="214"/>
      <c r="C50" s="214">
        <v>0</v>
      </c>
      <c r="D50" s="228"/>
      <c r="E50" s="215"/>
      <c r="F50" s="215"/>
      <c r="G50" s="215"/>
      <c r="H50" s="215"/>
      <c r="I50" s="215"/>
      <c r="J50" s="215"/>
      <c r="K50" s="215"/>
      <c r="L50" s="215"/>
      <c r="M50" s="215"/>
      <c r="N50" s="215"/>
      <c r="O50" s="215"/>
      <c r="P50" s="216"/>
      <c r="Q50" s="216"/>
      <c r="R50" s="218"/>
      <c r="S50" s="219"/>
      <c r="T50" s="219"/>
      <c r="U50" s="217">
        <v>0</v>
      </c>
      <c r="V50" s="217">
        <v>0</v>
      </c>
      <c r="W50" s="216"/>
      <c r="X50" s="216"/>
      <c r="Y50" s="220"/>
      <c r="Z50" s="221">
        <v>0</v>
      </c>
      <c r="AA50" s="222"/>
      <c r="AB50" s="218"/>
      <c r="AC50" s="223"/>
      <c r="AD50" s="224"/>
      <c r="AE50" s="225"/>
      <c r="AF50" s="199"/>
      <c r="AG50" s="200"/>
      <c r="AH50" s="200"/>
      <c r="AI50" s="200"/>
      <c r="AJ50" s="200"/>
      <c r="AK50" s="200"/>
      <c r="AL50" s="200"/>
      <c r="AM50" s="200"/>
      <c r="AN50" s="200"/>
      <c r="AO50" s="200"/>
      <c r="AP50" s="200"/>
      <c r="AQ50" s="200"/>
      <c r="AR50" s="200"/>
      <c r="AS50" s="200"/>
      <c r="AT50" s="200"/>
      <c r="AU50" s="200"/>
      <c r="AV50" s="200"/>
      <c r="AW50" s="200"/>
      <c r="AX50" s="200"/>
      <c r="AY50" s="200"/>
      <c r="AZ50" s="200"/>
      <c r="BA50" s="200"/>
      <c r="BB50" s="200"/>
      <c r="BC50" s="200"/>
      <c r="BD50" s="200"/>
      <c r="BE50" s="200"/>
      <c r="BF50" s="200"/>
      <c r="BG50" s="200"/>
      <c r="BH50" s="200"/>
      <c r="BI50" s="200"/>
      <c r="BJ50" s="200"/>
      <c r="BK50" s="200"/>
      <c r="BL50" s="200"/>
      <c r="BM50" s="200"/>
      <c r="BN50" s="200"/>
      <c r="BO50" s="200"/>
      <c r="BP50" s="200"/>
      <c r="BQ50" s="200"/>
      <c r="BR50" s="200"/>
      <c r="BS50" s="200"/>
      <c r="BT50" s="200"/>
      <c r="BU50" s="200"/>
      <c r="BV50" s="200"/>
      <c r="BW50" s="200"/>
      <c r="BX50" s="200"/>
      <c r="BY50" s="200"/>
      <c r="BZ50" s="200"/>
    </row>
    <row r="51" spans="1:78">
      <c r="A51" s="214"/>
      <c r="B51" s="214" t="s">
        <v>1281</v>
      </c>
      <c r="C51" s="214">
        <v>1</v>
      </c>
      <c r="D51" s="228" t="s">
        <v>1206</v>
      </c>
      <c r="E51" s="215" t="s">
        <v>1332</v>
      </c>
      <c r="F51" s="215"/>
      <c r="G51" s="215"/>
      <c r="H51" s="215"/>
      <c r="I51" s="215"/>
      <c r="J51" s="215"/>
      <c r="K51" s="215"/>
      <c r="L51" s="215"/>
      <c r="M51" s="215"/>
      <c r="N51" s="215"/>
      <c r="O51" s="215"/>
      <c r="P51" s="216"/>
      <c r="Q51" s="216"/>
      <c r="R51" s="218"/>
      <c r="S51" s="219">
        <v>0</v>
      </c>
      <c r="T51" s="219">
        <v>0</v>
      </c>
      <c r="U51" s="217">
        <v>0</v>
      </c>
      <c r="V51" s="217">
        <v>0</v>
      </c>
      <c r="W51" s="216"/>
      <c r="X51" s="216"/>
      <c r="Y51" s="220">
        <v>0</v>
      </c>
      <c r="Z51" s="221">
        <v>0</v>
      </c>
      <c r="AA51" s="222"/>
      <c r="AB51" s="218"/>
      <c r="AC51" s="223"/>
      <c r="AD51" s="224">
        <v>0</v>
      </c>
      <c r="AE51" s="225">
        <v>0</v>
      </c>
      <c r="AF51" s="199"/>
      <c r="AG51" s="200"/>
      <c r="AH51" s="200"/>
      <c r="AI51" s="200"/>
      <c r="AJ51" s="200"/>
      <c r="AK51" s="200"/>
      <c r="AL51" s="200"/>
      <c r="AM51" s="200"/>
      <c r="AN51" s="200"/>
      <c r="AO51" s="200"/>
      <c r="AP51" s="200"/>
      <c r="AQ51" s="200"/>
      <c r="AR51" s="200"/>
      <c r="AS51" s="200"/>
      <c r="AT51" s="200"/>
      <c r="AU51" s="200"/>
      <c r="AV51" s="200"/>
      <c r="AW51" s="200"/>
      <c r="AX51" s="200"/>
      <c r="AY51" s="200"/>
      <c r="AZ51" s="200"/>
      <c r="BA51" s="200"/>
      <c r="BB51" s="200"/>
      <c r="BC51" s="200"/>
      <c r="BD51" s="200"/>
      <c r="BE51" s="200"/>
      <c r="BF51" s="200"/>
      <c r="BG51" s="200"/>
      <c r="BH51" s="200"/>
      <c r="BI51" s="200"/>
      <c r="BJ51" s="200"/>
      <c r="BK51" s="200"/>
      <c r="BL51" s="200"/>
      <c r="BM51" s="200"/>
      <c r="BN51" s="200"/>
      <c r="BO51" s="200"/>
      <c r="BP51" s="200"/>
      <c r="BQ51" s="200"/>
      <c r="BR51" s="200"/>
      <c r="BS51" s="200"/>
      <c r="BT51" s="200"/>
      <c r="BU51" s="200"/>
      <c r="BV51" s="200"/>
      <c r="BW51" s="200"/>
      <c r="BX51" s="200"/>
      <c r="BY51" s="200"/>
      <c r="BZ51" s="200"/>
    </row>
    <row r="52" spans="1:78" outlineLevel="1">
      <c r="A52" s="214"/>
      <c r="B52" s="214"/>
      <c r="C52" s="214">
        <v>2</v>
      </c>
      <c r="D52" s="228" t="s">
        <v>1361</v>
      </c>
      <c r="E52" s="215"/>
      <c r="F52" s="215" t="s">
        <v>1309</v>
      </c>
      <c r="G52" s="215"/>
      <c r="H52" s="215"/>
      <c r="I52" s="215"/>
      <c r="J52" s="215"/>
      <c r="K52" s="215"/>
      <c r="L52" s="215"/>
      <c r="M52" s="215"/>
      <c r="N52" s="215"/>
      <c r="O52" s="215"/>
      <c r="P52" s="216"/>
      <c r="Q52" s="216"/>
      <c r="R52" s="218"/>
      <c r="S52" s="219">
        <v>0</v>
      </c>
      <c r="T52" s="219">
        <v>0</v>
      </c>
      <c r="U52" s="217">
        <v>0</v>
      </c>
      <c r="V52" s="217">
        <v>0</v>
      </c>
      <c r="W52" s="216"/>
      <c r="X52" s="216"/>
      <c r="Y52" s="220">
        <v>0</v>
      </c>
      <c r="Z52" s="221">
        <v>0</v>
      </c>
      <c r="AA52" s="222"/>
      <c r="AB52" s="218"/>
      <c r="AC52" s="223"/>
      <c r="AD52" s="224">
        <v>0</v>
      </c>
      <c r="AE52" s="225">
        <v>0</v>
      </c>
      <c r="AF52" s="199"/>
      <c r="AG52" s="200"/>
      <c r="AH52" s="200"/>
      <c r="AI52" s="200"/>
      <c r="AJ52" s="200"/>
      <c r="AK52" s="200"/>
      <c r="AL52" s="200"/>
      <c r="AM52" s="200"/>
      <c r="AN52" s="200"/>
      <c r="AO52" s="200"/>
      <c r="AP52" s="200"/>
      <c r="AQ52" s="200"/>
      <c r="AR52" s="200"/>
      <c r="AS52" s="200"/>
      <c r="AT52" s="200"/>
      <c r="AU52" s="200"/>
      <c r="AV52" s="200"/>
      <c r="AW52" s="200"/>
      <c r="AX52" s="200"/>
      <c r="AY52" s="200"/>
      <c r="AZ52" s="200"/>
      <c r="BA52" s="200"/>
      <c r="BB52" s="200"/>
      <c r="BC52" s="200"/>
      <c r="BD52" s="200"/>
      <c r="BE52" s="200"/>
      <c r="BF52" s="200"/>
      <c r="BG52" s="200"/>
      <c r="BH52" s="200"/>
      <c r="BI52" s="200"/>
      <c r="BJ52" s="200"/>
      <c r="BK52" s="200"/>
      <c r="BL52" s="200"/>
      <c r="BM52" s="200"/>
      <c r="BN52" s="200"/>
      <c r="BO52" s="200"/>
      <c r="BP52" s="200"/>
      <c r="BQ52" s="200"/>
      <c r="BR52" s="200"/>
      <c r="BS52" s="200"/>
      <c r="BT52" s="200"/>
      <c r="BU52" s="200"/>
      <c r="BV52" s="200"/>
      <c r="BW52" s="200"/>
      <c r="BX52" s="200"/>
      <c r="BY52" s="200"/>
      <c r="BZ52" s="200"/>
    </row>
    <row r="53" spans="1:78" outlineLevel="1">
      <c r="A53" s="214"/>
      <c r="B53" s="214"/>
      <c r="C53" s="214">
        <v>2</v>
      </c>
      <c r="D53" s="228" t="s">
        <v>1362</v>
      </c>
      <c r="E53" s="215"/>
      <c r="F53" s="215" t="s">
        <v>1310</v>
      </c>
      <c r="G53" s="215"/>
      <c r="H53" s="215"/>
      <c r="I53" s="215"/>
      <c r="J53" s="215"/>
      <c r="K53" s="215"/>
      <c r="L53" s="215"/>
      <c r="M53" s="215"/>
      <c r="N53" s="215"/>
      <c r="O53" s="215"/>
      <c r="P53" s="216"/>
      <c r="Q53" s="216"/>
      <c r="R53" s="218"/>
      <c r="S53" s="219">
        <v>0</v>
      </c>
      <c r="T53" s="219">
        <v>0</v>
      </c>
      <c r="U53" s="217">
        <v>0</v>
      </c>
      <c r="V53" s="217">
        <v>0</v>
      </c>
      <c r="W53" s="216"/>
      <c r="X53" s="216"/>
      <c r="Y53" s="220">
        <v>0</v>
      </c>
      <c r="Z53" s="221">
        <v>0</v>
      </c>
      <c r="AA53" s="222"/>
      <c r="AB53" s="218"/>
      <c r="AC53" s="223"/>
      <c r="AD53" s="224">
        <v>0</v>
      </c>
      <c r="AE53" s="225">
        <v>0</v>
      </c>
      <c r="AF53" s="199"/>
      <c r="AG53" s="200"/>
      <c r="AH53" s="200"/>
      <c r="AI53" s="200"/>
      <c r="AJ53" s="200"/>
      <c r="AK53" s="200"/>
      <c r="AL53" s="200"/>
      <c r="AM53" s="200"/>
      <c r="AN53" s="200"/>
      <c r="AO53" s="200"/>
      <c r="AP53" s="200"/>
      <c r="AQ53" s="200"/>
      <c r="AR53" s="200"/>
      <c r="AS53" s="200"/>
      <c r="AT53" s="200"/>
      <c r="AU53" s="200"/>
      <c r="AV53" s="200"/>
      <c r="AW53" s="200"/>
      <c r="AX53" s="200"/>
      <c r="AY53" s="200"/>
      <c r="AZ53" s="200"/>
      <c r="BA53" s="200"/>
      <c r="BB53" s="200"/>
      <c r="BC53" s="200"/>
      <c r="BD53" s="200"/>
      <c r="BE53" s="200"/>
      <c r="BF53" s="200"/>
      <c r="BG53" s="200"/>
      <c r="BH53" s="200"/>
      <c r="BI53" s="200"/>
      <c r="BJ53" s="200"/>
      <c r="BK53" s="200"/>
      <c r="BL53" s="200"/>
      <c r="BM53" s="200"/>
      <c r="BN53" s="200"/>
      <c r="BO53" s="200"/>
      <c r="BP53" s="200"/>
      <c r="BQ53" s="200"/>
      <c r="BR53" s="200"/>
      <c r="BS53" s="200"/>
      <c r="BT53" s="200"/>
      <c r="BU53" s="200"/>
      <c r="BV53" s="200"/>
      <c r="BW53" s="200"/>
      <c r="BX53" s="200"/>
      <c r="BY53" s="200"/>
      <c r="BZ53" s="200"/>
    </row>
    <row r="54" spans="1:78" outlineLevel="1">
      <c r="A54" s="214"/>
      <c r="B54" s="214"/>
      <c r="C54" s="214">
        <v>2</v>
      </c>
      <c r="D54" s="228" t="s">
        <v>1363</v>
      </c>
      <c r="E54" s="215"/>
      <c r="F54" s="215" t="s">
        <v>1312</v>
      </c>
      <c r="G54" s="215"/>
      <c r="H54" s="215"/>
      <c r="I54" s="215"/>
      <c r="J54" s="215"/>
      <c r="K54" s="215"/>
      <c r="L54" s="215"/>
      <c r="M54" s="215"/>
      <c r="N54" s="215"/>
      <c r="O54" s="215"/>
      <c r="P54" s="216"/>
      <c r="Q54" s="216"/>
      <c r="R54" s="218"/>
      <c r="S54" s="219">
        <v>0</v>
      </c>
      <c r="T54" s="219">
        <v>0</v>
      </c>
      <c r="U54" s="217">
        <v>0</v>
      </c>
      <c r="V54" s="217">
        <v>0</v>
      </c>
      <c r="W54" s="216"/>
      <c r="X54" s="216"/>
      <c r="Y54" s="220">
        <v>0</v>
      </c>
      <c r="Z54" s="221">
        <v>0</v>
      </c>
      <c r="AA54" s="222"/>
      <c r="AB54" s="218"/>
      <c r="AC54" s="223"/>
      <c r="AD54" s="224">
        <v>0</v>
      </c>
      <c r="AE54" s="225">
        <v>0</v>
      </c>
      <c r="AF54" s="199"/>
      <c r="AG54" s="200"/>
      <c r="AH54" s="200"/>
      <c r="AI54" s="200"/>
      <c r="AJ54" s="200"/>
      <c r="AK54" s="200"/>
      <c r="AL54" s="200"/>
      <c r="AM54" s="200"/>
      <c r="AN54" s="200"/>
      <c r="AO54" s="200"/>
      <c r="AP54" s="200"/>
      <c r="AQ54" s="200"/>
      <c r="AR54" s="200"/>
      <c r="AS54" s="200"/>
      <c r="AT54" s="200"/>
      <c r="AU54" s="200"/>
      <c r="AV54" s="200"/>
      <c r="AW54" s="200"/>
      <c r="AX54" s="200"/>
      <c r="AY54" s="200"/>
      <c r="AZ54" s="200"/>
      <c r="BA54" s="200"/>
      <c r="BB54" s="200"/>
      <c r="BC54" s="200"/>
      <c r="BD54" s="200"/>
      <c r="BE54" s="200"/>
      <c r="BF54" s="200"/>
      <c r="BG54" s="200"/>
      <c r="BH54" s="200"/>
      <c r="BI54" s="200"/>
      <c r="BJ54" s="200"/>
      <c r="BK54" s="200"/>
      <c r="BL54" s="200"/>
      <c r="BM54" s="200"/>
      <c r="BN54" s="200"/>
      <c r="BO54" s="200"/>
      <c r="BP54" s="200"/>
      <c r="BQ54" s="200"/>
      <c r="BR54" s="200"/>
      <c r="BS54" s="200"/>
      <c r="BT54" s="200"/>
      <c r="BU54" s="200"/>
      <c r="BV54" s="200"/>
      <c r="BW54" s="200"/>
      <c r="BX54" s="200"/>
      <c r="BY54" s="200"/>
      <c r="BZ54" s="200"/>
    </row>
    <row r="55" spans="1:78" outlineLevel="1">
      <c r="A55" s="214"/>
      <c r="B55" s="214"/>
      <c r="C55" s="214">
        <v>2</v>
      </c>
      <c r="D55" s="228" t="s">
        <v>1373</v>
      </c>
      <c r="E55" s="215"/>
      <c r="F55" s="215" t="s">
        <v>1313</v>
      </c>
      <c r="G55" s="215"/>
      <c r="H55" s="215"/>
      <c r="I55" s="215"/>
      <c r="J55" s="215"/>
      <c r="K55" s="215"/>
      <c r="L55" s="215"/>
      <c r="M55" s="215"/>
      <c r="N55" s="215"/>
      <c r="O55" s="215"/>
      <c r="P55" s="216"/>
      <c r="Q55" s="216"/>
      <c r="R55" s="218"/>
      <c r="S55" s="219">
        <v>0</v>
      </c>
      <c r="T55" s="219">
        <v>0</v>
      </c>
      <c r="U55" s="217">
        <v>0</v>
      </c>
      <c r="V55" s="217">
        <v>0</v>
      </c>
      <c r="W55" s="216"/>
      <c r="X55" s="216"/>
      <c r="Y55" s="220">
        <v>0</v>
      </c>
      <c r="Z55" s="221">
        <v>0</v>
      </c>
      <c r="AA55" s="222"/>
      <c r="AB55" s="218"/>
      <c r="AC55" s="223"/>
      <c r="AD55" s="224">
        <v>0</v>
      </c>
      <c r="AE55" s="225">
        <v>0</v>
      </c>
      <c r="AF55" s="199"/>
      <c r="AG55" s="200"/>
      <c r="AH55" s="200"/>
      <c r="AI55" s="200"/>
      <c r="AJ55" s="200"/>
      <c r="AK55" s="200"/>
      <c r="AL55" s="200"/>
      <c r="AM55" s="200"/>
      <c r="AN55" s="200"/>
      <c r="AO55" s="200"/>
      <c r="AP55" s="200"/>
      <c r="AQ55" s="200"/>
      <c r="AR55" s="200"/>
      <c r="AS55" s="200"/>
      <c r="AT55" s="200"/>
      <c r="AU55" s="200"/>
      <c r="AV55" s="200"/>
      <c r="AW55" s="200"/>
      <c r="AX55" s="200"/>
      <c r="AY55" s="200"/>
      <c r="AZ55" s="200"/>
      <c r="BA55" s="200"/>
      <c r="BB55" s="200"/>
      <c r="BC55" s="200"/>
      <c r="BD55" s="200"/>
      <c r="BE55" s="200"/>
      <c r="BF55" s="200"/>
      <c r="BG55" s="200"/>
      <c r="BH55" s="200"/>
      <c r="BI55" s="200"/>
      <c r="BJ55" s="200"/>
      <c r="BK55" s="200"/>
      <c r="BL55" s="200"/>
      <c r="BM55" s="200"/>
      <c r="BN55" s="200"/>
      <c r="BO55" s="200"/>
      <c r="BP55" s="200"/>
      <c r="BQ55" s="200"/>
      <c r="BR55" s="200"/>
      <c r="BS55" s="200"/>
      <c r="BT55" s="200"/>
      <c r="BU55" s="200"/>
      <c r="BV55" s="200"/>
      <c r="BW55" s="200"/>
      <c r="BX55" s="200"/>
      <c r="BY55" s="200"/>
      <c r="BZ55" s="200"/>
    </row>
    <row r="56" spans="1:78" outlineLevel="1">
      <c r="A56" s="214"/>
      <c r="B56" s="214"/>
      <c r="C56" s="214">
        <v>0</v>
      </c>
      <c r="D56" s="228"/>
      <c r="E56" s="215"/>
      <c r="F56" s="215"/>
      <c r="G56" s="215"/>
      <c r="H56" s="215"/>
      <c r="I56" s="215"/>
      <c r="J56" s="215"/>
      <c r="K56" s="215"/>
      <c r="L56" s="215"/>
      <c r="M56" s="215"/>
      <c r="N56" s="215"/>
      <c r="O56" s="215"/>
      <c r="P56" s="216"/>
      <c r="Q56" s="216"/>
      <c r="R56" s="218"/>
      <c r="S56" s="219"/>
      <c r="T56" s="219"/>
      <c r="U56" s="217">
        <v>0</v>
      </c>
      <c r="V56" s="217">
        <v>0</v>
      </c>
      <c r="W56" s="216"/>
      <c r="X56" s="216"/>
      <c r="Y56" s="220"/>
      <c r="Z56" s="221">
        <v>0</v>
      </c>
      <c r="AA56" s="222"/>
      <c r="AB56" s="218"/>
      <c r="AC56" s="223"/>
      <c r="AD56" s="224"/>
      <c r="AE56" s="225"/>
      <c r="AF56" s="199"/>
      <c r="AG56" s="200"/>
      <c r="AH56" s="200"/>
      <c r="AI56" s="200"/>
      <c r="AJ56" s="200"/>
      <c r="AK56" s="200"/>
      <c r="AL56" s="200"/>
      <c r="AM56" s="200"/>
      <c r="AN56" s="200"/>
      <c r="AO56" s="200"/>
      <c r="AP56" s="200"/>
      <c r="AQ56" s="200"/>
      <c r="AR56" s="200"/>
      <c r="AS56" s="200"/>
      <c r="AT56" s="200"/>
      <c r="AU56" s="200"/>
      <c r="AV56" s="200"/>
      <c r="AW56" s="200"/>
      <c r="AX56" s="200"/>
      <c r="AY56" s="200"/>
      <c r="AZ56" s="200"/>
      <c r="BA56" s="200"/>
      <c r="BB56" s="200"/>
      <c r="BC56" s="200"/>
      <c r="BD56" s="200"/>
      <c r="BE56" s="200"/>
      <c r="BF56" s="200"/>
      <c r="BG56" s="200"/>
      <c r="BH56" s="200"/>
      <c r="BI56" s="200"/>
      <c r="BJ56" s="200"/>
      <c r="BK56" s="200"/>
      <c r="BL56" s="200"/>
      <c r="BM56" s="200"/>
      <c r="BN56" s="200"/>
      <c r="BO56" s="200"/>
      <c r="BP56" s="200"/>
      <c r="BQ56" s="200"/>
      <c r="BR56" s="200"/>
      <c r="BS56" s="200"/>
      <c r="BT56" s="200"/>
      <c r="BU56" s="200"/>
      <c r="BV56" s="200"/>
      <c r="BW56" s="200"/>
      <c r="BX56" s="200"/>
      <c r="BY56" s="200"/>
      <c r="BZ56" s="200"/>
    </row>
    <row r="57" spans="1:78">
      <c r="A57" s="214"/>
      <c r="B57" s="214" t="s">
        <v>1281</v>
      </c>
      <c r="C57" s="214">
        <v>1</v>
      </c>
      <c r="D57" s="228" t="s">
        <v>1207</v>
      </c>
      <c r="E57" s="215" t="s">
        <v>1333</v>
      </c>
      <c r="F57" s="215"/>
      <c r="G57" s="215"/>
      <c r="H57" s="215"/>
      <c r="I57" s="215"/>
      <c r="J57" s="215"/>
      <c r="K57" s="215"/>
      <c r="L57" s="215"/>
      <c r="M57" s="215"/>
      <c r="N57" s="215"/>
      <c r="O57" s="215"/>
      <c r="P57" s="216"/>
      <c r="Q57" s="216"/>
      <c r="R57" s="218"/>
      <c r="S57" s="219">
        <v>0</v>
      </c>
      <c r="T57" s="219">
        <v>0</v>
      </c>
      <c r="U57" s="217">
        <v>0</v>
      </c>
      <c r="V57" s="217">
        <v>0</v>
      </c>
      <c r="W57" s="216"/>
      <c r="X57" s="216"/>
      <c r="Y57" s="220">
        <v>0</v>
      </c>
      <c r="Z57" s="221">
        <v>0</v>
      </c>
      <c r="AA57" s="222"/>
      <c r="AB57" s="218"/>
      <c r="AC57" s="223"/>
      <c r="AD57" s="224">
        <v>0</v>
      </c>
      <c r="AE57" s="225">
        <v>0</v>
      </c>
      <c r="AF57" s="199"/>
      <c r="AG57" s="200"/>
      <c r="AH57" s="200"/>
      <c r="AI57" s="200"/>
      <c r="AJ57" s="200"/>
      <c r="AK57" s="200"/>
      <c r="AL57" s="200"/>
      <c r="AM57" s="200"/>
      <c r="AN57" s="200"/>
      <c r="AO57" s="200"/>
      <c r="AP57" s="200"/>
      <c r="AQ57" s="200"/>
      <c r="AR57" s="200"/>
      <c r="AS57" s="200"/>
      <c r="AT57" s="200"/>
      <c r="AU57" s="200"/>
      <c r="AV57" s="200"/>
      <c r="AW57" s="200"/>
      <c r="AX57" s="200"/>
      <c r="AY57" s="200"/>
      <c r="AZ57" s="200"/>
      <c r="BA57" s="200"/>
      <c r="BB57" s="200"/>
      <c r="BC57" s="200"/>
      <c r="BD57" s="200"/>
      <c r="BE57" s="200"/>
      <c r="BF57" s="200"/>
      <c r="BG57" s="200"/>
      <c r="BH57" s="200"/>
      <c r="BI57" s="200"/>
      <c r="BJ57" s="200"/>
      <c r="BK57" s="200"/>
      <c r="BL57" s="200"/>
      <c r="BM57" s="200"/>
      <c r="BN57" s="200"/>
      <c r="BO57" s="200"/>
      <c r="BP57" s="200"/>
      <c r="BQ57" s="200"/>
      <c r="BR57" s="200"/>
      <c r="BS57" s="200"/>
      <c r="BT57" s="200"/>
      <c r="BU57" s="200"/>
      <c r="BV57" s="200"/>
      <c r="BW57" s="200"/>
      <c r="BX57" s="200"/>
      <c r="BY57" s="200"/>
      <c r="BZ57" s="200"/>
    </row>
    <row r="58" spans="1:78" outlineLevel="1">
      <c r="A58" s="214"/>
      <c r="B58" s="214"/>
      <c r="C58" s="214">
        <v>2</v>
      </c>
      <c r="D58" s="228" t="s">
        <v>1364</v>
      </c>
      <c r="E58" s="215"/>
      <c r="F58" s="215" t="s">
        <v>1308</v>
      </c>
      <c r="G58" s="215"/>
      <c r="H58" s="215"/>
      <c r="I58" s="215"/>
      <c r="J58" s="215"/>
      <c r="K58" s="215"/>
      <c r="L58" s="215"/>
      <c r="M58" s="215"/>
      <c r="N58" s="215"/>
      <c r="O58" s="215"/>
      <c r="P58" s="216"/>
      <c r="Q58" s="216"/>
      <c r="R58" s="218"/>
      <c r="S58" s="219">
        <v>0</v>
      </c>
      <c r="T58" s="219">
        <v>0</v>
      </c>
      <c r="U58" s="217">
        <v>0</v>
      </c>
      <c r="V58" s="217">
        <v>0</v>
      </c>
      <c r="W58" s="216"/>
      <c r="X58" s="216"/>
      <c r="Y58" s="220">
        <v>0</v>
      </c>
      <c r="Z58" s="221">
        <v>0</v>
      </c>
      <c r="AA58" s="222"/>
      <c r="AB58" s="218"/>
      <c r="AC58" s="223"/>
      <c r="AD58" s="224">
        <v>0</v>
      </c>
      <c r="AE58" s="225">
        <v>0</v>
      </c>
      <c r="AF58" s="199"/>
      <c r="AG58" s="200"/>
      <c r="AH58" s="200"/>
      <c r="AI58" s="200"/>
      <c r="AJ58" s="200"/>
      <c r="AK58" s="200"/>
      <c r="AL58" s="200"/>
      <c r="AM58" s="200"/>
      <c r="AN58" s="200"/>
      <c r="AO58" s="200"/>
      <c r="AP58" s="200"/>
      <c r="AQ58" s="200"/>
      <c r="AR58" s="200"/>
      <c r="AS58" s="200"/>
      <c r="AT58" s="200"/>
      <c r="AU58" s="200"/>
      <c r="AV58" s="200"/>
      <c r="AW58" s="200"/>
      <c r="AX58" s="200"/>
      <c r="AY58" s="200"/>
      <c r="AZ58" s="200"/>
      <c r="BA58" s="200"/>
      <c r="BB58" s="200"/>
      <c r="BC58" s="200"/>
      <c r="BD58" s="200"/>
      <c r="BE58" s="200"/>
      <c r="BF58" s="200"/>
      <c r="BG58" s="200"/>
      <c r="BH58" s="200"/>
      <c r="BI58" s="200"/>
      <c r="BJ58" s="200"/>
      <c r="BK58" s="200"/>
      <c r="BL58" s="200"/>
      <c r="BM58" s="200"/>
      <c r="BN58" s="200"/>
      <c r="BO58" s="200"/>
      <c r="BP58" s="200"/>
      <c r="BQ58" s="200"/>
      <c r="BR58" s="200"/>
      <c r="BS58" s="200"/>
      <c r="BT58" s="200"/>
      <c r="BU58" s="200"/>
      <c r="BV58" s="200"/>
      <c r="BW58" s="200"/>
      <c r="BX58" s="200"/>
      <c r="BY58" s="200"/>
      <c r="BZ58" s="200"/>
    </row>
    <row r="59" spans="1:78" outlineLevel="1">
      <c r="A59" s="214"/>
      <c r="B59" s="214"/>
      <c r="C59" s="214">
        <v>2</v>
      </c>
      <c r="D59" s="228" t="s">
        <v>1365</v>
      </c>
      <c r="E59" s="215"/>
      <c r="F59" s="215" t="s">
        <v>1312</v>
      </c>
      <c r="G59" s="215"/>
      <c r="H59" s="215"/>
      <c r="I59" s="215"/>
      <c r="J59" s="215"/>
      <c r="K59" s="215"/>
      <c r="L59" s="215"/>
      <c r="M59" s="215"/>
      <c r="N59" s="215"/>
      <c r="O59" s="215"/>
      <c r="P59" s="216"/>
      <c r="Q59" s="216"/>
      <c r="R59" s="218"/>
      <c r="S59" s="219">
        <v>0</v>
      </c>
      <c r="T59" s="219">
        <v>0</v>
      </c>
      <c r="U59" s="217">
        <v>0</v>
      </c>
      <c r="V59" s="217">
        <v>0</v>
      </c>
      <c r="W59" s="216"/>
      <c r="X59" s="216"/>
      <c r="Y59" s="220">
        <v>0</v>
      </c>
      <c r="Z59" s="221">
        <v>0</v>
      </c>
      <c r="AA59" s="222"/>
      <c r="AB59" s="218"/>
      <c r="AC59" s="223"/>
      <c r="AD59" s="224">
        <v>0</v>
      </c>
      <c r="AE59" s="225">
        <v>0</v>
      </c>
      <c r="AF59" s="199"/>
      <c r="AG59" s="200"/>
      <c r="AH59" s="200"/>
      <c r="AI59" s="200"/>
      <c r="AJ59" s="200"/>
      <c r="AK59" s="200"/>
      <c r="AL59" s="200"/>
      <c r="AM59" s="200"/>
      <c r="AN59" s="200"/>
      <c r="AO59" s="200"/>
      <c r="AP59" s="200"/>
      <c r="AQ59" s="200"/>
      <c r="AR59" s="200"/>
      <c r="AS59" s="200"/>
      <c r="AT59" s="200"/>
      <c r="AU59" s="200"/>
      <c r="AV59" s="200"/>
      <c r="AW59" s="200"/>
      <c r="AX59" s="200"/>
      <c r="AY59" s="200"/>
      <c r="AZ59" s="200"/>
      <c r="BA59" s="200"/>
      <c r="BB59" s="200"/>
      <c r="BC59" s="200"/>
      <c r="BD59" s="200"/>
      <c r="BE59" s="200"/>
      <c r="BF59" s="200"/>
      <c r="BG59" s="200"/>
      <c r="BH59" s="200"/>
      <c r="BI59" s="200"/>
      <c r="BJ59" s="200"/>
      <c r="BK59" s="200"/>
      <c r="BL59" s="200"/>
      <c r="BM59" s="200"/>
      <c r="BN59" s="200"/>
      <c r="BO59" s="200"/>
      <c r="BP59" s="200"/>
      <c r="BQ59" s="200"/>
      <c r="BR59" s="200"/>
      <c r="BS59" s="200"/>
      <c r="BT59" s="200"/>
      <c r="BU59" s="200"/>
      <c r="BV59" s="200"/>
      <c r="BW59" s="200"/>
      <c r="BX59" s="200"/>
      <c r="BY59" s="200"/>
      <c r="BZ59" s="200"/>
    </row>
    <row r="60" spans="1:78" outlineLevel="1">
      <c r="A60" s="214"/>
      <c r="B60" s="214"/>
      <c r="C60" s="214">
        <v>2</v>
      </c>
      <c r="D60" s="228" t="s">
        <v>1366</v>
      </c>
      <c r="E60" s="215"/>
      <c r="F60" s="215" t="s">
        <v>1313</v>
      </c>
      <c r="G60" s="215"/>
      <c r="H60" s="215"/>
      <c r="I60" s="215"/>
      <c r="J60" s="215"/>
      <c r="K60" s="215"/>
      <c r="L60" s="215"/>
      <c r="M60" s="215"/>
      <c r="N60" s="215"/>
      <c r="O60" s="215"/>
      <c r="P60" s="216"/>
      <c r="Q60" s="216"/>
      <c r="R60" s="218"/>
      <c r="S60" s="219">
        <v>0</v>
      </c>
      <c r="T60" s="219">
        <v>0</v>
      </c>
      <c r="U60" s="217">
        <v>0</v>
      </c>
      <c r="V60" s="217">
        <v>0</v>
      </c>
      <c r="W60" s="216"/>
      <c r="X60" s="216"/>
      <c r="Y60" s="220">
        <v>0</v>
      </c>
      <c r="Z60" s="221">
        <v>0</v>
      </c>
      <c r="AA60" s="222"/>
      <c r="AB60" s="218"/>
      <c r="AC60" s="223"/>
      <c r="AD60" s="224">
        <v>0</v>
      </c>
      <c r="AE60" s="225">
        <v>0</v>
      </c>
      <c r="AF60" s="199"/>
      <c r="AG60" s="200"/>
      <c r="AH60" s="200"/>
      <c r="AI60" s="200"/>
      <c r="AJ60" s="200"/>
      <c r="AK60" s="200"/>
      <c r="AL60" s="200"/>
      <c r="AM60" s="200"/>
      <c r="AN60" s="200"/>
      <c r="AO60" s="200"/>
      <c r="AP60" s="200"/>
      <c r="AQ60" s="200"/>
      <c r="AR60" s="200"/>
      <c r="AS60" s="200"/>
      <c r="AT60" s="200"/>
      <c r="AU60" s="200"/>
      <c r="AV60" s="200"/>
      <c r="AW60" s="200"/>
      <c r="AX60" s="200"/>
      <c r="AY60" s="200"/>
      <c r="AZ60" s="200"/>
      <c r="BA60" s="200"/>
      <c r="BB60" s="200"/>
      <c r="BC60" s="200"/>
      <c r="BD60" s="200"/>
      <c r="BE60" s="200"/>
      <c r="BF60" s="200"/>
      <c r="BG60" s="200"/>
      <c r="BH60" s="200"/>
      <c r="BI60" s="200"/>
      <c r="BJ60" s="200"/>
      <c r="BK60" s="200"/>
      <c r="BL60" s="200"/>
      <c r="BM60" s="200"/>
      <c r="BN60" s="200"/>
      <c r="BO60" s="200"/>
      <c r="BP60" s="200"/>
      <c r="BQ60" s="200"/>
      <c r="BR60" s="200"/>
      <c r="BS60" s="200"/>
      <c r="BT60" s="200"/>
      <c r="BU60" s="200"/>
      <c r="BV60" s="200"/>
      <c r="BW60" s="200"/>
      <c r="BX60" s="200"/>
      <c r="BY60" s="200"/>
      <c r="BZ60" s="200"/>
    </row>
    <row r="61" spans="1:78" outlineLevel="1">
      <c r="A61" s="214"/>
      <c r="B61" s="214"/>
      <c r="C61" s="214">
        <v>0</v>
      </c>
      <c r="D61" s="228"/>
      <c r="E61" s="215"/>
      <c r="F61" s="215"/>
      <c r="G61" s="215"/>
      <c r="H61" s="215"/>
      <c r="I61" s="215"/>
      <c r="J61" s="215"/>
      <c r="K61" s="215"/>
      <c r="L61" s="215"/>
      <c r="M61" s="215"/>
      <c r="N61" s="215"/>
      <c r="O61" s="215"/>
      <c r="P61" s="216"/>
      <c r="Q61" s="216"/>
      <c r="R61" s="218"/>
      <c r="S61" s="219"/>
      <c r="T61" s="219"/>
      <c r="U61" s="217">
        <v>0</v>
      </c>
      <c r="V61" s="217">
        <v>0</v>
      </c>
      <c r="W61" s="216"/>
      <c r="X61" s="216"/>
      <c r="Y61" s="220"/>
      <c r="Z61" s="221">
        <v>0</v>
      </c>
      <c r="AA61" s="222"/>
      <c r="AB61" s="218"/>
      <c r="AC61" s="223"/>
      <c r="AD61" s="224"/>
      <c r="AE61" s="225"/>
      <c r="AF61" s="199"/>
      <c r="AG61" s="200"/>
      <c r="AH61" s="200"/>
      <c r="AI61" s="200"/>
      <c r="AJ61" s="200"/>
      <c r="AK61" s="200"/>
      <c r="AL61" s="200"/>
      <c r="AM61" s="200"/>
      <c r="AN61" s="200"/>
      <c r="AO61" s="200"/>
      <c r="AP61" s="200"/>
      <c r="AQ61" s="200"/>
      <c r="AR61" s="200"/>
      <c r="AS61" s="200"/>
      <c r="AT61" s="200"/>
      <c r="AU61" s="200"/>
      <c r="AV61" s="200"/>
      <c r="AW61" s="200"/>
      <c r="AX61" s="200"/>
      <c r="AY61" s="200"/>
      <c r="AZ61" s="200"/>
      <c r="BA61" s="200"/>
      <c r="BB61" s="200"/>
      <c r="BC61" s="200"/>
      <c r="BD61" s="200"/>
      <c r="BE61" s="200"/>
      <c r="BF61" s="200"/>
      <c r="BG61" s="200"/>
      <c r="BH61" s="200"/>
      <c r="BI61" s="200"/>
      <c r="BJ61" s="200"/>
      <c r="BK61" s="200"/>
      <c r="BL61" s="200"/>
      <c r="BM61" s="200"/>
      <c r="BN61" s="200"/>
      <c r="BO61" s="200"/>
      <c r="BP61" s="200"/>
      <c r="BQ61" s="200"/>
      <c r="BR61" s="200"/>
      <c r="BS61" s="200"/>
      <c r="BT61" s="200"/>
      <c r="BU61" s="200"/>
      <c r="BV61" s="200"/>
      <c r="BW61" s="200"/>
      <c r="BX61" s="200"/>
      <c r="BY61" s="200"/>
      <c r="BZ61" s="200"/>
    </row>
    <row r="62" spans="1:78">
      <c r="A62" s="214"/>
      <c r="B62" s="214" t="s">
        <v>1281</v>
      </c>
      <c r="C62" s="214">
        <v>1</v>
      </c>
      <c r="D62" s="228" t="s">
        <v>1208</v>
      </c>
      <c r="E62" s="215" t="s">
        <v>1336</v>
      </c>
      <c r="F62" s="215"/>
      <c r="G62" s="215"/>
      <c r="H62" s="215"/>
      <c r="I62" s="215"/>
      <c r="J62" s="215"/>
      <c r="K62" s="215"/>
      <c r="L62" s="215"/>
      <c r="M62" s="215"/>
      <c r="N62" s="215"/>
      <c r="O62" s="215"/>
      <c r="P62" s="216"/>
      <c r="Q62" s="216"/>
      <c r="R62" s="218"/>
      <c r="S62" s="219">
        <v>0</v>
      </c>
      <c r="T62" s="219">
        <v>0</v>
      </c>
      <c r="U62" s="217"/>
      <c r="V62" s="217"/>
      <c r="W62" s="216"/>
      <c r="X62" s="216"/>
      <c r="Y62" s="220">
        <v>0</v>
      </c>
      <c r="Z62" s="221"/>
      <c r="AA62" s="222"/>
      <c r="AB62" s="218"/>
      <c r="AC62" s="223"/>
      <c r="AD62" s="224">
        <v>0</v>
      </c>
      <c r="AE62" s="225">
        <v>0</v>
      </c>
      <c r="AF62" s="199"/>
      <c r="AG62" s="200"/>
      <c r="AH62" s="200"/>
      <c r="AI62" s="200"/>
      <c r="AJ62" s="200"/>
      <c r="AK62" s="200"/>
      <c r="AL62" s="200"/>
      <c r="AM62" s="200"/>
      <c r="AN62" s="200"/>
      <c r="AO62" s="200"/>
      <c r="AP62" s="200"/>
      <c r="AQ62" s="200"/>
      <c r="AR62" s="200"/>
      <c r="AS62" s="200"/>
      <c r="AT62" s="200"/>
      <c r="AU62" s="200"/>
      <c r="AV62" s="200"/>
      <c r="AW62" s="200"/>
      <c r="AX62" s="200"/>
      <c r="AY62" s="200"/>
      <c r="AZ62" s="200"/>
      <c r="BA62" s="200"/>
      <c r="BB62" s="200"/>
      <c r="BC62" s="200"/>
      <c r="BD62" s="200"/>
      <c r="BE62" s="200"/>
      <c r="BF62" s="200"/>
      <c r="BG62" s="200"/>
      <c r="BH62" s="200"/>
      <c r="BI62" s="200"/>
      <c r="BJ62" s="200"/>
      <c r="BK62" s="200"/>
      <c r="BL62" s="200"/>
      <c r="BM62" s="200"/>
      <c r="BN62" s="200"/>
      <c r="BO62" s="200"/>
      <c r="BP62" s="200"/>
      <c r="BQ62" s="200"/>
      <c r="BR62" s="200"/>
      <c r="BS62" s="200"/>
      <c r="BT62" s="200"/>
      <c r="BU62" s="200"/>
      <c r="BV62" s="200"/>
      <c r="BW62" s="200"/>
      <c r="BX62" s="200"/>
      <c r="BY62" s="200"/>
      <c r="BZ62" s="200"/>
    </row>
    <row r="63" spans="1:78" outlineLevel="1">
      <c r="A63" s="214"/>
      <c r="B63" s="214"/>
      <c r="C63" s="214">
        <v>2</v>
      </c>
      <c r="D63" s="228" t="s">
        <v>1367</v>
      </c>
      <c r="E63" s="215"/>
      <c r="F63" s="215" t="s">
        <v>1309</v>
      </c>
      <c r="G63" s="215"/>
      <c r="H63" s="215"/>
      <c r="I63" s="215"/>
      <c r="J63" s="215"/>
      <c r="K63" s="215"/>
      <c r="L63" s="215"/>
      <c r="M63" s="215"/>
      <c r="N63" s="215"/>
      <c r="O63" s="215"/>
      <c r="P63" s="216"/>
      <c r="Q63" s="216"/>
      <c r="R63" s="218"/>
      <c r="S63" s="219">
        <v>0</v>
      </c>
      <c r="T63" s="219">
        <v>0</v>
      </c>
      <c r="U63" s="217"/>
      <c r="V63" s="217"/>
      <c r="W63" s="216"/>
      <c r="X63" s="216"/>
      <c r="Y63" s="220">
        <v>0</v>
      </c>
      <c r="Z63" s="221"/>
      <c r="AA63" s="222"/>
      <c r="AB63" s="218"/>
      <c r="AC63" s="223"/>
      <c r="AD63" s="224">
        <v>0</v>
      </c>
      <c r="AE63" s="225">
        <v>0</v>
      </c>
      <c r="AF63" s="199"/>
      <c r="AG63" s="200"/>
      <c r="AH63" s="200"/>
      <c r="AI63" s="200"/>
      <c r="AJ63" s="200"/>
      <c r="AK63" s="200"/>
      <c r="AL63" s="200"/>
      <c r="AM63" s="200"/>
      <c r="AN63" s="200"/>
      <c r="AO63" s="200"/>
      <c r="AP63" s="200"/>
      <c r="AQ63" s="200"/>
      <c r="AR63" s="200"/>
      <c r="AS63" s="200"/>
      <c r="AT63" s="200"/>
      <c r="AU63" s="200"/>
      <c r="AV63" s="200"/>
      <c r="AW63" s="200"/>
      <c r="AX63" s="200"/>
      <c r="AY63" s="200"/>
      <c r="AZ63" s="200"/>
      <c r="BA63" s="200"/>
      <c r="BB63" s="200"/>
      <c r="BC63" s="200"/>
      <c r="BD63" s="200"/>
      <c r="BE63" s="200"/>
      <c r="BF63" s="200"/>
      <c r="BG63" s="200"/>
      <c r="BH63" s="200"/>
      <c r="BI63" s="200"/>
      <c r="BJ63" s="200"/>
      <c r="BK63" s="200"/>
      <c r="BL63" s="200"/>
      <c r="BM63" s="200"/>
      <c r="BN63" s="200"/>
      <c r="BO63" s="200"/>
      <c r="BP63" s="200"/>
      <c r="BQ63" s="200"/>
      <c r="BR63" s="200"/>
      <c r="BS63" s="200"/>
      <c r="BT63" s="200"/>
      <c r="BU63" s="200"/>
      <c r="BV63" s="200"/>
      <c r="BW63" s="200"/>
      <c r="BX63" s="200"/>
      <c r="BY63" s="200"/>
      <c r="BZ63" s="200"/>
    </row>
    <row r="64" spans="1:78" outlineLevel="1">
      <c r="A64" s="214"/>
      <c r="B64" s="214"/>
      <c r="C64" s="214">
        <v>2</v>
      </c>
      <c r="D64" s="228" t="s">
        <v>1368</v>
      </c>
      <c r="E64" s="215"/>
      <c r="F64" s="215" t="s">
        <v>1310</v>
      </c>
      <c r="G64" s="215"/>
      <c r="H64" s="215"/>
      <c r="I64" s="215"/>
      <c r="J64" s="215"/>
      <c r="K64" s="215"/>
      <c r="L64" s="215"/>
      <c r="M64" s="215"/>
      <c r="N64" s="215"/>
      <c r="O64" s="215"/>
      <c r="P64" s="216"/>
      <c r="Q64" s="216"/>
      <c r="R64" s="218"/>
      <c r="S64" s="219">
        <v>0</v>
      </c>
      <c r="T64" s="219">
        <v>0</v>
      </c>
      <c r="U64" s="217"/>
      <c r="V64" s="217"/>
      <c r="W64" s="216"/>
      <c r="X64" s="216"/>
      <c r="Y64" s="220">
        <v>0</v>
      </c>
      <c r="Z64" s="221"/>
      <c r="AA64" s="222"/>
      <c r="AB64" s="218"/>
      <c r="AC64" s="223"/>
      <c r="AD64" s="224">
        <v>0</v>
      </c>
      <c r="AE64" s="225">
        <v>0</v>
      </c>
      <c r="AF64" s="199"/>
      <c r="AG64" s="200"/>
      <c r="AH64" s="200"/>
      <c r="AI64" s="200"/>
      <c r="AJ64" s="200"/>
      <c r="AK64" s="200"/>
      <c r="AL64" s="200"/>
      <c r="AM64" s="200"/>
      <c r="AN64" s="200"/>
      <c r="AO64" s="200"/>
      <c r="AP64" s="200"/>
      <c r="AQ64" s="200"/>
      <c r="AR64" s="200"/>
      <c r="AS64" s="200"/>
      <c r="AT64" s="200"/>
      <c r="AU64" s="200"/>
      <c r="AV64" s="200"/>
      <c r="AW64" s="200"/>
      <c r="AX64" s="200"/>
      <c r="AY64" s="200"/>
      <c r="AZ64" s="200"/>
      <c r="BA64" s="200"/>
      <c r="BB64" s="200"/>
      <c r="BC64" s="200"/>
      <c r="BD64" s="200"/>
      <c r="BE64" s="200"/>
      <c r="BF64" s="200"/>
      <c r="BG64" s="200"/>
      <c r="BH64" s="200"/>
      <c r="BI64" s="200"/>
      <c r="BJ64" s="200"/>
      <c r="BK64" s="200"/>
      <c r="BL64" s="200"/>
      <c r="BM64" s="200"/>
      <c r="BN64" s="200"/>
      <c r="BO64" s="200"/>
      <c r="BP64" s="200"/>
      <c r="BQ64" s="200"/>
      <c r="BR64" s="200"/>
      <c r="BS64" s="200"/>
      <c r="BT64" s="200"/>
      <c r="BU64" s="200"/>
      <c r="BV64" s="200"/>
      <c r="BW64" s="200"/>
      <c r="BX64" s="200"/>
      <c r="BY64" s="200"/>
      <c r="BZ64" s="200"/>
    </row>
    <row r="65" spans="1:78" outlineLevel="1">
      <c r="A65" s="214"/>
      <c r="B65" s="214"/>
      <c r="C65" s="214">
        <v>2</v>
      </c>
      <c r="D65" s="228" t="s">
        <v>1369</v>
      </c>
      <c r="E65" s="215"/>
      <c r="F65" s="215" t="s">
        <v>1312</v>
      </c>
      <c r="G65" s="215"/>
      <c r="H65" s="215"/>
      <c r="I65" s="215"/>
      <c r="J65" s="215"/>
      <c r="K65" s="215"/>
      <c r="L65" s="215"/>
      <c r="M65" s="215"/>
      <c r="N65" s="215"/>
      <c r="O65" s="215"/>
      <c r="P65" s="216"/>
      <c r="Q65" s="216"/>
      <c r="R65" s="218"/>
      <c r="S65" s="219">
        <v>0</v>
      </c>
      <c r="T65" s="219">
        <v>0</v>
      </c>
      <c r="U65" s="217"/>
      <c r="V65" s="217"/>
      <c r="W65" s="216"/>
      <c r="X65" s="216"/>
      <c r="Y65" s="220">
        <v>0</v>
      </c>
      <c r="Z65" s="221"/>
      <c r="AA65" s="222"/>
      <c r="AB65" s="218"/>
      <c r="AC65" s="223"/>
      <c r="AD65" s="224">
        <v>0</v>
      </c>
      <c r="AE65" s="225">
        <v>0</v>
      </c>
      <c r="AF65" s="199"/>
      <c r="AG65" s="200"/>
      <c r="AH65" s="200"/>
      <c r="AI65" s="200"/>
      <c r="AJ65" s="200"/>
      <c r="AK65" s="200"/>
      <c r="AL65" s="200"/>
      <c r="AM65" s="200"/>
      <c r="AN65" s="200"/>
      <c r="AO65" s="200"/>
      <c r="AP65" s="200"/>
      <c r="AQ65" s="200"/>
      <c r="AR65" s="200"/>
      <c r="AS65" s="200"/>
      <c r="AT65" s="200"/>
      <c r="AU65" s="200"/>
      <c r="AV65" s="200"/>
      <c r="AW65" s="200"/>
      <c r="AX65" s="200"/>
      <c r="AY65" s="200"/>
      <c r="AZ65" s="200"/>
      <c r="BA65" s="200"/>
      <c r="BB65" s="200"/>
      <c r="BC65" s="200"/>
      <c r="BD65" s="200"/>
      <c r="BE65" s="200"/>
      <c r="BF65" s="200"/>
      <c r="BG65" s="200"/>
      <c r="BH65" s="200"/>
      <c r="BI65" s="200"/>
      <c r="BJ65" s="200"/>
      <c r="BK65" s="200"/>
      <c r="BL65" s="200"/>
      <c r="BM65" s="200"/>
      <c r="BN65" s="200"/>
      <c r="BO65" s="200"/>
      <c r="BP65" s="200"/>
      <c r="BQ65" s="200"/>
      <c r="BR65" s="200"/>
      <c r="BS65" s="200"/>
      <c r="BT65" s="200"/>
      <c r="BU65" s="200"/>
      <c r="BV65" s="200"/>
      <c r="BW65" s="200"/>
      <c r="BX65" s="200"/>
      <c r="BY65" s="200"/>
      <c r="BZ65" s="200"/>
    </row>
    <row r="66" spans="1:78" outlineLevel="1">
      <c r="A66" s="214"/>
      <c r="B66" s="214"/>
      <c r="C66" s="214">
        <v>2</v>
      </c>
      <c r="D66" s="228" t="s">
        <v>1370</v>
      </c>
      <c r="E66" s="215"/>
      <c r="F66" s="215" t="s">
        <v>1313</v>
      </c>
      <c r="G66" s="215"/>
      <c r="H66" s="215"/>
      <c r="I66" s="215"/>
      <c r="J66" s="215"/>
      <c r="K66" s="215"/>
      <c r="L66" s="215"/>
      <c r="M66" s="215"/>
      <c r="N66" s="215"/>
      <c r="O66" s="215"/>
      <c r="P66" s="216"/>
      <c r="Q66" s="216"/>
      <c r="R66" s="218"/>
      <c r="S66" s="219">
        <v>0</v>
      </c>
      <c r="T66" s="219">
        <v>0</v>
      </c>
      <c r="U66" s="217"/>
      <c r="V66" s="217"/>
      <c r="W66" s="216"/>
      <c r="X66" s="216"/>
      <c r="Y66" s="220">
        <v>0</v>
      </c>
      <c r="Z66" s="221"/>
      <c r="AA66" s="222"/>
      <c r="AB66" s="218"/>
      <c r="AC66" s="223"/>
      <c r="AD66" s="224">
        <v>0</v>
      </c>
      <c r="AE66" s="225">
        <v>0</v>
      </c>
      <c r="AF66" s="199"/>
      <c r="AG66" s="200"/>
      <c r="AH66" s="200"/>
      <c r="AI66" s="200"/>
      <c r="AJ66" s="200"/>
      <c r="AK66" s="200"/>
      <c r="AL66" s="200"/>
      <c r="AM66" s="200"/>
      <c r="AN66" s="200"/>
      <c r="AO66" s="200"/>
      <c r="AP66" s="200"/>
      <c r="AQ66" s="200"/>
      <c r="AR66" s="200"/>
      <c r="AS66" s="200"/>
      <c r="AT66" s="200"/>
      <c r="AU66" s="200"/>
      <c r="AV66" s="200"/>
      <c r="AW66" s="200"/>
      <c r="AX66" s="200"/>
      <c r="AY66" s="200"/>
      <c r="AZ66" s="200"/>
      <c r="BA66" s="200"/>
      <c r="BB66" s="200"/>
      <c r="BC66" s="200"/>
      <c r="BD66" s="200"/>
      <c r="BE66" s="200"/>
      <c r="BF66" s="200"/>
      <c r="BG66" s="200"/>
      <c r="BH66" s="200"/>
      <c r="BI66" s="200"/>
      <c r="BJ66" s="200"/>
      <c r="BK66" s="200"/>
      <c r="BL66" s="200"/>
      <c r="BM66" s="200"/>
      <c r="BN66" s="200"/>
      <c r="BO66" s="200"/>
      <c r="BP66" s="200"/>
      <c r="BQ66" s="200"/>
      <c r="BR66" s="200"/>
      <c r="BS66" s="200"/>
      <c r="BT66" s="200"/>
      <c r="BU66" s="200"/>
      <c r="BV66" s="200"/>
      <c r="BW66" s="200"/>
      <c r="BX66" s="200"/>
      <c r="BY66" s="200"/>
      <c r="BZ66" s="200"/>
    </row>
    <row r="67" spans="1:78" outlineLevel="1">
      <c r="A67" s="214"/>
      <c r="B67" s="214"/>
      <c r="C67" s="214">
        <v>0</v>
      </c>
      <c r="D67" s="232"/>
      <c r="E67" s="215"/>
      <c r="F67" s="215"/>
      <c r="G67" s="215"/>
      <c r="H67" s="215"/>
      <c r="I67" s="215"/>
      <c r="J67" s="215"/>
      <c r="K67" s="215"/>
      <c r="L67" s="215"/>
      <c r="M67" s="215"/>
      <c r="N67" s="215"/>
      <c r="O67" s="215"/>
      <c r="P67" s="216"/>
      <c r="Q67" s="216"/>
      <c r="R67" s="218"/>
      <c r="S67" s="219"/>
      <c r="T67" s="219"/>
      <c r="U67" s="217"/>
      <c r="V67" s="217"/>
      <c r="W67" s="216"/>
      <c r="X67" s="216"/>
      <c r="Y67" s="220"/>
      <c r="Z67" s="221"/>
      <c r="AA67" s="222"/>
      <c r="AB67" s="218"/>
      <c r="AC67" s="223"/>
      <c r="AD67" s="224"/>
      <c r="AE67" s="225"/>
      <c r="AF67" s="199"/>
      <c r="AG67" s="200"/>
      <c r="AH67" s="200"/>
      <c r="AI67" s="200"/>
      <c r="AJ67" s="200"/>
      <c r="AK67" s="200"/>
      <c r="AL67" s="200"/>
      <c r="AM67" s="200"/>
      <c r="AN67" s="200"/>
      <c r="AO67" s="200"/>
      <c r="AP67" s="200"/>
      <c r="AQ67" s="200"/>
      <c r="AR67" s="200"/>
      <c r="AS67" s="200"/>
      <c r="AT67" s="200"/>
      <c r="AU67" s="200"/>
      <c r="AV67" s="200"/>
      <c r="AW67" s="200"/>
      <c r="AX67" s="200"/>
      <c r="AY67" s="200"/>
      <c r="AZ67" s="200"/>
      <c r="BA67" s="200"/>
      <c r="BB67" s="200"/>
      <c r="BC67" s="200"/>
      <c r="BD67" s="200"/>
      <c r="BE67" s="200"/>
      <c r="BF67" s="200"/>
      <c r="BG67" s="200"/>
      <c r="BH67" s="200"/>
      <c r="BI67" s="200"/>
      <c r="BJ67" s="200"/>
      <c r="BK67" s="200"/>
      <c r="BL67" s="200"/>
      <c r="BM67" s="200"/>
      <c r="BN67" s="200"/>
      <c r="BO67" s="200"/>
      <c r="BP67" s="200"/>
      <c r="BQ67" s="200"/>
      <c r="BR67" s="200"/>
      <c r="BS67" s="200"/>
      <c r="BT67" s="200"/>
      <c r="BU67" s="200"/>
      <c r="BV67" s="200"/>
      <c r="BW67" s="200"/>
      <c r="BX67" s="200"/>
      <c r="BY67" s="200"/>
      <c r="BZ67" s="200"/>
    </row>
    <row r="68" spans="1:78">
      <c r="A68" s="214"/>
      <c r="B68" s="214" t="s">
        <v>1281</v>
      </c>
      <c r="C68" s="214">
        <v>1</v>
      </c>
      <c r="D68" s="228" t="s">
        <v>1209</v>
      </c>
      <c r="E68" s="215" t="s">
        <v>1337</v>
      </c>
      <c r="F68" s="215"/>
      <c r="G68" s="215"/>
      <c r="H68" s="215"/>
      <c r="I68" s="215"/>
      <c r="J68" s="215"/>
      <c r="K68" s="215"/>
      <c r="L68" s="215"/>
      <c r="M68" s="215"/>
      <c r="N68" s="215"/>
      <c r="O68" s="215"/>
      <c r="P68" s="216"/>
      <c r="Q68" s="216"/>
      <c r="R68" s="218"/>
      <c r="S68" s="219">
        <v>0</v>
      </c>
      <c r="T68" s="219">
        <v>0</v>
      </c>
      <c r="U68" s="217"/>
      <c r="V68" s="217"/>
      <c r="W68" s="216"/>
      <c r="X68" s="216"/>
      <c r="Y68" s="220">
        <v>0</v>
      </c>
      <c r="Z68" s="221"/>
      <c r="AA68" s="222"/>
      <c r="AB68" s="218"/>
      <c r="AC68" s="223"/>
      <c r="AD68" s="224">
        <v>0</v>
      </c>
      <c r="AE68" s="225">
        <v>0</v>
      </c>
      <c r="AF68" s="199"/>
      <c r="AG68" s="200"/>
      <c r="AH68" s="200"/>
      <c r="AI68" s="200"/>
      <c r="AJ68" s="200"/>
      <c r="AK68" s="200"/>
      <c r="AL68" s="200"/>
      <c r="AM68" s="200"/>
      <c r="AN68" s="200"/>
      <c r="AO68" s="200"/>
      <c r="AP68" s="200"/>
      <c r="AQ68" s="200"/>
      <c r="AR68" s="200"/>
      <c r="AS68" s="200"/>
      <c r="AT68" s="200"/>
      <c r="AU68" s="200"/>
      <c r="AV68" s="200"/>
      <c r="AW68" s="200"/>
      <c r="AX68" s="200"/>
      <c r="AY68" s="200"/>
      <c r="AZ68" s="200"/>
      <c r="BA68" s="200"/>
      <c r="BB68" s="200"/>
      <c r="BC68" s="200"/>
      <c r="BD68" s="200"/>
      <c r="BE68" s="200"/>
      <c r="BF68" s="200"/>
      <c r="BG68" s="200"/>
      <c r="BH68" s="200"/>
      <c r="BI68" s="200"/>
      <c r="BJ68" s="200"/>
      <c r="BK68" s="200"/>
      <c r="BL68" s="200"/>
      <c r="BM68" s="200"/>
      <c r="BN68" s="200"/>
      <c r="BO68" s="200"/>
      <c r="BP68" s="200"/>
      <c r="BQ68" s="200"/>
      <c r="BR68" s="200"/>
      <c r="BS68" s="200"/>
      <c r="BT68" s="200"/>
      <c r="BU68" s="200"/>
      <c r="BV68" s="200"/>
      <c r="BW68" s="200"/>
      <c r="BX68" s="200"/>
      <c r="BY68" s="200"/>
      <c r="BZ68" s="200"/>
    </row>
    <row r="69" spans="1:78" outlineLevel="1">
      <c r="A69" s="214"/>
      <c r="B69" s="214"/>
      <c r="C69" s="214">
        <v>2</v>
      </c>
      <c r="D69" s="228" t="s">
        <v>1376</v>
      </c>
      <c r="E69" s="215"/>
      <c r="F69" s="215" t="s">
        <v>1308</v>
      </c>
      <c r="G69" s="215"/>
      <c r="H69" s="215"/>
      <c r="I69" s="215"/>
      <c r="J69" s="215"/>
      <c r="K69" s="215"/>
      <c r="L69" s="215"/>
      <c r="M69" s="215"/>
      <c r="N69" s="215"/>
      <c r="O69" s="215"/>
      <c r="P69" s="216"/>
      <c r="Q69" s="216"/>
      <c r="R69" s="218"/>
      <c r="S69" s="219">
        <v>0</v>
      </c>
      <c r="T69" s="219">
        <v>0</v>
      </c>
      <c r="U69" s="217"/>
      <c r="V69" s="217"/>
      <c r="W69" s="216"/>
      <c r="X69" s="216"/>
      <c r="Y69" s="220">
        <v>0</v>
      </c>
      <c r="Z69" s="221"/>
      <c r="AA69" s="222"/>
      <c r="AB69" s="218"/>
      <c r="AC69" s="223"/>
      <c r="AD69" s="224">
        <v>0</v>
      </c>
      <c r="AE69" s="225">
        <v>0</v>
      </c>
      <c r="AF69" s="199"/>
      <c r="AG69" s="200"/>
      <c r="AH69" s="200"/>
      <c r="AI69" s="200"/>
      <c r="AJ69" s="200"/>
      <c r="AK69" s="200"/>
      <c r="AL69" s="200"/>
      <c r="AM69" s="200"/>
      <c r="AN69" s="200"/>
      <c r="AO69" s="200"/>
      <c r="AP69" s="200"/>
      <c r="AQ69" s="200"/>
      <c r="AR69" s="200"/>
      <c r="AS69" s="200"/>
      <c r="AT69" s="200"/>
      <c r="AU69" s="200"/>
      <c r="AV69" s="200"/>
      <c r="AW69" s="200"/>
      <c r="AX69" s="200"/>
      <c r="AY69" s="200"/>
      <c r="AZ69" s="200"/>
      <c r="BA69" s="200"/>
      <c r="BB69" s="200"/>
      <c r="BC69" s="200"/>
      <c r="BD69" s="200"/>
      <c r="BE69" s="200"/>
      <c r="BF69" s="200"/>
      <c r="BG69" s="200"/>
      <c r="BH69" s="200"/>
      <c r="BI69" s="200"/>
      <c r="BJ69" s="200"/>
      <c r="BK69" s="200"/>
      <c r="BL69" s="200"/>
      <c r="BM69" s="200"/>
      <c r="BN69" s="200"/>
      <c r="BO69" s="200"/>
      <c r="BP69" s="200"/>
      <c r="BQ69" s="200"/>
      <c r="BR69" s="200"/>
      <c r="BS69" s="200"/>
      <c r="BT69" s="200"/>
      <c r="BU69" s="200"/>
      <c r="BV69" s="200"/>
      <c r="BW69" s="200"/>
      <c r="BX69" s="200"/>
      <c r="BY69" s="200"/>
      <c r="BZ69" s="200"/>
    </row>
    <row r="70" spans="1:78" outlineLevel="1">
      <c r="A70" s="214"/>
      <c r="B70" s="214"/>
      <c r="C70" s="214">
        <v>2</v>
      </c>
      <c r="D70" s="228" t="s">
        <v>1377</v>
      </c>
      <c r="E70" s="215"/>
      <c r="F70" s="215" t="s">
        <v>1312</v>
      </c>
      <c r="G70" s="215"/>
      <c r="H70" s="215"/>
      <c r="I70" s="215"/>
      <c r="J70" s="215"/>
      <c r="K70" s="215"/>
      <c r="L70" s="215"/>
      <c r="M70" s="215"/>
      <c r="N70" s="215"/>
      <c r="O70" s="215"/>
      <c r="P70" s="216"/>
      <c r="Q70" s="216"/>
      <c r="R70" s="218"/>
      <c r="S70" s="219">
        <v>0</v>
      </c>
      <c r="T70" s="219">
        <v>0</v>
      </c>
      <c r="U70" s="217"/>
      <c r="V70" s="217"/>
      <c r="W70" s="216"/>
      <c r="X70" s="216"/>
      <c r="Y70" s="220">
        <v>0</v>
      </c>
      <c r="Z70" s="221"/>
      <c r="AA70" s="222"/>
      <c r="AB70" s="218"/>
      <c r="AC70" s="223"/>
      <c r="AD70" s="224">
        <v>0</v>
      </c>
      <c r="AE70" s="225">
        <v>0</v>
      </c>
      <c r="AF70" s="199"/>
      <c r="AG70" s="200"/>
      <c r="AH70" s="200"/>
      <c r="AI70" s="200"/>
      <c r="AJ70" s="200"/>
      <c r="AK70" s="200"/>
      <c r="AL70" s="200"/>
      <c r="AM70" s="200"/>
      <c r="AN70" s="200"/>
      <c r="AO70" s="200"/>
      <c r="AP70" s="200"/>
      <c r="AQ70" s="200"/>
      <c r="AR70" s="200"/>
      <c r="AS70" s="200"/>
      <c r="AT70" s="200"/>
      <c r="AU70" s="200"/>
      <c r="AV70" s="200"/>
      <c r="AW70" s="200"/>
      <c r="AX70" s="200"/>
      <c r="AY70" s="200"/>
      <c r="AZ70" s="200"/>
      <c r="BA70" s="200"/>
      <c r="BB70" s="200"/>
      <c r="BC70" s="200"/>
      <c r="BD70" s="200"/>
      <c r="BE70" s="200"/>
      <c r="BF70" s="200"/>
      <c r="BG70" s="200"/>
      <c r="BH70" s="200"/>
      <c r="BI70" s="200"/>
      <c r="BJ70" s="200"/>
      <c r="BK70" s="200"/>
      <c r="BL70" s="200"/>
      <c r="BM70" s="200"/>
      <c r="BN70" s="200"/>
      <c r="BO70" s="200"/>
      <c r="BP70" s="200"/>
      <c r="BQ70" s="200"/>
      <c r="BR70" s="200"/>
      <c r="BS70" s="200"/>
      <c r="BT70" s="200"/>
      <c r="BU70" s="200"/>
      <c r="BV70" s="200"/>
      <c r="BW70" s="200"/>
      <c r="BX70" s="200"/>
      <c r="BY70" s="200"/>
      <c r="BZ70" s="200"/>
    </row>
    <row r="71" spans="1:78" outlineLevel="1">
      <c r="A71" s="214"/>
      <c r="B71" s="214"/>
      <c r="C71" s="214">
        <v>2</v>
      </c>
      <c r="D71" s="228" t="s">
        <v>1378</v>
      </c>
      <c r="E71" s="215"/>
      <c r="F71" s="215" t="s">
        <v>1313</v>
      </c>
      <c r="G71" s="215"/>
      <c r="H71" s="215"/>
      <c r="I71" s="215"/>
      <c r="J71" s="215"/>
      <c r="K71" s="215"/>
      <c r="L71" s="215"/>
      <c r="M71" s="215"/>
      <c r="N71" s="215"/>
      <c r="O71" s="215"/>
      <c r="P71" s="216"/>
      <c r="Q71" s="216"/>
      <c r="R71" s="218"/>
      <c r="S71" s="219">
        <v>0</v>
      </c>
      <c r="T71" s="219">
        <v>0</v>
      </c>
      <c r="U71" s="217"/>
      <c r="V71" s="217"/>
      <c r="W71" s="216"/>
      <c r="X71" s="216"/>
      <c r="Y71" s="220">
        <v>0</v>
      </c>
      <c r="Z71" s="221"/>
      <c r="AA71" s="222"/>
      <c r="AB71" s="218"/>
      <c r="AC71" s="223"/>
      <c r="AD71" s="224">
        <v>0</v>
      </c>
      <c r="AE71" s="225">
        <v>0</v>
      </c>
      <c r="AF71" s="199"/>
      <c r="AG71" s="200"/>
      <c r="AH71" s="200"/>
      <c r="AI71" s="200"/>
      <c r="AJ71" s="200"/>
      <c r="AK71" s="200"/>
      <c r="AL71" s="200"/>
      <c r="AM71" s="200"/>
      <c r="AN71" s="200"/>
      <c r="AO71" s="200"/>
      <c r="AP71" s="200"/>
      <c r="AQ71" s="200"/>
      <c r="AR71" s="200"/>
      <c r="AS71" s="200"/>
      <c r="AT71" s="200"/>
      <c r="AU71" s="200"/>
      <c r="AV71" s="200"/>
      <c r="AW71" s="200"/>
      <c r="AX71" s="200"/>
      <c r="AY71" s="200"/>
      <c r="AZ71" s="200"/>
      <c r="BA71" s="200"/>
      <c r="BB71" s="200"/>
      <c r="BC71" s="200"/>
      <c r="BD71" s="200"/>
      <c r="BE71" s="200"/>
      <c r="BF71" s="200"/>
      <c r="BG71" s="200"/>
      <c r="BH71" s="200"/>
      <c r="BI71" s="200"/>
      <c r="BJ71" s="200"/>
      <c r="BK71" s="200"/>
      <c r="BL71" s="200"/>
      <c r="BM71" s="200"/>
      <c r="BN71" s="200"/>
      <c r="BO71" s="200"/>
      <c r="BP71" s="200"/>
      <c r="BQ71" s="200"/>
      <c r="BR71" s="200"/>
      <c r="BS71" s="200"/>
      <c r="BT71" s="200"/>
      <c r="BU71" s="200"/>
      <c r="BV71" s="200"/>
      <c r="BW71" s="200"/>
      <c r="BX71" s="200"/>
      <c r="BY71" s="200"/>
      <c r="BZ71" s="200"/>
    </row>
    <row r="72" spans="1:78">
      <c r="A72" s="201"/>
      <c r="B72" s="201"/>
      <c r="C72" s="201"/>
      <c r="D72" s="202"/>
      <c r="E72" s="203"/>
      <c r="F72" s="203"/>
      <c r="G72" s="203"/>
      <c r="H72" s="203"/>
      <c r="I72" s="203"/>
      <c r="J72" s="203"/>
      <c r="K72" s="203"/>
      <c r="L72" s="203"/>
      <c r="M72" s="203"/>
      <c r="N72" s="203"/>
      <c r="O72" s="203"/>
      <c r="P72" s="204"/>
      <c r="Q72" s="204"/>
      <c r="R72" s="206"/>
      <c r="S72" s="207"/>
      <c r="T72" s="207"/>
      <c r="U72" s="205"/>
      <c r="V72" s="205"/>
      <c r="W72" s="204"/>
      <c r="X72" s="204"/>
      <c r="Y72" s="208"/>
      <c r="Z72" s="209"/>
      <c r="AA72" s="210"/>
      <c r="AB72" s="206"/>
      <c r="AC72" s="211"/>
      <c r="AD72" s="212"/>
      <c r="AE72" s="213"/>
      <c r="AF72" s="198"/>
      <c r="AG72" s="198"/>
      <c r="AH72" s="198"/>
      <c r="AI72" s="198"/>
      <c r="AJ72" s="198"/>
      <c r="AK72" s="198"/>
      <c r="AL72" s="198"/>
      <c r="AM72" s="198"/>
      <c r="AN72" s="198"/>
      <c r="AO72" s="198"/>
      <c r="AP72" s="198"/>
      <c r="AQ72" s="198"/>
      <c r="AR72" s="198"/>
      <c r="AS72" s="198"/>
      <c r="AT72" s="198"/>
      <c r="AU72" s="198"/>
      <c r="AV72" s="198"/>
      <c r="AW72" s="198"/>
      <c r="AX72" s="198"/>
      <c r="AY72" s="198"/>
      <c r="AZ72" s="198"/>
      <c r="BA72" s="198"/>
      <c r="BB72" s="198"/>
      <c r="BC72" s="198"/>
      <c r="BD72" s="198"/>
      <c r="BE72" s="198"/>
      <c r="BF72" s="198"/>
      <c r="BG72" s="198"/>
      <c r="BH72" s="198"/>
      <c r="BI72" s="198"/>
      <c r="BJ72" s="198"/>
      <c r="BK72" s="198"/>
      <c r="BL72" s="198"/>
      <c r="BM72" s="198"/>
      <c r="BN72" s="198"/>
      <c r="BO72" s="198"/>
      <c r="BP72" s="198"/>
      <c r="BQ72" s="198"/>
      <c r="BR72" s="198"/>
      <c r="BS72" s="198"/>
      <c r="BT72" s="198"/>
      <c r="BU72" s="198"/>
      <c r="BV72" s="198"/>
      <c r="BW72" s="198"/>
      <c r="BX72" s="198"/>
      <c r="BY72" s="198"/>
      <c r="BZ72" s="198"/>
    </row>
  </sheetData>
  <sheetProtection formatCells="0" formatColumns="0" formatRows="0" insertColumns="0" insertRows="0" insertHyperlinks="0" deleteColumns="0" deleteRows="0" sort="0" autoFilter="0" pivotTables="0"/>
  <dataConsolidate/>
  <mergeCells count="35">
    <mergeCell ref="AV3:AY3"/>
    <mergeCell ref="AZ3:BC3"/>
    <mergeCell ref="AR3:AU3"/>
    <mergeCell ref="AF3:AI3"/>
    <mergeCell ref="AJ3:AM3"/>
    <mergeCell ref="AN3:AQ3"/>
    <mergeCell ref="AE3:AE4"/>
    <mergeCell ref="A3:A4"/>
    <mergeCell ref="B3:B4"/>
    <mergeCell ref="C3:C4"/>
    <mergeCell ref="D3:D4"/>
    <mergeCell ref="E3:N4"/>
    <mergeCell ref="T3:T4"/>
    <mergeCell ref="W3:W4"/>
    <mergeCell ref="U3:U4"/>
    <mergeCell ref="AD3:AD4"/>
    <mergeCell ref="AC3:AC4"/>
    <mergeCell ref="AB3:AB4"/>
    <mergeCell ref="V3:V4"/>
    <mergeCell ref="X3:X4"/>
    <mergeCell ref="Z3:Z4"/>
    <mergeCell ref="Y3:Y4"/>
    <mergeCell ref="AA3:AA4"/>
    <mergeCell ref="D2:F2"/>
    <mergeCell ref="O3:O4"/>
    <mergeCell ref="P3:P4"/>
    <mergeCell ref="Q3:Q4"/>
    <mergeCell ref="S3:S4"/>
    <mergeCell ref="R3:R4"/>
    <mergeCell ref="BX3:CA3"/>
    <mergeCell ref="BD3:BG3"/>
    <mergeCell ref="BH3:BK3"/>
    <mergeCell ref="BL3:BO3"/>
    <mergeCell ref="BP3:BS3"/>
    <mergeCell ref="BT3:BW3"/>
  </mergeCells>
  <phoneticPr fontId="7" type="noConversion"/>
  <conditionalFormatting sqref="D5:AE71">
    <cfRule type="expression" dxfId="2" priority="3">
      <formula>($B5="G")</formula>
    </cfRule>
    <cfRule type="expression" dxfId="1" priority="2">
      <formula>($AE5=1)</formula>
    </cfRule>
  </conditionalFormatting>
  <conditionalFormatting sqref="W5:X71">
    <cfRule type="expression" dxfId="0" priority="1">
      <formula>($P5&amp;$Q5&lt;&gt;$W5&amp;$X5)</formula>
    </cfRule>
  </conditionalFormatting>
  <hyperlinks>
    <hyperlink ref="AF1" r:id="rId1" display="http://xlworks.net/" xr:uid="{BEFD041F-6EFE-4D35-BCCF-C2BC2FF335AF}"/>
  </hyperlinks>
  <pageMargins left="0.19685039370078741" right="0.23622047244094491" top="0.43307086614173229" bottom="0.23622047244094491" header="0.23622047244094491" footer="0.19685039370078741"/>
  <pageSetup paperSize="9" scale="5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69" customWidth="1"/>
    <col min="2" max="2" width="13.19921875" style="67" customWidth="1"/>
    <col min="3" max="3" width="9.8984375" style="71" customWidth="1"/>
    <col min="4" max="4" width="31.3984375" style="71" customWidth="1"/>
    <col min="5" max="6" width="14.09765625" style="71" customWidth="1"/>
    <col min="7" max="7" width="28.3984375" style="71" customWidth="1"/>
    <col min="8" max="9" width="10" style="71"/>
    <col min="10" max="10" width="8.8984375" style="71" bestFit="1" customWidth="1"/>
    <col min="11" max="19" width="10" style="71"/>
    <col min="20" max="22" width="10" style="71" customWidth="1"/>
    <col min="23" max="23" width="10" style="71" hidden="1" customWidth="1"/>
    <col min="24" max="16384" width="10" style="71"/>
  </cols>
  <sheetData>
    <row r="1" spans="1:17" s="16" customFormat="1" ht="36.9" customHeight="1">
      <c r="A1" s="13" t="s">
        <v>1372</v>
      </c>
      <c r="B1" s="14"/>
      <c r="C1" s="14"/>
      <c r="D1" s="14"/>
      <c r="E1" s="14"/>
      <c r="F1" s="14"/>
      <c r="G1" s="14"/>
      <c r="H1" s="14"/>
      <c r="I1" s="14"/>
      <c r="J1" s="14"/>
      <c r="K1" s="14"/>
      <c r="L1" s="284"/>
      <c r="M1" s="285"/>
      <c r="N1" s="285"/>
      <c r="O1" s="15"/>
      <c r="P1" s="15"/>
      <c r="Q1" s="15"/>
    </row>
    <row r="2" spans="1:17" s="19" customFormat="1" ht="13.8">
      <c r="A2" s="17" t="s">
        <v>1117</v>
      </c>
      <c r="B2" s="18"/>
    </row>
    <row r="3" spans="1:17" s="19" customFormat="1" ht="13.8">
      <c r="A3" s="17" t="s">
        <v>1118</v>
      </c>
      <c r="B3" s="18"/>
    </row>
    <row r="4" spans="1:17" s="19" customFormat="1" ht="13.8">
      <c r="A4" s="286"/>
      <c r="B4" s="286"/>
      <c r="C4" s="20"/>
      <c r="D4" s="21"/>
      <c r="E4" s="21"/>
      <c r="F4" s="21"/>
    </row>
    <row r="5" spans="1:17" s="27" customFormat="1" ht="13.8">
      <c r="A5" s="22"/>
      <c r="B5" s="23"/>
      <c r="C5" s="24"/>
      <c r="D5" s="25"/>
      <c r="E5" s="26"/>
      <c r="F5" s="26"/>
      <c r="G5" s="26"/>
    </row>
    <row r="6" spans="1:17" s="27" customFormat="1" ht="13.8">
      <c r="A6" s="28" t="s">
        <v>1119</v>
      </c>
      <c r="B6" s="29">
        <v>17</v>
      </c>
      <c r="C6" s="27" t="s">
        <v>0</v>
      </c>
      <c r="D6" s="283" t="s">
        <v>1120</v>
      </c>
      <c r="E6" s="283"/>
      <c r="F6" s="283"/>
      <c r="G6" s="283"/>
    </row>
    <row r="7" spans="1:17" s="27" customFormat="1" ht="13.8">
      <c r="A7" s="30"/>
      <c r="B7" s="31"/>
      <c r="C7" s="32"/>
      <c r="D7" s="33"/>
      <c r="E7" s="33"/>
      <c r="F7" s="33"/>
      <c r="G7" s="33"/>
    </row>
    <row r="8" spans="1:17" s="27" customFormat="1" ht="12.75" customHeight="1">
      <c r="A8" s="34"/>
      <c r="B8" s="35"/>
      <c r="D8" s="36"/>
      <c r="E8" s="36"/>
      <c r="F8" s="36"/>
      <c r="G8" s="36"/>
      <c r="J8" s="37"/>
    </row>
    <row r="9" spans="1:17" s="27" customFormat="1" ht="13.8">
      <c r="A9" s="28" t="s">
        <v>1121</v>
      </c>
      <c r="B9" s="29">
        <v>16</v>
      </c>
      <c r="C9" s="27" t="s">
        <v>0</v>
      </c>
      <c r="D9" s="282" t="s">
        <v>1122</v>
      </c>
      <c r="E9" s="282"/>
      <c r="F9" s="282"/>
      <c r="G9" s="282"/>
    </row>
    <row r="10" spans="1:17" s="27" customFormat="1" ht="13.8">
      <c r="A10" s="38"/>
      <c r="B10" s="31"/>
      <c r="C10" s="32"/>
      <c r="D10" s="39"/>
      <c r="E10" s="39"/>
      <c r="F10" s="39"/>
      <c r="G10" s="39"/>
    </row>
    <row r="11" spans="1:17" s="27" customFormat="1" ht="13.5" customHeight="1">
      <c r="A11" s="40"/>
      <c r="B11" s="35"/>
      <c r="D11" s="36"/>
      <c r="E11" s="36"/>
      <c r="F11" s="36"/>
      <c r="G11" s="36"/>
    </row>
    <row r="12" spans="1:17" s="27" customFormat="1" ht="12.75" customHeight="1">
      <c r="A12" s="41" t="s">
        <v>1271</v>
      </c>
      <c r="B12" s="29">
        <v>2</v>
      </c>
      <c r="C12" s="27" t="s">
        <v>0</v>
      </c>
      <c r="D12" s="287" t="s">
        <v>1274</v>
      </c>
      <c r="E12" s="282"/>
      <c r="F12" s="282"/>
      <c r="G12" s="282"/>
    </row>
    <row r="13" spans="1:17" s="44" customFormat="1" ht="13.8">
      <c r="A13" s="42"/>
      <c r="B13" s="31"/>
      <c r="C13" s="43"/>
      <c r="D13" s="39"/>
      <c r="E13" s="39"/>
      <c r="F13" s="39"/>
      <c r="G13" s="39"/>
      <c r="K13" s="45"/>
    </row>
    <row r="14" spans="1:17" s="44" customFormat="1" ht="14.25" customHeight="1">
      <c r="A14" s="40"/>
      <c r="B14" s="46"/>
      <c r="C14" s="47"/>
      <c r="D14" s="36"/>
      <c r="E14" s="36"/>
      <c r="F14" s="36"/>
      <c r="G14" s="36"/>
    </row>
    <row r="15" spans="1:17" s="27" customFormat="1" ht="12.75" customHeight="1">
      <c r="A15" s="41" t="s">
        <v>1276</v>
      </c>
      <c r="B15" s="29">
        <v>2</v>
      </c>
      <c r="C15" s="27" t="s">
        <v>0</v>
      </c>
      <c r="D15" s="282" t="s">
        <v>1123</v>
      </c>
      <c r="E15" s="282"/>
      <c r="F15" s="282"/>
      <c r="G15" s="282"/>
    </row>
    <row r="16" spans="1:17" s="27" customFormat="1" ht="13.8">
      <c r="A16" s="42"/>
      <c r="B16" s="48"/>
      <c r="C16" s="49"/>
      <c r="D16" s="39"/>
      <c r="E16" s="39"/>
      <c r="F16" s="39"/>
      <c r="G16" s="39"/>
    </row>
    <row r="17" spans="1:7" s="44" customFormat="1" ht="12.75" customHeight="1">
      <c r="A17" s="50"/>
      <c r="B17" s="46"/>
      <c r="C17" s="47"/>
      <c r="D17" s="36"/>
      <c r="E17" s="36"/>
      <c r="F17" s="36"/>
      <c r="G17" s="36"/>
    </row>
    <row r="18" spans="1:7" s="27" customFormat="1" ht="13.8">
      <c r="A18" s="28" t="s">
        <v>1124</v>
      </c>
      <c r="B18" s="51">
        <v>0.94117647058823528</v>
      </c>
      <c r="D18" s="282" t="s">
        <v>1125</v>
      </c>
      <c r="E18" s="282"/>
      <c r="F18" s="282"/>
      <c r="G18" s="282"/>
    </row>
    <row r="19" spans="1:7" s="27" customFormat="1" ht="13.8">
      <c r="A19" s="52"/>
      <c r="B19" s="48"/>
      <c r="C19" s="49"/>
      <c r="D19" s="39"/>
      <c r="E19" s="39"/>
      <c r="F19" s="39"/>
      <c r="G19" s="39"/>
    </row>
    <row r="20" spans="1:7" s="27" customFormat="1" ht="12.75" customHeight="1">
      <c r="A20" s="53"/>
      <c r="B20" s="23"/>
      <c r="C20" s="24"/>
      <c r="D20" s="36"/>
      <c r="E20" s="36"/>
      <c r="F20" s="36"/>
      <c r="G20" s="36"/>
    </row>
    <row r="21" spans="1:7" s="27" customFormat="1" ht="13.8">
      <c r="A21" s="28" t="s">
        <v>1126</v>
      </c>
      <c r="B21" s="51">
        <v>0.11764705882352941</v>
      </c>
      <c r="D21" s="282" t="s">
        <v>1127</v>
      </c>
      <c r="E21" s="282"/>
      <c r="F21" s="282"/>
      <c r="G21" s="282"/>
    </row>
    <row r="22" spans="1:7" s="27" customFormat="1" ht="13.8">
      <c r="A22" s="54"/>
      <c r="B22" s="55"/>
      <c r="C22" s="56"/>
      <c r="D22" s="39"/>
      <c r="E22" s="39"/>
      <c r="F22" s="39"/>
      <c r="G22" s="39"/>
    </row>
    <row r="23" spans="1:7" s="27" customFormat="1" ht="13.5" customHeight="1">
      <c r="A23" s="57"/>
      <c r="B23" s="58"/>
      <c r="C23" s="59"/>
      <c r="D23" s="60"/>
      <c r="E23" s="60"/>
      <c r="F23" s="60"/>
      <c r="G23" s="60"/>
    </row>
    <row r="24" spans="1:7" s="27" customFormat="1" ht="13.8">
      <c r="A24" s="28" t="s">
        <v>1128</v>
      </c>
      <c r="B24" s="61">
        <f>ACTUAL_RATE-PLANNED_RATE</f>
        <v>-0.82352941176470584</v>
      </c>
      <c r="D24" s="283" t="s">
        <v>1129</v>
      </c>
      <c r="E24" s="283"/>
      <c r="F24" s="283"/>
      <c r="G24" s="283"/>
    </row>
    <row r="25" spans="1:7" s="27" customFormat="1" ht="13.8">
      <c r="A25" s="62"/>
      <c r="B25" s="63"/>
      <c r="C25" s="64"/>
      <c r="D25" s="65"/>
      <c r="E25" s="65"/>
      <c r="F25" s="65"/>
      <c r="G25" s="65"/>
    </row>
    <row r="26" spans="1:7" s="68" customFormat="1">
      <c r="A26" s="66"/>
      <c r="B26" s="67"/>
    </row>
    <row r="27" spans="1:7">
      <c r="B27" s="70"/>
      <c r="G27" s="69"/>
    </row>
    <row r="28" spans="1:7">
      <c r="B28" s="72"/>
    </row>
    <row r="29" spans="1:7">
      <c r="B29" s="72"/>
    </row>
    <row r="30" spans="1:7">
      <c r="B30" s="73"/>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O23"/>
  <sheetViews>
    <sheetView showGridLines="0" zoomScale="90" zoomScaleNormal="90" workbookViewId="0">
      <pane ySplit="6" topLeftCell="A7" activePane="bottomLeft" state="frozen"/>
      <selection pane="bottomLeft" activeCell="D26" sqref="D26"/>
    </sheetView>
  </sheetViews>
  <sheetFormatPr defaultColWidth="9.09765625" defaultRowHeight="14.4" outlineLevelRow="2"/>
  <cols>
    <col min="1" max="1" width="20.69921875" style="196" customWidth="1"/>
    <col min="2" max="2" width="5.09765625" style="196" bestFit="1" customWidth="1"/>
    <col min="3" max="3" width="11.19921875" style="196" bestFit="1" customWidth="1"/>
    <col min="4" max="5" width="10.59765625" style="196" bestFit="1" customWidth="1"/>
    <col min="6" max="6" width="7.8984375" style="196" bestFit="1" customWidth="1"/>
    <col min="7" max="8" width="8.59765625" style="165" bestFit="1" customWidth="1"/>
    <col min="9" max="9" width="9.09765625" style="165"/>
    <col min="10" max="11" width="8.69921875" style="165" bestFit="1" customWidth="1"/>
    <col min="12" max="12" width="9.09765625" style="165"/>
    <col min="13" max="14" width="10.59765625" style="196" bestFit="1" customWidth="1"/>
    <col min="15" max="15" width="9" style="196" bestFit="1" customWidth="1"/>
    <col min="16" max="16384" width="9.09765625" style="196"/>
  </cols>
  <sheetData>
    <row r="1" spans="1:15" ht="37.049999999999997" customHeight="1">
      <c r="A1" s="74" t="s">
        <v>1379</v>
      </c>
    </row>
    <row r="2" spans="1:15">
      <c r="A2" s="196" t="s">
        <v>642</v>
      </c>
    </row>
    <row r="3" spans="1:15">
      <c r="A3" s="196" t="s">
        <v>645</v>
      </c>
    </row>
    <row r="6" spans="1:15" ht="43.2">
      <c r="A6" s="75" t="s">
        <v>542</v>
      </c>
      <c r="B6" s="163" t="s">
        <v>346</v>
      </c>
      <c r="C6" s="163" t="s">
        <v>603</v>
      </c>
      <c r="D6" s="163" t="s">
        <v>582</v>
      </c>
      <c r="E6" s="163" t="s">
        <v>583</v>
      </c>
      <c r="F6" s="163" t="s">
        <v>541</v>
      </c>
      <c r="G6" s="197" t="s">
        <v>1380</v>
      </c>
      <c r="H6" s="197" t="s">
        <v>1381</v>
      </c>
      <c r="I6" s="197" t="s">
        <v>1382</v>
      </c>
      <c r="J6" s="197" t="s">
        <v>808</v>
      </c>
      <c r="K6" s="197" t="s">
        <v>638</v>
      </c>
      <c r="L6" s="197" t="s">
        <v>953</v>
      </c>
      <c r="M6" s="163" t="s">
        <v>608</v>
      </c>
      <c r="N6" s="163" t="s">
        <v>609</v>
      </c>
      <c r="O6" s="234" t="s">
        <v>1383</v>
      </c>
    </row>
    <row r="7" spans="1:15" ht="15" outlineLevel="2">
      <c r="A7" s="235" t="s">
        <v>584</v>
      </c>
      <c r="B7" s="236" t="s">
        <v>1231</v>
      </c>
      <c r="C7" s="235" t="s">
        <v>1312</v>
      </c>
      <c r="D7" s="233">
        <v>43886</v>
      </c>
      <c r="E7" s="233">
        <v>43888</v>
      </c>
      <c r="F7" s="196">
        <v>1</v>
      </c>
      <c r="G7" s="165">
        <v>3</v>
      </c>
      <c r="H7" s="165">
        <v>0</v>
      </c>
      <c r="I7" s="165">
        <v>0</v>
      </c>
      <c r="J7" s="244">
        <v>0</v>
      </c>
      <c r="K7" s="244">
        <v>0</v>
      </c>
      <c r="L7" s="244">
        <f t="shared" ref="L7:L21" si="0">K7-J7</f>
        <v>0</v>
      </c>
      <c r="O7" s="196">
        <v>0</v>
      </c>
    </row>
    <row r="8" spans="1:15" ht="15" outlineLevel="2">
      <c r="A8" s="235" t="s">
        <v>584</v>
      </c>
      <c r="B8" s="236" t="s">
        <v>1342</v>
      </c>
      <c r="C8" s="235" t="s">
        <v>1312</v>
      </c>
      <c r="D8" s="233">
        <v>43886</v>
      </c>
      <c r="E8" s="233">
        <v>43886</v>
      </c>
      <c r="F8" s="196">
        <v>1</v>
      </c>
      <c r="G8" s="165">
        <v>1</v>
      </c>
      <c r="H8" s="165">
        <v>0</v>
      </c>
      <c r="I8" s="165">
        <v>0</v>
      </c>
      <c r="J8" s="244">
        <v>0</v>
      </c>
      <c r="K8" s="244">
        <v>0</v>
      </c>
      <c r="L8" s="244">
        <f t="shared" si="0"/>
        <v>0</v>
      </c>
      <c r="O8" s="196">
        <v>0</v>
      </c>
    </row>
    <row r="9" spans="1:15" ht="15" outlineLevel="2">
      <c r="A9" s="235" t="s">
        <v>584</v>
      </c>
      <c r="B9" s="236" t="s">
        <v>1345</v>
      </c>
      <c r="C9" s="235" t="s">
        <v>1312</v>
      </c>
      <c r="D9" s="233">
        <v>43886</v>
      </c>
      <c r="E9" s="233">
        <v>43887</v>
      </c>
      <c r="F9" s="196">
        <v>1</v>
      </c>
      <c r="G9" s="165">
        <v>2</v>
      </c>
      <c r="H9" s="165">
        <v>0</v>
      </c>
      <c r="I9" s="165">
        <v>0</v>
      </c>
      <c r="J9" s="244">
        <v>0</v>
      </c>
      <c r="K9" s="244">
        <v>0</v>
      </c>
      <c r="L9" s="244">
        <f t="shared" si="0"/>
        <v>0</v>
      </c>
      <c r="O9" s="196">
        <v>0</v>
      </c>
    </row>
    <row r="10" spans="1:15" ht="15" outlineLevel="2">
      <c r="A10" s="235" t="s">
        <v>584</v>
      </c>
      <c r="B10" s="236" t="s">
        <v>1348</v>
      </c>
      <c r="C10" s="235" t="s">
        <v>1312</v>
      </c>
      <c r="D10" s="233">
        <v>43888</v>
      </c>
      <c r="E10" s="233">
        <v>43888</v>
      </c>
      <c r="F10" s="196">
        <v>1</v>
      </c>
      <c r="G10" s="165">
        <v>1</v>
      </c>
      <c r="H10" s="165">
        <v>0</v>
      </c>
      <c r="I10" s="165">
        <v>0</v>
      </c>
      <c r="J10" s="244">
        <v>0</v>
      </c>
      <c r="K10" s="244">
        <v>0</v>
      </c>
      <c r="L10" s="244">
        <f t="shared" si="0"/>
        <v>0</v>
      </c>
      <c r="O10" s="196">
        <v>0</v>
      </c>
    </row>
    <row r="11" spans="1:15" ht="15" outlineLevel="1">
      <c r="A11" s="237" t="s">
        <v>1384</v>
      </c>
      <c r="B11" s="238"/>
      <c r="C11" s="239"/>
      <c r="D11" s="240"/>
      <c r="E11" s="240"/>
      <c r="F11" s="241"/>
      <c r="G11" s="242">
        <f>SUBTOTAL(9,G7:G10)</f>
        <v>7</v>
      </c>
      <c r="H11" s="242">
        <f>SUBTOTAL(9,H7:H10)</f>
        <v>0</v>
      </c>
      <c r="I11" s="242">
        <f>SUBTOTAL(9,I7:I10)</f>
        <v>0</v>
      </c>
      <c r="J11" s="245">
        <f>H11/G11</f>
        <v>0</v>
      </c>
      <c r="K11" s="245">
        <f>I11/G11</f>
        <v>0</v>
      </c>
      <c r="L11" s="245">
        <f t="shared" si="0"/>
        <v>0</v>
      </c>
      <c r="M11" s="241"/>
      <c r="N11" s="241"/>
      <c r="O11" s="241">
        <f>SUBTOTAL(9,O7:O10)</f>
        <v>0</v>
      </c>
    </row>
    <row r="12" spans="1:15" ht="15" outlineLevel="2">
      <c r="A12" s="235" t="s">
        <v>1316</v>
      </c>
      <c r="B12" s="236" t="s">
        <v>1347</v>
      </c>
      <c r="C12" s="235" t="s">
        <v>1308</v>
      </c>
      <c r="D12" s="233">
        <v>43882</v>
      </c>
      <c r="E12" s="233">
        <v>43885</v>
      </c>
      <c r="F12" s="196">
        <v>1</v>
      </c>
      <c r="G12" s="165">
        <v>2</v>
      </c>
      <c r="H12" s="165">
        <v>2</v>
      </c>
      <c r="I12" s="165">
        <v>0</v>
      </c>
      <c r="J12" s="244">
        <v>1</v>
      </c>
      <c r="K12" s="244">
        <v>0</v>
      </c>
      <c r="L12" s="246">
        <f t="shared" si="0"/>
        <v>-1</v>
      </c>
      <c r="M12" s="233">
        <v>43882</v>
      </c>
      <c r="O12" s="196">
        <v>0</v>
      </c>
    </row>
    <row r="13" spans="1:15" ht="15" outlineLevel="1">
      <c r="A13" s="237" t="s">
        <v>1385</v>
      </c>
      <c r="B13" s="238"/>
      <c r="C13" s="239"/>
      <c r="D13" s="240"/>
      <c r="E13" s="240"/>
      <c r="F13" s="241"/>
      <c r="G13" s="242">
        <f>SUBTOTAL(9,G12:G12)</f>
        <v>2</v>
      </c>
      <c r="H13" s="242">
        <f>SUBTOTAL(9,H12:H12)</f>
        <v>2</v>
      </c>
      <c r="I13" s="242">
        <f>SUBTOTAL(9,I12:I12)</f>
        <v>0</v>
      </c>
      <c r="J13" s="245">
        <f>H13/G13</f>
        <v>1</v>
      </c>
      <c r="K13" s="245">
        <f>I13/G13</f>
        <v>0</v>
      </c>
      <c r="L13" s="247">
        <f t="shared" si="0"/>
        <v>-1</v>
      </c>
      <c r="M13" s="240"/>
      <c r="N13" s="241"/>
      <c r="O13" s="241">
        <f>SUBTOTAL(9,O12:O12)</f>
        <v>0</v>
      </c>
    </row>
    <row r="14" spans="1:15" ht="15" outlineLevel="2">
      <c r="A14" s="235" t="s">
        <v>1374</v>
      </c>
      <c r="B14" s="236" t="s">
        <v>1284</v>
      </c>
      <c r="C14" s="235" t="s">
        <v>1310</v>
      </c>
      <c r="D14" s="233">
        <v>43885</v>
      </c>
      <c r="E14" s="233">
        <v>43889</v>
      </c>
      <c r="F14" s="196">
        <v>1</v>
      </c>
      <c r="G14" s="165">
        <v>2.5</v>
      </c>
      <c r="H14" s="165">
        <v>0.5</v>
      </c>
      <c r="I14" s="165">
        <v>0</v>
      </c>
      <c r="J14" s="244">
        <v>0.2</v>
      </c>
      <c r="K14" s="244">
        <v>0</v>
      </c>
      <c r="L14" s="246">
        <f t="shared" si="0"/>
        <v>-0.2</v>
      </c>
      <c r="M14" s="233">
        <v>43885</v>
      </c>
      <c r="O14" s="196">
        <v>0</v>
      </c>
    </row>
    <row r="15" spans="1:15" ht="15" outlineLevel="1">
      <c r="A15" s="237" t="s">
        <v>1386</v>
      </c>
      <c r="B15" s="238"/>
      <c r="C15" s="239"/>
      <c r="D15" s="240"/>
      <c r="E15" s="240"/>
      <c r="F15" s="241"/>
      <c r="G15" s="242">
        <f>SUBTOTAL(9,G14:G14)</f>
        <v>2.5</v>
      </c>
      <c r="H15" s="242">
        <f>SUBTOTAL(9,H14:H14)</f>
        <v>0.5</v>
      </c>
      <c r="I15" s="242">
        <f>SUBTOTAL(9,I14:I14)</f>
        <v>0</v>
      </c>
      <c r="J15" s="245">
        <f>H15/G15</f>
        <v>0.2</v>
      </c>
      <c r="K15" s="245">
        <f>I15/G15</f>
        <v>0</v>
      </c>
      <c r="L15" s="247">
        <f t="shared" si="0"/>
        <v>-0.2</v>
      </c>
      <c r="M15" s="240"/>
      <c r="N15" s="241"/>
      <c r="O15" s="241">
        <f>SUBTOTAL(9,O14:O14)</f>
        <v>0</v>
      </c>
    </row>
    <row r="16" spans="1:15" ht="15" outlineLevel="2">
      <c r="A16" s="235" t="s">
        <v>1339</v>
      </c>
      <c r="B16" s="236" t="s">
        <v>1283</v>
      </c>
      <c r="C16" s="235" t="s">
        <v>1309</v>
      </c>
      <c r="D16" s="233">
        <v>43885</v>
      </c>
      <c r="E16" s="233">
        <v>43885</v>
      </c>
      <c r="F16" s="196">
        <v>1</v>
      </c>
      <c r="G16" s="165">
        <v>1</v>
      </c>
      <c r="H16" s="165">
        <v>1</v>
      </c>
      <c r="I16" s="165">
        <v>1</v>
      </c>
      <c r="J16" s="244">
        <v>1</v>
      </c>
      <c r="K16" s="244">
        <v>1</v>
      </c>
      <c r="L16" s="244">
        <f t="shared" si="0"/>
        <v>0</v>
      </c>
      <c r="M16" s="233">
        <v>43885</v>
      </c>
      <c r="N16" s="233">
        <v>43885</v>
      </c>
      <c r="O16" s="196">
        <v>1</v>
      </c>
    </row>
    <row r="17" spans="1:15" ht="15" outlineLevel="2">
      <c r="A17" s="235" t="s">
        <v>1339</v>
      </c>
      <c r="B17" s="236" t="s">
        <v>1341</v>
      </c>
      <c r="C17" s="235" t="s">
        <v>1308</v>
      </c>
      <c r="D17" s="233">
        <v>43885</v>
      </c>
      <c r="E17" s="233">
        <v>43885</v>
      </c>
      <c r="F17" s="196">
        <v>1</v>
      </c>
      <c r="G17" s="165">
        <v>1</v>
      </c>
      <c r="H17" s="165">
        <v>1</v>
      </c>
      <c r="I17" s="165">
        <v>1</v>
      </c>
      <c r="J17" s="244">
        <v>1</v>
      </c>
      <c r="K17" s="244">
        <v>1</v>
      </c>
      <c r="L17" s="244">
        <f t="shared" si="0"/>
        <v>0</v>
      </c>
      <c r="M17" s="233">
        <v>43885</v>
      </c>
      <c r="N17" s="233">
        <v>43885</v>
      </c>
      <c r="O17" s="196">
        <v>1</v>
      </c>
    </row>
    <row r="18" spans="1:15" ht="15" outlineLevel="2">
      <c r="A18" s="235" t="s">
        <v>1339</v>
      </c>
      <c r="B18" s="236" t="s">
        <v>1344</v>
      </c>
      <c r="C18" s="235" t="s">
        <v>1309</v>
      </c>
      <c r="D18" s="233">
        <v>43885</v>
      </c>
      <c r="E18" s="233">
        <v>43885</v>
      </c>
      <c r="F18" s="196">
        <v>1</v>
      </c>
      <c r="G18" s="165">
        <v>1</v>
      </c>
      <c r="H18" s="165">
        <v>1</v>
      </c>
      <c r="I18" s="165">
        <v>0</v>
      </c>
      <c r="J18" s="244">
        <v>1</v>
      </c>
      <c r="K18" s="244">
        <v>0</v>
      </c>
      <c r="L18" s="246">
        <f t="shared" si="0"/>
        <v>-1</v>
      </c>
      <c r="O18" s="196">
        <v>0</v>
      </c>
    </row>
    <row r="19" spans="1:15" ht="15" outlineLevel="1">
      <c r="A19" s="237" t="s">
        <v>1387</v>
      </c>
      <c r="B19" s="238"/>
      <c r="C19" s="239"/>
      <c r="D19" s="240"/>
      <c r="E19" s="240"/>
      <c r="F19" s="241"/>
      <c r="G19" s="242">
        <f>SUBTOTAL(9,G16:G18)</f>
        <v>3</v>
      </c>
      <c r="H19" s="242">
        <f>SUBTOTAL(9,H16:H18)</f>
        <v>3</v>
      </c>
      <c r="I19" s="242">
        <f>SUBTOTAL(9,I16:I18)</f>
        <v>2</v>
      </c>
      <c r="J19" s="245">
        <f>H19/G19</f>
        <v>1</v>
      </c>
      <c r="K19" s="245">
        <f>I19/G19</f>
        <v>0.66666666666666663</v>
      </c>
      <c r="L19" s="247">
        <f t="shared" si="0"/>
        <v>-0.33333333333333337</v>
      </c>
      <c r="M19" s="241"/>
      <c r="N19" s="241"/>
      <c r="O19" s="241">
        <f>SUBTOTAL(9,O16:O18)</f>
        <v>2</v>
      </c>
    </row>
    <row r="20" spans="1:15" ht="15" outlineLevel="2">
      <c r="A20" s="235" t="s">
        <v>1375</v>
      </c>
      <c r="B20" s="236" t="s">
        <v>1284</v>
      </c>
      <c r="C20" s="235" t="s">
        <v>1310</v>
      </c>
      <c r="D20" s="233">
        <v>43885</v>
      </c>
      <c r="E20" s="233">
        <v>43889</v>
      </c>
      <c r="F20" s="196">
        <v>1</v>
      </c>
      <c r="G20" s="165">
        <v>2.5</v>
      </c>
      <c r="H20" s="165">
        <v>0.5</v>
      </c>
      <c r="I20" s="165">
        <v>0</v>
      </c>
      <c r="J20" s="244">
        <v>0.2</v>
      </c>
      <c r="K20" s="244">
        <v>0</v>
      </c>
      <c r="L20" s="246">
        <f t="shared" si="0"/>
        <v>-0.2</v>
      </c>
      <c r="M20" s="233">
        <v>43885</v>
      </c>
      <c r="O20" s="196">
        <v>0</v>
      </c>
    </row>
    <row r="21" spans="1:15" ht="15" outlineLevel="1">
      <c r="A21" s="237" t="s">
        <v>1388</v>
      </c>
      <c r="B21" s="238"/>
      <c r="C21" s="239"/>
      <c r="D21" s="240"/>
      <c r="E21" s="240"/>
      <c r="F21" s="241"/>
      <c r="G21" s="242">
        <f>SUBTOTAL(9,G20:G20)</f>
        <v>2.5</v>
      </c>
      <c r="H21" s="242">
        <f>SUBTOTAL(9,H20:H20)</f>
        <v>0.5</v>
      </c>
      <c r="I21" s="242">
        <f>SUBTOTAL(9,I20:I20)</f>
        <v>0</v>
      </c>
      <c r="J21" s="245">
        <f>H21/G21</f>
        <v>0.2</v>
      </c>
      <c r="K21" s="245">
        <f>I21/G21</f>
        <v>0</v>
      </c>
      <c r="L21" s="247">
        <f t="shared" si="0"/>
        <v>-0.2</v>
      </c>
      <c r="M21" s="240"/>
      <c r="N21" s="241"/>
      <c r="O21" s="241">
        <f>SUBTOTAL(9,O20:O20)</f>
        <v>0</v>
      </c>
    </row>
    <row r="22" spans="1:15" outlineLevel="1">
      <c r="J22" s="244"/>
      <c r="K22" s="244"/>
      <c r="L22" s="244"/>
    </row>
    <row r="23" spans="1:15" outlineLevel="1">
      <c r="A23" s="243" t="s">
        <v>1389</v>
      </c>
      <c r="B23" s="241"/>
      <c r="C23" s="241"/>
      <c r="D23" s="241"/>
      <c r="E23" s="241"/>
      <c r="F23" s="241"/>
      <c r="G23" s="242">
        <f>SUBTOTAL(9,G7:G22)</f>
        <v>17</v>
      </c>
      <c r="H23" s="242">
        <f>SUBTOTAL(9,H7:H22)</f>
        <v>6</v>
      </c>
      <c r="I23" s="242">
        <f>SUBTOTAL(9,I7:I22)</f>
        <v>2</v>
      </c>
      <c r="J23" s="245">
        <f>H23/G23</f>
        <v>0.35294117647058826</v>
      </c>
      <c r="K23" s="245">
        <f>I23/G23</f>
        <v>0.11764705882352941</v>
      </c>
      <c r="L23" s="247">
        <f>K23-J23</f>
        <v>-0.23529411764705885</v>
      </c>
      <c r="M23" s="241"/>
      <c r="N23" s="241"/>
      <c r="O23" s="241">
        <f>SUBTOTAL(9,O7:O22)</f>
        <v>2</v>
      </c>
    </row>
  </sheetData>
  <sortState xmlns:xlrd2="http://schemas.microsoft.com/office/spreadsheetml/2017/richdata2" ref="A7:O20">
    <sortCondition ref="A7:A55"/>
    <sortCondition ref="B7:B55"/>
  </sortState>
  <dataConsolidate/>
  <phoneticPr fontId="2" type="noConversion"/>
  <hyperlinks>
    <hyperlink ref="B7" location="Schedule!$D$9" display="1.4" xr:uid="{1AE55FEC-8EB2-4BB5-BADE-C173929708FF}"/>
    <hyperlink ref="B16" location="Schedule!$D$13" display="2.1" xr:uid="{3C72001D-277F-48D0-B530-8B833C86B533}"/>
    <hyperlink ref="B14" location="Schedule!$D$14" display="2.2" xr:uid="{04F9873B-560A-4233-9303-85C45E54DA63}"/>
    <hyperlink ref="B20" location="Schedule!$D$14" display="2.2" xr:uid="{1B301D48-7F56-421A-A144-A11C988DC24F}"/>
    <hyperlink ref="B17" location="Schedule!$D$19" display="3.1" xr:uid="{ECC2C666-F3BE-421C-B058-66FE19B97E6A}"/>
    <hyperlink ref="B8" location="Schedule!$D$20" display="3.2" xr:uid="{46838341-5754-4F21-90F9-A337C576F0A3}"/>
    <hyperlink ref="B18" location="Schedule!$D$24" display="4.1" xr:uid="{EABFA003-AB98-486C-9AE1-54F04B347E0A}"/>
    <hyperlink ref="B9" location="Schedule!$D$25" display="4.2" xr:uid="{553AABA5-42EB-4A6F-8143-F675BDBB3E99}"/>
    <hyperlink ref="B12" location="Schedule!$D$29" display="5.1" xr:uid="{40219C4D-4EF2-4213-9CCD-B6B952CE3067}"/>
    <hyperlink ref="B10" location="Schedule!$D$30" display="5.2" xr:uid="{6BE0E808-71C3-46CA-838E-8E5FD43052F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E24" sqref="E24"/>
    </sheetView>
  </sheetViews>
  <sheetFormatPr defaultColWidth="10" defaultRowHeight="14.4"/>
  <cols>
    <col min="1" max="1" width="31.59765625" style="80" customWidth="1"/>
    <col min="2" max="2" width="14.5" style="80" customWidth="1"/>
    <col min="3" max="3" width="7.59765625" style="80" customWidth="1"/>
    <col min="4" max="4" width="21.5" style="80" customWidth="1"/>
    <col min="5" max="5" width="14.09765625" style="80" customWidth="1"/>
    <col min="6" max="6" width="10" style="80"/>
    <col min="7" max="7" width="24.19921875" style="80" customWidth="1"/>
    <col min="8" max="8" width="18.3984375" style="80" bestFit="1" customWidth="1"/>
    <col min="9" max="9" width="11.09765625" style="80" bestFit="1" customWidth="1"/>
    <col min="10" max="10" width="27.3984375" style="80" bestFit="1" customWidth="1"/>
    <col min="11" max="19" width="10" style="80"/>
    <col min="20" max="23" width="10" style="80" customWidth="1"/>
    <col min="24" max="16384" width="10" style="80"/>
  </cols>
  <sheetData>
    <row r="1" spans="1:9" s="76" customFormat="1" ht="36.9" customHeight="1">
      <c r="A1" s="13" t="s">
        <v>1147</v>
      </c>
      <c r="B1" s="13"/>
      <c r="C1" s="13"/>
      <c r="D1" s="13"/>
      <c r="E1" s="13"/>
      <c r="F1" s="13"/>
      <c r="G1" s="13"/>
      <c r="H1" s="13"/>
    </row>
    <row r="2" spans="1:9" s="77" customFormat="1" ht="78.75" customHeight="1">
      <c r="A2" s="288" t="s">
        <v>1148</v>
      </c>
      <c r="B2" s="288"/>
      <c r="C2" s="288"/>
      <c r="D2" s="288"/>
      <c r="E2" s="288"/>
      <c r="F2" s="288"/>
      <c r="G2" s="288"/>
      <c r="H2" s="288"/>
    </row>
    <row r="3" spans="1:9" s="77" customFormat="1" ht="24.75" customHeight="1">
      <c r="A3" s="289" t="s">
        <v>1149</v>
      </c>
      <c r="B3" s="289"/>
      <c r="D3" s="289" t="s">
        <v>1150</v>
      </c>
      <c r="E3" s="289"/>
      <c r="G3" s="289" t="s">
        <v>1151</v>
      </c>
      <c r="H3" s="289"/>
    </row>
    <row r="4" spans="1:9" s="79" customFormat="1" ht="19.5" customHeight="1">
      <c r="A4" s="78" t="s">
        <v>1152</v>
      </c>
      <c r="B4" s="78" t="s">
        <v>1153</v>
      </c>
      <c r="D4" s="78" t="s">
        <v>1152</v>
      </c>
      <c r="E4" s="78" t="s">
        <v>1153</v>
      </c>
      <c r="G4" s="78" t="s">
        <v>1152</v>
      </c>
      <c r="H4" s="78" t="s">
        <v>1153</v>
      </c>
    </row>
    <row r="5" spans="1:9" s="190" customFormat="1" ht="17.399999999999999">
      <c r="A5" s="188" t="s">
        <v>1250</v>
      </c>
      <c r="B5" s="189">
        <v>43466</v>
      </c>
      <c r="C5" s="190" t="str">
        <f t="shared" ref="C5:C68" si="0">IF(B5&gt;0,TEXT(B5,"(aaa)"),"")</f>
        <v>(화)</v>
      </c>
      <c r="D5" s="191"/>
      <c r="E5" s="192"/>
      <c r="F5" s="190" t="str">
        <f t="shared" ref="F5:F68" si="1">IF(E5&gt;0,TEXT(E5,"(aaa)"),"")</f>
        <v/>
      </c>
      <c r="G5" s="191"/>
      <c r="H5" s="192"/>
      <c r="I5" s="190" t="str">
        <f t="shared" ref="I5:I68" si="2">IF(H5&gt;0,TEXT(H5,"(aaa)"),"")</f>
        <v/>
      </c>
    </row>
    <row r="6" spans="1:9" s="190" customFormat="1" ht="17.399999999999999">
      <c r="A6" s="188" t="s">
        <v>1251</v>
      </c>
      <c r="B6" s="189">
        <v>43500</v>
      </c>
      <c r="C6" s="190" t="str">
        <f t="shared" si="0"/>
        <v>(월)</v>
      </c>
      <c r="D6" s="191"/>
      <c r="E6" s="192"/>
      <c r="F6" s="190" t="str">
        <f t="shared" si="1"/>
        <v/>
      </c>
      <c r="G6" s="191"/>
      <c r="H6" s="192"/>
      <c r="I6" s="190" t="str">
        <f t="shared" si="2"/>
        <v/>
      </c>
    </row>
    <row r="7" spans="1:9" s="190" customFormat="1" ht="17.399999999999999">
      <c r="A7" s="188" t="s">
        <v>1252</v>
      </c>
      <c r="B7" s="189">
        <v>43501</v>
      </c>
      <c r="C7" s="190" t="str">
        <f t="shared" si="0"/>
        <v>(화)</v>
      </c>
      <c r="D7" s="191"/>
      <c r="E7" s="192"/>
      <c r="F7" s="190" t="str">
        <f t="shared" si="1"/>
        <v/>
      </c>
      <c r="G7" s="191"/>
      <c r="H7" s="192"/>
      <c r="I7" s="190" t="str">
        <f t="shared" si="2"/>
        <v/>
      </c>
    </row>
    <row r="8" spans="1:9" s="190" customFormat="1" ht="17.399999999999999">
      <c r="A8" s="188" t="s">
        <v>1251</v>
      </c>
      <c r="B8" s="189">
        <v>43502</v>
      </c>
      <c r="C8" s="190" t="str">
        <f t="shared" si="0"/>
        <v>(수)</v>
      </c>
      <c r="D8" s="191"/>
      <c r="E8" s="192"/>
      <c r="F8" s="190" t="str">
        <f t="shared" si="1"/>
        <v/>
      </c>
      <c r="G8" s="191"/>
      <c r="H8" s="192"/>
      <c r="I8" s="190" t="str">
        <f t="shared" si="2"/>
        <v/>
      </c>
    </row>
    <row r="9" spans="1:9" s="190" customFormat="1" ht="17.399999999999999">
      <c r="A9" s="188" t="s">
        <v>1253</v>
      </c>
      <c r="B9" s="189">
        <v>43525</v>
      </c>
      <c r="C9" s="190" t="str">
        <f t="shared" si="0"/>
        <v>(금)</v>
      </c>
      <c r="D9" s="191"/>
      <c r="E9" s="192"/>
      <c r="F9" s="190" t="str">
        <f t="shared" si="1"/>
        <v/>
      </c>
      <c r="G9" s="191"/>
      <c r="H9" s="192"/>
      <c r="I9" s="190" t="str">
        <f t="shared" si="2"/>
        <v/>
      </c>
    </row>
    <row r="10" spans="1:9" s="190" customFormat="1" ht="17.399999999999999">
      <c r="A10" s="188" t="s">
        <v>1254</v>
      </c>
      <c r="B10" s="189">
        <v>43591</v>
      </c>
      <c r="C10" s="190" t="str">
        <f t="shared" si="0"/>
        <v>(월)</v>
      </c>
      <c r="D10" s="191"/>
      <c r="E10" s="192"/>
      <c r="F10" s="190" t="str">
        <f t="shared" si="1"/>
        <v/>
      </c>
      <c r="G10" s="191"/>
      <c r="H10" s="192"/>
      <c r="I10" s="190" t="str">
        <f t="shared" si="2"/>
        <v/>
      </c>
    </row>
    <row r="11" spans="1:9" s="190" customFormat="1" ht="17.399999999999999">
      <c r="A11" s="188" t="s">
        <v>1255</v>
      </c>
      <c r="B11" s="189">
        <v>43622</v>
      </c>
      <c r="C11" s="190" t="str">
        <f t="shared" si="0"/>
        <v>(목)</v>
      </c>
      <c r="D11" s="191"/>
      <c r="E11" s="192"/>
      <c r="F11" s="190" t="str">
        <f t="shared" si="1"/>
        <v/>
      </c>
      <c r="G11" s="191"/>
      <c r="H11" s="192"/>
      <c r="I11" s="190" t="str">
        <f t="shared" si="2"/>
        <v/>
      </c>
    </row>
    <row r="12" spans="1:9" s="190" customFormat="1" ht="17.399999999999999">
      <c r="A12" s="188" t="s">
        <v>1256</v>
      </c>
      <c r="B12" s="189">
        <v>43692</v>
      </c>
      <c r="C12" s="190" t="str">
        <f t="shared" si="0"/>
        <v>(목)</v>
      </c>
      <c r="D12" s="191"/>
      <c r="E12" s="192"/>
      <c r="F12" s="190" t="str">
        <f t="shared" si="1"/>
        <v/>
      </c>
      <c r="G12" s="191"/>
      <c r="H12" s="192"/>
      <c r="I12" s="190" t="str">
        <f t="shared" si="2"/>
        <v/>
      </c>
    </row>
    <row r="13" spans="1:9" s="190" customFormat="1" ht="17.399999999999999">
      <c r="A13" s="188" t="s">
        <v>1257</v>
      </c>
      <c r="B13" s="189">
        <v>43720</v>
      </c>
      <c r="C13" s="190" t="str">
        <f t="shared" si="0"/>
        <v>(목)</v>
      </c>
      <c r="D13" s="191"/>
      <c r="E13" s="192"/>
      <c r="F13" s="190" t="str">
        <f t="shared" si="1"/>
        <v/>
      </c>
      <c r="G13" s="191"/>
      <c r="H13" s="192"/>
      <c r="I13" s="190" t="str">
        <f t="shared" si="2"/>
        <v/>
      </c>
    </row>
    <row r="14" spans="1:9" s="190" customFormat="1" ht="17.399999999999999">
      <c r="A14" s="188" t="s">
        <v>1258</v>
      </c>
      <c r="B14" s="189">
        <v>43721</v>
      </c>
      <c r="C14" s="190" t="str">
        <f t="shared" si="0"/>
        <v>(금)</v>
      </c>
      <c r="D14" s="191"/>
      <c r="E14" s="192"/>
      <c r="F14" s="190" t="str">
        <f t="shared" si="1"/>
        <v/>
      </c>
      <c r="G14" s="191"/>
      <c r="H14" s="192"/>
      <c r="I14" s="190" t="str">
        <f t="shared" si="2"/>
        <v/>
      </c>
    </row>
    <row r="15" spans="1:9" s="190" customFormat="1" ht="17.399999999999999">
      <c r="A15" s="188" t="s">
        <v>1259</v>
      </c>
      <c r="B15" s="189">
        <v>43741</v>
      </c>
      <c r="C15" s="190" t="str">
        <f t="shared" si="0"/>
        <v>(목)</v>
      </c>
      <c r="D15" s="191"/>
      <c r="E15" s="192"/>
      <c r="F15" s="190" t="str">
        <f t="shared" si="1"/>
        <v/>
      </c>
      <c r="G15" s="191"/>
      <c r="H15" s="192"/>
      <c r="I15" s="190" t="str">
        <f t="shared" si="2"/>
        <v/>
      </c>
    </row>
    <row r="16" spans="1:9" s="190" customFormat="1" ht="17.399999999999999">
      <c r="A16" s="188" t="s">
        <v>1260</v>
      </c>
      <c r="B16" s="189">
        <v>43747</v>
      </c>
      <c r="C16" s="190" t="str">
        <f t="shared" si="0"/>
        <v>(수)</v>
      </c>
      <c r="D16" s="191"/>
      <c r="E16" s="192"/>
      <c r="F16" s="190" t="str">
        <f t="shared" si="1"/>
        <v/>
      </c>
      <c r="G16" s="191"/>
      <c r="H16" s="192"/>
      <c r="I16" s="190" t="str">
        <f t="shared" si="2"/>
        <v/>
      </c>
    </row>
    <row r="17" spans="1:10" s="190" customFormat="1" ht="17.399999999999999">
      <c r="A17" s="188" t="s">
        <v>1261</v>
      </c>
      <c r="B17" s="189">
        <v>43824</v>
      </c>
      <c r="C17" s="190" t="str">
        <f t="shared" si="0"/>
        <v>(수)</v>
      </c>
      <c r="D17" s="191"/>
      <c r="E17" s="192"/>
      <c r="F17" s="190" t="str">
        <f t="shared" si="1"/>
        <v/>
      </c>
      <c r="G17" s="191"/>
      <c r="H17" s="192"/>
      <c r="I17" s="190" t="str">
        <f t="shared" si="2"/>
        <v/>
      </c>
    </row>
    <row r="18" spans="1:10" s="190" customFormat="1" ht="17.399999999999999">
      <c r="A18" s="188" t="s">
        <v>1248</v>
      </c>
      <c r="B18" s="189">
        <v>43831</v>
      </c>
      <c r="C18" s="190" t="str">
        <f t="shared" si="0"/>
        <v>(수)</v>
      </c>
      <c r="D18" s="191"/>
      <c r="E18" s="192"/>
      <c r="F18" s="190" t="str">
        <f t="shared" si="1"/>
        <v/>
      </c>
      <c r="G18" s="191"/>
      <c r="H18" s="192"/>
      <c r="I18" s="190" t="str">
        <f t="shared" si="2"/>
        <v/>
      </c>
    </row>
    <row r="19" spans="1:10" s="190" customFormat="1" ht="19.2">
      <c r="A19" s="188" t="s">
        <v>1249</v>
      </c>
      <c r="B19" s="189">
        <v>43854</v>
      </c>
      <c r="C19" s="190" t="str">
        <f t="shared" si="0"/>
        <v>(금)</v>
      </c>
      <c r="D19" s="191"/>
      <c r="E19" s="192"/>
      <c r="F19" s="190" t="str">
        <f t="shared" si="1"/>
        <v/>
      </c>
      <c r="G19" s="191"/>
      <c r="H19" s="192"/>
      <c r="I19" s="190" t="str">
        <f t="shared" si="2"/>
        <v/>
      </c>
      <c r="J19" s="193"/>
    </row>
    <row r="20" spans="1:10" s="190" customFormat="1" ht="19.2">
      <c r="A20" s="188" t="s">
        <v>1262</v>
      </c>
      <c r="B20" s="189">
        <v>43857</v>
      </c>
      <c r="C20" s="190" t="str">
        <f t="shared" si="0"/>
        <v>(월)</v>
      </c>
      <c r="D20" s="191"/>
      <c r="E20" s="192"/>
      <c r="F20" s="190" t="str">
        <f t="shared" si="1"/>
        <v/>
      </c>
      <c r="G20" s="191"/>
      <c r="H20" s="192"/>
      <c r="I20" s="190" t="str">
        <f t="shared" si="2"/>
        <v/>
      </c>
      <c r="J20" s="193"/>
    </row>
    <row r="21" spans="1:10" s="190" customFormat="1" ht="17.399999999999999">
      <c r="A21" s="188" t="s">
        <v>1263</v>
      </c>
      <c r="B21" s="189">
        <v>43936</v>
      </c>
      <c r="C21" s="190" t="str">
        <f t="shared" si="0"/>
        <v>(수)</v>
      </c>
      <c r="D21" s="191"/>
      <c r="E21" s="192"/>
      <c r="F21" s="190" t="str">
        <f t="shared" si="1"/>
        <v/>
      </c>
      <c r="G21" s="191"/>
      <c r="H21" s="192"/>
      <c r="I21" s="190" t="str">
        <f t="shared" si="2"/>
        <v/>
      </c>
    </row>
    <row r="22" spans="1:10" s="190" customFormat="1" ht="17.399999999999999">
      <c r="A22" s="188" t="s">
        <v>1264</v>
      </c>
      <c r="B22" s="189">
        <v>43951</v>
      </c>
      <c r="C22" s="190" t="str">
        <f t="shared" si="0"/>
        <v>(목)</v>
      </c>
      <c r="D22" s="191"/>
      <c r="E22" s="192"/>
      <c r="F22" s="190" t="str">
        <f t="shared" si="1"/>
        <v/>
      </c>
      <c r="G22" s="191"/>
      <c r="H22" s="192"/>
      <c r="I22" s="190" t="str">
        <f t="shared" si="2"/>
        <v/>
      </c>
    </row>
    <row r="23" spans="1:10" s="190" customFormat="1" ht="17.399999999999999">
      <c r="A23" s="188" t="s">
        <v>1265</v>
      </c>
      <c r="B23" s="189">
        <v>43956</v>
      </c>
      <c r="C23" s="190" t="str">
        <f t="shared" si="0"/>
        <v>(화)</v>
      </c>
      <c r="D23" s="191"/>
      <c r="E23" s="192"/>
      <c r="F23" s="190" t="str">
        <f t="shared" si="1"/>
        <v/>
      </c>
      <c r="G23" s="191"/>
      <c r="H23" s="192"/>
      <c r="I23" s="190" t="str">
        <f t="shared" si="2"/>
        <v/>
      </c>
    </row>
    <row r="24" spans="1:10" s="190" customFormat="1" ht="17.399999999999999">
      <c r="A24" s="188" t="s">
        <v>1267</v>
      </c>
      <c r="B24" s="189">
        <v>44104</v>
      </c>
      <c r="C24" s="190" t="str">
        <f t="shared" si="0"/>
        <v>(수)</v>
      </c>
      <c r="D24" s="191"/>
      <c r="E24" s="192"/>
      <c r="F24" s="190" t="str">
        <f t="shared" si="1"/>
        <v/>
      </c>
      <c r="G24" s="191"/>
      <c r="H24" s="192"/>
      <c r="I24" s="190" t="str">
        <f t="shared" si="2"/>
        <v/>
      </c>
    </row>
    <row r="25" spans="1:10" s="190" customFormat="1" ht="17.399999999999999">
      <c r="A25" s="188" t="s">
        <v>1268</v>
      </c>
      <c r="B25" s="189">
        <v>44105</v>
      </c>
      <c r="C25" s="190" t="str">
        <f t="shared" si="0"/>
        <v>(목)</v>
      </c>
      <c r="D25" s="191"/>
      <c r="E25" s="192"/>
      <c r="F25" s="190" t="str">
        <f t="shared" si="1"/>
        <v/>
      </c>
      <c r="G25" s="191"/>
      <c r="H25" s="192"/>
      <c r="I25" s="190" t="str">
        <f t="shared" si="2"/>
        <v/>
      </c>
    </row>
    <row r="26" spans="1:10" s="190" customFormat="1" ht="17.399999999999999">
      <c r="A26" s="188" t="s">
        <v>1267</v>
      </c>
      <c r="B26" s="189">
        <v>44106</v>
      </c>
      <c r="C26" s="190" t="str">
        <f t="shared" si="0"/>
        <v>(금)</v>
      </c>
      <c r="D26" s="191"/>
      <c r="E26" s="192"/>
      <c r="F26" s="190" t="str">
        <f t="shared" si="1"/>
        <v/>
      </c>
      <c r="G26" s="191"/>
      <c r="H26" s="192"/>
      <c r="I26" s="190" t="str">
        <f t="shared" si="2"/>
        <v/>
      </c>
    </row>
    <row r="27" spans="1:10" s="190" customFormat="1" ht="17.399999999999999">
      <c r="A27" s="188" t="s">
        <v>1269</v>
      </c>
      <c r="B27" s="189">
        <v>44113</v>
      </c>
      <c r="C27" s="190" t="str">
        <f t="shared" si="0"/>
        <v>(금)</v>
      </c>
      <c r="D27" s="191"/>
      <c r="E27" s="192"/>
      <c r="F27" s="190" t="str">
        <f t="shared" si="1"/>
        <v/>
      </c>
      <c r="G27" s="191"/>
      <c r="H27" s="192"/>
      <c r="I27" s="190" t="str">
        <f t="shared" si="2"/>
        <v/>
      </c>
    </row>
    <row r="28" spans="1:10" s="190" customFormat="1" ht="17.399999999999999">
      <c r="A28" s="188" t="s">
        <v>1270</v>
      </c>
      <c r="B28" s="189">
        <v>44190</v>
      </c>
      <c r="C28" s="190" t="str">
        <f t="shared" si="0"/>
        <v>(금)</v>
      </c>
      <c r="D28" s="191"/>
      <c r="E28" s="192"/>
      <c r="F28" s="190" t="str">
        <f t="shared" si="1"/>
        <v/>
      </c>
      <c r="G28" s="191"/>
      <c r="H28" s="192"/>
      <c r="I28" s="190" t="str">
        <f t="shared" si="2"/>
        <v/>
      </c>
    </row>
    <row r="29" spans="1:10" s="190" customFormat="1" ht="17.399999999999999">
      <c r="A29" s="188"/>
      <c r="B29" s="189"/>
      <c r="C29" s="190" t="str">
        <f t="shared" si="0"/>
        <v/>
      </c>
      <c r="D29" s="191"/>
      <c r="E29" s="192"/>
      <c r="F29" s="190" t="str">
        <f t="shared" si="1"/>
        <v/>
      </c>
      <c r="G29" s="191"/>
      <c r="H29" s="192"/>
      <c r="I29" s="190" t="str">
        <f t="shared" si="2"/>
        <v/>
      </c>
    </row>
    <row r="30" spans="1:10" s="190" customFormat="1" ht="17.399999999999999">
      <c r="A30" s="188"/>
      <c r="B30" s="189"/>
      <c r="C30" s="190" t="str">
        <f t="shared" si="0"/>
        <v/>
      </c>
      <c r="D30" s="191"/>
      <c r="E30" s="192"/>
      <c r="F30" s="190" t="str">
        <f t="shared" si="1"/>
        <v/>
      </c>
      <c r="G30" s="191"/>
      <c r="H30" s="192"/>
      <c r="I30" s="190" t="str">
        <f t="shared" si="2"/>
        <v/>
      </c>
    </row>
    <row r="31" spans="1:10" s="190" customFormat="1" ht="17.399999999999999">
      <c r="A31" s="188"/>
      <c r="B31" s="189"/>
      <c r="C31" s="190" t="str">
        <f t="shared" si="0"/>
        <v/>
      </c>
      <c r="D31" s="191"/>
      <c r="E31" s="192"/>
      <c r="F31" s="190" t="str">
        <f t="shared" si="1"/>
        <v/>
      </c>
      <c r="G31" s="191"/>
      <c r="H31" s="192"/>
      <c r="I31" s="190" t="str">
        <f t="shared" si="2"/>
        <v/>
      </c>
    </row>
    <row r="32" spans="1:10" s="190" customFormat="1" ht="17.399999999999999">
      <c r="A32" s="188"/>
      <c r="B32" s="189"/>
      <c r="C32" s="190" t="str">
        <f t="shared" si="0"/>
        <v/>
      </c>
      <c r="D32" s="191"/>
      <c r="E32" s="192"/>
      <c r="F32" s="190" t="str">
        <f t="shared" si="1"/>
        <v/>
      </c>
      <c r="G32" s="191"/>
      <c r="H32" s="192"/>
      <c r="I32" s="190" t="str">
        <f t="shared" si="2"/>
        <v/>
      </c>
    </row>
    <row r="33" spans="1:9" s="190" customFormat="1" ht="17.399999999999999">
      <c r="A33" s="188"/>
      <c r="B33" s="189"/>
      <c r="C33" s="190" t="str">
        <f t="shared" si="0"/>
        <v/>
      </c>
      <c r="D33" s="191"/>
      <c r="E33" s="192"/>
      <c r="F33" s="190" t="str">
        <f t="shared" si="1"/>
        <v/>
      </c>
      <c r="G33" s="191"/>
      <c r="H33" s="192"/>
      <c r="I33" s="190" t="str">
        <f t="shared" si="2"/>
        <v/>
      </c>
    </row>
    <row r="34" spans="1:9" s="190" customFormat="1" ht="17.399999999999999">
      <c r="A34" s="188"/>
      <c r="B34" s="189"/>
      <c r="C34" s="190" t="str">
        <f t="shared" si="0"/>
        <v/>
      </c>
      <c r="D34" s="191"/>
      <c r="E34" s="192"/>
      <c r="F34" s="190" t="str">
        <f t="shared" si="1"/>
        <v/>
      </c>
      <c r="G34" s="191"/>
      <c r="H34" s="192"/>
      <c r="I34" s="190" t="str">
        <f t="shared" si="2"/>
        <v/>
      </c>
    </row>
    <row r="35" spans="1:9" s="190" customFormat="1" ht="17.399999999999999">
      <c r="A35" s="188"/>
      <c r="B35" s="189"/>
      <c r="C35" s="190" t="str">
        <f t="shared" si="0"/>
        <v/>
      </c>
      <c r="D35" s="191"/>
      <c r="E35" s="192"/>
      <c r="F35" s="190" t="str">
        <f t="shared" si="1"/>
        <v/>
      </c>
      <c r="G35" s="191"/>
      <c r="H35" s="192"/>
      <c r="I35" s="190" t="str">
        <f t="shared" si="2"/>
        <v/>
      </c>
    </row>
    <row r="36" spans="1:9" s="190" customFormat="1" ht="17.399999999999999">
      <c r="A36" s="188"/>
      <c r="B36" s="189"/>
      <c r="C36" s="190" t="str">
        <f t="shared" si="0"/>
        <v/>
      </c>
      <c r="D36" s="191"/>
      <c r="E36" s="192"/>
      <c r="F36" s="190" t="str">
        <f t="shared" si="1"/>
        <v/>
      </c>
      <c r="G36" s="191"/>
      <c r="H36" s="192"/>
      <c r="I36" s="190" t="str">
        <f t="shared" si="2"/>
        <v/>
      </c>
    </row>
    <row r="37" spans="1:9" s="190" customFormat="1" ht="17.399999999999999">
      <c r="A37" s="188"/>
      <c r="B37" s="189"/>
      <c r="C37" s="190" t="str">
        <f t="shared" si="0"/>
        <v/>
      </c>
      <c r="D37" s="191"/>
      <c r="E37" s="192"/>
      <c r="F37" s="190" t="str">
        <f t="shared" si="1"/>
        <v/>
      </c>
      <c r="G37" s="191"/>
      <c r="H37" s="192"/>
      <c r="I37" s="190" t="str">
        <f t="shared" si="2"/>
        <v/>
      </c>
    </row>
    <row r="38" spans="1:9" s="190" customFormat="1" ht="17.399999999999999">
      <c r="A38" s="188"/>
      <c r="B38" s="189"/>
      <c r="C38" s="190" t="str">
        <f t="shared" si="0"/>
        <v/>
      </c>
      <c r="D38" s="191"/>
      <c r="E38" s="192"/>
      <c r="F38" s="190" t="str">
        <f t="shared" si="1"/>
        <v/>
      </c>
      <c r="G38" s="191"/>
      <c r="H38" s="192"/>
      <c r="I38" s="190" t="str">
        <f t="shared" si="2"/>
        <v/>
      </c>
    </row>
    <row r="39" spans="1:9" s="190" customFormat="1" ht="17.399999999999999">
      <c r="A39" s="188"/>
      <c r="B39" s="189"/>
      <c r="C39" s="190" t="str">
        <f t="shared" si="0"/>
        <v/>
      </c>
      <c r="D39" s="191"/>
      <c r="E39" s="192"/>
      <c r="F39" s="190" t="str">
        <f t="shared" si="1"/>
        <v/>
      </c>
      <c r="G39" s="191"/>
      <c r="H39" s="192"/>
      <c r="I39" s="190" t="str">
        <f t="shared" si="2"/>
        <v/>
      </c>
    </row>
    <row r="40" spans="1:9" s="190" customFormat="1" ht="17.399999999999999">
      <c r="A40" s="188"/>
      <c r="B40" s="189"/>
      <c r="C40" s="190" t="str">
        <f t="shared" si="0"/>
        <v/>
      </c>
      <c r="D40" s="191"/>
      <c r="E40" s="192"/>
      <c r="F40" s="190" t="str">
        <f t="shared" si="1"/>
        <v/>
      </c>
      <c r="G40" s="191"/>
      <c r="H40" s="192"/>
      <c r="I40" s="190" t="str">
        <f t="shared" si="2"/>
        <v/>
      </c>
    </row>
    <row r="41" spans="1:9" s="190" customFormat="1" ht="17.399999999999999">
      <c r="A41" s="188"/>
      <c r="B41" s="189"/>
      <c r="C41" s="190" t="str">
        <f t="shared" si="0"/>
        <v/>
      </c>
      <c r="D41" s="191"/>
      <c r="E41" s="192"/>
      <c r="F41" s="190" t="str">
        <f t="shared" si="1"/>
        <v/>
      </c>
      <c r="G41" s="191"/>
      <c r="H41" s="192"/>
      <c r="I41" s="190" t="str">
        <f t="shared" si="2"/>
        <v/>
      </c>
    </row>
    <row r="42" spans="1:9" s="190" customFormat="1" ht="17.399999999999999">
      <c r="A42" s="188"/>
      <c r="B42" s="189"/>
      <c r="C42" s="190" t="str">
        <f t="shared" si="0"/>
        <v/>
      </c>
      <c r="D42" s="191"/>
      <c r="E42" s="192"/>
      <c r="F42" s="190" t="str">
        <f t="shared" si="1"/>
        <v/>
      </c>
      <c r="G42" s="191"/>
      <c r="H42" s="192"/>
      <c r="I42" s="190" t="str">
        <f t="shared" si="2"/>
        <v/>
      </c>
    </row>
    <row r="43" spans="1:9" s="190" customFormat="1" ht="17.399999999999999">
      <c r="A43" s="188"/>
      <c r="B43" s="189"/>
      <c r="C43" s="190" t="str">
        <f t="shared" si="0"/>
        <v/>
      </c>
      <c r="D43" s="191"/>
      <c r="E43" s="192"/>
      <c r="F43" s="190" t="str">
        <f t="shared" si="1"/>
        <v/>
      </c>
      <c r="G43" s="191"/>
      <c r="H43" s="192"/>
      <c r="I43" s="190" t="str">
        <f t="shared" si="2"/>
        <v/>
      </c>
    </row>
    <row r="44" spans="1:9" s="190" customFormat="1" ht="17.399999999999999">
      <c r="A44" s="188"/>
      <c r="B44" s="189"/>
      <c r="C44" s="190" t="str">
        <f t="shared" si="0"/>
        <v/>
      </c>
      <c r="D44" s="191"/>
      <c r="E44" s="192"/>
      <c r="F44" s="190" t="str">
        <f t="shared" si="1"/>
        <v/>
      </c>
      <c r="G44" s="191"/>
      <c r="H44" s="192"/>
      <c r="I44" s="190" t="str">
        <f t="shared" si="2"/>
        <v/>
      </c>
    </row>
    <row r="45" spans="1:9" s="190" customFormat="1" ht="17.399999999999999">
      <c r="A45" s="188"/>
      <c r="B45" s="189"/>
      <c r="C45" s="190" t="str">
        <f t="shared" si="0"/>
        <v/>
      </c>
      <c r="D45" s="191"/>
      <c r="E45" s="192"/>
      <c r="F45" s="190" t="str">
        <f t="shared" si="1"/>
        <v/>
      </c>
      <c r="G45" s="191"/>
      <c r="H45" s="192"/>
      <c r="I45" s="190" t="str">
        <f t="shared" si="2"/>
        <v/>
      </c>
    </row>
    <row r="46" spans="1:9" s="190" customFormat="1" ht="17.399999999999999">
      <c r="A46" s="188"/>
      <c r="B46" s="189"/>
      <c r="C46" s="190" t="str">
        <f t="shared" si="0"/>
        <v/>
      </c>
      <c r="D46" s="191"/>
      <c r="E46" s="192"/>
      <c r="F46" s="190" t="str">
        <f t="shared" si="1"/>
        <v/>
      </c>
      <c r="G46" s="191"/>
      <c r="H46" s="192"/>
      <c r="I46" s="190" t="str">
        <f t="shared" si="2"/>
        <v/>
      </c>
    </row>
    <row r="47" spans="1:9" s="190" customFormat="1" ht="17.399999999999999">
      <c r="A47" s="188"/>
      <c r="B47" s="189"/>
      <c r="C47" s="190" t="str">
        <f t="shared" si="0"/>
        <v/>
      </c>
      <c r="D47" s="191"/>
      <c r="E47" s="192"/>
      <c r="F47" s="190" t="str">
        <f t="shared" si="1"/>
        <v/>
      </c>
      <c r="G47" s="191"/>
      <c r="H47" s="192"/>
      <c r="I47" s="190" t="str">
        <f t="shared" si="2"/>
        <v/>
      </c>
    </row>
    <row r="48" spans="1:9" s="190" customFormat="1" ht="17.399999999999999">
      <c r="A48" s="188"/>
      <c r="B48" s="189"/>
      <c r="C48" s="190" t="str">
        <f t="shared" si="0"/>
        <v/>
      </c>
      <c r="D48" s="191"/>
      <c r="E48" s="192"/>
      <c r="F48" s="190" t="str">
        <f t="shared" si="1"/>
        <v/>
      </c>
      <c r="G48" s="191"/>
      <c r="H48" s="192"/>
      <c r="I48" s="190" t="str">
        <f t="shared" si="2"/>
        <v/>
      </c>
    </row>
    <row r="49" spans="1:9" s="190" customFormat="1" ht="17.399999999999999">
      <c r="A49" s="188"/>
      <c r="B49" s="189"/>
      <c r="C49" s="190" t="str">
        <f t="shared" si="0"/>
        <v/>
      </c>
      <c r="D49" s="191"/>
      <c r="E49" s="192"/>
      <c r="F49" s="190" t="str">
        <f t="shared" si="1"/>
        <v/>
      </c>
      <c r="G49" s="191"/>
      <c r="H49" s="192"/>
      <c r="I49" s="190" t="str">
        <f t="shared" si="2"/>
        <v/>
      </c>
    </row>
    <row r="50" spans="1:9" s="190" customFormat="1" ht="17.399999999999999">
      <c r="A50" s="188"/>
      <c r="B50" s="189"/>
      <c r="C50" s="190" t="str">
        <f t="shared" si="0"/>
        <v/>
      </c>
      <c r="D50" s="191"/>
      <c r="E50" s="192"/>
      <c r="F50" s="190" t="str">
        <f t="shared" si="1"/>
        <v/>
      </c>
      <c r="G50" s="191"/>
      <c r="H50" s="192"/>
      <c r="I50" s="190" t="str">
        <f t="shared" si="2"/>
        <v/>
      </c>
    </row>
    <row r="51" spans="1:9" s="190" customFormat="1" ht="17.399999999999999">
      <c r="A51" s="188"/>
      <c r="B51" s="189"/>
      <c r="C51" s="190" t="str">
        <f t="shared" si="0"/>
        <v/>
      </c>
      <c r="D51" s="191"/>
      <c r="E51" s="192"/>
      <c r="F51" s="190" t="str">
        <f t="shared" si="1"/>
        <v/>
      </c>
      <c r="G51" s="191"/>
      <c r="H51" s="192"/>
      <c r="I51" s="190" t="str">
        <f t="shared" si="2"/>
        <v/>
      </c>
    </row>
    <row r="52" spans="1:9" s="190" customFormat="1" ht="17.399999999999999">
      <c r="A52" s="188"/>
      <c r="B52" s="189"/>
      <c r="C52" s="190" t="str">
        <f t="shared" si="0"/>
        <v/>
      </c>
      <c r="D52" s="191"/>
      <c r="E52" s="192"/>
      <c r="F52" s="190" t="str">
        <f t="shared" si="1"/>
        <v/>
      </c>
      <c r="G52" s="191"/>
      <c r="H52" s="192"/>
      <c r="I52" s="190" t="str">
        <f t="shared" si="2"/>
        <v/>
      </c>
    </row>
    <row r="53" spans="1:9" s="190" customFormat="1" ht="17.399999999999999">
      <c r="A53" s="188"/>
      <c r="B53" s="189"/>
      <c r="C53" s="190" t="str">
        <f t="shared" si="0"/>
        <v/>
      </c>
      <c r="D53" s="191"/>
      <c r="E53" s="192"/>
      <c r="F53" s="190" t="str">
        <f t="shared" si="1"/>
        <v/>
      </c>
      <c r="G53" s="191"/>
      <c r="H53" s="192"/>
      <c r="I53" s="190" t="str">
        <f t="shared" si="2"/>
        <v/>
      </c>
    </row>
    <row r="54" spans="1:9" s="190" customFormat="1" ht="17.399999999999999">
      <c r="A54" s="188"/>
      <c r="B54" s="189"/>
      <c r="C54" s="190" t="str">
        <f t="shared" si="0"/>
        <v/>
      </c>
      <c r="D54" s="191"/>
      <c r="E54" s="192"/>
      <c r="F54" s="190" t="str">
        <f t="shared" si="1"/>
        <v/>
      </c>
      <c r="G54" s="191"/>
      <c r="H54" s="192"/>
      <c r="I54" s="190" t="str">
        <f t="shared" si="2"/>
        <v/>
      </c>
    </row>
    <row r="55" spans="1:9" s="190" customFormat="1" ht="17.399999999999999">
      <c r="A55" s="188"/>
      <c r="B55" s="189"/>
      <c r="C55" s="190" t="str">
        <f t="shared" si="0"/>
        <v/>
      </c>
      <c r="D55" s="191"/>
      <c r="E55" s="192"/>
      <c r="F55" s="190" t="str">
        <f t="shared" si="1"/>
        <v/>
      </c>
      <c r="G55" s="191"/>
      <c r="H55" s="192"/>
      <c r="I55" s="190" t="str">
        <f t="shared" si="2"/>
        <v/>
      </c>
    </row>
    <row r="56" spans="1:9" s="190" customFormat="1" ht="17.399999999999999">
      <c r="A56" s="188"/>
      <c r="B56" s="189"/>
      <c r="C56" s="190" t="str">
        <f t="shared" si="0"/>
        <v/>
      </c>
      <c r="D56" s="191"/>
      <c r="E56" s="192"/>
      <c r="F56" s="190" t="str">
        <f t="shared" si="1"/>
        <v/>
      </c>
      <c r="G56" s="191"/>
      <c r="H56" s="192"/>
      <c r="I56" s="190" t="str">
        <f t="shared" si="2"/>
        <v/>
      </c>
    </row>
    <row r="57" spans="1:9" s="190" customFormat="1" ht="17.399999999999999">
      <c r="A57" s="188"/>
      <c r="B57" s="189"/>
      <c r="C57" s="190" t="str">
        <f t="shared" si="0"/>
        <v/>
      </c>
      <c r="D57" s="191"/>
      <c r="E57" s="192"/>
      <c r="F57" s="190" t="str">
        <f t="shared" si="1"/>
        <v/>
      </c>
      <c r="G57" s="191"/>
      <c r="H57" s="192"/>
      <c r="I57" s="190" t="str">
        <f t="shared" si="2"/>
        <v/>
      </c>
    </row>
    <row r="58" spans="1:9" s="190" customFormat="1" ht="17.399999999999999">
      <c r="A58" s="188"/>
      <c r="B58" s="189"/>
      <c r="C58" s="190" t="str">
        <f t="shared" si="0"/>
        <v/>
      </c>
      <c r="D58" s="191"/>
      <c r="E58" s="192"/>
      <c r="F58" s="190" t="str">
        <f t="shared" si="1"/>
        <v/>
      </c>
      <c r="G58" s="191"/>
      <c r="H58" s="192"/>
      <c r="I58" s="190" t="str">
        <f t="shared" si="2"/>
        <v/>
      </c>
    </row>
    <row r="59" spans="1:9" s="190" customFormat="1" ht="17.399999999999999">
      <c r="A59" s="188"/>
      <c r="B59" s="189"/>
      <c r="C59" s="190" t="str">
        <f t="shared" si="0"/>
        <v/>
      </c>
      <c r="D59" s="191"/>
      <c r="E59" s="192"/>
      <c r="F59" s="190" t="str">
        <f t="shared" si="1"/>
        <v/>
      </c>
      <c r="G59" s="191"/>
      <c r="H59" s="192"/>
      <c r="I59" s="190" t="str">
        <f t="shared" si="2"/>
        <v/>
      </c>
    </row>
    <row r="60" spans="1:9" s="190" customFormat="1" ht="17.399999999999999">
      <c r="A60" s="188"/>
      <c r="B60" s="189"/>
      <c r="C60" s="190" t="str">
        <f t="shared" si="0"/>
        <v/>
      </c>
      <c r="D60" s="191"/>
      <c r="E60" s="192"/>
      <c r="F60" s="190" t="str">
        <f t="shared" si="1"/>
        <v/>
      </c>
      <c r="G60" s="191"/>
      <c r="H60" s="192"/>
      <c r="I60" s="190" t="str">
        <f t="shared" si="2"/>
        <v/>
      </c>
    </row>
    <row r="61" spans="1:9" s="190" customFormat="1" ht="17.399999999999999">
      <c r="A61" s="188"/>
      <c r="B61" s="189"/>
      <c r="C61" s="190" t="str">
        <f t="shared" si="0"/>
        <v/>
      </c>
      <c r="D61" s="191"/>
      <c r="E61" s="192"/>
      <c r="F61" s="190" t="str">
        <f t="shared" si="1"/>
        <v/>
      </c>
      <c r="G61" s="191"/>
      <c r="H61" s="192"/>
      <c r="I61" s="190" t="str">
        <f t="shared" si="2"/>
        <v/>
      </c>
    </row>
    <row r="62" spans="1:9" s="190" customFormat="1" ht="17.399999999999999">
      <c r="A62" s="188"/>
      <c r="B62" s="189"/>
      <c r="C62" s="190" t="str">
        <f t="shared" si="0"/>
        <v/>
      </c>
      <c r="D62" s="191"/>
      <c r="E62" s="192"/>
      <c r="F62" s="190" t="str">
        <f t="shared" si="1"/>
        <v/>
      </c>
      <c r="G62" s="191"/>
      <c r="H62" s="192"/>
      <c r="I62" s="190" t="str">
        <f t="shared" si="2"/>
        <v/>
      </c>
    </row>
    <row r="63" spans="1:9" s="190" customFormat="1" ht="17.399999999999999">
      <c r="A63" s="188"/>
      <c r="B63" s="189"/>
      <c r="C63" s="190" t="str">
        <f t="shared" si="0"/>
        <v/>
      </c>
      <c r="D63" s="191"/>
      <c r="E63" s="192"/>
      <c r="F63" s="190" t="str">
        <f t="shared" si="1"/>
        <v/>
      </c>
      <c r="G63" s="191"/>
      <c r="H63" s="192"/>
      <c r="I63" s="190" t="str">
        <f t="shared" si="2"/>
        <v/>
      </c>
    </row>
    <row r="64" spans="1:9" s="190" customFormat="1" ht="17.399999999999999">
      <c r="A64" s="188"/>
      <c r="B64" s="189"/>
      <c r="C64" s="190" t="str">
        <f t="shared" si="0"/>
        <v/>
      </c>
      <c r="D64" s="191"/>
      <c r="E64" s="192"/>
      <c r="F64" s="190" t="str">
        <f t="shared" si="1"/>
        <v/>
      </c>
      <c r="G64" s="191"/>
      <c r="H64" s="192"/>
      <c r="I64" s="190" t="str">
        <f t="shared" si="2"/>
        <v/>
      </c>
    </row>
    <row r="65" spans="1:9" s="190" customFormat="1" ht="17.399999999999999">
      <c r="A65" s="188"/>
      <c r="B65" s="189"/>
      <c r="C65" s="190" t="str">
        <f t="shared" si="0"/>
        <v/>
      </c>
      <c r="D65" s="191"/>
      <c r="E65" s="192"/>
      <c r="F65" s="190" t="str">
        <f t="shared" si="1"/>
        <v/>
      </c>
      <c r="G65" s="191"/>
      <c r="H65" s="192"/>
      <c r="I65" s="190" t="str">
        <f t="shared" si="2"/>
        <v/>
      </c>
    </row>
    <row r="66" spans="1:9" s="190" customFormat="1" ht="17.399999999999999">
      <c r="A66" s="188"/>
      <c r="B66" s="189"/>
      <c r="C66" s="190" t="str">
        <f t="shared" si="0"/>
        <v/>
      </c>
      <c r="D66" s="191"/>
      <c r="E66" s="192"/>
      <c r="F66" s="190" t="str">
        <f t="shared" si="1"/>
        <v/>
      </c>
      <c r="G66" s="191"/>
      <c r="H66" s="192"/>
      <c r="I66" s="190" t="str">
        <f t="shared" si="2"/>
        <v/>
      </c>
    </row>
    <row r="67" spans="1:9" s="190" customFormat="1" ht="17.399999999999999">
      <c r="A67" s="188"/>
      <c r="B67" s="189"/>
      <c r="C67" s="190" t="str">
        <f t="shared" si="0"/>
        <v/>
      </c>
      <c r="D67" s="191"/>
      <c r="E67" s="192"/>
      <c r="F67" s="190" t="str">
        <f t="shared" si="1"/>
        <v/>
      </c>
      <c r="G67" s="191"/>
      <c r="H67" s="192"/>
      <c r="I67" s="190" t="str">
        <f t="shared" si="2"/>
        <v/>
      </c>
    </row>
    <row r="68" spans="1:9" s="190" customFormat="1" ht="17.399999999999999">
      <c r="A68" s="188"/>
      <c r="B68" s="189"/>
      <c r="C68" s="190" t="str">
        <f t="shared" si="0"/>
        <v/>
      </c>
      <c r="D68" s="191"/>
      <c r="E68" s="192"/>
      <c r="F68" s="190" t="str">
        <f t="shared" si="1"/>
        <v/>
      </c>
      <c r="G68" s="191"/>
      <c r="H68" s="192"/>
      <c r="I68" s="190" t="str">
        <f t="shared" si="2"/>
        <v/>
      </c>
    </row>
    <row r="69" spans="1:9" s="190" customFormat="1" ht="17.399999999999999">
      <c r="A69" s="188"/>
      <c r="B69" s="189"/>
      <c r="C69" s="190" t="str">
        <f t="shared" ref="C69:C132" si="3">IF(B69&gt;0,TEXT(B69,"(aaa)"),"")</f>
        <v/>
      </c>
      <c r="D69" s="191"/>
      <c r="E69" s="192"/>
      <c r="F69" s="190" t="str">
        <f t="shared" ref="F69:F132" si="4">IF(E69&gt;0,TEXT(E69,"(aaa)"),"")</f>
        <v/>
      </c>
      <c r="G69" s="191"/>
      <c r="H69" s="192"/>
      <c r="I69" s="190" t="str">
        <f t="shared" ref="I69:I132" si="5">IF(H69&gt;0,TEXT(H69,"(aaa)"),"")</f>
        <v/>
      </c>
    </row>
    <row r="70" spans="1:9" s="190" customFormat="1" ht="17.399999999999999">
      <c r="A70" s="188"/>
      <c r="B70" s="189"/>
      <c r="C70" s="190" t="str">
        <f t="shared" si="3"/>
        <v/>
      </c>
      <c r="D70" s="191"/>
      <c r="E70" s="192"/>
      <c r="F70" s="190" t="str">
        <f t="shared" si="4"/>
        <v/>
      </c>
      <c r="G70" s="191"/>
      <c r="H70" s="192"/>
      <c r="I70" s="190" t="str">
        <f t="shared" si="5"/>
        <v/>
      </c>
    </row>
    <row r="71" spans="1:9" s="190" customFormat="1" ht="17.399999999999999">
      <c r="A71" s="188"/>
      <c r="B71" s="189"/>
      <c r="C71" s="190" t="str">
        <f t="shared" si="3"/>
        <v/>
      </c>
      <c r="D71" s="191"/>
      <c r="E71" s="192"/>
      <c r="F71" s="190" t="str">
        <f t="shared" si="4"/>
        <v/>
      </c>
      <c r="G71" s="191"/>
      <c r="H71" s="192"/>
      <c r="I71" s="190" t="str">
        <f t="shared" si="5"/>
        <v/>
      </c>
    </row>
    <row r="72" spans="1:9" s="190" customFormat="1" ht="17.399999999999999">
      <c r="A72" s="188"/>
      <c r="B72" s="189"/>
      <c r="C72" s="190" t="str">
        <f t="shared" si="3"/>
        <v/>
      </c>
      <c r="D72" s="191"/>
      <c r="E72" s="192"/>
      <c r="F72" s="190" t="str">
        <f t="shared" si="4"/>
        <v/>
      </c>
      <c r="G72" s="191"/>
      <c r="H72" s="192"/>
      <c r="I72" s="190" t="str">
        <f t="shared" si="5"/>
        <v/>
      </c>
    </row>
    <row r="73" spans="1:9" s="190" customFormat="1" ht="17.399999999999999">
      <c r="A73" s="188"/>
      <c r="B73" s="189"/>
      <c r="C73" s="190" t="str">
        <f t="shared" si="3"/>
        <v/>
      </c>
      <c r="D73" s="191"/>
      <c r="E73" s="192"/>
      <c r="F73" s="190" t="str">
        <f t="shared" si="4"/>
        <v/>
      </c>
      <c r="G73" s="191"/>
      <c r="H73" s="192"/>
      <c r="I73" s="190" t="str">
        <f t="shared" si="5"/>
        <v/>
      </c>
    </row>
    <row r="74" spans="1:9" s="190" customFormat="1" ht="17.399999999999999">
      <c r="A74" s="188"/>
      <c r="B74" s="189"/>
      <c r="C74" s="190" t="str">
        <f t="shared" si="3"/>
        <v/>
      </c>
      <c r="D74" s="191"/>
      <c r="E74" s="192"/>
      <c r="F74" s="190" t="str">
        <f t="shared" si="4"/>
        <v/>
      </c>
      <c r="G74" s="191"/>
      <c r="H74" s="192"/>
      <c r="I74" s="190" t="str">
        <f t="shared" si="5"/>
        <v/>
      </c>
    </row>
    <row r="75" spans="1:9" s="190" customFormat="1" ht="17.399999999999999">
      <c r="A75" s="188"/>
      <c r="B75" s="189"/>
      <c r="C75" s="190" t="str">
        <f t="shared" si="3"/>
        <v/>
      </c>
      <c r="D75" s="191"/>
      <c r="E75" s="192"/>
      <c r="F75" s="190" t="str">
        <f t="shared" si="4"/>
        <v/>
      </c>
      <c r="G75" s="191"/>
      <c r="H75" s="192"/>
      <c r="I75" s="190" t="str">
        <f t="shared" si="5"/>
        <v/>
      </c>
    </row>
    <row r="76" spans="1:9" s="190" customFormat="1" ht="17.399999999999999">
      <c r="A76" s="188"/>
      <c r="B76" s="189"/>
      <c r="C76" s="190" t="str">
        <f t="shared" si="3"/>
        <v/>
      </c>
      <c r="D76" s="191"/>
      <c r="E76" s="192"/>
      <c r="F76" s="190" t="str">
        <f t="shared" si="4"/>
        <v/>
      </c>
      <c r="G76" s="191"/>
      <c r="H76" s="192"/>
      <c r="I76" s="190" t="str">
        <f t="shared" si="5"/>
        <v/>
      </c>
    </row>
    <row r="77" spans="1:9" s="190" customFormat="1" ht="17.399999999999999">
      <c r="A77" s="188"/>
      <c r="B77" s="189"/>
      <c r="C77" s="190" t="str">
        <f t="shared" si="3"/>
        <v/>
      </c>
      <c r="D77" s="191"/>
      <c r="E77" s="192"/>
      <c r="F77" s="190" t="str">
        <f t="shared" si="4"/>
        <v/>
      </c>
      <c r="G77" s="191"/>
      <c r="H77" s="192"/>
      <c r="I77" s="190" t="str">
        <f t="shared" si="5"/>
        <v/>
      </c>
    </row>
    <row r="78" spans="1:9" s="190" customFormat="1" ht="17.399999999999999">
      <c r="A78" s="188"/>
      <c r="B78" s="189"/>
      <c r="C78" s="190" t="str">
        <f t="shared" si="3"/>
        <v/>
      </c>
      <c r="D78" s="191"/>
      <c r="E78" s="192"/>
      <c r="F78" s="190" t="str">
        <f t="shared" si="4"/>
        <v/>
      </c>
      <c r="G78" s="191"/>
      <c r="H78" s="192"/>
      <c r="I78" s="190" t="str">
        <f t="shared" si="5"/>
        <v/>
      </c>
    </row>
    <row r="79" spans="1:9" s="190" customFormat="1" ht="17.399999999999999">
      <c r="A79" s="188"/>
      <c r="B79" s="189"/>
      <c r="C79" s="190" t="str">
        <f t="shared" si="3"/>
        <v/>
      </c>
      <c r="D79" s="191"/>
      <c r="E79" s="192"/>
      <c r="F79" s="190" t="str">
        <f t="shared" si="4"/>
        <v/>
      </c>
      <c r="G79" s="191"/>
      <c r="H79" s="192"/>
      <c r="I79" s="190" t="str">
        <f t="shared" si="5"/>
        <v/>
      </c>
    </row>
    <row r="80" spans="1:9" s="190" customFormat="1" ht="17.399999999999999">
      <c r="A80" s="188"/>
      <c r="B80" s="189"/>
      <c r="C80" s="190" t="str">
        <f t="shared" si="3"/>
        <v/>
      </c>
      <c r="D80" s="191"/>
      <c r="E80" s="192"/>
      <c r="F80" s="190" t="str">
        <f t="shared" si="4"/>
        <v/>
      </c>
      <c r="G80" s="191"/>
      <c r="H80" s="192"/>
      <c r="I80" s="190" t="str">
        <f t="shared" si="5"/>
        <v/>
      </c>
    </row>
    <row r="81" spans="1:9" s="190" customFormat="1" ht="17.399999999999999">
      <c r="A81" s="188"/>
      <c r="B81" s="189"/>
      <c r="C81" s="190" t="str">
        <f t="shared" si="3"/>
        <v/>
      </c>
      <c r="D81" s="191"/>
      <c r="E81" s="192"/>
      <c r="F81" s="190" t="str">
        <f t="shared" si="4"/>
        <v/>
      </c>
      <c r="G81" s="191"/>
      <c r="H81" s="192"/>
      <c r="I81" s="190" t="str">
        <f t="shared" si="5"/>
        <v/>
      </c>
    </row>
    <row r="82" spans="1:9" s="190" customFormat="1" ht="17.399999999999999">
      <c r="A82" s="188"/>
      <c r="B82" s="189"/>
      <c r="C82" s="190" t="str">
        <f t="shared" si="3"/>
        <v/>
      </c>
      <c r="D82" s="191"/>
      <c r="E82" s="192"/>
      <c r="F82" s="190" t="str">
        <f t="shared" si="4"/>
        <v/>
      </c>
      <c r="G82" s="191"/>
      <c r="H82" s="192"/>
      <c r="I82" s="190" t="str">
        <f t="shared" si="5"/>
        <v/>
      </c>
    </row>
    <row r="83" spans="1:9" s="190" customFormat="1" ht="17.399999999999999">
      <c r="A83" s="188"/>
      <c r="B83" s="189"/>
      <c r="C83" s="190" t="str">
        <f t="shared" si="3"/>
        <v/>
      </c>
      <c r="D83" s="191"/>
      <c r="E83" s="192"/>
      <c r="F83" s="190" t="str">
        <f t="shared" si="4"/>
        <v/>
      </c>
      <c r="G83" s="191"/>
      <c r="H83" s="192"/>
      <c r="I83" s="190" t="str">
        <f t="shared" si="5"/>
        <v/>
      </c>
    </row>
    <row r="84" spans="1:9" s="190" customFormat="1" ht="17.399999999999999">
      <c r="A84" s="188"/>
      <c r="B84" s="189"/>
      <c r="C84" s="190" t="str">
        <f t="shared" si="3"/>
        <v/>
      </c>
      <c r="D84" s="191"/>
      <c r="E84" s="192"/>
      <c r="F84" s="190" t="str">
        <f t="shared" si="4"/>
        <v/>
      </c>
      <c r="G84" s="191"/>
      <c r="H84" s="192"/>
      <c r="I84" s="190" t="str">
        <f t="shared" si="5"/>
        <v/>
      </c>
    </row>
    <row r="85" spans="1:9" s="190" customFormat="1" ht="17.399999999999999">
      <c r="A85" s="188"/>
      <c r="B85" s="189"/>
      <c r="C85" s="190" t="str">
        <f t="shared" si="3"/>
        <v/>
      </c>
      <c r="D85" s="191"/>
      <c r="E85" s="192"/>
      <c r="F85" s="190" t="str">
        <f t="shared" si="4"/>
        <v/>
      </c>
      <c r="G85" s="191"/>
      <c r="H85" s="192"/>
      <c r="I85" s="190" t="str">
        <f t="shared" si="5"/>
        <v/>
      </c>
    </row>
    <row r="86" spans="1:9" s="190" customFormat="1" ht="17.399999999999999">
      <c r="A86" s="188"/>
      <c r="B86" s="189"/>
      <c r="C86" s="190" t="str">
        <f t="shared" si="3"/>
        <v/>
      </c>
      <c r="D86" s="191"/>
      <c r="E86" s="192"/>
      <c r="F86" s="190" t="str">
        <f t="shared" si="4"/>
        <v/>
      </c>
      <c r="G86" s="191"/>
      <c r="H86" s="192"/>
      <c r="I86" s="190" t="str">
        <f t="shared" si="5"/>
        <v/>
      </c>
    </row>
    <row r="87" spans="1:9" s="190" customFormat="1" ht="17.399999999999999">
      <c r="A87" s="188"/>
      <c r="B87" s="189"/>
      <c r="C87" s="190" t="str">
        <f t="shared" si="3"/>
        <v/>
      </c>
      <c r="D87" s="191"/>
      <c r="E87" s="192"/>
      <c r="F87" s="190" t="str">
        <f t="shared" si="4"/>
        <v/>
      </c>
      <c r="G87" s="191"/>
      <c r="H87" s="192"/>
      <c r="I87" s="190" t="str">
        <f t="shared" si="5"/>
        <v/>
      </c>
    </row>
    <row r="88" spans="1:9" s="190" customFormat="1" ht="17.399999999999999">
      <c r="A88" s="188"/>
      <c r="B88" s="189"/>
      <c r="C88" s="190" t="str">
        <f t="shared" si="3"/>
        <v/>
      </c>
      <c r="D88" s="191"/>
      <c r="E88" s="192"/>
      <c r="F88" s="190" t="str">
        <f t="shared" si="4"/>
        <v/>
      </c>
      <c r="G88" s="191"/>
      <c r="H88" s="192"/>
      <c r="I88" s="190" t="str">
        <f t="shared" si="5"/>
        <v/>
      </c>
    </row>
    <row r="89" spans="1:9" s="190" customFormat="1" ht="17.399999999999999">
      <c r="A89" s="188"/>
      <c r="B89" s="189"/>
      <c r="C89" s="190" t="str">
        <f t="shared" si="3"/>
        <v/>
      </c>
      <c r="D89" s="191"/>
      <c r="E89" s="192"/>
      <c r="F89" s="190" t="str">
        <f t="shared" si="4"/>
        <v/>
      </c>
      <c r="G89" s="191"/>
      <c r="H89" s="192"/>
      <c r="I89" s="190" t="str">
        <f t="shared" si="5"/>
        <v/>
      </c>
    </row>
    <row r="90" spans="1:9" s="190" customFormat="1" ht="17.399999999999999">
      <c r="A90" s="188"/>
      <c r="B90" s="189"/>
      <c r="C90" s="190" t="str">
        <f t="shared" si="3"/>
        <v/>
      </c>
      <c r="D90" s="191"/>
      <c r="E90" s="192"/>
      <c r="F90" s="190" t="str">
        <f t="shared" si="4"/>
        <v/>
      </c>
      <c r="G90" s="191"/>
      <c r="H90" s="192"/>
      <c r="I90" s="190" t="str">
        <f t="shared" si="5"/>
        <v/>
      </c>
    </row>
    <row r="91" spans="1:9" s="190" customFormat="1" ht="17.399999999999999">
      <c r="A91" s="188"/>
      <c r="B91" s="189"/>
      <c r="C91" s="190" t="str">
        <f t="shared" si="3"/>
        <v/>
      </c>
      <c r="D91" s="191"/>
      <c r="E91" s="192"/>
      <c r="F91" s="190" t="str">
        <f t="shared" si="4"/>
        <v/>
      </c>
      <c r="G91" s="191"/>
      <c r="H91" s="192"/>
      <c r="I91" s="190" t="str">
        <f t="shared" si="5"/>
        <v/>
      </c>
    </row>
    <row r="92" spans="1:9" s="190" customFormat="1" ht="17.399999999999999">
      <c r="A92" s="188"/>
      <c r="B92" s="189"/>
      <c r="C92" s="190" t="str">
        <f t="shared" si="3"/>
        <v/>
      </c>
      <c r="D92" s="191"/>
      <c r="E92" s="192"/>
      <c r="F92" s="190" t="str">
        <f t="shared" si="4"/>
        <v/>
      </c>
      <c r="G92" s="191"/>
      <c r="H92" s="192"/>
      <c r="I92" s="190" t="str">
        <f t="shared" si="5"/>
        <v/>
      </c>
    </row>
    <row r="93" spans="1:9" s="190" customFormat="1" ht="17.399999999999999">
      <c r="A93" s="188"/>
      <c r="B93" s="189"/>
      <c r="C93" s="190" t="str">
        <f t="shared" si="3"/>
        <v/>
      </c>
      <c r="D93" s="191"/>
      <c r="E93" s="192"/>
      <c r="F93" s="190" t="str">
        <f t="shared" si="4"/>
        <v/>
      </c>
      <c r="G93" s="191"/>
      <c r="H93" s="192"/>
      <c r="I93" s="190" t="str">
        <f t="shared" si="5"/>
        <v/>
      </c>
    </row>
    <row r="94" spans="1:9" s="190" customFormat="1" ht="17.399999999999999">
      <c r="A94" s="188"/>
      <c r="B94" s="189"/>
      <c r="C94" s="190" t="str">
        <f t="shared" si="3"/>
        <v/>
      </c>
      <c r="D94" s="191"/>
      <c r="E94" s="192"/>
      <c r="F94" s="190" t="str">
        <f t="shared" si="4"/>
        <v/>
      </c>
      <c r="G94" s="191"/>
      <c r="H94" s="192"/>
      <c r="I94" s="190" t="str">
        <f t="shared" si="5"/>
        <v/>
      </c>
    </row>
    <row r="95" spans="1:9" s="190" customFormat="1" ht="17.399999999999999">
      <c r="A95" s="188"/>
      <c r="B95" s="189"/>
      <c r="C95" s="190" t="str">
        <f t="shared" si="3"/>
        <v/>
      </c>
      <c r="D95" s="191"/>
      <c r="E95" s="192"/>
      <c r="F95" s="190" t="str">
        <f t="shared" si="4"/>
        <v/>
      </c>
      <c r="G95" s="191"/>
      <c r="H95" s="192"/>
      <c r="I95" s="190" t="str">
        <f t="shared" si="5"/>
        <v/>
      </c>
    </row>
    <row r="96" spans="1:9" s="190" customFormat="1" ht="17.399999999999999">
      <c r="A96" s="188"/>
      <c r="B96" s="189"/>
      <c r="C96" s="190" t="str">
        <f t="shared" si="3"/>
        <v/>
      </c>
      <c r="D96" s="191"/>
      <c r="E96" s="192"/>
      <c r="F96" s="190" t="str">
        <f t="shared" si="4"/>
        <v/>
      </c>
      <c r="G96" s="191"/>
      <c r="H96" s="192"/>
      <c r="I96" s="190" t="str">
        <f t="shared" si="5"/>
        <v/>
      </c>
    </row>
    <row r="97" spans="1:9" s="190" customFormat="1" ht="17.399999999999999">
      <c r="A97" s="188"/>
      <c r="B97" s="189"/>
      <c r="C97" s="190" t="str">
        <f t="shared" si="3"/>
        <v/>
      </c>
      <c r="D97" s="191"/>
      <c r="E97" s="192"/>
      <c r="F97" s="190" t="str">
        <f t="shared" si="4"/>
        <v/>
      </c>
      <c r="G97" s="191"/>
      <c r="H97" s="192"/>
      <c r="I97" s="190" t="str">
        <f t="shared" si="5"/>
        <v/>
      </c>
    </row>
    <row r="98" spans="1:9" s="190" customFormat="1" ht="17.399999999999999">
      <c r="A98" s="188"/>
      <c r="B98" s="189"/>
      <c r="C98" s="190" t="str">
        <f t="shared" si="3"/>
        <v/>
      </c>
      <c r="D98" s="191"/>
      <c r="E98" s="192"/>
      <c r="F98" s="190" t="str">
        <f t="shared" si="4"/>
        <v/>
      </c>
      <c r="G98" s="191"/>
      <c r="H98" s="192"/>
      <c r="I98" s="190" t="str">
        <f t="shared" si="5"/>
        <v/>
      </c>
    </row>
    <row r="99" spans="1:9" s="190" customFormat="1" ht="17.399999999999999">
      <c r="A99" s="188"/>
      <c r="B99" s="189"/>
      <c r="C99" s="190" t="str">
        <f t="shared" si="3"/>
        <v/>
      </c>
      <c r="D99" s="191"/>
      <c r="E99" s="192"/>
      <c r="F99" s="190" t="str">
        <f t="shared" si="4"/>
        <v/>
      </c>
      <c r="G99" s="191"/>
      <c r="H99" s="192"/>
      <c r="I99" s="190" t="str">
        <f t="shared" si="5"/>
        <v/>
      </c>
    </row>
    <row r="100" spans="1:9" s="190" customFormat="1" ht="17.399999999999999">
      <c r="A100" s="188"/>
      <c r="B100" s="189"/>
      <c r="C100" s="190" t="str">
        <f t="shared" si="3"/>
        <v/>
      </c>
      <c r="D100" s="191"/>
      <c r="E100" s="192"/>
      <c r="F100" s="190" t="str">
        <f t="shared" si="4"/>
        <v/>
      </c>
      <c r="G100" s="191"/>
      <c r="H100" s="192"/>
      <c r="I100" s="190" t="str">
        <f t="shared" si="5"/>
        <v/>
      </c>
    </row>
    <row r="101" spans="1:9" s="190" customFormat="1" ht="17.399999999999999">
      <c r="A101" s="188"/>
      <c r="B101" s="189"/>
      <c r="C101" s="190" t="str">
        <f t="shared" si="3"/>
        <v/>
      </c>
      <c r="D101" s="191"/>
      <c r="E101" s="192"/>
      <c r="F101" s="190" t="str">
        <f t="shared" si="4"/>
        <v/>
      </c>
      <c r="G101" s="191"/>
      <c r="H101" s="192"/>
      <c r="I101" s="190" t="str">
        <f t="shared" si="5"/>
        <v/>
      </c>
    </row>
    <row r="102" spans="1:9" s="190" customFormat="1" ht="17.399999999999999">
      <c r="A102" s="188"/>
      <c r="B102" s="189"/>
      <c r="C102" s="190" t="str">
        <f t="shared" si="3"/>
        <v/>
      </c>
      <c r="D102" s="191"/>
      <c r="E102" s="192"/>
      <c r="F102" s="190" t="str">
        <f t="shared" si="4"/>
        <v/>
      </c>
      <c r="G102" s="191"/>
      <c r="H102" s="192"/>
      <c r="I102" s="190" t="str">
        <f t="shared" si="5"/>
        <v/>
      </c>
    </row>
    <row r="103" spans="1:9" s="190" customFormat="1" ht="17.399999999999999">
      <c r="A103" s="188"/>
      <c r="B103" s="189"/>
      <c r="C103" s="190" t="str">
        <f t="shared" si="3"/>
        <v/>
      </c>
      <c r="D103" s="191"/>
      <c r="E103" s="192"/>
      <c r="F103" s="190" t="str">
        <f t="shared" si="4"/>
        <v/>
      </c>
      <c r="G103" s="191"/>
      <c r="H103" s="192"/>
      <c r="I103" s="190" t="str">
        <f t="shared" si="5"/>
        <v/>
      </c>
    </row>
    <row r="104" spans="1:9" s="190" customFormat="1" ht="17.399999999999999">
      <c r="A104" s="188"/>
      <c r="B104" s="189"/>
      <c r="C104" s="190" t="str">
        <f t="shared" si="3"/>
        <v/>
      </c>
      <c r="D104" s="191"/>
      <c r="E104" s="192"/>
      <c r="F104" s="190" t="str">
        <f t="shared" si="4"/>
        <v/>
      </c>
      <c r="G104" s="191"/>
      <c r="H104" s="192"/>
      <c r="I104" s="190" t="str">
        <f t="shared" si="5"/>
        <v/>
      </c>
    </row>
    <row r="105" spans="1:9" s="190" customFormat="1" ht="17.399999999999999">
      <c r="A105" s="188"/>
      <c r="B105" s="189"/>
      <c r="C105" s="190" t="str">
        <f t="shared" si="3"/>
        <v/>
      </c>
      <c r="D105" s="191"/>
      <c r="E105" s="192"/>
      <c r="F105" s="190" t="str">
        <f t="shared" si="4"/>
        <v/>
      </c>
      <c r="G105" s="191"/>
      <c r="H105" s="192"/>
      <c r="I105" s="190" t="str">
        <f t="shared" si="5"/>
        <v/>
      </c>
    </row>
    <row r="106" spans="1:9" s="190" customFormat="1" ht="17.399999999999999">
      <c r="A106" s="188"/>
      <c r="B106" s="189"/>
      <c r="C106" s="190" t="str">
        <f t="shared" si="3"/>
        <v/>
      </c>
      <c r="D106" s="191"/>
      <c r="E106" s="192"/>
      <c r="F106" s="190" t="str">
        <f t="shared" si="4"/>
        <v/>
      </c>
      <c r="G106" s="191"/>
      <c r="H106" s="192"/>
      <c r="I106" s="190" t="str">
        <f t="shared" si="5"/>
        <v/>
      </c>
    </row>
    <row r="107" spans="1:9" s="190" customFormat="1" ht="17.399999999999999">
      <c r="A107" s="188"/>
      <c r="B107" s="189"/>
      <c r="C107" s="190" t="str">
        <f t="shared" si="3"/>
        <v/>
      </c>
      <c r="D107" s="191"/>
      <c r="E107" s="192"/>
      <c r="F107" s="190" t="str">
        <f t="shared" si="4"/>
        <v/>
      </c>
      <c r="G107" s="191"/>
      <c r="H107" s="192"/>
      <c r="I107" s="190" t="str">
        <f t="shared" si="5"/>
        <v/>
      </c>
    </row>
    <row r="108" spans="1:9" s="190" customFormat="1" ht="17.399999999999999">
      <c r="A108" s="188"/>
      <c r="B108" s="189"/>
      <c r="C108" s="190" t="str">
        <f t="shared" si="3"/>
        <v/>
      </c>
      <c r="D108" s="191"/>
      <c r="E108" s="192"/>
      <c r="F108" s="190" t="str">
        <f t="shared" si="4"/>
        <v/>
      </c>
      <c r="G108" s="191"/>
      <c r="H108" s="192"/>
      <c r="I108" s="190" t="str">
        <f t="shared" si="5"/>
        <v/>
      </c>
    </row>
    <row r="109" spans="1:9" s="190" customFormat="1" ht="17.399999999999999">
      <c r="A109" s="188"/>
      <c r="B109" s="189"/>
      <c r="C109" s="190" t="str">
        <f t="shared" si="3"/>
        <v/>
      </c>
      <c r="D109" s="191"/>
      <c r="E109" s="192"/>
      <c r="F109" s="190" t="str">
        <f t="shared" si="4"/>
        <v/>
      </c>
      <c r="G109" s="191"/>
      <c r="H109" s="192"/>
      <c r="I109" s="190" t="str">
        <f t="shared" si="5"/>
        <v/>
      </c>
    </row>
    <row r="110" spans="1:9" s="190" customFormat="1" ht="17.399999999999999">
      <c r="A110" s="188"/>
      <c r="B110" s="189"/>
      <c r="C110" s="190" t="str">
        <f t="shared" si="3"/>
        <v/>
      </c>
      <c r="D110" s="191"/>
      <c r="E110" s="192"/>
      <c r="F110" s="190" t="str">
        <f t="shared" si="4"/>
        <v/>
      </c>
      <c r="G110" s="191"/>
      <c r="H110" s="192"/>
      <c r="I110" s="190" t="str">
        <f t="shared" si="5"/>
        <v/>
      </c>
    </row>
    <row r="111" spans="1:9" s="190" customFormat="1" ht="17.399999999999999">
      <c r="A111" s="188"/>
      <c r="B111" s="189"/>
      <c r="C111" s="190" t="str">
        <f t="shared" si="3"/>
        <v/>
      </c>
      <c r="D111" s="191"/>
      <c r="E111" s="192"/>
      <c r="F111" s="190" t="str">
        <f t="shared" si="4"/>
        <v/>
      </c>
      <c r="G111" s="191"/>
      <c r="H111" s="192"/>
      <c r="I111" s="190" t="str">
        <f t="shared" si="5"/>
        <v/>
      </c>
    </row>
    <row r="112" spans="1:9" s="190" customFormat="1" ht="17.399999999999999">
      <c r="A112" s="188"/>
      <c r="B112" s="189"/>
      <c r="C112" s="190" t="str">
        <f t="shared" si="3"/>
        <v/>
      </c>
      <c r="D112" s="191"/>
      <c r="E112" s="192"/>
      <c r="F112" s="190" t="str">
        <f t="shared" si="4"/>
        <v/>
      </c>
      <c r="G112" s="191"/>
      <c r="H112" s="192"/>
      <c r="I112" s="190" t="str">
        <f t="shared" si="5"/>
        <v/>
      </c>
    </row>
    <row r="113" spans="1:9" s="190" customFormat="1" ht="17.399999999999999">
      <c r="A113" s="188"/>
      <c r="B113" s="189"/>
      <c r="C113" s="190" t="str">
        <f t="shared" si="3"/>
        <v/>
      </c>
      <c r="D113" s="191"/>
      <c r="E113" s="192"/>
      <c r="F113" s="190" t="str">
        <f t="shared" si="4"/>
        <v/>
      </c>
      <c r="G113" s="191"/>
      <c r="H113" s="192"/>
      <c r="I113" s="190" t="str">
        <f t="shared" si="5"/>
        <v/>
      </c>
    </row>
    <row r="114" spans="1:9" s="190" customFormat="1" ht="17.399999999999999">
      <c r="A114" s="188"/>
      <c r="B114" s="189"/>
      <c r="C114" s="190" t="str">
        <f t="shared" si="3"/>
        <v/>
      </c>
      <c r="D114" s="191"/>
      <c r="E114" s="192"/>
      <c r="F114" s="190" t="str">
        <f t="shared" si="4"/>
        <v/>
      </c>
      <c r="G114" s="191"/>
      <c r="H114" s="192"/>
      <c r="I114" s="190" t="str">
        <f t="shared" si="5"/>
        <v/>
      </c>
    </row>
    <row r="115" spans="1:9" s="190" customFormat="1" ht="17.399999999999999">
      <c r="A115" s="188"/>
      <c r="B115" s="189"/>
      <c r="C115" s="190" t="str">
        <f t="shared" si="3"/>
        <v/>
      </c>
      <c r="D115" s="191"/>
      <c r="E115" s="192"/>
      <c r="F115" s="190" t="str">
        <f t="shared" si="4"/>
        <v/>
      </c>
      <c r="G115" s="191"/>
      <c r="H115" s="192"/>
      <c r="I115" s="190" t="str">
        <f t="shared" si="5"/>
        <v/>
      </c>
    </row>
    <row r="116" spans="1:9" s="190" customFormat="1" ht="17.399999999999999">
      <c r="A116" s="188"/>
      <c r="B116" s="189"/>
      <c r="C116" s="190" t="str">
        <f t="shared" si="3"/>
        <v/>
      </c>
      <c r="D116" s="191"/>
      <c r="E116" s="192"/>
      <c r="F116" s="190" t="str">
        <f t="shared" si="4"/>
        <v/>
      </c>
      <c r="G116" s="191"/>
      <c r="H116" s="192"/>
      <c r="I116" s="190" t="str">
        <f t="shared" si="5"/>
        <v/>
      </c>
    </row>
    <row r="117" spans="1:9" s="190" customFormat="1" ht="17.399999999999999">
      <c r="A117" s="188"/>
      <c r="B117" s="189"/>
      <c r="C117" s="190" t="str">
        <f t="shared" si="3"/>
        <v/>
      </c>
      <c r="D117" s="191"/>
      <c r="E117" s="192"/>
      <c r="F117" s="190" t="str">
        <f t="shared" si="4"/>
        <v/>
      </c>
      <c r="G117" s="191"/>
      <c r="H117" s="192"/>
      <c r="I117" s="190" t="str">
        <f t="shared" si="5"/>
        <v/>
      </c>
    </row>
    <row r="118" spans="1:9" s="190" customFormat="1" ht="17.399999999999999">
      <c r="A118" s="188"/>
      <c r="B118" s="189"/>
      <c r="C118" s="190" t="str">
        <f t="shared" si="3"/>
        <v/>
      </c>
      <c r="D118" s="191"/>
      <c r="E118" s="192"/>
      <c r="F118" s="190" t="str">
        <f t="shared" si="4"/>
        <v/>
      </c>
      <c r="G118" s="191"/>
      <c r="H118" s="192"/>
      <c r="I118" s="190" t="str">
        <f t="shared" si="5"/>
        <v/>
      </c>
    </row>
    <row r="119" spans="1:9" s="190" customFormat="1" ht="17.399999999999999">
      <c r="A119" s="188"/>
      <c r="B119" s="189"/>
      <c r="C119" s="190" t="str">
        <f t="shared" si="3"/>
        <v/>
      </c>
      <c r="D119" s="191"/>
      <c r="E119" s="192"/>
      <c r="F119" s="190" t="str">
        <f t="shared" si="4"/>
        <v/>
      </c>
      <c r="G119" s="191"/>
      <c r="H119" s="192"/>
      <c r="I119" s="190" t="str">
        <f t="shared" si="5"/>
        <v/>
      </c>
    </row>
    <row r="120" spans="1:9" s="190" customFormat="1" ht="17.399999999999999">
      <c r="A120" s="188"/>
      <c r="B120" s="189"/>
      <c r="C120" s="190" t="str">
        <f t="shared" si="3"/>
        <v/>
      </c>
      <c r="D120" s="191"/>
      <c r="E120" s="192"/>
      <c r="F120" s="190" t="str">
        <f t="shared" si="4"/>
        <v/>
      </c>
      <c r="G120" s="191"/>
      <c r="H120" s="192"/>
      <c r="I120" s="190" t="str">
        <f t="shared" si="5"/>
        <v/>
      </c>
    </row>
    <row r="121" spans="1:9" s="190" customFormat="1" ht="17.399999999999999">
      <c r="A121" s="188"/>
      <c r="B121" s="189"/>
      <c r="C121" s="190" t="str">
        <f t="shared" si="3"/>
        <v/>
      </c>
      <c r="D121" s="191"/>
      <c r="E121" s="192"/>
      <c r="F121" s="190" t="str">
        <f t="shared" si="4"/>
        <v/>
      </c>
      <c r="G121" s="191"/>
      <c r="H121" s="192"/>
      <c r="I121" s="190" t="str">
        <f t="shared" si="5"/>
        <v/>
      </c>
    </row>
    <row r="122" spans="1:9" s="190" customFormat="1" ht="17.399999999999999">
      <c r="A122" s="188"/>
      <c r="B122" s="189"/>
      <c r="C122" s="190" t="str">
        <f t="shared" si="3"/>
        <v/>
      </c>
      <c r="D122" s="191"/>
      <c r="E122" s="192"/>
      <c r="F122" s="190" t="str">
        <f t="shared" si="4"/>
        <v/>
      </c>
      <c r="G122" s="191"/>
      <c r="H122" s="192"/>
      <c r="I122" s="190" t="str">
        <f t="shared" si="5"/>
        <v/>
      </c>
    </row>
    <row r="123" spans="1:9" s="190" customFormat="1" ht="17.399999999999999">
      <c r="A123" s="188"/>
      <c r="B123" s="194"/>
      <c r="C123" s="190" t="str">
        <f t="shared" si="3"/>
        <v/>
      </c>
      <c r="D123" s="191"/>
      <c r="E123" s="192"/>
      <c r="F123" s="190" t="str">
        <f t="shared" si="4"/>
        <v/>
      </c>
      <c r="G123" s="191"/>
      <c r="H123" s="192"/>
      <c r="I123" s="190" t="str">
        <f t="shared" si="5"/>
        <v/>
      </c>
    </row>
    <row r="124" spans="1:9" s="190" customFormat="1" ht="17.399999999999999">
      <c r="A124" s="188"/>
      <c r="B124" s="189"/>
      <c r="C124" s="190" t="str">
        <f t="shared" si="3"/>
        <v/>
      </c>
      <c r="D124" s="191"/>
      <c r="E124" s="192"/>
      <c r="F124" s="190" t="str">
        <f t="shared" si="4"/>
        <v/>
      </c>
      <c r="G124" s="191"/>
      <c r="H124" s="192"/>
      <c r="I124" s="190" t="str">
        <f t="shared" si="5"/>
        <v/>
      </c>
    </row>
    <row r="125" spans="1:9" s="190" customFormat="1" ht="17.399999999999999">
      <c r="A125" s="188"/>
      <c r="B125" s="189"/>
      <c r="C125" s="190" t="str">
        <f t="shared" si="3"/>
        <v/>
      </c>
      <c r="D125" s="191"/>
      <c r="E125" s="192"/>
      <c r="F125" s="190" t="str">
        <f t="shared" si="4"/>
        <v/>
      </c>
      <c r="G125" s="191"/>
      <c r="H125" s="192"/>
      <c r="I125" s="190" t="str">
        <f t="shared" si="5"/>
        <v/>
      </c>
    </row>
    <row r="126" spans="1:9" s="190" customFormat="1" ht="17.399999999999999">
      <c r="A126" s="188"/>
      <c r="B126" s="189"/>
      <c r="C126" s="190" t="str">
        <f t="shared" si="3"/>
        <v/>
      </c>
      <c r="D126" s="191"/>
      <c r="E126" s="192"/>
      <c r="F126" s="190" t="str">
        <f t="shared" si="4"/>
        <v/>
      </c>
      <c r="G126" s="191"/>
      <c r="H126" s="192"/>
      <c r="I126" s="190" t="str">
        <f t="shared" si="5"/>
        <v/>
      </c>
    </row>
    <row r="127" spans="1:9" s="190" customFormat="1" ht="17.399999999999999">
      <c r="A127" s="188"/>
      <c r="B127" s="189"/>
      <c r="C127" s="190" t="str">
        <f t="shared" si="3"/>
        <v/>
      </c>
      <c r="D127" s="191"/>
      <c r="E127" s="192"/>
      <c r="F127" s="190" t="str">
        <f t="shared" si="4"/>
        <v/>
      </c>
      <c r="G127" s="191"/>
      <c r="H127" s="192"/>
      <c r="I127" s="190" t="str">
        <f t="shared" si="5"/>
        <v/>
      </c>
    </row>
    <row r="128" spans="1:9" s="190" customFormat="1" ht="17.399999999999999">
      <c r="A128" s="188"/>
      <c r="B128" s="189"/>
      <c r="C128" s="190" t="str">
        <f t="shared" si="3"/>
        <v/>
      </c>
      <c r="D128" s="191"/>
      <c r="E128" s="192"/>
      <c r="F128" s="190" t="str">
        <f t="shared" si="4"/>
        <v/>
      </c>
      <c r="G128" s="191"/>
      <c r="H128" s="192"/>
      <c r="I128" s="190" t="str">
        <f t="shared" si="5"/>
        <v/>
      </c>
    </row>
    <row r="129" spans="1:9" s="190" customFormat="1" ht="17.399999999999999">
      <c r="A129" s="188"/>
      <c r="B129" s="189"/>
      <c r="C129" s="190" t="str">
        <f t="shared" si="3"/>
        <v/>
      </c>
      <c r="D129" s="191"/>
      <c r="E129" s="192"/>
      <c r="F129" s="190" t="str">
        <f t="shared" si="4"/>
        <v/>
      </c>
      <c r="G129" s="191"/>
      <c r="H129" s="192"/>
      <c r="I129" s="190" t="str">
        <f t="shared" si="5"/>
        <v/>
      </c>
    </row>
    <row r="130" spans="1:9" s="190" customFormat="1" ht="17.399999999999999">
      <c r="A130" s="188"/>
      <c r="B130" s="189"/>
      <c r="C130" s="190" t="str">
        <f t="shared" si="3"/>
        <v/>
      </c>
      <c r="D130" s="191"/>
      <c r="E130" s="192"/>
      <c r="F130" s="190" t="str">
        <f t="shared" si="4"/>
        <v/>
      </c>
      <c r="G130" s="191"/>
      <c r="H130" s="192"/>
      <c r="I130" s="190" t="str">
        <f t="shared" si="5"/>
        <v/>
      </c>
    </row>
    <row r="131" spans="1:9" s="190" customFormat="1" ht="17.399999999999999">
      <c r="A131" s="188"/>
      <c r="B131" s="189"/>
      <c r="C131" s="190" t="str">
        <f t="shared" si="3"/>
        <v/>
      </c>
      <c r="D131" s="191"/>
      <c r="E131" s="192"/>
      <c r="F131" s="190" t="str">
        <f t="shared" si="4"/>
        <v/>
      </c>
      <c r="G131" s="191"/>
      <c r="H131" s="192"/>
      <c r="I131" s="190" t="str">
        <f t="shared" si="5"/>
        <v/>
      </c>
    </row>
    <row r="132" spans="1:9" s="190" customFormat="1" ht="17.399999999999999">
      <c r="A132" s="188"/>
      <c r="B132" s="189"/>
      <c r="C132" s="190" t="str">
        <f t="shared" si="3"/>
        <v/>
      </c>
      <c r="D132" s="191"/>
      <c r="E132" s="192"/>
      <c r="F132" s="190" t="str">
        <f t="shared" si="4"/>
        <v/>
      </c>
      <c r="G132" s="191"/>
      <c r="H132" s="192"/>
      <c r="I132" s="190" t="str">
        <f t="shared" si="5"/>
        <v/>
      </c>
    </row>
    <row r="133" spans="1:9" s="190" customFormat="1" ht="17.399999999999999">
      <c r="A133" s="188"/>
      <c r="B133" s="189"/>
      <c r="C133" s="190" t="str">
        <f t="shared" ref="C133:C196" si="6">IF(B133&gt;0,TEXT(B133,"(aaa)"),"")</f>
        <v/>
      </c>
      <c r="D133" s="191"/>
      <c r="E133" s="192"/>
      <c r="F133" s="190" t="str">
        <f t="shared" ref="F133:F196" si="7">IF(E133&gt;0,TEXT(E133,"(aaa)"),"")</f>
        <v/>
      </c>
      <c r="G133" s="191"/>
      <c r="H133" s="192"/>
      <c r="I133" s="190" t="str">
        <f t="shared" ref="I133:I196" si="8">IF(H133&gt;0,TEXT(H133,"(aaa)"),"")</f>
        <v/>
      </c>
    </row>
    <row r="134" spans="1:9" s="190" customFormat="1" ht="17.399999999999999">
      <c r="A134" s="188"/>
      <c r="B134" s="189"/>
      <c r="C134" s="190" t="str">
        <f t="shared" si="6"/>
        <v/>
      </c>
      <c r="D134" s="191"/>
      <c r="E134" s="192"/>
      <c r="F134" s="190" t="str">
        <f t="shared" si="7"/>
        <v/>
      </c>
      <c r="G134" s="191"/>
      <c r="H134" s="192"/>
      <c r="I134" s="190" t="str">
        <f t="shared" si="8"/>
        <v/>
      </c>
    </row>
    <row r="135" spans="1:9" s="190" customFormat="1" ht="17.399999999999999">
      <c r="A135" s="188"/>
      <c r="B135" s="189"/>
      <c r="C135" s="190" t="str">
        <f t="shared" si="6"/>
        <v/>
      </c>
      <c r="D135" s="191"/>
      <c r="E135" s="192"/>
      <c r="F135" s="190" t="str">
        <f t="shared" si="7"/>
        <v/>
      </c>
      <c r="G135" s="191"/>
      <c r="H135" s="192"/>
      <c r="I135" s="190" t="str">
        <f t="shared" si="8"/>
        <v/>
      </c>
    </row>
    <row r="136" spans="1:9" s="190" customFormat="1" ht="17.399999999999999">
      <c r="A136" s="188"/>
      <c r="B136" s="189"/>
      <c r="C136" s="190" t="str">
        <f t="shared" si="6"/>
        <v/>
      </c>
      <c r="D136" s="191"/>
      <c r="E136" s="192"/>
      <c r="F136" s="190" t="str">
        <f t="shared" si="7"/>
        <v/>
      </c>
      <c r="G136" s="191"/>
      <c r="H136" s="192"/>
      <c r="I136" s="190" t="str">
        <f t="shared" si="8"/>
        <v/>
      </c>
    </row>
    <row r="137" spans="1:9" s="190" customFormat="1" ht="17.399999999999999">
      <c r="A137" s="188"/>
      <c r="B137" s="189"/>
      <c r="C137" s="190" t="str">
        <f t="shared" si="6"/>
        <v/>
      </c>
      <c r="D137" s="191"/>
      <c r="E137" s="192"/>
      <c r="F137" s="190" t="str">
        <f t="shared" si="7"/>
        <v/>
      </c>
      <c r="G137" s="191"/>
      <c r="H137" s="192"/>
      <c r="I137" s="190" t="str">
        <f t="shared" si="8"/>
        <v/>
      </c>
    </row>
    <row r="138" spans="1:9" s="190" customFormat="1" ht="17.399999999999999">
      <c r="A138" s="188"/>
      <c r="B138" s="189"/>
      <c r="C138" s="190" t="str">
        <f t="shared" si="6"/>
        <v/>
      </c>
      <c r="D138" s="191"/>
      <c r="E138" s="192"/>
      <c r="F138" s="190" t="str">
        <f t="shared" si="7"/>
        <v/>
      </c>
      <c r="G138" s="191"/>
      <c r="H138" s="192"/>
      <c r="I138" s="190" t="str">
        <f t="shared" si="8"/>
        <v/>
      </c>
    </row>
    <row r="139" spans="1:9" s="190" customFormat="1" ht="17.399999999999999">
      <c r="A139" s="188"/>
      <c r="B139" s="189"/>
      <c r="C139" s="190" t="str">
        <f t="shared" si="6"/>
        <v/>
      </c>
      <c r="D139" s="191"/>
      <c r="E139" s="192"/>
      <c r="F139" s="190" t="str">
        <f t="shared" si="7"/>
        <v/>
      </c>
      <c r="G139" s="191"/>
      <c r="H139" s="192"/>
      <c r="I139" s="190" t="str">
        <f t="shared" si="8"/>
        <v/>
      </c>
    </row>
    <row r="140" spans="1:9" s="190" customFormat="1" ht="17.399999999999999">
      <c r="A140" s="188"/>
      <c r="B140" s="189"/>
      <c r="C140" s="190" t="str">
        <f t="shared" si="6"/>
        <v/>
      </c>
      <c r="D140" s="191"/>
      <c r="E140" s="192"/>
      <c r="F140" s="190" t="str">
        <f t="shared" si="7"/>
        <v/>
      </c>
      <c r="G140" s="191"/>
      <c r="H140" s="192"/>
      <c r="I140" s="190" t="str">
        <f t="shared" si="8"/>
        <v/>
      </c>
    </row>
    <row r="141" spans="1:9" s="190" customFormat="1" ht="17.399999999999999">
      <c r="A141" s="188"/>
      <c r="B141" s="189"/>
      <c r="C141" s="190" t="str">
        <f t="shared" si="6"/>
        <v/>
      </c>
      <c r="D141" s="191"/>
      <c r="E141" s="192"/>
      <c r="F141" s="190" t="str">
        <f t="shared" si="7"/>
        <v/>
      </c>
      <c r="G141" s="191"/>
      <c r="H141" s="192"/>
      <c r="I141" s="190" t="str">
        <f t="shared" si="8"/>
        <v/>
      </c>
    </row>
    <row r="142" spans="1:9" s="190" customFormat="1" ht="17.399999999999999">
      <c r="A142" s="188"/>
      <c r="B142" s="189"/>
      <c r="C142" s="190" t="str">
        <f t="shared" si="6"/>
        <v/>
      </c>
      <c r="D142" s="191"/>
      <c r="E142" s="192"/>
      <c r="F142" s="190" t="str">
        <f t="shared" si="7"/>
        <v/>
      </c>
      <c r="G142" s="191"/>
      <c r="H142" s="192"/>
      <c r="I142" s="190" t="str">
        <f t="shared" si="8"/>
        <v/>
      </c>
    </row>
    <row r="143" spans="1:9" s="190" customFormat="1" ht="17.399999999999999">
      <c r="A143" s="188"/>
      <c r="B143" s="189"/>
      <c r="C143" s="190" t="str">
        <f t="shared" si="6"/>
        <v/>
      </c>
      <c r="D143" s="191"/>
      <c r="E143" s="192"/>
      <c r="F143" s="190" t="str">
        <f t="shared" si="7"/>
        <v/>
      </c>
      <c r="G143" s="191"/>
      <c r="H143" s="192"/>
      <c r="I143" s="190" t="str">
        <f t="shared" si="8"/>
        <v/>
      </c>
    </row>
    <row r="144" spans="1:9" s="190" customFormat="1" ht="17.399999999999999">
      <c r="A144" s="188"/>
      <c r="B144" s="189"/>
      <c r="C144" s="190" t="str">
        <f t="shared" si="6"/>
        <v/>
      </c>
      <c r="D144" s="191"/>
      <c r="E144" s="192"/>
      <c r="F144" s="190" t="str">
        <f t="shared" si="7"/>
        <v/>
      </c>
      <c r="G144" s="191"/>
      <c r="H144" s="192"/>
      <c r="I144" s="190" t="str">
        <f t="shared" si="8"/>
        <v/>
      </c>
    </row>
    <row r="145" spans="1:9" s="190" customFormat="1" ht="17.399999999999999">
      <c r="A145" s="188"/>
      <c r="B145" s="189"/>
      <c r="C145" s="190" t="str">
        <f t="shared" si="6"/>
        <v/>
      </c>
      <c r="D145" s="191"/>
      <c r="E145" s="192"/>
      <c r="F145" s="190" t="str">
        <f t="shared" si="7"/>
        <v/>
      </c>
      <c r="G145" s="191"/>
      <c r="H145" s="192"/>
      <c r="I145" s="190" t="str">
        <f t="shared" si="8"/>
        <v/>
      </c>
    </row>
    <row r="146" spans="1:9" s="190" customFormat="1" ht="17.399999999999999">
      <c r="A146" s="188"/>
      <c r="B146" s="189"/>
      <c r="C146" s="190" t="str">
        <f t="shared" si="6"/>
        <v/>
      </c>
      <c r="D146" s="191"/>
      <c r="E146" s="192"/>
      <c r="F146" s="190" t="str">
        <f t="shared" si="7"/>
        <v/>
      </c>
      <c r="G146" s="191"/>
      <c r="H146" s="192"/>
      <c r="I146" s="190" t="str">
        <f t="shared" si="8"/>
        <v/>
      </c>
    </row>
    <row r="147" spans="1:9" s="190" customFormat="1" ht="17.399999999999999">
      <c r="A147" s="188"/>
      <c r="B147" s="189"/>
      <c r="C147" s="190" t="str">
        <f t="shared" si="6"/>
        <v/>
      </c>
      <c r="D147" s="191"/>
      <c r="E147" s="192"/>
      <c r="F147" s="190" t="str">
        <f t="shared" si="7"/>
        <v/>
      </c>
      <c r="G147" s="191"/>
      <c r="H147" s="192"/>
      <c r="I147" s="190" t="str">
        <f t="shared" si="8"/>
        <v/>
      </c>
    </row>
    <row r="148" spans="1:9" s="190" customFormat="1" ht="17.399999999999999">
      <c r="A148" s="188"/>
      <c r="B148" s="189"/>
      <c r="C148" s="190" t="str">
        <f t="shared" si="6"/>
        <v/>
      </c>
      <c r="D148" s="191"/>
      <c r="E148" s="192"/>
      <c r="F148" s="190" t="str">
        <f t="shared" si="7"/>
        <v/>
      </c>
      <c r="G148" s="191"/>
      <c r="H148" s="192"/>
      <c r="I148" s="190" t="str">
        <f t="shared" si="8"/>
        <v/>
      </c>
    </row>
    <row r="149" spans="1:9" s="190" customFormat="1" ht="17.399999999999999">
      <c r="A149" s="188"/>
      <c r="B149" s="189"/>
      <c r="C149" s="190" t="str">
        <f t="shared" si="6"/>
        <v/>
      </c>
      <c r="D149" s="191"/>
      <c r="E149" s="192"/>
      <c r="F149" s="190" t="str">
        <f t="shared" si="7"/>
        <v/>
      </c>
      <c r="G149" s="191"/>
      <c r="H149" s="192"/>
      <c r="I149" s="190" t="str">
        <f t="shared" si="8"/>
        <v/>
      </c>
    </row>
    <row r="150" spans="1:9" s="190" customFormat="1" ht="17.399999999999999">
      <c r="A150" s="188"/>
      <c r="B150" s="189"/>
      <c r="C150" s="190" t="str">
        <f t="shared" si="6"/>
        <v/>
      </c>
      <c r="D150" s="191"/>
      <c r="E150" s="192"/>
      <c r="F150" s="190" t="str">
        <f t="shared" si="7"/>
        <v/>
      </c>
      <c r="G150" s="191"/>
      <c r="H150" s="192"/>
      <c r="I150" s="190" t="str">
        <f t="shared" si="8"/>
        <v/>
      </c>
    </row>
    <row r="151" spans="1:9" s="190" customFormat="1" ht="17.399999999999999">
      <c r="A151" s="188"/>
      <c r="B151" s="189"/>
      <c r="C151" s="190" t="str">
        <f t="shared" si="6"/>
        <v/>
      </c>
      <c r="D151" s="191"/>
      <c r="E151" s="192"/>
      <c r="F151" s="190" t="str">
        <f t="shared" si="7"/>
        <v/>
      </c>
      <c r="G151" s="191"/>
      <c r="H151" s="192"/>
      <c r="I151" s="190" t="str">
        <f t="shared" si="8"/>
        <v/>
      </c>
    </row>
    <row r="152" spans="1:9" s="190" customFormat="1" ht="17.399999999999999">
      <c r="A152" s="188"/>
      <c r="B152" s="189"/>
      <c r="C152" s="190" t="str">
        <f t="shared" si="6"/>
        <v/>
      </c>
      <c r="D152" s="191"/>
      <c r="E152" s="192"/>
      <c r="F152" s="190" t="str">
        <f t="shared" si="7"/>
        <v/>
      </c>
      <c r="G152" s="191"/>
      <c r="H152" s="192"/>
      <c r="I152" s="190" t="str">
        <f t="shared" si="8"/>
        <v/>
      </c>
    </row>
    <row r="153" spans="1:9" s="190" customFormat="1" ht="17.399999999999999">
      <c r="A153" s="188"/>
      <c r="B153" s="189"/>
      <c r="C153" s="190" t="str">
        <f t="shared" si="6"/>
        <v/>
      </c>
      <c r="D153" s="191"/>
      <c r="E153" s="192"/>
      <c r="F153" s="190" t="str">
        <f t="shared" si="7"/>
        <v/>
      </c>
      <c r="G153" s="191"/>
      <c r="H153" s="192"/>
      <c r="I153" s="190" t="str">
        <f t="shared" si="8"/>
        <v/>
      </c>
    </row>
    <row r="154" spans="1:9" s="190" customFormat="1" ht="17.399999999999999">
      <c r="A154" s="188"/>
      <c r="B154" s="189"/>
      <c r="C154" s="190" t="str">
        <f t="shared" si="6"/>
        <v/>
      </c>
      <c r="D154" s="191"/>
      <c r="E154" s="192"/>
      <c r="F154" s="190" t="str">
        <f t="shared" si="7"/>
        <v/>
      </c>
      <c r="G154" s="191"/>
      <c r="H154" s="192"/>
      <c r="I154" s="190" t="str">
        <f t="shared" si="8"/>
        <v/>
      </c>
    </row>
    <row r="155" spans="1:9" s="190" customFormat="1" ht="17.399999999999999">
      <c r="A155" s="188"/>
      <c r="B155" s="189"/>
      <c r="C155" s="190" t="str">
        <f t="shared" si="6"/>
        <v/>
      </c>
      <c r="D155" s="191"/>
      <c r="E155" s="192"/>
      <c r="F155" s="190" t="str">
        <f t="shared" si="7"/>
        <v/>
      </c>
      <c r="G155" s="191"/>
      <c r="H155" s="192"/>
      <c r="I155" s="190" t="str">
        <f t="shared" si="8"/>
        <v/>
      </c>
    </row>
    <row r="156" spans="1:9" s="190" customFormat="1" ht="17.399999999999999">
      <c r="A156" s="188"/>
      <c r="B156" s="189"/>
      <c r="C156" s="190" t="str">
        <f t="shared" si="6"/>
        <v/>
      </c>
      <c r="D156" s="191"/>
      <c r="E156" s="192"/>
      <c r="F156" s="190" t="str">
        <f t="shared" si="7"/>
        <v/>
      </c>
      <c r="G156" s="191"/>
      <c r="H156" s="192"/>
      <c r="I156" s="190" t="str">
        <f t="shared" si="8"/>
        <v/>
      </c>
    </row>
    <row r="157" spans="1:9" s="190" customFormat="1" ht="17.399999999999999">
      <c r="A157" s="188"/>
      <c r="B157" s="189"/>
      <c r="C157" s="190" t="str">
        <f t="shared" si="6"/>
        <v/>
      </c>
      <c r="D157" s="191"/>
      <c r="E157" s="192"/>
      <c r="F157" s="190" t="str">
        <f t="shared" si="7"/>
        <v/>
      </c>
      <c r="G157" s="191"/>
      <c r="H157" s="192"/>
      <c r="I157" s="190" t="str">
        <f t="shared" si="8"/>
        <v/>
      </c>
    </row>
    <row r="158" spans="1:9" s="190" customFormat="1" ht="17.399999999999999">
      <c r="A158" s="188"/>
      <c r="B158" s="189"/>
      <c r="C158" s="190" t="str">
        <f t="shared" si="6"/>
        <v/>
      </c>
      <c r="D158" s="191"/>
      <c r="E158" s="192"/>
      <c r="F158" s="190" t="str">
        <f t="shared" si="7"/>
        <v/>
      </c>
      <c r="G158" s="191"/>
      <c r="H158" s="192"/>
      <c r="I158" s="190" t="str">
        <f t="shared" si="8"/>
        <v/>
      </c>
    </row>
    <row r="159" spans="1:9" s="190" customFormat="1" ht="17.399999999999999">
      <c r="A159" s="188"/>
      <c r="B159" s="189"/>
      <c r="C159" s="190" t="str">
        <f t="shared" si="6"/>
        <v/>
      </c>
      <c r="D159" s="191"/>
      <c r="E159" s="192"/>
      <c r="F159" s="190" t="str">
        <f t="shared" si="7"/>
        <v/>
      </c>
      <c r="G159" s="191"/>
      <c r="H159" s="192"/>
      <c r="I159" s="190" t="str">
        <f t="shared" si="8"/>
        <v/>
      </c>
    </row>
    <row r="160" spans="1:9" s="190" customFormat="1" ht="17.399999999999999">
      <c r="A160" s="188"/>
      <c r="B160" s="189"/>
      <c r="C160" s="190" t="str">
        <f t="shared" si="6"/>
        <v/>
      </c>
      <c r="D160" s="191"/>
      <c r="E160" s="192"/>
      <c r="F160" s="190" t="str">
        <f t="shared" si="7"/>
        <v/>
      </c>
      <c r="G160" s="191"/>
      <c r="H160" s="192"/>
      <c r="I160" s="190" t="str">
        <f t="shared" si="8"/>
        <v/>
      </c>
    </row>
    <row r="161" spans="1:9" s="190" customFormat="1" ht="17.399999999999999">
      <c r="A161" s="188"/>
      <c r="B161" s="189"/>
      <c r="C161" s="190" t="str">
        <f t="shared" si="6"/>
        <v/>
      </c>
      <c r="D161" s="191"/>
      <c r="E161" s="192"/>
      <c r="F161" s="190" t="str">
        <f t="shared" si="7"/>
        <v/>
      </c>
      <c r="G161" s="191"/>
      <c r="H161" s="192"/>
      <c r="I161" s="190" t="str">
        <f t="shared" si="8"/>
        <v/>
      </c>
    </row>
    <row r="162" spans="1:9" s="190" customFormat="1" ht="17.399999999999999">
      <c r="A162" s="188"/>
      <c r="B162" s="189"/>
      <c r="C162" s="190" t="str">
        <f t="shared" si="6"/>
        <v/>
      </c>
      <c r="D162" s="191"/>
      <c r="E162" s="192"/>
      <c r="F162" s="190" t="str">
        <f t="shared" si="7"/>
        <v/>
      </c>
      <c r="G162" s="191"/>
      <c r="H162" s="192"/>
      <c r="I162" s="190" t="str">
        <f t="shared" si="8"/>
        <v/>
      </c>
    </row>
    <row r="163" spans="1:9" s="190" customFormat="1" ht="17.399999999999999">
      <c r="A163" s="188"/>
      <c r="B163" s="189"/>
      <c r="C163" s="190" t="str">
        <f t="shared" si="6"/>
        <v/>
      </c>
      <c r="D163" s="191"/>
      <c r="E163" s="192"/>
      <c r="F163" s="190" t="str">
        <f t="shared" si="7"/>
        <v/>
      </c>
      <c r="G163" s="191"/>
      <c r="H163" s="192"/>
      <c r="I163" s="190" t="str">
        <f t="shared" si="8"/>
        <v/>
      </c>
    </row>
    <row r="164" spans="1:9" s="190" customFormat="1" ht="17.399999999999999">
      <c r="A164" s="188"/>
      <c r="B164" s="189"/>
      <c r="C164" s="190" t="str">
        <f t="shared" si="6"/>
        <v/>
      </c>
      <c r="D164" s="191"/>
      <c r="E164" s="192"/>
      <c r="F164" s="190" t="str">
        <f t="shared" si="7"/>
        <v/>
      </c>
      <c r="G164" s="191"/>
      <c r="H164" s="192"/>
      <c r="I164" s="190" t="str">
        <f t="shared" si="8"/>
        <v/>
      </c>
    </row>
    <row r="165" spans="1:9" s="190" customFormat="1" ht="17.399999999999999">
      <c r="A165" s="188"/>
      <c r="B165" s="189"/>
      <c r="C165" s="190" t="str">
        <f t="shared" si="6"/>
        <v/>
      </c>
      <c r="D165" s="191"/>
      <c r="E165" s="192"/>
      <c r="F165" s="190" t="str">
        <f t="shared" si="7"/>
        <v/>
      </c>
      <c r="G165" s="191"/>
      <c r="H165" s="192"/>
      <c r="I165" s="190" t="str">
        <f t="shared" si="8"/>
        <v/>
      </c>
    </row>
    <row r="166" spans="1:9" s="190" customFormat="1" ht="17.399999999999999">
      <c r="A166" s="188"/>
      <c r="B166" s="189"/>
      <c r="C166" s="190" t="str">
        <f t="shared" si="6"/>
        <v/>
      </c>
      <c r="D166" s="191"/>
      <c r="E166" s="192"/>
      <c r="F166" s="190" t="str">
        <f t="shared" si="7"/>
        <v/>
      </c>
      <c r="G166" s="191"/>
      <c r="H166" s="192"/>
      <c r="I166" s="190" t="str">
        <f t="shared" si="8"/>
        <v/>
      </c>
    </row>
    <row r="167" spans="1:9" s="190" customFormat="1" ht="17.399999999999999">
      <c r="A167" s="188"/>
      <c r="B167" s="189"/>
      <c r="C167" s="190" t="str">
        <f t="shared" si="6"/>
        <v/>
      </c>
      <c r="D167" s="191"/>
      <c r="E167" s="192"/>
      <c r="F167" s="190" t="str">
        <f t="shared" si="7"/>
        <v/>
      </c>
      <c r="G167" s="191"/>
      <c r="H167" s="192"/>
      <c r="I167" s="190" t="str">
        <f t="shared" si="8"/>
        <v/>
      </c>
    </row>
    <row r="168" spans="1:9" s="190" customFormat="1" ht="17.399999999999999">
      <c r="A168" s="188"/>
      <c r="B168" s="189"/>
      <c r="C168" s="190" t="str">
        <f t="shared" si="6"/>
        <v/>
      </c>
      <c r="D168" s="191"/>
      <c r="E168" s="192"/>
      <c r="F168" s="190" t="str">
        <f t="shared" si="7"/>
        <v/>
      </c>
      <c r="G168" s="191"/>
      <c r="H168" s="192"/>
      <c r="I168" s="190" t="str">
        <f t="shared" si="8"/>
        <v/>
      </c>
    </row>
    <row r="169" spans="1:9" s="190" customFormat="1" ht="17.399999999999999">
      <c r="A169" s="188"/>
      <c r="B169" s="189"/>
      <c r="C169" s="190" t="str">
        <f t="shared" si="6"/>
        <v/>
      </c>
      <c r="D169" s="191"/>
      <c r="E169" s="192"/>
      <c r="F169" s="190" t="str">
        <f t="shared" si="7"/>
        <v/>
      </c>
      <c r="G169" s="191"/>
      <c r="H169" s="192"/>
      <c r="I169" s="190" t="str">
        <f t="shared" si="8"/>
        <v/>
      </c>
    </row>
    <row r="170" spans="1:9" s="190" customFormat="1" ht="17.399999999999999">
      <c r="A170" s="188"/>
      <c r="B170" s="189"/>
      <c r="C170" s="190" t="str">
        <f t="shared" si="6"/>
        <v/>
      </c>
      <c r="D170" s="191"/>
      <c r="E170" s="192"/>
      <c r="F170" s="190" t="str">
        <f t="shared" si="7"/>
        <v/>
      </c>
      <c r="G170" s="191"/>
      <c r="H170" s="192"/>
      <c r="I170" s="190" t="str">
        <f t="shared" si="8"/>
        <v/>
      </c>
    </row>
    <row r="171" spans="1:9" s="190" customFormat="1" ht="17.399999999999999">
      <c r="A171" s="188"/>
      <c r="B171" s="189"/>
      <c r="C171" s="190" t="str">
        <f t="shared" si="6"/>
        <v/>
      </c>
      <c r="D171" s="191"/>
      <c r="E171" s="192"/>
      <c r="F171" s="190" t="str">
        <f t="shared" si="7"/>
        <v/>
      </c>
      <c r="G171" s="191"/>
      <c r="H171" s="192"/>
      <c r="I171" s="190" t="str">
        <f t="shared" si="8"/>
        <v/>
      </c>
    </row>
    <row r="172" spans="1:9" s="190" customFormat="1" ht="17.399999999999999">
      <c r="A172" s="188"/>
      <c r="B172" s="189"/>
      <c r="C172" s="190" t="str">
        <f t="shared" si="6"/>
        <v/>
      </c>
      <c r="D172" s="191"/>
      <c r="E172" s="192"/>
      <c r="F172" s="190" t="str">
        <f t="shared" si="7"/>
        <v/>
      </c>
      <c r="G172" s="191"/>
      <c r="H172" s="192"/>
      <c r="I172" s="190" t="str">
        <f t="shared" si="8"/>
        <v/>
      </c>
    </row>
    <row r="173" spans="1:9" s="190" customFormat="1" ht="17.399999999999999">
      <c r="A173" s="188"/>
      <c r="B173" s="189"/>
      <c r="C173" s="190" t="str">
        <f t="shared" si="6"/>
        <v/>
      </c>
      <c r="D173" s="191"/>
      <c r="E173" s="192"/>
      <c r="F173" s="190" t="str">
        <f t="shared" si="7"/>
        <v/>
      </c>
      <c r="G173" s="191"/>
      <c r="H173" s="192"/>
      <c r="I173" s="190" t="str">
        <f t="shared" si="8"/>
        <v/>
      </c>
    </row>
    <row r="174" spans="1:9" s="190" customFormat="1" ht="17.399999999999999">
      <c r="A174" s="188"/>
      <c r="B174" s="189"/>
      <c r="C174" s="190" t="str">
        <f t="shared" si="6"/>
        <v/>
      </c>
      <c r="D174" s="191"/>
      <c r="E174" s="192"/>
      <c r="F174" s="190" t="str">
        <f t="shared" si="7"/>
        <v/>
      </c>
      <c r="G174" s="191"/>
      <c r="H174" s="192"/>
      <c r="I174" s="190" t="str">
        <f t="shared" si="8"/>
        <v/>
      </c>
    </row>
    <row r="175" spans="1:9" s="190" customFormat="1" ht="17.399999999999999">
      <c r="A175" s="188"/>
      <c r="B175" s="189"/>
      <c r="C175" s="190" t="str">
        <f t="shared" si="6"/>
        <v/>
      </c>
      <c r="D175" s="191"/>
      <c r="E175" s="192"/>
      <c r="F175" s="190" t="str">
        <f t="shared" si="7"/>
        <v/>
      </c>
      <c r="G175" s="191"/>
      <c r="H175" s="192"/>
      <c r="I175" s="190" t="str">
        <f t="shared" si="8"/>
        <v/>
      </c>
    </row>
    <row r="176" spans="1:9" s="190" customFormat="1" ht="17.399999999999999">
      <c r="A176" s="188"/>
      <c r="B176" s="189"/>
      <c r="C176" s="190" t="str">
        <f t="shared" si="6"/>
        <v/>
      </c>
      <c r="D176" s="191"/>
      <c r="E176" s="192"/>
      <c r="F176" s="190" t="str">
        <f t="shared" si="7"/>
        <v/>
      </c>
      <c r="G176" s="191"/>
      <c r="H176" s="192"/>
      <c r="I176" s="190" t="str">
        <f t="shared" si="8"/>
        <v/>
      </c>
    </row>
    <row r="177" spans="1:9" s="190" customFormat="1" ht="17.399999999999999">
      <c r="A177" s="188"/>
      <c r="B177" s="189"/>
      <c r="C177" s="190" t="str">
        <f t="shared" si="6"/>
        <v/>
      </c>
      <c r="D177" s="191"/>
      <c r="E177" s="192"/>
      <c r="F177" s="190" t="str">
        <f t="shared" si="7"/>
        <v/>
      </c>
      <c r="G177" s="191"/>
      <c r="H177" s="192"/>
      <c r="I177" s="190" t="str">
        <f t="shared" si="8"/>
        <v/>
      </c>
    </row>
    <row r="178" spans="1:9" s="190" customFormat="1" ht="17.399999999999999">
      <c r="A178" s="188"/>
      <c r="B178" s="189"/>
      <c r="C178" s="190" t="str">
        <f t="shared" si="6"/>
        <v/>
      </c>
      <c r="D178" s="191"/>
      <c r="E178" s="192"/>
      <c r="F178" s="190" t="str">
        <f t="shared" si="7"/>
        <v/>
      </c>
      <c r="G178" s="191"/>
      <c r="H178" s="192"/>
      <c r="I178" s="190" t="str">
        <f t="shared" si="8"/>
        <v/>
      </c>
    </row>
    <row r="179" spans="1:9" s="190" customFormat="1" ht="17.399999999999999">
      <c r="A179" s="188"/>
      <c r="B179" s="189"/>
      <c r="C179" s="190" t="str">
        <f t="shared" si="6"/>
        <v/>
      </c>
      <c r="D179" s="191"/>
      <c r="E179" s="192"/>
      <c r="F179" s="190" t="str">
        <f t="shared" si="7"/>
        <v/>
      </c>
      <c r="G179" s="191"/>
      <c r="H179" s="192"/>
      <c r="I179" s="190" t="str">
        <f t="shared" si="8"/>
        <v/>
      </c>
    </row>
    <row r="180" spans="1:9" s="190" customFormat="1" ht="17.399999999999999">
      <c r="A180" s="188"/>
      <c r="B180" s="189"/>
      <c r="C180" s="190" t="str">
        <f t="shared" si="6"/>
        <v/>
      </c>
      <c r="D180" s="191"/>
      <c r="E180" s="192"/>
      <c r="F180" s="190" t="str">
        <f t="shared" si="7"/>
        <v/>
      </c>
      <c r="G180" s="191"/>
      <c r="H180" s="192"/>
      <c r="I180" s="190" t="str">
        <f t="shared" si="8"/>
        <v/>
      </c>
    </row>
    <row r="181" spans="1:9" s="190" customFormat="1" ht="17.399999999999999">
      <c r="A181" s="188"/>
      <c r="B181" s="189"/>
      <c r="C181" s="190" t="str">
        <f t="shared" si="6"/>
        <v/>
      </c>
      <c r="D181" s="191"/>
      <c r="E181" s="192"/>
      <c r="F181" s="190" t="str">
        <f t="shared" si="7"/>
        <v/>
      </c>
      <c r="G181" s="191"/>
      <c r="H181" s="192"/>
      <c r="I181" s="190" t="str">
        <f t="shared" si="8"/>
        <v/>
      </c>
    </row>
    <row r="182" spans="1:9" s="190" customFormat="1" ht="17.399999999999999">
      <c r="A182" s="188"/>
      <c r="B182" s="189"/>
      <c r="C182" s="190" t="str">
        <f t="shared" si="6"/>
        <v/>
      </c>
      <c r="D182" s="191"/>
      <c r="E182" s="192"/>
      <c r="F182" s="190" t="str">
        <f t="shared" si="7"/>
        <v/>
      </c>
      <c r="G182" s="191"/>
      <c r="H182" s="192"/>
      <c r="I182" s="190" t="str">
        <f t="shared" si="8"/>
        <v/>
      </c>
    </row>
    <row r="183" spans="1:9" s="190" customFormat="1" ht="17.399999999999999">
      <c r="A183" s="188"/>
      <c r="B183" s="189"/>
      <c r="C183" s="190" t="str">
        <f t="shared" si="6"/>
        <v/>
      </c>
      <c r="D183" s="191"/>
      <c r="E183" s="192"/>
      <c r="F183" s="190" t="str">
        <f t="shared" si="7"/>
        <v/>
      </c>
      <c r="G183" s="191"/>
      <c r="H183" s="192"/>
      <c r="I183" s="190" t="str">
        <f t="shared" si="8"/>
        <v/>
      </c>
    </row>
    <row r="184" spans="1:9" s="190" customFormat="1" ht="17.399999999999999">
      <c r="A184" s="188"/>
      <c r="B184" s="189"/>
      <c r="C184" s="190" t="str">
        <f t="shared" si="6"/>
        <v/>
      </c>
      <c r="D184" s="191"/>
      <c r="E184" s="192"/>
      <c r="F184" s="190" t="str">
        <f t="shared" si="7"/>
        <v/>
      </c>
      <c r="G184" s="191"/>
      <c r="H184" s="192"/>
      <c r="I184" s="190" t="str">
        <f t="shared" si="8"/>
        <v/>
      </c>
    </row>
    <row r="185" spans="1:9" s="190" customFormat="1" ht="17.399999999999999">
      <c r="A185" s="188"/>
      <c r="B185" s="189"/>
      <c r="C185" s="190" t="str">
        <f t="shared" si="6"/>
        <v/>
      </c>
      <c r="D185" s="191"/>
      <c r="E185" s="192"/>
      <c r="F185" s="190" t="str">
        <f t="shared" si="7"/>
        <v/>
      </c>
      <c r="G185" s="191"/>
      <c r="H185" s="192"/>
      <c r="I185" s="190" t="str">
        <f t="shared" si="8"/>
        <v/>
      </c>
    </row>
    <row r="186" spans="1:9" s="190" customFormat="1" ht="17.399999999999999">
      <c r="A186" s="188"/>
      <c r="B186" s="189"/>
      <c r="C186" s="190" t="str">
        <f t="shared" si="6"/>
        <v/>
      </c>
      <c r="D186" s="191"/>
      <c r="E186" s="192"/>
      <c r="F186" s="190" t="str">
        <f t="shared" si="7"/>
        <v/>
      </c>
      <c r="G186" s="191"/>
      <c r="H186" s="192"/>
      <c r="I186" s="190" t="str">
        <f t="shared" si="8"/>
        <v/>
      </c>
    </row>
    <row r="187" spans="1:9" s="190" customFormat="1" ht="17.399999999999999">
      <c r="A187" s="188"/>
      <c r="B187" s="189"/>
      <c r="C187" s="190" t="str">
        <f t="shared" si="6"/>
        <v/>
      </c>
      <c r="D187" s="191"/>
      <c r="E187" s="192"/>
      <c r="F187" s="190" t="str">
        <f t="shared" si="7"/>
        <v/>
      </c>
      <c r="G187" s="191"/>
      <c r="H187" s="192"/>
      <c r="I187" s="190" t="str">
        <f t="shared" si="8"/>
        <v/>
      </c>
    </row>
    <row r="188" spans="1:9" s="190" customFormat="1" ht="17.399999999999999">
      <c r="A188" s="188"/>
      <c r="B188" s="189"/>
      <c r="C188" s="190" t="str">
        <f t="shared" si="6"/>
        <v/>
      </c>
      <c r="D188" s="191"/>
      <c r="E188" s="192"/>
      <c r="F188" s="190" t="str">
        <f t="shared" si="7"/>
        <v/>
      </c>
      <c r="G188" s="191"/>
      <c r="H188" s="192"/>
      <c r="I188" s="190" t="str">
        <f t="shared" si="8"/>
        <v/>
      </c>
    </row>
    <row r="189" spans="1:9" s="190" customFormat="1" ht="17.399999999999999">
      <c r="A189" s="188"/>
      <c r="B189" s="189"/>
      <c r="C189" s="190" t="str">
        <f t="shared" si="6"/>
        <v/>
      </c>
      <c r="D189" s="191"/>
      <c r="E189" s="192"/>
      <c r="F189" s="190" t="str">
        <f t="shared" si="7"/>
        <v/>
      </c>
      <c r="G189" s="191"/>
      <c r="H189" s="192"/>
      <c r="I189" s="190" t="str">
        <f t="shared" si="8"/>
        <v/>
      </c>
    </row>
    <row r="190" spans="1:9" s="190" customFormat="1" ht="17.399999999999999">
      <c r="A190" s="188"/>
      <c r="B190" s="189"/>
      <c r="C190" s="190" t="str">
        <f t="shared" si="6"/>
        <v/>
      </c>
      <c r="D190" s="191"/>
      <c r="E190" s="192"/>
      <c r="F190" s="190" t="str">
        <f t="shared" si="7"/>
        <v/>
      </c>
      <c r="G190" s="191"/>
      <c r="H190" s="192"/>
      <c r="I190" s="190" t="str">
        <f t="shared" si="8"/>
        <v/>
      </c>
    </row>
    <row r="191" spans="1:9" s="190" customFormat="1" ht="17.399999999999999">
      <c r="A191" s="188"/>
      <c r="B191" s="189"/>
      <c r="C191" s="190" t="str">
        <f t="shared" si="6"/>
        <v/>
      </c>
      <c r="D191" s="191"/>
      <c r="E191" s="192"/>
      <c r="F191" s="190" t="str">
        <f t="shared" si="7"/>
        <v/>
      </c>
      <c r="G191" s="191"/>
      <c r="H191" s="192"/>
      <c r="I191" s="190" t="str">
        <f t="shared" si="8"/>
        <v/>
      </c>
    </row>
    <row r="192" spans="1:9" s="190" customFormat="1" ht="17.399999999999999">
      <c r="A192" s="188"/>
      <c r="B192" s="189"/>
      <c r="C192" s="190" t="str">
        <f t="shared" si="6"/>
        <v/>
      </c>
      <c r="D192" s="191"/>
      <c r="E192" s="192"/>
      <c r="F192" s="190" t="str">
        <f t="shared" si="7"/>
        <v/>
      </c>
      <c r="G192" s="191"/>
      <c r="H192" s="192"/>
      <c r="I192" s="190" t="str">
        <f t="shared" si="8"/>
        <v/>
      </c>
    </row>
    <row r="193" spans="1:9" s="190" customFormat="1" ht="17.399999999999999">
      <c r="A193" s="188"/>
      <c r="B193" s="189"/>
      <c r="C193" s="190" t="str">
        <f t="shared" si="6"/>
        <v/>
      </c>
      <c r="D193" s="191"/>
      <c r="E193" s="192"/>
      <c r="F193" s="190" t="str">
        <f t="shared" si="7"/>
        <v/>
      </c>
      <c r="G193" s="191"/>
      <c r="H193" s="192"/>
      <c r="I193" s="190" t="str">
        <f t="shared" si="8"/>
        <v/>
      </c>
    </row>
    <row r="194" spans="1:9" s="190" customFormat="1" ht="17.399999999999999">
      <c r="A194" s="188"/>
      <c r="B194" s="189"/>
      <c r="C194" s="190" t="str">
        <f t="shared" si="6"/>
        <v/>
      </c>
      <c r="D194" s="191"/>
      <c r="E194" s="192"/>
      <c r="F194" s="190" t="str">
        <f t="shared" si="7"/>
        <v/>
      </c>
      <c r="G194" s="191"/>
      <c r="H194" s="192"/>
      <c r="I194" s="190" t="str">
        <f t="shared" si="8"/>
        <v/>
      </c>
    </row>
    <row r="195" spans="1:9" s="190" customFormat="1" ht="17.399999999999999">
      <c r="A195" s="188"/>
      <c r="B195" s="189"/>
      <c r="C195" s="190" t="str">
        <f t="shared" si="6"/>
        <v/>
      </c>
      <c r="D195" s="191"/>
      <c r="E195" s="192"/>
      <c r="F195" s="190" t="str">
        <f t="shared" si="7"/>
        <v/>
      </c>
      <c r="G195" s="191"/>
      <c r="H195" s="192"/>
      <c r="I195" s="190" t="str">
        <f t="shared" si="8"/>
        <v/>
      </c>
    </row>
    <row r="196" spans="1:9" s="190" customFormat="1" ht="17.399999999999999">
      <c r="A196" s="188"/>
      <c r="B196" s="189"/>
      <c r="C196" s="190" t="str">
        <f t="shared" si="6"/>
        <v/>
      </c>
      <c r="D196" s="191"/>
      <c r="E196" s="192"/>
      <c r="F196" s="190" t="str">
        <f t="shared" si="7"/>
        <v/>
      </c>
      <c r="G196" s="191"/>
      <c r="H196" s="192"/>
      <c r="I196" s="190" t="str">
        <f t="shared" si="8"/>
        <v/>
      </c>
    </row>
    <row r="197" spans="1:9" s="190" customFormat="1" ht="17.399999999999999">
      <c r="A197" s="188"/>
      <c r="B197" s="189"/>
      <c r="C197" s="190" t="str">
        <f t="shared" ref="C197:C260" si="9">IF(B197&gt;0,TEXT(B197,"(aaa)"),"")</f>
        <v/>
      </c>
      <c r="D197" s="191"/>
      <c r="E197" s="192"/>
      <c r="F197" s="190" t="str">
        <f t="shared" ref="F197:F260" si="10">IF(E197&gt;0,TEXT(E197,"(aaa)"),"")</f>
        <v/>
      </c>
      <c r="G197" s="191"/>
      <c r="H197" s="192"/>
      <c r="I197" s="190" t="str">
        <f t="shared" ref="I197:I260" si="11">IF(H197&gt;0,TEXT(H197,"(aaa)"),"")</f>
        <v/>
      </c>
    </row>
    <row r="198" spans="1:9" s="190" customFormat="1" ht="17.399999999999999">
      <c r="A198" s="188"/>
      <c r="B198" s="189"/>
      <c r="C198" s="190" t="str">
        <f t="shared" si="9"/>
        <v/>
      </c>
      <c r="D198" s="191"/>
      <c r="E198" s="192"/>
      <c r="F198" s="190" t="str">
        <f t="shared" si="10"/>
        <v/>
      </c>
      <c r="G198" s="191"/>
      <c r="H198" s="192"/>
      <c r="I198" s="190" t="str">
        <f t="shared" si="11"/>
        <v/>
      </c>
    </row>
    <row r="199" spans="1:9" s="190" customFormat="1" ht="17.399999999999999">
      <c r="A199" s="188"/>
      <c r="B199" s="189"/>
      <c r="C199" s="190" t="str">
        <f t="shared" si="9"/>
        <v/>
      </c>
      <c r="D199" s="191"/>
      <c r="E199" s="192"/>
      <c r="F199" s="190" t="str">
        <f t="shared" si="10"/>
        <v/>
      </c>
      <c r="G199" s="191"/>
      <c r="H199" s="192"/>
      <c r="I199" s="190" t="str">
        <f t="shared" si="11"/>
        <v/>
      </c>
    </row>
    <row r="200" spans="1:9" s="190" customFormat="1" ht="17.399999999999999">
      <c r="A200" s="188"/>
      <c r="B200" s="189"/>
      <c r="C200" s="190" t="str">
        <f t="shared" si="9"/>
        <v/>
      </c>
      <c r="D200" s="191"/>
      <c r="E200" s="192"/>
      <c r="F200" s="190" t="str">
        <f t="shared" si="10"/>
        <v/>
      </c>
      <c r="G200" s="191"/>
      <c r="H200" s="192"/>
      <c r="I200" s="190" t="str">
        <f t="shared" si="11"/>
        <v/>
      </c>
    </row>
    <row r="201" spans="1:9" s="190" customFormat="1" ht="17.399999999999999">
      <c r="A201" s="188"/>
      <c r="B201" s="189"/>
      <c r="C201" s="190" t="str">
        <f t="shared" si="9"/>
        <v/>
      </c>
      <c r="D201" s="191"/>
      <c r="E201" s="192"/>
      <c r="F201" s="190" t="str">
        <f t="shared" si="10"/>
        <v/>
      </c>
      <c r="G201" s="191"/>
      <c r="H201" s="192"/>
      <c r="I201" s="190" t="str">
        <f t="shared" si="11"/>
        <v/>
      </c>
    </row>
    <row r="202" spans="1:9" s="190" customFormat="1" ht="17.399999999999999">
      <c r="A202" s="188"/>
      <c r="B202" s="189"/>
      <c r="C202" s="190" t="str">
        <f t="shared" si="9"/>
        <v/>
      </c>
      <c r="D202" s="191"/>
      <c r="E202" s="192"/>
      <c r="F202" s="190" t="str">
        <f t="shared" si="10"/>
        <v/>
      </c>
      <c r="G202" s="191"/>
      <c r="H202" s="192"/>
      <c r="I202" s="190" t="str">
        <f t="shared" si="11"/>
        <v/>
      </c>
    </row>
    <row r="203" spans="1:9" s="190" customFormat="1" ht="17.399999999999999">
      <c r="A203" s="188"/>
      <c r="B203" s="189"/>
      <c r="C203" s="190" t="str">
        <f t="shared" si="9"/>
        <v/>
      </c>
      <c r="D203" s="191"/>
      <c r="E203" s="192"/>
      <c r="F203" s="190" t="str">
        <f t="shared" si="10"/>
        <v/>
      </c>
      <c r="G203" s="191"/>
      <c r="H203" s="192"/>
      <c r="I203" s="190" t="str">
        <f t="shared" si="11"/>
        <v/>
      </c>
    </row>
    <row r="204" spans="1:9" s="190" customFormat="1" ht="17.399999999999999">
      <c r="A204" s="188"/>
      <c r="B204" s="189"/>
      <c r="C204" s="190" t="str">
        <f t="shared" si="9"/>
        <v/>
      </c>
      <c r="D204" s="191"/>
      <c r="E204" s="192"/>
      <c r="F204" s="190" t="str">
        <f t="shared" si="10"/>
        <v/>
      </c>
      <c r="G204" s="191"/>
      <c r="H204" s="192"/>
      <c r="I204" s="190" t="str">
        <f t="shared" si="11"/>
        <v/>
      </c>
    </row>
    <row r="205" spans="1:9" s="190" customFormat="1" ht="17.399999999999999">
      <c r="A205" s="188"/>
      <c r="B205" s="189"/>
      <c r="C205" s="190" t="str">
        <f t="shared" si="9"/>
        <v/>
      </c>
      <c r="D205" s="191"/>
      <c r="E205" s="192"/>
      <c r="F205" s="190" t="str">
        <f t="shared" si="10"/>
        <v/>
      </c>
      <c r="G205" s="191"/>
      <c r="H205" s="192"/>
      <c r="I205" s="190" t="str">
        <f t="shared" si="11"/>
        <v/>
      </c>
    </row>
    <row r="206" spans="1:9" s="190" customFormat="1" ht="17.399999999999999">
      <c r="A206" s="188"/>
      <c r="B206" s="189"/>
      <c r="C206" s="190" t="str">
        <f t="shared" si="9"/>
        <v/>
      </c>
      <c r="D206" s="191"/>
      <c r="E206" s="192"/>
      <c r="F206" s="190" t="str">
        <f t="shared" si="10"/>
        <v/>
      </c>
      <c r="G206" s="191"/>
      <c r="H206" s="192"/>
      <c r="I206" s="190" t="str">
        <f t="shared" si="11"/>
        <v/>
      </c>
    </row>
    <row r="207" spans="1:9" s="190" customFormat="1" ht="17.399999999999999">
      <c r="A207" s="188"/>
      <c r="B207" s="189"/>
      <c r="C207" s="190" t="str">
        <f t="shared" si="9"/>
        <v/>
      </c>
      <c r="D207" s="191"/>
      <c r="E207" s="192"/>
      <c r="F207" s="190" t="str">
        <f t="shared" si="10"/>
        <v/>
      </c>
      <c r="G207" s="191"/>
      <c r="H207" s="192"/>
      <c r="I207" s="190" t="str">
        <f t="shared" si="11"/>
        <v/>
      </c>
    </row>
    <row r="208" spans="1:9" s="190" customFormat="1" ht="17.399999999999999">
      <c r="A208" s="188"/>
      <c r="B208" s="189"/>
      <c r="C208" s="190" t="str">
        <f t="shared" si="9"/>
        <v/>
      </c>
      <c r="D208" s="191"/>
      <c r="E208" s="192"/>
      <c r="F208" s="190" t="str">
        <f t="shared" si="10"/>
        <v/>
      </c>
      <c r="G208" s="191"/>
      <c r="H208" s="192"/>
      <c r="I208" s="190" t="str">
        <f t="shared" si="11"/>
        <v/>
      </c>
    </row>
    <row r="209" spans="1:9" s="190" customFormat="1" ht="17.399999999999999">
      <c r="A209" s="188"/>
      <c r="B209" s="189"/>
      <c r="C209" s="190" t="str">
        <f t="shared" si="9"/>
        <v/>
      </c>
      <c r="D209" s="191"/>
      <c r="E209" s="192"/>
      <c r="F209" s="190" t="str">
        <f t="shared" si="10"/>
        <v/>
      </c>
      <c r="G209" s="191"/>
      <c r="H209" s="192"/>
      <c r="I209" s="190" t="str">
        <f t="shared" si="11"/>
        <v/>
      </c>
    </row>
    <row r="210" spans="1:9" s="190" customFormat="1" ht="17.399999999999999">
      <c r="A210" s="188"/>
      <c r="B210" s="189"/>
      <c r="C210" s="190" t="str">
        <f t="shared" si="9"/>
        <v/>
      </c>
      <c r="D210" s="191"/>
      <c r="E210" s="192"/>
      <c r="F210" s="190" t="str">
        <f t="shared" si="10"/>
        <v/>
      </c>
      <c r="G210" s="191"/>
      <c r="H210" s="192"/>
      <c r="I210" s="190" t="str">
        <f t="shared" si="11"/>
        <v/>
      </c>
    </row>
    <row r="211" spans="1:9" s="190" customFormat="1" ht="17.399999999999999">
      <c r="A211" s="188"/>
      <c r="B211" s="189"/>
      <c r="C211" s="190" t="str">
        <f t="shared" si="9"/>
        <v/>
      </c>
      <c r="D211" s="191"/>
      <c r="E211" s="192"/>
      <c r="F211" s="190" t="str">
        <f t="shared" si="10"/>
        <v/>
      </c>
      <c r="G211" s="191"/>
      <c r="H211" s="192"/>
      <c r="I211" s="190" t="str">
        <f t="shared" si="11"/>
        <v/>
      </c>
    </row>
    <row r="212" spans="1:9" s="190" customFormat="1" ht="17.399999999999999">
      <c r="A212" s="188"/>
      <c r="B212" s="189"/>
      <c r="C212" s="190" t="str">
        <f t="shared" si="9"/>
        <v/>
      </c>
      <c r="D212" s="191"/>
      <c r="E212" s="192"/>
      <c r="F212" s="190" t="str">
        <f t="shared" si="10"/>
        <v/>
      </c>
      <c r="G212" s="191"/>
      <c r="H212" s="192"/>
      <c r="I212" s="190" t="str">
        <f t="shared" si="11"/>
        <v/>
      </c>
    </row>
    <row r="213" spans="1:9" s="190" customFormat="1" ht="17.399999999999999">
      <c r="A213" s="188"/>
      <c r="B213" s="189"/>
      <c r="C213" s="190" t="str">
        <f t="shared" si="9"/>
        <v/>
      </c>
      <c r="D213" s="191"/>
      <c r="E213" s="192"/>
      <c r="F213" s="190" t="str">
        <f t="shared" si="10"/>
        <v/>
      </c>
      <c r="G213" s="191"/>
      <c r="H213" s="192"/>
      <c r="I213" s="190" t="str">
        <f t="shared" si="11"/>
        <v/>
      </c>
    </row>
    <row r="214" spans="1:9" s="190" customFormat="1" ht="17.399999999999999">
      <c r="A214" s="188"/>
      <c r="B214" s="189"/>
      <c r="C214" s="190" t="str">
        <f t="shared" si="9"/>
        <v/>
      </c>
      <c r="D214" s="191"/>
      <c r="E214" s="192"/>
      <c r="F214" s="190" t="str">
        <f t="shared" si="10"/>
        <v/>
      </c>
      <c r="G214" s="191"/>
      <c r="H214" s="192"/>
      <c r="I214" s="190" t="str">
        <f t="shared" si="11"/>
        <v/>
      </c>
    </row>
    <row r="215" spans="1:9" s="190" customFormat="1" ht="17.399999999999999">
      <c r="A215" s="188"/>
      <c r="B215" s="189"/>
      <c r="C215" s="190" t="str">
        <f t="shared" si="9"/>
        <v/>
      </c>
      <c r="D215" s="191"/>
      <c r="E215" s="192"/>
      <c r="F215" s="190" t="str">
        <f t="shared" si="10"/>
        <v/>
      </c>
      <c r="G215" s="191"/>
      <c r="H215" s="192"/>
      <c r="I215" s="190" t="str">
        <f t="shared" si="11"/>
        <v/>
      </c>
    </row>
    <row r="216" spans="1:9" s="190" customFormat="1" ht="17.399999999999999">
      <c r="A216" s="188"/>
      <c r="B216" s="189"/>
      <c r="C216" s="190" t="str">
        <f t="shared" si="9"/>
        <v/>
      </c>
      <c r="D216" s="191"/>
      <c r="E216" s="192"/>
      <c r="F216" s="190" t="str">
        <f t="shared" si="10"/>
        <v/>
      </c>
      <c r="G216" s="191"/>
      <c r="H216" s="192"/>
      <c r="I216" s="190" t="str">
        <f t="shared" si="11"/>
        <v/>
      </c>
    </row>
    <row r="217" spans="1:9" s="190" customFormat="1" ht="17.399999999999999">
      <c r="A217" s="188"/>
      <c r="B217" s="189"/>
      <c r="C217" s="190" t="str">
        <f t="shared" si="9"/>
        <v/>
      </c>
      <c r="D217" s="191"/>
      <c r="E217" s="192"/>
      <c r="F217" s="190" t="str">
        <f t="shared" si="10"/>
        <v/>
      </c>
      <c r="G217" s="191"/>
      <c r="H217" s="192"/>
      <c r="I217" s="190" t="str">
        <f t="shared" si="11"/>
        <v/>
      </c>
    </row>
    <row r="218" spans="1:9" s="190" customFormat="1" ht="17.399999999999999">
      <c r="A218" s="188"/>
      <c r="B218" s="189"/>
      <c r="C218" s="190" t="str">
        <f t="shared" si="9"/>
        <v/>
      </c>
      <c r="D218" s="191"/>
      <c r="E218" s="192"/>
      <c r="F218" s="190" t="str">
        <f t="shared" si="10"/>
        <v/>
      </c>
      <c r="G218" s="191"/>
      <c r="H218" s="192"/>
      <c r="I218" s="190" t="str">
        <f t="shared" si="11"/>
        <v/>
      </c>
    </row>
    <row r="219" spans="1:9" s="190" customFormat="1" ht="17.399999999999999">
      <c r="A219" s="188"/>
      <c r="B219" s="189"/>
      <c r="C219" s="190" t="str">
        <f t="shared" si="9"/>
        <v/>
      </c>
      <c r="D219" s="191"/>
      <c r="E219" s="192"/>
      <c r="F219" s="190" t="str">
        <f t="shared" si="10"/>
        <v/>
      </c>
      <c r="G219" s="191"/>
      <c r="H219" s="192"/>
      <c r="I219" s="190" t="str">
        <f t="shared" si="11"/>
        <v/>
      </c>
    </row>
    <row r="220" spans="1:9" s="190" customFormat="1" ht="17.399999999999999">
      <c r="A220" s="188"/>
      <c r="B220" s="189"/>
      <c r="C220" s="190" t="str">
        <f t="shared" si="9"/>
        <v/>
      </c>
      <c r="D220" s="191"/>
      <c r="E220" s="192"/>
      <c r="F220" s="190" t="str">
        <f t="shared" si="10"/>
        <v/>
      </c>
      <c r="G220" s="191"/>
      <c r="H220" s="192"/>
      <c r="I220" s="190" t="str">
        <f t="shared" si="11"/>
        <v/>
      </c>
    </row>
    <row r="221" spans="1:9" s="190" customFormat="1" ht="17.399999999999999">
      <c r="A221" s="188"/>
      <c r="B221" s="189"/>
      <c r="C221" s="190" t="str">
        <f t="shared" si="9"/>
        <v/>
      </c>
      <c r="D221" s="191"/>
      <c r="E221" s="192"/>
      <c r="F221" s="190" t="str">
        <f t="shared" si="10"/>
        <v/>
      </c>
      <c r="G221" s="191"/>
      <c r="H221" s="192"/>
      <c r="I221" s="190" t="str">
        <f t="shared" si="11"/>
        <v/>
      </c>
    </row>
    <row r="222" spans="1:9" s="190" customFormat="1" ht="17.399999999999999">
      <c r="A222" s="188"/>
      <c r="B222" s="189"/>
      <c r="C222" s="190" t="str">
        <f t="shared" si="9"/>
        <v/>
      </c>
      <c r="D222" s="191"/>
      <c r="E222" s="192"/>
      <c r="F222" s="190" t="str">
        <f t="shared" si="10"/>
        <v/>
      </c>
      <c r="G222" s="191"/>
      <c r="H222" s="192"/>
      <c r="I222" s="190" t="str">
        <f t="shared" si="11"/>
        <v/>
      </c>
    </row>
    <row r="223" spans="1:9" s="190" customFormat="1" ht="17.399999999999999">
      <c r="A223" s="188"/>
      <c r="B223" s="189"/>
      <c r="C223" s="190" t="str">
        <f t="shared" si="9"/>
        <v/>
      </c>
      <c r="D223" s="191"/>
      <c r="E223" s="192"/>
      <c r="F223" s="190" t="str">
        <f t="shared" si="10"/>
        <v/>
      </c>
      <c r="G223" s="191"/>
      <c r="H223" s="192"/>
      <c r="I223" s="190" t="str">
        <f t="shared" si="11"/>
        <v/>
      </c>
    </row>
    <row r="224" spans="1:9" s="190" customFormat="1" ht="17.399999999999999">
      <c r="A224" s="188"/>
      <c r="B224" s="189"/>
      <c r="C224" s="190" t="str">
        <f t="shared" si="9"/>
        <v/>
      </c>
      <c r="D224" s="191"/>
      <c r="E224" s="192"/>
      <c r="F224" s="190" t="str">
        <f t="shared" si="10"/>
        <v/>
      </c>
      <c r="G224" s="191"/>
      <c r="H224" s="192"/>
      <c r="I224" s="190" t="str">
        <f t="shared" si="11"/>
        <v/>
      </c>
    </row>
    <row r="225" spans="1:9" s="190" customFormat="1" ht="17.399999999999999">
      <c r="A225" s="188"/>
      <c r="B225" s="189"/>
      <c r="C225" s="190" t="str">
        <f t="shared" si="9"/>
        <v/>
      </c>
      <c r="D225" s="191"/>
      <c r="E225" s="192"/>
      <c r="F225" s="190" t="str">
        <f t="shared" si="10"/>
        <v/>
      </c>
      <c r="G225" s="191"/>
      <c r="H225" s="192"/>
      <c r="I225" s="190" t="str">
        <f t="shared" si="11"/>
        <v/>
      </c>
    </row>
    <row r="226" spans="1:9" s="190" customFormat="1" ht="17.399999999999999">
      <c r="A226" s="188"/>
      <c r="B226" s="189"/>
      <c r="C226" s="190" t="str">
        <f t="shared" si="9"/>
        <v/>
      </c>
      <c r="D226" s="191"/>
      <c r="E226" s="192"/>
      <c r="F226" s="190" t="str">
        <f t="shared" si="10"/>
        <v/>
      </c>
      <c r="G226" s="191"/>
      <c r="H226" s="192"/>
      <c r="I226" s="190" t="str">
        <f t="shared" si="11"/>
        <v/>
      </c>
    </row>
    <row r="227" spans="1:9" s="190" customFormat="1" ht="17.399999999999999">
      <c r="A227" s="188"/>
      <c r="B227" s="189"/>
      <c r="C227" s="190" t="str">
        <f t="shared" si="9"/>
        <v/>
      </c>
      <c r="D227" s="191"/>
      <c r="E227" s="192"/>
      <c r="F227" s="190" t="str">
        <f t="shared" si="10"/>
        <v/>
      </c>
      <c r="G227" s="191"/>
      <c r="H227" s="192"/>
      <c r="I227" s="190" t="str">
        <f t="shared" si="11"/>
        <v/>
      </c>
    </row>
    <row r="228" spans="1:9" s="190" customFormat="1" ht="17.399999999999999">
      <c r="A228" s="188"/>
      <c r="B228" s="189"/>
      <c r="C228" s="190" t="str">
        <f t="shared" si="9"/>
        <v/>
      </c>
      <c r="D228" s="191"/>
      <c r="E228" s="192"/>
      <c r="F228" s="190" t="str">
        <f t="shared" si="10"/>
        <v/>
      </c>
      <c r="G228" s="191"/>
      <c r="H228" s="192"/>
      <c r="I228" s="190" t="str">
        <f t="shared" si="11"/>
        <v/>
      </c>
    </row>
    <row r="229" spans="1:9" s="190" customFormat="1" ht="17.399999999999999">
      <c r="A229" s="188"/>
      <c r="B229" s="189"/>
      <c r="C229" s="190" t="str">
        <f t="shared" si="9"/>
        <v/>
      </c>
      <c r="D229" s="191"/>
      <c r="E229" s="192"/>
      <c r="F229" s="190" t="str">
        <f t="shared" si="10"/>
        <v/>
      </c>
      <c r="G229" s="191"/>
      <c r="H229" s="192"/>
      <c r="I229" s="190" t="str">
        <f t="shared" si="11"/>
        <v/>
      </c>
    </row>
    <row r="230" spans="1:9" s="190" customFormat="1" ht="17.399999999999999">
      <c r="A230" s="188"/>
      <c r="B230" s="189"/>
      <c r="C230" s="190" t="str">
        <f t="shared" si="9"/>
        <v/>
      </c>
      <c r="D230" s="191"/>
      <c r="E230" s="192"/>
      <c r="F230" s="190" t="str">
        <f t="shared" si="10"/>
        <v/>
      </c>
      <c r="G230" s="191"/>
      <c r="H230" s="192"/>
      <c r="I230" s="190" t="str">
        <f t="shared" si="11"/>
        <v/>
      </c>
    </row>
    <row r="231" spans="1:9" s="190" customFormat="1" ht="17.399999999999999">
      <c r="A231" s="188"/>
      <c r="B231" s="189"/>
      <c r="C231" s="190" t="str">
        <f t="shared" si="9"/>
        <v/>
      </c>
      <c r="D231" s="191"/>
      <c r="E231" s="192"/>
      <c r="F231" s="190" t="str">
        <f t="shared" si="10"/>
        <v/>
      </c>
      <c r="G231" s="191"/>
      <c r="H231" s="192"/>
      <c r="I231" s="190" t="str">
        <f t="shared" si="11"/>
        <v/>
      </c>
    </row>
    <row r="232" spans="1:9" s="190" customFormat="1" ht="17.399999999999999">
      <c r="A232" s="188"/>
      <c r="B232" s="189"/>
      <c r="C232" s="190" t="str">
        <f t="shared" si="9"/>
        <v/>
      </c>
      <c r="D232" s="191"/>
      <c r="E232" s="192"/>
      <c r="F232" s="190" t="str">
        <f t="shared" si="10"/>
        <v/>
      </c>
      <c r="G232" s="191"/>
      <c r="H232" s="192"/>
      <c r="I232" s="190" t="str">
        <f t="shared" si="11"/>
        <v/>
      </c>
    </row>
    <row r="233" spans="1:9" s="190" customFormat="1" ht="17.399999999999999">
      <c r="A233" s="188"/>
      <c r="B233" s="189"/>
      <c r="C233" s="190" t="str">
        <f t="shared" si="9"/>
        <v/>
      </c>
      <c r="D233" s="191"/>
      <c r="E233" s="192"/>
      <c r="F233" s="190" t="str">
        <f t="shared" si="10"/>
        <v/>
      </c>
      <c r="G233" s="191"/>
      <c r="H233" s="192"/>
      <c r="I233" s="190" t="str">
        <f t="shared" si="11"/>
        <v/>
      </c>
    </row>
    <row r="234" spans="1:9" s="190" customFormat="1" ht="17.399999999999999">
      <c r="A234" s="188"/>
      <c r="B234" s="189"/>
      <c r="C234" s="190" t="str">
        <f t="shared" si="9"/>
        <v/>
      </c>
      <c r="D234" s="191"/>
      <c r="E234" s="192"/>
      <c r="F234" s="190" t="str">
        <f t="shared" si="10"/>
        <v/>
      </c>
      <c r="G234" s="191"/>
      <c r="H234" s="192"/>
      <c r="I234" s="190" t="str">
        <f t="shared" si="11"/>
        <v/>
      </c>
    </row>
    <row r="235" spans="1:9" s="190" customFormat="1" ht="17.399999999999999">
      <c r="A235" s="188"/>
      <c r="B235" s="189"/>
      <c r="C235" s="190" t="str">
        <f t="shared" si="9"/>
        <v/>
      </c>
      <c r="D235" s="191"/>
      <c r="E235" s="192"/>
      <c r="F235" s="190" t="str">
        <f t="shared" si="10"/>
        <v/>
      </c>
      <c r="G235" s="191"/>
      <c r="H235" s="192"/>
      <c r="I235" s="190" t="str">
        <f t="shared" si="11"/>
        <v/>
      </c>
    </row>
    <row r="236" spans="1:9" s="190" customFormat="1" ht="17.399999999999999">
      <c r="A236" s="188"/>
      <c r="B236" s="189"/>
      <c r="C236" s="190" t="str">
        <f t="shared" si="9"/>
        <v/>
      </c>
      <c r="D236" s="191"/>
      <c r="E236" s="192"/>
      <c r="F236" s="190" t="str">
        <f t="shared" si="10"/>
        <v/>
      </c>
      <c r="G236" s="191"/>
      <c r="H236" s="192"/>
      <c r="I236" s="190" t="str">
        <f t="shared" si="11"/>
        <v/>
      </c>
    </row>
    <row r="237" spans="1:9" s="190" customFormat="1" ht="17.399999999999999">
      <c r="A237" s="188"/>
      <c r="B237" s="189"/>
      <c r="C237" s="190" t="str">
        <f t="shared" si="9"/>
        <v/>
      </c>
      <c r="D237" s="191"/>
      <c r="E237" s="192"/>
      <c r="F237" s="190" t="str">
        <f t="shared" si="10"/>
        <v/>
      </c>
      <c r="G237" s="191"/>
      <c r="H237" s="192"/>
      <c r="I237" s="190" t="str">
        <f t="shared" si="11"/>
        <v/>
      </c>
    </row>
    <row r="238" spans="1:9" s="190" customFormat="1" ht="17.399999999999999">
      <c r="A238" s="188"/>
      <c r="B238" s="189"/>
      <c r="C238" s="190" t="str">
        <f t="shared" si="9"/>
        <v/>
      </c>
      <c r="D238" s="191"/>
      <c r="E238" s="192"/>
      <c r="F238" s="190" t="str">
        <f t="shared" si="10"/>
        <v/>
      </c>
      <c r="G238" s="191"/>
      <c r="H238" s="192"/>
      <c r="I238" s="190" t="str">
        <f t="shared" si="11"/>
        <v/>
      </c>
    </row>
    <row r="239" spans="1:9" s="190" customFormat="1" ht="17.399999999999999">
      <c r="A239" s="188"/>
      <c r="B239" s="189"/>
      <c r="C239" s="190" t="str">
        <f t="shared" si="9"/>
        <v/>
      </c>
      <c r="D239" s="191"/>
      <c r="E239" s="192"/>
      <c r="F239" s="190" t="str">
        <f t="shared" si="10"/>
        <v/>
      </c>
      <c r="G239" s="191"/>
      <c r="H239" s="192"/>
      <c r="I239" s="190" t="str">
        <f t="shared" si="11"/>
        <v/>
      </c>
    </row>
    <row r="240" spans="1:9" s="190" customFormat="1" ht="17.399999999999999">
      <c r="A240" s="188"/>
      <c r="B240" s="189"/>
      <c r="C240" s="190" t="str">
        <f t="shared" si="9"/>
        <v/>
      </c>
      <c r="D240" s="191"/>
      <c r="E240" s="192"/>
      <c r="F240" s="190" t="str">
        <f t="shared" si="10"/>
        <v/>
      </c>
      <c r="G240" s="191"/>
      <c r="H240" s="192"/>
      <c r="I240" s="190" t="str">
        <f t="shared" si="11"/>
        <v/>
      </c>
    </row>
    <row r="241" spans="1:9" s="190" customFormat="1" ht="17.399999999999999">
      <c r="A241" s="188"/>
      <c r="B241" s="189"/>
      <c r="C241" s="190" t="str">
        <f t="shared" si="9"/>
        <v/>
      </c>
      <c r="D241" s="191"/>
      <c r="E241" s="192"/>
      <c r="F241" s="190" t="str">
        <f t="shared" si="10"/>
        <v/>
      </c>
      <c r="G241" s="191"/>
      <c r="H241" s="192"/>
      <c r="I241" s="190" t="str">
        <f t="shared" si="11"/>
        <v/>
      </c>
    </row>
    <row r="242" spans="1:9" s="190" customFormat="1" ht="17.399999999999999">
      <c r="A242" s="191"/>
      <c r="B242" s="192"/>
      <c r="C242" s="190" t="str">
        <f t="shared" si="9"/>
        <v/>
      </c>
      <c r="D242" s="191"/>
      <c r="E242" s="192"/>
      <c r="F242" s="190" t="str">
        <f t="shared" si="10"/>
        <v/>
      </c>
      <c r="G242" s="191"/>
      <c r="H242" s="192"/>
      <c r="I242" s="190" t="str">
        <f t="shared" si="11"/>
        <v/>
      </c>
    </row>
    <row r="243" spans="1:9" s="190" customFormat="1" ht="17.399999999999999">
      <c r="A243" s="191"/>
      <c r="B243" s="192"/>
      <c r="C243" s="190" t="str">
        <f t="shared" si="9"/>
        <v/>
      </c>
      <c r="D243" s="191"/>
      <c r="E243" s="192"/>
      <c r="F243" s="190" t="str">
        <f t="shared" si="10"/>
        <v/>
      </c>
      <c r="G243" s="191"/>
      <c r="H243" s="192"/>
      <c r="I243" s="190" t="str">
        <f t="shared" si="11"/>
        <v/>
      </c>
    </row>
    <row r="244" spans="1:9" s="190" customFormat="1" ht="17.399999999999999">
      <c r="A244" s="191"/>
      <c r="B244" s="192"/>
      <c r="C244" s="190" t="str">
        <f t="shared" si="9"/>
        <v/>
      </c>
      <c r="D244" s="191"/>
      <c r="E244" s="192"/>
      <c r="F244" s="190" t="str">
        <f t="shared" si="10"/>
        <v/>
      </c>
      <c r="G244" s="191"/>
      <c r="H244" s="192"/>
      <c r="I244" s="190" t="str">
        <f t="shared" si="11"/>
        <v/>
      </c>
    </row>
    <row r="245" spans="1:9" s="190" customFormat="1" ht="17.399999999999999">
      <c r="A245" s="191"/>
      <c r="B245" s="192"/>
      <c r="C245" s="190" t="str">
        <f t="shared" si="9"/>
        <v/>
      </c>
      <c r="D245" s="191"/>
      <c r="E245" s="192"/>
      <c r="F245" s="190" t="str">
        <f t="shared" si="10"/>
        <v/>
      </c>
      <c r="G245" s="191"/>
      <c r="H245" s="192"/>
      <c r="I245" s="190" t="str">
        <f t="shared" si="11"/>
        <v/>
      </c>
    </row>
    <row r="246" spans="1:9" s="190" customFormat="1" ht="17.399999999999999">
      <c r="A246" s="191"/>
      <c r="B246" s="192"/>
      <c r="C246" s="190" t="str">
        <f t="shared" si="9"/>
        <v/>
      </c>
      <c r="D246" s="191"/>
      <c r="E246" s="192"/>
      <c r="F246" s="190" t="str">
        <f t="shared" si="10"/>
        <v/>
      </c>
      <c r="G246" s="191"/>
      <c r="H246" s="192"/>
      <c r="I246" s="190" t="str">
        <f t="shared" si="11"/>
        <v/>
      </c>
    </row>
    <row r="247" spans="1:9" s="190" customFormat="1" ht="17.399999999999999">
      <c r="A247" s="191"/>
      <c r="B247" s="192"/>
      <c r="C247" s="190" t="str">
        <f t="shared" si="9"/>
        <v/>
      </c>
      <c r="D247" s="191"/>
      <c r="E247" s="192"/>
      <c r="F247" s="190" t="str">
        <f t="shared" si="10"/>
        <v/>
      </c>
      <c r="G247" s="191"/>
      <c r="H247" s="192"/>
      <c r="I247" s="190" t="str">
        <f t="shared" si="11"/>
        <v/>
      </c>
    </row>
    <row r="248" spans="1:9" s="190" customFormat="1" ht="17.399999999999999">
      <c r="A248" s="191"/>
      <c r="B248" s="192"/>
      <c r="C248" s="190" t="str">
        <f t="shared" si="9"/>
        <v/>
      </c>
      <c r="D248" s="191"/>
      <c r="E248" s="192"/>
      <c r="F248" s="190" t="str">
        <f t="shared" si="10"/>
        <v/>
      </c>
      <c r="G248" s="191"/>
      <c r="H248" s="192"/>
      <c r="I248" s="190" t="str">
        <f t="shared" si="11"/>
        <v/>
      </c>
    </row>
    <row r="249" spans="1:9" s="190" customFormat="1" ht="17.399999999999999">
      <c r="A249" s="191"/>
      <c r="B249" s="192"/>
      <c r="C249" s="190" t="str">
        <f t="shared" si="9"/>
        <v/>
      </c>
      <c r="D249" s="191"/>
      <c r="E249" s="192"/>
      <c r="F249" s="190" t="str">
        <f t="shared" si="10"/>
        <v/>
      </c>
      <c r="G249" s="191"/>
      <c r="H249" s="192"/>
      <c r="I249" s="190" t="str">
        <f t="shared" si="11"/>
        <v/>
      </c>
    </row>
    <row r="250" spans="1:9" s="190" customFormat="1" ht="17.399999999999999">
      <c r="A250" s="191"/>
      <c r="B250" s="192"/>
      <c r="C250" s="190" t="str">
        <f t="shared" si="9"/>
        <v/>
      </c>
      <c r="D250" s="191"/>
      <c r="E250" s="192"/>
      <c r="F250" s="190" t="str">
        <f t="shared" si="10"/>
        <v/>
      </c>
      <c r="G250" s="191"/>
      <c r="H250" s="192"/>
      <c r="I250" s="190" t="str">
        <f t="shared" si="11"/>
        <v/>
      </c>
    </row>
    <row r="251" spans="1:9" s="190" customFormat="1" ht="17.399999999999999">
      <c r="A251" s="191"/>
      <c r="B251" s="192"/>
      <c r="C251" s="190" t="str">
        <f t="shared" si="9"/>
        <v/>
      </c>
      <c r="D251" s="191"/>
      <c r="E251" s="192"/>
      <c r="F251" s="190" t="str">
        <f t="shared" si="10"/>
        <v/>
      </c>
      <c r="G251" s="191"/>
      <c r="H251" s="192"/>
      <c r="I251" s="190" t="str">
        <f t="shared" si="11"/>
        <v/>
      </c>
    </row>
    <row r="252" spans="1:9" s="190" customFormat="1" ht="17.399999999999999">
      <c r="A252" s="191"/>
      <c r="B252" s="192"/>
      <c r="C252" s="190" t="str">
        <f t="shared" si="9"/>
        <v/>
      </c>
      <c r="D252" s="191"/>
      <c r="E252" s="192"/>
      <c r="F252" s="190" t="str">
        <f t="shared" si="10"/>
        <v/>
      </c>
      <c r="G252" s="191"/>
      <c r="H252" s="192"/>
      <c r="I252" s="190" t="str">
        <f t="shared" si="11"/>
        <v/>
      </c>
    </row>
    <row r="253" spans="1:9" s="190" customFormat="1" ht="17.399999999999999">
      <c r="A253" s="191"/>
      <c r="B253" s="192"/>
      <c r="C253" s="190" t="str">
        <f t="shared" si="9"/>
        <v/>
      </c>
      <c r="D253" s="191"/>
      <c r="E253" s="192"/>
      <c r="F253" s="190" t="str">
        <f t="shared" si="10"/>
        <v/>
      </c>
      <c r="G253" s="191"/>
      <c r="H253" s="192"/>
      <c r="I253" s="190" t="str">
        <f t="shared" si="11"/>
        <v/>
      </c>
    </row>
    <row r="254" spans="1:9" s="190" customFormat="1" ht="17.399999999999999">
      <c r="A254" s="191"/>
      <c r="B254" s="192"/>
      <c r="C254" s="190" t="str">
        <f t="shared" si="9"/>
        <v/>
      </c>
      <c r="D254" s="191"/>
      <c r="E254" s="192"/>
      <c r="F254" s="190" t="str">
        <f t="shared" si="10"/>
        <v/>
      </c>
      <c r="G254" s="191"/>
      <c r="H254" s="192"/>
      <c r="I254" s="190" t="str">
        <f t="shared" si="11"/>
        <v/>
      </c>
    </row>
    <row r="255" spans="1:9" s="190" customFormat="1" ht="17.399999999999999">
      <c r="A255" s="191"/>
      <c r="B255" s="192"/>
      <c r="C255" s="190" t="str">
        <f t="shared" si="9"/>
        <v/>
      </c>
      <c r="D255" s="191"/>
      <c r="E255" s="192"/>
      <c r="F255" s="190" t="str">
        <f t="shared" si="10"/>
        <v/>
      </c>
      <c r="G255" s="191"/>
      <c r="H255" s="192"/>
      <c r="I255" s="190" t="str">
        <f t="shared" si="11"/>
        <v/>
      </c>
    </row>
    <row r="256" spans="1:9" s="190" customFormat="1" ht="17.399999999999999">
      <c r="A256" s="191"/>
      <c r="B256" s="192"/>
      <c r="C256" s="190" t="str">
        <f t="shared" si="9"/>
        <v/>
      </c>
      <c r="D256" s="191"/>
      <c r="E256" s="192"/>
      <c r="F256" s="190" t="str">
        <f t="shared" si="10"/>
        <v/>
      </c>
      <c r="G256" s="191"/>
      <c r="H256" s="192"/>
      <c r="I256" s="190" t="str">
        <f t="shared" si="11"/>
        <v/>
      </c>
    </row>
    <row r="257" spans="1:9" s="190" customFormat="1" ht="17.399999999999999">
      <c r="A257" s="191"/>
      <c r="B257" s="192"/>
      <c r="C257" s="190" t="str">
        <f t="shared" si="9"/>
        <v/>
      </c>
      <c r="D257" s="191"/>
      <c r="E257" s="192"/>
      <c r="F257" s="190" t="str">
        <f t="shared" si="10"/>
        <v/>
      </c>
      <c r="G257" s="191"/>
      <c r="H257" s="192"/>
      <c r="I257" s="190" t="str">
        <f t="shared" si="11"/>
        <v/>
      </c>
    </row>
    <row r="258" spans="1:9" s="190" customFormat="1" ht="17.399999999999999">
      <c r="A258" s="191"/>
      <c r="B258" s="192"/>
      <c r="C258" s="190" t="str">
        <f t="shared" si="9"/>
        <v/>
      </c>
      <c r="D258" s="191"/>
      <c r="E258" s="192"/>
      <c r="F258" s="190" t="str">
        <f t="shared" si="10"/>
        <v/>
      </c>
      <c r="G258" s="191"/>
      <c r="H258" s="192"/>
      <c r="I258" s="190" t="str">
        <f t="shared" si="11"/>
        <v/>
      </c>
    </row>
    <row r="259" spans="1:9" s="190" customFormat="1" ht="17.399999999999999">
      <c r="A259" s="191"/>
      <c r="B259" s="192"/>
      <c r="C259" s="190" t="str">
        <f t="shared" si="9"/>
        <v/>
      </c>
      <c r="D259" s="191"/>
      <c r="E259" s="192"/>
      <c r="F259" s="190" t="str">
        <f t="shared" si="10"/>
        <v/>
      </c>
      <c r="G259" s="191"/>
      <c r="H259" s="192"/>
      <c r="I259" s="190" t="str">
        <f t="shared" si="11"/>
        <v/>
      </c>
    </row>
    <row r="260" spans="1:9" s="190" customFormat="1" ht="17.399999999999999">
      <c r="A260" s="191"/>
      <c r="B260" s="192"/>
      <c r="C260" s="190" t="str">
        <f t="shared" si="9"/>
        <v/>
      </c>
      <c r="D260" s="191"/>
      <c r="E260" s="192"/>
      <c r="F260" s="190" t="str">
        <f t="shared" si="10"/>
        <v/>
      </c>
      <c r="G260" s="191"/>
      <c r="H260" s="192"/>
      <c r="I260" s="190" t="str">
        <f t="shared" si="11"/>
        <v/>
      </c>
    </row>
    <row r="261" spans="1:9" s="190" customFormat="1" ht="17.399999999999999">
      <c r="A261" s="191"/>
      <c r="B261" s="192"/>
      <c r="C261" s="190" t="str">
        <f t="shared" ref="C261:C304" si="12">IF(B261&gt;0,TEXT(B261,"(aaa)"),"")</f>
        <v/>
      </c>
      <c r="D261" s="191"/>
      <c r="E261" s="192"/>
      <c r="F261" s="190" t="str">
        <f t="shared" ref="F261:F304" si="13">IF(E261&gt;0,TEXT(E261,"(aaa)"),"")</f>
        <v/>
      </c>
      <c r="G261" s="191"/>
      <c r="H261" s="192"/>
      <c r="I261" s="190" t="str">
        <f t="shared" ref="I261:I304" si="14">IF(H261&gt;0,TEXT(H261,"(aaa)"),"")</f>
        <v/>
      </c>
    </row>
    <row r="262" spans="1:9" s="190" customFormat="1" ht="17.399999999999999">
      <c r="A262" s="191"/>
      <c r="B262" s="192"/>
      <c r="C262" s="190" t="str">
        <f t="shared" si="12"/>
        <v/>
      </c>
      <c r="D262" s="191"/>
      <c r="E262" s="192"/>
      <c r="F262" s="190" t="str">
        <f t="shared" si="13"/>
        <v/>
      </c>
      <c r="G262" s="191"/>
      <c r="H262" s="192"/>
      <c r="I262" s="190" t="str">
        <f t="shared" si="14"/>
        <v/>
      </c>
    </row>
    <row r="263" spans="1:9" s="190" customFormat="1" ht="17.399999999999999">
      <c r="A263" s="191"/>
      <c r="B263" s="192"/>
      <c r="C263" s="190" t="str">
        <f t="shared" si="12"/>
        <v/>
      </c>
      <c r="D263" s="191"/>
      <c r="E263" s="192"/>
      <c r="F263" s="190" t="str">
        <f t="shared" si="13"/>
        <v/>
      </c>
      <c r="G263" s="191"/>
      <c r="H263" s="192"/>
      <c r="I263" s="190" t="str">
        <f t="shared" si="14"/>
        <v/>
      </c>
    </row>
    <row r="264" spans="1:9" s="190" customFormat="1" ht="17.399999999999999">
      <c r="A264" s="191"/>
      <c r="B264" s="192"/>
      <c r="C264" s="190" t="str">
        <f t="shared" si="12"/>
        <v/>
      </c>
      <c r="D264" s="191"/>
      <c r="E264" s="192"/>
      <c r="F264" s="190" t="str">
        <f t="shared" si="13"/>
        <v/>
      </c>
      <c r="G264" s="191"/>
      <c r="H264" s="192"/>
      <c r="I264" s="190" t="str">
        <f t="shared" si="14"/>
        <v/>
      </c>
    </row>
    <row r="265" spans="1:9" s="190" customFormat="1" ht="17.399999999999999">
      <c r="A265" s="191"/>
      <c r="B265" s="192"/>
      <c r="C265" s="190" t="str">
        <f t="shared" si="12"/>
        <v/>
      </c>
      <c r="D265" s="191"/>
      <c r="E265" s="192"/>
      <c r="F265" s="190" t="str">
        <f t="shared" si="13"/>
        <v/>
      </c>
      <c r="G265" s="191"/>
      <c r="H265" s="192"/>
      <c r="I265" s="190" t="str">
        <f t="shared" si="14"/>
        <v/>
      </c>
    </row>
    <row r="266" spans="1:9" s="190" customFormat="1" ht="17.399999999999999">
      <c r="A266" s="191"/>
      <c r="B266" s="192"/>
      <c r="C266" s="190" t="str">
        <f t="shared" si="12"/>
        <v/>
      </c>
      <c r="D266" s="191"/>
      <c r="E266" s="192"/>
      <c r="F266" s="190" t="str">
        <f t="shared" si="13"/>
        <v/>
      </c>
      <c r="G266" s="191"/>
      <c r="H266" s="192"/>
      <c r="I266" s="190" t="str">
        <f t="shared" si="14"/>
        <v/>
      </c>
    </row>
    <row r="267" spans="1:9" s="190" customFormat="1" ht="17.399999999999999">
      <c r="A267" s="191"/>
      <c r="B267" s="192"/>
      <c r="C267" s="190" t="str">
        <f t="shared" si="12"/>
        <v/>
      </c>
      <c r="D267" s="191"/>
      <c r="E267" s="192"/>
      <c r="F267" s="190" t="str">
        <f t="shared" si="13"/>
        <v/>
      </c>
      <c r="G267" s="191"/>
      <c r="H267" s="192"/>
      <c r="I267" s="190" t="str">
        <f t="shared" si="14"/>
        <v/>
      </c>
    </row>
    <row r="268" spans="1:9" s="190" customFormat="1" ht="17.399999999999999">
      <c r="A268" s="191"/>
      <c r="B268" s="192"/>
      <c r="C268" s="190" t="str">
        <f t="shared" si="12"/>
        <v/>
      </c>
      <c r="D268" s="191"/>
      <c r="E268" s="192"/>
      <c r="F268" s="190" t="str">
        <f t="shared" si="13"/>
        <v/>
      </c>
      <c r="G268" s="191"/>
      <c r="H268" s="192"/>
      <c r="I268" s="190" t="str">
        <f t="shared" si="14"/>
        <v/>
      </c>
    </row>
    <row r="269" spans="1:9" s="190" customFormat="1" ht="17.399999999999999">
      <c r="A269" s="191"/>
      <c r="B269" s="192"/>
      <c r="C269" s="190" t="str">
        <f t="shared" si="12"/>
        <v/>
      </c>
      <c r="D269" s="191"/>
      <c r="E269" s="192"/>
      <c r="F269" s="190" t="str">
        <f t="shared" si="13"/>
        <v/>
      </c>
      <c r="G269" s="191"/>
      <c r="H269" s="192"/>
      <c r="I269" s="190" t="str">
        <f t="shared" si="14"/>
        <v/>
      </c>
    </row>
    <row r="270" spans="1:9" s="190" customFormat="1" ht="17.399999999999999">
      <c r="A270" s="191"/>
      <c r="B270" s="192"/>
      <c r="C270" s="190" t="str">
        <f t="shared" si="12"/>
        <v/>
      </c>
      <c r="D270" s="191"/>
      <c r="E270" s="192"/>
      <c r="F270" s="190" t="str">
        <f t="shared" si="13"/>
        <v/>
      </c>
      <c r="G270" s="191"/>
      <c r="H270" s="192"/>
      <c r="I270" s="190" t="str">
        <f t="shared" si="14"/>
        <v/>
      </c>
    </row>
    <row r="271" spans="1:9" s="190" customFormat="1" ht="17.399999999999999">
      <c r="A271" s="191"/>
      <c r="B271" s="192"/>
      <c r="C271" s="190" t="str">
        <f t="shared" si="12"/>
        <v/>
      </c>
      <c r="D271" s="191"/>
      <c r="E271" s="192"/>
      <c r="F271" s="190" t="str">
        <f t="shared" si="13"/>
        <v/>
      </c>
      <c r="G271" s="191"/>
      <c r="H271" s="192"/>
      <c r="I271" s="190" t="str">
        <f t="shared" si="14"/>
        <v/>
      </c>
    </row>
    <row r="272" spans="1:9" s="190" customFormat="1" ht="17.399999999999999">
      <c r="A272" s="191"/>
      <c r="B272" s="192"/>
      <c r="C272" s="190" t="str">
        <f t="shared" si="12"/>
        <v/>
      </c>
      <c r="D272" s="191"/>
      <c r="E272" s="192"/>
      <c r="F272" s="190" t="str">
        <f t="shared" si="13"/>
        <v/>
      </c>
      <c r="G272" s="191"/>
      <c r="H272" s="192"/>
      <c r="I272" s="190" t="str">
        <f t="shared" si="14"/>
        <v/>
      </c>
    </row>
    <row r="273" spans="1:9" s="190" customFormat="1" ht="17.399999999999999">
      <c r="A273" s="191"/>
      <c r="B273" s="192"/>
      <c r="C273" s="190" t="str">
        <f t="shared" si="12"/>
        <v/>
      </c>
      <c r="D273" s="191"/>
      <c r="E273" s="192"/>
      <c r="F273" s="190" t="str">
        <f t="shared" si="13"/>
        <v/>
      </c>
      <c r="G273" s="191"/>
      <c r="H273" s="192"/>
      <c r="I273" s="190" t="str">
        <f t="shared" si="14"/>
        <v/>
      </c>
    </row>
    <row r="274" spans="1:9" s="190" customFormat="1" ht="17.399999999999999">
      <c r="A274" s="191"/>
      <c r="B274" s="192"/>
      <c r="C274" s="190" t="str">
        <f t="shared" si="12"/>
        <v/>
      </c>
      <c r="D274" s="191"/>
      <c r="E274" s="192"/>
      <c r="F274" s="190" t="str">
        <f t="shared" si="13"/>
        <v/>
      </c>
      <c r="G274" s="191"/>
      <c r="H274" s="192"/>
      <c r="I274" s="190" t="str">
        <f t="shared" si="14"/>
        <v/>
      </c>
    </row>
    <row r="275" spans="1:9" s="190" customFormat="1" ht="17.399999999999999">
      <c r="A275" s="191"/>
      <c r="B275" s="192"/>
      <c r="C275" s="190" t="str">
        <f t="shared" si="12"/>
        <v/>
      </c>
      <c r="D275" s="191"/>
      <c r="E275" s="192"/>
      <c r="F275" s="190" t="str">
        <f t="shared" si="13"/>
        <v/>
      </c>
      <c r="G275" s="191"/>
      <c r="H275" s="192"/>
      <c r="I275" s="190" t="str">
        <f t="shared" si="14"/>
        <v/>
      </c>
    </row>
    <row r="276" spans="1:9" s="190" customFormat="1" ht="17.399999999999999">
      <c r="A276" s="191"/>
      <c r="B276" s="192"/>
      <c r="C276" s="190" t="str">
        <f t="shared" si="12"/>
        <v/>
      </c>
      <c r="D276" s="191"/>
      <c r="E276" s="192"/>
      <c r="F276" s="190" t="str">
        <f t="shared" si="13"/>
        <v/>
      </c>
      <c r="G276" s="191"/>
      <c r="H276" s="192"/>
      <c r="I276" s="190" t="str">
        <f t="shared" si="14"/>
        <v/>
      </c>
    </row>
    <row r="277" spans="1:9" s="190" customFormat="1" ht="17.399999999999999">
      <c r="A277" s="191"/>
      <c r="B277" s="192"/>
      <c r="C277" s="190" t="str">
        <f t="shared" si="12"/>
        <v/>
      </c>
      <c r="D277" s="191"/>
      <c r="E277" s="192"/>
      <c r="F277" s="190" t="str">
        <f t="shared" si="13"/>
        <v/>
      </c>
      <c r="G277" s="191"/>
      <c r="H277" s="192"/>
      <c r="I277" s="190" t="str">
        <f t="shared" si="14"/>
        <v/>
      </c>
    </row>
    <row r="278" spans="1:9" s="190" customFormat="1" ht="17.399999999999999">
      <c r="A278" s="191"/>
      <c r="B278" s="192"/>
      <c r="C278" s="190" t="str">
        <f t="shared" si="12"/>
        <v/>
      </c>
      <c r="D278" s="191"/>
      <c r="E278" s="192"/>
      <c r="F278" s="190" t="str">
        <f t="shared" si="13"/>
        <v/>
      </c>
      <c r="G278" s="191"/>
      <c r="H278" s="192"/>
      <c r="I278" s="190" t="str">
        <f t="shared" si="14"/>
        <v/>
      </c>
    </row>
    <row r="279" spans="1:9" s="190" customFormat="1" ht="17.399999999999999">
      <c r="A279" s="191"/>
      <c r="B279" s="192"/>
      <c r="C279" s="190" t="str">
        <f t="shared" si="12"/>
        <v/>
      </c>
      <c r="D279" s="191"/>
      <c r="E279" s="192"/>
      <c r="F279" s="190" t="str">
        <f t="shared" si="13"/>
        <v/>
      </c>
      <c r="G279" s="191"/>
      <c r="H279" s="192"/>
      <c r="I279" s="190" t="str">
        <f t="shared" si="14"/>
        <v/>
      </c>
    </row>
    <row r="280" spans="1:9" s="190" customFormat="1" ht="17.399999999999999">
      <c r="A280" s="191"/>
      <c r="B280" s="192"/>
      <c r="C280" s="190" t="str">
        <f t="shared" si="12"/>
        <v/>
      </c>
      <c r="D280" s="191"/>
      <c r="E280" s="192"/>
      <c r="F280" s="190" t="str">
        <f t="shared" si="13"/>
        <v/>
      </c>
      <c r="G280" s="191"/>
      <c r="H280" s="192"/>
      <c r="I280" s="190" t="str">
        <f t="shared" si="14"/>
        <v/>
      </c>
    </row>
    <row r="281" spans="1:9" s="190" customFormat="1" ht="17.399999999999999">
      <c r="A281" s="191"/>
      <c r="B281" s="192"/>
      <c r="C281" s="190" t="str">
        <f t="shared" si="12"/>
        <v/>
      </c>
      <c r="D281" s="191"/>
      <c r="E281" s="192"/>
      <c r="F281" s="190" t="str">
        <f t="shared" si="13"/>
        <v/>
      </c>
      <c r="G281" s="191"/>
      <c r="H281" s="192"/>
      <c r="I281" s="190" t="str">
        <f t="shared" si="14"/>
        <v/>
      </c>
    </row>
    <row r="282" spans="1:9" s="190" customFormat="1" ht="17.399999999999999">
      <c r="A282" s="191"/>
      <c r="B282" s="192"/>
      <c r="C282" s="190" t="str">
        <f t="shared" si="12"/>
        <v/>
      </c>
      <c r="D282" s="191"/>
      <c r="E282" s="192"/>
      <c r="F282" s="190" t="str">
        <f t="shared" si="13"/>
        <v/>
      </c>
      <c r="G282" s="191"/>
      <c r="H282" s="192"/>
      <c r="I282" s="190" t="str">
        <f t="shared" si="14"/>
        <v/>
      </c>
    </row>
    <row r="283" spans="1:9" s="190" customFormat="1" ht="17.399999999999999">
      <c r="A283" s="191"/>
      <c r="B283" s="192"/>
      <c r="C283" s="190" t="str">
        <f t="shared" si="12"/>
        <v/>
      </c>
      <c r="D283" s="191"/>
      <c r="E283" s="192"/>
      <c r="F283" s="190" t="str">
        <f t="shared" si="13"/>
        <v/>
      </c>
      <c r="G283" s="191"/>
      <c r="H283" s="192"/>
      <c r="I283" s="190" t="str">
        <f t="shared" si="14"/>
        <v/>
      </c>
    </row>
    <row r="284" spans="1:9" s="190" customFormat="1" ht="17.399999999999999">
      <c r="A284" s="191"/>
      <c r="B284" s="192"/>
      <c r="C284" s="190" t="str">
        <f t="shared" si="12"/>
        <v/>
      </c>
      <c r="D284" s="191"/>
      <c r="E284" s="192"/>
      <c r="F284" s="190" t="str">
        <f t="shared" si="13"/>
        <v/>
      </c>
      <c r="G284" s="191"/>
      <c r="H284" s="192"/>
      <c r="I284" s="190" t="str">
        <f t="shared" si="14"/>
        <v/>
      </c>
    </row>
    <row r="285" spans="1:9" s="190" customFormat="1" ht="17.399999999999999">
      <c r="A285" s="191"/>
      <c r="B285" s="192"/>
      <c r="C285" s="190" t="str">
        <f t="shared" si="12"/>
        <v/>
      </c>
      <c r="D285" s="191"/>
      <c r="E285" s="192"/>
      <c r="F285" s="190" t="str">
        <f t="shared" si="13"/>
        <v/>
      </c>
      <c r="G285" s="191"/>
      <c r="H285" s="192"/>
      <c r="I285" s="190" t="str">
        <f t="shared" si="14"/>
        <v/>
      </c>
    </row>
    <row r="286" spans="1:9" s="190" customFormat="1" ht="17.399999999999999">
      <c r="A286" s="191"/>
      <c r="B286" s="192"/>
      <c r="C286" s="190" t="str">
        <f t="shared" si="12"/>
        <v/>
      </c>
      <c r="D286" s="191"/>
      <c r="E286" s="192"/>
      <c r="F286" s="190" t="str">
        <f t="shared" si="13"/>
        <v/>
      </c>
      <c r="G286" s="191"/>
      <c r="H286" s="192"/>
      <c r="I286" s="190" t="str">
        <f t="shared" si="14"/>
        <v/>
      </c>
    </row>
    <row r="287" spans="1:9" s="190" customFormat="1" ht="17.399999999999999">
      <c r="A287" s="191"/>
      <c r="B287" s="192"/>
      <c r="C287" s="190" t="str">
        <f t="shared" si="12"/>
        <v/>
      </c>
      <c r="D287" s="191"/>
      <c r="E287" s="192"/>
      <c r="F287" s="190" t="str">
        <f t="shared" si="13"/>
        <v/>
      </c>
      <c r="G287" s="191"/>
      <c r="H287" s="192"/>
      <c r="I287" s="190" t="str">
        <f t="shared" si="14"/>
        <v/>
      </c>
    </row>
    <row r="288" spans="1:9" s="190" customFormat="1" ht="17.399999999999999">
      <c r="A288" s="191"/>
      <c r="B288" s="192"/>
      <c r="C288" s="190" t="str">
        <f t="shared" si="12"/>
        <v/>
      </c>
      <c r="D288" s="191"/>
      <c r="E288" s="192"/>
      <c r="F288" s="190" t="str">
        <f t="shared" si="13"/>
        <v/>
      </c>
      <c r="G288" s="191"/>
      <c r="H288" s="192"/>
      <c r="I288" s="190" t="str">
        <f t="shared" si="14"/>
        <v/>
      </c>
    </row>
    <row r="289" spans="1:9" s="190" customFormat="1" ht="17.399999999999999">
      <c r="A289" s="191"/>
      <c r="B289" s="192"/>
      <c r="C289" s="190" t="str">
        <f t="shared" si="12"/>
        <v/>
      </c>
      <c r="D289" s="191"/>
      <c r="E289" s="192"/>
      <c r="F289" s="190" t="str">
        <f t="shared" si="13"/>
        <v/>
      </c>
      <c r="G289" s="191"/>
      <c r="H289" s="192"/>
      <c r="I289" s="190" t="str">
        <f t="shared" si="14"/>
        <v/>
      </c>
    </row>
    <row r="290" spans="1:9" s="190" customFormat="1" ht="17.399999999999999">
      <c r="A290" s="191"/>
      <c r="B290" s="192"/>
      <c r="C290" s="190" t="str">
        <f t="shared" si="12"/>
        <v/>
      </c>
      <c r="D290" s="191"/>
      <c r="E290" s="192"/>
      <c r="F290" s="190" t="str">
        <f t="shared" si="13"/>
        <v/>
      </c>
      <c r="G290" s="191"/>
      <c r="H290" s="192"/>
      <c r="I290" s="190" t="str">
        <f t="shared" si="14"/>
        <v/>
      </c>
    </row>
    <row r="291" spans="1:9" s="190" customFormat="1" ht="17.399999999999999">
      <c r="A291" s="191"/>
      <c r="B291" s="192"/>
      <c r="C291" s="190" t="str">
        <f t="shared" si="12"/>
        <v/>
      </c>
      <c r="D291" s="191"/>
      <c r="E291" s="192"/>
      <c r="F291" s="190" t="str">
        <f t="shared" si="13"/>
        <v/>
      </c>
      <c r="G291" s="191"/>
      <c r="H291" s="192"/>
      <c r="I291" s="190" t="str">
        <f t="shared" si="14"/>
        <v/>
      </c>
    </row>
    <row r="292" spans="1:9" s="190" customFormat="1" ht="17.399999999999999">
      <c r="A292" s="191"/>
      <c r="B292" s="192"/>
      <c r="C292" s="190" t="str">
        <f t="shared" si="12"/>
        <v/>
      </c>
      <c r="D292" s="191"/>
      <c r="E292" s="192"/>
      <c r="F292" s="190" t="str">
        <f t="shared" si="13"/>
        <v/>
      </c>
      <c r="G292" s="191"/>
      <c r="H292" s="192"/>
      <c r="I292" s="190" t="str">
        <f t="shared" si="14"/>
        <v/>
      </c>
    </row>
    <row r="293" spans="1:9" s="190" customFormat="1" ht="17.399999999999999">
      <c r="A293" s="191"/>
      <c r="B293" s="192"/>
      <c r="C293" s="190" t="str">
        <f t="shared" si="12"/>
        <v/>
      </c>
      <c r="D293" s="191"/>
      <c r="E293" s="192"/>
      <c r="F293" s="190" t="str">
        <f t="shared" si="13"/>
        <v/>
      </c>
      <c r="G293" s="191"/>
      <c r="H293" s="192"/>
      <c r="I293" s="190" t="str">
        <f t="shared" si="14"/>
        <v/>
      </c>
    </row>
    <row r="294" spans="1:9" s="190" customFormat="1" ht="17.399999999999999">
      <c r="A294" s="191"/>
      <c r="B294" s="192"/>
      <c r="C294" s="190" t="str">
        <f t="shared" si="12"/>
        <v/>
      </c>
      <c r="D294" s="191"/>
      <c r="E294" s="192"/>
      <c r="F294" s="190" t="str">
        <f t="shared" si="13"/>
        <v/>
      </c>
      <c r="G294" s="191"/>
      <c r="H294" s="192"/>
      <c r="I294" s="190" t="str">
        <f t="shared" si="14"/>
        <v/>
      </c>
    </row>
    <row r="295" spans="1:9" s="190" customFormat="1" ht="17.399999999999999">
      <c r="A295" s="191"/>
      <c r="B295" s="192"/>
      <c r="C295" s="190" t="str">
        <f t="shared" si="12"/>
        <v/>
      </c>
      <c r="D295" s="191"/>
      <c r="E295" s="192"/>
      <c r="F295" s="190" t="str">
        <f t="shared" si="13"/>
        <v/>
      </c>
      <c r="G295" s="191"/>
      <c r="H295" s="192"/>
      <c r="I295" s="190" t="str">
        <f t="shared" si="14"/>
        <v/>
      </c>
    </row>
    <row r="296" spans="1:9" s="190" customFormat="1" ht="17.399999999999999">
      <c r="A296" s="191"/>
      <c r="B296" s="192"/>
      <c r="C296" s="190" t="str">
        <f t="shared" si="12"/>
        <v/>
      </c>
      <c r="D296" s="191"/>
      <c r="E296" s="192"/>
      <c r="F296" s="190" t="str">
        <f t="shared" si="13"/>
        <v/>
      </c>
      <c r="G296" s="191"/>
      <c r="H296" s="192"/>
      <c r="I296" s="190" t="str">
        <f t="shared" si="14"/>
        <v/>
      </c>
    </row>
    <row r="297" spans="1:9" s="190" customFormat="1" ht="17.399999999999999">
      <c r="A297" s="191"/>
      <c r="B297" s="192"/>
      <c r="C297" s="190" t="str">
        <f t="shared" si="12"/>
        <v/>
      </c>
      <c r="D297" s="191"/>
      <c r="E297" s="192"/>
      <c r="F297" s="190" t="str">
        <f t="shared" si="13"/>
        <v/>
      </c>
      <c r="G297" s="191"/>
      <c r="H297" s="192"/>
      <c r="I297" s="190" t="str">
        <f t="shared" si="14"/>
        <v/>
      </c>
    </row>
    <row r="298" spans="1:9" s="190" customFormat="1" ht="17.399999999999999">
      <c r="A298" s="191"/>
      <c r="B298" s="192"/>
      <c r="C298" s="190" t="str">
        <f t="shared" si="12"/>
        <v/>
      </c>
      <c r="D298" s="191"/>
      <c r="E298" s="192"/>
      <c r="F298" s="190" t="str">
        <f t="shared" si="13"/>
        <v/>
      </c>
      <c r="G298" s="191"/>
      <c r="H298" s="192"/>
      <c r="I298" s="190" t="str">
        <f t="shared" si="14"/>
        <v/>
      </c>
    </row>
    <row r="299" spans="1:9" s="190" customFormat="1" ht="17.399999999999999">
      <c r="A299" s="191"/>
      <c r="B299" s="192"/>
      <c r="C299" s="190" t="str">
        <f t="shared" si="12"/>
        <v/>
      </c>
      <c r="D299" s="191"/>
      <c r="E299" s="192"/>
      <c r="F299" s="190" t="str">
        <f t="shared" si="13"/>
        <v/>
      </c>
      <c r="G299" s="191"/>
      <c r="H299" s="192"/>
      <c r="I299" s="190" t="str">
        <f t="shared" si="14"/>
        <v/>
      </c>
    </row>
    <row r="300" spans="1:9" s="190" customFormat="1" ht="17.399999999999999">
      <c r="A300" s="191"/>
      <c r="B300" s="192"/>
      <c r="C300" s="190" t="str">
        <f t="shared" si="12"/>
        <v/>
      </c>
      <c r="D300" s="191"/>
      <c r="E300" s="192"/>
      <c r="F300" s="190" t="str">
        <f t="shared" si="13"/>
        <v/>
      </c>
      <c r="G300" s="191"/>
      <c r="H300" s="192"/>
      <c r="I300" s="190" t="str">
        <f t="shared" si="14"/>
        <v/>
      </c>
    </row>
    <row r="301" spans="1:9" s="190" customFormat="1" ht="17.399999999999999">
      <c r="A301" s="191"/>
      <c r="B301" s="192"/>
      <c r="C301" s="190" t="str">
        <f t="shared" si="12"/>
        <v/>
      </c>
      <c r="D301" s="191"/>
      <c r="E301" s="192"/>
      <c r="F301" s="190" t="str">
        <f t="shared" si="13"/>
        <v/>
      </c>
      <c r="G301" s="191"/>
      <c r="H301" s="192"/>
      <c r="I301" s="190" t="str">
        <f t="shared" si="14"/>
        <v/>
      </c>
    </row>
    <row r="302" spans="1:9" s="190" customFormat="1" ht="17.399999999999999">
      <c r="A302" s="191"/>
      <c r="B302" s="195"/>
      <c r="C302" s="190" t="str">
        <f t="shared" si="12"/>
        <v/>
      </c>
      <c r="D302" s="191"/>
      <c r="E302" s="195"/>
      <c r="F302" s="190" t="str">
        <f t="shared" si="13"/>
        <v/>
      </c>
      <c r="G302" s="191"/>
      <c r="H302" s="195"/>
      <c r="I302" s="190" t="str">
        <f t="shared" si="14"/>
        <v/>
      </c>
    </row>
    <row r="303" spans="1:9" s="190" customFormat="1" ht="17.399999999999999">
      <c r="A303" s="191"/>
      <c r="B303" s="195"/>
      <c r="C303" s="190" t="str">
        <f t="shared" si="12"/>
        <v/>
      </c>
      <c r="D303" s="191"/>
      <c r="E303" s="195"/>
      <c r="F303" s="190" t="str">
        <f t="shared" si="13"/>
        <v/>
      </c>
      <c r="G303" s="191"/>
      <c r="H303" s="195"/>
      <c r="I303" s="190" t="str">
        <f t="shared" si="14"/>
        <v/>
      </c>
    </row>
    <row r="304" spans="1:9" s="190" customFormat="1" ht="17.399999999999999">
      <c r="A304" s="191"/>
      <c r="B304" s="195"/>
      <c r="C304" s="190" t="str">
        <f t="shared" si="12"/>
        <v/>
      </c>
      <c r="D304" s="191"/>
      <c r="E304" s="195"/>
      <c r="F304" s="190" t="str">
        <f t="shared" si="13"/>
        <v/>
      </c>
      <c r="G304" s="191"/>
      <c r="H304" s="195"/>
      <c r="I304" s="190" t="str">
        <f t="shared" si="14"/>
        <v/>
      </c>
    </row>
    <row r="305" spans="1:7" s="190" customFormat="1" ht="17.399999999999999">
      <c r="A305" s="190" t="s">
        <v>1154</v>
      </c>
      <c r="D305" s="190" t="s">
        <v>1154</v>
      </c>
      <c r="G305" s="190" t="s">
        <v>1154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491"/>
  <sheetViews>
    <sheetView topLeftCell="B1" zoomScaleNormal="100" workbookViewId="0">
      <pane ySplit="1" topLeftCell="A55" activePane="bottomLeft" state="frozen"/>
      <selection pane="bottomLeft" activeCell="D79" sqref="D79"/>
    </sheetView>
  </sheetViews>
  <sheetFormatPr defaultColWidth="73.3984375" defaultRowHeight="13.2"/>
  <cols>
    <col min="1" max="1" width="7.59765625" style="147" bestFit="1" customWidth="1"/>
    <col min="2" max="2" width="8.3984375" style="148" bestFit="1" customWidth="1"/>
    <col min="3" max="3" width="15.69921875" style="149" customWidth="1"/>
    <col min="4" max="4" width="60.59765625" style="150" customWidth="1"/>
    <col min="5" max="5" width="72.69921875" style="150" bestFit="1" customWidth="1"/>
    <col min="6" max="16384" width="73.3984375" style="147"/>
  </cols>
  <sheetData>
    <row r="1" spans="1:5" s="145" customFormat="1" ht="24.75" customHeight="1">
      <c r="A1" s="145" t="s">
        <v>506</v>
      </c>
      <c r="B1" s="145" t="s">
        <v>507</v>
      </c>
      <c r="C1" s="146" t="s">
        <v>508</v>
      </c>
      <c r="D1" s="146" t="s">
        <v>65</v>
      </c>
      <c r="E1" s="146" t="s">
        <v>66</v>
      </c>
    </row>
    <row r="2" spans="1:5" ht="79.2">
      <c r="A2" s="147" t="s">
        <v>577</v>
      </c>
      <c r="B2" s="148">
        <v>1</v>
      </c>
      <c r="C2" s="149" t="s">
        <v>1063</v>
      </c>
      <c r="D2" s="150" t="s">
        <v>509</v>
      </c>
      <c r="E2" s="150" t="s">
        <v>621</v>
      </c>
    </row>
    <row r="3" spans="1:5" ht="112.5" customHeight="1">
      <c r="A3" s="151">
        <v>500</v>
      </c>
      <c r="B3" s="148">
        <v>2</v>
      </c>
      <c r="C3" s="149" t="s">
        <v>1063</v>
      </c>
      <c r="D3" s="150" t="s">
        <v>502</v>
      </c>
      <c r="E3" s="150" t="s">
        <v>622</v>
      </c>
    </row>
    <row r="4" spans="1:5" ht="52.8">
      <c r="B4" s="148">
        <v>3</v>
      </c>
      <c r="C4" s="149" t="s">
        <v>1063</v>
      </c>
      <c r="D4" s="150" t="s">
        <v>510</v>
      </c>
      <c r="E4" s="150" t="s">
        <v>623</v>
      </c>
    </row>
    <row r="5" spans="1:5" ht="52.8">
      <c r="B5" s="148">
        <v>4</v>
      </c>
      <c r="C5" s="149" t="s">
        <v>1063</v>
      </c>
      <c r="D5" s="150" t="s">
        <v>511</v>
      </c>
      <c r="E5" s="150" t="s">
        <v>624</v>
      </c>
    </row>
    <row r="6" spans="1:5" ht="52.8">
      <c r="B6" s="148">
        <v>5</v>
      </c>
      <c r="C6" s="149" t="s">
        <v>1063</v>
      </c>
      <c r="D6" s="150" t="s">
        <v>512</v>
      </c>
      <c r="E6" s="150" t="s">
        <v>625</v>
      </c>
    </row>
    <row r="7" spans="1:5" ht="39.6">
      <c r="B7" s="148">
        <v>6</v>
      </c>
      <c r="C7" s="149" t="s">
        <v>1063</v>
      </c>
      <c r="D7" s="150" t="s">
        <v>513</v>
      </c>
      <c r="E7" s="150" t="s">
        <v>626</v>
      </c>
    </row>
    <row r="8" spans="1:5">
      <c r="B8" s="148">
        <v>7</v>
      </c>
      <c r="C8" s="149" t="s">
        <v>1063</v>
      </c>
      <c r="D8" s="150" t="s">
        <v>504</v>
      </c>
      <c r="E8" s="150" t="s">
        <v>627</v>
      </c>
    </row>
    <row r="9" spans="1:5">
      <c r="B9" s="148">
        <v>101</v>
      </c>
      <c r="D9" s="150" t="s">
        <v>67</v>
      </c>
      <c r="E9" s="150" t="s">
        <v>628</v>
      </c>
    </row>
    <row r="10" spans="1:5">
      <c r="B10" s="148">
        <v>102</v>
      </c>
      <c r="D10" s="150" t="s">
        <v>68</v>
      </c>
      <c r="E10" s="150" t="s">
        <v>629</v>
      </c>
    </row>
    <row r="11" spans="1:5">
      <c r="B11" s="148">
        <v>103</v>
      </c>
      <c r="D11" s="150" t="s">
        <v>69</v>
      </c>
      <c r="E11" s="150" t="s">
        <v>630</v>
      </c>
    </row>
    <row r="12" spans="1:5">
      <c r="B12" s="148">
        <v>104</v>
      </c>
      <c r="D12" s="150" t="s">
        <v>70</v>
      </c>
      <c r="E12" s="150" t="s">
        <v>631</v>
      </c>
    </row>
    <row r="13" spans="1:5">
      <c r="B13" s="148">
        <v>105</v>
      </c>
      <c r="D13" s="150" t="s">
        <v>71</v>
      </c>
      <c r="E13" s="150" t="s">
        <v>632</v>
      </c>
    </row>
    <row r="14" spans="1:5">
      <c r="B14" s="148">
        <v>106</v>
      </c>
      <c r="D14" s="150" t="s">
        <v>423</v>
      </c>
      <c r="E14" s="150" t="s">
        <v>633</v>
      </c>
    </row>
    <row r="15" spans="1:5" ht="26.4">
      <c r="B15" s="148">
        <v>107</v>
      </c>
      <c r="D15" s="150" t="s">
        <v>424</v>
      </c>
      <c r="E15" s="150" t="s">
        <v>634</v>
      </c>
    </row>
    <row r="16" spans="1:5" ht="39.6">
      <c r="B16" s="148">
        <v>108</v>
      </c>
      <c r="D16" s="150" t="s">
        <v>425</v>
      </c>
      <c r="E16" s="150" t="s">
        <v>635</v>
      </c>
    </row>
    <row r="17" spans="1:6">
      <c r="B17" s="148">
        <v>109</v>
      </c>
      <c r="D17" s="150" t="s">
        <v>72</v>
      </c>
      <c r="E17" s="150" t="s">
        <v>636</v>
      </c>
    </row>
    <row r="18" spans="1:6">
      <c r="B18" s="148">
        <v>110</v>
      </c>
      <c r="D18" s="150" t="s">
        <v>73</v>
      </c>
      <c r="E18" s="150" t="s">
        <v>637</v>
      </c>
    </row>
    <row r="19" spans="1:6">
      <c r="B19" s="148">
        <v>111</v>
      </c>
      <c r="D19" s="150" t="s">
        <v>74</v>
      </c>
      <c r="E19" s="150" t="s">
        <v>638</v>
      </c>
    </row>
    <row r="20" spans="1:6">
      <c r="A20" s="152"/>
      <c r="B20" s="148">
        <v>112</v>
      </c>
      <c r="C20" s="153" t="s">
        <v>514</v>
      </c>
      <c r="D20" s="151" t="s">
        <v>515</v>
      </c>
      <c r="E20" s="151" t="s">
        <v>612</v>
      </c>
      <c r="F20" s="154"/>
    </row>
    <row r="21" spans="1:6">
      <c r="B21" s="148">
        <v>113</v>
      </c>
      <c r="D21" s="150" t="s">
        <v>75</v>
      </c>
      <c r="E21" s="150" t="s">
        <v>612</v>
      </c>
    </row>
    <row r="22" spans="1:6">
      <c r="B22" s="148">
        <v>114</v>
      </c>
      <c r="D22" s="150" t="s">
        <v>76</v>
      </c>
      <c r="E22" s="150" t="s">
        <v>639</v>
      </c>
    </row>
    <row r="23" spans="1:6">
      <c r="B23" s="148">
        <v>115</v>
      </c>
      <c r="D23" s="150" t="s">
        <v>77</v>
      </c>
      <c r="E23" s="150" t="s">
        <v>640</v>
      </c>
    </row>
    <row r="24" spans="1:6" ht="26.4">
      <c r="B24" s="148">
        <v>116</v>
      </c>
      <c r="D24" s="150" t="s">
        <v>426</v>
      </c>
      <c r="E24" s="150" t="s">
        <v>641</v>
      </c>
    </row>
    <row r="25" spans="1:6">
      <c r="B25" s="148">
        <v>117</v>
      </c>
      <c r="D25" s="150" t="s">
        <v>1075</v>
      </c>
      <c r="E25" s="150" t="s">
        <v>1076</v>
      </c>
    </row>
    <row r="26" spans="1:6">
      <c r="B26" s="148">
        <v>118</v>
      </c>
      <c r="D26" s="150" t="s">
        <v>1102</v>
      </c>
      <c r="E26" s="150" t="s">
        <v>1103</v>
      </c>
    </row>
    <row r="27" spans="1:6" ht="26.4">
      <c r="B27" s="148">
        <v>119</v>
      </c>
      <c r="D27" s="150" t="s">
        <v>78</v>
      </c>
      <c r="E27" s="150" t="s">
        <v>642</v>
      </c>
    </row>
    <row r="28" spans="1:6">
      <c r="B28" s="148">
        <v>120</v>
      </c>
      <c r="D28" s="150" t="s">
        <v>79</v>
      </c>
      <c r="E28" s="150" t="s">
        <v>643</v>
      </c>
    </row>
    <row r="29" spans="1:6">
      <c r="B29" s="148">
        <v>121</v>
      </c>
      <c r="D29" s="150" t="s">
        <v>421</v>
      </c>
      <c r="E29" s="150" t="s">
        <v>585</v>
      </c>
    </row>
    <row r="30" spans="1:6">
      <c r="B30" s="148">
        <v>122</v>
      </c>
      <c r="D30" s="150" t="s">
        <v>80</v>
      </c>
      <c r="E30" s="150" t="s">
        <v>644</v>
      </c>
    </row>
    <row r="31" spans="1:6">
      <c r="B31" s="148">
        <v>123</v>
      </c>
      <c r="D31" s="150" t="s">
        <v>1105</v>
      </c>
      <c r="E31" s="150" t="s">
        <v>1104</v>
      </c>
    </row>
    <row r="32" spans="1:6">
      <c r="B32" s="148">
        <v>124</v>
      </c>
      <c r="D32" s="150" t="s">
        <v>1106</v>
      </c>
      <c r="E32" s="150" t="s">
        <v>1107</v>
      </c>
    </row>
    <row r="33" spans="2:5">
      <c r="B33" s="148">
        <v>125</v>
      </c>
      <c r="D33" s="150" t="s">
        <v>81</v>
      </c>
      <c r="E33" s="150" t="s">
        <v>645</v>
      </c>
    </row>
    <row r="34" spans="2:5">
      <c r="B34" s="148">
        <v>126</v>
      </c>
      <c r="D34" s="150" t="s">
        <v>82</v>
      </c>
      <c r="E34" s="150" t="s">
        <v>646</v>
      </c>
    </row>
    <row r="35" spans="2:5" ht="26.4">
      <c r="B35" s="148">
        <v>127</v>
      </c>
      <c r="D35" s="150" t="s">
        <v>422</v>
      </c>
      <c r="E35" s="150" t="s">
        <v>586</v>
      </c>
    </row>
    <row r="36" spans="2:5">
      <c r="B36" s="148">
        <v>128</v>
      </c>
      <c r="D36" s="150" t="s">
        <v>83</v>
      </c>
      <c r="E36" s="150" t="s">
        <v>584</v>
      </c>
    </row>
    <row r="37" spans="2:5">
      <c r="B37" s="148">
        <v>129</v>
      </c>
      <c r="D37" s="150" t="s">
        <v>84</v>
      </c>
      <c r="E37" s="150" t="s">
        <v>647</v>
      </c>
    </row>
    <row r="38" spans="2:5">
      <c r="B38" s="148">
        <v>130</v>
      </c>
      <c r="D38" s="150" t="s">
        <v>427</v>
      </c>
      <c r="E38" s="150" t="s">
        <v>648</v>
      </c>
    </row>
    <row r="39" spans="2:5">
      <c r="B39" s="148">
        <v>131</v>
      </c>
      <c r="D39" s="150" t="s">
        <v>85</v>
      </c>
      <c r="E39" s="150" t="s">
        <v>649</v>
      </c>
    </row>
    <row r="40" spans="2:5">
      <c r="B40" s="148">
        <v>132</v>
      </c>
      <c r="D40" s="150" t="s">
        <v>86</v>
      </c>
      <c r="E40" s="150" t="s">
        <v>650</v>
      </c>
    </row>
    <row r="41" spans="2:5">
      <c r="B41" s="148">
        <v>133</v>
      </c>
      <c r="D41" s="150" t="s">
        <v>87</v>
      </c>
      <c r="E41" s="150" t="s">
        <v>651</v>
      </c>
    </row>
    <row r="42" spans="2:5">
      <c r="B42" s="148">
        <v>134</v>
      </c>
      <c r="D42" s="155" t="s">
        <v>428</v>
      </c>
      <c r="E42" s="156">
        <v>43435</v>
      </c>
    </row>
    <row r="43" spans="2:5">
      <c r="B43" s="148">
        <v>135</v>
      </c>
      <c r="D43" s="155" t="s">
        <v>428</v>
      </c>
      <c r="E43" s="156">
        <v>43435</v>
      </c>
    </row>
    <row r="44" spans="2:5">
      <c r="B44" s="148">
        <v>136</v>
      </c>
      <c r="D44" s="155" t="s">
        <v>429</v>
      </c>
      <c r="E44" s="156">
        <v>43465</v>
      </c>
    </row>
    <row r="45" spans="2:5">
      <c r="B45" s="148">
        <v>137</v>
      </c>
      <c r="D45" s="155" t="s">
        <v>429</v>
      </c>
      <c r="E45" s="156">
        <v>43465</v>
      </c>
    </row>
    <row r="46" spans="2:5">
      <c r="B46" s="148">
        <v>138</v>
      </c>
      <c r="D46" s="150" t="s">
        <v>88</v>
      </c>
      <c r="E46" s="150" t="s">
        <v>88</v>
      </c>
    </row>
    <row r="47" spans="2:5">
      <c r="B47" s="148">
        <v>139</v>
      </c>
      <c r="D47" s="150" t="s">
        <v>1085</v>
      </c>
      <c r="E47" s="150" t="s">
        <v>1086</v>
      </c>
    </row>
    <row r="48" spans="2:5">
      <c r="B48" s="148">
        <v>140</v>
      </c>
      <c r="D48" s="150" t="s">
        <v>1065</v>
      </c>
      <c r="E48" s="150" t="s">
        <v>1066</v>
      </c>
    </row>
    <row r="49" spans="2:5">
      <c r="B49" s="148">
        <v>141</v>
      </c>
      <c r="D49" s="150" t="s">
        <v>89</v>
      </c>
      <c r="E49" s="150" t="s">
        <v>652</v>
      </c>
    </row>
    <row r="50" spans="2:5">
      <c r="B50" s="148">
        <v>142</v>
      </c>
      <c r="C50" s="149" t="s">
        <v>516</v>
      </c>
      <c r="D50" s="150" t="s">
        <v>517</v>
      </c>
      <c r="E50" s="150" t="s">
        <v>518</v>
      </c>
    </row>
    <row r="51" spans="2:5">
      <c r="B51" s="148">
        <v>143</v>
      </c>
      <c r="D51" s="150" t="s">
        <v>90</v>
      </c>
      <c r="E51" s="150" t="s">
        <v>653</v>
      </c>
    </row>
    <row r="52" spans="2:5">
      <c r="B52" s="148">
        <v>144</v>
      </c>
      <c r="D52" s="150" t="s">
        <v>91</v>
      </c>
      <c r="E52" s="150" t="s">
        <v>654</v>
      </c>
    </row>
    <row r="53" spans="2:5">
      <c r="B53" s="148">
        <v>145</v>
      </c>
      <c r="D53" s="150" t="s">
        <v>430</v>
      </c>
      <c r="E53" s="150" t="s">
        <v>609</v>
      </c>
    </row>
    <row r="54" spans="2:5">
      <c r="B54" s="148">
        <v>146</v>
      </c>
      <c r="D54" s="150" t="s">
        <v>92</v>
      </c>
      <c r="E54" s="150" t="s">
        <v>655</v>
      </c>
    </row>
    <row r="55" spans="2:5">
      <c r="B55" s="148">
        <v>147</v>
      </c>
      <c r="D55" s="150" t="s">
        <v>93</v>
      </c>
      <c r="E55" s="150" t="s">
        <v>656</v>
      </c>
    </row>
    <row r="56" spans="2:5">
      <c r="B56" s="148">
        <v>148</v>
      </c>
      <c r="D56" s="150" t="s">
        <v>94</v>
      </c>
      <c r="E56" s="150" t="s">
        <v>657</v>
      </c>
    </row>
    <row r="57" spans="2:5">
      <c r="B57" s="148">
        <v>149</v>
      </c>
      <c r="D57" s="150" t="s">
        <v>95</v>
      </c>
      <c r="E57" s="150" t="s">
        <v>658</v>
      </c>
    </row>
    <row r="58" spans="2:5">
      <c r="B58" s="148">
        <v>150</v>
      </c>
      <c r="D58" s="150" t="s">
        <v>96</v>
      </c>
      <c r="E58" s="150" t="s">
        <v>659</v>
      </c>
    </row>
    <row r="59" spans="2:5">
      <c r="B59" s="148">
        <v>151</v>
      </c>
      <c r="D59" s="150" t="s">
        <v>431</v>
      </c>
      <c r="E59" s="150" t="s">
        <v>608</v>
      </c>
    </row>
    <row r="60" spans="2:5">
      <c r="B60" s="148">
        <v>152</v>
      </c>
      <c r="D60" s="150" t="s">
        <v>97</v>
      </c>
      <c r="E60" s="150" t="s">
        <v>660</v>
      </c>
    </row>
    <row r="61" spans="2:5">
      <c r="B61" s="148">
        <v>153</v>
      </c>
      <c r="D61" s="150" t="s">
        <v>98</v>
      </c>
      <c r="E61" s="150" t="s">
        <v>661</v>
      </c>
    </row>
    <row r="62" spans="2:5">
      <c r="B62" s="148">
        <v>154</v>
      </c>
      <c r="D62" s="150" t="s">
        <v>99</v>
      </c>
      <c r="E62" s="150" t="s">
        <v>662</v>
      </c>
    </row>
    <row r="63" spans="2:5">
      <c r="B63" s="148">
        <v>155</v>
      </c>
      <c r="D63" s="150" t="s">
        <v>100</v>
      </c>
      <c r="E63" s="150" t="s">
        <v>663</v>
      </c>
    </row>
    <row r="64" spans="2:5">
      <c r="B64" s="148">
        <v>156</v>
      </c>
      <c r="D64" s="150" t="s">
        <v>432</v>
      </c>
      <c r="E64" s="150" t="s">
        <v>664</v>
      </c>
    </row>
    <row r="65" spans="1:6">
      <c r="A65" s="157"/>
      <c r="B65" s="148">
        <v>157</v>
      </c>
      <c r="C65" s="153" t="s">
        <v>497</v>
      </c>
      <c r="D65" s="151" t="s">
        <v>519</v>
      </c>
      <c r="E65" s="151" t="s">
        <v>665</v>
      </c>
      <c r="F65" s="154"/>
    </row>
    <row r="66" spans="1:6">
      <c r="B66" s="148">
        <v>158</v>
      </c>
      <c r="D66" s="150" t="s">
        <v>101</v>
      </c>
      <c r="E66" s="151" t="s">
        <v>666</v>
      </c>
    </row>
    <row r="67" spans="1:6">
      <c r="B67" s="148">
        <v>159</v>
      </c>
      <c r="D67" s="150" t="s">
        <v>102</v>
      </c>
      <c r="E67" s="151" t="s">
        <v>667</v>
      </c>
    </row>
    <row r="68" spans="1:6">
      <c r="A68" s="157"/>
      <c r="B68" s="148">
        <v>160</v>
      </c>
      <c r="C68" s="153" t="s">
        <v>520</v>
      </c>
      <c r="D68" s="151" t="s">
        <v>521</v>
      </c>
      <c r="E68" s="151" t="s">
        <v>668</v>
      </c>
      <c r="F68" s="154"/>
    </row>
    <row r="69" spans="1:6">
      <c r="A69" s="157"/>
      <c r="B69" s="148">
        <v>161</v>
      </c>
      <c r="C69" s="153" t="s">
        <v>497</v>
      </c>
      <c r="D69" s="151" t="s">
        <v>522</v>
      </c>
      <c r="E69" s="151" t="s">
        <v>669</v>
      </c>
      <c r="F69" s="154"/>
    </row>
    <row r="70" spans="1:6">
      <c r="A70" s="157"/>
      <c r="B70" s="148">
        <v>162</v>
      </c>
      <c r="C70" s="153" t="s">
        <v>497</v>
      </c>
      <c r="D70" s="151" t="s">
        <v>523</v>
      </c>
      <c r="E70" s="151" t="s">
        <v>670</v>
      </c>
      <c r="F70" s="154"/>
    </row>
    <row r="71" spans="1:6">
      <c r="A71" s="157"/>
      <c r="B71" s="148">
        <v>163</v>
      </c>
      <c r="C71" s="153" t="s">
        <v>520</v>
      </c>
      <c r="D71" s="151" t="s">
        <v>505</v>
      </c>
      <c r="E71" s="151" t="s">
        <v>671</v>
      </c>
      <c r="F71" s="154"/>
    </row>
    <row r="72" spans="1:6">
      <c r="B72" s="148">
        <v>164</v>
      </c>
      <c r="D72" s="150" t="s">
        <v>103</v>
      </c>
      <c r="E72" s="150" t="s">
        <v>672</v>
      </c>
    </row>
    <row r="73" spans="1:6">
      <c r="B73" s="148">
        <v>165</v>
      </c>
      <c r="D73" s="150" t="s">
        <v>104</v>
      </c>
      <c r="E73" s="150" t="s">
        <v>673</v>
      </c>
    </row>
    <row r="74" spans="1:6">
      <c r="B74" s="148">
        <v>166</v>
      </c>
      <c r="D74" s="150" t="s">
        <v>524</v>
      </c>
      <c r="E74" s="150" t="s">
        <v>674</v>
      </c>
    </row>
    <row r="75" spans="1:6">
      <c r="B75" s="148">
        <v>167</v>
      </c>
      <c r="D75" s="150" t="s">
        <v>105</v>
      </c>
      <c r="E75" s="150" t="s">
        <v>675</v>
      </c>
    </row>
    <row r="76" spans="1:6">
      <c r="B76" s="148">
        <v>168</v>
      </c>
      <c r="D76" s="150" t="s">
        <v>106</v>
      </c>
      <c r="E76" s="150" t="s">
        <v>676</v>
      </c>
    </row>
    <row r="77" spans="1:6">
      <c r="B77" s="148">
        <v>169</v>
      </c>
      <c r="D77" s="150" t="s">
        <v>107</v>
      </c>
      <c r="E77" s="150" t="s">
        <v>1275</v>
      </c>
    </row>
    <row r="78" spans="1:6">
      <c r="B78" s="148">
        <v>170</v>
      </c>
      <c r="D78" s="150" t="s">
        <v>108</v>
      </c>
      <c r="E78" s="150" t="s">
        <v>677</v>
      </c>
    </row>
    <row r="79" spans="1:6" ht="26.4">
      <c r="B79" s="148">
        <v>171</v>
      </c>
      <c r="D79" s="150" t="s">
        <v>109</v>
      </c>
      <c r="E79" s="150" t="s">
        <v>591</v>
      </c>
    </row>
    <row r="80" spans="1:6">
      <c r="B80" s="148">
        <v>172</v>
      </c>
      <c r="D80" s="150" t="s">
        <v>110</v>
      </c>
      <c r="E80" s="150" t="s">
        <v>678</v>
      </c>
    </row>
    <row r="81" spans="2:5">
      <c r="B81" s="148">
        <v>173</v>
      </c>
      <c r="D81" s="150" t="s">
        <v>111</v>
      </c>
      <c r="E81" s="150" t="s">
        <v>679</v>
      </c>
    </row>
    <row r="82" spans="2:5">
      <c r="B82" s="148">
        <v>174</v>
      </c>
      <c r="D82" s="150" t="s">
        <v>112</v>
      </c>
      <c r="E82" s="150" t="s">
        <v>680</v>
      </c>
    </row>
    <row r="83" spans="2:5">
      <c r="B83" s="148">
        <v>175</v>
      </c>
      <c r="D83" s="150" t="s">
        <v>433</v>
      </c>
      <c r="E83" s="150" t="s">
        <v>681</v>
      </c>
    </row>
    <row r="84" spans="2:5">
      <c r="B84" s="148">
        <v>176</v>
      </c>
      <c r="D84" s="150" t="s">
        <v>113</v>
      </c>
      <c r="E84" s="150" t="s">
        <v>682</v>
      </c>
    </row>
    <row r="85" spans="2:5">
      <c r="B85" s="148">
        <v>177</v>
      </c>
      <c r="D85" s="150" t="s">
        <v>114</v>
      </c>
      <c r="E85" s="150" t="s">
        <v>683</v>
      </c>
    </row>
    <row r="86" spans="2:5">
      <c r="B86" s="148">
        <v>178</v>
      </c>
      <c r="D86" s="150" t="s">
        <v>115</v>
      </c>
      <c r="E86" s="150" t="s">
        <v>684</v>
      </c>
    </row>
    <row r="87" spans="2:5">
      <c r="B87" s="148">
        <v>179</v>
      </c>
      <c r="D87" s="150" t="s">
        <v>116</v>
      </c>
      <c r="E87" s="150" t="s">
        <v>685</v>
      </c>
    </row>
    <row r="88" spans="2:5">
      <c r="B88" s="148">
        <v>180</v>
      </c>
      <c r="D88" s="150" t="s">
        <v>117</v>
      </c>
      <c r="E88" s="150" t="s">
        <v>686</v>
      </c>
    </row>
    <row r="89" spans="2:5">
      <c r="B89" s="148">
        <v>181</v>
      </c>
      <c r="D89" s="150" t="s">
        <v>118</v>
      </c>
      <c r="E89" s="150" t="s">
        <v>687</v>
      </c>
    </row>
    <row r="90" spans="2:5">
      <c r="B90" s="148">
        <v>182</v>
      </c>
      <c r="D90" s="150" t="s">
        <v>119</v>
      </c>
      <c r="E90" s="150" t="s">
        <v>688</v>
      </c>
    </row>
    <row r="91" spans="2:5">
      <c r="B91" s="148">
        <v>183</v>
      </c>
      <c r="D91" s="150" t="s">
        <v>120</v>
      </c>
      <c r="E91" s="150" t="s">
        <v>689</v>
      </c>
    </row>
    <row r="92" spans="2:5">
      <c r="B92" s="148">
        <v>184</v>
      </c>
      <c r="D92" s="150" t="s">
        <v>434</v>
      </c>
      <c r="E92" s="150" t="s">
        <v>690</v>
      </c>
    </row>
    <row r="93" spans="2:5" ht="26.4">
      <c r="B93" s="148">
        <v>185</v>
      </c>
      <c r="D93" s="150" t="s">
        <v>435</v>
      </c>
      <c r="E93" s="150" t="s">
        <v>691</v>
      </c>
    </row>
    <row r="94" spans="2:5" ht="26.4">
      <c r="B94" s="148">
        <v>186</v>
      </c>
      <c r="D94" s="150" t="s">
        <v>121</v>
      </c>
      <c r="E94" s="150" t="s">
        <v>692</v>
      </c>
    </row>
    <row r="95" spans="2:5">
      <c r="B95" s="148">
        <v>187</v>
      </c>
      <c r="D95" s="150" t="s">
        <v>122</v>
      </c>
      <c r="E95" s="150" t="s">
        <v>123</v>
      </c>
    </row>
    <row r="96" spans="2:5">
      <c r="B96" s="148">
        <v>188</v>
      </c>
      <c r="D96" s="150" t="s">
        <v>436</v>
      </c>
      <c r="E96" s="150" t="s">
        <v>693</v>
      </c>
    </row>
    <row r="97" spans="2:5">
      <c r="B97" s="148">
        <v>189</v>
      </c>
      <c r="D97" s="150" t="s">
        <v>437</v>
      </c>
      <c r="E97" s="150" t="s">
        <v>694</v>
      </c>
    </row>
    <row r="98" spans="2:5">
      <c r="B98" s="148">
        <v>190</v>
      </c>
      <c r="D98" s="150" t="s">
        <v>438</v>
      </c>
      <c r="E98" s="150" t="s">
        <v>532</v>
      </c>
    </row>
    <row r="99" spans="2:5">
      <c r="B99" s="148">
        <v>191</v>
      </c>
      <c r="D99" s="150" t="s">
        <v>124</v>
      </c>
      <c r="E99" s="150" t="s">
        <v>695</v>
      </c>
    </row>
    <row r="100" spans="2:5" ht="26.4">
      <c r="B100" s="148">
        <v>192</v>
      </c>
      <c r="D100" s="150" t="s">
        <v>125</v>
      </c>
      <c r="E100" s="150" t="s">
        <v>696</v>
      </c>
    </row>
    <row r="101" spans="2:5" ht="26.4">
      <c r="B101" s="148">
        <v>193</v>
      </c>
      <c r="D101" s="150" t="s">
        <v>126</v>
      </c>
      <c r="E101" s="150" t="s">
        <v>697</v>
      </c>
    </row>
    <row r="102" spans="2:5">
      <c r="B102" s="148">
        <v>194</v>
      </c>
      <c r="D102" s="150" t="s">
        <v>127</v>
      </c>
      <c r="E102" s="150" t="s">
        <v>127</v>
      </c>
    </row>
    <row r="103" spans="2:5">
      <c r="B103" s="148">
        <v>195</v>
      </c>
      <c r="D103" s="150" t="s">
        <v>128</v>
      </c>
      <c r="E103" s="150" t="s">
        <v>698</v>
      </c>
    </row>
    <row r="104" spans="2:5">
      <c r="B104" s="148">
        <v>196</v>
      </c>
      <c r="D104" s="150" t="s">
        <v>129</v>
      </c>
      <c r="E104" s="150" t="s">
        <v>588</v>
      </c>
    </row>
    <row r="105" spans="2:5">
      <c r="B105" s="148">
        <v>197</v>
      </c>
      <c r="D105" s="150" t="s">
        <v>130</v>
      </c>
      <c r="E105" s="150" t="s">
        <v>1052</v>
      </c>
    </row>
    <row r="106" spans="2:5">
      <c r="B106" s="148">
        <v>198</v>
      </c>
      <c r="D106" s="150" t="s">
        <v>439</v>
      </c>
      <c r="E106" s="150" t="s">
        <v>699</v>
      </c>
    </row>
    <row r="107" spans="2:5">
      <c r="B107" s="148">
        <v>199</v>
      </c>
      <c r="D107" s="150" t="s">
        <v>131</v>
      </c>
      <c r="E107" s="150" t="s">
        <v>700</v>
      </c>
    </row>
    <row r="108" spans="2:5">
      <c r="B108" s="148">
        <v>200</v>
      </c>
      <c r="D108" s="150" t="s">
        <v>440</v>
      </c>
      <c r="E108" s="150" t="s">
        <v>701</v>
      </c>
    </row>
    <row r="109" spans="2:5">
      <c r="B109" s="148">
        <v>201</v>
      </c>
      <c r="D109" s="150" t="s">
        <v>132</v>
      </c>
      <c r="E109" s="150" t="s">
        <v>702</v>
      </c>
    </row>
    <row r="110" spans="2:5">
      <c r="B110" s="148">
        <v>202</v>
      </c>
      <c r="D110" s="150" t="s">
        <v>133</v>
      </c>
      <c r="E110" s="150" t="s">
        <v>703</v>
      </c>
    </row>
    <row r="111" spans="2:5">
      <c r="B111" s="148">
        <v>203</v>
      </c>
      <c r="D111" s="150" t="s">
        <v>134</v>
      </c>
      <c r="E111" s="150" t="s">
        <v>704</v>
      </c>
    </row>
    <row r="112" spans="2:5">
      <c r="B112" s="148">
        <v>204</v>
      </c>
      <c r="D112" s="150" t="s">
        <v>441</v>
      </c>
      <c r="E112" s="150" t="s">
        <v>705</v>
      </c>
    </row>
    <row r="113" spans="2:5">
      <c r="B113" s="148">
        <v>205</v>
      </c>
      <c r="D113" s="150" t="s">
        <v>135</v>
      </c>
      <c r="E113" s="150" t="s">
        <v>706</v>
      </c>
    </row>
    <row r="114" spans="2:5">
      <c r="B114" s="148">
        <v>206</v>
      </c>
      <c r="D114" s="150" t="s">
        <v>136</v>
      </c>
      <c r="E114" s="150" t="s">
        <v>707</v>
      </c>
    </row>
    <row r="115" spans="2:5">
      <c r="B115" s="148">
        <v>207</v>
      </c>
      <c r="D115" s="150" t="s">
        <v>137</v>
      </c>
      <c r="E115" s="150" t="s">
        <v>708</v>
      </c>
    </row>
    <row r="116" spans="2:5">
      <c r="B116" s="148">
        <v>208</v>
      </c>
      <c r="D116" s="150" t="s">
        <v>442</v>
      </c>
      <c r="E116" s="150" t="s">
        <v>709</v>
      </c>
    </row>
    <row r="117" spans="2:5">
      <c r="B117" s="148">
        <v>209</v>
      </c>
      <c r="D117" s="150" t="s">
        <v>443</v>
      </c>
      <c r="E117" s="150" t="s">
        <v>710</v>
      </c>
    </row>
    <row r="118" spans="2:5">
      <c r="B118" s="148">
        <v>210</v>
      </c>
      <c r="D118" s="150" t="s">
        <v>444</v>
      </c>
      <c r="E118" s="150" t="s">
        <v>711</v>
      </c>
    </row>
    <row r="119" spans="2:5">
      <c r="B119" s="148">
        <v>211</v>
      </c>
      <c r="D119" s="150" t="s">
        <v>445</v>
      </c>
      <c r="E119" s="150" t="s">
        <v>712</v>
      </c>
    </row>
    <row r="120" spans="2:5">
      <c r="B120" s="148">
        <v>212</v>
      </c>
      <c r="D120" s="150" t="s">
        <v>446</v>
      </c>
      <c r="E120" s="150" t="s">
        <v>713</v>
      </c>
    </row>
    <row r="121" spans="2:5">
      <c r="B121" s="148">
        <v>213</v>
      </c>
      <c r="D121" s="150" t="s">
        <v>138</v>
      </c>
      <c r="E121" s="150" t="s">
        <v>587</v>
      </c>
    </row>
    <row r="122" spans="2:5">
      <c r="B122" s="148">
        <v>214</v>
      </c>
      <c r="D122" s="150" t="s">
        <v>447</v>
      </c>
      <c r="E122" s="150" t="s">
        <v>714</v>
      </c>
    </row>
    <row r="123" spans="2:5">
      <c r="B123" s="148">
        <v>215</v>
      </c>
      <c r="D123" s="150" t="s">
        <v>139</v>
      </c>
      <c r="E123" s="150" t="s">
        <v>543</v>
      </c>
    </row>
    <row r="124" spans="2:5">
      <c r="B124" s="148">
        <v>216</v>
      </c>
      <c r="D124" s="150" t="s">
        <v>140</v>
      </c>
      <c r="E124" s="150" t="s">
        <v>715</v>
      </c>
    </row>
    <row r="125" spans="2:5">
      <c r="B125" s="148">
        <v>217</v>
      </c>
      <c r="D125" s="150" t="s">
        <v>141</v>
      </c>
      <c r="E125" s="150" t="s">
        <v>716</v>
      </c>
    </row>
    <row r="126" spans="2:5">
      <c r="B126" s="148">
        <v>218</v>
      </c>
      <c r="D126" s="150" t="s">
        <v>448</v>
      </c>
      <c r="E126" s="150" t="s">
        <v>717</v>
      </c>
    </row>
    <row r="127" spans="2:5">
      <c r="B127" s="148">
        <v>219</v>
      </c>
      <c r="D127" s="150" t="s">
        <v>449</v>
      </c>
      <c r="E127" s="150" t="s">
        <v>718</v>
      </c>
    </row>
    <row r="128" spans="2:5">
      <c r="B128" s="148">
        <v>220</v>
      </c>
      <c r="D128" s="150" t="s">
        <v>539</v>
      </c>
      <c r="E128" s="150" t="s">
        <v>719</v>
      </c>
    </row>
    <row r="129" spans="2:5">
      <c r="B129" s="148">
        <v>221</v>
      </c>
      <c r="D129" s="150" t="s">
        <v>450</v>
      </c>
      <c r="E129" s="150" t="s">
        <v>720</v>
      </c>
    </row>
    <row r="130" spans="2:5">
      <c r="B130" s="148">
        <v>222</v>
      </c>
      <c r="D130" s="150" t="s">
        <v>451</v>
      </c>
      <c r="E130" s="150" t="s">
        <v>721</v>
      </c>
    </row>
    <row r="131" spans="2:5">
      <c r="B131" s="148">
        <v>223</v>
      </c>
      <c r="D131" s="150" t="s">
        <v>452</v>
      </c>
      <c r="E131" s="150" t="s">
        <v>722</v>
      </c>
    </row>
    <row r="132" spans="2:5">
      <c r="B132" s="148">
        <v>224</v>
      </c>
      <c r="D132" s="150" t="s">
        <v>453</v>
      </c>
      <c r="E132" s="150" t="s">
        <v>723</v>
      </c>
    </row>
    <row r="133" spans="2:5">
      <c r="B133" s="148">
        <v>225</v>
      </c>
      <c r="D133" s="150" t="s">
        <v>560</v>
      </c>
      <c r="E133" s="150" t="s">
        <v>563</v>
      </c>
    </row>
    <row r="134" spans="2:5">
      <c r="B134" s="148">
        <v>226</v>
      </c>
      <c r="D134" s="150" t="s">
        <v>142</v>
      </c>
      <c r="E134" s="150" t="s">
        <v>724</v>
      </c>
    </row>
    <row r="135" spans="2:5">
      <c r="B135" s="148">
        <v>227</v>
      </c>
      <c r="D135" s="150" t="s">
        <v>143</v>
      </c>
      <c r="E135" s="150" t="s">
        <v>725</v>
      </c>
    </row>
    <row r="136" spans="2:5">
      <c r="B136" s="148">
        <v>228</v>
      </c>
      <c r="D136" s="150" t="s">
        <v>144</v>
      </c>
      <c r="E136" s="150" t="s">
        <v>726</v>
      </c>
    </row>
    <row r="137" spans="2:5">
      <c r="B137" s="148">
        <v>229</v>
      </c>
      <c r="D137" s="150" t="s">
        <v>145</v>
      </c>
      <c r="E137" s="150" t="s">
        <v>727</v>
      </c>
    </row>
    <row r="138" spans="2:5">
      <c r="B138" s="148">
        <v>230</v>
      </c>
      <c r="D138" s="150" t="s">
        <v>454</v>
      </c>
      <c r="E138" s="150" t="s">
        <v>728</v>
      </c>
    </row>
    <row r="139" spans="2:5">
      <c r="B139" s="148">
        <v>231</v>
      </c>
      <c r="D139" s="150" t="s">
        <v>455</v>
      </c>
      <c r="E139" s="150" t="s">
        <v>729</v>
      </c>
    </row>
    <row r="140" spans="2:5">
      <c r="B140" s="148">
        <v>232</v>
      </c>
      <c r="D140" s="150" t="s">
        <v>456</v>
      </c>
      <c r="E140" s="150" t="s">
        <v>730</v>
      </c>
    </row>
    <row r="141" spans="2:5">
      <c r="B141" s="148">
        <v>233</v>
      </c>
      <c r="D141" s="150" t="s">
        <v>146</v>
      </c>
      <c r="E141" s="150" t="s">
        <v>731</v>
      </c>
    </row>
    <row r="142" spans="2:5">
      <c r="B142" s="148">
        <v>234</v>
      </c>
      <c r="D142" s="150" t="s">
        <v>147</v>
      </c>
      <c r="E142" s="150" t="s">
        <v>732</v>
      </c>
    </row>
    <row r="143" spans="2:5">
      <c r="B143" s="148">
        <v>235</v>
      </c>
      <c r="D143" s="150" t="s">
        <v>457</v>
      </c>
      <c r="E143" s="150" t="s">
        <v>733</v>
      </c>
    </row>
    <row r="144" spans="2:5">
      <c r="B144" s="148">
        <v>236</v>
      </c>
      <c r="D144" s="150" t="s">
        <v>148</v>
      </c>
      <c r="E144" s="150" t="s">
        <v>734</v>
      </c>
    </row>
    <row r="145" spans="2:5" ht="39.6">
      <c r="B145" s="148">
        <v>237</v>
      </c>
      <c r="D145" s="150" t="s">
        <v>149</v>
      </c>
      <c r="E145" s="150" t="s">
        <v>735</v>
      </c>
    </row>
    <row r="146" spans="2:5">
      <c r="B146" s="148">
        <v>238</v>
      </c>
      <c r="D146" s="150" t="s">
        <v>150</v>
      </c>
      <c r="E146" s="150" t="s">
        <v>736</v>
      </c>
    </row>
    <row r="147" spans="2:5">
      <c r="B147" s="148">
        <v>239</v>
      </c>
      <c r="D147" s="150" t="s">
        <v>151</v>
      </c>
      <c r="E147" s="150" t="s">
        <v>737</v>
      </c>
    </row>
    <row r="148" spans="2:5">
      <c r="B148" s="148">
        <v>240</v>
      </c>
      <c r="D148" s="150" t="s">
        <v>152</v>
      </c>
      <c r="E148" s="150" t="s">
        <v>738</v>
      </c>
    </row>
    <row r="149" spans="2:5">
      <c r="B149" s="148">
        <v>241</v>
      </c>
      <c r="D149" s="150" t="s">
        <v>153</v>
      </c>
      <c r="E149" s="150" t="s">
        <v>739</v>
      </c>
    </row>
    <row r="150" spans="2:5">
      <c r="B150" s="148">
        <v>242</v>
      </c>
      <c r="D150" s="150" t="s">
        <v>154</v>
      </c>
      <c r="E150" s="150" t="s">
        <v>740</v>
      </c>
    </row>
    <row r="151" spans="2:5">
      <c r="B151" s="148">
        <v>243</v>
      </c>
      <c r="D151" s="150" t="s">
        <v>155</v>
      </c>
      <c r="E151" s="150" t="s">
        <v>741</v>
      </c>
    </row>
    <row r="152" spans="2:5">
      <c r="B152" s="148">
        <v>244</v>
      </c>
      <c r="D152" s="150" t="s">
        <v>156</v>
      </c>
      <c r="E152" s="150" t="s">
        <v>742</v>
      </c>
    </row>
    <row r="153" spans="2:5">
      <c r="B153" s="148">
        <v>245</v>
      </c>
      <c r="D153" s="150" t="s">
        <v>157</v>
      </c>
      <c r="E153" s="150" t="s">
        <v>583</v>
      </c>
    </row>
    <row r="154" spans="2:5">
      <c r="B154" s="148">
        <v>246</v>
      </c>
      <c r="D154" s="150" t="s">
        <v>158</v>
      </c>
      <c r="E154" s="150" t="s">
        <v>743</v>
      </c>
    </row>
    <row r="155" spans="2:5">
      <c r="B155" s="148">
        <v>247</v>
      </c>
      <c r="D155" s="150" t="s">
        <v>159</v>
      </c>
      <c r="E155" s="150" t="s">
        <v>744</v>
      </c>
    </row>
    <row r="156" spans="2:5">
      <c r="B156" s="148">
        <v>248</v>
      </c>
      <c r="D156" s="150" t="s">
        <v>160</v>
      </c>
      <c r="E156" s="150" t="s">
        <v>745</v>
      </c>
    </row>
    <row r="157" spans="2:5">
      <c r="B157" s="148">
        <v>249</v>
      </c>
      <c r="D157" s="150" t="s">
        <v>161</v>
      </c>
      <c r="E157" s="150" t="s">
        <v>746</v>
      </c>
    </row>
    <row r="158" spans="2:5">
      <c r="B158" s="148">
        <v>250</v>
      </c>
      <c r="D158" s="150" t="s">
        <v>458</v>
      </c>
      <c r="E158" s="150" t="s">
        <v>747</v>
      </c>
    </row>
    <row r="159" spans="2:5">
      <c r="B159" s="148">
        <v>251</v>
      </c>
      <c r="D159" s="150" t="s">
        <v>162</v>
      </c>
      <c r="E159" s="150" t="s">
        <v>748</v>
      </c>
    </row>
    <row r="160" spans="2:5">
      <c r="B160" s="148">
        <v>252</v>
      </c>
      <c r="D160" s="150" t="s">
        <v>163</v>
      </c>
      <c r="E160" s="150" t="s">
        <v>749</v>
      </c>
    </row>
    <row r="161" spans="2:5">
      <c r="B161" s="148">
        <v>253</v>
      </c>
      <c r="D161" s="150" t="s">
        <v>164</v>
      </c>
      <c r="E161" s="150" t="s">
        <v>750</v>
      </c>
    </row>
    <row r="162" spans="2:5">
      <c r="B162" s="148">
        <v>254</v>
      </c>
      <c r="D162" s="150" t="s">
        <v>459</v>
      </c>
      <c r="E162" s="150" t="s">
        <v>751</v>
      </c>
    </row>
    <row r="163" spans="2:5">
      <c r="B163" s="148">
        <v>255</v>
      </c>
      <c r="D163" s="150" t="s">
        <v>460</v>
      </c>
      <c r="E163" s="150" t="s">
        <v>752</v>
      </c>
    </row>
    <row r="164" spans="2:5">
      <c r="B164" s="148">
        <v>256</v>
      </c>
      <c r="D164" s="150" t="s">
        <v>461</v>
      </c>
      <c r="E164" s="150" t="s">
        <v>753</v>
      </c>
    </row>
    <row r="165" spans="2:5">
      <c r="B165" s="148">
        <v>257</v>
      </c>
      <c r="D165" s="150" t="s">
        <v>559</v>
      </c>
      <c r="E165" s="150" t="s">
        <v>754</v>
      </c>
    </row>
    <row r="166" spans="2:5">
      <c r="B166" s="148">
        <v>258</v>
      </c>
      <c r="D166" s="150" t="s">
        <v>165</v>
      </c>
      <c r="E166" s="150" t="s">
        <v>755</v>
      </c>
    </row>
    <row r="167" spans="2:5" ht="26.4">
      <c r="B167" s="148">
        <v>259</v>
      </c>
      <c r="D167" s="150" t="s">
        <v>166</v>
      </c>
      <c r="E167" s="150" t="s">
        <v>756</v>
      </c>
    </row>
    <row r="168" spans="2:5" ht="26.4">
      <c r="B168" s="148">
        <v>260</v>
      </c>
      <c r="D168" s="150" t="s">
        <v>167</v>
      </c>
      <c r="E168" s="150" t="s">
        <v>757</v>
      </c>
    </row>
    <row r="169" spans="2:5" ht="26.4">
      <c r="B169" s="148">
        <v>261</v>
      </c>
      <c r="D169" s="150" t="s">
        <v>168</v>
      </c>
      <c r="E169" s="150" t="s">
        <v>758</v>
      </c>
    </row>
    <row r="170" spans="2:5">
      <c r="B170" s="148">
        <v>262</v>
      </c>
      <c r="D170" s="150" t="s">
        <v>169</v>
      </c>
      <c r="E170" s="150" t="s">
        <v>759</v>
      </c>
    </row>
    <row r="171" spans="2:5">
      <c r="B171" s="148">
        <v>263</v>
      </c>
      <c r="D171" s="150" t="s">
        <v>170</v>
      </c>
      <c r="E171" s="150" t="s">
        <v>760</v>
      </c>
    </row>
    <row r="172" spans="2:5">
      <c r="B172" s="148">
        <v>264</v>
      </c>
      <c r="D172" s="150" t="s">
        <v>171</v>
      </c>
      <c r="E172" s="150" t="s">
        <v>761</v>
      </c>
    </row>
    <row r="173" spans="2:5">
      <c r="B173" s="148">
        <v>265</v>
      </c>
      <c r="D173" s="150" t="s">
        <v>172</v>
      </c>
      <c r="E173" s="150" t="s">
        <v>762</v>
      </c>
    </row>
    <row r="174" spans="2:5">
      <c r="B174" s="148">
        <v>266</v>
      </c>
      <c r="D174" s="150" t="s">
        <v>173</v>
      </c>
      <c r="E174" s="150" t="s">
        <v>763</v>
      </c>
    </row>
    <row r="175" spans="2:5" ht="26.4">
      <c r="B175" s="148">
        <v>267</v>
      </c>
      <c r="D175" s="150" t="s">
        <v>174</v>
      </c>
      <c r="E175" s="150" t="s">
        <v>764</v>
      </c>
    </row>
    <row r="176" spans="2:5">
      <c r="B176" s="148">
        <v>268</v>
      </c>
      <c r="D176" s="150" t="s">
        <v>175</v>
      </c>
      <c r="E176" s="150" t="s">
        <v>765</v>
      </c>
    </row>
    <row r="177" spans="2:5">
      <c r="B177" s="148">
        <v>269</v>
      </c>
      <c r="D177" s="150" t="s">
        <v>176</v>
      </c>
      <c r="E177" s="150" t="s">
        <v>766</v>
      </c>
    </row>
    <row r="178" spans="2:5">
      <c r="B178" s="148">
        <v>270</v>
      </c>
      <c r="D178" s="150" t="s">
        <v>177</v>
      </c>
      <c r="E178" s="150" t="s">
        <v>767</v>
      </c>
    </row>
    <row r="179" spans="2:5">
      <c r="B179" s="148">
        <v>271</v>
      </c>
      <c r="D179" s="150" t="s">
        <v>178</v>
      </c>
      <c r="E179" s="150" t="s">
        <v>768</v>
      </c>
    </row>
    <row r="180" spans="2:5">
      <c r="B180" s="148">
        <v>272</v>
      </c>
      <c r="D180" s="150" t="s">
        <v>179</v>
      </c>
      <c r="E180" s="150" t="s">
        <v>769</v>
      </c>
    </row>
    <row r="181" spans="2:5">
      <c r="B181" s="148">
        <v>273</v>
      </c>
      <c r="D181" s="150" t="s">
        <v>180</v>
      </c>
      <c r="E181" s="150" t="s">
        <v>770</v>
      </c>
    </row>
    <row r="182" spans="2:5">
      <c r="B182" s="148">
        <v>274</v>
      </c>
      <c r="D182" s="150" t="s">
        <v>462</v>
      </c>
      <c r="E182" s="150" t="s">
        <v>771</v>
      </c>
    </row>
    <row r="183" spans="2:5">
      <c r="B183" s="148">
        <v>275</v>
      </c>
      <c r="D183" s="150" t="s">
        <v>181</v>
      </c>
      <c r="E183" s="150" t="s">
        <v>772</v>
      </c>
    </row>
    <row r="184" spans="2:5">
      <c r="B184" s="148">
        <v>276</v>
      </c>
      <c r="D184" s="150" t="s">
        <v>463</v>
      </c>
      <c r="E184" s="150" t="s">
        <v>773</v>
      </c>
    </row>
    <row r="185" spans="2:5" ht="26.4">
      <c r="B185" s="148">
        <v>277</v>
      </c>
      <c r="D185" s="150" t="s">
        <v>182</v>
      </c>
    </row>
    <row r="186" spans="2:5">
      <c r="B186" s="148">
        <v>278</v>
      </c>
      <c r="D186" s="150" t="s">
        <v>183</v>
      </c>
      <c r="E186" s="150" t="s">
        <v>774</v>
      </c>
    </row>
    <row r="187" spans="2:5">
      <c r="B187" s="148">
        <v>279</v>
      </c>
      <c r="D187" s="150" t="s">
        <v>184</v>
      </c>
      <c r="E187" s="150" t="s">
        <v>775</v>
      </c>
    </row>
    <row r="188" spans="2:5">
      <c r="B188" s="148">
        <v>280</v>
      </c>
      <c r="D188" s="150" t="s">
        <v>185</v>
      </c>
      <c r="E188" s="150" t="s">
        <v>776</v>
      </c>
    </row>
    <row r="189" spans="2:5">
      <c r="B189" s="148">
        <v>281</v>
      </c>
      <c r="D189" s="150" t="s">
        <v>186</v>
      </c>
      <c r="E189" s="150" t="s">
        <v>777</v>
      </c>
    </row>
    <row r="190" spans="2:5">
      <c r="B190" s="148">
        <v>282</v>
      </c>
      <c r="D190" s="150" t="s">
        <v>464</v>
      </c>
      <c r="E190" s="150" t="s">
        <v>778</v>
      </c>
    </row>
    <row r="191" spans="2:5">
      <c r="B191" s="148">
        <v>283</v>
      </c>
      <c r="D191" s="150" t="s">
        <v>187</v>
      </c>
      <c r="E191" s="150" t="s">
        <v>779</v>
      </c>
    </row>
    <row r="192" spans="2:5">
      <c r="B192" s="148">
        <v>284</v>
      </c>
      <c r="D192" s="150" t="s">
        <v>188</v>
      </c>
      <c r="E192" s="150" t="s">
        <v>780</v>
      </c>
    </row>
    <row r="193" spans="2:5">
      <c r="B193" s="148">
        <v>285</v>
      </c>
      <c r="D193" s="150" t="s">
        <v>1</v>
      </c>
      <c r="E193" s="150" t="s">
        <v>1</v>
      </c>
    </row>
    <row r="194" spans="2:5">
      <c r="B194" s="148">
        <v>286</v>
      </c>
      <c r="D194" s="150" t="s">
        <v>1083</v>
      </c>
      <c r="E194" s="150" t="s">
        <v>1084</v>
      </c>
    </row>
    <row r="195" spans="2:5">
      <c r="B195" s="148">
        <v>287</v>
      </c>
      <c r="D195" s="150" t="s">
        <v>1067</v>
      </c>
      <c r="E195" s="150" t="s">
        <v>1068</v>
      </c>
    </row>
    <row r="196" spans="2:5">
      <c r="B196" s="148">
        <v>288</v>
      </c>
      <c r="D196" s="150" t="s">
        <v>2</v>
      </c>
      <c r="E196" s="150" t="s">
        <v>2</v>
      </c>
    </row>
    <row r="197" spans="2:5">
      <c r="B197" s="148">
        <v>289</v>
      </c>
      <c r="D197" s="150" t="s">
        <v>189</v>
      </c>
      <c r="E197" s="150" t="s">
        <v>190</v>
      </c>
    </row>
    <row r="198" spans="2:5">
      <c r="B198" s="148">
        <v>290</v>
      </c>
      <c r="D198" s="150" t="s">
        <v>191</v>
      </c>
      <c r="E198" s="150" t="s">
        <v>525</v>
      </c>
    </row>
    <row r="199" spans="2:5">
      <c r="B199" s="148">
        <v>291</v>
      </c>
      <c r="D199" s="150" t="s">
        <v>192</v>
      </c>
      <c r="E199" s="150" t="s">
        <v>781</v>
      </c>
    </row>
    <row r="200" spans="2:5">
      <c r="B200" s="148">
        <v>292</v>
      </c>
      <c r="D200" s="150" t="s">
        <v>193</v>
      </c>
      <c r="E200" s="150" t="s">
        <v>782</v>
      </c>
    </row>
    <row r="201" spans="2:5">
      <c r="B201" s="148">
        <v>293</v>
      </c>
      <c r="D201" s="150" t="s">
        <v>465</v>
      </c>
      <c r="E201" s="150" t="s">
        <v>783</v>
      </c>
    </row>
    <row r="202" spans="2:5">
      <c r="B202" s="148">
        <v>294</v>
      </c>
      <c r="D202" s="150" t="s">
        <v>466</v>
      </c>
      <c r="E202" s="150" t="s">
        <v>784</v>
      </c>
    </row>
    <row r="203" spans="2:5">
      <c r="B203" s="148">
        <v>295</v>
      </c>
      <c r="D203" s="150" t="s">
        <v>467</v>
      </c>
      <c r="E203" s="150" t="s">
        <v>783</v>
      </c>
    </row>
    <row r="204" spans="2:5">
      <c r="B204" s="148">
        <v>296</v>
      </c>
      <c r="D204" s="150" t="s">
        <v>194</v>
      </c>
      <c r="E204" s="150" t="s">
        <v>785</v>
      </c>
    </row>
    <row r="205" spans="2:5">
      <c r="B205" s="148">
        <v>297</v>
      </c>
      <c r="D205" s="150" t="s">
        <v>468</v>
      </c>
      <c r="E205" s="150" t="s">
        <v>786</v>
      </c>
    </row>
    <row r="206" spans="2:5">
      <c r="B206" s="148">
        <v>298</v>
      </c>
      <c r="D206" s="150" t="s">
        <v>195</v>
      </c>
      <c r="E206" s="150" t="s">
        <v>787</v>
      </c>
    </row>
    <row r="207" spans="2:5">
      <c r="B207" s="148">
        <v>299</v>
      </c>
      <c r="D207" s="150" t="s">
        <v>498</v>
      </c>
      <c r="E207" s="150" t="s">
        <v>788</v>
      </c>
    </row>
    <row r="208" spans="2:5">
      <c r="B208" s="148">
        <v>300</v>
      </c>
      <c r="D208" s="150" t="s">
        <v>499</v>
      </c>
      <c r="E208" s="150" t="s">
        <v>789</v>
      </c>
    </row>
    <row r="209" spans="2:5">
      <c r="B209" s="148">
        <v>301</v>
      </c>
      <c r="D209" s="150" t="s">
        <v>196</v>
      </c>
      <c r="E209" s="150" t="s">
        <v>790</v>
      </c>
    </row>
    <row r="210" spans="2:5">
      <c r="B210" s="148">
        <v>302</v>
      </c>
      <c r="D210" s="150" t="s">
        <v>469</v>
      </c>
      <c r="E210" s="150" t="s">
        <v>791</v>
      </c>
    </row>
    <row r="211" spans="2:5">
      <c r="B211" s="148">
        <v>303</v>
      </c>
      <c r="D211" s="150" t="s">
        <v>197</v>
      </c>
      <c r="E211" s="150" t="s">
        <v>792</v>
      </c>
    </row>
    <row r="212" spans="2:5">
      <c r="B212" s="148">
        <v>304</v>
      </c>
      <c r="D212" s="150" t="s">
        <v>198</v>
      </c>
      <c r="E212" s="150" t="s">
        <v>793</v>
      </c>
    </row>
    <row r="213" spans="2:5">
      <c r="B213" s="148">
        <v>305</v>
      </c>
      <c r="D213" s="150" t="s">
        <v>199</v>
      </c>
      <c r="E213" s="150" t="s">
        <v>540</v>
      </c>
    </row>
    <row r="214" spans="2:5" ht="26.4">
      <c r="B214" s="148">
        <v>306</v>
      </c>
      <c r="D214" s="150" t="s">
        <v>200</v>
      </c>
      <c r="E214" s="150" t="s">
        <v>794</v>
      </c>
    </row>
    <row r="215" spans="2:5" ht="26.4">
      <c r="B215" s="148">
        <v>307</v>
      </c>
      <c r="D215" s="150" t="s">
        <v>500</v>
      </c>
      <c r="E215" s="150" t="s">
        <v>795</v>
      </c>
    </row>
    <row r="216" spans="2:5">
      <c r="B216" s="148">
        <v>308</v>
      </c>
      <c r="D216" s="150" t="s">
        <v>501</v>
      </c>
      <c r="E216" s="150" t="s">
        <v>796</v>
      </c>
    </row>
    <row r="217" spans="2:5">
      <c r="B217" s="148">
        <v>309</v>
      </c>
      <c r="D217" s="150" t="s">
        <v>470</v>
      </c>
      <c r="E217" s="150" t="s">
        <v>797</v>
      </c>
    </row>
    <row r="218" spans="2:5">
      <c r="B218" s="148">
        <v>310</v>
      </c>
      <c r="D218" s="150" t="s">
        <v>201</v>
      </c>
      <c r="E218" s="150" t="s">
        <v>798</v>
      </c>
    </row>
    <row r="219" spans="2:5">
      <c r="B219" s="148">
        <v>311</v>
      </c>
      <c r="D219" s="150" t="s">
        <v>471</v>
      </c>
      <c r="E219" s="150" t="s">
        <v>799</v>
      </c>
    </row>
    <row r="220" spans="2:5">
      <c r="B220" s="148">
        <v>312</v>
      </c>
      <c r="D220" s="150" t="s">
        <v>472</v>
      </c>
      <c r="E220" s="150" t="s">
        <v>800</v>
      </c>
    </row>
    <row r="221" spans="2:5">
      <c r="B221" s="148">
        <v>313</v>
      </c>
      <c r="D221" s="150" t="s">
        <v>202</v>
      </c>
      <c r="E221" s="150" t="s">
        <v>801</v>
      </c>
    </row>
    <row r="222" spans="2:5">
      <c r="B222" s="148">
        <v>314</v>
      </c>
      <c r="D222" s="150" t="s">
        <v>203</v>
      </c>
      <c r="E222" s="150" t="s">
        <v>802</v>
      </c>
    </row>
    <row r="223" spans="2:5">
      <c r="B223" s="148">
        <v>315</v>
      </c>
      <c r="D223" s="150" t="s">
        <v>473</v>
      </c>
      <c r="E223" s="150" t="s">
        <v>803</v>
      </c>
    </row>
    <row r="224" spans="2:5">
      <c r="B224" s="148">
        <v>316</v>
      </c>
      <c r="D224" s="150" t="s">
        <v>1155</v>
      </c>
      <c r="E224" s="150" t="s">
        <v>1156</v>
      </c>
    </row>
    <row r="225" spans="2:5">
      <c r="B225" s="148">
        <v>317</v>
      </c>
      <c r="D225" s="150" t="s">
        <v>1112</v>
      </c>
      <c r="E225" s="150" t="s">
        <v>1114</v>
      </c>
    </row>
    <row r="226" spans="2:5" ht="26.4">
      <c r="B226" s="148">
        <v>318</v>
      </c>
      <c r="D226" s="150" t="s">
        <v>1113</v>
      </c>
      <c r="E226" s="150" t="s">
        <v>1115</v>
      </c>
    </row>
    <row r="227" spans="2:5">
      <c r="B227" s="148">
        <v>319</v>
      </c>
      <c r="D227" s="150" t="s">
        <v>204</v>
      </c>
      <c r="E227" s="150" t="s">
        <v>804</v>
      </c>
    </row>
    <row r="228" spans="2:5">
      <c r="B228" s="148">
        <v>320</v>
      </c>
      <c r="C228" s="149" t="s">
        <v>516</v>
      </c>
      <c r="D228" s="150" t="s">
        <v>526</v>
      </c>
      <c r="E228" s="150" t="s">
        <v>527</v>
      </c>
    </row>
    <row r="229" spans="2:5">
      <c r="B229" s="148">
        <v>321</v>
      </c>
      <c r="D229" s="150" t="s">
        <v>205</v>
      </c>
      <c r="E229" s="150" t="s">
        <v>805</v>
      </c>
    </row>
    <row r="230" spans="2:5">
      <c r="B230" s="148">
        <v>322</v>
      </c>
      <c r="D230" s="150" t="s">
        <v>206</v>
      </c>
      <c r="E230" s="150" t="s">
        <v>806</v>
      </c>
    </row>
    <row r="231" spans="2:5">
      <c r="B231" s="148">
        <v>323</v>
      </c>
      <c r="D231" s="150" t="s">
        <v>207</v>
      </c>
      <c r="E231" s="150" t="s">
        <v>807</v>
      </c>
    </row>
    <row r="232" spans="2:5">
      <c r="B232" s="148">
        <v>324</v>
      </c>
      <c r="D232" s="150" t="s">
        <v>208</v>
      </c>
      <c r="E232" s="150" t="s">
        <v>808</v>
      </c>
    </row>
    <row r="233" spans="2:5">
      <c r="B233" s="148">
        <v>325</v>
      </c>
      <c r="D233" s="150" t="s">
        <v>209</v>
      </c>
      <c r="E233" s="150" t="s">
        <v>809</v>
      </c>
    </row>
    <row r="234" spans="2:5">
      <c r="B234" s="148">
        <v>326</v>
      </c>
      <c r="D234" s="150" t="s">
        <v>1069</v>
      </c>
      <c r="E234" s="150" t="s">
        <v>1070</v>
      </c>
    </row>
    <row r="235" spans="2:5">
      <c r="B235" s="148">
        <v>327</v>
      </c>
      <c r="D235" s="150" t="s">
        <v>1073</v>
      </c>
      <c r="E235" s="150" t="s">
        <v>1074</v>
      </c>
    </row>
    <row r="236" spans="2:5">
      <c r="B236" s="148">
        <v>328</v>
      </c>
      <c r="D236" s="150" t="s">
        <v>1100</v>
      </c>
      <c r="E236" s="150" t="s">
        <v>1101</v>
      </c>
    </row>
    <row r="237" spans="2:5">
      <c r="B237" s="148">
        <v>329</v>
      </c>
      <c r="D237" s="150" t="s">
        <v>210</v>
      </c>
      <c r="E237" s="150" t="s">
        <v>810</v>
      </c>
    </row>
    <row r="238" spans="2:5" ht="39.6">
      <c r="B238" s="148">
        <v>330</v>
      </c>
      <c r="D238" s="150" t="s">
        <v>211</v>
      </c>
      <c r="E238" s="150" t="s">
        <v>811</v>
      </c>
    </row>
    <row r="239" spans="2:5">
      <c r="B239" s="148">
        <v>331</v>
      </c>
      <c r="D239" s="150" t="s">
        <v>212</v>
      </c>
      <c r="E239" s="150" t="s">
        <v>812</v>
      </c>
    </row>
    <row r="240" spans="2:5">
      <c r="B240" s="148">
        <v>332</v>
      </c>
      <c r="D240" s="150" t="s">
        <v>213</v>
      </c>
      <c r="E240" s="150" t="s">
        <v>813</v>
      </c>
    </row>
    <row r="241" spans="1:6">
      <c r="A241" s="152"/>
      <c r="B241" s="148">
        <v>333</v>
      </c>
      <c r="C241" s="153" t="s">
        <v>497</v>
      </c>
      <c r="D241" s="151" t="s">
        <v>528</v>
      </c>
      <c r="E241" s="151" t="s">
        <v>544</v>
      </c>
      <c r="F241" s="154"/>
    </row>
    <row r="242" spans="1:6">
      <c r="A242" s="152"/>
      <c r="B242" s="148">
        <v>334</v>
      </c>
      <c r="C242" s="153" t="s">
        <v>497</v>
      </c>
      <c r="D242" s="151" t="s">
        <v>529</v>
      </c>
      <c r="E242" s="151" t="s">
        <v>814</v>
      </c>
      <c r="F242" s="154"/>
    </row>
    <row r="243" spans="1:6">
      <c r="A243" s="152"/>
      <c r="B243" s="148">
        <v>335</v>
      </c>
      <c r="C243" s="153" t="s">
        <v>514</v>
      </c>
      <c r="D243" s="151" t="s">
        <v>530</v>
      </c>
      <c r="E243" s="151" t="s">
        <v>815</v>
      </c>
      <c r="F243" s="154"/>
    </row>
    <row r="244" spans="1:6">
      <c r="B244" s="148">
        <v>336</v>
      </c>
      <c r="D244" s="150" t="s">
        <v>214</v>
      </c>
      <c r="E244" s="150" t="s">
        <v>544</v>
      </c>
    </row>
    <row r="245" spans="1:6">
      <c r="B245" s="148">
        <v>337</v>
      </c>
      <c r="D245" s="150" t="s">
        <v>215</v>
      </c>
      <c r="E245" s="151" t="s">
        <v>816</v>
      </c>
    </row>
    <row r="246" spans="1:6">
      <c r="B246" s="148">
        <v>338</v>
      </c>
      <c r="D246" s="150" t="s">
        <v>216</v>
      </c>
      <c r="E246" s="150" t="s">
        <v>817</v>
      </c>
    </row>
    <row r="247" spans="1:6">
      <c r="B247" s="148">
        <v>339</v>
      </c>
      <c r="D247" s="150" t="s">
        <v>217</v>
      </c>
      <c r="E247" s="150" t="s">
        <v>818</v>
      </c>
    </row>
    <row r="248" spans="1:6">
      <c r="B248" s="148">
        <v>340</v>
      </c>
      <c r="D248" s="150" t="s">
        <v>218</v>
      </c>
      <c r="E248" s="150" t="s">
        <v>819</v>
      </c>
    </row>
    <row r="249" spans="1:6">
      <c r="B249" s="148">
        <v>341</v>
      </c>
      <c r="D249" s="150" t="s">
        <v>219</v>
      </c>
      <c r="E249" s="150" t="s">
        <v>820</v>
      </c>
    </row>
    <row r="250" spans="1:6">
      <c r="B250" s="148">
        <v>342</v>
      </c>
      <c r="D250" s="150" t="s">
        <v>220</v>
      </c>
      <c r="E250" s="150" t="s">
        <v>821</v>
      </c>
    </row>
    <row r="251" spans="1:6">
      <c r="B251" s="148">
        <v>343</v>
      </c>
      <c r="D251" s="150" t="s">
        <v>221</v>
      </c>
      <c r="E251" s="150" t="s">
        <v>822</v>
      </c>
    </row>
    <row r="252" spans="1:6">
      <c r="B252" s="148">
        <v>344</v>
      </c>
      <c r="D252" s="150" t="s">
        <v>222</v>
      </c>
      <c r="E252" s="150" t="s">
        <v>823</v>
      </c>
    </row>
    <row r="253" spans="1:6">
      <c r="B253" s="148">
        <v>345</v>
      </c>
      <c r="D253" s="150" t="s">
        <v>223</v>
      </c>
      <c r="E253" s="150" t="s">
        <v>824</v>
      </c>
    </row>
    <row r="254" spans="1:6">
      <c r="B254" s="148">
        <v>346</v>
      </c>
      <c r="D254" s="150" t="s">
        <v>224</v>
      </c>
      <c r="E254" s="150" t="s">
        <v>825</v>
      </c>
    </row>
    <row r="255" spans="1:6">
      <c r="B255" s="148">
        <v>347</v>
      </c>
      <c r="D255" s="150" t="s">
        <v>225</v>
      </c>
      <c r="E255" s="150" t="s">
        <v>826</v>
      </c>
    </row>
    <row r="256" spans="1:6">
      <c r="B256" s="148">
        <v>348</v>
      </c>
      <c r="D256" s="150" t="s">
        <v>226</v>
      </c>
      <c r="E256" s="150" t="s">
        <v>827</v>
      </c>
    </row>
    <row r="257" spans="2:5">
      <c r="B257" s="148">
        <v>349</v>
      </c>
      <c r="D257" s="150" t="s">
        <v>227</v>
      </c>
      <c r="E257" s="150" t="s">
        <v>828</v>
      </c>
    </row>
    <row r="258" spans="2:5">
      <c r="B258" s="148">
        <v>350</v>
      </c>
      <c r="D258" s="150" t="s">
        <v>228</v>
      </c>
      <c r="E258" s="150" t="s">
        <v>1054</v>
      </c>
    </row>
    <row r="259" spans="2:5">
      <c r="B259" s="148">
        <v>351</v>
      </c>
      <c r="D259" s="150" t="s">
        <v>229</v>
      </c>
      <c r="E259" s="150" t="s">
        <v>829</v>
      </c>
    </row>
    <row r="260" spans="2:5">
      <c r="B260" s="148">
        <v>352</v>
      </c>
      <c r="D260" s="150" t="s">
        <v>230</v>
      </c>
      <c r="E260" s="150" t="s">
        <v>830</v>
      </c>
    </row>
    <row r="261" spans="2:5">
      <c r="B261" s="148">
        <v>353</v>
      </c>
      <c r="D261" s="150" t="s">
        <v>231</v>
      </c>
      <c r="E261" s="150" t="s">
        <v>831</v>
      </c>
    </row>
    <row r="262" spans="2:5">
      <c r="B262" s="148">
        <v>354</v>
      </c>
      <c r="D262" s="150" t="s">
        <v>232</v>
      </c>
      <c r="E262" s="150" t="s">
        <v>1077</v>
      </c>
    </row>
    <row r="263" spans="2:5">
      <c r="B263" s="148">
        <v>355</v>
      </c>
      <c r="D263" s="150" t="s">
        <v>233</v>
      </c>
      <c r="E263" s="150" t="s">
        <v>1078</v>
      </c>
    </row>
    <row r="264" spans="2:5">
      <c r="B264" s="148">
        <v>356</v>
      </c>
      <c r="D264" s="150" t="s">
        <v>474</v>
      </c>
      <c r="E264" s="150" t="s">
        <v>474</v>
      </c>
    </row>
    <row r="265" spans="2:5">
      <c r="B265" s="148">
        <v>357</v>
      </c>
      <c r="D265" s="150" t="s">
        <v>234</v>
      </c>
      <c r="E265" s="150" t="s">
        <v>1055</v>
      </c>
    </row>
    <row r="266" spans="2:5" ht="26.4">
      <c r="B266" s="148">
        <v>358</v>
      </c>
      <c r="D266" s="150" t="s">
        <v>235</v>
      </c>
      <c r="E266" s="150" t="s">
        <v>832</v>
      </c>
    </row>
    <row r="267" spans="2:5">
      <c r="B267" s="148">
        <v>359</v>
      </c>
      <c r="D267" s="150" t="s">
        <v>236</v>
      </c>
      <c r="E267" s="150" t="s">
        <v>833</v>
      </c>
    </row>
    <row r="268" spans="2:5">
      <c r="B268" s="148">
        <v>360</v>
      </c>
      <c r="D268" s="150" t="s">
        <v>237</v>
      </c>
      <c r="E268" s="150" t="s">
        <v>834</v>
      </c>
    </row>
    <row r="269" spans="2:5">
      <c r="B269" s="148">
        <v>361</v>
      </c>
      <c r="D269" s="151" t="s">
        <v>531</v>
      </c>
      <c r="E269" s="150" t="s">
        <v>532</v>
      </c>
    </row>
    <row r="270" spans="2:5">
      <c r="B270" s="148">
        <v>362</v>
      </c>
      <c r="D270" s="150" t="s">
        <v>475</v>
      </c>
      <c r="E270" s="150" t="s">
        <v>835</v>
      </c>
    </row>
    <row r="271" spans="2:5">
      <c r="B271" s="148">
        <v>363</v>
      </c>
      <c r="D271" s="150" t="s">
        <v>238</v>
      </c>
      <c r="E271" s="150" t="s">
        <v>836</v>
      </c>
    </row>
    <row r="272" spans="2:5">
      <c r="B272" s="148">
        <v>364</v>
      </c>
      <c r="D272" s="150" t="s">
        <v>476</v>
      </c>
      <c r="E272" s="150" t="s">
        <v>1002</v>
      </c>
    </row>
    <row r="273" spans="2:5">
      <c r="B273" s="148">
        <v>365</v>
      </c>
      <c r="D273" s="150" t="s">
        <v>239</v>
      </c>
      <c r="E273" s="150" t="s">
        <v>837</v>
      </c>
    </row>
    <row r="274" spans="2:5">
      <c r="B274" s="148">
        <v>366</v>
      </c>
      <c r="D274" s="150" t="s">
        <v>240</v>
      </c>
      <c r="E274" s="150" t="s">
        <v>838</v>
      </c>
    </row>
    <row r="275" spans="2:5">
      <c r="B275" s="148">
        <v>367</v>
      </c>
      <c r="D275" s="150" t="s">
        <v>241</v>
      </c>
      <c r="E275" s="150" t="s">
        <v>595</v>
      </c>
    </row>
    <row r="276" spans="2:5">
      <c r="B276" s="148">
        <v>368</v>
      </c>
      <c r="D276" s="150" t="s">
        <v>242</v>
      </c>
      <c r="E276" s="150" t="s">
        <v>839</v>
      </c>
    </row>
    <row r="277" spans="2:5">
      <c r="B277" s="148">
        <v>369</v>
      </c>
      <c r="D277" s="150" t="s">
        <v>243</v>
      </c>
      <c r="E277" s="150" t="s">
        <v>840</v>
      </c>
    </row>
    <row r="278" spans="2:5">
      <c r="B278" s="148">
        <v>370</v>
      </c>
      <c r="D278" s="150" t="s">
        <v>244</v>
      </c>
    </row>
    <row r="279" spans="2:5">
      <c r="B279" s="148">
        <v>371</v>
      </c>
      <c r="D279" s="150" t="s">
        <v>477</v>
      </c>
      <c r="E279" s="150" t="s">
        <v>841</v>
      </c>
    </row>
    <row r="280" spans="2:5" ht="26.4">
      <c r="B280" s="148">
        <v>372</v>
      </c>
      <c r="D280" s="150" t="s">
        <v>478</v>
      </c>
      <c r="E280" s="150" t="s">
        <v>842</v>
      </c>
    </row>
    <row r="281" spans="2:5" ht="26.4">
      <c r="B281" s="148">
        <v>373</v>
      </c>
      <c r="D281" s="150" t="s">
        <v>245</v>
      </c>
      <c r="E281" s="150" t="s">
        <v>843</v>
      </c>
    </row>
    <row r="282" spans="2:5">
      <c r="B282" s="148">
        <v>374</v>
      </c>
      <c r="D282" s="150" t="s">
        <v>246</v>
      </c>
      <c r="E282" s="150" t="s">
        <v>844</v>
      </c>
    </row>
    <row r="283" spans="2:5">
      <c r="B283" s="148">
        <v>375</v>
      </c>
      <c r="D283" s="150" t="s">
        <v>247</v>
      </c>
      <c r="E283" s="150" t="s">
        <v>845</v>
      </c>
    </row>
    <row r="284" spans="2:5">
      <c r="B284" s="148">
        <v>376</v>
      </c>
      <c r="D284" s="150" t="s">
        <v>248</v>
      </c>
      <c r="E284" s="150" t="s">
        <v>846</v>
      </c>
    </row>
    <row r="285" spans="2:5">
      <c r="B285" s="148">
        <v>377</v>
      </c>
      <c r="D285" s="150" t="s">
        <v>249</v>
      </c>
      <c r="E285" s="150" t="s">
        <v>847</v>
      </c>
    </row>
    <row r="286" spans="2:5">
      <c r="B286" s="148">
        <v>378</v>
      </c>
      <c r="D286" s="150" t="s">
        <v>250</v>
      </c>
      <c r="E286" s="150" t="s">
        <v>848</v>
      </c>
    </row>
    <row r="287" spans="2:5">
      <c r="B287" s="148">
        <v>379</v>
      </c>
      <c r="D287" s="150" t="s">
        <v>251</v>
      </c>
      <c r="E287" s="150" t="s">
        <v>849</v>
      </c>
    </row>
    <row r="288" spans="2:5">
      <c r="B288" s="148">
        <v>380</v>
      </c>
      <c r="D288" s="150" t="s">
        <v>252</v>
      </c>
      <c r="E288" s="150" t="s">
        <v>850</v>
      </c>
    </row>
    <row r="289" spans="2:5">
      <c r="B289" s="148">
        <v>381</v>
      </c>
      <c r="D289" s="150" t="s">
        <v>253</v>
      </c>
      <c r="E289" s="150" t="s">
        <v>582</v>
      </c>
    </row>
    <row r="290" spans="2:5">
      <c r="B290" s="148">
        <v>382</v>
      </c>
      <c r="D290" s="150" t="s">
        <v>254</v>
      </c>
      <c r="E290" s="150" t="s">
        <v>851</v>
      </c>
    </row>
    <row r="291" spans="2:5">
      <c r="B291" s="148">
        <v>383</v>
      </c>
      <c r="D291" s="150" t="s">
        <v>255</v>
      </c>
      <c r="E291" s="150" t="s">
        <v>852</v>
      </c>
    </row>
    <row r="292" spans="2:5">
      <c r="B292" s="148">
        <v>384</v>
      </c>
      <c r="D292" s="150" t="s">
        <v>256</v>
      </c>
      <c r="E292" s="150" t="s">
        <v>853</v>
      </c>
    </row>
    <row r="293" spans="2:5">
      <c r="B293" s="148">
        <v>385</v>
      </c>
      <c r="D293" s="150" t="s">
        <v>257</v>
      </c>
      <c r="E293" s="150" t="s">
        <v>854</v>
      </c>
    </row>
    <row r="294" spans="2:5">
      <c r="B294" s="148">
        <v>386</v>
      </c>
      <c r="D294" s="150" t="s">
        <v>258</v>
      </c>
      <c r="E294" s="150" t="s">
        <v>855</v>
      </c>
    </row>
    <row r="295" spans="2:5">
      <c r="B295" s="148">
        <v>387</v>
      </c>
      <c r="D295" s="150" t="s">
        <v>259</v>
      </c>
      <c r="E295" s="150" t="s">
        <v>856</v>
      </c>
    </row>
    <row r="296" spans="2:5">
      <c r="B296" s="148">
        <v>388</v>
      </c>
      <c r="D296" s="150" t="s">
        <v>260</v>
      </c>
      <c r="E296" s="150" t="s">
        <v>590</v>
      </c>
    </row>
    <row r="297" spans="2:5">
      <c r="B297" s="148">
        <v>389</v>
      </c>
      <c r="D297" s="150" t="s">
        <v>261</v>
      </c>
      <c r="E297" s="150" t="s">
        <v>857</v>
      </c>
    </row>
    <row r="298" spans="2:5">
      <c r="B298" s="148">
        <v>390</v>
      </c>
      <c r="D298" s="150" t="s">
        <v>262</v>
      </c>
      <c r="E298" s="150" t="s">
        <v>858</v>
      </c>
    </row>
    <row r="299" spans="2:5" ht="39.6">
      <c r="B299" s="148">
        <v>391</v>
      </c>
      <c r="D299" s="150" t="s">
        <v>263</v>
      </c>
      <c r="E299" s="150" t="s">
        <v>859</v>
      </c>
    </row>
    <row r="300" spans="2:5">
      <c r="B300" s="148">
        <v>392</v>
      </c>
      <c r="D300" s="150" t="s">
        <v>264</v>
      </c>
      <c r="E300" s="150" t="s">
        <v>860</v>
      </c>
    </row>
    <row r="301" spans="2:5" ht="26.4">
      <c r="B301" s="148">
        <v>393</v>
      </c>
      <c r="D301" s="150" t="s">
        <v>265</v>
      </c>
      <c r="E301" s="150" t="s">
        <v>861</v>
      </c>
    </row>
    <row r="302" spans="2:5">
      <c r="B302" s="148">
        <v>394</v>
      </c>
      <c r="D302" s="150" t="s">
        <v>266</v>
      </c>
      <c r="E302" s="150" t="s">
        <v>862</v>
      </c>
    </row>
    <row r="303" spans="2:5" ht="26.4">
      <c r="B303" s="148">
        <v>395</v>
      </c>
      <c r="D303" s="150" t="s">
        <v>267</v>
      </c>
      <c r="E303" s="150" t="s">
        <v>863</v>
      </c>
    </row>
    <row r="304" spans="2:5" ht="26.4">
      <c r="B304" s="148">
        <v>396</v>
      </c>
      <c r="D304" s="150" t="s">
        <v>268</v>
      </c>
      <c r="E304" s="150" t="s">
        <v>864</v>
      </c>
    </row>
    <row r="305" spans="2:5" ht="26.4">
      <c r="B305" s="148">
        <v>397</v>
      </c>
      <c r="D305" s="150" t="s">
        <v>269</v>
      </c>
      <c r="E305" s="150" t="s">
        <v>865</v>
      </c>
    </row>
    <row r="306" spans="2:5" ht="26.4">
      <c r="B306" s="148">
        <v>398</v>
      </c>
      <c r="D306" s="150" t="s">
        <v>270</v>
      </c>
      <c r="E306" s="150" t="s">
        <v>866</v>
      </c>
    </row>
    <row r="307" spans="2:5" ht="26.4">
      <c r="B307" s="148">
        <v>399</v>
      </c>
      <c r="D307" s="150" t="s">
        <v>271</v>
      </c>
      <c r="E307" s="150" t="s">
        <v>867</v>
      </c>
    </row>
    <row r="308" spans="2:5" ht="26.4">
      <c r="B308" s="148">
        <v>400</v>
      </c>
      <c r="D308" s="150" t="s">
        <v>272</v>
      </c>
      <c r="E308" s="150" t="s">
        <v>868</v>
      </c>
    </row>
    <row r="309" spans="2:5" ht="26.4">
      <c r="B309" s="148">
        <v>401</v>
      </c>
      <c r="D309" s="150" t="s">
        <v>273</v>
      </c>
      <c r="E309" s="150" t="s">
        <v>869</v>
      </c>
    </row>
    <row r="310" spans="2:5" ht="26.4">
      <c r="B310" s="148">
        <v>402</v>
      </c>
      <c r="D310" s="150" t="s">
        <v>274</v>
      </c>
      <c r="E310" s="150" t="s">
        <v>870</v>
      </c>
    </row>
    <row r="311" spans="2:5" ht="26.4">
      <c r="B311" s="148">
        <v>403</v>
      </c>
      <c r="D311" s="150" t="s">
        <v>275</v>
      </c>
      <c r="E311" s="150" t="s">
        <v>871</v>
      </c>
    </row>
    <row r="312" spans="2:5" ht="26.4">
      <c r="B312" s="148">
        <v>404</v>
      </c>
      <c r="D312" s="150" t="s">
        <v>276</v>
      </c>
      <c r="E312" s="150" t="s">
        <v>872</v>
      </c>
    </row>
    <row r="313" spans="2:5" ht="26.4">
      <c r="B313" s="148">
        <v>405</v>
      </c>
      <c r="D313" s="150" t="s">
        <v>277</v>
      </c>
      <c r="E313" s="150" t="s">
        <v>873</v>
      </c>
    </row>
    <row r="314" spans="2:5" ht="26.4">
      <c r="B314" s="148">
        <v>406</v>
      </c>
      <c r="D314" s="150" t="s">
        <v>278</v>
      </c>
      <c r="E314" s="150" t="s">
        <v>874</v>
      </c>
    </row>
    <row r="315" spans="2:5" ht="26.4">
      <c r="B315" s="148">
        <v>407</v>
      </c>
      <c r="D315" s="150" t="s">
        <v>279</v>
      </c>
      <c r="E315" s="150" t="s">
        <v>875</v>
      </c>
    </row>
    <row r="316" spans="2:5" ht="26.4">
      <c r="B316" s="148">
        <v>408</v>
      </c>
      <c r="D316" s="150" t="s">
        <v>280</v>
      </c>
      <c r="E316" s="150" t="s">
        <v>876</v>
      </c>
    </row>
    <row r="317" spans="2:5" ht="26.4">
      <c r="B317" s="148">
        <v>409</v>
      </c>
      <c r="D317" s="150" t="s">
        <v>281</v>
      </c>
      <c r="E317" s="150" t="s">
        <v>877</v>
      </c>
    </row>
    <row r="318" spans="2:5" ht="26.4">
      <c r="B318" s="148">
        <v>410</v>
      </c>
      <c r="D318" s="150" t="s">
        <v>282</v>
      </c>
      <c r="E318" s="150" t="s">
        <v>878</v>
      </c>
    </row>
    <row r="319" spans="2:5" ht="26.4">
      <c r="B319" s="148">
        <v>411</v>
      </c>
      <c r="D319" s="150" t="s">
        <v>283</v>
      </c>
      <c r="E319" s="150" t="s">
        <v>879</v>
      </c>
    </row>
    <row r="320" spans="2:5" ht="26.4">
      <c r="B320" s="148">
        <v>412</v>
      </c>
      <c r="D320" s="150" t="s">
        <v>284</v>
      </c>
      <c r="E320" s="150" t="s">
        <v>880</v>
      </c>
    </row>
    <row r="321" spans="2:5" ht="26.4">
      <c r="B321" s="148">
        <v>413</v>
      </c>
      <c r="D321" s="150" t="s">
        <v>285</v>
      </c>
      <c r="E321" s="150" t="s">
        <v>881</v>
      </c>
    </row>
    <row r="322" spans="2:5">
      <c r="B322" s="148">
        <v>414</v>
      </c>
      <c r="D322" s="150" t="s">
        <v>479</v>
      </c>
      <c r="E322" s="150" t="s">
        <v>882</v>
      </c>
    </row>
    <row r="323" spans="2:5">
      <c r="B323" s="148">
        <v>415</v>
      </c>
      <c r="D323" s="150" t="s">
        <v>480</v>
      </c>
      <c r="E323" s="150" t="s">
        <v>882</v>
      </c>
    </row>
    <row r="324" spans="2:5">
      <c r="B324" s="148">
        <v>416</v>
      </c>
      <c r="D324" s="150" t="s">
        <v>286</v>
      </c>
      <c r="E324" s="150" t="s">
        <v>883</v>
      </c>
    </row>
    <row r="325" spans="2:5" ht="26.4">
      <c r="B325" s="148">
        <v>417</v>
      </c>
      <c r="D325" s="150" t="s">
        <v>287</v>
      </c>
      <c r="E325" s="150" t="s">
        <v>884</v>
      </c>
    </row>
    <row r="326" spans="2:5">
      <c r="B326" s="148">
        <v>418</v>
      </c>
      <c r="D326" s="150" t="s">
        <v>288</v>
      </c>
      <c r="E326" s="150" t="s">
        <v>885</v>
      </c>
    </row>
    <row r="327" spans="2:5" ht="26.4">
      <c r="B327" s="148">
        <v>419</v>
      </c>
      <c r="D327" s="150" t="s">
        <v>289</v>
      </c>
      <c r="E327" s="150" t="s">
        <v>886</v>
      </c>
    </row>
    <row r="328" spans="2:5">
      <c r="B328" s="148">
        <v>420</v>
      </c>
      <c r="D328" s="150" t="s">
        <v>481</v>
      </c>
      <c r="E328" s="150" t="s">
        <v>887</v>
      </c>
    </row>
    <row r="329" spans="2:5" ht="26.4">
      <c r="B329" s="148">
        <v>421</v>
      </c>
      <c r="D329" s="150" t="s">
        <v>482</v>
      </c>
      <c r="E329" s="150" t="s">
        <v>888</v>
      </c>
    </row>
    <row r="330" spans="2:5">
      <c r="B330" s="148">
        <v>422</v>
      </c>
      <c r="D330" s="150" t="s">
        <v>290</v>
      </c>
      <c r="E330" s="150" t="s">
        <v>889</v>
      </c>
    </row>
    <row r="331" spans="2:5" ht="26.4">
      <c r="B331" s="148">
        <v>423</v>
      </c>
      <c r="D331" s="150" t="s">
        <v>291</v>
      </c>
      <c r="E331" s="150" t="s">
        <v>890</v>
      </c>
    </row>
    <row r="332" spans="2:5">
      <c r="B332" s="148">
        <v>424</v>
      </c>
      <c r="D332" s="150" t="s">
        <v>292</v>
      </c>
      <c r="E332" s="150" t="s">
        <v>891</v>
      </c>
    </row>
    <row r="333" spans="2:5" ht="39.6">
      <c r="B333" s="148">
        <v>425</v>
      </c>
      <c r="D333" s="150" t="s">
        <v>293</v>
      </c>
      <c r="E333" s="150" t="s">
        <v>892</v>
      </c>
    </row>
    <row r="334" spans="2:5">
      <c r="B334" s="148">
        <v>426</v>
      </c>
      <c r="D334" s="150" t="s">
        <v>294</v>
      </c>
      <c r="E334" s="150" t="s">
        <v>893</v>
      </c>
    </row>
    <row r="335" spans="2:5" ht="26.4">
      <c r="B335" s="148">
        <v>427</v>
      </c>
      <c r="D335" s="150" t="s">
        <v>295</v>
      </c>
      <c r="E335" s="150" t="s">
        <v>894</v>
      </c>
    </row>
    <row r="336" spans="2:5" ht="26.4">
      <c r="B336" s="148">
        <v>428</v>
      </c>
      <c r="D336" s="150" t="s">
        <v>296</v>
      </c>
      <c r="E336" s="150" t="s">
        <v>895</v>
      </c>
    </row>
    <row r="337" spans="1:6" ht="26.4">
      <c r="B337" s="148">
        <v>429</v>
      </c>
      <c r="D337" s="150" t="s">
        <v>297</v>
      </c>
      <c r="E337" s="150" t="s">
        <v>896</v>
      </c>
    </row>
    <row r="338" spans="1:6">
      <c r="B338" s="148">
        <v>430</v>
      </c>
      <c r="D338" s="150" t="s">
        <v>298</v>
      </c>
      <c r="E338" s="150" t="s">
        <v>897</v>
      </c>
    </row>
    <row r="339" spans="1:6">
      <c r="B339" s="148">
        <v>431</v>
      </c>
      <c r="D339" s="150" t="s">
        <v>299</v>
      </c>
      <c r="E339" s="150" t="s">
        <v>898</v>
      </c>
    </row>
    <row r="340" spans="1:6">
      <c r="B340" s="148">
        <v>432</v>
      </c>
      <c r="D340" s="150" t="s">
        <v>300</v>
      </c>
      <c r="E340" s="150" t="s">
        <v>899</v>
      </c>
    </row>
    <row r="341" spans="1:6">
      <c r="B341" s="148">
        <v>433</v>
      </c>
      <c r="D341" s="150" t="s">
        <v>301</v>
      </c>
      <c r="E341" s="150" t="s">
        <v>900</v>
      </c>
    </row>
    <row r="342" spans="1:6">
      <c r="B342" s="148">
        <v>434</v>
      </c>
      <c r="D342" s="150" t="s">
        <v>302</v>
      </c>
      <c r="E342" s="150" t="s">
        <v>901</v>
      </c>
    </row>
    <row r="343" spans="1:6">
      <c r="B343" s="148">
        <v>435</v>
      </c>
      <c r="D343" s="150" t="s">
        <v>303</v>
      </c>
      <c r="E343" s="150" t="s">
        <v>902</v>
      </c>
    </row>
    <row r="344" spans="1:6">
      <c r="B344" s="148">
        <v>436</v>
      </c>
      <c r="D344" s="150" t="s">
        <v>483</v>
      </c>
      <c r="E344" s="150" t="s">
        <v>903</v>
      </c>
    </row>
    <row r="345" spans="1:6" ht="39.6">
      <c r="A345" s="151"/>
      <c r="B345" s="148">
        <v>437</v>
      </c>
      <c r="C345" s="158" t="s">
        <v>516</v>
      </c>
      <c r="D345" s="151" t="s">
        <v>533</v>
      </c>
      <c r="E345" s="151" t="s">
        <v>904</v>
      </c>
      <c r="F345" s="154"/>
    </row>
    <row r="346" spans="1:6" ht="39.6">
      <c r="B346" s="148">
        <v>438</v>
      </c>
      <c r="D346" s="150" t="s">
        <v>304</v>
      </c>
      <c r="E346" s="150" t="s">
        <v>905</v>
      </c>
    </row>
    <row r="347" spans="1:6">
      <c r="B347" s="148">
        <v>439</v>
      </c>
      <c r="D347" s="150" t="s">
        <v>305</v>
      </c>
      <c r="E347" s="150" t="s">
        <v>906</v>
      </c>
    </row>
    <row r="348" spans="1:6">
      <c r="B348" s="148">
        <v>440</v>
      </c>
      <c r="D348" s="150" t="s">
        <v>306</v>
      </c>
      <c r="E348" s="150" t="s">
        <v>907</v>
      </c>
    </row>
    <row r="349" spans="1:6">
      <c r="B349" s="148">
        <v>441</v>
      </c>
      <c r="D349" s="150" t="s">
        <v>307</v>
      </c>
      <c r="E349" s="150" t="s">
        <v>908</v>
      </c>
    </row>
    <row r="350" spans="1:6" ht="26.4">
      <c r="B350" s="148">
        <v>442</v>
      </c>
      <c r="D350" s="150" t="s">
        <v>1026</v>
      </c>
      <c r="E350" s="150" t="s">
        <v>1027</v>
      </c>
    </row>
    <row r="351" spans="1:6">
      <c r="B351" s="148">
        <v>443</v>
      </c>
      <c r="D351" s="150" t="s">
        <v>308</v>
      </c>
      <c r="E351" s="150" t="s">
        <v>909</v>
      </c>
    </row>
    <row r="352" spans="1:6">
      <c r="B352" s="148">
        <v>444</v>
      </c>
      <c r="D352" s="150" t="s">
        <v>309</v>
      </c>
      <c r="E352" s="150" t="s">
        <v>910</v>
      </c>
    </row>
    <row r="353" spans="2:5">
      <c r="B353" s="148">
        <v>445</v>
      </c>
      <c r="D353" s="150" t="s">
        <v>310</v>
      </c>
      <c r="E353" s="150" t="s">
        <v>911</v>
      </c>
    </row>
    <row r="354" spans="2:5">
      <c r="B354" s="148">
        <v>446</v>
      </c>
      <c r="D354" s="150" t="s">
        <v>311</v>
      </c>
      <c r="E354" s="150" t="s">
        <v>912</v>
      </c>
    </row>
    <row r="355" spans="2:5">
      <c r="B355" s="148">
        <v>447</v>
      </c>
      <c r="D355" s="150" t="s">
        <v>484</v>
      </c>
      <c r="E355" s="150" t="s">
        <v>913</v>
      </c>
    </row>
    <row r="356" spans="2:5">
      <c r="B356" s="148">
        <v>448</v>
      </c>
      <c r="D356" s="150" t="s">
        <v>312</v>
      </c>
      <c r="E356" s="150" t="s">
        <v>914</v>
      </c>
    </row>
    <row r="357" spans="2:5">
      <c r="B357" s="148">
        <v>449</v>
      </c>
      <c r="D357" s="150" t="s">
        <v>485</v>
      </c>
      <c r="E357" s="150" t="s">
        <v>915</v>
      </c>
    </row>
    <row r="358" spans="2:5" ht="26.4">
      <c r="B358" s="148">
        <v>450</v>
      </c>
      <c r="D358" s="150" t="s">
        <v>313</v>
      </c>
      <c r="E358" s="150" t="s">
        <v>916</v>
      </c>
    </row>
    <row r="359" spans="2:5">
      <c r="B359" s="148">
        <v>451</v>
      </c>
      <c r="D359" s="150" t="s">
        <v>314</v>
      </c>
      <c r="E359" s="150" t="s">
        <v>917</v>
      </c>
    </row>
    <row r="360" spans="2:5">
      <c r="B360" s="148">
        <v>452</v>
      </c>
      <c r="D360" s="150" t="s">
        <v>315</v>
      </c>
      <c r="E360" s="150" t="s">
        <v>918</v>
      </c>
    </row>
    <row r="361" spans="2:5">
      <c r="B361" s="148">
        <v>453</v>
      </c>
      <c r="D361" s="150" t="s">
        <v>316</v>
      </c>
      <c r="E361" s="150" t="s">
        <v>919</v>
      </c>
    </row>
    <row r="362" spans="2:5" ht="39.6">
      <c r="B362" s="148">
        <v>454</v>
      </c>
      <c r="D362" s="150" t="s">
        <v>383</v>
      </c>
      <c r="E362" s="150" t="s">
        <v>920</v>
      </c>
    </row>
    <row r="363" spans="2:5">
      <c r="B363" s="148">
        <v>455</v>
      </c>
      <c r="D363" s="150" t="s">
        <v>317</v>
      </c>
      <c r="E363" s="150" t="s">
        <v>921</v>
      </c>
    </row>
    <row r="364" spans="2:5">
      <c r="B364" s="148">
        <v>456</v>
      </c>
      <c r="D364" s="150" t="s">
        <v>318</v>
      </c>
      <c r="E364" s="150" t="s">
        <v>922</v>
      </c>
    </row>
    <row r="365" spans="2:5">
      <c r="B365" s="148">
        <v>457</v>
      </c>
      <c r="D365" s="150" t="s">
        <v>319</v>
      </c>
      <c r="E365" s="150" t="s">
        <v>923</v>
      </c>
    </row>
    <row r="366" spans="2:5">
      <c r="B366" s="148">
        <v>458</v>
      </c>
      <c r="D366" s="150" t="s">
        <v>320</v>
      </c>
      <c r="E366" s="150" t="s">
        <v>924</v>
      </c>
    </row>
    <row r="367" spans="2:5">
      <c r="B367" s="148">
        <v>459</v>
      </c>
      <c r="D367" s="150" t="s">
        <v>321</v>
      </c>
      <c r="E367" s="150" t="s">
        <v>925</v>
      </c>
    </row>
    <row r="368" spans="2:5" ht="26.4">
      <c r="B368" s="148">
        <v>460</v>
      </c>
      <c r="D368" s="150" t="s">
        <v>322</v>
      </c>
      <c r="E368" s="150" t="s">
        <v>926</v>
      </c>
    </row>
    <row r="369" spans="1:6">
      <c r="B369" s="148">
        <v>461</v>
      </c>
      <c r="D369" s="150" t="s">
        <v>323</v>
      </c>
      <c r="E369" s="150" t="s">
        <v>927</v>
      </c>
    </row>
    <row r="370" spans="1:6">
      <c r="B370" s="148">
        <v>462</v>
      </c>
      <c r="D370" s="150" t="s">
        <v>324</v>
      </c>
      <c r="E370" s="150" t="s">
        <v>928</v>
      </c>
    </row>
    <row r="371" spans="1:6">
      <c r="B371" s="148">
        <v>463</v>
      </c>
      <c r="D371" s="150" t="s">
        <v>325</v>
      </c>
      <c r="E371" s="150" t="s">
        <v>929</v>
      </c>
    </row>
    <row r="372" spans="1:6" ht="26.4">
      <c r="B372" s="148">
        <v>464</v>
      </c>
      <c r="D372" s="150" t="s">
        <v>486</v>
      </c>
      <c r="E372" s="150" t="s">
        <v>930</v>
      </c>
    </row>
    <row r="373" spans="1:6">
      <c r="B373" s="148">
        <v>465</v>
      </c>
      <c r="D373" s="150" t="s">
        <v>326</v>
      </c>
      <c r="E373" s="150" t="s">
        <v>931</v>
      </c>
    </row>
    <row r="374" spans="1:6">
      <c r="B374" s="148">
        <v>466</v>
      </c>
      <c r="D374" s="150" t="s">
        <v>327</v>
      </c>
      <c r="E374" s="150" t="s">
        <v>932</v>
      </c>
    </row>
    <row r="375" spans="1:6">
      <c r="B375" s="148">
        <v>467</v>
      </c>
      <c r="D375" s="150" t="s">
        <v>328</v>
      </c>
      <c r="E375" s="150" t="s">
        <v>933</v>
      </c>
    </row>
    <row r="376" spans="1:6">
      <c r="B376" s="148">
        <v>468</v>
      </c>
      <c r="D376" s="150" t="s">
        <v>487</v>
      </c>
      <c r="E376" s="150" t="s">
        <v>934</v>
      </c>
    </row>
    <row r="377" spans="1:6" ht="26.4">
      <c r="B377" s="148">
        <v>469</v>
      </c>
      <c r="D377" s="150" t="s">
        <v>488</v>
      </c>
      <c r="E377" s="150" t="s">
        <v>935</v>
      </c>
    </row>
    <row r="378" spans="1:6">
      <c r="B378" s="148">
        <v>470</v>
      </c>
      <c r="D378" s="150" t="s">
        <v>329</v>
      </c>
      <c r="E378" s="150" t="s">
        <v>936</v>
      </c>
    </row>
    <row r="379" spans="1:6">
      <c r="B379" s="148">
        <v>471</v>
      </c>
      <c r="D379" s="150" t="s">
        <v>330</v>
      </c>
      <c r="E379" s="150" t="s">
        <v>937</v>
      </c>
    </row>
    <row r="380" spans="1:6">
      <c r="B380" s="148">
        <v>472</v>
      </c>
      <c r="D380" s="150" t="s">
        <v>331</v>
      </c>
      <c r="E380" s="150" t="s">
        <v>938</v>
      </c>
    </row>
    <row r="381" spans="1:6" ht="39.6">
      <c r="B381" s="148">
        <v>473</v>
      </c>
      <c r="D381" s="150" t="s">
        <v>332</v>
      </c>
      <c r="E381" s="150" t="s">
        <v>939</v>
      </c>
    </row>
    <row r="382" spans="1:6">
      <c r="B382" s="148">
        <v>474</v>
      </c>
      <c r="D382" s="150" t="s">
        <v>333</v>
      </c>
      <c r="E382" s="150" t="s">
        <v>940</v>
      </c>
    </row>
    <row r="383" spans="1:6">
      <c r="A383" s="152"/>
      <c r="B383" s="148">
        <v>475</v>
      </c>
      <c r="C383" s="153" t="s">
        <v>497</v>
      </c>
      <c r="D383" s="151" t="s">
        <v>503</v>
      </c>
      <c r="E383" s="151" t="s">
        <v>941</v>
      </c>
      <c r="F383" s="154"/>
    </row>
    <row r="384" spans="1:6">
      <c r="A384" s="152"/>
      <c r="B384" s="148">
        <v>476</v>
      </c>
      <c r="C384" s="153" t="s">
        <v>497</v>
      </c>
      <c r="D384" s="151" t="s">
        <v>534</v>
      </c>
      <c r="E384" s="151" t="s">
        <v>942</v>
      </c>
      <c r="F384" s="154"/>
    </row>
    <row r="385" spans="2:5">
      <c r="B385" s="148">
        <v>477</v>
      </c>
      <c r="D385" s="150" t="s">
        <v>334</v>
      </c>
      <c r="E385" s="151" t="s">
        <v>943</v>
      </c>
    </row>
    <row r="386" spans="2:5">
      <c r="B386" s="148">
        <v>478</v>
      </c>
      <c r="D386" s="150" t="s">
        <v>335</v>
      </c>
      <c r="E386" s="150" t="s">
        <v>944</v>
      </c>
    </row>
    <row r="387" spans="2:5">
      <c r="B387" s="148">
        <v>479</v>
      </c>
      <c r="D387" s="150" t="s">
        <v>336</v>
      </c>
      <c r="E387" s="150" t="s">
        <v>945</v>
      </c>
    </row>
    <row r="388" spans="2:5" ht="26.4">
      <c r="B388" s="148">
        <v>480</v>
      </c>
      <c r="D388" s="150" t="s">
        <v>337</v>
      </c>
      <c r="E388" s="150" t="s">
        <v>946</v>
      </c>
    </row>
    <row r="389" spans="2:5">
      <c r="B389" s="148">
        <v>481</v>
      </c>
      <c r="D389" s="150" t="s">
        <v>338</v>
      </c>
      <c r="E389" s="150" t="s">
        <v>947</v>
      </c>
    </row>
    <row r="390" spans="2:5" ht="26.4">
      <c r="B390" s="148">
        <v>482</v>
      </c>
      <c r="D390" s="150" t="s">
        <v>339</v>
      </c>
      <c r="E390" s="150" t="s">
        <v>948</v>
      </c>
    </row>
    <row r="391" spans="2:5">
      <c r="B391" s="148">
        <v>483</v>
      </c>
      <c r="D391" s="150" t="s">
        <v>340</v>
      </c>
      <c r="E391" s="150" t="s">
        <v>1053</v>
      </c>
    </row>
    <row r="392" spans="2:5">
      <c r="B392" s="148">
        <v>484</v>
      </c>
      <c r="D392" s="150" t="s">
        <v>341</v>
      </c>
      <c r="E392" s="150" t="s">
        <v>949</v>
      </c>
    </row>
    <row r="393" spans="2:5">
      <c r="B393" s="148">
        <v>485</v>
      </c>
      <c r="D393" s="150" t="s">
        <v>342</v>
      </c>
      <c r="E393" s="150" t="s">
        <v>950</v>
      </c>
    </row>
    <row r="394" spans="2:5">
      <c r="B394" s="148">
        <v>486</v>
      </c>
      <c r="D394" s="150" t="s">
        <v>343</v>
      </c>
      <c r="E394" s="150" t="s">
        <v>951</v>
      </c>
    </row>
    <row r="395" spans="2:5">
      <c r="B395" s="148">
        <v>487</v>
      </c>
      <c r="D395" s="150" t="s">
        <v>344</v>
      </c>
      <c r="E395" s="150" t="s">
        <v>952</v>
      </c>
    </row>
    <row r="396" spans="2:5">
      <c r="B396" s="148">
        <v>488</v>
      </c>
      <c r="D396" s="150" t="s">
        <v>345</v>
      </c>
      <c r="E396" s="150" t="s">
        <v>953</v>
      </c>
    </row>
    <row r="397" spans="2:5">
      <c r="B397" s="148">
        <v>489</v>
      </c>
      <c r="D397" s="150" t="s">
        <v>346</v>
      </c>
      <c r="E397" s="150" t="s">
        <v>346</v>
      </c>
    </row>
    <row r="398" spans="2:5">
      <c r="B398" s="148">
        <v>490</v>
      </c>
      <c r="D398" s="150" t="s">
        <v>489</v>
      </c>
      <c r="E398" s="150" t="s">
        <v>954</v>
      </c>
    </row>
    <row r="399" spans="2:5">
      <c r="B399" s="148">
        <v>491</v>
      </c>
      <c r="D399" s="150" t="s">
        <v>347</v>
      </c>
      <c r="E399" s="150" t="s">
        <v>955</v>
      </c>
    </row>
    <row r="400" spans="2:5">
      <c r="B400" s="148">
        <v>492</v>
      </c>
      <c r="D400" s="150" t="s">
        <v>348</v>
      </c>
      <c r="E400" s="150" t="s">
        <v>348</v>
      </c>
    </row>
    <row r="401" spans="2:5">
      <c r="B401" s="148">
        <v>493</v>
      </c>
      <c r="D401" s="150" t="s">
        <v>490</v>
      </c>
    </row>
    <row r="402" spans="2:5">
      <c r="B402" s="148">
        <v>494</v>
      </c>
      <c r="D402" s="150" t="s">
        <v>349</v>
      </c>
      <c r="E402" s="150" t="s">
        <v>956</v>
      </c>
    </row>
    <row r="403" spans="2:5">
      <c r="B403" s="148">
        <v>495</v>
      </c>
      <c r="D403" s="150" t="s">
        <v>491</v>
      </c>
      <c r="E403" s="150" t="s">
        <v>957</v>
      </c>
    </row>
    <row r="404" spans="2:5">
      <c r="B404" s="148">
        <v>496</v>
      </c>
      <c r="D404" s="150" t="s">
        <v>492</v>
      </c>
      <c r="E404" s="150" t="s">
        <v>958</v>
      </c>
    </row>
    <row r="405" spans="2:5">
      <c r="B405" s="148">
        <v>497</v>
      </c>
      <c r="D405" s="150" t="s">
        <v>493</v>
      </c>
      <c r="E405" s="150" t="s">
        <v>957</v>
      </c>
    </row>
    <row r="406" spans="2:5">
      <c r="B406" s="148">
        <v>498</v>
      </c>
      <c r="D406" s="150" t="s">
        <v>350</v>
      </c>
      <c r="E406" s="150" t="s">
        <v>541</v>
      </c>
    </row>
    <row r="407" spans="2:5">
      <c r="B407" s="148">
        <v>499</v>
      </c>
      <c r="D407" s="150" t="s">
        <v>351</v>
      </c>
      <c r="E407" s="150" t="s">
        <v>959</v>
      </c>
    </row>
    <row r="408" spans="2:5">
      <c r="B408" s="148">
        <v>500</v>
      </c>
      <c r="D408" s="150" t="s">
        <v>352</v>
      </c>
      <c r="E408" s="150" t="s">
        <v>960</v>
      </c>
    </row>
    <row r="409" spans="2:5">
      <c r="B409" s="148">
        <v>501</v>
      </c>
      <c r="D409" s="150" t="s">
        <v>353</v>
      </c>
      <c r="E409" s="150" t="s">
        <v>961</v>
      </c>
    </row>
    <row r="410" spans="2:5">
      <c r="B410" s="148">
        <v>502</v>
      </c>
      <c r="D410" s="150" t="s">
        <v>354</v>
      </c>
    </row>
    <row r="411" spans="2:5">
      <c r="B411" s="148">
        <v>503</v>
      </c>
      <c r="D411" s="150" t="s">
        <v>355</v>
      </c>
    </row>
    <row r="412" spans="2:5">
      <c r="B412" s="148">
        <v>504</v>
      </c>
      <c r="D412" s="150" t="s">
        <v>356</v>
      </c>
      <c r="E412" s="150" t="s">
        <v>962</v>
      </c>
    </row>
    <row r="413" spans="2:5">
      <c r="B413" s="148">
        <v>505</v>
      </c>
      <c r="D413" s="150" t="s">
        <v>494</v>
      </c>
      <c r="E413" s="150" t="s">
        <v>963</v>
      </c>
    </row>
    <row r="414" spans="2:5">
      <c r="B414" s="148">
        <v>506</v>
      </c>
      <c r="D414" s="150" t="s">
        <v>357</v>
      </c>
      <c r="E414" s="150" t="s">
        <v>964</v>
      </c>
    </row>
    <row r="415" spans="2:5">
      <c r="B415" s="148">
        <v>507</v>
      </c>
      <c r="D415" s="150" t="s">
        <v>420</v>
      </c>
      <c r="E415" s="150" t="s">
        <v>965</v>
      </c>
    </row>
    <row r="416" spans="2:5">
      <c r="B416" s="148">
        <v>508</v>
      </c>
      <c r="D416" s="150" t="s">
        <v>358</v>
      </c>
      <c r="E416" s="150" t="s">
        <v>964</v>
      </c>
    </row>
    <row r="417" spans="1:6" ht="26.4">
      <c r="A417" s="151"/>
      <c r="B417" s="148">
        <v>509</v>
      </c>
      <c r="C417" s="151"/>
      <c r="D417" s="151" t="s">
        <v>535</v>
      </c>
      <c r="E417" s="151" t="s">
        <v>966</v>
      </c>
      <c r="F417" s="154"/>
    </row>
    <row r="418" spans="1:6">
      <c r="B418" s="148">
        <v>510</v>
      </c>
      <c r="D418" s="150" t="s">
        <v>359</v>
      </c>
      <c r="E418" s="150" t="s">
        <v>359</v>
      </c>
    </row>
    <row r="419" spans="1:6">
      <c r="B419" s="148">
        <v>511</v>
      </c>
      <c r="D419" s="150" t="s">
        <v>360</v>
      </c>
      <c r="E419" s="150" t="s">
        <v>967</v>
      </c>
    </row>
    <row r="420" spans="1:6">
      <c r="B420" s="148">
        <v>512</v>
      </c>
      <c r="D420" s="150" t="s">
        <v>361</v>
      </c>
      <c r="E420" s="150" t="s">
        <v>968</v>
      </c>
    </row>
    <row r="421" spans="1:6">
      <c r="B421" s="148">
        <v>513</v>
      </c>
      <c r="D421" s="150" t="s">
        <v>495</v>
      </c>
      <c r="E421" s="150" t="s">
        <v>969</v>
      </c>
    </row>
    <row r="422" spans="1:6">
      <c r="B422" s="148">
        <v>514</v>
      </c>
      <c r="D422" s="150" t="s">
        <v>362</v>
      </c>
      <c r="E422" s="150" t="s">
        <v>970</v>
      </c>
    </row>
    <row r="423" spans="1:6">
      <c r="B423" s="148">
        <v>515</v>
      </c>
      <c r="D423" s="150" t="s">
        <v>363</v>
      </c>
      <c r="E423" s="150" t="s">
        <v>971</v>
      </c>
    </row>
    <row r="424" spans="1:6">
      <c r="B424" s="148">
        <v>516</v>
      </c>
      <c r="D424" s="150" t="s">
        <v>364</v>
      </c>
      <c r="E424" s="150" t="s">
        <v>972</v>
      </c>
    </row>
    <row r="425" spans="1:6">
      <c r="B425" s="148">
        <v>517</v>
      </c>
      <c r="D425" s="150" t="s">
        <v>496</v>
      </c>
      <c r="E425" s="150" t="s">
        <v>973</v>
      </c>
    </row>
    <row r="426" spans="1:6" ht="26.4">
      <c r="B426" s="148">
        <v>518</v>
      </c>
      <c r="D426" s="150" t="s">
        <v>365</v>
      </c>
      <c r="E426" s="150" t="s">
        <v>974</v>
      </c>
    </row>
    <row r="427" spans="1:6">
      <c r="B427" s="148">
        <v>519</v>
      </c>
      <c r="D427" s="150" t="s">
        <v>366</v>
      </c>
      <c r="E427" s="150" t="s">
        <v>972</v>
      </c>
    </row>
    <row r="428" spans="1:6">
      <c r="B428" s="148">
        <v>520</v>
      </c>
      <c r="D428" s="150" t="s">
        <v>367</v>
      </c>
      <c r="E428" s="150" t="s">
        <v>975</v>
      </c>
    </row>
    <row r="429" spans="1:6">
      <c r="B429" s="148">
        <v>521</v>
      </c>
      <c r="D429" s="150" t="s">
        <v>368</v>
      </c>
      <c r="E429" s="150" t="s">
        <v>976</v>
      </c>
    </row>
    <row r="430" spans="1:6">
      <c r="B430" s="148">
        <v>522</v>
      </c>
      <c r="D430" s="150" t="s">
        <v>369</v>
      </c>
      <c r="E430" s="150" t="s">
        <v>977</v>
      </c>
    </row>
    <row r="431" spans="1:6" s="151" customFormat="1">
      <c r="A431" s="147"/>
      <c r="B431" s="148">
        <v>523</v>
      </c>
      <c r="C431" s="149"/>
      <c r="D431" s="150" t="s">
        <v>370</v>
      </c>
      <c r="E431" s="150" t="s">
        <v>978</v>
      </c>
      <c r="F431" s="147"/>
    </row>
    <row r="432" spans="1:6" s="151" customFormat="1">
      <c r="A432" s="147"/>
      <c r="B432" s="148">
        <v>524</v>
      </c>
      <c r="C432" s="149"/>
      <c r="D432" s="150" t="s">
        <v>371</v>
      </c>
      <c r="E432" s="150" t="s">
        <v>979</v>
      </c>
      <c r="F432" s="147"/>
    </row>
    <row r="433" spans="1:6" s="152" customFormat="1">
      <c r="A433" s="147"/>
      <c r="B433" s="148">
        <v>525</v>
      </c>
      <c r="C433" s="149"/>
      <c r="D433" s="150" t="s">
        <v>372</v>
      </c>
      <c r="E433" s="150" t="s">
        <v>971</v>
      </c>
      <c r="F433" s="147"/>
    </row>
    <row r="434" spans="1:6" s="152" customFormat="1" ht="26.4">
      <c r="A434" s="147"/>
      <c r="B434" s="148">
        <v>526</v>
      </c>
      <c r="C434" s="149"/>
      <c r="D434" s="150" t="s">
        <v>373</v>
      </c>
      <c r="E434" s="150" t="s">
        <v>980</v>
      </c>
      <c r="F434" s="147"/>
    </row>
    <row r="435" spans="1:6" s="152" customFormat="1" ht="26.4">
      <c r="A435" s="147"/>
      <c r="B435" s="148">
        <v>527</v>
      </c>
      <c r="C435" s="149"/>
      <c r="D435" s="150" t="s">
        <v>374</v>
      </c>
      <c r="E435" s="150" t="s">
        <v>981</v>
      </c>
      <c r="F435" s="147"/>
    </row>
    <row r="436" spans="1:6" s="152" customFormat="1">
      <c r="A436" s="147"/>
      <c r="B436" s="148">
        <v>528</v>
      </c>
      <c r="C436" s="149"/>
      <c r="D436" s="150" t="s">
        <v>375</v>
      </c>
      <c r="E436" s="150" t="s">
        <v>982</v>
      </c>
      <c r="F436" s="147"/>
    </row>
    <row r="437" spans="1:6" s="152" customFormat="1" ht="26.4">
      <c r="A437" s="147"/>
      <c r="B437" s="148">
        <v>529</v>
      </c>
      <c r="C437" s="149"/>
      <c r="D437" s="150" t="s">
        <v>376</v>
      </c>
      <c r="E437" s="150" t="s">
        <v>983</v>
      </c>
      <c r="F437" s="147"/>
    </row>
    <row r="438" spans="1:6" s="152" customFormat="1">
      <c r="A438" s="147"/>
      <c r="B438" s="148">
        <v>530</v>
      </c>
      <c r="C438" s="149"/>
      <c r="D438" s="150" t="s">
        <v>377</v>
      </c>
      <c r="E438" s="150" t="s">
        <v>984</v>
      </c>
      <c r="F438" s="147"/>
    </row>
    <row r="439" spans="1:6" s="152" customFormat="1">
      <c r="A439" s="147"/>
      <c r="B439" s="148">
        <v>531</v>
      </c>
      <c r="C439" s="149"/>
      <c r="D439" s="150" t="s">
        <v>378</v>
      </c>
      <c r="E439" s="150" t="s">
        <v>985</v>
      </c>
      <c r="F439" s="147"/>
    </row>
    <row r="440" spans="1:6" s="152" customFormat="1">
      <c r="A440" s="147"/>
      <c r="B440" s="148">
        <v>532</v>
      </c>
      <c r="C440" s="149"/>
      <c r="D440" s="150" t="s">
        <v>379</v>
      </c>
      <c r="E440" s="150" t="s">
        <v>986</v>
      </c>
      <c r="F440" s="147"/>
    </row>
    <row r="441" spans="1:6" s="152" customFormat="1">
      <c r="A441" s="147"/>
      <c r="B441" s="148">
        <v>533</v>
      </c>
      <c r="C441" s="149"/>
      <c r="D441" s="150" t="s">
        <v>380</v>
      </c>
      <c r="E441" s="150" t="s">
        <v>987</v>
      </c>
      <c r="F441" s="147"/>
    </row>
    <row r="442" spans="1:6" s="152" customFormat="1">
      <c r="A442" s="147"/>
      <c r="B442" s="148">
        <v>534</v>
      </c>
      <c r="C442" s="149"/>
      <c r="D442" s="150" t="s">
        <v>381</v>
      </c>
      <c r="E442" s="150" t="s">
        <v>988</v>
      </c>
      <c r="F442" s="147"/>
    </row>
    <row r="443" spans="1:6" s="152" customFormat="1">
      <c r="A443" s="147"/>
      <c r="B443" s="148">
        <v>535</v>
      </c>
      <c r="C443" s="149"/>
      <c r="D443" s="150" t="s">
        <v>382</v>
      </c>
      <c r="E443" s="150" t="s">
        <v>989</v>
      </c>
      <c r="F443" s="147"/>
    </row>
    <row r="444" spans="1:6">
      <c r="B444" s="148">
        <v>536</v>
      </c>
      <c r="D444" s="150" t="s">
        <v>537</v>
      </c>
      <c r="E444" s="150" t="s">
        <v>990</v>
      </c>
    </row>
    <row r="445" spans="1:6">
      <c r="B445" s="148">
        <v>537</v>
      </c>
      <c r="D445" s="150" t="s">
        <v>1050</v>
      </c>
      <c r="E445" s="150" t="s">
        <v>1051</v>
      </c>
    </row>
    <row r="446" spans="1:6">
      <c r="B446" s="148">
        <v>538</v>
      </c>
      <c r="D446" s="150" t="s">
        <v>570</v>
      </c>
      <c r="E446" s="150" t="s">
        <v>991</v>
      </c>
    </row>
    <row r="447" spans="1:6">
      <c r="B447" s="148">
        <v>539</v>
      </c>
      <c r="D447" s="150" t="s">
        <v>566</v>
      </c>
      <c r="E447" s="150" t="s">
        <v>568</v>
      </c>
    </row>
    <row r="448" spans="1:6">
      <c r="B448" s="148">
        <v>540</v>
      </c>
      <c r="D448" s="150" t="s">
        <v>567</v>
      </c>
      <c r="E448" s="150" t="s">
        <v>992</v>
      </c>
    </row>
    <row r="449" spans="2:5">
      <c r="B449" s="148">
        <v>541</v>
      </c>
      <c r="D449" s="150" t="s">
        <v>565</v>
      </c>
      <c r="E449" s="150" t="s">
        <v>569</v>
      </c>
    </row>
    <row r="450" spans="2:5">
      <c r="B450" s="148">
        <v>542</v>
      </c>
      <c r="C450" s="149" t="s">
        <v>620</v>
      </c>
      <c r="D450" s="150" t="s">
        <v>613</v>
      </c>
      <c r="E450" s="159" t="s">
        <v>604</v>
      </c>
    </row>
    <row r="451" spans="2:5">
      <c r="B451" s="148">
        <v>543</v>
      </c>
      <c r="C451" s="149" t="s">
        <v>620</v>
      </c>
      <c r="D451" s="150" t="s">
        <v>614</v>
      </c>
      <c r="E451" s="159" t="s">
        <v>605</v>
      </c>
    </row>
    <row r="452" spans="2:5">
      <c r="B452" s="148">
        <v>544</v>
      </c>
      <c r="C452" s="149" t="s">
        <v>620</v>
      </c>
      <c r="D452" s="147" t="s">
        <v>615</v>
      </c>
      <c r="E452" s="159" t="s">
        <v>606</v>
      </c>
    </row>
    <row r="453" spans="2:5">
      <c r="B453" s="148">
        <v>545</v>
      </c>
      <c r="C453" s="149" t="s">
        <v>620</v>
      </c>
      <c r="D453" s="147" t="s">
        <v>616</v>
      </c>
      <c r="E453" s="159" t="s">
        <v>607</v>
      </c>
    </row>
    <row r="454" spans="2:5">
      <c r="B454" s="148">
        <v>546</v>
      </c>
      <c r="C454" s="149" t="s">
        <v>620</v>
      </c>
      <c r="D454" s="147" t="s">
        <v>431</v>
      </c>
      <c r="E454" s="159" t="s">
        <v>608</v>
      </c>
    </row>
    <row r="455" spans="2:5">
      <c r="B455" s="148">
        <v>547</v>
      </c>
      <c r="C455" s="149" t="s">
        <v>620</v>
      </c>
      <c r="D455" s="147" t="s">
        <v>430</v>
      </c>
      <c r="E455" s="159" t="s">
        <v>609</v>
      </c>
    </row>
    <row r="456" spans="2:5">
      <c r="B456" s="148">
        <v>548</v>
      </c>
      <c r="C456" s="149" t="s">
        <v>620</v>
      </c>
      <c r="D456" s="147" t="s">
        <v>617</v>
      </c>
      <c r="E456" s="159" t="s">
        <v>610</v>
      </c>
    </row>
    <row r="457" spans="2:5">
      <c r="B457" s="148">
        <v>549</v>
      </c>
      <c r="C457" s="149" t="s">
        <v>620</v>
      </c>
      <c r="D457" s="147" t="s">
        <v>618</v>
      </c>
      <c r="E457" s="159" t="s">
        <v>611</v>
      </c>
    </row>
    <row r="458" spans="2:5">
      <c r="B458" s="148">
        <v>550</v>
      </c>
      <c r="C458" s="149" t="s">
        <v>620</v>
      </c>
      <c r="D458" s="147" t="s">
        <v>619</v>
      </c>
      <c r="E458" s="159" t="s">
        <v>993</v>
      </c>
    </row>
    <row r="459" spans="2:5">
      <c r="B459" s="148">
        <v>551</v>
      </c>
      <c r="C459" s="149" t="s">
        <v>620</v>
      </c>
      <c r="D459" s="147" t="s">
        <v>994</v>
      </c>
      <c r="E459" s="159" t="s">
        <v>995</v>
      </c>
    </row>
    <row r="460" spans="2:5">
      <c r="B460" s="148">
        <v>552</v>
      </c>
      <c r="C460" s="149" t="s">
        <v>620</v>
      </c>
      <c r="D460" s="147" t="s">
        <v>1024</v>
      </c>
      <c r="E460" s="159" t="s">
        <v>1025</v>
      </c>
    </row>
    <row r="461" spans="2:5">
      <c r="B461" s="148">
        <v>553</v>
      </c>
      <c r="C461" s="149" t="s">
        <v>620</v>
      </c>
      <c r="D461" s="147" t="s">
        <v>996</v>
      </c>
      <c r="E461" s="159" t="s">
        <v>997</v>
      </c>
    </row>
    <row r="462" spans="2:5">
      <c r="B462" s="148">
        <v>554</v>
      </c>
      <c r="C462" s="149" t="s">
        <v>620</v>
      </c>
      <c r="D462" s="147" t="s">
        <v>1022</v>
      </c>
      <c r="E462" s="159" t="s">
        <v>1023</v>
      </c>
    </row>
    <row r="463" spans="2:5">
      <c r="B463" s="148">
        <v>555</v>
      </c>
      <c r="C463" s="149" t="s">
        <v>620</v>
      </c>
      <c r="D463" s="147" t="s">
        <v>998</v>
      </c>
      <c r="E463" s="159" t="s">
        <v>999</v>
      </c>
    </row>
    <row r="464" spans="2:5">
      <c r="B464" s="148">
        <v>556</v>
      </c>
      <c r="C464" s="149" t="s">
        <v>620</v>
      </c>
      <c r="D464" s="150" t="s">
        <v>1000</v>
      </c>
      <c r="E464" s="150" t="s">
        <v>1001</v>
      </c>
    </row>
    <row r="465" spans="2:5">
      <c r="B465" s="148">
        <v>557</v>
      </c>
      <c r="C465" s="149" t="s">
        <v>620</v>
      </c>
      <c r="D465" s="150" t="s">
        <v>1020</v>
      </c>
      <c r="E465" s="150" t="s">
        <v>1021</v>
      </c>
    </row>
    <row r="466" spans="2:5">
      <c r="B466" s="148">
        <v>558</v>
      </c>
      <c r="C466" s="149" t="s">
        <v>620</v>
      </c>
      <c r="D466" s="150" t="s">
        <v>1004</v>
      </c>
      <c r="E466" s="150" t="s">
        <v>1006</v>
      </c>
    </row>
    <row r="467" spans="2:5">
      <c r="B467" s="148">
        <v>559</v>
      </c>
      <c r="C467" s="149" t="s">
        <v>620</v>
      </c>
      <c r="D467" s="150" t="s">
        <v>1005</v>
      </c>
      <c r="E467" s="150" t="s">
        <v>1007</v>
      </c>
    </row>
    <row r="468" spans="2:5">
      <c r="B468" s="148">
        <v>560</v>
      </c>
      <c r="D468" s="150" t="s">
        <v>1008</v>
      </c>
      <c r="E468" s="150" t="s">
        <v>1009</v>
      </c>
    </row>
    <row r="469" spans="2:5">
      <c r="B469" s="148">
        <v>561</v>
      </c>
      <c r="C469" s="149" t="s">
        <v>620</v>
      </c>
      <c r="D469" s="150" t="s">
        <v>1016</v>
      </c>
      <c r="E469" s="150" t="s">
        <v>1056</v>
      </c>
    </row>
    <row r="470" spans="2:5">
      <c r="B470" s="148">
        <v>562</v>
      </c>
      <c r="C470" s="149" t="s">
        <v>620</v>
      </c>
      <c r="D470" s="150" t="s">
        <v>1018</v>
      </c>
      <c r="E470" s="150" t="s">
        <v>1019</v>
      </c>
    </row>
    <row r="471" spans="2:5">
      <c r="B471" s="148">
        <v>563</v>
      </c>
      <c r="C471" s="149" t="s">
        <v>1036</v>
      </c>
      <c r="D471" s="150" t="s">
        <v>1032</v>
      </c>
      <c r="E471" s="150" t="s">
        <v>1028</v>
      </c>
    </row>
    <row r="472" spans="2:5">
      <c r="B472" s="148">
        <v>564</v>
      </c>
      <c r="C472" s="149" t="s">
        <v>1036</v>
      </c>
      <c r="D472" s="150" t="s">
        <v>1031</v>
      </c>
      <c r="E472" s="150" t="s">
        <v>1029</v>
      </c>
    </row>
    <row r="473" spans="2:5">
      <c r="B473" s="148">
        <v>565</v>
      </c>
      <c r="C473" s="149" t="s">
        <v>1036</v>
      </c>
      <c r="D473" s="150" t="s">
        <v>1040</v>
      </c>
      <c r="E473" s="150" t="s">
        <v>1041</v>
      </c>
    </row>
    <row r="474" spans="2:5">
      <c r="B474" s="148">
        <v>566</v>
      </c>
      <c r="C474" s="149" t="s">
        <v>1036</v>
      </c>
      <c r="D474" s="150" t="s">
        <v>1033</v>
      </c>
      <c r="E474" s="150" t="s">
        <v>1034</v>
      </c>
    </row>
    <row r="475" spans="2:5" ht="26.4">
      <c r="B475" s="148">
        <v>567</v>
      </c>
      <c r="C475" s="149" t="s">
        <v>1036</v>
      </c>
      <c r="D475" s="150" t="s">
        <v>1030</v>
      </c>
      <c r="E475" s="150" t="s">
        <v>1035</v>
      </c>
    </row>
    <row r="476" spans="2:5">
      <c r="B476" s="148">
        <v>568</v>
      </c>
      <c r="C476" s="149" t="s">
        <v>1036</v>
      </c>
      <c r="D476" s="150" t="s">
        <v>1037</v>
      </c>
      <c r="E476" s="150" t="s">
        <v>1038</v>
      </c>
    </row>
    <row r="477" spans="2:5">
      <c r="B477" s="148">
        <v>569</v>
      </c>
      <c r="D477" s="150" t="s">
        <v>1109</v>
      </c>
      <c r="E477" s="150" t="s">
        <v>1071</v>
      </c>
    </row>
    <row r="478" spans="2:5">
      <c r="B478" s="148">
        <v>570</v>
      </c>
      <c r="D478" s="150" t="s">
        <v>1110</v>
      </c>
      <c r="E478" s="150" t="s">
        <v>1087</v>
      </c>
    </row>
    <row r="479" spans="2:5">
      <c r="B479" s="148">
        <v>571</v>
      </c>
      <c r="D479" s="150" t="s">
        <v>1111</v>
      </c>
      <c r="E479" s="150" t="s">
        <v>1072</v>
      </c>
    </row>
    <row r="480" spans="2:5">
      <c r="B480" s="148">
        <v>572</v>
      </c>
      <c r="D480" s="150" t="s">
        <v>1088</v>
      </c>
      <c r="E480" s="150" t="s">
        <v>1089</v>
      </c>
    </row>
    <row r="481" spans="2:5">
      <c r="B481" s="148">
        <v>573</v>
      </c>
      <c r="D481" s="150" t="s">
        <v>1095</v>
      </c>
      <c r="E481" s="150" t="s">
        <v>1090</v>
      </c>
    </row>
    <row r="482" spans="2:5">
      <c r="B482" s="148">
        <v>574</v>
      </c>
      <c r="D482" s="150" t="s">
        <v>1091</v>
      </c>
      <c r="E482" s="150" t="s">
        <v>1092</v>
      </c>
    </row>
    <row r="483" spans="2:5">
      <c r="B483" s="148">
        <v>575</v>
      </c>
      <c r="D483" s="150" t="s">
        <v>1093</v>
      </c>
      <c r="E483" s="150" t="s">
        <v>1094</v>
      </c>
    </row>
    <row r="484" spans="2:5">
      <c r="B484" s="148">
        <v>576</v>
      </c>
      <c r="D484" s="150" t="s">
        <v>1091</v>
      </c>
      <c r="E484" s="150" t="s">
        <v>1092</v>
      </c>
    </row>
    <row r="485" spans="2:5">
      <c r="B485" s="148">
        <v>577</v>
      </c>
      <c r="D485" s="150" t="s">
        <v>1096</v>
      </c>
      <c r="E485" s="150" t="s">
        <v>1097</v>
      </c>
    </row>
    <row r="486" spans="2:5">
      <c r="B486" s="148">
        <v>578</v>
      </c>
      <c r="D486" s="150" t="s">
        <v>1098</v>
      </c>
      <c r="E486" s="150" t="s">
        <v>1099</v>
      </c>
    </row>
    <row r="487" spans="2:5">
      <c r="B487" s="148">
        <v>579</v>
      </c>
      <c r="D487" s="150" t="s">
        <v>1170</v>
      </c>
      <c r="E487" s="150" t="s">
        <v>1171</v>
      </c>
    </row>
    <row r="488" spans="2:5">
      <c r="B488" s="148">
        <v>580</v>
      </c>
      <c r="D488" s="150" t="s">
        <v>1172</v>
      </c>
      <c r="E488" s="150" t="s">
        <v>1172</v>
      </c>
    </row>
    <row r="489" spans="2:5">
      <c r="B489" s="148">
        <v>581</v>
      </c>
      <c r="D489" s="150" t="s">
        <v>1173</v>
      </c>
      <c r="E489" s="150" t="s">
        <v>1174</v>
      </c>
    </row>
    <row r="490" spans="2:5">
      <c r="B490" s="148">
        <v>582</v>
      </c>
      <c r="D490" s="150" t="s">
        <v>1175</v>
      </c>
      <c r="E490" s="150" t="s">
        <v>1176</v>
      </c>
    </row>
    <row r="491" spans="2:5">
      <c r="B491" s="148">
        <v>583</v>
      </c>
      <c r="D491" s="150" t="s">
        <v>1272</v>
      </c>
      <c r="E491" s="150" t="s">
        <v>1273</v>
      </c>
    </row>
  </sheetData>
  <sortState xmlns:xlrd2="http://schemas.microsoft.com/office/spreadsheetml/2017/richdata2" ref="A9:F442">
    <sortCondition ref="E9:E442"/>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1"/>
  <sheetViews>
    <sheetView zoomScale="81" zoomScaleNormal="81" workbookViewId="0">
      <selection activeCell="L21" sqref="L21"/>
    </sheetView>
  </sheetViews>
  <sheetFormatPr defaultColWidth="9.59765625" defaultRowHeight="13.8"/>
  <cols>
    <col min="1" max="1" width="9.8984375" style="84" bestFit="1" customWidth="1"/>
    <col min="2" max="2" width="5.3984375" style="84" bestFit="1" customWidth="1"/>
    <col min="3" max="12" width="12.09765625" style="84" bestFit="1" customWidth="1"/>
    <col min="13" max="13" width="12" style="84" bestFit="1" customWidth="1"/>
    <col min="14" max="14" width="14.09765625" style="84" bestFit="1" customWidth="1"/>
    <col min="15" max="16" width="11.8984375" style="84" bestFit="1" customWidth="1"/>
    <col min="17" max="17" width="15.3984375" style="84" bestFit="1" customWidth="1"/>
    <col min="18" max="18" width="17" style="85" bestFit="1" customWidth="1"/>
    <col min="19" max="19" width="13.5" style="164" bestFit="1" customWidth="1"/>
    <col min="20" max="20" width="13.69921875" style="164" bestFit="1" customWidth="1"/>
    <col min="21" max="21" width="13.8984375" style="85" bestFit="1" customWidth="1"/>
    <col min="22" max="22" width="15.69921875" style="83" bestFit="1" customWidth="1"/>
    <col min="23" max="23" width="9.5" style="169" bestFit="1" customWidth="1"/>
    <col min="24" max="24" width="10.8984375" style="169" bestFit="1" customWidth="1"/>
    <col min="25" max="25" width="11.8984375" style="83" bestFit="1" customWidth="1"/>
    <col min="26" max="26" width="12.3984375" style="83" bestFit="1" customWidth="1"/>
    <col min="27" max="27" width="12.69921875" style="83" bestFit="1" customWidth="1"/>
    <col min="28" max="28" width="15.3984375" style="83" bestFit="1" customWidth="1"/>
    <col min="29" max="29" width="9.59765625" style="83"/>
    <col min="30" max="30" width="9.59765625" style="86"/>
    <col min="31" max="32" width="9.59765625" style="164"/>
    <col min="33" max="16384" width="9.59765625" style="83"/>
  </cols>
  <sheetData>
    <row r="1" spans="1:28">
      <c r="A1" s="81" t="s">
        <v>1169</v>
      </c>
      <c r="B1" s="81" t="s">
        <v>384</v>
      </c>
      <c r="C1" s="81" t="s">
        <v>1157</v>
      </c>
      <c r="D1" s="81" t="s">
        <v>1158</v>
      </c>
      <c r="E1" s="81" t="s">
        <v>1159</v>
      </c>
      <c r="F1" s="81" t="s">
        <v>1160</v>
      </c>
      <c r="G1" s="81" t="s">
        <v>1161</v>
      </c>
      <c r="H1" s="81" t="s">
        <v>1162</v>
      </c>
      <c r="I1" s="81" t="s">
        <v>1163</v>
      </c>
      <c r="J1" s="81" t="s">
        <v>1164</v>
      </c>
      <c r="K1" s="81" t="s">
        <v>1165</v>
      </c>
      <c r="L1" s="81" t="s">
        <v>1166</v>
      </c>
      <c r="M1" s="81" t="s">
        <v>385</v>
      </c>
      <c r="N1" s="81" t="s">
        <v>386</v>
      </c>
      <c r="O1" s="81" t="s">
        <v>387</v>
      </c>
      <c r="P1" s="81" t="s">
        <v>388</v>
      </c>
      <c r="Q1" s="81" t="s">
        <v>1079</v>
      </c>
      <c r="R1" s="81" t="s">
        <v>1080</v>
      </c>
      <c r="S1" s="81" t="s">
        <v>1168</v>
      </c>
      <c r="T1" s="81" t="s">
        <v>1057</v>
      </c>
      <c r="U1" s="81" t="s">
        <v>1058</v>
      </c>
      <c r="V1" s="82" t="s">
        <v>1060</v>
      </c>
      <c r="W1" s="168" t="s">
        <v>1061</v>
      </c>
      <c r="X1" s="168" t="s">
        <v>1062</v>
      </c>
      <c r="Y1" s="82" t="s">
        <v>1081</v>
      </c>
      <c r="Z1" s="82" t="s">
        <v>1082</v>
      </c>
      <c r="AA1" s="82" t="s">
        <v>1116</v>
      </c>
      <c r="AB1" s="82" t="s">
        <v>1059</v>
      </c>
    </row>
    <row r="2" spans="1:28">
      <c r="A2" s="162" t="s">
        <v>1167</v>
      </c>
      <c r="B2" s="162" t="s">
        <v>1231</v>
      </c>
      <c r="C2" s="162" t="s">
        <v>1064</v>
      </c>
      <c r="D2" s="162" t="s">
        <v>1231</v>
      </c>
      <c r="M2" s="162" t="s">
        <v>1312</v>
      </c>
      <c r="N2" s="162" t="s">
        <v>584</v>
      </c>
      <c r="O2" s="166">
        <v>43886</v>
      </c>
      <c r="P2" s="166">
        <v>43888</v>
      </c>
      <c r="Q2" s="166">
        <v>43878</v>
      </c>
      <c r="R2" s="167">
        <v>43890</v>
      </c>
      <c r="S2" s="164">
        <v>8</v>
      </c>
      <c r="T2" s="164">
        <v>3</v>
      </c>
      <c r="U2" s="85">
        <v>0</v>
      </c>
      <c r="V2" s="83">
        <v>1</v>
      </c>
      <c r="W2" s="169">
        <v>0</v>
      </c>
      <c r="X2" s="169">
        <v>0</v>
      </c>
      <c r="AA2" s="83">
        <v>0</v>
      </c>
      <c r="AB2" s="83">
        <v>0</v>
      </c>
    </row>
    <row r="3" spans="1:28">
      <c r="A3" s="162" t="s">
        <v>1167</v>
      </c>
      <c r="B3" s="162" t="s">
        <v>1283</v>
      </c>
      <c r="C3" s="162" t="s">
        <v>1167</v>
      </c>
      <c r="D3" s="162" t="s">
        <v>1283</v>
      </c>
      <c r="M3" s="162" t="s">
        <v>1309</v>
      </c>
      <c r="N3" s="162" t="s">
        <v>1339</v>
      </c>
      <c r="O3" s="166">
        <v>43885</v>
      </c>
      <c r="P3" s="166">
        <v>43885</v>
      </c>
      <c r="Q3" s="166">
        <v>43878</v>
      </c>
      <c r="R3" s="167">
        <v>43890</v>
      </c>
      <c r="S3" s="164">
        <v>8</v>
      </c>
      <c r="T3" s="164">
        <v>1</v>
      </c>
      <c r="U3" s="85">
        <v>1</v>
      </c>
      <c r="V3" s="83">
        <v>1</v>
      </c>
      <c r="W3" s="169">
        <v>1</v>
      </c>
      <c r="X3" s="169">
        <v>1</v>
      </c>
      <c r="Y3" s="86">
        <v>43885</v>
      </c>
      <c r="Z3" s="86">
        <v>43885</v>
      </c>
      <c r="AA3" s="83">
        <v>1</v>
      </c>
      <c r="AB3" s="83">
        <v>1</v>
      </c>
    </row>
    <row r="4" spans="1:28">
      <c r="A4" s="162" t="s">
        <v>1167</v>
      </c>
      <c r="B4" s="162" t="s">
        <v>1284</v>
      </c>
      <c r="C4" s="162" t="s">
        <v>1167</v>
      </c>
      <c r="D4" s="162" t="s">
        <v>1284</v>
      </c>
      <c r="M4" s="162" t="s">
        <v>1310</v>
      </c>
      <c r="N4" s="162" t="s">
        <v>1374</v>
      </c>
      <c r="O4" s="166">
        <v>43885</v>
      </c>
      <c r="P4" s="166">
        <v>43889</v>
      </c>
      <c r="Q4" s="166">
        <v>43878</v>
      </c>
      <c r="R4" s="167">
        <v>43890</v>
      </c>
      <c r="S4" s="164">
        <v>8</v>
      </c>
      <c r="T4" s="164">
        <v>2.5</v>
      </c>
      <c r="U4" s="85">
        <v>0.5</v>
      </c>
      <c r="V4" s="83">
        <v>1</v>
      </c>
      <c r="W4" s="169">
        <v>0.2</v>
      </c>
      <c r="X4" s="169">
        <v>0</v>
      </c>
      <c r="Y4" s="86">
        <v>43885</v>
      </c>
      <c r="AA4" s="83">
        <v>0</v>
      </c>
      <c r="AB4" s="83">
        <v>0</v>
      </c>
    </row>
    <row r="5" spans="1:28">
      <c r="A5" s="162" t="s">
        <v>1167</v>
      </c>
      <c r="B5" s="162" t="s">
        <v>1284</v>
      </c>
      <c r="C5" s="162" t="s">
        <v>1167</v>
      </c>
      <c r="D5" s="162" t="s">
        <v>1284</v>
      </c>
      <c r="M5" s="162" t="s">
        <v>1310</v>
      </c>
      <c r="N5" s="162" t="s">
        <v>1375</v>
      </c>
      <c r="O5" s="166">
        <v>43885</v>
      </c>
      <c r="P5" s="166">
        <v>43889</v>
      </c>
      <c r="Q5" s="166">
        <v>43878</v>
      </c>
      <c r="R5" s="167">
        <v>43890</v>
      </c>
      <c r="S5" s="164">
        <v>8</v>
      </c>
      <c r="T5" s="164">
        <v>2.5</v>
      </c>
      <c r="U5" s="85">
        <v>0.5</v>
      </c>
      <c r="V5" s="83">
        <v>1</v>
      </c>
      <c r="W5" s="169">
        <v>0.2</v>
      </c>
      <c r="X5" s="169">
        <v>0</v>
      </c>
      <c r="Y5" s="86">
        <v>43885</v>
      </c>
      <c r="AA5" s="83">
        <v>0</v>
      </c>
      <c r="AB5" s="83">
        <v>0</v>
      </c>
    </row>
    <row r="6" spans="1:28">
      <c r="A6" s="162" t="s">
        <v>1167</v>
      </c>
      <c r="B6" s="162" t="s">
        <v>1341</v>
      </c>
      <c r="C6" s="162" t="s">
        <v>1184</v>
      </c>
      <c r="D6" s="162" t="s">
        <v>1341</v>
      </c>
      <c r="M6" s="162" t="s">
        <v>1308</v>
      </c>
      <c r="N6" s="162" t="s">
        <v>1339</v>
      </c>
      <c r="O6" s="166">
        <v>43885</v>
      </c>
      <c r="P6" s="166">
        <v>43885</v>
      </c>
      <c r="Q6" s="166">
        <v>43878</v>
      </c>
      <c r="R6" s="167">
        <v>43890</v>
      </c>
      <c r="S6" s="164">
        <v>8</v>
      </c>
      <c r="T6" s="164">
        <v>1</v>
      </c>
      <c r="U6" s="85">
        <v>1</v>
      </c>
      <c r="V6" s="83">
        <v>1</v>
      </c>
      <c r="W6" s="169">
        <v>1</v>
      </c>
      <c r="X6" s="169">
        <v>1</v>
      </c>
      <c r="Y6" s="86">
        <v>43885</v>
      </c>
      <c r="Z6" s="86">
        <v>43885</v>
      </c>
      <c r="AA6" s="83">
        <v>1</v>
      </c>
      <c r="AB6" s="83">
        <v>1</v>
      </c>
    </row>
    <row r="7" spans="1:28">
      <c r="A7" s="162" t="s">
        <v>1167</v>
      </c>
      <c r="B7" s="162" t="s">
        <v>1342</v>
      </c>
      <c r="C7" s="162" t="s">
        <v>1184</v>
      </c>
      <c r="D7" s="162" t="s">
        <v>1342</v>
      </c>
      <c r="M7" s="162" t="s">
        <v>1312</v>
      </c>
      <c r="N7" s="162" t="s">
        <v>584</v>
      </c>
      <c r="O7" s="166">
        <v>43886</v>
      </c>
      <c r="P7" s="166">
        <v>43886</v>
      </c>
      <c r="Q7" s="166">
        <v>43878</v>
      </c>
      <c r="R7" s="167">
        <v>43890</v>
      </c>
      <c r="S7" s="164">
        <v>8</v>
      </c>
      <c r="T7" s="164">
        <v>1</v>
      </c>
      <c r="U7" s="85">
        <v>0</v>
      </c>
      <c r="V7" s="83">
        <v>1</v>
      </c>
      <c r="W7" s="169">
        <v>0</v>
      </c>
      <c r="X7" s="169">
        <v>0</v>
      </c>
      <c r="AA7" s="83">
        <v>0</v>
      </c>
      <c r="AB7" s="83">
        <v>0</v>
      </c>
    </row>
    <row r="8" spans="1:28">
      <c r="A8" s="162" t="s">
        <v>1167</v>
      </c>
      <c r="B8" s="162" t="s">
        <v>1344</v>
      </c>
      <c r="C8" s="162" t="s">
        <v>1185</v>
      </c>
      <c r="D8" s="162" t="s">
        <v>1344</v>
      </c>
      <c r="M8" s="162" t="s">
        <v>1309</v>
      </c>
      <c r="N8" s="162" t="s">
        <v>1339</v>
      </c>
      <c r="O8" s="166">
        <v>43885</v>
      </c>
      <c r="P8" s="166">
        <v>43885</v>
      </c>
      <c r="Q8" s="166">
        <v>43878</v>
      </c>
      <c r="R8" s="167">
        <v>43890</v>
      </c>
      <c r="S8" s="164">
        <v>8</v>
      </c>
      <c r="T8" s="164">
        <v>1</v>
      </c>
      <c r="U8" s="85">
        <v>1</v>
      </c>
      <c r="V8" s="83">
        <v>1</v>
      </c>
      <c r="W8" s="169">
        <v>1</v>
      </c>
      <c r="X8" s="169">
        <v>0</v>
      </c>
      <c r="AA8" s="83">
        <v>0</v>
      </c>
      <c r="AB8" s="83">
        <v>0</v>
      </c>
    </row>
    <row r="9" spans="1:28">
      <c r="A9" s="162" t="s">
        <v>1167</v>
      </c>
      <c r="B9" s="162" t="s">
        <v>1345</v>
      </c>
      <c r="C9" s="162" t="s">
        <v>1185</v>
      </c>
      <c r="D9" s="162" t="s">
        <v>1345</v>
      </c>
      <c r="M9" s="162" t="s">
        <v>1312</v>
      </c>
      <c r="N9" s="162" t="s">
        <v>584</v>
      </c>
      <c r="O9" s="166">
        <v>43886</v>
      </c>
      <c r="P9" s="166">
        <v>43887</v>
      </c>
      <c r="Q9" s="166">
        <v>43878</v>
      </c>
      <c r="R9" s="167">
        <v>43890</v>
      </c>
      <c r="S9" s="164">
        <v>8</v>
      </c>
      <c r="T9" s="164">
        <v>2</v>
      </c>
      <c r="U9" s="85">
        <v>0</v>
      </c>
      <c r="V9" s="83">
        <v>1</v>
      </c>
      <c r="W9" s="169">
        <v>0</v>
      </c>
      <c r="X9" s="169">
        <v>0</v>
      </c>
      <c r="AA9" s="83">
        <v>0</v>
      </c>
      <c r="AB9" s="83">
        <v>0</v>
      </c>
    </row>
    <row r="10" spans="1:28">
      <c r="A10" s="162" t="s">
        <v>1167</v>
      </c>
      <c r="B10" s="162" t="s">
        <v>1347</v>
      </c>
      <c r="C10" s="162" t="s">
        <v>1202</v>
      </c>
      <c r="D10" s="162" t="s">
        <v>1347</v>
      </c>
      <c r="M10" s="162" t="s">
        <v>1308</v>
      </c>
      <c r="N10" s="162" t="s">
        <v>1316</v>
      </c>
      <c r="O10" s="166">
        <v>43882</v>
      </c>
      <c r="P10" s="166">
        <v>43885</v>
      </c>
      <c r="Q10" s="166">
        <v>43878</v>
      </c>
      <c r="R10" s="167">
        <v>43890</v>
      </c>
      <c r="S10" s="164">
        <v>8</v>
      </c>
      <c r="T10" s="164">
        <v>2</v>
      </c>
      <c r="U10" s="85">
        <v>2</v>
      </c>
      <c r="V10" s="83">
        <v>1</v>
      </c>
      <c r="W10" s="169">
        <v>1</v>
      </c>
      <c r="X10" s="169">
        <v>0</v>
      </c>
      <c r="Y10" s="86">
        <v>43882</v>
      </c>
      <c r="AA10" s="83">
        <v>0</v>
      </c>
      <c r="AB10" s="83">
        <v>0</v>
      </c>
    </row>
    <row r="11" spans="1:28">
      <c r="A11" s="162" t="s">
        <v>1167</v>
      </c>
      <c r="B11" s="162" t="s">
        <v>1348</v>
      </c>
      <c r="C11" s="162" t="s">
        <v>1202</v>
      </c>
      <c r="D11" s="162" t="s">
        <v>1348</v>
      </c>
      <c r="M11" s="162" t="s">
        <v>1312</v>
      </c>
      <c r="N11" s="162" t="s">
        <v>584</v>
      </c>
      <c r="O11" s="166">
        <v>43888</v>
      </c>
      <c r="P11" s="166">
        <v>43888</v>
      </c>
      <c r="Q11" s="166">
        <v>43878</v>
      </c>
      <c r="R11" s="167">
        <v>43890</v>
      </c>
      <c r="S11" s="164">
        <v>8</v>
      </c>
      <c r="T11" s="164">
        <v>1</v>
      </c>
      <c r="U11" s="85">
        <v>0</v>
      </c>
      <c r="V11" s="83">
        <v>1</v>
      </c>
      <c r="W11" s="169">
        <v>0</v>
      </c>
      <c r="X11" s="169">
        <v>0</v>
      </c>
      <c r="AA11" s="83">
        <v>0</v>
      </c>
      <c r="AB11" s="83">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E27" sqref="E27"/>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137" bestFit="1" customWidth="1"/>
    <col min="11" max="11" width="24.8984375" style="137"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85" t="s">
        <v>1013</v>
      </c>
      <c r="B1" s="185" t="s">
        <v>1017</v>
      </c>
      <c r="C1" s="185" t="s">
        <v>1014</v>
      </c>
      <c r="D1" s="185" t="s">
        <v>1015</v>
      </c>
      <c r="E1" s="185" t="s">
        <v>1012</v>
      </c>
      <c r="F1" s="185" t="s">
        <v>346</v>
      </c>
      <c r="G1" s="185" t="s">
        <v>603</v>
      </c>
      <c r="H1" s="185" t="s">
        <v>540</v>
      </c>
      <c r="I1" s="186" t="s">
        <v>582</v>
      </c>
      <c r="J1" s="186" t="s">
        <v>583</v>
      </c>
      <c r="K1" s="186" t="s">
        <v>1245</v>
      </c>
      <c r="L1" s="185" t="s">
        <v>127</v>
      </c>
      <c r="M1" s="185" t="s">
        <v>604</v>
      </c>
      <c r="N1" s="185" t="s">
        <v>605</v>
      </c>
      <c r="O1" s="185" t="s">
        <v>606</v>
      </c>
      <c r="P1" s="185" t="s">
        <v>607</v>
      </c>
      <c r="Q1" s="185" t="s">
        <v>608</v>
      </c>
      <c r="R1" s="185" t="s">
        <v>609</v>
      </c>
      <c r="S1" s="185" t="s">
        <v>610</v>
      </c>
      <c r="T1" s="185" t="s">
        <v>611</v>
      </c>
      <c r="U1" s="185" t="s">
        <v>541</v>
      </c>
      <c r="V1" s="185" t="s">
        <v>542</v>
      </c>
      <c r="W1" s="185" t="s">
        <v>543</v>
      </c>
      <c r="X1" s="185" t="s">
        <v>809</v>
      </c>
      <c r="Y1" s="185" t="s">
        <v>636</v>
      </c>
    </row>
    <row r="2" spans="1:25">
      <c r="B2" t="s">
        <v>1048</v>
      </c>
      <c r="C2" t="s">
        <v>1282</v>
      </c>
      <c r="D2" t="s">
        <v>1064</v>
      </c>
      <c r="E2">
        <v>1</v>
      </c>
      <c r="F2" t="s">
        <v>1064</v>
      </c>
      <c r="G2" t="s">
        <v>1214</v>
      </c>
      <c r="I2" s="137">
        <v>43724</v>
      </c>
      <c r="J2" s="137">
        <v>43791</v>
      </c>
      <c r="X2">
        <v>0</v>
      </c>
      <c r="Y2">
        <v>0</v>
      </c>
    </row>
    <row r="3" spans="1:25">
      <c r="B3" s="137">
        <v>43709</v>
      </c>
      <c r="C3" t="s">
        <v>1289</v>
      </c>
      <c r="D3" t="s">
        <v>1167</v>
      </c>
      <c r="E3">
        <v>2</v>
      </c>
      <c r="F3" t="s">
        <v>1177</v>
      </c>
      <c r="G3" t="s">
        <v>687</v>
      </c>
      <c r="I3" s="137">
        <v>43724</v>
      </c>
      <c r="J3" s="137">
        <v>43728</v>
      </c>
      <c r="X3">
        <v>0</v>
      </c>
      <c r="Y3">
        <v>0</v>
      </c>
    </row>
    <row r="4" spans="1:25">
      <c r="B4" s="137">
        <v>43799</v>
      </c>
      <c r="C4" t="s">
        <v>1290</v>
      </c>
      <c r="D4" t="s">
        <v>1184</v>
      </c>
      <c r="E4">
        <v>3</v>
      </c>
      <c r="F4" t="s">
        <v>1178</v>
      </c>
      <c r="G4" t="s">
        <v>1215</v>
      </c>
      <c r="I4" s="137">
        <v>43724</v>
      </c>
      <c r="J4" s="137">
        <v>43727</v>
      </c>
      <c r="V4" t="s">
        <v>1235</v>
      </c>
      <c r="X4" s="144">
        <v>1</v>
      </c>
      <c r="Y4" s="144">
        <v>1</v>
      </c>
    </row>
    <row r="5" spans="1:25">
      <c r="B5" s="144">
        <v>0.45</v>
      </c>
      <c r="C5" t="s">
        <v>1291</v>
      </c>
      <c r="D5" t="s">
        <v>1185</v>
      </c>
      <c r="E5">
        <v>3</v>
      </c>
      <c r="F5" t="s">
        <v>1179</v>
      </c>
      <c r="G5" t="s">
        <v>1216</v>
      </c>
      <c r="I5" s="137">
        <v>43728</v>
      </c>
      <c r="J5" s="137">
        <v>43728</v>
      </c>
      <c r="K5" s="137" t="s">
        <v>1243</v>
      </c>
      <c r="Q5" s="137"/>
      <c r="X5" s="144">
        <v>1</v>
      </c>
      <c r="Y5" s="144">
        <v>1</v>
      </c>
    </row>
    <row r="6" spans="1:25">
      <c r="B6" s="170">
        <v>0.43330000000000002</v>
      </c>
      <c r="C6" t="s">
        <v>1292</v>
      </c>
      <c r="D6" t="s">
        <v>1202</v>
      </c>
      <c r="E6">
        <v>3</v>
      </c>
      <c r="F6" t="s">
        <v>1227</v>
      </c>
      <c r="G6" t="s">
        <v>1217</v>
      </c>
      <c r="I6" s="137">
        <v>43724</v>
      </c>
      <c r="J6" s="137">
        <v>43726</v>
      </c>
      <c r="V6" t="s">
        <v>1236</v>
      </c>
      <c r="X6">
        <v>0</v>
      </c>
      <c r="Y6">
        <v>0</v>
      </c>
    </row>
    <row r="7" spans="1:25">
      <c r="C7" t="s">
        <v>1293</v>
      </c>
      <c r="D7" t="s">
        <v>1203</v>
      </c>
      <c r="E7">
        <v>3</v>
      </c>
      <c r="F7" t="s">
        <v>1228</v>
      </c>
      <c r="G7" t="s">
        <v>1218</v>
      </c>
      <c r="I7" s="137">
        <v>43727</v>
      </c>
      <c r="J7" s="137">
        <v>43728</v>
      </c>
      <c r="V7" t="s">
        <v>1236</v>
      </c>
      <c r="X7">
        <v>0</v>
      </c>
      <c r="Y7">
        <v>0</v>
      </c>
    </row>
    <row r="8" spans="1:25">
      <c r="C8" t="s">
        <v>1294</v>
      </c>
      <c r="D8" t="s">
        <v>1204</v>
      </c>
      <c r="E8">
        <v>2</v>
      </c>
      <c r="F8" t="s">
        <v>1180</v>
      </c>
      <c r="G8" t="s">
        <v>1011</v>
      </c>
      <c r="I8" s="137">
        <v>43731</v>
      </c>
      <c r="J8" s="137">
        <v>43749</v>
      </c>
      <c r="X8">
        <v>0</v>
      </c>
      <c r="Y8">
        <v>0</v>
      </c>
    </row>
    <row r="9" spans="1:25">
      <c r="C9" t="s">
        <v>1295</v>
      </c>
      <c r="D9" t="s">
        <v>1205</v>
      </c>
      <c r="E9">
        <v>3</v>
      </c>
      <c r="F9" t="s">
        <v>1181</v>
      </c>
      <c r="G9" t="s">
        <v>1219</v>
      </c>
      <c r="I9" s="137">
        <v>43731</v>
      </c>
      <c r="J9" s="137">
        <v>43735</v>
      </c>
      <c r="V9" t="s">
        <v>1237</v>
      </c>
      <c r="X9">
        <v>0</v>
      </c>
      <c r="Y9">
        <v>0</v>
      </c>
    </row>
    <row r="10" spans="1:25">
      <c r="C10" t="s">
        <v>1296</v>
      </c>
      <c r="D10" t="s">
        <v>1206</v>
      </c>
      <c r="E10">
        <v>3</v>
      </c>
      <c r="F10" t="s">
        <v>1229</v>
      </c>
      <c r="G10" t="s">
        <v>1220</v>
      </c>
      <c r="I10" s="137">
        <v>43738</v>
      </c>
      <c r="J10" s="137">
        <v>43749</v>
      </c>
      <c r="V10" t="s">
        <v>1237</v>
      </c>
      <c r="X10">
        <v>0</v>
      </c>
      <c r="Y10">
        <v>0</v>
      </c>
    </row>
    <row r="11" spans="1:25">
      <c r="D11" t="s">
        <v>1207</v>
      </c>
      <c r="E11">
        <v>2</v>
      </c>
      <c r="F11" t="s">
        <v>1182</v>
      </c>
      <c r="G11" t="s">
        <v>1221</v>
      </c>
      <c r="I11" s="137">
        <v>43752</v>
      </c>
      <c r="J11" s="137">
        <v>43777</v>
      </c>
      <c r="X11">
        <v>0</v>
      </c>
      <c r="Y11">
        <v>0</v>
      </c>
    </row>
    <row r="12" spans="1:25">
      <c r="D12" t="s">
        <v>1208</v>
      </c>
      <c r="E12">
        <v>3</v>
      </c>
      <c r="F12" t="s">
        <v>1183</v>
      </c>
      <c r="G12" t="s">
        <v>1222</v>
      </c>
      <c r="I12" s="137">
        <v>43752</v>
      </c>
      <c r="J12" s="137">
        <v>43770</v>
      </c>
      <c r="X12">
        <v>0</v>
      </c>
      <c r="Y12">
        <v>0</v>
      </c>
    </row>
    <row r="13" spans="1:25">
      <c r="D13" t="s">
        <v>1209</v>
      </c>
      <c r="E13">
        <v>3</v>
      </c>
      <c r="F13" t="s">
        <v>1230</v>
      </c>
      <c r="G13" t="s">
        <v>1223</v>
      </c>
      <c r="I13" s="137">
        <v>43773</v>
      </c>
      <c r="J13" s="137">
        <v>43777</v>
      </c>
      <c r="V13" t="s">
        <v>1238</v>
      </c>
      <c r="X13">
        <v>0</v>
      </c>
      <c r="Y13">
        <v>0</v>
      </c>
    </row>
    <row r="14" spans="1:25">
      <c r="D14" t="s">
        <v>1210</v>
      </c>
      <c r="E14">
        <v>2</v>
      </c>
      <c r="F14" t="s">
        <v>1231</v>
      </c>
      <c r="G14" t="s">
        <v>1224</v>
      </c>
      <c r="I14" s="137">
        <v>43780</v>
      </c>
      <c r="J14" s="137">
        <v>43791</v>
      </c>
      <c r="X14">
        <v>0</v>
      </c>
      <c r="Y14">
        <v>0</v>
      </c>
    </row>
    <row r="15" spans="1:25">
      <c r="D15" t="s">
        <v>1211</v>
      </c>
      <c r="E15">
        <v>3</v>
      </c>
      <c r="F15" t="s">
        <v>1232</v>
      </c>
      <c r="G15" t="s">
        <v>1225</v>
      </c>
      <c r="I15" s="137">
        <v>43780</v>
      </c>
      <c r="J15" s="137">
        <v>43784</v>
      </c>
      <c r="V15" t="s">
        <v>1239</v>
      </c>
      <c r="X15">
        <v>0</v>
      </c>
      <c r="Y15">
        <v>0</v>
      </c>
    </row>
    <row r="16" spans="1:25">
      <c r="D16" t="s">
        <v>1212</v>
      </c>
      <c r="E16">
        <v>3</v>
      </c>
      <c r="F16" t="s">
        <v>1233</v>
      </c>
      <c r="G16" t="s">
        <v>1226</v>
      </c>
      <c r="I16" s="137">
        <v>43787</v>
      </c>
      <c r="J16" s="137">
        <v>43789</v>
      </c>
      <c r="K16" s="137" t="s">
        <v>1244</v>
      </c>
      <c r="V16" t="s">
        <v>1240</v>
      </c>
      <c r="X16">
        <v>0</v>
      </c>
      <c r="Y16">
        <v>0</v>
      </c>
    </row>
    <row r="17" spans="4:25">
      <c r="D17" t="s">
        <v>1213</v>
      </c>
      <c r="E17">
        <v>3</v>
      </c>
      <c r="F17" t="s">
        <v>1234</v>
      </c>
      <c r="G17" t="s">
        <v>1242</v>
      </c>
      <c r="I17" s="137">
        <v>43790</v>
      </c>
      <c r="J17" s="137">
        <v>43791</v>
      </c>
      <c r="V17" t="s">
        <v>1241</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cp:lastPrinted>2019-08-24T08:53:04Z</cp:lastPrinted>
  <dcterms:created xsi:type="dcterms:W3CDTF">2018-02-18T09:45:14Z</dcterms:created>
  <dcterms:modified xsi:type="dcterms:W3CDTF">2020-02-27T11:41:11Z</dcterms:modified>
</cp:coreProperties>
</file>