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29" codeName="{B6124F1A-AFFB-F854-7757-9A1D4C6FC43C}"/>
  <workbookPr codeName="ThisWorkbook"/>
  <mc:AlternateContent xmlns:mc="http://schemas.openxmlformats.org/markup-compatibility/2006">
    <mc:Choice Requires="x15">
      <x15ac:absPath xmlns:x15ac="http://schemas.microsoft.com/office/spreadsheetml/2010/11/ac" url="D:\12.Document\01.Project\00. 일정\04. 2022년\01.1분기\"/>
    </mc:Choice>
  </mc:AlternateContent>
  <xr:revisionPtr revIDLastSave="0" documentId="13_ncr:1_{4790EAF0-36A5-494B-8472-744B7EB7B1A2}" xr6:coauthVersionLast="47" xr6:coauthVersionMax="47" xr10:uidLastSave="{00000000-0000-0000-0000-000000000000}"/>
  <bookViews>
    <workbookView xWindow="-96" yWindow="-96" windowWidth="23232" windowHeight="12552"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Schedule!$M$3:$AB$331</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5" i="2" l="1"/>
  <c r="AC6" i="2"/>
  <c r="AD7" i="2"/>
  <c r="AF9" i="2"/>
  <c r="AL9" i="2"/>
  <c r="AF10" i="2"/>
  <c r="AG11" i="2"/>
  <c r="AG12" i="2"/>
  <c r="AG13" i="2"/>
  <c r="AH14" i="2"/>
  <c r="AH15" i="2"/>
  <c r="AH16" i="2"/>
  <c r="AI17" i="2"/>
  <c r="AI18" i="2"/>
  <c r="AJ19" i="2"/>
  <c r="AJ20" i="2"/>
  <c r="AK21" i="2"/>
  <c r="AK22" i="2"/>
  <c r="AG23" i="2"/>
  <c r="AL23" i="2"/>
  <c r="AE25" i="2"/>
  <c r="AJ25" i="2"/>
  <c r="AF26" i="2"/>
  <c r="AF27" i="2"/>
  <c r="AF28" i="2"/>
  <c r="AG29" i="2"/>
  <c r="AG30" i="2"/>
  <c r="AG31" i="2"/>
  <c r="AG32" i="2"/>
  <c r="AG33" i="2"/>
  <c r="AH34" i="2"/>
  <c r="AH35" i="2"/>
  <c r="AH36" i="2"/>
  <c r="AH37" i="2"/>
  <c r="AH38" i="2"/>
  <c r="AI39" i="2"/>
  <c r="AI40" i="2"/>
  <c r="AI41" i="2"/>
  <c r="AI42" i="2"/>
  <c r="AI43" i="2"/>
  <c r="AI44" i="2"/>
  <c r="AJ45" i="2"/>
  <c r="AE46" i="2"/>
  <c r="AJ46" i="2"/>
  <c r="AF48" i="2"/>
  <c r="AF49" i="2"/>
  <c r="AF50" i="2"/>
  <c r="AG51" i="2"/>
  <c r="AF52" i="2"/>
  <c r="AF54" i="2"/>
  <c r="AF55" i="2"/>
  <c r="AF56" i="2"/>
  <c r="AG57" i="2"/>
  <c r="AG58" i="2"/>
  <c r="AH59" i="2"/>
  <c r="AF60" i="2"/>
  <c r="AK65" i="2"/>
  <c r="AK66" i="2"/>
  <c r="AM67" i="2"/>
  <c r="AN69" i="2"/>
  <c r="AN70" i="2"/>
  <c r="F7" i="4" l="1"/>
  <c r="F8" i="4"/>
  <c r="F9" i="4"/>
  <c r="F10" i="4"/>
  <c r="F11" i="4"/>
  <c r="F12" i="4"/>
  <c r="F13" i="4"/>
  <c r="F14" i="4"/>
  <c r="F15" i="4"/>
  <c r="F16" i="4"/>
  <c r="F17" i="4"/>
  <c r="F18" i="4"/>
  <c r="F19" i="4"/>
  <c r="F20" i="4"/>
  <c r="F21" i="4"/>
  <c r="F22" i="4"/>
  <c r="F23" i="4"/>
  <c r="F24" i="4"/>
  <c r="F25" i="4"/>
  <c r="F26" i="4"/>
  <c r="F27" i="4"/>
  <c r="D28" i="4"/>
  <c r="E28" i="4" s="1"/>
  <c r="E27" i="4"/>
  <c r="E26" i="4"/>
  <c r="E25" i="4"/>
  <c r="E24" i="4"/>
  <c r="E23" i="4"/>
  <c r="E22" i="4"/>
  <c r="E21" i="4"/>
  <c r="E20" i="4"/>
  <c r="E19" i="4"/>
  <c r="E18" i="4"/>
  <c r="E17" i="4"/>
  <c r="E16" i="4"/>
  <c r="E15" i="4"/>
  <c r="E14" i="4"/>
  <c r="E13" i="4"/>
  <c r="E12" i="4"/>
  <c r="E11" i="4"/>
  <c r="E10" i="4"/>
  <c r="E9" i="4"/>
  <c r="E8" i="4"/>
  <c r="E7" i="4"/>
  <c r="H126" i="8"/>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B24" i="3" l="1"/>
  <c r="AB1" i="2"/>
  <c r="AB2" i="2"/>
</calcChain>
</file>

<file path=xl/sharedStrings.xml><?xml version="1.0" encoding="utf-8"?>
<sst xmlns="http://schemas.openxmlformats.org/spreadsheetml/2006/main" count="1526" uniqueCount="1202">
  <si>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</si>
  <si>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</si>
  <si>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</si>
  <si>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</si>
  <si>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</si>
  <si>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</si>
  <si>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</si>
  <si>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</si>
  <si>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</si>
  <si>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</si>
  <si>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</si>
  <si>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</si>
  <si>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</si>
  <si>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</si>
  <si>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</si>
  <si>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</si>
  <si>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</si>
  <si>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</si>
  <si>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</si>
  <si>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</si>
  <si>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</si>
  <si>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</si>
  <si>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</si>
  <si>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</si>
  <si>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</si>
  <si>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</si>
  <si>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</si>
  <si>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</si>
  <si>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</si>
  <si>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</si>
  <si>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</si>
  <si>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</si>
  <si>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</si>
  <si>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</si>
  <si>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</si>
  <si>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</si>
  <si>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</si>
  <si>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</si>
  <si>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</si>
  <si>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</si>
  <si>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</si>
  <si>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</si>
  <si>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</si>
  <si>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</si>
  <si>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</si>
  <si>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</si>
  <si>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</si>
  <si>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</si>
  <si>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</si>
  <si>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</si>
  <si>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</si>
  <si>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</si>
  <si>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</si>
  <si>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</si>
  <si>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</si>
  <si>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</si>
  <si>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</si>
  <si>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</si>
  <si>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</si>
  <si>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</si>
  <si>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</si>
  <si>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</si>
  <si>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</si>
  <si>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</si>
  <si>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</si>
  <si>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</si>
  <si>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</si>
  <si>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</si>
  <si>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</si>
  <si>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</si>
  <si>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</si>
  <si>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</si>
  <si>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</si>
  <si>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</si>
  <si>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</si>
  <si>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</si>
  <si>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</si>
  <si>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</si>
  <si>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</si>
  <si>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</si>
  <si>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</si>
  <si>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</si>
  <si>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</si>
  <si>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</si>
  <si>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</si>
  <si>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</si>
  <si>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</si>
  <si>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</si>
  <si>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</si>
  <si>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</si>
  <si>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</si>
  <si>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</si>
  <si>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</si>
  <si>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</si>
  <si>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</si>
  <si>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</si>
  <si>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</si>
  <si>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</si>
  <si>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</si>
  <si>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</si>
  <si>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</si>
  <si>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</si>
  <si>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</si>
  <si>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</si>
  <si>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</si>
  <si>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</si>
  <si>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</si>
  <si>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</si>
  <si>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</si>
  <si>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</si>
  <si>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</si>
  <si>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</si>
  <si>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</si>
  <si>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</si>
  <si>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</si>
  <si>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</si>
  <si>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</si>
  <si>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</si>
  <si>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</si>
  <si>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</si>
  <si>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</si>
  <si>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</si>
  <si>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</si>
  <si>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</si>
  <si>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</si>
  <si>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</si>
  <si>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</si>
  <si>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</si>
  <si>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</si>
  <si>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</si>
  <si>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</si>
  <si>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</si>
  <si>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</si>
  <si>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</si>
  <si>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</si>
  <si>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</si>
  <si>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</si>
  <si>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</si>
  <si>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</si>
  <si>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</si>
  <si>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</si>
  <si>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</si>
  <si>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</si>
  <si>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</si>
  <si>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</si>
  <si>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</si>
  <si>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</si>
  <si>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</si>
  <si>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</si>
  <si>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</si>
  <si>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</si>
  <si>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</si>
  <si>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</si>
  <si>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</si>
  <si>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</si>
  <si>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</si>
  <si>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</si>
  <si>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</si>
  <si>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</si>
  <si>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</si>
  <si>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</si>
  <si>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</si>
  <si>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</si>
  <si>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</si>
  <si>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</si>
  <si>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</si>
  <si>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</si>
  <si>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</si>
  <si>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</si>
  <si>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</si>
  <si>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</si>
  <si>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</si>
  <si>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</si>
  <si>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</si>
  <si>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</si>
  <si>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</si>
  <si>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</si>
  <si>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</si>
  <si>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</si>
  <si>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</si>
  <si>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</si>
  <si>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</si>
  <si>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</si>
  <si>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</si>
  <si>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</si>
  <si>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</si>
  <si>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</si>
  <si>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</si>
  <si>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</si>
  <si>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</si>
  <si>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</si>
  <si>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</si>
  <si>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</si>
  <si>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</si>
  <si>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</si>
  <si>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</si>
  <si>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</si>
  <si>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</si>
  <si>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</si>
  <si>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</si>
  <si>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</si>
  <si>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</si>
  <si>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</si>
  <si>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</si>
  <si>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</si>
  <si>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</si>
  <si>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</si>
  <si>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</si>
  <si>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</si>
  <si>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</si>
  <si>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</si>
  <si>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</si>
  <si>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</si>
  <si>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</si>
  <si>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</si>
  <si>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</si>
  <si>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</si>
  <si>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</si>
  <si>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</si>
  <si>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</si>
  <si>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</si>
  <si>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</si>
  <si>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</si>
  <si>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</si>
  <si>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</si>
  <si>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</si>
  <si>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</si>
  <si>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</si>
  <si>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</si>
  <si>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</si>
  <si>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</si>
  <si>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</si>
  <si>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</si>
  <si>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</si>
  <si>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</si>
  <si>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</si>
  <si>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</si>
  <si>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</si>
  <si>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</si>
  <si>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</si>
  <si>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</si>
  <si>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</si>
  <si>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</si>
  <si>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</si>
  <si>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</si>
  <si>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</si>
  <si>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</si>
  <si>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</si>
  <si>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</si>
  <si>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</si>
  <si>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</si>
  <si>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</si>
  <si>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</si>
  <si>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</si>
  <si>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</si>
  <si>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</si>
  <si>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</si>
  <si>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</si>
  <si>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</si>
  <si>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</si>
  <si>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</si>
  <si>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</si>
  <si>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</si>
  <si>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</si>
  <si>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</si>
  <si>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</si>
  <si>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</si>
  <si>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</si>
  <si>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</si>
  <si>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</si>
  <si>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</si>
  <si>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</si>
  <si>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</si>
  <si>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</si>
  <si>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</si>
  <si>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</si>
  <si>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</si>
  <si>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</si>
  <si>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</si>
  <si>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</si>
  <si>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</si>
  <si>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</si>
  <si>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</si>
  <si>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</si>
  <si>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</si>
  <si>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</si>
  <si>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</si>
  <si>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</si>
  <si>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</si>
  <si>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</si>
  <si>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</si>
  <si>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</si>
  <si>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</si>
  <si>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</si>
  <si>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</si>
  <si>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</si>
  <si>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</si>
  <si>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</si>
  <si>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</si>
  <si>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</si>
  <si>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</si>
  <si>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</si>
  <si>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</si>
  <si>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</si>
  <si>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</si>
  <si>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</si>
  <si>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</si>
  <si>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</si>
  <si>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</si>
  <si>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</si>
  <si>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</si>
  <si>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</si>
  <si>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</si>
  <si>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</si>
  <si>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</si>
  <si>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</si>
  <si>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</si>
  <si>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</si>
  <si>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</si>
  <si>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</si>
  <si>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</si>
  <si>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</si>
  <si>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</si>
  <si>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</si>
  <si>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</si>
  <si>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</si>
  <si>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</si>
  <si>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</si>
  <si>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</si>
  <si>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</si>
  <si>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</si>
  <si>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</si>
  <si>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</si>
  <si>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</si>
  <si>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</si>
  <si>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</si>
  <si>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</si>
  <si>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</si>
  <si>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</si>
  <si>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</si>
  <si>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</si>
  <si>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</si>
  <si>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</si>
  <si>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</si>
  <si>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</si>
  <si>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</si>
  <si>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</si>
  <si>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</si>
  <si>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</si>
  <si>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</si>
  <si>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</si>
  <si>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</si>
  <si>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</si>
  <si>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</si>
  <si>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</si>
  <si>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</si>
  <si>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</si>
  <si>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</si>
  <si>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</si>
  <si>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</si>
  <si>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</si>
  <si>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</si>
  <si>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</si>
  <si>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</si>
  <si>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</si>
  <si>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</si>
  <si>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</si>
  <si>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</si>
  <si>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</si>
  <si>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</si>
  <si>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</si>
  <si>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</si>
  <si>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</si>
  <si>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</si>
  <si>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</si>
  <si>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</si>
  <si>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</si>
  <si>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</si>
  <si>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</si>
  <si>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</si>
  <si>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</si>
  <si>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</si>
  <si>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</si>
  <si>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</si>
  <si>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</si>
  <si>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</si>
  <si>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</si>
  <si>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</si>
  <si>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</si>
  <si>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</si>
  <si>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</si>
  <si>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</si>
  <si>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</si>
  <si>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</si>
  <si>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</si>
  <si>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</si>
  <si>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</si>
  <si>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</si>
  <si>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</si>
  <si>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</si>
  <si>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</si>
  <si>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</si>
  <si>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</si>
  <si>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</si>
  <si>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</si>
  <si>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</si>
  <si>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</si>
  <si>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</si>
  <si>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</si>
  <si>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</si>
  <si>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</si>
  <si>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</si>
  <si>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</si>
  <si>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</si>
  <si>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</si>
  <si>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</si>
  <si>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</si>
  <si>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</si>
  <si>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</si>
  <si>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</si>
  <si>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</si>
  <si>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</si>
  <si>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</si>
  <si>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</si>
  <si>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</si>
  <si>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</si>
  <si>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</si>
  <si>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</si>
  <si>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</si>
  <si>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</si>
  <si>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</si>
  <si>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</si>
  <si>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</si>
  <si>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</si>
  <si>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</si>
  <si>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</si>
  <si>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</si>
  <si>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</si>
  <si>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</si>
  <si>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</si>
  <si>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</si>
  <si>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</si>
  <si>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</si>
  <si>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</si>
  <si>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</si>
  <si>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</si>
  <si>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</si>
  <si>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</si>
  <si>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</si>
  <si>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</si>
  <si>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</si>
  <si>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</si>
  <si>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</si>
  <si>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</si>
  <si>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</si>
  <si>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</si>
  <si>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</si>
  <si>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</si>
  <si>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</si>
  <si>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</si>
  <si>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</si>
  <si>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</si>
  <si>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</si>
  <si>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</si>
  <si>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</si>
  <si>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</si>
  <si>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</si>
  <si>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</si>
  <si>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</si>
  <si>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</si>
  <si>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</si>
  <si>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</si>
  <si>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</si>
  <si>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</si>
  <si>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</si>
  <si>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</si>
  <si>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</si>
  <si>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</si>
  <si>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</si>
  <si>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</si>
  <si>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</si>
  <si>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</si>
  <si>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</si>
  <si>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</si>
  <si>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</si>
  <si>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</si>
  <si>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</si>
  <si>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</si>
  <si>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</si>
  <si>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</si>
  <si>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</si>
  <si>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</si>
  <si>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</si>
  <si>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</si>
  <si>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</si>
  <si>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</si>
  <si>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</si>
  <si>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</si>
  <si>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</si>
  <si>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</si>
  <si>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</si>
  <si>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</si>
  <si>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</si>
  <si>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</si>
  <si>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</si>
  <si>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</si>
  <si>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</si>
  <si>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</si>
  <si>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</si>
  <si>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</si>
  <si>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</si>
  <si>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</si>
  <si>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</si>
  <si>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</si>
  <si>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</si>
  <si>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</si>
  <si>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</si>
  <si>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</si>
  <si>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</si>
  <si>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</si>
  <si>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</si>
  <si>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</si>
  <si>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</si>
  <si>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</si>
  <si>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</si>
  <si>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</si>
  <si>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</si>
  <si>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</si>
  <si>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</si>
  <si>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</si>
  <si>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</si>
  <si>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</si>
  <si>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</si>
  <si>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</si>
  <si>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</si>
  <si>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</si>
  <si>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</si>
  <si>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</si>
  <si>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</si>
  <si>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</si>
  <si>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</si>
  <si>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</si>
  <si>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</si>
  <si>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</si>
  <si>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</si>
  <si>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</si>
  <si>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</si>
  <si>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</si>
  <si>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</si>
  <si>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</si>
  <si>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</si>
  <si>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</si>
  <si>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</si>
  <si>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</si>
  <si>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</si>
  <si>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</si>
  <si>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</si>
  <si>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</si>
  <si>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</si>
  <si>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</si>
  <si>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</si>
  <si>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</si>
  <si>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</si>
  <si>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</si>
  <si>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</si>
  <si>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</si>
  <si>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</si>
  <si>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</si>
  <si>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</si>
  <si>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</si>
  <si>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</si>
  <si>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</si>
  <si>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</si>
  <si>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</si>
  <si>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</si>
  <si>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</si>
  <si>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</si>
  <si>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</si>
  <si>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</si>
  <si>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</si>
  <si>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</si>
  <si>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</si>
  <si>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</si>
  <si>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</si>
  <si>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</si>
  <si>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</si>
  <si>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</si>
  <si>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</si>
  <si>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</si>
  <si>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</si>
  <si>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</si>
  <si>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</si>
  <si>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</si>
  <si>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</si>
  <si>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</si>
  <si>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</si>
  <si>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</si>
  <si>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</si>
  <si>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</si>
  <si>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</si>
  <si>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</si>
  <si>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</si>
  <si>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</si>
  <si>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</si>
  <si>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</si>
  <si>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</si>
  <si>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</si>
  <si>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</si>
  <si>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</si>
  <si>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</si>
  <si>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</si>
  <si>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</si>
  <si>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</si>
  <si>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</si>
  <si>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</si>
  <si>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</si>
  <si>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</si>
  <si>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</si>
  <si>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</si>
  <si>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</si>
  <si>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</si>
  <si>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</si>
  <si>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</si>
  <si>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</si>
  <si>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</si>
  <si>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</si>
  <si>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</si>
  <si>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</si>
  <si>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</si>
  <si>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</si>
  <si>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</si>
  <si>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</si>
  <si>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</si>
  <si>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</si>
  <si>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</si>
  <si>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</si>
  <si>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</si>
  <si>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</si>
  <si>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</si>
  <si>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</si>
  <si>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</si>
  <si>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</si>
  <si>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</si>
  <si>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</si>
  <si>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</si>
  <si>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</si>
  <si>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</si>
  <si>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</si>
  <si>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</si>
  <si>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</si>
  <si>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</si>
  <si>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</si>
  <si>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</si>
  <si>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</si>
  <si>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</si>
  <si>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</si>
  <si>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</si>
  <si>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</si>
  <si>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</si>
  <si>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</si>
  <si>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</si>
  <si>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</si>
  <si>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</si>
  <si>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</si>
  <si>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</si>
  <si>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</si>
  <si>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</si>
  <si>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</si>
  <si>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</si>
  <si>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</si>
  <si>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</si>
  <si>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</si>
  <si>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</si>
  <si>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</si>
  <si>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</si>
  <si>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</si>
  <si>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</si>
  <si>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</si>
  <si>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</si>
  <si>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</si>
  <si>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</si>
  <si>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</si>
  <si>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</si>
  <si>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</si>
  <si>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</si>
  <si>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</si>
  <si>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</si>
  <si>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</si>
  <si>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</si>
  <si>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</si>
  <si>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</si>
  <si>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</si>
  <si>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</si>
  <si>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</si>
  <si>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</si>
  <si>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</si>
  <si>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</si>
  <si>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</si>
  <si>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</si>
  <si>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</si>
  <si>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</si>
  <si>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</si>
  <si>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</si>
  <si>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</si>
  <si>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</si>
  <si>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</si>
  <si>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</si>
  <si>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</si>
  <si>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</si>
  <si>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</si>
  <si>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</si>
  <si>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</si>
  <si>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</si>
  <si>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</si>
  <si>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</si>
  <si>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</si>
  <si>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</si>
  <si>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</si>
  <si>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</si>
  <si>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</si>
  <si>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</si>
  <si>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</si>
  <si>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</si>
  <si>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</si>
  <si>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</si>
  <si>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</si>
  <si>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</si>
  <si>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</si>
  <si>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</si>
  <si>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</si>
  <si>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</si>
  <si>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</si>
  <si>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</si>
  <si>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</si>
  <si>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</si>
  <si>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</si>
  <si>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</si>
  <si>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</si>
  <si>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</si>
  <si>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</si>
  <si>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</si>
  <si>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</si>
  <si>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</si>
  <si>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</si>
  <si>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</si>
  <si>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</si>
  <si>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</si>
  <si>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</si>
  <si>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</si>
  <si>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</si>
  <si>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</si>
  <si>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</si>
  <si>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</si>
  <si>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</si>
  <si>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</si>
  <si>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</si>
  <si>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</si>
  <si>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</si>
  <si>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</si>
  <si>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</si>
  <si>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</si>
  <si>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</si>
  <si>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</si>
  <si>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</si>
  <si>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</si>
  <si>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</si>
  <si>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</si>
  <si>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</si>
  <si>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</si>
  <si>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</si>
  <si>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</si>
  <si>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</si>
  <si>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</si>
  <si>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</si>
  <si>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</si>
  <si>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</si>
  <si>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</si>
  <si>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</si>
  <si>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</si>
  <si>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</si>
  <si>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</si>
  <si>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</si>
  <si>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</si>
  <si>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</si>
  <si>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</si>
  <si>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</si>
  <si>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</si>
  <si>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</si>
  <si>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</si>
  <si>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</si>
  <si>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</si>
  <si>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</si>
  <si>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</si>
  <si>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</si>
  <si>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</si>
  <si>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</si>
  <si>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</si>
  <si>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</si>
  <si>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</si>
  <si>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</si>
  <si>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</si>
  <si>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</si>
  <si>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</si>
  <si>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</si>
  <si>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</si>
  <si>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</si>
  <si>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</si>
  <si>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</si>
  <si>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</si>
  <si>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</si>
  <si>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</si>
  <si>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</si>
  <si>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</si>
  <si>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</si>
  <si>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</si>
  <si>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</si>
  <si>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</si>
  <si>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</si>
  <si>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</si>
  <si>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</si>
  <si>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</si>
  <si>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</si>
  <si>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</si>
  <si>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</si>
  <si>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</si>
  <si>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</si>
  <si>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</si>
  <si>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</si>
  <si>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</si>
  <si>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</si>
  <si>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</si>
  <si>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</si>
  <si>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</si>
  <si>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</si>
  <si>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</si>
  <si>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</si>
  <si>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</si>
  <si>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</si>
  <si>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</si>
  <si>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</si>
  <si>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</si>
  <si>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</si>
  <si>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</si>
  <si>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</si>
  <si>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</si>
  <si>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</si>
  <si>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</si>
  <si>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</si>
  <si>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</si>
  <si>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</si>
  <si>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</si>
  <si>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</si>
  <si>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</si>
  <si>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</si>
  <si>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</si>
  <si>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</si>
  <si>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</si>
  <si>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</si>
  <si>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</si>
  <si>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</si>
  <si>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</si>
  <si>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</si>
  <si>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</si>
  <si>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</si>
  <si>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</si>
  <si>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</si>
  <si>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</si>
  <si>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</si>
  <si>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</si>
  <si>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</si>
  <si>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</si>
  <si>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</si>
  <si>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</si>
  <si>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</si>
  <si>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</si>
  <si>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</si>
  <si>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</si>
  <si>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</si>
  <si>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</si>
  <si>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</si>
  <si>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</si>
  <si>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</si>
  <si>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</si>
  <si>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</si>
  <si>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</si>
  <si>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</si>
  <si>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</si>
  <si>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</si>
  <si>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</si>
  <si>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</si>
  <si>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</si>
  <si>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</si>
  <si>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</si>
  <si>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</si>
  <si>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</si>
  <si>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</si>
  <si>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</si>
  <si>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</si>
  <si>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</si>
  <si>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</si>
  <si>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</si>
  <si>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</si>
  <si>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</si>
  <si>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</si>
  <si>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</si>
  <si>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</si>
  <si>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</si>
  <si>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</si>
  <si>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</si>
  <si>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</si>
  <si>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</si>
  <si>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</si>
  <si>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</si>
  <si>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</si>
  <si>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</si>
  <si>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</si>
  <si>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</si>
  <si>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</si>
  <si>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</si>
  <si>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</si>
  <si>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</si>
  <si>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</si>
  <si>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</si>
  <si>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</si>
  <si>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</si>
  <si>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</si>
  <si>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</si>
  <si>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</si>
  <si>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</si>
  <si>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</si>
  <si>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</si>
  <si>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</si>
  <si>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</si>
  <si>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</si>
  <si>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</si>
  <si>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</si>
  <si>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</si>
  <si>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</si>
  <si>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</si>
  <si>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</si>
  <si>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</si>
  <si>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</si>
  <si>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</si>
  <si>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</si>
  <si>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</si>
  <si>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</si>
  <si>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</si>
  <si>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</si>
  <si>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</si>
  <si>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</si>
  <si>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</si>
  <si>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</si>
  <si>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</si>
  <si>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</si>
  <si>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</si>
  <si>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</si>
  <si>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</si>
  <si>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</si>
  <si>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</si>
  <si>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</si>
  <si>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</si>
  <si>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</si>
  <si>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</si>
  <si>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</si>
  <si>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2.1.0</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</si>
  <si>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</si>
  <si>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</si>
  <si>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</si>
  <si>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</si>
  <si>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</si>
  <si>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</si>
  <si>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</si>
  <si>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</si>
  <si>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</si>
  <si>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</si>
  <si>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</si>
  <si>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</si>
  <si>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</si>
  <si>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</si>
  <si>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</si>
  <si>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</si>
  <si>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</si>
  <si>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</si>
  <si>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</si>
  <si>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</si>
  <si>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</si>
  <si>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</si>
  <si>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</si>
  <si>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</si>
  <si>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</si>
  <si>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</si>
  <si>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</si>
  <si>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</si>
  <si>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</si>
  <si>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</si>
  <si>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</si>
  <si>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</si>
  <si>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</si>
  <si>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</si>
  <si>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</si>
  <si>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</si>
  <si>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</si>
  <si>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</si>
  <si>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</si>
  <si>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</si>
  <si>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</si>
  <si>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</si>
  <si>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</si>
  <si>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</si>
  <si>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</si>
  <si>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</si>
  <si>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</si>
  <si>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</si>
  <si>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</si>
  <si>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</si>
  <si>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</si>
  <si>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</si>
  <si>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</si>
  <si>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</si>
  <si>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</si>
  <si>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</si>
  <si>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</si>
  <si>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</si>
  <si>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</si>
  <si>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</si>
  <si>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</si>
  <si>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</si>
  <si>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</si>
  <si>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</si>
  <si>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</si>
  <si>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</si>
  <si>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</si>
  <si>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</si>
  <si>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</si>
  <si>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</si>
  <si>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</si>
  <si>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</si>
  <si>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</si>
  <si>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</si>
  <si>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</si>
  <si>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</si>
  <si>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</si>
  <si>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</si>
  <si>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</si>
  <si>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</si>
  <si>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</si>
  <si>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</si>
  <si>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</si>
  <si>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</si>
  <si>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</si>
  <si>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</si>
  <si>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</si>
  <si>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</si>
  <si>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</si>
  <si>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</si>
  <si>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</si>
  <si>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</si>
  <si>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</si>
  <si>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</si>
  <si>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t>Design</t>
  </si>
  <si>
    <t>Server</t>
  </si>
  <si>
    <t>iOS</t>
  </si>
  <si>
    <t>Android</t>
  </si>
  <si>
    <t>QA</t>
  </si>
  <si>
    <t>Meghan</t>
  </si>
  <si>
    <t>Anil</t>
  </si>
  <si>
    <t>Nabin</t>
  </si>
  <si>
    <t>Preyea</t>
  </si>
  <si>
    <t>Ram</t>
  </si>
  <si>
    <t>Dibya</t>
  </si>
  <si>
    <t>Andrew</t>
  </si>
  <si>
    <t>Eddie</t>
  </si>
  <si>
    <t>JY</t>
  </si>
  <si>
    <t>Sumitra</t>
  </si>
  <si>
    <t>Chetan</t>
  </si>
  <si>
    <t>Summer</t>
  </si>
  <si>
    <t>Subash</t>
  </si>
  <si>
    <t>Workload현황(주별)</t>
  </si>
  <si>
    <t>* 주별 또는 월별 Workload를 보여줍니다.</t>
  </si>
  <si>
    <t>* "Workload(주별)" 또는 "Workload(월별)" 메뉴를 클릭해야 내용이 갱신됩니다.</t>
  </si>
  <si>
    <t>일 (월평균 근무일수)</t>
  </si>
  <si>
    <t>차트</t>
  </si>
  <si>
    <t>기타</t>
  </si>
  <si>
    <t>결제토큰생성</t>
  </si>
  <si>
    <t>바코드 생성</t>
  </si>
  <si>
    <t>소켓생성및 접속</t>
  </si>
  <si>
    <t>거래고유번호 생성</t>
  </si>
  <si>
    <t>TESTCALL</t>
  </si>
  <si>
    <t>응답코드 처리</t>
  </si>
  <si>
    <t>암/복호화 처리</t>
  </si>
  <si>
    <t>업무처리</t>
  </si>
  <si>
    <t>결제처리</t>
  </si>
  <si>
    <t>환불처리</t>
  </si>
  <si>
    <t>결제취소처리</t>
  </si>
  <si>
    <t>보고서</t>
  </si>
  <si>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</si>
  <si>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</si>
  <si>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전문처리</t>
  </si>
  <si>
    <t>공통정보부</t>
  </si>
  <si>
    <t>업무공통부</t>
  </si>
  <si>
    <t>CPM 결제/결제취소</t>
  </si>
  <si>
    <t>환불</t>
  </si>
  <si>
    <t>고정형MPM 결제결과 등록</t>
  </si>
  <si>
    <t>처리결과 조회</t>
  </si>
  <si>
    <t>QR 코드 사고신고 및 해제</t>
  </si>
  <si>
    <t>QR 생성</t>
  </si>
  <si>
    <t>QR 조회</t>
  </si>
  <si>
    <t>변동형MPM 결제/결제취소</t>
  </si>
  <si>
    <t>일괄전송</t>
  </si>
  <si>
    <t>파일송수신</t>
  </si>
  <si>
    <t>결제사업자앞 결제취소 미완료 등록 내역</t>
  </si>
  <si>
    <t>결제사업자 결제결과 등록 내역</t>
  </si>
  <si>
    <t>중계센터 결제결과 등록 결과</t>
  </si>
  <si>
    <t>결제사업자 환불결과 등록 내역</t>
  </si>
  <si>
    <t>중계센터 환불결과 등록 결과</t>
  </si>
  <si>
    <t>프랜차이즈 소속 사업자 신규 및 변경내역</t>
  </si>
  <si>
    <t>프랜차이즈 내역</t>
  </si>
  <si>
    <t>제로페이 가맹점 신규 및 변경 내역</t>
  </si>
  <si>
    <t>제로페이 QR등록 및 해지 내역</t>
  </si>
  <si>
    <t>제로페이 전자출입 내역</t>
  </si>
  <si>
    <t>프랜차이즈 소속 사업자 전체 내역</t>
  </si>
  <si>
    <t>제로페이 가맹점 전체 내역</t>
  </si>
  <si>
    <t>제로페이 QR 전체 내역</t>
  </si>
  <si>
    <t>중계센터 앞 정산요청(1차)</t>
  </si>
  <si>
    <t>중계센터 앞 정산요청(2차)</t>
  </si>
  <si>
    <t>결제사업자 앞 정산결과(1차)</t>
  </si>
  <si>
    <t>결제사업자 앞 정산결과(2차)</t>
  </si>
  <si>
    <t>중계센터앞 정산 세부결과(결제)</t>
  </si>
  <si>
    <t>중계센터앞 정산 세부내역(환불)</t>
  </si>
  <si>
    <t>QR코드 생성</t>
  </si>
  <si>
    <t>1</t>
  </si>
  <si>
    <t>1.1</t>
  </si>
  <si>
    <t>1.2</t>
  </si>
  <si>
    <t>2</t>
  </si>
  <si>
    <t>2.1</t>
  </si>
  <si>
    <t>2.2</t>
  </si>
  <si>
    <t>2.3</t>
  </si>
  <si>
    <t>2.4</t>
  </si>
  <si>
    <t>2.5</t>
  </si>
  <si>
    <t>2.6</t>
  </si>
  <si>
    <t>2.7</t>
  </si>
  <si>
    <t>2.8</t>
  </si>
  <si>
    <t>2.9</t>
  </si>
  <si>
    <t>2.10</t>
  </si>
  <si>
    <t>2.11</t>
  </si>
  <si>
    <t>2.12</t>
  </si>
  <si>
    <t>2.13</t>
  </si>
  <si>
    <t>2.14</t>
  </si>
  <si>
    <t>3</t>
  </si>
  <si>
    <t>3.1</t>
  </si>
  <si>
    <t>3.2</t>
  </si>
  <si>
    <t>3.3</t>
  </si>
  <si>
    <t>4</t>
  </si>
  <si>
    <t>4.1</t>
  </si>
  <si>
    <t>4.2</t>
  </si>
  <si>
    <t>4.3</t>
  </si>
  <si>
    <t>4.4</t>
  </si>
  <si>
    <t>5</t>
  </si>
  <si>
    <t>분석 및 설계</t>
  </si>
  <si>
    <t>제로페이 업무분석</t>
  </si>
  <si>
    <t>요구사항 정의서</t>
  </si>
  <si>
    <t>3.4</t>
  </si>
  <si>
    <t>3.5</t>
  </si>
  <si>
    <t>3.6</t>
  </si>
  <si>
    <t>3.7</t>
  </si>
  <si>
    <t>3.8</t>
  </si>
  <si>
    <t>3.9</t>
  </si>
  <si>
    <t>3.10</t>
  </si>
  <si>
    <t>3.11</t>
  </si>
  <si>
    <t>3.12</t>
  </si>
  <si>
    <t>3.13</t>
  </si>
  <si>
    <t>3.14</t>
  </si>
  <si>
    <t>3.15</t>
  </si>
  <si>
    <t>3.16</t>
  </si>
  <si>
    <t>3.17</t>
  </si>
  <si>
    <t>3.18</t>
  </si>
  <si>
    <t>3.19</t>
  </si>
  <si>
    <t>3.20</t>
  </si>
  <si>
    <t>5.1</t>
  </si>
  <si>
    <t>5.2</t>
  </si>
  <si>
    <t>5.3</t>
  </si>
  <si>
    <t>5.4</t>
  </si>
  <si>
    <t>5.5</t>
  </si>
  <si>
    <t>6</t>
  </si>
  <si>
    <t>테스트</t>
  </si>
  <si>
    <t>전문처리 테스트</t>
  </si>
  <si>
    <t>일괄전송 테스트</t>
  </si>
  <si>
    <t>업무처리 테스트</t>
  </si>
  <si>
    <t>기타 테스트</t>
  </si>
  <si>
    <t>3.21</t>
  </si>
  <si>
    <t>5.6</t>
  </si>
  <si>
    <t>7</t>
  </si>
  <si>
    <t>보고서 테스트</t>
  </si>
  <si>
    <t>통합 테스트</t>
  </si>
  <si>
    <t>기능 테스트</t>
  </si>
  <si>
    <t>6.1</t>
  </si>
  <si>
    <t>7.1</t>
  </si>
  <si>
    <t>7.2</t>
  </si>
  <si>
    <t>서비스오픈</t>
  </si>
  <si>
    <t>8</t>
  </si>
  <si>
    <t>오픈일</t>
  </si>
  <si>
    <t>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</si>
</sst>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51">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
      <sz val="11"/>
      <name val="Arial Narrow"/>
      <family val="2"/>
    </font>
    <font>
      <sz val="9"/>
      <name val="Arial Unicode MS"/>
      <family val="2"/>
      <charset val="129"/>
    </font>
    <font>
      <sz val="9"/>
      <name val="굴림"/>
      <family val="2"/>
      <charset val="129"/>
    </font>
    <font>
      <sz val="9"/>
      <name val="맑은 고딕"/>
      <family val="2"/>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57">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4" xfId="4" applyFont="1" applyFill="1" applyBorder="1" applyAlignment="1" applyProtection="1">
      <alignment vertical="top"/>
      <protection locked="0"/>
    </xf>
    <xf numFmtId="0" fontId="12" fillId="0" borderId="24" xfId="4" quotePrefix="1" applyFont="1" applyFill="1" applyBorder="1" applyAlignment="1" applyProtection="1">
      <alignment horizontal="right" vertical="top"/>
      <protection locked="0"/>
    </xf>
    <xf numFmtId="0" fontId="12" fillId="0" borderId="24" xfId="4" applyFont="1" applyFill="1" applyBorder="1" applyAlignment="1" applyProtection="1">
      <alignment horizontal="left" vertical="top"/>
      <protection locked="0"/>
    </xf>
    <xf numFmtId="14"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left" vertical="top"/>
      <protection locked="0"/>
    </xf>
    <xf numFmtId="176"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center" vertical="top"/>
      <protection locked="0"/>
    </xf>
    <xf numFmtId="177" fontId="12" fillId="0" borderId="24" xfId="4" applyNumberFormat="1" applyFont="1" applyFill="1" applyBorder="1" applyAlignment="1" applyProtection="1">
      <alignment horizontal="center" vertical="top"/>
      <protection locked="0"/>
    </xf>
    <xf numFmtId="1" fontId="12" fillId="0" borderId="24" xfId="4" applyNumberFormat="1" applyFont="1" applyFill="1" applyBorder="1" applyAlignment="1" applyProtection="1">
      <alignment horizontal="center" vertical="top"/>
      <protection locked="0"/>
    </xf>
    <xf numFmtId="179" fontId="12" fillId="0" borderId="24" xfId="4" applyNumberFormat="1" applyFont="1" applyFill="1" applyBorder="1" applyAlignment="1" applyProtection="1">
      <alignment horizontal="center" vertical="top"/>
      <protection locked="0"/>
    </xf>
    <xf numFmtId="14" fontId="12" fillId="0" borderId="24" xfId="4" applyNumberFormat="1" applyFont="1" applyFill="1" applyBorder="1" applyAlignment="1" applyProtection="1">
      <alignment horizontal="left" vertical="top"/>
      <protection locked="0"/>
    </xf>
    <xf numFmtId="10" fontId="12" fillId="0" borderId="24" xfId="6" applyNumberFormat="1" applyFont="1" applyFill="1" applyBorder="1" applyAlignment="1" applyProtection="1">
      <alignment horizontal="right" vertical="top" wrapText="1"/>
      <protection locked="0"/>
    </xf>
    <xf numFmtId="10" fontId="12" fillId="0" borderId="24" xfId="6" applyNumberFormat="1" applyFont="1" applyFill="1" applyBorder="1" applyAlignment="1" applyProtection="1">
      <alignment horizontal="right" vertical="top"/>
      <protection locked="0"/>
    </xf>
    <xf numFmtId="0" fontId="16" fillId="0" borderId="0" xfId="4" applyFont="1" applyBorder="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0" fontId="12" fillId="0" borderId="25" xfId="4" applyFont="1" applyFill="1" applyBorder="1" applyAlignment="1" applyProtection="1">
      <alignment horizontal="left" vertical="center"/>
      <protection locked="0"/>
    </xf>
    <xf numFmtId="0" fontId="16" fillId="0" borderId="12" xfId="4" applyFont="1" applyBorder="1"/>
    <xf numFmtId="2" fontId="16" fillId="0" borderId="0" xfId="4" applyNumberFormat="1" applyFont="1" applyBorder="1"/>
    <xf numFmtId="14" fontId="16" fillId="0" borderId="15" xfId="4" applyNumberFormat="1" applyFont="1" applyBorder="1"/>
    <xf numFmtId="0" fontId="16" fillId="0" borderId="15" xfId="4" applyFont="1" applyBorder="1"/>
    <xf numFmtId="2" fontId="16" fillId="0" borderId="15" xfId="4" applyNumberFormat="1" applyFont="1" applyBorder="1"/>
    <xf numFmtId="0" fontId="47" fillId="0" borderId="15" xfId="4" applyFont="1" applyBorder="1"/>
    <xf numFmtId="14" fontId="16" fillId="0" borderId="26" xfId="4" applyNumberFormat="1" applyFont="1" applyBorder="1"/>
    <xf numFmtId="0" fontId="16" fillId="0" borderId="26" xfId="4" applyFont="1" applyBorder="1"/>
    <xf numFmtId="2" fontId="16" fillId="0" borderId="26" xfId="4" applyNumberFormat="1" applyFont="1" applyBorder="1"/>
    <xf numFmtId="0" fontId="47" fillId="0" borderId="26" xfId="4" applyFont="1" applyBorder="1"/>
    <xf numFmtId="0" fontId="48" fillId="0" borderId="7" xfId="4" applyFont="1" applyFill="1" applyBorder="1" applyAlignment="1" applyProtection="1">
      <alignment horizontal="left" vertical="top"/>
      <protection locked="0"/>
    </xf>
    <xf numFmtId="0" fontId="49" fillId="0" borderId="7" xfId="4" applyFont="1" applyFill="1" applyBorder="1" applyAlignment="1" applyProtection="1">
      <alignment horizontal="left"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3"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4" xfId="1" applyNumberFormat="1"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0" fontId="16" fillId="7" borderId="3" xfId="4" applyFont="1" applyFill="1" applyBorder="1" applyAlignment="1">
      <alignment horizontal="left" wrapText="1"/>
    </xf>
    <xf numFmtId="0" fontId="16" fillId="0" borderId="0" xfId="4" applyFont="1" applyBorder="1"/>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xf numFmtId="0" fontId="50" fillId="0" borderId="7" xfId="4" applyFont="1" applyFill="1" applyBorder="1" applyAlignment="1" applyProtection="1">
      <alignment horizontal="left" vertical="top"/>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27</xdr:col>
      <xdr:colOff>478971</xdr:colOff>
      <xdr:row>3</xdr:row>
      <xdr:rowOff>59690</xdr:rowOff>
    </xdr:from>
    <xdr:to>
      <xdr:col>27</xdr:col>
      <xdr:colOff>478971</xdr:colOff>
      <xdr:row>62</xdr:row>
      <xdr:rowOff>0</xdr:rowOff>
    </xdr:to>
    <xdr:cxnSp macro="">
      <xdr:nvCxnSpPr>
        <xdr:cNvPr id="14" name="직선 화살표 연결선 13">
          <a:extLst>
            <a:ext uri="{FF2B5EF4-FFF2-40B4-BE49-F238E27FC236}">
              <a16:creationId xmlns:a16="http://schemas.microsoft.com/office/drawing/2014/main" id="{95C65BF9-D414-4B20-831B-F2E17339DEF5}"/>
            </a:ext>
          </a:extLst>
        </xdr:cNvPr>
        <xdr:cNvCxnSpPr/>
      </xdr:nvCxnSpPr>
      <xdr:spPr>
        <a:xfrm>
          <a:off x="8487591" y="753110"/>
          <a:ext cx="0" cy="832231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82732</xdr:colOff>
      <xdr:row>3</xdr:row>
      <xdr:rowOff>59690</xdr:rowOff>
    </xdr:from>
    <xdr:to>
      <xdr:col>28</xdr:col>
      <xdr:colOff>82732</xdr:colOff>
      <xdr:row>70</xdr:row>
      <xdr:rowOff>0</xdr:rowOff>
    </xdr:to>
    <xdr:cxnSp macro="">
      <xdr:nvCxnSpPr>
        <xdr:cNvPr id="468" name="직선 화살표 연결선 467">
          <a:extLst>
            <a:ext uri="{FF2B5EF4-FFF2-40B4-BE49-F238E27FC236}">
              <a16:creationId xmlns:a16="http://schemas.microsoft.com/office/drawing/2014/main" id="{E082B8BF-6628-4813-A582-F3D4822F5579}"/>
            </a:ext>
          </a:extLst>
        </xdr:cNvPr>
        <xdr:cNvCxnSpPr/>
      </xdr:nvCxnSpPr>
      <xdr:spPr>
        <a:xfrm>
          <a:off x="8632372" y="753110"/>
          <a:ext cx="0" cy="1016635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xdr:row>
      <xdr:rowOff>19050</xdr:rowOff>
    </xdr:from>
    <xdr:to>
      <xdr:col>39</xdr:col>
      <xdr:colOff>41365</xdr:colOff>
      <xdr:row>69</xdr:row>
      <xdr:rowOff>133350</xdr:rowOff>
    </xdr:to>
    <xdr:sp macro="" textlink="">
      <xdr:nvSpPr>
        <xdr:cNvPr id="583" name="직사각형 582">
          <a:extLst>
            <a:ext uri="{FF2B5EF4-FFF2-40B4-BE49-F238E27FC236}">
              <a16:creationId xmlns:a16="http://schemas.microsoft.com/office/drawing/2014/main" id="{56AE8586-80C2-4F9E-97FC-F5630C00E1DC}"/>
            </a:ext>
          </a:extLst>
        </xdr:cNvPr>
        <xdr:cNvSpPr/>
      </xdr:nvSpPr>
      <xdr:spPr>
        <a:xfrm>
          <a:off x="10142220" y="1078611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69</xdr:row>
      <xdr:rowOff>76200</xdr:rowOff>
    </xdr:from>
    <xdr:to>
      <xdr:col>39</xdr:col>
      <xdr:colOff>0</xdr:colOff>
      <xdr:row>69</xdr:row>
      <xdr:rowOff>76200</xdr:rowOff>
    </xdr:to>
    <xdr:cxnSp macro="">
      <xdr:nvCxnSpPr>
        <xdr:cNvPr id="584" name="직선 화살표 연결선 583">
          <a:extLst>
            <a:ext uri="{FF2B5EF4-FFF2-40B4-BE49-F238E27FC236}">
              <a16:creationId xmlns:a16="http://schemas.microsoft.com/office/drawing/2014/main" id="{03142807-91CB-4BEF-9D45-0E7E6271618C}"/>
            </a:ext>
          </a:extLst>
        </xdr:cNvPr>
        <xdr:cNvCxnSpPr/>
      </xdr:nvCxnSpPr>
      <xdr:spPr>
        <a:xfrm>
          <a:off x="10142220" y="108432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xdr:row>
      <xdr:rowOff>19050</xdr:rowOff>
    </xdr:from>
    <xdr:to>
      <xdr:col>39</xdr:col>
      <xdr:colOff>41365</xdr:colOff>
      <xdr:row>68</xdr:row>
      <xdr:rowOff>133350</xdr:rowOff>
    </xdr:to>
    <xdr:sp macro="" textlink="">
      <xdr:nvSpPr>
        <xdr:cNvPr id="585" name="직사각형 584">
          <a:extLst>
            <a:ext uri="{FF2B5EF4-FFF2-40B4-BE49-F238E27FC236}">
              <a16:creationId xmlns:a16="http://schemas.microsoft.com/office/drawing/2014/main" id="{9A68BCC2-3680-4018-A6B6-72FAC0EAF36D}"/>
            </a:ext>
          </a:extLst>
        </xdr:cNvPr>
        <xdr:cNvSpPr/>
      </xdr:nvSpPr>
      <xdr:spPr>
        <a:xfrm>
          <a:off x="10142220" y="1063371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68</xdr:row>
      <xdr:rowOff>76200</xdr:rowOff>
    </xdr:from>
    <xdr:to>
      <xdr:col>39</xdr:col>
      <xdr:colOff>0</xdr:colOff>
      <xdr:row>68</xdr:row>
      <xdr:rowOff>76200</xdr:rowOff>
    </xdr:to>
    <xdr:cxnSp macro="">
      <xdr:nvCxnSpPr>
        <xdr:cNvPr id="586" name="직선 화살표 연결선 585">
          <a:extLst>
            <a:ext uri="{FF2B5EF4-FFF2-40B4-BE49-F238E27FC236}">
              <a16:creationId xmlns:a16="http://schemas.microsoft.com/office/drawing/2014/main" id="{43C44788-79A0-43C0-A247-F1195A7FEB19}"/>
            </a:ext>
          </a:extLst>
        </xdr:cNvPr>
        <xdr:cNvCxnSpPr/>
      </xdr:nvCxnSpPr>
      <xdr:spPr>
        <a:xfrm>
          <a:off x="10142220" y="106908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66</xdr:row>
      <xdr:rowOff>19050</xdr:rowOff>
    </xdr:from>
    <xdr:to>
      <xdr:col>38</xdr:col>
      <xdr:colOff>82732</xdr:colOff>
      <xdr:row>66</xdr:row>
      <xdr:rowOff>133350</xdr:rowOff>
    </xdr:to>
    <xdr:sp macro="" textlink="">
      <xdr:nvSpPr>
        <xdr:cNvPr id="587" name="직사각형 586">
          <a:extLst>
            <a:ext uri="{FF2B5EF4-FFF2-40B4-BE49-F238E27FC236}">
              <a16:creationId xmlns:a16="http://schemas.microsoft.com/office/drawing/2014/main" id="{29D21954-738C-41C3-BA2D-B4A790685A68}"/>
            </a:ext>
          </a:extLst>
        </xdr:cNvPr>
        <xdr:cNvSpPr/>
      </xdr:nvSpPr>
      <xdr:spPr>
        <a:xfrm>
          <a:off x="9997440" y="1032891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66</xdr:row>
      <xdr:rowOff>76200</xdr:rowOff>
    </xdr:from>
    <xdr:to>
      <xdr:col>38</xdr:col>
      <xdr:colOff>0</xdr:colOff>
      <xdr:row>66</xdr:row>
      <xdr:rowOff>76200</xdr:rowOff>
    </xdr:to>
    <xdr:cxnSp macro="">
      <xdr:nvCxnSpPr>
        <xdr:cNvPr id="588" name="직선 화살표 연결선 587">
          <a:extLst>
            <a:ext uri="{FF2B5EF4-FFF2-40B4-BE49-F238E27FC236}">
              <a16:creationId xmlns:a16="http://schemas.microsoft.com/office/drawing/2014/main" id="{BBDA4DDE-F162-420D-8591-A8FADD29B11D}"/>
            </a:ext>
          </a:extLst>
        </xdr:cNvPr>
        <xdr:cNvCxnSpPr/>
      </xdr:nvCxnSpPr>
      <xdr:spPr>
        <a:xfrm>
          <a:off x="9997440" y="103860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65</xdr:row>
      <xdr:rowOff>19050</xdr:rowOff>
    </xdr:from>
    <xdr:to>
      <xdr:col>37</xdr:col>
      <xdr:colOff>103414</xdr:colOff>
      <xdr:row>65</xdr:row>
      <xdr:rowOff>133350</xdr:rowOff>
    </xdr:to>
    <xdr:sp macro="" textlink="">
      <xdr:nvSpPr>
        <xdr:cNvPr id="589" name="직사각형 588">
          <a:extLst>
            <a:ext uri="{FF2B5EF4-FFF2-40B4-BE49-F238E27FC236}">
              <a16:creationId xmlns:a16="http://schemas.microsoft.com/office/drawing/2014/main" id="{7EAAF0B1-5BA6-452C-8353-043824F9D789}"/>
            </a:ext>
          </a:extLst>
        </xdr:cNvPr>
        <xdr:cNvSpPr/>
      </xdr:nvSpPr>
      <xdr:spPr>
        <a:xfrm>
          <a:off x="9707880" y="1017651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65</xdr:row>
      <xdr:rowOff>76200</xdr:rowOff>
    </xdr:from>
    <xdr:to>
      <xdr:col>36</xdr:col>
      <xdr:colOff>0</xdr:colOff>
      <xdr:row>65</xdr:row>
      <xdr:rowOff>76200</xdr:rowOff>
    </xdr:to>
    <xdr:cxnSp macro="">
      <xdr:nvCxnSpPr>
        <xdr:cNvPr id="590" name="직선 화살표 연결선 589">
          <a:extLst>
            <a:ext uri="{FF2B5EF4-FFF2-40B4-BE49-F238E27FC236}">
              <a16:creationId xmlns:a16="http://schemas.microsoft.com/office/drawing/2014/main" id="{BFE79E16-EF12-4353-9E25-C89508C90345}"/>
            </a:ext>
          </a:extLst>
        </xdr:cNvPr>
        <xdr:cNvCxnSpPr/>
      </xdr:nvCxnSpPr>
      <xdr:spPr>
        <a:xfrm>
          <a:off x="9707880" y="102336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64</xdr:row>
      <xdr:rowOff>26669</xdr:rowOff>
    </xdr:from>
    <xdr:to>
      <xdr:col>38</xdr:col>
      <xdr:colOff>82732</xdr:colOff>
      <xdr:row>64</xdr:row>
      <xdr:rowOff>140969</xdr:rowOff>
    </xdr:to>
    <xdr:sp macro="" textlink="">
      <xdr:nvSpPr>
        <xdr:cNvPr id="591" name="직사각형 590">
          <a:extLst>
            <a:ext uri="{FF2B5EF4-FFF2-40B4-BE49-F238E27FC236}">
              <a16:creationId xmlns:a16="http://schemas.microsoft.com/office/drawing/2014/main" id="{0E31319D-4943-495F-B7E3-33EC6893D2D3}"/>
            </a:ext>
          </a:extLst>
        </xdr:cNvPr>
        <xdr:cNvSpPr/>
      </xdr:nvSpPr>
      <xdr:spPr>
        <a:xfrm>
          <a:off x="9707880" y="10016489"/>
          <a:ext cx="372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64</xdr:row>
      <xdr:rowOff>83819</xdr:rowOff>
    </xdr:from>
    <xdr:to>
      <xdr:col>36</xdr:col>
      <xdr:colOff>0</xdr:colOff>
      <xdr:row>64</xdr:row>
      <xdr:rowOff>83819</xdr:rowOff>
    </xdr:to>
    <xdr:cxnSp macro="">
      <xdr:nvCxnSpPr>
        <xdr:cNvPr id="592" name="직선 화살표 연결선 591">
          <a:extLst>
            <a:ext uri="{FF2B5EF4-FFF2-40B4-BE49-F238E27FC236}">
              <a16:creationId xmlns:a16="http://schemas.microsoft.com/office/drawing/2014/main" id="{5C699C43-C2FC-4507-B24A-CAE7B103EDD8}"/>
            </a:ext>
          </a:extLst>
        </xdr:cNvPr>
        <xdr:cNvCxnSpPr/>
      </xdr:nvCxnSpPr>
      <xdr:spPr>
        <a:xfrm>
          <a:off x="9707880" y="10073639"/>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59</xdr:row>
      <xdr:rowOff>19050</xdr:rowOff>
    </xdr:from>
    <xdr:to>
      <xdr:col>33</xdr:col>
      <xdr:colOff>103414</xdr:colOff>
      <xdr:row>59</xdr:row>
      <xdr:rowOff>133350</xdr:rowOff>
    </xdr:to>
    <xdr:sp macro="" textlink="">
      <xdr:nvSpPr>
        <xdr:cNvPr id="593" name="직사각형 592">
          <a:extLst>
            <a:ext uri="{FF2B5EF4-FFF2-40B4-BE49-F238E27FC236}">
              <a16:creationId xmlns:a16="http://schemas.microsoft.com/office/drawing/2014/main" id="{5919CF5A-2C68-4EB3-A939-9C096419407C}"/>
            </a:ext>
          </a:extLst>
        </xdr:cNvPr>
        <xdr:cNvSpPr/>
      </xdr:nvSpPr>
      <xdr:spPr>
        <a:xfrm>
          <a:off x="9046028" y="9246870"/>
          <a:ext cx="33092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59</xdr:row>
      <xdr:rowOff>76200</xdr:rowOff>
    </xdr:from>
    <xdr:to>
      <xdr:col>31</xdr:col>
      <xdr:colOff>62048</xdr:colOff>
      <xdr:row>59</xdr:row>
      <xdr:rowOff>76200</xdr:rowOff>
    </xdr:to>
    <xdr:cxnSp macro="">
      <xdr:nvCxnSpPr>
        <xdr:cNvPr id="594" name="직선 화살표 연결선 593">
          <a:extLst>
            <a:ext uri="{FF2B5EF4-FFF2-40B4-BE49-F238E27FC236}">
              <a16:creationId xmlns:a16="http://schemas.microsoft.com/office/drawing/2014/main" id="{3F303DFE-7800-4559-A7B3-8233D151FB15}"/>
            </a:ext>
          </a:extLst>
        </xdr:cNvPr>
        <xdr:cNvCxnSpPr/>
      </xdr:nvCxnSpPr>
      <xdr:spPr>
        <a:xfrm>
          <a:off x="9046028" y="93040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58</xdr:row>
      <xdr:rowOff>19050</xdr:rowOff>
    </xdr:from>
    <xdr:to>
      <xdr:col>33</xdr:col>
      <xdr:colOff>62048</xdr:colOff>
      <xdr:row>58</xdr:row>
      <xdr:rowOff>133350</xdr:rowOff>
    </xdr:to>
    <xdr:sp macro="" textlink="">
      <xdr:nvSpPr>
        <xdr:cNvPr id="595" name="직사각형 594">
          <a:extLst>
            <a:ext uri="{FF2B5EF4-FFF2-40B4-BE49-F238E27FC236}">
              <a16:creationId xmlns:a16="http://schemas.microsoft.com/office/drawing/2014/main" id="{D25DE470-52F2-4560-BD18-EFFB3F9C3A81}"/>
            </a:ext>
          </a:extLst>
        </xdr:cNvPr>
        <xdr:cNvSpPr/>
      </xdr:nvSpPr>
      <xdr:spPr>
        <a:xfrm>
          <a:off x="9273540" y="909447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58</xdr:row>
      <xdr:rowOff>76200</xdr:rowOff>
    </xdr:from>
    <xdr:to>
      <xdr:col>33</xdr:col>
      <xdr:colOff>0</xdr:colOff>
      <xdr:row>58</xdr:row>
      <xdr:rowOff>76200</xdr:rowOff>
    </xdr:to>
    <xdr:cxnSp macro="">
      <xdr:nvCxnSpPr>
        <xdr:cNvPr id="596" name="직선 화살표 연결선 595">
          <a:extLst>
            <a:ext uri="{FF2B5EF4-FFF2-40B4-BE49-F238E27FC236}">
              <a16:creationId xmlns:a16="http://schemas.microsoft.com/office/drawing/2014/main" id="{A53F73BC-CB32-4E98-AAF2-BD45AB427156}"/>
            </a:ext>
          </a:extLst>
        </xdr:cNvPr>
        <xdr:cNvCxnSpPr/>
      </xdr:nvCxnSpPr>
      <xdr:spPr>
        <a:xfrm>
          <a:off x="9273540" y="91516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57</xdr:row>
      <xdr:rowOff>19050</xdr:rowOff>
    </xdr:from>
    <xdr:to>
      <xdr:col>32</xdr:col>
      <xdr:colOff>103414</xdr:colOff>
      <xdr:row>57</xdr:row>
      <xdr:rowOff>133350</xdr:rowOff>
    </xdr:to>
    <xdr:sp macro="" textlink="">
      <xdr:nvSpPr>
        <xdr:cNvPr id="597" name="직사각형 596">
          <a:extLst>
            <a:ext uri="{FF2B5EF4-FFF2-40B4-BE49-F238E27FC236}">
              <a16:creationId xmlns:a16="http://schemas.microsoft.com/office/drawing/2014/main" id="{AEA3266E-C3E9-4645-929C-D36A1DE99F9D}"/>
            </a:ext>
          </a:extLst>
        </xdr:cNvPr>
        <xdr:cNvSpPr/>
      </xdr:nvSpPr>
      <xdr:spPr>
        <a:xfrm>
          <a:off x="9211491" y="89420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57</xdr:row>
      <xdr:rowOff>76200</xdr:rowOff>
    </xdr:from>
    <xdr:to>
      <xdr:col>32</xdr:col>
      <xdr:colOff>82731</xdr:colOff>
      <xdr:row>57</xdr:row>
      <xdr:rowOff>76200</xdr:rowOff>
    </xdr:to>
    <xdr:cxnSp macro="">
      <xdr:nvCxnSpPr>
        <xdr:cNvPr id="598" name="직선 화살표 연결선 597">
          <a:extLst>
            <a:ext uri="{FF2B5EF4-FFF2-40B4-BE49-F238E27FC236}">
              <a16:creationId xmlns:a16="http://schemas.microsoft.com/office/drawing/2014/main" id="{D4FA6905-9A53-4024-B37F-32B46BA29B00}"/>
            </a:ext>
          </a:extLst>
        </xdr:cNvPr>
        <xdr:cNvCxnSpPr/>
      </xdr:nvCxnSpPr>
      <xdr:spPr>
        <a:xfrm>
          <a:off x="9211491" y="89992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56</xdr:row>
      <xdr:rowOff>19050</xdr:rowOff>
    </xdr:from>
    <xdr:to>
      <xdr:col>32</xdr:col>
      <xdr:colOff>82731</xdr:colOff>
      <xdr:row>56</xdr:row>
      <xdr:rowOff>133350</xdr:rowOff>
    </xdr:to>
    <xdr:sp macro="" textlink="">
      <xdr:nvSpPr>
        <xdr:cNvPr id="599" name="직사각형 598">
          <a:extLst>
            <a:ext uri="{FF2B5EF4-FFF2-40B4-BE49-F238E27FC236}">
              <a16:creationId xmlns:a16="http://schemas.microsoft.com/office/drawing/2014/main" id="{3912B74F-0B46-4D72-939F-AEB87F2A4464}"/>
            </a:ext>
          </a:extLst>
        </xdr:cNvPr>
        <xdr:cNvSpPr/>
      </xdr:nvSpPr>
      <xdr:spPr>
        <a:xfrm>
          <a:off x="9149443" y="878967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56</xdr:row>
      <xdr:rowOff>76200</xdr:rowOff>
    </xdr:from>
    <xdr:to>
      <xdr:col>32</xdr:col>
      <xdr:colOff>20683</xdr:colOff>
      <xdr:row>56</xdr:row>
      <xdr:rowOff>76200</xdr:rowOff>
    </xdr:to>
    <xdr:cxnSp macro="">
      <xdr:nvCxnSpPr>
        <xdr:cNvPr id="600" name="직선 화살표 연결선 599">
          <a:extLst>
            <a:ext uri="{FF2B5EF4-FFF2-40B4-BE49-F238E27FC236}">
              <a16:creationId xmlns:a16="http://schemas.microsoft.com/office/drawing/2014/main" id="{28BE5A12-BC99-44E4-9771-62F8CCE84E0C}"/>
            </a:ext>
          </a:extLst>
        </xdr:cNvPr>
        <xdr:cNvCxnSpPr/>
      </xdr:nvCxnSpPr>
      <xdr:spPr>
        <a:xfrm>
          <a:off x="9149443" y="88468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55</xdr:row>
      <xdr:rowOff>19050</xdr:rowOff>
    </xdr:from>
    <xdr:to>
      <xdr:col>32</xdr:col>
      <xdr:colOff>20683</xdr:colOff>
      <xdr:row>55</xdr:row>
      <xdr:rowOff>133350</xdr:rowOff>
    </xdr:to>
    <xdr:sp macro="" textlink="">
      <xdr:nvSpPr>
        <xdr:cNvPr id="601" name="직사각형 600">
          <a:extLst>
            <a:ext uri="{FF2B5EF4-FFF2-40B4-BE49-F238E27FC236}">
              <a16:creationId xmlns:a16="http://schemas.microsoft.com/office/drawing/2014/main" id="{E4D5BA1A-F479-46AD-87F5-EF76785C84C3}"/>
            </a:ext>
          </a:extLst>
        </xdr:cNvPr>
        <xdr:cNvSpPr/>
      </xdr:nvSpPr>
      <xdr:spPr>
        <a:xfrm>
          <a:off x="9046028" y="863727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55</xdr:row>
      <xdr:rowOff>76200</xdr:rowOff>
    </xdr:from>
    <xdr:to>
      <xdr:col>31</xdr:col>
      <xdr:colOff>62048</xdr:colOff>
      <xdr:row>55</xdr:row>
      <xdr:rowOff>76200</xdr:rowOff>
    </xdr:to>
    <xdr:cxnSp macro="">
      <xdr:nvCxnSpPr>
        <xdr:cNvPr id="602" name="직선 화살표 연결선 601">
          <a:extLst>
            <a:ext uri="{FF2B5EF4-FFF2-40B4-BE49-F238E27FC236}">
              <a16:creationId xmlns:a16="http://schemas.microsoft.com/office/drawing/2014/main" id="{2F727A8D-4C38-4CC0-BA3F-D87E00EE07D5}"/>
            </a:ext>
          </a:extLst>
        </xdr:cNvPr>
        <xdr:cNvCxnSpPr/>
      </xdr:nvCxnSpPr>
      <xdr:spPr>
        <a:xfrm>
          <a:off x="9046028" y="86944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54</xdr:row>
      <xdr:rowOff>26670</xdr:rowOff>
    </xdr:from>
    <xdr:to>
      <xdr:col>31</xdr:col>
      <xdr:colOff>62048</xdr:colOff>
      <xdr:row>54</xdr:row>
      <xdr:rowOff>140970</xdr:rowOff>
    </xdr:to>
    <xdr:sp macro="" textlink="">
      <xdr:nvSpPr>
        <xdr:cNvPr id="603" name="직사각형 602">
          <a:extLst>
            <a:ext uri="{FF2B5EF4-FFF2-40B4-BE49-F238E27FC236}">
              <a16:creationId xmlns:a16="http://schemas.microsoft.com/office/drawing/2014/main" id="{084B6AB0-AE0B-4950-871B-7C3F7E137DE5}"/>
            </a:ext>
          </a:extLst>
        </xdr:cNvPr>
        <xdr:cNvSpPr/>
      </xdr:nvSpPr>
      <xdr:spPr>
        <a:xfrm>
          <a:off x="8983980" y="847725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54</xdr:row>
      <xdr:rowOff>83820</xdr:rowOff>
    </xdr:from>
    <xdr:to>
      <xdr:col>31</xdr:col>
      <xdr:colOff>0</xdr:colOff>
      <xdr:row>54</xdr:row>
      <xdr:rowOff>83820</xdr:rowOff>
    </xdr:to>
    <xdr:cxnSp macro="">
      <xdr:nvCxnSpPr>
        <xdr:cNvPr id="604" name="직선 화살표 연결선 603">
          <a:extLst>
            <a:ext uri="{FF2B5EF4-FFF2-40B4-BE49-F238E27FC236}">
              <a16:creationId xmlns:a16="http://schemas.microsoft.com/office/drawing/2014/main" id="{8AE715B3-7A04-412D-A36F-310005DD404B}"/>
            </a:ext>
          </a:extLst>
        </xdr:cNvPr>
        <xdr:cNvCxnSpPr/>
      </xdr:nvCxnSpPr>
      <xdr:spPr>
        <a:xfrm>
          <a:off x="8983980" y="85344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53</xdr:row>
      <xdr:rowOff>26670</xdr:rowOff>
    </xdr:from>
    <xdr:to>
      <xdr:col>33</xdr:col>
      <xdr:colOff>103414</xdr:colOff>
      <xdr:row>53</xdr:row>
      <xdr:rowOff>140970</xdr:rowOff>
    </xdr:to>
    <xdr:sp macro="" textlink="">
      <xdr:nvSpPr>
        <xdr:cNvPr id="605" name="직사각형 604">
          <a:extLst>
            <a:ext uri="{FF2B5EF4-FFF2-40B4-BE49-F238E27FC236}">
              <a16:creationId xmlns:a16="http://schemas.microsoft.com/office/drawing/2014/main" id="{1CF0E335-7628-4748-A5C8-CB46D3C4E0A0}"/>
            </a:ext>
          </a:extLst>
        </xdr:cNvPr>
        <xdr:cNvSpPr/>
      </xdr:nvSpPr>
      <xdr:spPr>
        <a:xfrm>
          <a:off x="8983980" y="830961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53</xdr:row>
      <xdr:rowOff>83820</xdr:rowOff>
    </xdr:from>
    <xdr:to>
      <xdr:col>31</xdr:col>
      <xdr:colOff>0</xdr:colOff>
      <xdr:row>53</xdr:row>
      <xdr:rowOff>83820</xdr:rowOff>
    </xdr:to>
    <xdr:cxnSp macro="">
      <xdr:nvCxnSpPr>
        <xdr:cNvPr id="606" name="직선 화살표 연결선 605">
          <a:extLst>
            <a:ext uri="{FF2B5EF4-FFF2-40B4-BE49-F238E27FC236}">
              <a16:creationId xmlns:a16="http://schemas.microsoft.com/office/drawing/2014/main" id="{C1574E3F-845A-49B2-803F-7B8CB2EE04DD}"/>
            </a:ext>
          </a:extLst>
        </xdr:cNvPr>
        <xdr:cNvCxnSpPr/>
      </xdr:nvCxnSpPr>
      <xdr:spPr>
        <a:xfrm>
          <a:off x="8983980" y="83667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51</xdr:row>
      <xdr:rowOff>19050</xdr:rowOff>
    </xdr:from>
    <xdr:to>
      <xdr:col>32</xdr:col>
      <xdr:colOff>103414</xdr:colOff>
      <xdr:row>51</xdr:row>
      <xdr:rowOff>133350</xdr:rowOff>
    </xdr:to>
    <xdr:sp macro="" textlink="">
      <xdr:nvSpPr>
        <xdr:cNvPr id="607" name="직사각형 606">
          <a:extLst>
            <a:ext uri="{FF2B5EF4-FFF2-40B4-BE49-F238E27FC236}">
              <a16:creationId xmlns:a16="http://schemas.microsoft.com/office/drawing/2014/main" id="{148BC4AC-1BAD-47D6-9598-4BF58782E2A5}"/>
            </a:ext>
          </a:extLst>
        </xdr:cNvPr>
        <xdr:cNvSpPr/>
      </xdr:nvSpPr>
      <xdr:spPr>
        <a:xfrm>
          <a:off x="9046028" y="7997190"/>
          <a:ext cx="18614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51</xdr:row>
      <xdr:rowOff>76200</xdr:rowOff>
    </xdr:from>
    <xdr:to>
      <xdr:col>31</xdr:col>
      <xdr:colOff>62048</xdr:colOff>
      <xdr:row>51</xdr:row>
      <xdr:rowOff>76200</xdr:rowOff>
    </xdr:to>
    <xdr:cxnSp macro="">
      <xdr:nvCxnSpPr>
        <xdr:cNvPr id="608" name="직선 화살표 연결선 607">
          <a:extLst>
            <a:ext uri="{FF2B5EF4-FFF2-40B4-BE49-F238E27FC236}">
              <a16:creationId xmlns:a16="http://schemas.microsoft.com/office/drawing/2014/main" id="{E89A6B91-8FEC-4167-80BB-21A14B3941CD}"/>
            </a:ext>
          </a:extLst>
        </xdr:cNvPr>
        <xdr:cNvCxnSpPr/>
      </xdr:nvCxnSpPr>
      <xdr:spPr>
        <a:xfrm>
          <a:off x="9046028" y="805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50</xdr:row>
      <xdr:rowOff>19050</xdr:rowOff>
    </xdr:from>
    <xdr:to>
      <xdr:col>32</xdr:col>
      <xdr:colOff>82731</xdr:colOff>
      <xdr:row>50</xdr:row>
      <xdr:rowOff>133350</xdr:rowOff>
    </xdr:to>
    <xdr:sp macro="" textlink="">
      <xdr:nvSpPr>
        <xdr:cNvPr id="609" name="직사각형 608">
          <a:extLst>
            <a:ext uri="{FF2B5EF4-FFF2-40B4-BE49-F238E27FC236}">
              <a16:creationId xmlns:a16="http://schemas.microsoft.com/office/drawing/2014/main" id="{A2A597BD-E48A-4EE3-9799-1B233EC069C9}"/>
            </a:ext>
          </a:extLst>
        </xdr:cNvPr>
        <xdr:cNvSpPr/>
      </xdr:nvSpPr>
      <xdr:spPr>
        <a:xfrm>
          <a:off x="9149443" y="784479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50</xdr:row>
      <xdr:rowOff>76200</xdr:rowOff>
    </xdr:from>
    <xdr:to>
      <xdr:col>32</xdr:col>
      <xdr:colOff>20683</xdr:colOff>
      <xdr:row>50</xdr:row>
      <xdr:rowOff>76200</xdr:rowOff>
    </xdr:to>
    <xdr:cxnSp macro="">
      <xdr:nvCxnSpPr>
        <xdr:cNvPr id="610" name="직선 화살표 연결선 609">
          <a:extLst>
            <a:ext uri="{FF2B5EF4-FFF2-40B4-BE49-F238E27FC236}">
              <a16:creationId xmlns:a16="http://schemas.microsoft.com/office/drawing/2014/main" id="{1D7F897E-FF10-4E6A-BBAB-703922E21A85}"/>
            </a:ext>
          </a:extLst>
        </xdr:cNvPr>
        <xdr:cNvCxnSpPr/>
      </xdr:nvCxnSpPr>
      <xdr:spPr>
        <a:xfrm>
          <a:off x="9149443" y="790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49</xdr:row>
      <xdr:rowOff>19050</xdr:rowOff>
    </xdr:from>
    <xdr:to>
      <xdr:col>32</xdr:col>
      <xdr:colOff>20683</xdr:colOff>
      <xdr:row>49</xdr:row>
      <xdr:rowOff>133350</xdr:rowOff>
    </xdr:to>
    <xdr:sp macro="" textlink="">
      <xdr:nvSpPr>
        <xdr:cNvPr id="611" name="직사각형 610">
          <a:extLst>
            <a:ext uri="{FF2B5EF4-FFF2-40B4-BE49-F238E27FC236}">
              <a16:creationId xmlns:a16="http://schemas.microsoft.com/office/drawing/2014/main" id="{09D9D313-6406-40B5-9C2F-617D5594E2DF}"/>
            </a:ext>
          </a:extLst>
        </xdr:cNvPr>
        <xdr:cNvSpPr/>
      </xdr:nvSpPr>
      <xdr:spPr>
        <a:xfrm>
          <a:off x="9046028" y="769239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49</xdr:row>
      <xdr:rowOff>76200</xdr:rowOff>
    </xdr:from>
    <xdr:to>
      <xdr:col>31</xdr:col>
      <xdr:colOff>62048</xdr:colOff>
      <xdr:row>49</xdr:row>
      <xdr:rowOff>76200</xdr:rowOff>
    </xdr:to>
    <xdr:cxnSp macro="">
      <xdr:nvCxnSpPr>
        <xdr:cNvPr id="612" name="직선 화살표 연결선 611">
          <a:extLst>
            <a:ext uri="{FF2B5EF4-FFF2-40B4-BE49-F238E27FC236}">
              <a16:creationId xmlns:a16="http://schemas.microsoft.com/office/drawing/2014/main" id="{B996E7DE-8282-44FB-9FBD-66D053F839DD}"/>
            </a:ext>
          </a:extLst>
        </xdr:cNvPr>
        <xdr:cNvCxnSpPr/>
      </xdr:nvCxnSpPr>
      <xdr:spPr>
        <a:xfrm>
          <a:off x="9046028" y="774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48</xdr:row>
      <xdr:rowOff>19050</xdr:rowOff>
    </xdr:from>
    <xdr:to>
      <xdr:col>31</xdr:col>
      <xdr:colOff>62048</xdr:colOff>
      <xdr:row>48</xdr:row>
      <xdr:rowOff>133350</xdr:rowOff>
    </xdr:to>
    <xdr:sp macro="" textlink="">
      <xdr:nvSpPr>
        <xdr:cNvPr id="613" name="직사각형 612">
          <a:extLst>
            <a:ext uri="{FF2B5EF4-FFF2-40B4-BE49-F238E27FC236}">
              <a16:creationId xmlns:a16="http://schemas.microsoft.com/office/drawing/2014/main" id="{9F74327F-721F-458B-AF48-C7CCA12FB9D7}"/>
            </a:ext>
          </a:extLst>
        </xdr:cNvPr>
        <xdr:cNvSpPr/>
      </xdr:nvSpPr>
      <xdr:spPr>
        <a:xfrm>
          <a:off x="8983980" y="753999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48</xdr:row>
      <xdr:rowOff>76200</xdr:rowOff>
    </xdr:from>
    <xdr:to>
      <xdr:col>31</xdr:col>
      <xdr:colOff>0</xdr:colOff>
      <xdr:row>48</xdr:row>
      <xdr:rowOff>76200</xdr:rowOff>
    </xdr:to>
    <xdr:cxnSp macro="">
      <xdr:nvCxnSpPr>
        <xdr:cNvPr id="614" name="직선 화살표 연결선 613">
          <a:extLst>
            <a:ext uri="{FF2B5EF4-FFF2-40B4-BE49-F238E27FC236}">
              <a16:creationId xmlns:a16="http://schemas.microsoft.com/office/drawing/2014/main" id="{C8040C46-6EC1-4D2D-B7B1-B0CF8B6EDF27}"/>
            </a:ext>
          </a:extLst>
        </xdr:cNvPr>
        <xdr:cNvCxnSpPr/>
      </xdr:nvCxnSpPr>
      <xdr:spPr>
        <a:xfrm>
          <a:off x="8983980" y="7597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47</xdr:row>
      <xdr:rowOff>19050</xdr:rowOff>
    </xdr:from>
    <xdr:to>
      <xdr:col>32</xdr:col>
      <xdr:colOff>103414</xdr:colOff>
      <xdr:row>47</xdr:row>
      <xdr:rowOff>133350</xdr:rowOff>
    </xdr:to>
    <xdr:sp macro="" textlink="">
      <xdr:nvSpPr>
        <xdr:cNvPr id="615" name="직사각형 614">
          <a:extLst>
            <a:ext uri="{FF2B5EF4-FFF2-40B4-BE49-F238E27FC236}">
              <a16:creationId xmlns:a16="http://schemas.microsoft.com/office/drawing/2014/main" id="{E59E3CDB-00D2-4906-81F5-99157311936A}"/>
            </a:ext>
          </a:extLst>
        </xdr:cNvPr>
        <xdr:cNvSpPr/>
      </xdr:nvSpPr>
      <xdr:spPr>
        <a:xfrm>
          <a:off x="8983980" y="738759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47</xdr:row>
      <xdr:rowOff>76200</xdr:rowOff>
    </xdr:from>
    <xdr:to>
      <xdr:col>31</xdr:col>
      <xdr:colOff>0</xdr:colOff>
      <xdr:row>47</xdr:row>
      <xdr:rowOff>76200</xdr:rowOff>
    </xdr:to>
    <xdr:cxnSp macro="">
      <xdr:nvCxnSpPr>
        <xdr:cNvPr id="616" name="직선 화살표 연결선 615">
          <a:extLst>
            <a:ext uri="{FF2B5EF4-FFF2-40B4-BE49-F238E27FC236}">
              <a16:creationId xmlns:a16="http://schemas.microsoft.com/office/drawing/2014/main" id="{3A89C0BD-2A40-4D04-9B5B-CF9D1E2B60F1}"/>
            </a:ext>
          </a:extLst>
        </xdr:cNvPr>
        <xdr:cNvCxnSpPr/>
      </xdr:nvCxnSpPr>
      <xdr:spPr>
        <a:xfrm>
          <a:off x="8983980" y="744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45</xdr:row>
      <xdr:rowOff>19050</xdr:rowOff>
    </xdr:from>
    <xdr:to>
      <xdr:col>35</xdr:col>
      <xdr:colOff>41366</xdr:colOff>
      <xdr:row>45</xdr:row>
      <xdr:rowOff>133350</xdr:rowOff>
    </xdr:to>
    <xdr:sp macro="" textlink="">
      <xdr:nvSpPr>
        <xdr:cNvPr id="617" name="직사각형 616">
          <a:extLst>
            <a:ext uri="{FF2B5EF4-FFF2-40B4-BE49-F238E27FC236}">
              <a16:creationId xmlns:a16="http://schemas.microsoft.com/office/drawing/2014/main" id="{252ED09E-501C-4B33-950E-6C1D3B3EC943}"/>
            </a:ext>
          </a:extLst>
        </xdr:cNvPr>
        <xdr:cNvSpPr/>
      </xdr:nvSpPr>
      <xdr:spPr>
        <a:xfrm>
          <a:off x="8859883" y="7082790"/>
          <a:ext cx="7445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45</xdr:row>
      <xdr:rowOff>76200</xdr:rowOff>
    </xdr:from>
    <xdr:to>
      <xdr:col>30</xdr:col>
      <xdr:colOff>20683</xdr:colOff>
      <xdr:row>45</xdr:row>
      <xdr:rowOff>76200</xdr:rowOff>
    </xdr:to>
    <xdr:cxnSp macro="">
      <xdr:nvCxnSpPr>
        <xdr:cNvPr id="618" name="직선 화살표 연결선 617">
          <a:extLst>
            <a:ext uri="{FF2B5EF4-FFF2-40B4-BE49-F238E27FC236}">
              <a16:creationId xmlns:a16="http://schemas.microsoft.com/office/drawing/2014/main" id="{6E80DD9F-ABE2-4A21-93F6-3EA6EEA42A3B}"/>
            </a:ext>
          </a:extLst>
        </xdr:cNvPr>
        <xdr:cNvCxnSpPr/>
      </xdr:nvCxnSpPr>
      <xdr:spPr>
        <a:xfrm>
          <a:off x="8859883" y="713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44</xdr:row>
      <xdr:rowOff>19050</xdr:rowOff>
    </xdr:from>
    <xdr:to>
      <xdr:col>35</xdr:col>
      <xdr:colOff>20683</xdr:colOff>
      <xdr:row>44</xdr:row>
      <xdr:rowOff>133350</xdr:rowOff>
    </xdr:to>
    <xdr:sp macro="" textlink="">
      <xdr:nvSpPr>
        <xdr:cNvPr id="619" name="직사각형 618">
          <a:extLst>
            <a:ext uri="{FF2B5EF4-FFF2-40B4-BE49-F238E27FC236}">
              <a16:creationId xmlns:a16="http://schemas.microsoft.com/office/drawing/2014/main" id="{55744437-4027-4691-8179-148D0F7EC718}"/>
            </a:ext>
          </a:extLst>
        </xdr:cNvPr>
        <xdr:cNvSpPr/>
      </xdr:nvSpPr>
      <xdr:spPr>
        <a:xfrm>
          <a:off x="9563100" y="69303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44</xdr:row>
      <xdr:rowOff>76200</xdr:rowOff>
    </xdr:from>
    <xdr:to>
      <xdr:col>35</xdr:col>
      <xdr:colOff>0</xdr:colOff>
      <xdr:row>44</xdr:row>
      <xdr:rowOff>76200</xdr:rowOff>
    </xdr:to>
    <xdr:cxnSp macro="">
      <xdr:nvCxnSpPr>
        <xdr:cNvPr id="620" name="직선 화살표 연결선 619">
          <a:extLst>
            <a:ext uri="{FF2B5EF4-FFF2-40B4-BE49-F238E27FC236}">
              <a16:creationId xmlns:a16="http://schemas.microsoft.com/office/drawing/2014/main" id="{3EF589DF-7340-4AFD-ABFC-3796340EECAA}"/>
            </a:ext>
          </a:extLst>
        </xdr:cNvPr>
        <xdr:cNvCxnSpPr/>
      </xdr:nvCxnSpPr>
      <xdr:spPr>
        <a:xfrm>
          <a:off x="9563100" y="698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43</xdr:row>
      <xdr:rowOff>19050</xdr:rowOff>
    </xdr:from>
    <xdr:to>
      <xdr:col>35</xdr:col>
      <xdr:colOff>0</xdr:colOff>
      <xdr:row>43</xdr:row>
      <xdr:rowOff>133350</xdr:rowOff>
    </xdr:to>
    <xdr:sp macro="" textlink="">
      <xdr:nvSpPr>
        <xdr:cNvPr id="621" name="직사각형 620">
          <a:extLst>
            <a:ext uri="{FF2B5EF4-FFF2-40B4-BE49-F238E27FC236}">
              <a16:creationId xmlns:a16="http://schemas.microsoft.com/office/drawing/2014/main" id="{D5D9C50A-2936-4730-87D8-DCEF09951C81}"/>
            </a:ext>
          </a:extLst>
        </xdr:cNvPr>
        <xdr:cNvSpPr/>
      </xdr:nvSpPr>
      <xdr:spPr>
        <a:xfrm>
          <a:off x="9542417" y="6777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43</xdr:row>
      <xdr:rowOff>76200</xdr:rowOff>
    </xdr:from>
    <xdr:to>
      <xdr:col>34</xdr:col>
      <xdr:colOff>124097</xdr:colOff>
      <xdr:row>43</xdr:row>
      <xdr:rowOff>76200</xdr:rowOff>
    </xdr:to>
    <xdr:cxnSp macro="">
      <xdr:nvCxnSpPr>
        <xdr:cNvPr id="622" name="직선 화살표 연결선 621">
          <a:extLst>
            <a:ext uri="{FF2B5EF4-FFF2-40B4-BE49-F238E27FC236}">
              <a16:creationId xmlns:a16="http://schemas.microsoft.com/office/drawing/2014/main" id="{A5A5CB35-8EA7-4967-8C1D-5729AEA09CF2}"/>
            </a:ext>
          </a:extLst>
        </xdr:cNvPr>
        <xdr:cNvCxnSpPr/>
      </xdr:nvCxnSpPr>
      <xdr:spPr>
        <a:xfrm>
          <a:off x="9542417" y="683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42</xdr:row>
      <xdr:rowOff>19050</xdr:rowOff>
    </xdr:from>
    <xdr:to>
      <xdr:col>34</xdr:col>
      <xdr:colOff>124097</xdr:colOff>
      <xdr:row>42</xdr:row>
      <xdr:rowOff>133350</xdr:rowOff>
    </xdr:to>
    <xdr:sp macro="" textlink="">
      <xdr:nvSpPr>
        <xdr:cNvPr id="623" name="직사각형 622">
          <a:extLst>
            <a:ext uri="{FF2B5EF4-FFF2-40B4-BE49-F238E27FC236}">
              <a16:creationId xmlns:a16="http://schemas.microsoft.com/office/drawing/2014/main" id="{E8AE77BA-A80B-437D-9D1B-4016B0B80508}"/>
            </a:ext>
          </a:extLst>
        </xdr:cNvPr>
        <xdr:cNvSpPr/>
      </xdr:nvSpPr>
      <xdr:spPr>
        <a:xfrm>
          <a:off x="9521734" y="66255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42</xdr:row>
      <xdr:rowOff>76200</xdr:rowOff>
    </xdr:from>
    <xdr:to>
      <xdr:col>34</xdr:col>
      <xdr:colOff>103414</xdr:colOff>
      <xdr:row>42</xdr:row>
      <xdr:rowOff>76200</xdr:rowOff>
    </xdr:to>
    <xdr:cxnSp macro="">
      <xdr:nvCxnSpPr>
        <xdr:cNvPr id="624" name="직선 화살표 연결선 623">
          <a:extLst>
            <a:ext uri="{FF2B5EF4-FFF2-40B4-BE49-F238E27FC236}">
              <a16:creationId xmlns:a16="http://schemas.microsoft.com/office/drawing/2014/main" id="{9A2AB3F6-252F-4450-ACEA-56F114321852}"/>
            </a:ext>
          </a:extLst>
        </xdr:cNvPr>
        <xdr:cNvCxnSpPr/>
      </xdr:nvCxnSpPr>
      <xdr:spPr>
        <a:xfrm>
          <a:off x="9521734" y="668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41</xdr:row>
      <xdr:rowOff>19050</xdr:rowOff>
    </xdr:from>
    <xdr:to>
      <xdr:col>34</xdr:col>
      <xdr:colOff>103414</xdr:colOff>
      <xdr:row>41</xdr:row>
      <xdr:rowOff>133350</xdr:rowOff>
    </xdr:to>
    <xdr:sp macro="" textlink="">
      <xdr:nvSpPr>
        <xdr:cNvPr id="625" name="직사각형 624">
          <a:extLst>
            <a:ext uri="{FF2B5EF4-FFF2-40B4-BE49-F238E27FC236}">
              <a16:creationId xmlns:a16="http://schemas.microsoft.com/office/drawing/2014/main" id="{2BE92A3B-D8D5-4D74-9F29-F50CE3167B6D}"/>
            </a:ext>
          </a:extLst>
        </xdr:cNvPr>
        <xdr:cNvSpPr/>
      </xdr:nvSpPr>
      <xdr:spPr>
        <a:xfrm>
          <a:off x="9501051" y="64731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41</xdr:row>
      <xdr:rowOff>76200</xdr:rowOff>
    </xdr:from>
    <xdr:to>
      <xdr:col>34</xdr:col>
      <xdr:colOff>82731</xdr:colOff>
      <xdr:row>41</xdr:row>
      <xdr:rowOff>76200</xdr:rowOff>
    </xdr:to>
    <xdr:cxnSp macro="">
      <xdr:nvCxnSpPr>
        <xdr:cNvPr id="626" name="직선 화살표 연결선 625">
          <a:extLst>
            <a:ext uri="{FF2B5EF4-FFF2-40B4-BE49-F238E27FC236}">
              <a16:creationId xmlns:a16="http://schemas.microsoft.com/office/drawing/2014/main" id="{198BEBBC-6099-4DEB-96B5-03D1B0D72F4C}"/>
            </a:ext>
          </a:extLst>
        </xdr:cNvPr>
        <xdr:cNvCxnSpPr/>
      </xdr:nvCxnSpPr>
      <xdr:spPr>
        <a:xfrm>
          <a:off x="9501051" y="653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40</xdr:row>
      <xdr:rowOff>19050</xdr:rowOff>
    </xdr:from>
    <xdr:to>
      <xdr:col>34</xdr:col>
      <xdr:colOff>82731</xdr:colOff>
      <xdr:row>40</xdr:row>
      <xdr:rowOff>133350</xdr:rowOff>
    </xdr:to>
    <xdr:sp macro="" textlink="">
      <xdr:nvSpPr>
        <xdr:cNvPr id="627" name="직사각형 626">
          <a:extLst>
            <a:ext uri="{FF2B5EF4-FFF2-40B4-BE49-F238E27FC236}">
              <a16:creationId xmlns:a16="http://schemas.microsoft.com/office/drawing/2014/main" id="{7F84EA59-847A-4F22-9318-A68019F3615C}"/>
            </a:ext>
          </a:extLst>
        </xdr:cNvPr>
        <xdr:cNvSpPr/>
      </xdr:nvSpPr>
      <xdr:spPr>
        <a:xfrm>
          <a:off x="9480369" y="63207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40</xdr:row>
      <xdr:rowOff>76200</xdr:rowOff>
    </xdr:from>
    <xdr:to>
      <xdr:col>34</xdr:col>
      <xdr:colOff>62049</xdr:colOff>
      <xdr:row>40</xdr:row>
      <xdr:rowOff>76200</xdr:rowOff>
    </xdr:to>
    <xdr:cxnSp macro="">
      <xdr:nvCxnSpPr>
        <xdr:cNvPr id="628" name="직선 화살표 연결선 627">
          <a:extLst>
            <a:ext uri="{FF2B5EF4-FFF2-40B4-BE49-F238E27FC236}">
              <a16:creationId xmlns:a16="http://schemas.microsoft.com/office/drawing/2014/main" id="{3144D186-505E-46C7-85C9-A0A11E1F4738}"/>
            </a:ext>
          </a:extLst>
        </xdr:cNvPr>
        <xdr:cNvCxnSpPr/>
      </xdr:nvCxnSpPr>
      <xdr:spPr>
        <a:xfrm>
          <a:off x="9480369" y="637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39</xdr:row>
      <xdr:rowOff>19050</xdr:rowOff>
    </xdr:from>
    <xdr:to>
      <xdr:col>34</xdr:col>
      <xdr:colOff>62049</xdr:colOff>
      <xdr:row>39</xdr:row>
      <xdr:rowOff>133350</xdr:rowOff>
    </xdr:to>
    <xdr:sp macro="" textlink="">
      <xdr:nvSpPr>
        <xdr:cNvPr id="629" name="직사각형 628">
          <a:extLst>
            <a:ext uri="{FF2B5EF4-FFF2-40B4-BE49-F238E27FC236}">
              <a16:creationId xmlns:a16="http://schemas.microsoft.com/office/drawing/2014/main" id="{2D2D1F61-F085-4046-B1ED-BEF265C0D14B}"/>
            </a:ext>
          </a:extLst>
        </xdr:cNvPr>
        <xdr:cNvSpPr/>
      </xdr:nvSpPr>
      <xdr:spPr>
        <a:xfrm>
          <a:off x="9459685" y="616839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39</xdr:row>
      <xdr:rowOff>76200</xdr:rowOff>
    </xdr:from>
    <xdr:to>
      <xdr:col>34</xdr:col>
      <xdr:colOff>41365</xdr:colOff>
      <xdr:row>39</xdr:row>
      <xdr:rowOff>76200</xdr:rowOff>
    </xdr:to>
    <xdr:cxnSp macro="">
      <xdr:nvCxnSpPr>
        <xdr:cNvPr id="630" name="직선 화살표 연결선 629">
          <a:extLst>
            <a:ext uri="{FF2B5EF4-FFF2-40B4-BE49-F238E27FC236}">
              <a16:creationId xmlns:a16="http://schemas.microsoft.com/office/drawing/2014/main" id="{96041298-C31B-4469-9064-DD1FC1EE3515}"/>
            </a:ext>
          </a:extLst>
        </xdr:cNvPr>
        <xdr:cNvCxnSpPr/>
      </xdr:nvCxnSpPr>
      <xdr:spPr>
        <a:xfrm>
          <a:off x="9459685" y="622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38</xdr:row>
      <xdr:rowOff>19050</xdr:rowOff>
    </xdr:from>
    <xdr:to>
      <xdr:col>34</xdr:col>
      <xdr:colOff>20683</xdr:colOff>
      <xdr:row>38</xdr:row>
      <xdr:rowOff>133350</xdr:rowOff>
    </xdr:to>
    <xdr:sp macro="" textlink="">
      <xdr:nvSpPr>
        <xdr:cNvPr id="631" name="직사각형 630">
          <a:extLst>
            <a:ext uri="{FF2B5EF4-FFF2-40B4-BE49-F238E27FC236}">
              <a16:creationId xmlns:a16="http://schemas.microsoft.com/office/drawing/2014/main" id="{91C53103-94A9-41F1-A0C3-42DF277B7AB9}"/>
            </a:ext>
          </a:extLst>
        </xdr:cNvPr>
        <xdr:cNvSpPr/>
      </xdr:nvSpPr>
      <xdr:spPr>
        <a:xfrm>
          <a:off x="9418320" y="6015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38</xdr:row>
      <xdr:rowOff>76200</xdr:rowOff>
    </xdr:from>
    <xdr:to>
      <xdr:col>34</xdr:col>
      <xdr:colOff>0</xdr:colOff>
      <xdr:row>38</xdr:row>
      <xdr:rowOff>76200</xdr:rowOff>
    </xdr:to>
    <xdr:cxnSp macro="">
      <xdr:nvCxnSpPr>
        <xdr:cNvPr id="632" name="직선 화살표 연결선 631">
          <a:extLst>
            <a:ext uri="{FF2B5EF4-FFF2-40B4-BE49-F238E27FC236}">
              <a16:creationId xmlns:a16="http://schemas.microsoft.com/office/drawing/2014/main" id="{0BF207C5-EAAF-4E15-A20C-2CFACDBF9940}"/>
            </a:ext>
          </a:extLst>
        </xdr:cNvPr>
        <xdr:cNvCxnSpPr/>
      </xdr:nvCxnSpPr>
      <xdr:spPr>
        <a:xfrm>
          <a:off x="9418320" y="607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37</xdr:row>
      <xdr:rowOff>19050</xdr:rowOff>
    </xdr:from>
    <xdr:to>
      <xdr:col>33</xdr:col>
      <xdr:colOff>103414</xdr:colOff>
      <xdr:row>37</xdr:row>
      <xdr:rowOff>133350</xdr:rowOff>
    </xdr:to>
    <xdr:sp macro="" textlink="">
      <xdr:nvSpPr>
        <xdr:cNvPr id="633" name="직사각형 632">
          <a:extLst>
            <a:ext uri="{FF2B5EF4-FFF2-40B4-BE49-F238E27FC236}">
              <a16:creationId xmlns:a16="http://schemas.microsoft.com/office/drawing/2014/main" id="{88DB3A92-0B28-4F92-9F83-5DCF2D635240}"/>
            </a:ext>
          </a:extLst>
        </xdr:cNvPr>
        <xdr:cNvSpPr/>
      </xdr:nvSpPr>
      <xdr:spPr>
        <a:xfrm>
          <a:off x="9356272" y="58635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37</xdr:row>
      <xdr:rowOff>76200</xdr:rowOff>
    </xdr:from>
    <xdr:to>
      <xdr:col>33</xdr:col>
      <xdr:colOff>82732</xdr:colOff>
      <xdr:row>37</xdr:row>
      <xdr:rowOff>76200</xdr:rowOff>
    </xdr:to>
    <xdr:cxnSp macro="">
      <xdr:nvCxnSpPr>
        <xdr:cNvPr id="634" name="직선 화살표 연결선 633">
          <a:extLst>
            <a:ext uri="{FF2B5EF4-FFF2-40B4-BE49-F238E27FC236}">
              <a16:creationId xmlns:a16="http://schemas.microsoft.com/office/drawing/2014/main" id="{E23A9E9D-CDCE-419F-8AEA-C834860B966D}"/>
            </a:ext>
          </a:extLst>
        </xdr:cNvPr>
        <xdr:cNvCxnSpPr/>
      </xdr:nvCxnSpPr>
      <xdr:spPr>
        <a:xfrm>
          <a:off x="9356272" y="592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36</xdr:row>
      <xdr:rowOff>19050</xdr:rowOff>
    </xdr:from>
    <xdr:to>
      <xdr:col>33</xdr:col>
      <xdr:colOff>82732</xdr:colOff>
      <xdr:row>36</xdr:row>
      <xdr:rowOff>133350</xdr:rowOff>
    </xdr:to>
    <xdr:sp macro="" textlink="">
      <xdr:nvSpPr>
        <xdr:cNvPr id="635" name="직사각형 634">
          <a:extLst>
            <a:ext uri="{FF2B5EF4-FFF2-40B4-BE49-F238E27FC236}">
              <a16:creationId xmlns:a16="http://schemas.microsoft.com/office/drawing/2014/main" id="{CF66BCF3-B0FC-42AD-9442-3EF7A8FE4976}"/>
            </a:ext>
          </a:extLst>
        </xdr:cNvPr>
        <xdr:cNvSpPr/>
      </xdr:nvSpPr>
      <xdr:spPr>
        <a:xfrm>
          <a:off x="9335588" y="571119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36</xdr:row>
      <xdr:rowOff>76200</xdr:rowOff>
    </xdr:from>
    <xdr:to>
      <xdr:col>33</xdr:col>
      <xdr:colOff>62048</xdr:colOff>
      <xdr:row>36</xdr:row>
      <xdr:rowOff>76200</xdr:rowOff>
    </xdr:to>
    <xdr:cxnSp macro="">
      <xdr:nvCxnSpPr>
        <xdr:cNvPr id="636" name="직선 화살표 연결선 635">
          <a:extLst>
            <a:ext uri="{FF2B5EF4-FFF2-40B4-BE49-F238E27FC236}">
              <a16:creationId xmlns:a16="http://schemas.microsoft.com/office/drawing/2014/main" id="{3B5749AA-02AF-4EA0-BE5B-0A458A27E5E6}"/>
            </a:ext>
          </a:extLst>
        </xdr:cNvPr>
        <xdr:cNvCxnSpPr/>
      </xdr:nvCxnSpPr>
      <xdr:spPr>
        <a:xfrm>
          <a:off x="9335588" y="576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35</xdr:row>
      <xdr:rowOff>19050</xdr:rowOff>
    </xdr:from>
    <xdr:to>
      <xdr:col>33</xdr:col>
      <xdr:colOff>62048</xdr:colOff>
      <xdr:row>35</xdr:row>
      <xdr:rowOff>133350</xdr:rowOff>
    </xdr:to>
    <xdr:sp macro="" textlink="">
      <xdr:nvSpPr>
        <xdr:cNvPr id="637" name="직사각형 636">
          <a:extLst>
            <a:ext uri="{FF2B5EF4-FFF2-40B4-BE49-F238E27FC236}">
              <a16:creationId xmlns:a16="http://schemas.microsoft.com/office/drawing/2014/main" id="{25849AA9-9FC8-4990-8430-C299258B221A}"/>
            </a:ext>
          </a:extLst>
        </xdr:cNvPr>
        <xdr:cNvSpPr/>
      </xdr:nvSpPr>
      <xdr:spPr>
        <a:xfrm>
          <a:off x="9314906" y="55587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35</xdr:row>
      <xdr:rowOff>76200</xdr:rowOff>
    </xdr:from>
    <xdr:to>
      <xdr:col>33</xdr:col>
      <xdr:colOff>41366</xdr:colOff>
      <xdr:row>35</xdr:row>
      <xdr:rowOff>76200</xdr:rowOff>
    </xdr:to>
    <xdr:cxnSp macro="">
      <xdr:nvCxnSpPr>
        <xdr:cNvPr id="638" name="직선 화살표 연결선 637">
          <a:extLst>
            <a:ext uri="{FF2B5EF4-FFF2-40B4-BE49-F238E27FC236}">
              <a16:creationId xmlns:a16="http://schemas.microsoft.com/office/drawing/2014/main" id="{9B18FCF2-71E4-4977-B716-2A14D05C38DF}"/>
            </a:ext>
          </a:extLst>
        </xdr:cNvPr>
        <xdr:cNvCxnSpPr/>
      </xdr:nvCxnSpPr>
      <xdr:spPr>
        <a:xfrm>
          <a:off x="9314906" y="5615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34</xdr:row>
      <xdr:rowOff>19050</xdr:rowOff>
    </xdr:from>
    <xdr:to>
      <xdr:col>33</xdr:col>
      <xdr:colOff>41366</xdr:colOff>
      <xdr:row>34</xdr:row>
      <xdr:rowOff>133350</xdr:rowOff>
    </xdr:to>
    <xdr:sp macro="" textlink="">
      <xdr:nvSpPr>
        <xdr:cNvPr id="639" name="직사각형 638">
          <a:extLst>
            <a:ext uri="{FF2B5EF4-FFF2-40B4-BE49-F238E27FC236}">
              <a16:creationId xmlns:a16="http://schemas.microsoft.com/office/drawing/2014/main" id="{267C3054-836B-4663-A163-C6B78D17CAE7}"/>
            </a:ext>
          </a:extLst>
        </xdr:cNvPr>
        <xdr:cNvSpPr/>
      </xdr:nvSpPr>
      <xdr:spPr>
        <a:xfrm>
          <a:off x="9294223" y="54063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34</xdr:row>
      <xdr:rowOff>76200</xdr:rowOff>
    </xdr:from>
    <xdr:to>
      <xdr:col>33</xdr:col>
      <xdr:colOff>20683</xdr:colOff>
      <xdr:row>34</xdr:row>
      <xdr:rowOff>76200</xdr:rowOff>
    </xdr:to>
    <xdr:cxnSp macro="">
      <xdr:nvCxnSpPr>
        <xdr:cNvPr id="640" name="직선 화살표 연결선 639">
          <a:extLst>
            <a:ext uri="{FF2B5EF4-FFF2-40B4-BE49-F238E27FC236}">
              <a16:creationId xmlns:a16="http://schemas.microsoft.com/office/drawing/2014/main" id="{59E6AD84-001C-454C-8570-C88E91433CAC}"/>
            </a:ext>
          </a:extLst>
        </xdr:cNvPr>
        <xdr:cNvCxnSpPr/>
      </xdr:nvCxnSpPr>
      <xdr:spPr>
        <a:xfrm>
          <a:off x="9294223" y="5463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33</xdr:row>
      <xdr:rowOff>19050</xdr:rowOff>
    </xdr:from>
    <xdr:to>
      <xdr:col>33</xdr:col>
      <xdr:colOff>20683</xdr:colOff>
      <xdr:row>33</xdr:row>
      <xdr:rowOff>133350</xdr:rowOff>
    </xdr:to>
    <xdr:sp macro="" textlink="">
      <xdr:nvSpPr>
        <xdr:cNvPr id="641" name="직사각형 640">
          <a:extLst>
            <a:ext uri="{FF2B5EF4-FFF2-40B4-BE49-F238E27FC236}">
              <a16:creationId xmlns:a16="http://schemas.microsoft.com/office/drawing/2014/main" id="{562DA109-9A90-4801-B6DC-1E91A089DB9C}"/>
            </a:ext>
          </a:extLst>
        </xdr:cNvPr>
        <xdr:cNvSpPr/>
      </xdr:nvSpPr>
      <xdr:spPr>
        <a:xfrm>
          <a:off x="9273540" y="5253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33</xdr:row>
      <xdr:rowOff>76200</xdr:rowOff>
    </xdr:from>
    <xdr:to>
      <xdr:col>33</xdr:col>
      <xdr:colOff>0</xdr:colOff>
      <xdr:row>33</xdr:row>
      <xdr:rowOff>76200</xdr:rowOff>
    </xdr:to>
    <xdr:cxnSp macro="">
      <xdr:nvCxnSpPr>
        <xdr:cNvPr id="642" name="직선 화살표 연결선 641">
          <a:extLst>
            <a:ext uri="{FF2B5EF4-FFF2-40B4-BE49-F238E27FC236}">
              <a16:creationId xmlns:a16="http://schemas.microsoft.com/office/drawing/2014/main" id="{A8BE09E1-E2DB-40A9-9DC1-FC97F8BB5F8D}"/>
            </a:ext>
          </a:extLst>
        </xdr:cNvPr>
        <xdr:cNvCxnSpPr/>
      </xdr:nvCxnSpPr>
      <xdr:spPr>
        <a:xfrm>
          <a:off x="9273540" y="5311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32</xdr:row>
      <xdr:rowOff>19050</xdr:rowOff>
    </xdr:from>
    <xdr:to>
      <xdr:col>32</xdr:col>
      <xdr:colOff>103414</xdr:colOff>
      <xdr:row>32</xdr:row>
      <xdr:rowOff>133350</xdr:rowOff>
    </xdr:to>
    <xdr:sp macro="" textlink="">
      <xdr:nvSpPr>
        <xdr:cNvPr id="643" name="직사각형 642">
          <a:extLst>
            <a:ext uri="{FF2B5EF4-FFF2-40B4-BE49-F238E27FC236}">
              <a16:creationId xmlns:a16="http://schemas.microsoft.com/office/drawing/2014/main" id="{97BA95B9-A416-4ABE-B39C-489FD848D325}"/>
            </a:ext>
          </a:extLst>
        </xdr:cNvPr>
        <xdr:cNvSpPr/>
      </xdr:nvSpPr>
      <xdr:spPr>
        <a:xfrm>
          <a:off x="9211491" y="51015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32</xdr:row>
      <xdr:rowOff>76200</xdr:rowOff>
    </xdr:from>
    <xdr:to>
      <xdr:col>32</xdr:col>
      <xdr:colOff>82731</xdr:colOff>
      <xdr:row>32</xdr:row>
      <xdr:rowOff>76200</xdr:rowOff>
    </xdr:to>
    <xdr:cxnSp macro="">
      <xdr:nvCxnSpPr>
        <xdr:cNvPr id="644" name="직선 화살표 연결선 643">
          <a:extLst>
            <a:ext uri="{FF2B5EF4-FFF2-40B4-BE49-F238E27FC236}">
              <a16:creationId xmlns:a16="http://schemas.microsoft.com/office/drawing/2014/main" id="{2B2EADEB-021E-4F6D-8D5F-F8F2BD95D296}"/>
            </a:ext>
          </a:extLst>
        </xdr:cNvPr>
        <xdr:cNvCxnSpPr/>
      </xdr:nvCxnSpPr>
      <xdr:spPr>
        <a:xfrm>
          <a:off x="9211491" y="5158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31</xdr:row>
      <xdr:rowOff>19050</xdr:rowOff>
    </xdr:from>
    <xdr:to>
      <xdr:col>32</xdr:col>
      <xdr:colOff>82731</xdr:colOff>
      <xdr:row>31</xdr:row>
      <xdr:rowOff>133350</xdr:rowOff>
    </xdr:to>
    <xdr:sp macro="" textlink="">
      <xdr:nvSpPr>
        <xdr:cNvPr id="645" name="직사각형 644">
          <a:extLst>
            <a:ext uri="{FF2B5EF4-FFF2-40B4-BE49-F238E27FC236}">
              <a16:creationId xmlns:a16="http://schemas.microsoft.com/office/drawing/2014/main" id="{ED936B04-162A-46DC-8064-E089907350C6}"/>
            </a:ext>
          </a:extLst>
        </xdr:cNvPr>
        <xdr:cNvSpPr/>
      </xdr:nvSpPr>
      <xdr:spPr>
        <a:xfrm>
          <a:off x="9190809" y="49491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31</xdr:row>
      <xdr:rowOff>76200</xdr:rowOff>
    </xdr:from>
    <xdr:to>
      <xdr:col>32</xdr:col>
      <xdr:colOff>62049</xdr:colOff>
      <xdr:row>31</xdr:row>
      <xdr:rowOff>76200</xdr:rowOff>
    </xdr:to>
    <xdr:cxnSp macro="">
      <xdr:nvCxnSpPr>
        <xdr:cNvPr id="646" name="직선 화살표 연결선 645">
          <a:extLst>
            <a:ext uri="{FF2B5EF4-FFF2-40B4-BE49-F238E27FC236}">
              <a16:creationId xmlns:a16="http://schemas.microsoft.com/office/drawing/2014/main" id="{8D0C832B-8522-405C-A7F3-E6019D6EDDF3}"/>
            </a:ext>
          </a:extLst>
        </xdr:cNvPr>
        <xdr:cNvCxnSpPr/>
      </xdr:nvCxnSpPr>
      <xdr:spPr>
        <a:xfrm>
          <a:off x="9190809" y="5006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30</xdr:row>
      <xdr:rowOff>19050</xdr:rowOff>
    </xdr:from>
    <xdr:to>
      <xdr:col>32</xdr:col>
      <xdr:colOff>62049</xdr:colOff>
      <xdr:row>30</xdr:row>
      <xdr:rowOff>133350</xdr:rowOff>
    </xdr:to>
    <xdr:sp macro="" textlink="">
      <xdr:nvSpPr>
        <xdr:cNvPr id="647" name="직사각형 646">
          <a:extLst>
            <a:ext uri="{FF2B5EF4-FFF2-40B4-BE49-F238E27FC236}">
              <a16:creationId xmlns:a16="http://schemas.microsoft.com/office/drawing/2014/main" id="{4D7C9675-EAF6-45C3-87E6-573CFE78C396}"/>
            </a:ext>
          </a:extLst>
        </xdr:cNvPr>
        <xdr:cNvSpPr/>
      </xdr:nvSpPr>
      <xdr:spPr>
        <a:xfrm>
          <a:off x="9170126" y="47967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30</xdr:row>
      <xdr:rowOff>76200</xdr:rowOff>
    </xdr:from>
    <xdr:to>
      <xdr:col>32</xdr:col>
      <xdr:colOff>41366</xdr:colOff>
      <xdr:row>30</xdr:row>
      <xdr:rowOff>76200</xdr:rowOff>
    </xdr:to>
    <xdr:cxnSp macro="">
      <xdr:nvCxnSpPr>
        <xdr:cNvPr id="648" name="직선 화살표 연결선 647">
          <a:extLst>
            <a:ext uri="{FF2B5EF4-FFF2-40B4-BE49-F238E27FC236}">
              <a16:creationId xmlns:a16="http://schemas.microsoft.com/office/drawing/2014/main" id="{0E0D28E5-2A0B-4A72-AA21-E4A1387A3CFF}"/>
            </a:ext>
          </a:extLst>
        </xdr:cNvPr>
        <xdr:cNvCxnSpPr/>
      </xdr:nvCxnSpPr>
      <xdr:spPr>
        <a:xfrm>
          <a:off x="9170126" y="4853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29</xdr:row>
      <xdr:rowOff>19050</xdr:rowOff>
    </xdr:from>
    <xdr:to>
      <xdr:col>32</xdr:col>
      <xdr:colOff>41366</xdr:colOff>
      <xdr:row>29</xdr:row>
      <xdr:rowOff>133350</xdr:rowOff>
    </xdr:to>
    <xdr:sp macro="" textlink="">
      <xdr:nvSpPr>
        <xdr:cNvPr id="649" name="직사각형 648">
          <a:extLst>
            <a:ext uri="{FF2B5EF4-FFF2-40B4-BE49-F238E27FC236}">
              <a16:creationId xmlns:a16="http://schemas.microsoft.com/office/drawing/2014/main" id="{32D5C784-5A11-4617-BC89-243A9936FA18}"/>
            </a:ext>
          </a:extLst>
        </xdr:cNvPr>
        <xdr:cNvSpPr/>
      </xdr:nvSpPr>
      <xdr:spPr>
        <a:xfrm>
          <a:off x="9149443" y="46443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29</xdr:row>
      <xdr:rowOff>76200</xdr:rowOff>
    </xdr:from>
    <xdr:to>
      <xdr:col>32</xdr:col>
      <xdr:colOff>20683</xdr:colOff>
      <xdr:row>29</xdr:row>
      <xdr:rowOff>76200</xdr:rowOff>
    </xdr:to>
    <xdr:cxnSp macro="">
      <xdr:nvCxnSpPr>
        <xdr:cNvPr id="650" name="직선 화살표 연결선 649">
          <a:extLst>
            <a:ext uri="{FF2B5EF4-FFF2-40B4-BE49-F238E27FC236}">
              <a16:creationId xmlns:a16="http://schemas.microsoft.com/office/drawing/2014/main" id="{840ADFB2-2864-43F6-A772-4CE9A3F130BA}"/>
            </a:ext>
          </a:extLst>
        </xdr:cNvPr>
        <xdr:cNvCxnSpPr/>
      </xdr:nvCxnSpPr>
      <xdr:spPr>
        <a:xfrm>
          <a:off x="9149443" y="4701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28</xdr:row>
      <xdr:rowOff>19050</xdr:rowOff>
    </xdr:from>
    <xdr:to>
      <xdr:col>32</xdr:col>
      <xdr:colOff>20683</xdr:colOff>
      <xdr:row>28</xdr:row>
      <xdr:rowOff>133350</xdr:rowOff>
    </xdr:to>
    <xdr:sp macro="" textlink="">
      <xdr:nvSpPr>
        <xdr:cNvPr id="651" name="직사각형 650">
          <a:extLst>
            <a:ext uri="{FF2B5EF4-FFF2-40B4-BE49-F238E27FC236}">
              <a16:creationId xmlns:a16="http://schemas.microsoft.com/office/drawing/2014/main" id="{38BFA331-EA6A-4EFF-9A51-80EC5FC4D18F}"/>
            </a:ext>
          </a:extLst>
        </xdr:cNvPr>
        <xdr:cNvSpPr/>
      </xdr:nvSpPr>
      <xdr:spPr>
        <a:xfrm>
          <a:off x="9128760" y="449199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28</xdr:row>
      <xdr:rowOff>76200</xdr:rowOff>
    </xdr:from>
    <xdr:to>
      <xdr:col>32</xdr:col>
      <xdr:colOff>0</xdr:colOff>
      <xdr:row>28</xdr:row>
      <xdr:rowOff>76200</xdr:rowOff>
    </xdr:to>
    <xdr:cxnSp macro="">
      <xdr:nvCxnSpPr>
        <xdr:cNvPr id="652" name="직선 화살표 연결선 651">
          <a:extLst>
            <a:ext uri="{FF2B5EF4-FFF2-40B4-BE49-F238E27FC236}">
              <a16:creationId xmlns:a16="http://schemas.microsoft.com/office/drawing/2014/main" id="{6B492A82-1157-42D9-8E97-04950E81AFD0}"/>
            </a:ext>
          </a:extLst>
        </xdr:cNvPr>
        <xdr:cNvCxnSpPr/>
      </xdr:nvCxnSpPr>
      <xdr:spPr>
        <a:xfrm>
          <a:off x="9128760" y="4549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27</xdr:row>
      <xdr:rowOff>19050</xdr:rowOff>
    </xdr:from>
    <xdr:to>
      <xdr:col>31</xdr:col>
      <xdr:colOff>103414</xdr:colOff>
      <xdr:row>27</xdr:row>
      <xdr:rowOff>133350</xdr:rowOff>
    </xdr:to>
    <xdr:sp macro="" textlink="">
      <xdr:nvSpPr>
        <xdr:cNvPr id="653" name="직사각형 652">
          <a:extLst>
            <a:ext uri="{FF2B5EF4-FFF2-40B4-BE49-F238E27FC236}">
              <a16:creationId xmlns:a16="http://schemas.microsoft.com/office/drawing/2014/main" id="{037E16DF-E518-465F-8D5F-8EC477C7B395}"/>
            </a:ext>
          </a:extLst>
        </xdr:cNvPr>
        <xdr:cNvSpPr/>
      </xdr:nvSpPr>
      <xdr:spPr>
        <a:xfrm>
          <a:off x="9066712" y="433959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27</xdr:row>
      <xdr:rowOff>76200</xdr:rowOff>
    </xdr:from>
    <xdr:to>
      <xdr:col>31</xdr:col>
      <xdr:colOff>82732</xdr:colOff>
      <xdr:row>27</xdr:row>
      <xdr:rowOff>76200</xdr:rowOff>
    </xdr:to>
    <xdr:cxnSp macro="">
      <xdr:nvCxnSpPr>
        <xdr:cNvPr id="654" name="직선 화살표 연결선 653">
          <a:extLst>
            <a:ext uri="{FF2B5EF4-FFF2-40B4-BE49-F238E27FC236}">
              <a16:creationId xmlns:a16="http://schemas.microsoft.com/office/drawing/2014/main" id="{7E7F00F8-3170-4169-83CF-3E869FFF28CA}"/>
            </a:ext>
          </a:extLst>
        </xdr:cNvPr>
        <xdr:cNvCxnSpPr/>
      </xdr:nvCxnSpPr>
      <xdr:spPr>
        <a:xfrm>
          <a:off x="9066712" y="4396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26</xdr:row>
      <xdr:rowOff>19050</xdr:rowOff>
    </xdr:from>
    <xdr:to>
      <xdr:col>31</xdr:col>
      <xdr:colOff>82732</xdr:colOff>
      <xdr:row>26</xdr:row>
      <xdr:rowOff>133350</xdr:rowOff>
    </xdr:to>
    <xdr:sp macro="" textlink="">
      <xdr:nvSpPr>
        <xdr:cNvPr id="655" name="직사각형 654">
          <a:extLst>
            <a:ext uri="{FF2B5EF4-FFF2-40B4-BE49-F238E27FC236}">
              <a16:creationId xmlns:a16="http://schemas.microsoft.com/office/drawing/2014/main" id="{B9F3DA72-A941-4747-99A8-E3559968ECA1}"/>
            </a:ext>
          </a:extLst>
        </xdr:cNvPr>
        <xdr:cNvSpPr/>
      </xdr:nvSpPr>
      <xdr:spPr>
        <a:xfrm>
          <a:off x="9046028" y="418719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26</xdr:row>
      <xdr:rowOff>76200</xdr:rowOff>
    </xdr:from>
    <xdr:to>
      <xdr:col>31</xdr:col>
      <xdr:colOff>62048</xdr:colOff>
      <xdr:row>26</xdr:row>
      <xdr:rowOff>76200</xdr:rowOff>
    </xdr:to>
    <xdr:cxnSp macro="">
      <xdr:nvCxnSpPr>
        <xdr:cNvPr id="656" name="직선 화살표 연결선 655">
          <a:extLst>
            <a:ext uri="{FF2B5EF4-FFF2-40B4-BE49-F238E27FC236}">
              <a16:creationId xmlns:a16="http://schemas.microsoft.com/office/drawing/2014/main" id="{A9422A60-34EE-41B0-852D-B52298926CAA}"/>
            </a:ext>
          </a:extLst>
        </xdr:cNvPr>
        <xdr:cNvCxnSpPr/>
      </xdr:nvCxnSpPr>
      <xdr:spPr>
        <a:xfrm>
          <a:off x="9046028" y="4244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25</xdr:row>
      <xdr:rowOff>19050</xdr:rowOff>
    </xdr:from>
    <xdr:to>
      <xdr:col>31</xdr:col>
      <xdr:colOff>62048</xdr:colOff>
      <xdr:row>25</xdr:row>
      <xdr:rowOff>133350</xdr:rowOff>
    </xdr:to>
    <xdr:sp macro="" textlink="">
      <xdr:nvSpPr>
        <xdr:cNvPr id="657" name="직사각형 656">
          <a:extLst>
            <a:ext uri="{FF2B5EF4-FFF2-40B4-BE49-F238E27FC236}">
              <a16:creationId xmlns:a16="http://schemas.microsoft.com/office/drawing/2014/main" id="{0DACBFB4-7D22-46B6-B284-2DEFEABE23C1}"/>
            </a:ext>
          </a:extLst>
        </xdr:cNvPr>
        <xdr:cNvSpPr/>
      </xdr:nvSpPr>
      <xdr:spPr>
        <a:xfrm>
          <a:off x="8983980" y="403479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25</xdr:row>
      <xdr:rowOff>76200</xdr:rowOff>
    </xdr:from>
    <xdr:to>
      <xdr:col>31</xdr:col>
      <xdr:colOff>0</xdr:colOff>
      <xdr:row>25</xdr:row>
      <xdr:rowOff>76200</xdr:rowOff>
    </xdr:to>
    <xdr:cxnSp macro="">
      <xdr:nvCxnSpPr>
        <xdr:cNvPr id="658" name="직선 화살표 연결선 657">
          <a:extLst>
            <a:ext uri="{FF2B5EF4-FFF2-40B4-BE49-F238E27FC236}">
              <a16:creationId xmlns:a16="http://schemas.microsoft.com/office/drawing/2014/main" id="{AFEF8CD6-4BEC-4C8C-9999-D742B06C835C}"/>
            </a:ext>
          </a:extLst>
        </xdr:cNvPr>
        <xdr:cNvCxnSpPr/>
      </xdr:nvCxnSpPr>
      <xdr:spPr>
        <a:xfrm>
          <a:off x="8983980" y="4091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24</xdr:row>
      <xdr:rowOff>19050</xdr:rowOff>
    </xdr:from>
    <xdr:to>
      <xdr:col>35</xdr:col>
      <xdr:colOff>41366</xdr:colOff>
      <xdr:row>24</xdr:row>
      <xdr:rowOff>133350</xdr:rowOff>
    </xdr:to>
    <xdr:sp macro="" textlink="">
      <xdr:nvSpPr>
        <xdr:cNvPr id="659" name="직사각형 658">
          <a:extLst>
            <a:ext uri="{FF2B5EF4-FFF2-40B4-BE49-F238E27FC236}">
              <a16:creationId xmlns:a16="http://schemas.microsoft.com/office/drawing/2014/main" id="{EB247C51-C1DB-436E-B2C2-1FB632C8DA2E}"/>
            </a:ext>
          </a:extLst>
        </xdr:cNvPr>
        <xdr:cNvSpPr/>
      </xdr:nvSpPr>
      <xdr:spPr>
        <a:xfrm>
          <a:off x="8859883" y="3882390"/>
          <a:ext cx="744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24</xdr:row>
      <xdr:rowOff>76200</xdr:rowOff>
    </xdr:from>
    <xdr:to>
      <xdr:col>30</xdr:col>
      <xdr:colOff>20683</xdr:colOff>
      <xdr:row>24</xdr:row>
      <xdr:rowOff>76200</xdr:rowOff>
    </xdr:to>
    <xdr:cxnSp macro="">
      <xdr:nvCxnSpPr>
        <xdr:cNvPr id="660" name="직선 화살표 연결선 659">
          <a:extLst>
            <a:ext uri="{FF2B5EF4-FFF2-40B4-BE49-F238E27FC236}">
              <a16:creationId xmlns:a16="http://schemas.microsoft.com/office/drawing/2014/main" id="{0FC4A859-4BFB-410C-88C8-281AB149D9FE}"/>
            </a:ext>
          </a:extLst>
        </xdr:cNvPr>
        <xdr:cNvCxnSpPr/>
      </xdr:nvCxnSpPr>
      <xdr:spPr>
        <a:xfrm>
          <a:off x="8859883" y="3939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37</xdr:col>
      <xdr:colOff>41366</xdr:colOff>
      <xdr:row>22</xdr:row>
      <xdr:rowOff>133350</xdr:rowOff>
    </xdr:to>
    <xdr:sp macro="" textlink="">
      <xdr:nvSpPr>
        <xdr:cNvPr id="661" name="직사각형 660">
          <a:extLst>
            <a:ext uri="{FF2B5EF4-FFF2-40B4-BE49-F238E27FC236}">
              <a16:creationId xmlns:a16="http://schemas.microsoft.com/office/drawing/2014/main" id="{3ED04AE2-7C1B-4B41-B5E0-10438A16A3BB}"/>
            </a:ext>
          </a:extLst>
        </xdr:cNvPr>
        <xdr:cNvSpPr/>
      </xdr:nvSpPr>
      <xdr:spPr>
        <a:xfrm>
          <a:off x="9128760" y="3577590"/>
          <a:ext cx="7652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32</xdr:col>
      <xdr:colOff>0</xdr:colOff>
      <xdr:row>22</xdr:row>
      <xdr:rowOff>76200</xdr:rowOff>
    </xdr:to>
    <xdr:cxnSp macro="">
      <xdr:nvCxnSpPr>
        <xdr:cNvPr id="662" name="직선 화살표 연결선 661">
          <a:extLst>
            <a:ext uri="{FF2B5EF4-FFF2-40B4-BE49-F238E27FC236}">
              <a16:creationId xmlns:a16="http://schemas.microsoft.com/office/drawing/2014/main" id="{6A0A845B-C0C3-47AF-B454-FB5C5F5ED468}"/>
            </a:ext>
          </a:extLst>
        </xdr:cNvPr>
        <xdr:cNvCxnSpPr/>
      </xdr:nvCxnSpPr>
      <xdr:spPr>
        <a:xfrm>
          <a:off x="9128760" y="3634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21</xdr:row>
      <xdr:rowOff>19050</xdr:rowOff>
    </xdr:from>
    <xdr:to>
      <xdr:col>36</xdr:col>
      <xdr:colOff>103414</xdr:colOff>
      <xdr:row>21</xdr:row>
      <xdr:rowOff>133350</xdr:rowOff>
    </xdr:to>
    <xdr:sp macro="" textlink="">
      <xdr:nvSpPr>
        <xdr:cNvPr id="663" name="직사각형 662">
          <a:extLst>
            <a:ext uri="{FF2B5EF4-FFF2-40B4-BE49-F238E27FC236}">
              <a16:creationId xmlns:a16="http://schemas.microsoft.com/office/drawing/2014/main" id="{4C7BBA6F-F26C-4577-B021-0AF212AAFDDA}"/>
            </a:ext>
          </a:extLst>
        </xdr:cNvPr>
        <xdr:cNvSpPr/>
      </xdr:nvSpPr>
      <xdr:spPr>
        <a:xfrm>
          <a:off x="9769928" y="34251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21</xdr:row>
      <xdr:rowOff>76200</xdr:rowOff>
    </xdr:from>
    <xdr:to>
      <xdr:col>36</xdr:col>
      <xdr:colOff>62048</xdr:colOff>
      <xdr:row>21</xdr:row>
      <xdr:rowOff>76200</xdr:rowOff>
    </xdr:to>
    <xdr:cxnSp macro="">
      <xdr:nvCxnSpPr>
        <xdr:cNvPr id="664" name="직선 화살표 연결선 663">
          <a:extLst>
            <a:ext uri="{FF2B5EF4-FFF2-40B4-BE49-F238E27FC236}">
              <a16:creationId xmlns:a16="http://schemas.microsoft.com/office/drawing/2014/main" id="{789A18BB-7259-4079-9F6A-E604BBADBAF4}"/>
            </a:ext>
          </a:extLst>
        </xdr:cNvPr>
        <xdr:cNvCxnSpPr/>
      </xdr:nvCxnSpPr>
      <xdr:spPr>
        <a:xfrm>
          <a:off x="9769928" y="3482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20</xdr:row>
      <xdr:rowOff>19050</xdr:rowOff>
    </xdr:from>
    <xdr:to>
      <xdr:col>36</xdr:col>
      <xdr:colOff>62048</xdr:colOff>
      <xdr:row>20</xdr:row>
      <xdr:rowOff>133350</xdr:rowOff>
    </xdr:to>
    <xdr:sp macro="" textlink="">
      <xdr:nvSpPr>
        <xdr:cNvPr id="665" name="직사각형 664">
          <a:extLst>
            <a:ext uri="{FF2B5EF4-FFF2-40B4-BE49-F238E27FC236}">
              <a16:creationId xmlns:a16="http://schemas.microsoft.com/office/drawing/2014/main" id="{23A24877-341D-469B-AA23-61998CE5B32D}"/>
            </a:ext>
          </a:extLst>
        </xdr:cNvPr>
        <xdr:cNvSpPr/>
      </xdr:nvSpPr>
      <xdr:spPr>
        <a:xfrm>
          <a:off x="9728563" y="327279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20</xdr:row>
      <xdr:rowOff>76200</xdr:rowOff>
    </xdr:from>
    <xdr:to>
      <xdr:col>36</xdr:col>
      <xdr:colOff>20683</xdr:colOff>
      <xdr:row>20</xdr:row>
      <xdr:rowOff>76200</xdr:rowOff>
    </xdr:to>
    <xdr:cxnSp macro="">
      <xdr:nvCxnSpPr>
        <xdr:cNvPr id="666" name="직선 화살표 연결선 665">
          <a:extLst>
            <a:ext uri="{FF2B5EF4-FFF2-40B4-BE49-F238E27FC236}">
              <a16:creationId xmlns:a16="http://schemas.microsoft.com/office/drawing/2014/main" id="{6666C829-50CF-45CD-8063-6E9F6D113BDA}"/>
            </a:ext>
          </a:extLst>
        </xdr:cNvPr>
        <xdr:cNvCxnSpPr/>
      </xdr:nvCxnSpPr>
      <xdr:spPr>
        <a:xfrm>
          <a:off x="9728563" y="3329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82731</xdr:colOff>
      <xdr:row>19</xdr:row>
      <xdr:rowOff>19050</xdr:rowOff>
    </xdr:from>
    <xdr:to>
      <xdr:col>36</xdr:col>
      <xdr:colOff>20683</xdr:colOff>
      <xdr:row>19</xdr:row>
      <xdr:rowOff>133350</xdr:rowOff>
    </xdr:to>
    <xdr:sp macro="" textlink="">
      <xdr:nvSpPr>
        <xdr:cNvPr id="667" name="직사각형 666">
          <a:extLst>
            <a:ext uri="{FF2B5EF4-FFF2-40B4-BE49-F238E27FC236}">
              <a16:creationId xmlns:a16="http://schemas.microsoft.com/office/drawing/2014/main" id="{FA4C8B95-4947-411B-97B7-F7314150F401}"/>
            </a:ext>
          </a:extLst>
        </xdr:cNvPr>
        <xdr:cNvSpPr/>
      </xdr:nvSpPr>
      <xdr:spPr>
        <a:xfrm>
          <a:off x="9645831" y="312039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82731</xdr:colOff>
      <xdr:row>19</xdr:row>
      <xdr:rowOff>76200</xdr:rowOff>
    </xdr:from>
    <xdr:to>
      <xdr:col>35</xdr:col>
      <xdr:colOff>82731</xdr:colOff>
      <xdr:row>19</xdr:row>
      <xdr:rowOff>76200</xdr:rowOff>
    </xdr:to>
    <xdr:cxnSp macro="">
      <xdr:nvCxnSpPr>
        <xdr:cNvPr id="668" name="직선 화살표 연결선 667">
          <a:extLst>
            <a:ext uri="{FF2B5EF4-FFF2-40B4-BE49-F238E27FC236}">
              <a16:creationId xmlns:a16="http://schemas.microsoft.com/office/drawing/2014/main" id="{FEC58264-3D80-4CA5-B8AB-3651C6B84056}"/>
            </a:ext>
          </a:extLst>
        </xdr:cNvPr>
        <xdr:cNvCxnSpPr/>
      </xdr:nvCxnSpPr>
      <xdr:spPr>
        <a:xfrm>
          <a:off x="9645831" y="3177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18</xdr:row>
      <xdr:rowOff>19050</xdr:rowOff>
    </xdr:from>
    <xdr:to>
      <xdr:col>35</xdr:col>
      <xdr:colOff>82731</xdr:colOff>
      <xdr:row>18</xdr:row>
      <xdr:rowOff>133350</xdr:rowOff>
    </xdr:to>
    <xdr:sp macro="" textlink="">
      <xdr:nvSpPr>
        <xdr:cNvPr id="669" name="직사각형 668">
          <a:extLst>
            <a:ext uri="{FF2B5EF4-FFF2-40B4-BE49-F238E27FC236}">
              <a16:creationId xmlns:a16="http://schemas.microsoft.com/office/drawing/2014/main" id="{BECEDE3D-9224-4EF0-9394-433F9AB44A2F}"/>
            </a:ext>
          </a:extLst>
        </xdr:cNvPr>
        <xdr:cNvSpPr/>
      </xdr:nvSpPr>
      <xdr:spPr>
        <a:xfrm>
          <a:off x="9583783" y="296799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18</xdr:row>
      <xdr:rowOff>76200</xdr:rowOff>
    </xdr:from>
    <xdr:to>
      <xdr:col>35</xdr:col>
      <xdr:colOff>20683</xdr:colOff>
      <xdr:row>18</xdr:row>
      <xdr:rowOff>76200</xdr:rowOff>
    </xdr:to>
    <xdr:cxnSp macro="">
      <xdr:nvCxnSpPr>
        <xdr:cNvPr id="670" name="직선 화살표 연결선 669">
          <a:extLst>
            <a:ext uri="{FF2B5EF4-FFF2-40B4-BE49-F238E27FC236}">
              <a16:creationId xmlns:a16="http://schemas.microsoft.com/office/drawing/2014/main" id="{0B5BA19C-99A4-4DB9-AD7C-5F9C82565459}"/>
            </a:ext>
          </a:extLst>
        </xdr:cNvPr>
        <xdr:cNvCxnSpPr/>
      </xdr:nvCxnSpPr>
      <xdr:spPr>
        <a:xfrm>
          <a:off x="9583783" y="3025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82731</xdr:colOff>
      <xdr:row>17</xdr:row>
      <xdr:rowOff>19050</xdr:rowOff>
    </xdr:from>
    <xdr:to>
      <xdr:col>35</xdr:col>
      <xdr:colOff>20683</xdr:colOff>
      <xdr:row>17</xdr:row>
      <xdr:rowOff>133350</xdr:rowOff>
    </xdr:to>
    <xdr:sp macro="" textlink="">
      <xdr:nvSpPr>
        <xdr:cNvPr id="671" name="직사각형 670">
          <a:extLst>
            <a:ext uri="{FF2B5EF4-FFF2-40B4-BE49-F238E27FC236}">
              <a16:creationId xmlns:a16="http://schemas.microsoft.com/office/drawing/2014/main" id="{CE51D797-7EA9-4BFA-94EE-F552285EAEF4}"/>
            </a:ext>
          </a:extLst>
        </xdr:cNvPr>
        <xdr:cNvSpPr/>
      </xdr:nvSpPr>
      <xdr:spPr>
        <a:xfrm>
          <a:off x="9501051" y="281559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82731</xdr:colOff>
      <xdr:row>17</xdr:row>
      <xdr:rowOff>76200</xdr:rowOff>
    </xdr:from>
    <xdr:to>
      <xdr:col>34</xdr:col>
      <xdr:colOff>82731</xdr:colOff>
      <xdr:row>17</xdr:row>
      <xdr:rowOff>76200</xdr:rowOff>
    </xdr:to>
    <xdr:cxnSp macro="">
      <xdr:nvCxnSpPr>
        <xdr:cNvPr id="672" name="직선 화살표 연결선 671">
          <a:extLst>
            <a:ext uri="{FF2B5EF4-FFF2-40B4-BE49-F238E27FC236}">
              <a16:creationId xmlns:a16="http://schemas.microsoft.com/office/drawing/2014/main" id="{782D4785-FC97-4D87-8655-154CF60E8CC9}"/>
            </a:ext>
          </a:extLst>
        </xdr:cNvPr>
        <xdr:cNvCxnSpPr/>
      </xdr:nvCxnSpPr>
      <xdr:spPr>
        <a:xfrm>
          <a:off x="9501051" y="2872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16</xdr:row>
      <xdr:rowOff>19050</xdr:rowOff>
    </xdr:from>
    <xdr:to>
      <xdr:col>34</xdr:col>
      <xdr:colOff>82731</xdr:colOff>
      <xdr:row>16</xdr:row>
      <xdr:rowOff>133350</xdr:rowOff>
    </xdr:to>
    <xdr:sp macro="" textlink="">
      <xdr:nvSpPr>
        <xdr:cNvPr id="673" name="직사각형 672">
          <a:extLst>
            <a:ext uri="{FF2B5EF4-FFF2-40B4-BE49-F238E27FC236}">
              <a16:creationId xmlns:a16="http://schemas.microsoft.com/office/drawing/2014/main" id="{0BC8C30F-1D8E-4211-ADD2-5113D587DD94}"/>
            </a:ext>
          </a:extLst>
        </xdr:cNvPr>
        <xdr:cNvSpPr/>
      </xdr:nvSpPr>
      <xdr:spPr>
        <a:xfrm>
          <a:off x="9459685" y="26631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16</xdr:row>
      <xdr:rowOff>76200</xdr:rowOff>
    </xdr:from>
    <xdr:to>
      <xdr:col>34</xdr:col>
      <xdr:colOff>41365</xdr:colOff>
      <xdr:row>16</xdr:row>
      <xdr:rowOff>76200</xdr:rowOff>
    </xdr:to>
    <xdr:cxnSp macro="">
      <xdr:nvCxnSpPr>
        <xdr:cNvPr id="674" name="직선 화살표 연결선 673">
          <a:extLst>
            <a:ext uri="{FF2B5EF4-FFF2-40B4-BE49-F238E27FC236}">
              <a16:creationId xmlns:a16="http://schemas.microsoft.com/office/drawing/2014/main" id="{AD494B8D-3A1C-471B-84E7-D1B790FDC689}"/>
            </a:ext>
          </a:extLst>
        </xdr:cNvPr>
        <xdr:cNvCxnSpPr/>
      </xdr:nvCxnSpPr>
      <xdr:spPr>
        <a:xfrm>
          <a:off x="9459685" y="2720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82732</xdr:colOff>
      <xdr:row>15</xdr:row>
      <xdr:rowOff>19050</xdr:rowOff>
    </xdr:from>
    <xdr:to>
      <xdr:col>34</xdr:col>
      <xdr:colOff>20683</xdr:colOff>
      <xdr:row>15</xdr:row>
      <xdr:rowOff>133350</xdr:rowOff>
    </xdr:to>
    <xdr:sp macro="" textlink="">
      <xdr:nvSpPr>
        <xdr:cNvPr id="675" name="직사각형 674">
          <a:extLst>
            <a:ext uri="{FF2B5EF4-FFF2-40B4-BE49-F238E27FC236}">
              <a16:creationId xmlns:a16="http://schemas.microsoft.com/office/drawing/2014/main" id="{FBD49E7F-3A11-4ED6-968B-48D54E932EF4}"/>
            </a:ext>
          </a:extLst>
        </xdr:cNvPr>
        <xdr:cNvSpPr/>
      </xdr:nvSpPr>
      <xdr:spPr>
        <a:xfrm>
          <a:off x="9356272" y="251079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82732</xdr:colOff>
      <xdr:row>15</xdr:row>
      <xdr:rowOff>76200</xdr:rowOff>
    </xdr:from>
    <xdr:to>
      <xdr:col>33</xdr:col>
      <xdr:colOff>82732</xdr:colOff>
      <xdr:row>15</xdr:row>
      <xdr:rowOff>76200</xdr:rowOff>
    </xdr:to>
    <xdr:cxnSp macro="">
      <xdr:nvCxnSpPr>
        <xdr:cNvPr id="676" name="직선 화살표 연결선 675">
          <a:extLst>
            <a:ext uri="{FF2B5EF4-FFF2-40B4-BE49-F238E27FC236}">
              <a16:creationId xmlns:a16="http://schemas.microsoft.com/office/drawing/2014/main" id="{7D719E67-2B06-4753-B1F8-133B2D70D741}"/>
            </a:ext>
          </a:extLst>
        </xdr:cNvPr>
        <xdr:cNvCxnSpPr/>
      </xdr:nvCxnSpPr>
      <xdr:spPr>
        <a:xfrm>
          <a:off x="9356272" y="25679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14</xdr:row>
      <xdr:rowOff>19050</xdr:rowOff>
    </xdr:from>
    <xdr:to>
      <xdr:col>33</xdr:col>
      <xdr:colOff>82732</xdr:colOff>
      <xdr:row>14</xdr:row>
      <xdr:rowOff>133350</xdr:rowOff>
    </xdr:to>
    <xdr:sp macro="" textlink="">
      <xdr:nvSpPr>
        <xdr:cNvPr id="677" name="직사각형 676">
          <a:extLst>
            <a:ext uri="{FF2B5EF4-FFF2-40B4-BE49-F238E27FC236}">
              <a16:creationId xmlns:a16="http://schemas.microsoft.com/office/drawing/2014/main" id="{4ED9B6C2-E190-432A-B254-EAB46AF78642}"/>
            </a:ext>
          </a:extLst>
        </xdr:cNvPr>
        <xdr:cNvSpPr/>
      </xdr:nvSpPr>
      <xdr:spPr>
        <a:xfrm>
          <a:off x="9314906" y="23583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14</xdr:row>
      <xdr:rowOff>76200</xdr:rowOff>
    </xdr:from>
    <xdr:to>
      <xdr:col>33</xdr:col>
      <xdr:colOff>41366</xdr:colOff>
      <xdr:row>14</xdr:row>
      <xdr:rowOff>76200</xdr:rowOff>
    </xdr:to>
    <xdr:cxnSp macro="">
      <xdr:nvCxnSpPr>
        <xdr:cNvPr id="678" name="직선 화살표 연결선 677">
          <a:extLst>
            <a:ext uri="{FF2B5EF4-FFF2-40B4-BE49-F238E27FC236}">
              <a16:creationId xmlns:a16="http://schemas.microsoft.com/office/drawing/2014/main" id="{8D6902B4-002D-4DB2-AB39-197805426693}"/>
            </a:ext>
          </a:extLst>
        </xdr:cNvPr>
        <xdr:cNvCxnSpPr/>
      </xdr:nvCxnSpPr>
      <xdr:spPr>
        <a:xfrm>
          <a:off x="9314906" y="24155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13</xdr:row>
      <xdr:rowOff>19050</xdr:rowOff>
    </xdr:from>
    <xdr:to>
      <xdr:col>33</xdr:col>
      <xdr:colOff>41366</xdr:colOff>
      <xdr:row>13</xdr:row>
      <xdr:rowOff>133350</xdr:rowOff>
    </xdr:to>
    <xdr:sp macro="" textlink="">
      <xdr:nvSpPr>
        <xdr:cNvPr id="679" name="직사각형 678">
          <a:extLst>
            <a:ext uri="{FF2B5EF4-FFF2-40B4-BE49-F238E27FC236}">
              <a16:creationId xmlns:a16="http://schemas.microsoft.com/office/drawing/2014/main" id="{65677094-F97C-4568-8814-908A346C53E9}"/>
            </a:ext>
          </a:extLst>
        </xdr:cNvPr>
        <xdr:cNvSpPr/>
      </xdr:nvSpPr>
      <xdr:spPr>
        <a:xfrm>
          <a:off x="9273540" y="22059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13</xdr:row>
      <xdr:rowOff>76200</xdr:rowOff>
    </xdr:from>
    <xdr:to>
      <xdr:col>33</xdr:col>
      <xdr:colOff>0</xdr:colOff>
      <xdr:row>13</xdr:row>
      <xdr:rowOff>76200</xdr:rowOff>
    </xdr:to>
    <xdr:cxnSp macro="">
      <xdr:nvCxnSpPr>
        <xdr:cNvPr id="680" name="직선 화살표 연결선 679">
          <a:extLst>
            <a:ext uri="{FF2B5EF4-FFF2-40B4-BE49-F238E27FC236}">
              <a16:creationId xmlns:a16="http://schemas.microsoft.com/office/drawing/2014/main" id="{D233FDAC-3B76-4DA4-A9FB-FA15753EF420}"/>
            </a:ext>
          </a:extLst>
        </xdr:cNvPr>
        <xdr:cNvCxnSpPr/>
      </xdr:nvCxnSpPr>
      <xdr:spPr>
        <a:xfrm>
          <a:off x="9273540" y="22631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12</xdr:row>
      <xdr:rowOff>19050</xdr:rowOff>
    </xdr:from>
    <xdr:to>
      <xdr:col>32</xdr:col>
      <xdr:colOff>103414</xdr:colOff>
      <xdr:row>12</xdr:row>
      <xdr:rowOff>133350</xdr:rowOff>
    </xdr:to>
    <xdr:sp macro="" textlink="">
      <xdr:nvSpPr>
        <xdr:cNvPr id="681" name="직사각형 680">
          <a:extLst>
            <a:ext uri="{FF2B5EF4-FFF2-40B4-BE49-F238E27FC236}">
              <a16:creationId xmlns:a16="http://schemas.microsoft.com/office/drawing/2014/main" id="{515FEAC9-5DBF-43CA-8143-D20E1BBDF2C5}"/>
            </a:ext>
          </a:extLst>
        </xdr:cNvPr>
        <xdr:cNvSpPr/>
      </xdr:nvSpPr>
      <xdr:spPr>
        <a:xfrm>
          <a:off x="9190809" y="205359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12</xdr:row>
      <xdr:rowOff>76200</xdr:rowOff>
    </xdr:from>
    <xdr:to>
      <xdr:col>32</xdr:col>
      <xdr:colOff>62049</xdr:colOff>
      <xdr:row>12</xdr:row>
      <xdr:rowOff>76200</xdr:rowOff>
    </xdr:to>
    <xdr:cxnSp macro="">
      <xdr:nvCxnSpPr>
        <xdr:cNvPr id="682" name="직선 화살표 연결선 681">
          <a:extLst>
            <a:ext uri="{FF2B5EF4-FFF2-40B4-BE49-F238E27FC236}">
              <a16:creationId xmlns:a16="http://schemas.microsoft.com/office/drawing/2014/main" id="{2833BF04-F631-4B50-B94D-0B42B88B2095}"/>
            </a:ext>
          </a:extLst>
        </xdr:cNvPr>
        <xdr:cNvCxnSpPr/>
      </xdr:nvCxnSpPr>
      <xdr:spPr>
        <a:xfrm>
          <a:off x="9190809" y="21107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11</xdr:row>
      <xdr:rowOff>19050</xdr:rowOff>
    </xdr:from>
    <xdr:to>
      <xdr:col>32</xdr:col>
      <xdr:colOff>62049</xdr:colOff>
      <xdr:row>11</xdr:row>
      <xdr:rowOff>133350</xdr:rowOff>
    </xdr:to>
    <xdr:sp macro="" textlink="">
      <xdr:nvSpPr>
        <xdr:cNvPr id="683" name="직사각형 682">
          <a:extLst>
            <a:ext uri="{FF2B5EF4-FFF2-40B4-BE49-F238E27FC236}">
              <a16:creationId xmlns:a16="http://schemas.microsoft.com/office/drawing/2014/main" id="{C6B2810D-A3AD-43F2-A28F-1C66EB7D82F8}"/>
            </a:ext>
          </a:extLst>
        </xdr:cNvPr>
        <xdr:cNvSpPr/>
      </xdr:nvSpPr>
      <xdr:spPr>
        <a:xfrm>
          <a:off x="9149443" y="190119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11</xdr:row>
      <xdr:rowOff>76200</xdr:rowOff>
    </xdr:from>
    <xdr:to>
      <xdr:col>32</xdr:col>
      <xdr:colOff>20683</xdr:colOff>
      <xdr:row>11</xdr:row>
      <xdr:rowOff>76200</xdr:rowOff>
    </xdr:to>
    <xdr:cxnSp macro="">
      <xdr:nvCxnSpPr>
        <xdr:cNvPr id="684" name="직선 화살표 연결선 683">
          <a:extLst>
            <a:ext uri="{FF2B5EF4-FFF2-40B4-BE49-F238E27FC236}">
              <a16:creationId xmlns:a16="http://schemas.microsoft.com/office/drawing/2014/main" id="{A835F7DC-589A-47B6-AEFA-AEE3787D029E}"/>
            </a:ext>
          </a:extLst>
        </xdr:cNvPr>
        <xdr:cNvCxnSpPr/>
      </xdr:nvCxnSpPr>
      <xdr:spPr>
        <a:xfrm>
          <a:off x="9149443" y="19583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10</xdr:row>
      <xdr:rowOff>26670</xdr:rowOff>
    </xdr:from>
    <xdr:to>
      <xdr:col>32</xdr:col>
      <xdr:colOff>20683</xdr:colOff>
      <xdr:row>10</xdr:row>
      <xdr:rowOff>140970</xdr:rowOff>
    </xdr:to>
    <xdr:sp macro="" textlink="">
      <xdr:nvSpPr>
        <xdr:cNvPr id="685" name="직사각형 684">
          <a:extLst>
            <a:ext uri="{FF2B5EF4-FFF2-40B4-BE49-F238E27FC236}">
              <a16:creationId xmlns:a16="http://schemas.microsoft.com/office/drawing/2014/main" id="{0AD35171-6FBE-4FD6-975B-4ACE228E0760}"/>
            </a:ext>
          </a:extLst>
        </xdr:cNvPr>
        <xdr:cNvSpPr/>
      </xdr:nvSpPr>
      <xdr:spPr>
        <a:xfrm>
          <a:off x="9128760" y="174117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10</xdr:row>
      <xdr:rowOff>83820</xdr:rowOff>
    </xdr:from>
    <xdr:to>
      <xdr:col>32</xdr:col>
      <xdr:colOff>0</xdr:colOff>
      <xdr:row>10</xdr:row>
      <xdr:rowOff>83820</xdr:rowOff>
    </xdr:to>
    <xdr:cxnSp macro="">
      <xdr:nvCxnSpPr>
        <xdr:cNvPr id="686" name="직선 화살표 연결선 685">
          <a:extLst>
            <a:ext uri="{FF2B5EF4-FFF2-40B4-BE49-F238E27FC236}">
              <a16:creationId xmlns:a16="http://schemas.microsoft.com/office/drawing/2014/main" id="{0C1BDEC7-EC80-4A5D-BE7D-86F90D0DC3C9}"/>
            </a:ext>
          </a:extLst>
        </xdr:cNvPr>
        <xdr:cNvCxnSpPr/>
      </xdr:nvCxnSpPr>
      <xdr:spPr>
        <a:xfrm>
          <a:off x="9128760" y="179832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9</xdr:row>
      <xdr:rowOff>26670</xdr:rowOff>
    </xdr:from>
    <xdr:to>
      <xdr:col>31</xdr:col>
      <xdr:colOff>103414</xdr:colOff>
      <xdr:row>9</xdr:row>
      <xdr:rowOff>140970</xdr:rowOff>
    </xdr:to>
    <xdr:sp macro="" textlink="">
      <xdr:nvSpPr>
        <xdr:cNvPr id="687" name="직사각형 686">
          <a:extLst>
            <a:ext uri="{FF2B5EF4-FFF2-40B4-BE49-F238E27FC236}">
              <a16:creationId xmlns:a16="http://schemas.microsoft.com/office/drawing/2014/main" id="{34CC1E53-1AAE-4433-837D-A2F59FDCF24E}"/>
            </a:ext>
          </a:extLst>
        </xdr:cNvPr>
        <xdr:cNvSpPr/>
      </xdr:nvSpPr>
      <xdr:spPr>
        <a:xfrm>
          <a:off x="8983980" y="15735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9</xdr:row>
      <xdr:rowOff>83820</xdr:rowOff>
    </xdr:from>
    <xdr:to>
      <xdr:col>31</xdr:col>
      <xdr:colOff>0</xdr:colOff>
      <xdr:row>9</xdr:row>
      <xdr:rowOff>83820</xdr:rowOff>
    </xdr:to>
    <xdr:cxnSp macro="">
      <xdr:nvCxnSpPr>
        <xdr:cNvPr id="688" name="직선 화살표 연결선 687">
          <a:extLst>
            <a:ext uri="{FF2B5EF4-FFF2-40B4-BE49-F238E27FC236}">
              <a16:creationId xmlns:a16="http://schemas.microsoft.com/office/drawing/2014/main" id="{7A67D043-3316-4E41-AB63-656D7F51113B}"/>
            </a:ext>
          </a:extLst>
        </xdr:cNvPr>
        <xdr:cNvCxnSpPr/>
      </xdr:nvCxnSpPr>
      <xdr:spPr>
        <a:xfrm>
          <a:off x="8983980" y="16306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0</xdr:colOff>
      <xdr:row>8</xdr:row>
      <xdr:rowOff>19050</xdr:rowOff>
    </xdr:from>
    <xdr:to>
      <xdr:col>37</xdr:col>
      <xdr:colOff>41366</xdr:colOff>
      <xdr:row>8</xdr:row>
      <xdr:rowOff>133350</xdr:rowOff>
    </xdr:to>
    <xdr:sp macro="" textlink="">
      <xdr:nvSpPr>
        <xdr:cNvPr id="689" name="직사각형 688">
          <a:extLst>
            <a:ext uri="{FF2B5EF4-FFF2-40B4-BE49-F238E27FC236}">
              <a16:creationId xmlns:a16="http://schemas.microsoft.com/office/drawing/2014/main" id="{76472F90-5F48-4650-BE4D-C3B25BD67B7A}"/>
            </a:ext>
          </a:extLst>
        </xdr:cNvPr>
        <xdr:cNvSpPr/>
      </xdr:nvSpPr>
      <xdr:spPr>
        <a:xfrm>
          <a:off x="8983980" y="1413510"/>
          <a:ext cx="9100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0</xdr:colOff>
      <xdr:row>8</xdr:row>
      <xdr:rowOff>76200</xdr:rowOff>
    </xdr:from>
    <xdr:to>
      <xdr:col>31</xdr:col>
      <xdr:colOff>0</xdr:colOff>
      <xdr:row>8</xdr:row>
      <xdr:rowOff>76200</xdr:rowOff>
    </xdr:to>
    <xdr:cxnSp macro="">
      <xdr:nvCxnSpPr>
        <xdr:cNvPr id="690" name="직선 화살표 연결선 689">
          <a:extLst>
            <a:ext uri="{FF2B5EF4-FFF2-40B4-BE49-F238E27FC236}">
              <a16:creationId xmlns:a16="http://schemas.microsoft.com/office/drawing/2014/main" id="{23955D5B-0926-4386-B65F-4A441C99A03B}"/>
            </a:ext>
          </a:extLst>
        </xdr:cNvPr>
        <xdr:cNvCxnSpPr/>
      </xdr:nvCxnSpPr>
      <xdr:spPr>
        <a:xfrm>
          <a:off x="8983980" y="147066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xdr:row>
      <xdr:rowOff>26670</xdr:rowOff>
    </xdr:from>
    <xdr:to>
      <xdr:col>29</xdr:col>
      <xdr:colOff>103414</xdr:colOff>
      <xdr:row>6</xdr:row>
      <xdr:rowOff>140970</xdr:rowOff>
    </xdr:to>
    <xdr:sp macro="" textlink="">
      <xdr:nvSpPr>
        <xdr:cNvPr id="691" name="직사각형 690">
          <a:extLst>
            <a:ext uri="{FF2B5EF4-FFF2-40B4-BE49-F238E27FC236}">
              <a16:creationId xmlns:a16="http://schemas.microsoft.com/office/drawing/2014/main" id="{B335DD9C-1AB7-4B43-8AE7-122EB5C3B41B}"/>
            </a:ext>
          </a:extLst>
        </xdr:cNvPr>
        <xdr:cNvSpPr/>
      </xdr:nvSpPr>
      <xdr:spPr>
        <a:xfrm>
          <a:off x="8694420" y="110109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0</xdr:colOff>
      <xdr:row>6</xdr:row>
      <xdr:rowOff>83820</xdr:rowOff>
    </xdr:from>
    <xdr:to>
      <xdr:col>29</xdr:col>
      <xdr:colOff>0</xdr:colOff>
      <xdr:row>6</xdr:row>
      <xdr:rowOff>83820</xdr:rowOff>
    </xdr:to>
    <xdr:cxnSp macro="">
      <xdr:nvCxnSpPr>
        <xdr:cNvPr id="692" name="직선 화살표 연결선 691">
          <a:extLst>
            <a:ext uri="{FF2B5EF4-FFF2-40B4-BE49-F238E27FC236}">
              <a16:creationId xmlns:a16="http://schemas.microsoft.com/office/drawing/2014/main" id="{789148E7-2254-4D87-A8D7-884838D6D362}"/>
            </a:ext>
          </a:extLst>
        </xdr:cNvPr>
        <xdr:cNvCxnSpPr/>
      </xdr:nvCxnSpPr>
      <xdr:spPr>
        <a:xfrm>
          <a:off x="8694420" y="115824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5</xdr:row>
      <xdr:rowOff>26670</xdr:rowOff>
    </xdr:from>
    <xdr:to>
      <xdr:col>28</xdr:col>
      <xdr:colOff>103414</xdr:colOff>
      <xdr:row>5</xdr:row>
      <xdr:rowOff>140970</xdr:rowOff>
    </xdr:to>
    <xdr:sp macro="" textlink="">
      <xdr:nvSpPr>
        <xdr:cNvPr id="693" name="직사각형 692">
          <a:extLst>
            <a:ext uri="{FF2B5EF4-FFF2-40B4-BE49-F238E27FC236}">
              <a16:creationId xmlns:a16="http://schemas.microsoft.com/office/drawing/2014/main" id="{5818501C-6B7B-4AF5-B85F-18230AC8ED82}"/>
            </a:ext>
          </a:extLst>
        </xdr:cNvPr>
        <xdr:cNvSpPr/>
      </xdr:nvSpPr>
      <xdr:spPr>
        <a:xfrm>
          <a:off x="8549640" y="93345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5</xdr:row>
      <xdr:rowOff>83820</xdr:rowOff>
    </xdr:from>
    <xdr:to>
      <xdr:col>28</xdr:col>
      <xdr:colOff>0</xdr:colOff>
      <xdr:row>5</xdr:row>
      <xdr:rowOff>83820</xdr:rowOff>
    </xdr:to>
    <xdr:cxnSp macro="">
      <xdr:nvCxnSpPr>
        <xdr:cNvPr id="694" name="직선 화살표 연결선 693">
          <a:extLst>
            <a:ext uri="{FF2B5EF4-FFF2-40B4-BE49-F238E27FC236}">
              <a16:creationId xmlns:a16="http://schemas.microsoft.com/office/drawing/2014/main" id="{5FE1CAFB-ADCF-4464-8830-9AD2D6415CA0}"/>
            </a:ext>
          </a:extLst>
        </xdr:cNvPr>
        <xdr:cNvCxnSpPr/>
      </xdr:nvCxnSpPr>
      <xdr:spPr>
        <a:xfrm>
          <a:off x="8549640" y="99060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0</xdr:colOff>
      <xdr:row>4</xdr:row>
      <xdr:rowOff>19050</xdr:rowOff>
    </xdr:from>
    <xdr:to>
      <xdr:col>29</xdr:col>
      <xdr:colOff>103414</xdr:colOff>
      <xdr:row>4</xdr:row>
      <xdr:rowOff>133350</xdr:rowOff>
    </xdr:to>
    <xdr:sp macro="" textlink="">
      <xdr:nvSpPr>
        <xdr:cNvPr id="695" name="직사각형 694">
          <a:extLst>
            <a:ext uri="{FF2B5EF4-FFF2-40B4-BE49-F238E27FC236}">
              <a16:creationId xmlns:a16="http://schemas.microsoft.com/office/drawing/2014/main" id="{B454F99B-8651-47A5-9C3A-103A8CED8DE0}"/>
            </a:ext>
          </a:extLst>
        </xdr:cNvPr>
        <xdr:cNvSpPr/>
      </xdr:nvSpPr>
      <xdr:spPr>
        <a:xfrm>
          <a:off x="8549640" y="773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0</xdr:colOff>
      <xdr:row>4</xdr:row>
      <xdr:rowOff>76200</xdr:rowOff>
    </xdr:from>
    <xdr:to>
      <xdr:col>28</xdr:col>
      <xdr:colOff>0</xdr:colOff>
      <xdr:row>4</xdr:row>
      <xdr:rowOff>76200</xdr:rowOff>
    </xdr:to>
    <xdr:cxnSp macro="">
      <xdr:nvCxnSpPr>
        <xdr:cNvPr id="696" name="직선 화살표 연결선 695">
          <a:extLst>
            <a:ext uri="{FF2B5EF4-FFF2-40B4-BE49-F238E27FC236}">
              <a16:creationId xmlns:a16="http://schemas.microsoft.com/office/drawing/2014/main" id="{2FE63003-3591-4704-9B01-2F16D0B558D2}"/>
            </a:ext>
          </a:extLst>
        </xdr:cNvPr>
        <xdr:cNvCxnSpPr/>
      </xdr:nvCxnSpPr>
      <xdr:spPr>
        <a:xfrm>
          <a:off x="8549640" y="83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4</v>
      </c>
      <c r="B1" s="98" t="s">
        <v>5</v>
      </c>
      <c r="C1" s="98" t="s">
        <v>6</v>
      </c>
      <c r="D1" s="98" t="s">
        <v>7</v>
      </c>
      <c r="E1" s="98" t="s">
        <v>8</v>
      </c>
      <c r="F1" s="98" t="s">
        <v>9</v>
      </c>
    </row>
    <row r="2" spans="1:64">
      <c r="A2" s="100" t="s">
        <v>10</v>
      </c>
      <c r="B2" s="101" t="s">
        <v>11</v>
      </c>
      <c r="C2" s="101"/>
      <c r="D2" s="101"/>
      <c r="E2" s="101" t="s">
        <v>12</v>
      </c>
      <c r="F2" s="101"/>
    </row>
    <row r="3" spans="1:64">
      <c r="A3" s="100" t="s">
        <v>398</v>
      </c>
      <c r="B3" s="101" t="s">
        <v>11</v>
      </c>
      <c r="C3" s="101"/>
      <c r="D3" s="101"/>
      <c r="E3" s="101" t="s">
        <v>12</v>
      </c>
      <c r="F3" s="101"/>
    </row>
    <row r="4" spans="1:64">
      <c r="A4" s="100" t="s">
        <v>13</v>
      </c>
      <c r="B4" s="111" t="s">
        <v>399</v>
      </c>
      <c r="C4" s="101"/>
      <c r="D4" s="101"/>
      <c r="E4" s="101" t="s">
        <v>12</v>
      </c>
      <c r="F4" s="101"/>
    </row>
    <row r="5" spans="1:64">
      <c r="A5" s="100" t="s">
        <v>14</v>
      </c>
      <c r="B5" s="101" t="s">
        <v>15</v>
      </c>
      <c r="C5" s="101"/>
      <c r="D5" s="101"/>
      <c r="E5" s="101" t="s">
        <v>12</v>
      </c>
      <c r="F5" s="101"/>
    </row>
    <row r="6" spans="1:64">
      <c r="A6" s="100" t="s">
        <v>16</v>
      </c>
      <c r="B6" s="111" t="s">
        <v>17</v>
      </c>
      <c r="C6" s="101"/>
      <c r="D6" s="101"/>
      <c r="E6" s="101" t="s">
        <v>12</v>
      </c>
      <c r="F6" s="101"/>
    </row>
    <row r="7" spans="1:64">
      <c r="A7" s="100" t="s">
        <v>18</v>
      </c>
      <c r="B7" s="100" t="s">
        <v>11</v>
      </c>
      <c r="C7" s="101"/>
      <c r="D7" s="101"/>
      <c r="E7" s="101" t="s">
        <v>12</v>
      </c>
      <c r="F7" s="101"/>
    </row>
    <row r="8" spans="1:64">
      <c r="A8" s="100" t="s">
        <v>19</v>
      </c>
      <c r="B8" s="103" t="s">
        <v>964</v>
      </c>
      <c r="C8" s="101" t="s">
        <v>1036</v>
      </c>
      <c r="D8" s="101">
        <v>82</v>
      </c>
      <c r="E8" s="101" t="s">
        <v>20</v>
      </c>
      <c r="F8" s="101"/>
    </row>
    <row r="9" spans="1:64">
      <c r="A9" s="100" t="s">
        <v>21</v>
      </c>
      <c r="B9" s="104">
        <v>43387</v>
      </c>
      <c r="C9" s="101"/>
      <c r="D9" s="101"/>
      <c r="E9" s="101" t="s">
        <v>12</v>
      </c>
      <c r="F9" s="101"/>
    </row>
    <row r="10" spans="1:64">
      <c r="A10" s="105" t="s">
        <v>22</v>
      </c>
      <c r="B10" s="106" t="s">
        <v>23</v>
      </c>
      <c r="C10" s="106"/>
      <c r="D10" s="106"/>
      <c r="E10" s="106" t="s">
        <v>12</v>
      </c>
      <c r="F10" s="106"/>
    </row>
    <row r="11" spans="1:64">
      <c r="A11" s="102" t="s">
        <v>400</v>
      </c>
      <c r="B11" s="107" t="s">
        <v>24</v>
      </c>
      <c r="C11" s="99" t="s">
        <v>1057</v>
      </c>
      <c r="D11" s="99" t="s">
        <v>25</v>
      </c>
      <c r="E11" s="108">
        <v>1</v>
      </c>
      <c r="F11" s="109" t="s">
        <v>26</v>
      </c>
      <c r="G11" s="110">
        <v>44578</v>
      </c>
      <c r="H11" s="109" t="s">
        <v>27</v>
      </c>
      <c r="I11" s="110">
        <v>44656</v>
      </c>
      <c r="J11" s="102" t="s">
        <v>417</v>
      </c>
      <c r="K11" s="102" t="s">
        <v>1037</v>
      </c>
      <c r="L11" s="102" t="s">
        <v>414</v>
      </c>
      <c r="M11" s="102">
        <v>0</v>
      </c>
      <c r="N11" s="107" t="s">
        <v>28</v>
      </c>
      <c r="O11" s="99">
        <v>0</v>
      </c>
      <c r="P11" s="99" t="s">
        <v>29</v>
      </c>
      <c r="Q11" s="107" t="s">
        <v>1040</v>
      </c>
      <c r="R11" s="102" t="s">
        <v>419</v>
      </c>
      <c r="S11" s="102">
        <v>2</v>
      </c>
      <c r="T11" s="102" t="s">
        <v>424</v>
      </c>
      <c r="U11" s="102">
        <v>0</v>
      </c>
      <c r="V11" s="102" t="s">
        <v>425</v>
      </c>
      <c r="W11" s="102">
        <v>0</v>
      </c>
      <c r="X11" s="102" t="s">
        <v>428</v>
      </c>
      <c r="Y11" s="102">
        <v>1</v>
      </c>
    </row>
    <row r="12" spans="1:64">
      <c r="A12" s="102" t="s">
        <v>403</v>
      </c>
      <c r="B12" s="102" t="s">
        <v>404</v>
      </c>
      <c r="C12" s="102">
        <v>1</v>
      </c>
      <c r="D12" s="102" t="s">
        <v>405</v>
      </c>
      <c r="E12" s="102">
        <v>1</v>
      </c>
      <c r="F12" s="102" t="s">
        <v>406</v>
      </c>
      <c r="G12" s="102">
        <v>0</v>
      </c>
      <c r="H12" s="102" t="s">
        <v>407</v>
      </c>
      <c r="I12" s="102">
        <v>1</v>
      </c>
      <c r="J12" s="102" t="s">
        <v>408</v>
      </c>
      <c r="K12" s="102">
        <v>0.7</v>
      </c>
      <c r="L12" s="102" t="s">
        <v>409</v>
      </c>
      <c r="M12" s="102">
        <v>2</v>
      </c>
      <c r="N12" s="102" t="s">
        <v>410</v>
      </c>
      <c r="O12" s="102">
        <v>1</v>
      </c>
      <c r="P12" s="102" t="s">
        <v>413</v>
      </c>
      <c r="Q12" s="102">
        <v>1</v>
      </c>
      <c r="R12" s="102" t="s">
        <v>420</v>
      </c>
      <c r="S12" s="102">
        <v>7</v>
      </c>
      <c r="T12" s="102" t="s">
        <v>421</v>
      </c>
      <c r="U12" s="102">
        <v>0</v>
      </c>
      <c r="V12" s="102" t="s">
        <v>422</v>
      </c>
      <c r="W12" s="102">
        <v>100</v>
      </c>
      <c r="X12" s="102" t="s">
        <v>423</v>
      </c>
      <c r="Y12" s="102">
        <v>0</v>
      </c>
      <c r="Z12" s="102" t="s">
        <v>426</v>
      </c>
      <c r="AA12" s="102">
        <v>1</v>
      </c>
      <c r="AB12" s="102" t="s">
        <v>427</v>
      </c>
      <c r="AC12" s="102">
        <v>1</v>
      </c>
      <c r="AD12" s="102" t="s">
        <v>962</v>
      </c>
      <c r="AE12" s="102">
        <v>1</v>
      </c>
    </row>
    <row r="13" spans="1:64">
      <c r="A13" s="101" t="s">
        <v>401</v>
      </c>
      <c r="B13" s="107" t="s">
        <v>30</v>
      </c>
      <c r="C13" s="99">
        <v>0</v>
      </c>
      <c r="D13" s="107" t="s">
        <v>31</v>
      </c>
      <c r="E13" s="99" t="s">
        <v>1041</v>
      </c>
      <c r="F13" s="99" t="s">
        <v>32</v>
      </c>
      <c r="G13" s="109" t="s">
        <v>1058</v>
      </c>
      <c r="H13" s="109" t="s">
        <v>33</v>
      </c>
      <c r="I13" s="102" t="s">
        <v>966</v>
      </c>
    </row>
    <row r="14" spans="1:64">
      <c r="A14" s="101" t="s">
        <v>402</v>
      </c>
      <c r="B14" s="108" t="s">
        <v>34</v>
      </c>
      <c r="C14" s="108" t="s">
        <v>1042</v>
      </c>
      <c r="D14" s="108" t="s">
        <v>35</v>
      </c>
      <c r="E14" s="108" t="s">
        <v>1043</v>
      </c>
      <c r="F14" s="108" t="s">
        <v>36</v>
      </c>
      <c r="G14" s="108" t="s">
        <v>1016</v>
      </c>
      <c r="H14" s="108" t="s">
        <v>37</v>
      </c>
      <c r="I14" s="108" t="b">
        <v>0</v>
      </c>
      <c r="J14" s="108" t="s">
        <v>38</v>
      </c>
      <c r="K14" s="108" t="s">
        <v>1028</v>
      </c>
      <c r="L14" s="108" t="s">
        <v>39</v>
      </c>
      <c r="M14" s="108" t="s">
        <v>1017</v>
      </c>
      <c r="N14" s="108" t="s">
        <v>40</v>
      </c>
      <c r="O14" s="108" t="s">
        <v>1016</v>
      </c>
      <c r="P14" s="108" t="s">
        <v>41</v>
      </c>
      <c r="Q14" s="108" t="b">
        <v>0</v>
      </c>
      <c r="R14" s="108" t="s">
        <v>42</v>
      </c>
      <c r="S14" s="108" t="s">
        <v>1044</v>
      </c>
      <c r="T14" s="108" t="s">
        <v>43</v>
      </c>
      <c r="U14" s="108" t="s">
        <v>1029</v>
      </c>
      <c r="V14" s="108" t="s">
        <v>44</v>
      </c>
      <c r="W14" s="108" t="s">
        <v>1016</v>
      </c>
      <c r="X14" s="108" t="s">
        <v>45</v>
      </c>
      <c r="Y14" s="108" t="b">
        <v>1</v>
      </c>
      <c r="Z14" s="108" t="s">
        <v>46</v>
      </c>
      <c r="AA14" s="108" t="s">
        <v>1018</v>
      </c>
      <c r="AB14" s="108" t="s">
        <v>47</v>
      </c>
      <c r="AC14" s="108" t="s">
        <v>1030</v>
      </c>
      <c r="AD14" s="108" t="s">
        <v>48</v>
      </c>
      <c r="AE14" s="108" t="s">
        <v>1045</v>
      </c>
      <c r="AF14" s="108" t="s">
        <v>49</v>
      </c>
      <c r="AG14" s="108" t="b">
        <v>1</v>
      </c>
      <c r="AH14" s="108" t="s">
        <v>50</v>
      </c>
      <c r="AI14" s="108" t="s">
        <v>1020</v>
      </c>
      <c r="AJ14" s="108" t="s">
        <v>51</v>
      </c>
      <c r="AK14" s="108" t="s">
        <v>986</v>
      </c>
      <c r="AL14" s="108" t="s">
        <v>52</v>
      </c>
      <c r="AM14" s="108" t="s">
        <v>1046</v>
      </c>
      <c r="AN14" s="108" t="s">
        <v>53</v>
      </c>
      <c r="AO14" s="108" t="b">
        <v>0</v>
      </c>
      <c r="AP14" s="108" t="s">
        <v>54</v>
      </c>
      <c r="AQ14" s="108" t="s">
        <v>984</v>
      </c>
      <c r="AR14" s="108" t="s">
        <v>55</v>
      </c>
      <c r="AS14" s="108" t="s">
        <v>987</v>
      </c>
      <c r="AT14" s="108" t="s">
        <v>56</v>
      </c>
      <c r="AU14" s="108" t="s">
        <v>1021</v>
      </c>
      <c r="AV14" s="108" t="s">
        <v>57</v>
      </c>
      <c r="AW14" s="108" t="b">
        <v>1</v>
      </c>
      <c r="AX14" s="102" t="s">
        <v>58</v>
      </c>
      <c r="AZ14" s="102" t="s">
        <v>59</v>
      </c>
      <c r="BB14" s="102" t="s">
        <v>60</v>
      </c>
      <c r="BD14" s="102" t="s">
        <v>61</v>
      </c>
      <c r="BF14" s="102" t="s">
        <v>62</v>
      </c>
      <c r="BH14" s="102" t="s">
        <v>63</v>
      </c>
      <c r="BJ14" s="102" t="s">
        <v>64</v>
      </c>
      <c r="BL14" s="102" t="s">
        <v>65</v>
      </c>
    </row>
    <row r="15" spans="1:64">
      <c r="A15" s="101" t="s">
        <v>418</v>
      </c>
      <c r="B15" s="102" t="s">
        <v>411</v>
      </c>
      <c r="C15" s="102">
        <v>0</v>
      </c>
      <c r="D15" s="102" t="s">
        <v>412</v>
      </c>
      <c r="E15" s="102">
        <v>1</v>
      </c>
      <c r="F15" s="102" t="s">
        <v>415</v>
      </c>
      <c r="G15" s="102" t="s">
        <v>988</v>
      </c>
      <c r="H15" s="102" t="s">
        <v>416</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908</v>
      </c>
      <c r="B1" s="124" t="s">
        <v>909</v>
      </c>
      <c r="C1" s="125" t="s">
        <v>910</v>
      </c>
      <c r="D1" s="125" t="s">
        <v>66</v>
      </c>
      <c r="E1" s="125" t="s">
        <v>67</v>
      </c>
    </row>
    <row r="2" spans="1:5" ht="79.2">
      <c r="A2" s="126" t="s">
        <v>1047</v>
      </c>
      <c r="B2" s="139">
        <v>1</v>
      </c>
      <c r="D2" s="127" t="s">
        <v>911</v>
      </c>
      <c r="E2" s="140" t="s">
        <v>587</v>
      </c>
    </row>
    <row r="3" spans="1:5" ht="112.5" customHeight="1">
      <c r="A3" s="128">
        <v>450</v>
      </c>
      <c r="B3" s="139">
        <v>2</v>
      </c>
      <c r="D3" s="127" t="s">
        <v>514</v>
      </c>
      <c r="E3" s="140" t="s">
        <v>912</v>
      </c>
    </row>
    <row r="4" spans="1:5" ht="52.8">
      <c r="B4" s="139">
        <v>3</v>
      </c>
      <c r="D4" s="127" t="s">
        <v>913</v>
      </c>
      <c r="E4" s="140" t="s">
        <v>588</v>
      </c>
    </row>
    <row r="5" spans="1:5" ht="52.8">
      <c r="B5" s="139">
        <v>4</v>
      </c>
      <c r="D5" s="127" t="s">
        <v>914</v>
      </c>
      <c r="E5" s="140" t="s">
        <v>589</v>
      </c>
    </row>
    <row r="6" spans="1:5" ht="52.8">
      <c r="B6" s="139">
        <v>5</v>
      </c>
      <c r="D6" s="127" t="s">
        <v>915</v>
      </c>
      <c r="E6" s="140" t="s">
        <v>590</v>
      </c>
    </row>
    <row r="7" spans="1:5" ht="39.6">
      <c r="B7" s="139">
        <v>6</v>
      </c>
      <c r="D7" s="127" t="s">
        <v>916</v>
      </c>
      <c r="E7" s="140" t="s">
        <v>591</v>
      </c>
    </row>
    <row r="8" spans="1:5">
      <c r="B8" s="139">
        <v>7</v>
      </c>
      <c r="D8" s="127" t="s">
        <v>902</v>
      </c>
      <c r="E8" s="140" t="s">
        <v>917</v>
      </c>
    </row>
    <row r="9" spans="1:5">
      <c r="B9" s="139">
        <v>101</v>
      </c>
      <c r="D9" s="127" t="s">
        <v>68</v>
      </c>
      <c r="E9" s="140" t="s">
        <v>592</v>
      </c>
    </row>
    <row r="10" spans="1:5">
      <c r="B10" s="139">
        <v>102</v>
      </c>
      <c r="D10" s="127" t="s">
        <v>69</v>
      </c>
      <c r="E10" s="140" t="s">
        <v>593</v>
      </c>
    </row>
    <row r="11" spans="1:5">
      <c r="B11" s="139">
        <v>103</v>
      </c>
      <c r="D11" s="127" t="s">
        <v>70</v>
      </c>
      <c r="E11" s="140" t="s">
        <v>594</v>
      </c>
    </row>
    <row r="12" spans="1:5">
      <c r="B12" s="139">
        <v>104</v>
      </c>
      <c r="D12" s="127" t="s">
        <v>71</v>
      </c>
      <c r="E12" s="140" t="s">
        <v>595</v>
      </c>
    </row>
    <row r="13" spans="1:5">
      <c r="B13" s="139">
        <v>105</v>
      </c>
      <c r="D13" s="127" t="s">
        <v>72</v>
      </c>
      <c r="E13" s="140" t="s">
        <v>596</v>
      </c>
    </row>
    <row r="14" spans="1:5">
      <c r="B14" s="139">
        <v>106</v>
      </c>
      <c r="D14" s="127" t="s">
        <v>432</v>
      </c>
      <c r="E14" s="140" t="s">
        <v>597</v>
      </c>
    </row>
    <row r="15" spans="1:5" ht="26.4">
      <c r="B15" s="139">
        <v>107</v>
      </c>
      <c r="D15" s="127" t="s">
        <v>433</v>
      </c>
      <c r="E15" s="140" t="s">
        <v>598</v>
      </c>
    </row>
    <row r="16" spans="1:5" ht="39.6">
      <c r="B16" s="139">
        <v>108</v>
      </c>
      <c r="D16" s="127" t="s">
        <v>434</v>
      </c>
      <c r="E16" s="140" t="s">
        <v>599</v>
      </c>
    </row>
    <row r="17" spans="1:6">
      <c r="B17" s="139">
        <v>109</v>
      </c>
      <c r="D17" s="127" t="s">
        <v>73</v>
      </c>
      <c r="E17" s="140" t="s">
        <v>517</v>
      </c>
    </row>
    <row r="18" spans="1:6">
      <c r="B18" s="139">
        <v>110</v>
      </c>
      <c r="D18" s="127" t="s">
        <v>74</v>
      </c>
      <c r="E18" s="140" t="s">
        <v>600</v>
      </c>
    </row>
    <row r="19" spans="1:6">
      <c r="B19" s="139">
        <v>111</v>
      </c>
      <c r="D19" s="127" t="s">
        <v>75</v>
      </c>
      <c r="E19" s="140" t="s">
        <v>601</v>
      </c>
    </row>
    <row r="20" spans="1:6">
      <c r="A20" s="129"/>
      <c r="B20" s="139">
        <v>112</v>
      </c>
      <c r="C20" s="138" t="s">
        <v>918</v>
      </c>
      <c r="D20" s="128" t="s">
        <v>919</v>
      </c>
      <c r="E20" s="128" t="s">
        <v>515</v>
      </c>
      <c r="F20" s="130"/>
    </row>
    <row r="21" spans="1:6">
      <c r="B21" s="139">
        <v>113</v>
      </c>
      <c r="D21" s="127" t="s">
        <v>76</v>
      </c>
      <c r="E21" s="140" t="s">
        <v>518</v>
      </c>
    </row>
    <row r="22" spans="1:6">
      <c r="B22" s="139">
        <v>114</v>
      </c>
      <c r="D22" s="127" t="s">
        <v>77</v>
      </c>
      <c r="E22" s="140" t="s">
        <v>602</v>
      </c>
    </row>
    <row r="23" spans="1:6">
      <c r="B23" s="139">
        <v>115</v>
      </c>
      <c r="D23" s="127" t="s">
        <v>78</v>
      </c>
      <c r="E23" s="140" t="s">
        <v>603</v>
      </c>
    </row>
    <row r="24" spans="1:6" ht="26.4">
      <c r="B24" s="139">
        <v>116</v>
      </c>
      <c r="D24" s="127" t="s">
        <v>435</v>
      </c>
      <c r="E24" s="140" t="s">
        <v>604</v>
      </c>
    </row>
    <row r="25" spans="1:6">
      <c r="B25" s="139">
        <v>117</v>
      </c>
      <c r="D25" s="127" t="s">
        <v>436</v>
      </c>
      <c r="E25" s="140" t="s">
        <v>605</v>
      </c>
    </row>
    <row r="26" spans="1:6" ht="26.4">
      <c r="B26" s="139">
        <v>118</v>
      </c>
      <c r="D26" s="127" t="s">
        <v>79</v>
      </c>
      <c r="E26" s="140" t="s">
        <v>606</v>
      </c>
    </row>
    <row r="27" spans="1:6">
      <c r="B27" s="139">
        <v>119</v>
      </c>
      <c r="D27" s="127" t="s">
        <v>80</v>
      </c>
      <c r="E27" s="140" t="s">
        <v>607</v>
      </c>
    </row>
    <row r="28" spans="1:6">
      <c r="B28" s="139">
        <v>120</v>
      </c>
      <c r="D28" s="127" t="s">
        <v>430</v>
      </c>
      <c r="E28" s="140" t="s">
        <v>608</v>
      </c>
    </row>
    <row r="29" spans="1:6">
      <c r="B29" s="139">
        <v>121</v>
      </c>
      <c r="D29" s="127" t="s">
        <v>81</v>
      </c>
      <c r="E29" s="140" t="s">
        <v>609</v>
      </c>
    </row>
    <row r="30" spans="1:6">
      <c r="B30" s="139">
        <v>122</v>
      </c>
      <c r="D30" s="127" t="s">
        <v>82</v>
      </c>
      <c r="E30" s="140" t="s">
        <v>610</v>
      </c>
    </row>
    <row r="31" spans="1:6">
      <c r="B31" s="139">
        <v>123</v>
      </c>
      <c r="D31" s="127" t="s">
        <v>83</v>
      </c>
      <c r="E31" s="140" t="s">
        <v>611</v>
      </c>
    </row>
    <row r="32" spans="1:6">
      <c r="B32" s="139">
        <v>124</v>
      </c>
      <c r="D32" s="127" t="s">
        <v>84</v>
      </c>
      <c r="E32" s="140" t="s">
        <v>612</v>
      </c>
    </row>
    <row r="33" spans="2:5" ht="26.4">
      <c r="B33" s="139">
        <v>125</v>
      </c>
      <c r="D33" s="127" t="s">
        <v>431</v>
      </c>
      <c r="E33" s="140" t="s">
        <v>613</v>
      </c>
    </row>
    <row r="34" spans="2:5">
      <c r="B34" s="139">
        <v>126</v>
      </c>
      <c r="D34" s="127" t="s">
        <v>85</v>
      </c>
      <c r="E34" s="140" t="s">
        <v>614</v>
      </c>
    </row>
    <row r="35" spans="2:5">
      <c r="B35" s="139">
        <v>127</v>
      </c>
      <c r="D35" s="127" t="s">
        <v>86</v>
      </c>
      <c r="E35" s="140" t="s">
        <v>615</v>
      </c>
    </row>
    <row r="36" spans="2:5">
      <c r="B36" s="139">
        <v>128</v>
      </c>
      <c r="D36" s="127" t="s">
        <v>437</v>
      </c>
      <c r="E36" s="140" t="s">
        <v>616</v>
      </c>
    </row>
    <row r="37" spans="2:5">
      <c r="B37" s="139">
        <v>129</v>
      </c>
      <c r="D37" s="127" t="s">
        <v>87</v>
      </c>
      <c r="E37" s="140" t="s">
        <v>617</v>
      </c>
    </row>
    <row r="38" spans="2:5">
      <c r="B38" s="139">
        <v>130</v>
      </c>
      <c r="D38" s="127" t="s">
        <v>88</v>
      </c>
      <c r="E38" s="140" t="s">
        <v>519</v>
      </c>
    </row>
    <row r="39" spans="2:5">
      <c r="B39" s="139">
        <v>131</v>
      </c>
      <c r="D39" s="127" t="s">
        <v>89</v>
      </c>
      <c r="E39" s="140" t="s">
        <v>520</v>
      </c>
    </row>
    <row r="40" spans="2:5">
      <c r="B40" s="139">
        <v>132</v>
      </c>
      <c r="D40" s="132" t="s">
        <v>438</v>
      </c>
      <c r="E40" s="133">
        <v>43435</v>
      </c>
    </row>
    <row r="41" spans="2:5">
      <c r="B41" s="139">
        <v>133</v>
      </c>
      <c r="D41" s="132" t="s">
        <v>438</v>
      </c>
      <c r="E41" s="133">
        <v>43435</v>
      </c>
    </row>
    <row r="42" spans="2:5">
      <c r="B42" s="139">
        <v>134</v>
      </c>
      <c r="D42" s="132" t="s">
        <v>439</v>
      </c>
      <c r="E42" s="133">
        <v>43465</v>
      </c>
    </row>
    <row r="43" spans="2:5">
      <c r="B43" s="139">
        <v>135</v>
      </c>
      <c r="D43" s="132" t="s">
        <v>439</v>
      </c>
      <c r="E43" s="133">
        <v>43465</v>
      </c>
    </row>
    <row r="44" spans="2:5">
      <c r="B44" s="139">
        <v>136</v>
      </c>
      <c r="D44" s="127" t="s">
        <v>90</v>
      </c>
      <c r="E44" s="140" t="s">
        <v>90</v>
      </c>
    </row>
    <row r="45" spans="2:5">
      <c r="B45" s="139">
        <v>137</v>
      </c>
      <c r="D45" s="127" t="s">
        <v>91</v>
      </c>
      <c r="E45" s="140" t="s">
        <v>618</v>
      </c>
    </row>
    <row r="46" spans="2:5">
      <c r="B46" s="139">
        <v>138</v>
      </c>
      <c r="C46" s="136" t="s">
        <v>920</v>
      </c>
      <c r="D46" s="127" t="s">
        <v>921</v>
      </c>
      <c r="E46" s="166" t="s">
        <v>922</v>
      </c>
    </row>
    <row r="47" spans="2:5">
      <c r="B47" s="139">
        <v>139</v>
      </c>
      <c r="D47" s="127" t="s">
        <v>92</v>
      </c>
      <c r="E47" s="140" t="s">
        <v>619</v>
      </c>
    </row>
    <row r="48" spans="2:5">
      <c r="B48" s="139">
        <v>140</v>
      </c>
      <c r="D48" s="127" t="s">
        <v>93</v>
      </c>
      <c r="E48" s="140" t="s">
        <v>620</v>
      </c>
    </row>
    <row r="49" spans="1:6">
      <c r="B49" s="139">
        <v>141</v>
      </c>
      <c r="D49" s="127" t="s">
        <v>440</v>
      </c>
      <c r="E49" s="140" t="s">
        <v>521</v>
      </c>
    </row>
    <row r="50" spans="1:6">
      <c r="B50" s="139">
        <v>142</v>
      </c>
      <c r="D50" s="127" t="s">
        <v>94</v>
      </c>
      <c r="E50" s="140" t="s">
        <v>522</v>
      </c>
    </row>
    <row r="51" spans="1:6">
      <c r="B51" s="139">
        <v>143</v>
      </c>
      <c r="D51" s="127" t="s">
        <v>95</v>
      </c>
      <c r="E51" s="140" t="s">
        <v>621</v>
      </c>
    </row>
    <row r="52" spans="1:6">
      <c r="B52" s="139">
        <v>144</v>
      </c>
      <c r="D52" s="127" t="s">
        <v>96</v>
      </c>
      <c r="E52" s="140" t="s">
        <v>622</v>
      </c>
    </row>
    <row r="53" spans="1:6">
      <c r="B53" s="139">
        <v>145</v>
      </c>
      <c r="D53" s="127" t="s">
        <v>97</v>
      </c>
      <c r="E53" s="140" t="s">
        <v>623</v>
      </c>
    </row>
    <row r="54" spans="1:6">
      <c r="B54" s="139">
        <v>146</v>
      </c>
      <c r="D54" s="127" t="s">
        <v>98</v>
      </c>
      <c r="E54" s="140" t="s">
        <v>624</v>
      </c>
    </row>
    <row r="55" spans="1:6">
      <c r="B55" s="139">
        <v>147</v>
      </c>
      <c r="D55" s="127" t="s">
        <v>441</v>
      </c>
      <c r="E55" s="140" t="s">
        <v>523</v>
      </c>
    </row>
    <row r="56" spans="1:6">
      <c r="B56" s="139">
        <v>148</v>
      </c>
      <c r="D56" s="127" t="s">
        <v>99</v>
      </c>
      <c r="E56" s="140" t="s">
        <v>524</v>
      </c>
    </row>
    <row r="57" spans="1:6">
      <c r="B57" s="139">
        <v>149</v>
      </c>
      <c r="D57" s="127" t="s">
        <v>100</v>
      </c>
      <c r="E57" s="140" t="s">
        <v>625</v>
      </c>
    </row>
    <row r="58" spans="1:6">
      <c r="B58" s="139">
        <v>150</v>
      </c>
      <c r="D58" s="127" t="s">
        <v>101</v>
      </c>
      <c r="E58" s="140" t="s">
        <v>626</v>
      </c>
    </row>
    <row r="59" spans="1:6">
      <c r="B59" s="139">
        <v>151</v>
      </c>
      <c r="D59" s="127" t="s">
        <v>102</v>
      </c>
      <c r="E59" s="140" t="s">
        <v>627</v>
      </c>
    </row>
    <row r="60" spans="1:6">
      <c r="B60" s="139">
        <v>152</v>
      </c>
      <c r="D60" s="127" t="s">
        <v>442</v>
      </c>
      <c r="E60" s="140" t="s">
        <v>628</v>
      </c>
    </row>
    <row r="61" spans="1:6">
      <c r="A61" s="131"/>
      <c r="B61" s="139">
        <v>153</v>
      </c>
      <c r="C61" s="138" t="s">
        <v>509</v>
      </c>
      <c r="D61" s="128" t="s">
        <v>923</v>
      </c>
      <c r="E61" s="128" t="s">
        <v>924</v>
      </c>
      <c r="F61" s="130"/>
    </row>
    <row r="62" spans="1:6" ht="14.4">
      <c r="B62" s="139">
        <v>154</v>
      </c>
      <c r="D62" s="127" t="s">
        <v>103</v>
      </c>
      <c r="E62" s="168" t="s">
        <v>906</v>
      </c>
    </row>
    <row r="63" spans="1:6" ht="14.4">
      <c r="B63" s="139">
        <v>155</v>
      </c>
      <c r="D63" s="127" t="s">
        <v>104</v>
      </c>
      <c r="E63" s="168" t="s">
        <v>925</v>
      </c>
    </row>
    <row r="64" spans="1:6">
      <c r="A64" s="131"/>
      <c r="B64" s="139">
        <v>156</v>
      </c>
      <c r="C64" s="138" t="s">
        <v>926</v>
      </c>
      <c r="D64" s="128" t="s">
        <v>927</v>
      </c>
      <c r="E64" s="128" t="s">
        <v>928</v>
      </c>
      <c r="F64" s="130"/>
    </row>
    <row r="65" spans="1:6">
      <c r="A65" s="131"/>
      <c r="B65" s="139">
        <v>157</v>
      </c>
      <c r="C65" s="138" t="s">
        <v>509</v>
      </c>
      <c r="D65" s="128" t="s">
        <v>929</v>
      </c>
      <c r="E65" s="128" t="s">
        <v>930</v>
      </c>
      <c r="F65" s="130"/>
    </row>
    <row r="66" spans="1:6">
      <c r="A66" s="131"/>
      <c r="B66" s="139">
        <v>158</v>
      </c>
      <c r="C66" s="138" t="s">
        <v>509</v>
      </c>
      <c r="D66" s="128" t="s">
        <v>931</v>
      </c>
      <c r="E66" s="128" t="s">
        <v>932</v>
      </c>
      <c r="F66" s="130"/>
    </row>
    <row r="67" spans="1:6">
      <c r="A67" s="131"/>
      <c r="B67" s="139">
        <v>159</v>
      </c>
      <c r="C67" s="138" t="s">
        <v>926</v>
      </c>
      <c r="D67" s="128" t="s">
        <v>903</v>
      </c>
      <c r="E67" s="128" t="s">
        <v>933</v>
      </c>
      <c r="F67" s="130"/>
    </row>
    <row r="68" spans="1:6">
      <c r="B68" s="139">
        <v>160</v>
      </c>
      <c r="D68" s="127" t="s">
        <v>105</v>
      </c>
      <c r="E68" s="140" t="s">
        <v>934</v>
      </c>
    </row>
    <row r="69" spans="1:6">
      <c r="B69" s="139">
        <v>161</v>
      </c>
      <c r="D69" s="127" t="s">
        <v>106</v>
      </c>
      <c r="E69" s="140" t="s">
        <v>935</v>
      </c>
    </row>
    <row r="70" spans="1:6">
      <c r="B70" s="139">
        <v>162</v>
      </c>
      <c r="D70" s="127" t="s">
        <v>936</v>
      </c>
      <c r="E70" s="140" t="s">
        <v>904</v>
      </c>
    </row>
    <row r="71" spans="1:6">
      <c r="B71" s="139">
        <v>163</v>
      </c>
      <c r="D71" s="127" t="s">
        <v>107</v>
      </c>
      <c r="E71" s="140" t="s">
        <v>937</v>
      </c>
    </row>
    <row r="72" spans="1:6">
      <c r="B72" s="139">
        <v>164</v>
      </c>
      <c r="D72" s="127" t="s">
        <v>108</v>
      </c>
      <c r="E72" s="140" t="s">
        <v>629</v>
      </c>
    </row>
    <row r="73" spans="1:6">
      <c r="B73" s="139">
        <v>165</v>
      </c>
      <c r="D73" s="127" t="s">
        <v>109</v>
      </c>
      <c r="E73" s="140" t="s">
        <v>630</v>
      </c>
    </row>
    <row r="74" spans="1:6">
      <c r="B74" s="139">
        <v>166</v>
      </c>
      <c r="D74" s="127" t="s">
        <v>110</v>
      </c>
      <c r="E74" s="140" t="s">
        <v>631</v>
      </c>
    </row>
    <row r="75" spans="1:6" ht="26.4">
      <c r="B75" s="139">
        <v>167</v>
      </c>
      <c r="D75" s="127" t="s">
        <v>111</v>
      </c>
      <c r="E75" s="140" t="s">
        <v>632</v>
      </c>
    </row>
    <row r="76" spans="1:6">
      <c r="B76" s="139">
        <v>168</v>
      </c>
      <c r="D76" s="127" t="s">
        <v>112</v>
      </c>
      <c r="E76" s="140" t="s">
        <v>633</v>
      </c>
    </row>
    <row r="77" spans="1:6">
      <c r="B77" s="139">
        <v>169</v>
      </c>
      <c r="D77" s="127" t="s">
        <v>113</v>
      </c>
      <c r="E77" s="140" t="s">
        <v>634</v>
      </c>
    </row>
    <row r="78" spans="1:6">
      <c r="B78" s="139">
        <v>170</v>
      </c>
      <c r="D78" s="127" t="s">
        <v>114</v>
      </c>
      <c r="E78" s="140" t="s">
        <v>635</v>
      </c>
    </row>
    <row r="79" spans="1:6">
      <c r="B79" s="139">
        <v>171</v>
      </c>
      <c r="D79" s="127" t="s">
        <v>443</v>
      </c>
      <c r="E79" s="140" t="s">
        <v>636</v>
      </c>
    </row>
    <row r="80" spans="1:6">
      <c r="B80" s="139">
        <v>172</v>
      </c>
      <c r="D80" s="127" t="s">
        <v>115</v>
      </c>
      <c r="E80" s="140" t="s">
        <v>637</v>
      </c>
    </row>
    <row r="81" spans="2:5">
      <c r="B81" s="139">
        <v>173</v>
      </c>
      <c r="D81" s="127" t="s">
        <v>116</v>
      </c>
      <c r="E81" s="140" t="s">
        <v>638</v>
      </c>
    </row>
    <row r="82" spans="2:5">
      <c r="B82" s="139">
        <v>174</v>
      </c>
      <c r="D82" s="127" t="s">
        <v>117</v>
      </c>
      <c r="E82" s="140" t="s">
        <v>639</v>
      </c>
    </row>
    <row r="83" spans="2:5">
      <c r="B83" s="139">
        <v>175</v>
      </c>
      <c r="D83" s="127" t="s">
        <v>118</v>
      </c>
      <c r="E83" s="140" t="s">
        <v>640</v>
      </c>
    </row>
    <row r="84" spans="2:5">
      <c r="B84" s="139">
        <v>176</v>
      </c>
      <c r="D84" s="127" t="s">
        <v>119</v>
      </c>
      <c r="E84" s="140" t="s">
        <v>641</v>
      </c>
    </row>
    <row r="85" spans="2:5">
      <c r="B85" s="139">
        <v>177</v>
      </c>
      <c r="D85" s="127" t="s">
        <v>120</v>
      </c>
      <c r="E85" s="140" t="s">
        <v>525</v>
      </c>
    </row>
    <row r="86" spans="2:5">
      <c r="B86" s="139">
        <v>178</v>
      </c>
      <c r="D86" s="127" t="s">
        <v>121</v>
      </c>
      <c r="E86" s="140" t="s">
        <v>526</v>
      </c>
    </row>
    <row r="87" spans="2:5">
      <c r="B87" s="139">
        <v>179</v>
      </c>
      <c r="D87" s="127" t="s">
        <v>122</v>
      </c>
      <c r="E87" s="140" t="s">
        <v>642</v>
      </c>
    </row>
    <row r="88" spans="2:5">
      <c r="B88" s="139">
        <v>180</v>
      </c>
      <c r="D88" s="127" t="s">
        <v>444</v>
      </c>
      <c r="E88" s="140" t="s">
        <v>643</v>
      </c>
    </row>
    <row r="89" spans="2:5" ht="26.4">
      <c r="B89" s="139">
        <v>181</v>
      </c>
      <c r="D89" s="127" t="s">
        <v>445</v>
      </c>
      <c r="E89" s="140" t="s">
        <v>644</v>
      </c>
    </row>
    <row r="90" spans="2:5" ht="26.4">
      <c r="B90" s="139">
        <v>182</v>
      </c>
      <c r="D90" s="127" t="s">
        <v>123</v>
      </c>
      <c r="E90" s="140" t="s">
        <v>645</v>
      </c>
    </row>
    <row r="91" spans="2:5">
      <c r="B91" s="139">
        <v>183</v>
      </c>
      <c r="D91" s="127" t="s">
        <v>124</v>
      </c>
      <c r="E91" s="140" t="s">
        <v>125</v>
      </c>
    </row>
    <row r="92" spans="2:5">
      <c r="B92" s="139">
        <v>184</v>
      </c>
      <c r="D92" s="127" t="s">
        <v>446</v>
      </c>
      <c r="E92" s="140" t="s">
        <v>527</v>
      </c>
    </row>
    <row r="93" spans="2:5">
      <c r="B93" s="139">
        <v>185</v>
      </c>
      <c r="D93" s="127" t="s">
        <v>447</v>
      </c>
      <c r="E93" s="140" t="s">
        <v>528</v>
      </c>
    </row>
    <row r="94" spans="2:5">
      <c r="B94" s="139">
        <v>186</v>
      </c>
      <c r="D94" s="127" t="s">
        <v>448</v>
      </c>
      <c r="E94" s="140" t="s">
        <v>938</v>
      </c>
    </row>
    <row r="95" spans="2:5">
      <c r="B95" s="139">
        <v>187</v>
      </c>
      <c r="D95" s="127" t="s">
        <v>126</v>
      </c>
      <c r="E95" s="140" t="s">
        <v>646</v>
      </c>
    </row>
    <row r="96" spans="2:5" ht="26.4">
      <c r="B96" s="139">
        <v>188</v>
      </c>
      <c r="D96" s="127" t="s">
        <v>127</v>
      </c>
      <c r="E96" s="140" t="s">
        <v>647</v>
      </c>
    </row>
    <row r="97" spans="2:5" ht="26.4">
      <c r="B97" s="139">
        <v>189</v>
      </c>
      <c r="D97" s="127" t="s">
        <v>128</v>
      </c>
      <c r="E97" s="140" t="s">
        <v>648</v>
      </c>
    </row>
    <row r="98" spans="2:5">
      <c r="B98" s="139">
        <v>190</v>
      </c>
      <c r="D98" s="127" t="s">
        <v>129</v>
      </c>
      <c r="E98" s="140" t="s">
        <v>129</v>
      </c>
    </row>
    <row r="99" spans="2:5">
      <c r="B99" s="139">
        <v>191</v>
      </c>
      <c r="D99" s="127" t="s">
        <v>130</v>
      </c>
      <c r="E99" s="140" t="s">
        <v>529</v>
      </c>
    </row>
    <row r="100" spans="2:5">
      <c r="B100" s="139">
        <v>192</v>
      </c>
      <c r="D100" s="127" t="s">
        <v>131</v>
      </c>
      <c r="E100" s="140" t="s">
        <v>530</v>
      </c>
    </row>
    <row r="101" spans="2:5">
      <c r="B101" s="139">
        <v>193</v>
      </c>
      <c r="D101" s="127" t="s">
        <v>132</v>
      </c>
      <c r="E101" s="140" t="s">
        <v>531</v>
      </c>
    </row>
    <row r="102" spans="2:5">
      <c r="B102" s="139">
        <v>194</v>
      </c>
      <c r="D102" s="127" t="s">
        <v>449</v>
      </c>
      <c r="E102" s="140" t="s">
        <v>649</v>
      </c>
    </row>
    <row r="103" spans="2:5">
      <c r="B103" s="139">
        <v>195</v>
      </c>
      <c r="D103" s="127" t="s">
        <v>133</v>
      </c>
      <c r="E103" s="140" t="s">
        <v>650</v>
      </c>
    </row>
    <row r="104" spans="2:5">
      <c r="B104" s="139">
        <v>196</v>
      </c>
      <c r="D104" s="127" t="s">
        <v>450</v>
      </c>
      <c r="E104" s="140" t="s">
        <v>651</v>
      </c>
    </row>
    <row r="105" spans="2:5">
      <c r="B105" s="139">
        <v>197</v>
      </c>
      <c r="D105" s="127" t="s">
        <v>134</v>
      </c>
      <c r="E105" s="140" t="s">
        <v>652</v>
      </c>
    </row>
    <row r="106" spans="2:5">
      <c r="B106" s="139">
        <v>198</v>
      </c>
      <c r="D106" s="127" t="s">
        <v>135</v>
      </c>
      <c r="E106" s="140" t="s">
        <v>653</v>
      </c>
    </row>
    <row r="107" spans="2:5">
      <c r="B107" s="139">
        <v>199</v>
      </c>
      <c r="D107" s="127" t="s">
        <v>136</v>
      </c>
      <c r="E107" s="140" t="s">
        <v>654</v>
      </c>
    </row>
    <row r="108" spans="2:5">
      <c r="B108" s="139">
        <v>200</v>
      </c>
      <c r="D108" s="127" t="s">
        <v>451</v>
      </c>
      <c r="E108" s="140" t="s">
        <v>655</v>
      </c>
    </row>
    <row r="109" spans="2:5">
      <c r="B109" s="139">
        <v>201</v>
      </c>
      <c r="D109" s="127" t="s">
        <v>137</v>
      </c>
      <c r="E109" s="140" t="s">
        <v>656</v>
      </c>
    </row>
    <row r="110" spans="2:5">
      <c r="B110" s="139">
        <v>202</v>
      </c>
      <c r="D110" s="127" t="s">
        <v>138</v>
      </c>
      <c r="E110" s="140" t="s">
        <v>657</v>
      </c>
    </row>
    <row r="111" spans="2:5">
      <c r="B111" s="139">
        <v>203</v>
      </c>
      <c r="D111" s="127" t="s">
        <v>139</v>
      </c>
      <c r="E111" s="140" t="s">
        <v>532</v>
      </c>
    </row>
    <row r="112" spans="2:5">
      <c r="B112" s="139">
        <v>204</v>
      </c>
      <c r="D112" s="127" t="s">
        <v>452</v>
      </c>
      <c r="E112" s="140" t="s">
        <v>533</v>
      </c>
    </row>
    <row r="113" spans="2:5">
      <c r="B113" s="139">
        <v>205</v>
      </c>
      <c r="D113" s="127" t="s">
        <v>453</v>
      </c>
      <c r="E113" s="140" t="s">
        <v>534</v>
      </c>
    </row>
    <row r="114" spans="2:5">
      <c r="B114" s="139">
        <v>206</v>
      </c>
      <c r="D114" s="127" t="s">
        <v>454</v>
      </c>
      <c r="E114" s="140" t="s">
        <v>658</v>
      </c>
    </row>
    <row r="115" spans="2:5">
      <c r="B115" s="139">
        <v>207</v>
      </c>
      <c r="D115" s="127" t="s">
        <v>455</v>
      </c>
      <c r="E115" s="140" t="s">
        <v>535</v>
      </c>
    </row>
    <row r="116" spans="2:5">
      <c r="B116" s="139">
        <v>208</v>
      </c>
      <c r="D116" s="127" t="s">
        <v>456</v>
      </c>
      <c r="E116" s="140" t="s">
        <v>536</v>
      </c>
    </row>
    <row r="117" spans="2:5">
      <c r="B117" s="139">
        <v>209</v>
      </c>
      <c r="D117" s="127" t="s">
        <v>140</v>
      </c>
      <c r="E117" s="140" t="s">
        <v>659</v>
      </c>
    </row>
    <row r="118" spans="2:5">
      <c r="B118" s="139">
        <v>210</v>
      </c>
      <c r="D118" s="127" t="s">
        <v>457</v>
      </c>
      <c r="E118" s="140" t="s">
        <v>660</v>
      </c>
    </row>
    <row r="119" spans="2:5">
      <c r="B119" s="139">
        <v>211</v>
      </c>
      <c r="D119" s="127" t="s">
        <v>141</v>
      </c>
      <c r="E119" s="140" t="s">
        <v>537</v>
      </c>
    </row>
    <row r="120" spans="2:5">
      <c r="B120" s="139">
        <v>212</v>
      </c>
      <c r="D120" s="127" t="s">
        <v>142</v>
      </c>
      <c r="E120" s="140" t="s">
        <v>661</v>
      </c>
    </row>
    <row r="121" spans="2:5">
      <c r="B121" s="139">
        <v>213</v>
      </c>
      <c r="D121" s="127" t="s">
        <v>143</v>
      </c>
      <c r="E121" s="140" t="s">
        <v>662</v>
      </c>
    </row>
    <row r="122" spans="2:5">
      <c r="B122" s="139">
        <v>214</v>
      </c>
      <c r="D122" s="127" t="s">
        <v>458</v>
      </c>
      <c r="E122" s="140" t="s">
        <v>663</v>
      </c>
    </row>
    <row r="123" spans="2:5">
      <c r="B123" s="139">
        <v>215</v>
      </c>
      <c r="D123" s="127" t="s">
        <v>459</v>
      </c>
      <c r="E123" s="140" t="s">
        <v>664</v>
      </c>
    </row>
    <row r="124" spans="2:5">
      <c r="B124" s="139">
        <v>216</v>
      </c>
      <c r="D124" s="127" t="s">
        <v>985</v>
      </c>
      <c r="E124" s="140" t="s">
        <v>665</v>
      </c>
    </row>
    <row r="125" spans="2:5">
      <c r="B125" s="139">
        <v>217</v>
      </c>
      <c r="D125" s="127" t="s">
        <v>460</v>
      </c>
      <c r="E125" s="140" t="s">
        <v>666</v>
      </c>
    </row>
    <row r="126" spans="2:5">
      <c r="B126" s="139">
        <v>218</v>
      </c>
      <c r="D126" s="127" t="s">
        <v>461</v>
      </c>
      <c r="E126" s="140" t="s">
        <v>667</v>
      </c>
    </row>
    <row r="127" spans="2:5">
      <c r="B127" s="139">
        <v>219</v>
      </c>
      <c r="D127" s="127" t="s">
        <v>462</v>
      </c>
      <c r="E127" s="140" t="s">
        <v>668</v>
      </c>
    </row>
    <row r="128" spans="2:5">
      <c r="B128" s="139">
        <v>220</v>
      </c>
      <c r="D128" s="127" t="s">
        <v>463</v>
      </c>
      <c r="E128" s="140" t="s">
        <v>669</v>
      </c>
    </row>
    <row r="129" spans="2:5">
      <c r="B129" s="139">
        <v>221</v>
      </c>
      <c r="D129" s="127" t="s">
        <v>144</v>
      </c>
      <c r="E129" s="140" t="s">
        <v>670</v>
      </c>
    </row>
    <row r="130" spans="2:5">
      <c r="B130" s="139">
        <v>222</v>
      </c>
      <c r="D130" s="127" t="s">
        <v>145</v>
      </c>
      <c r="E130" s="140" t="s">
        <v>671</v>
      </c>
    </row>
    <row r="131" spans="2:5">
      <c r="B131" s="139">
        <v>223</v>
      </c>
      <c r="D131" s="127" t="s">
        <v>146</v>
      </c>
      <c r="E131" s="140" t="s">
        <v>672</v>
      </c>
    </row>
    <row r="132" spans="2:5">
      <c r="B132" s="139">
        <v>224</v>
      </c>
      <c r="D132" s="127" t="s">
        <v>147</v>
      </c>
      <c r="E132" s="140" t="s">
        <v>673</v>
      </c>
    </row>
    <row r="133" spans="2:5">
      <c r="B133" s="139">
        <v>225</v>
      </c>
      <c r="D133" s="127" t="s">
        <v>464</v>
      </c>
      <c r="E133" s="140" t="s">
        <v>674</v>
      </c>
    </row>
    <row r="134" spans="2:5">
      <c r="B134" s="139">
        <v>226</v>
      </c>
      <c r="D134" s="127" t="s">
        <v>465</v>
      </c>
      <c r="E134" s="140" t="s">
        <v>675</v>
      </c>
    </row>
    <row r="135" spans="2:5">
      <c r="B135" s="139">
        <v>227</v>
      </c>
      <c r="D135" s="127" t="s">
        <v>466</v>
      </c>
      <c r="E135" s="140" t="s">
        <v>676</v>
      </c>
    </row>
    <row r="136" spans="2:5">
      <c r="B136" s="139">
        <v>228</v>
      </c>
      <c r="D136" s="127" t="s">
        <v>148</v>
      </c>
      <c r="E136" s="140" t="s">
        <v>677</v>
      </c>
    </row>
    <row r="137" spans="2:5">
      <c r="B137" s="139">
        <v>229</v>
      </c>
      <c r="D137" s="127" t="s">
        <v>149</v>
      </c>
      <c r="E137" s="140" t="s">
        <v>678</v>
      </c>
    </row>
    <row r="138" spans="2:5">
      <c r="B138" s="139">
        <v>230</v>
      </c>
      <c r="D138" s="127" t="s">
        <v>467</v>
      </c>
      <c r="E138" s="140" t="s">
        <v>538</v>
      </c>
    </row>
    <row r="139" spans="2:5">
      <c r="B139" s="139">
        <v>231</v>
      </c>
      <c r="D139" s="127" t="s">
        <v>150</v>
      </c>
      <c r="E139" s="140" t="s">
        <v>679</v>
      </c>
    </row>
    <row r="140" spans="2:5" ht="39.6">
      <c r="B140" s="139">
        <v>232</v>
      </c>
      <c r="D140" s="127" t="s">
        <v>151</v>
      </c>
      <c r="E140" s="140" t="s">
        <v>680</v>
      </c>
    </row>
    <row r="141" spans="2:5">
      <c r="B141" s="139">
        <v>233</v>
      </c>
      <c r="D141" s="127" t="s">
        <v>152</v>
      </c>
      <c r="E141" s="140" t="s">
        <v>681</v>
      </c>
    </row>
    <row r="142" spans="2:5">
      <c r="B142" s="139">
        <v>234</v>
      </c>
      <c r="D142" s="127" t="s">
        <v>153</v>
      </c>
      <c r="E142" s="140" t="s">
        <v>939</v>
      </c>
    </row>
    <row r="143" spans="2:5">
      <c r="B143" s="139">
        <v>235</v>
      </c>
      <c r="D143" s="127" t="s">
        <v>154</v>
      </c>
      <c r="E143" s="140" t="s">
        <v>539</v>
      </c>
    </row>
    <row r="144" spans="2:5">
      <c r="B144" s="139">
        <v>236</v>
      </c>
      <c r="D144" s="127" t="s">
        <v>155</v>
      </c>
      <c r="E144" s="140" t="s">
        <v>682</v>
      </c>
    </row>
    <row r="145" spans="2:5">
      <c r="B145" s="139">
        <v>237</v>
      </c>
      <c r="D145" s="127" t="s">
        <v>156</v>
      </c>
      <c r="E145" s="140" t="s">
        <v>540</v>
      </c>
    </row>
    <row r="146" spans="2:5">
      <c r="B146" s="139">
        <v>238</v>
      </c>
      <c r="D146" s="127" t="s">
        <v>157</v>
      </c>
      <c r="E146" s="140" t="s">
        <v>683</v>
      </c>
    </row>
    <row r="147" spans="2:5">
      <c r="B147" s="139">
        <v>239</v>
      </c>
      <c r="D147" s="127" t="s">
        <v>158</v>
      </c>
      <c r="E147" s="140" t="s">
        <v>684</v>
      </c>
    </row>
    <row r="148" spans="2:5">
      <c r="B148" s="139">
        <v>240</v>
      </c>
      <c r="D148" s="127" t="s">
        <v>159</v>
      </c>
      <c r="E148" s="140" t="s">
        <v>541</v>
      </c>
    </row>
    <row r="149" spans="2:5">
      <c r="B149" s="139">
        <v>241</v>
      </c>
      <c r="D149" s="127" t="s">
        <v>160</v>
      </c>
      <c r="E149" s="140" t="s">
        <v>542</v>
      </c>
    </row>
    <row r="150" spans="2:5">
      <c r="B150" s="139">
        <v>242</v>
      </c>
      <c r="D150" s="127" t="s">
        <v>161</v>
      </c>
      <c r="E150" s="140" t="s">
        <v>685</v>
      </c>
    </row>
    <row r="151" spans="2:5">
      <c r="B151" s="139">
        <v>243</v>
      </c>
      <c r="D151" s="127" t="s">
        <v>162</v>
      </c>
      <c r="E151" s="140" t="s">
        <v>686</v>
      </c>
    </row>
    <row r="152" spans="2:5">
      <c r="B152" s="139">
        <v>244</v>
      </c>
      <c r="D152" s="127" t="s">
        <v>163</v>
      </c>
      <c r="E152" s="140" t="s">
        <v>687</v>
      </c>
    </row>
    <row r="153" spans="2:5">
      <c r="B153" s="139">
        <v>245</v>
      </c>
      <c r="D153" s="127" t="s">
        <v>468</v>
      </c>
      <c r="E153" s="140" t="s">
        <v>688</v>
      </c>
    </row>
    <row r="154" spans="2:5">
      <c r="B154" s="139">
        <v>246</v>
      </c>
      <c r="D154" s="127" t="s">
        <v>164</v>
      </c>
      <c r="E154" s="140" t="s">
        <v>689</v>
      </c>
    </row>
    <row r="155" spans="2:5">
      <c r="B155" s="139">
        <v>247</v>
      </c>
      <c r="D155" s="127" t="s">
        <v>165</v>
      </c>
      <c r="E155" s="140" t="s">
        <v>543</v>
      </c>
    </row>
    <row r="156" spans="2:5">
      <c r="B156" s="139">
        <v>248</v>
      </c>
      <c r="D156" s="127" t="s">
        <v>166</v>
      </c>
      <c r="E156" s="140" t="s">
        <v>690</v>
      </c>
    </row>
    <row r="157" spans="2:5">
      <c r="B157" s="139">
        <v>249</v>
      </c>
      <c r="D157" s="127" t="s">
        <v>469</v>
      </c>
      <c r="E157" s="140" t="s">
        <v>691</v>
      </c>
    </row>
    <row r="158" spans="2:5">
      <c r="B158" s="139">
        <v>250</v>
      </c>
      <c r="D158" s="127" t="s">
        <v>470</v>
      </c>
      <c r="E158" s="140" t="s">
        <v>692</v>
      </c>
    </row>
    <row r="159" spans="2:5">
      <c r="B159" s="139">
        <v>251</v>
      </c>
      <c r="D159" s="127" t="s">
        <v>471</v>
      </c>
      <c r="E159" s="140" t="s">
        <v>693</v>
      </c>
    </row>
    <row r="160" spans="2:5">
      <c r="B160" s="139">
        <v>252</v>
      </c>
      <c r="D160" s="127" t="s">
        <v>472</v>
      </c>
      <c r="E160" s="140" t="s">
        <v>694</v>
      </c>
    </row>
    <row r="161" spans="2:5">
      <c r="B161" s="139">
        <v>253</v>
      </c>
      <c r="D161" s="127" t="s">
        <v>167</v>
      </c>
      <c r="E161" s="140" t="s">
        <v>940</v>
      </c>
    </row>
    <row r="162" spans="2:5" ht="26.4">
      <c r="B162" s="139">
        <v>254</v>
      </c>
      <c r="D162" s="127" t="s">
        <v>168</v>
      </c>
      <c r="E162" s="140" t="s">
        <v>695</v>
      </c>
    </row>
    <row r="163" spans="2:5" ht="26.4">
      <c r="B163" s="139">
        <v>255</v>
      </c>
      <c r="D163" s="127" t="s">
        <v>169</v>
      </c>
      <c r="E163" s="140" t="s">
        <v>696</v>
      </c>
    </row>
    <row r="164" spans="2:5" ht="26.4">
      <c r="B164" s="139">
        <v>256</v>
      </c>
      <c r="D164" s="127" t="s">
        <v>170</v>
      </c>
      <c r="E164" s="140" t="s">
        <v>697</v>
      </c>
    </row>
    <row r="165" spans="2:5">
      <c r="B165" s="139">
        <v>257</v>
      </c>
      <c r="D165" s="127" t="s">
        <v>171</v>
      </c>
      <c r="E165" s="140" t="s">
        <v>544</v>
      </c>
    </row>
    <row r="166" spans="2:5">
      <c r="B166" s="139">
        <v>258</v>
      </c>
      <c r="D166" s="127" t="s">
        <v>172</v>
      </c>
      <c r="E166" s="140" t="s">
        <v>698</v>
      </c>
    </row>
    <row r="167" spans="2:5">
      <c r="B167" s="139">
        <v>259</v>
      </c>
      <c r="D167" s="127" t="s">
        <v>173</v>
      </c>
      <c r="E167" s="140" t="s">
        <v>699</v>
      </c>
    </row>
    <row r="168" spans="2:5">
      <c r="B168" s="139">
        <v>260</v>
      </c>
      <c r="D168" s="127" t="s">
        <v>174</v>
      </c>
      <c r="E168" s="140" t="s">
        <v>700</v>
      </c>
    </row>
    <row r="169" spans="2:5">
      <c r="B169" s="139">
        <v>261</v>
      </c>
      <c r="D169" s="127" t="s">
        <v>175</v>
      </c>
      <c r="E169" s="140" t="s">
        <v>701</v>
      </c>
    </row>
    <row r="170" spans="2:5" ht="26.4">
      <c r="B170" s="139">
        <v>262</v>
      </c>
      <c r="D170" s="127" t="s">
        <v>176</v>
      </c>
      <c r="E170" s="140" t="s">
        <v>702</v>
      </c>
    </row>
    <row r="171" spans="2:5">
      <c r="B171" s="139">
        <v>263</v>
      </c>
      <c r="D171" s="127" t="s">
        <v>177</v>
      </c>
      <c r="E171" s="140" t="s">
        <v>703</v>
      </c>
    </row>
    <row r="172" spans="2:5">
      <c r="B172" s="139">
        <v>264</v>
      </c>
      <c r="D172" s="127" t="s">
        <v>178</v>
      </c>
      <c r="E172" s="140" t="s">
        <v>704</v>
      </c>
    </row>
    <row r="173" spans="2:5">
      <c r="B173" s="139">
        <v>265</v>
      </c>
      <c r="D173" s="127" t="s">
        <v>179</v>
      </c>
      <c r="E173" s="140" t="s">
        <v>705</v>
      </c>
    </row>
    <row r="174" spans="2:5">
      <c r="B174" s="139">
        <v>266</v>
      </c>
      <c r="D174" s="127" t="s">
        <v>180</v>
      </c>
      <c r="E174" s="140" t="s">
        <v>706</v>
      </c>
    </row>
    <row r="175" spans="2:5">
      <c r="B175" s="139">
        <v>267</v>
      </c>
      <c r="D175" s="127" t="s">
        <v>181</v>
      </c>
      <c r="E175" s="140" t="s">
        <v>707</v>
      </c>
    </row>
    <row r="176" spans="2:5">
      <c r="B176" s="139">
        <v>268</v>
      </c>
      <c r="D176" s="127" t="s">
        <v>182</v>
      </c>
      <c r="E176" s="140" t="s">
        <v>708</v>
      </c>
    </row>
    <row r="177" spans="2:5">
      <c r="B177" s="139">
        <v>269</v>
      </c>
      <c r="D177" s="127" t="s">
        <v>473</v>
      </c>
      <c r="E177" s="140" t="s">
        <v>709</v>
      </c>
    </row>
    <row r="178" spans="2:5">
      <c r="B178" s="139">
        <v>270</v>
      </c>
      <c r="D178" s="127" t="s">
        <v>183</v>
      </c>
      <c r="E178" s="140" t="s">
        <v>710</v>
      </c>
    </row>
    <row r="179" spans="2:5">
      <c r="B179" s="139">
        <v>271</v>
      </c>
      <c r="D179" s="127" t="s">
        <v>474</v>
      </c>
      <c r="E179" s="140" t="s">
        <v>545</v>
      </c>
    </row>
    <row r="180" spans="2:5" ht="26.4">
      <c r="B180" s="139">
        <v>272</v>
      </c>
      <c r="D180" s="127" t="s">
        <v>184</v>
      </c>
    </row>
    <row r="181" spans="2:5">
      <c r="B181" s="139">
        <v>273</v>
      </c>
      <c r="D181" s="127" t="s">
        <v>185</v>
      </c>
      <c r="E181" s="140" t="s">
        <v>711</v>
      </c>
    </row>
    <row r="182" spans="2:5">
      <c r="B182" s="139">
        <v>274</v>
      </c>
      <c r="D182" s="127" t="s">
        <v>186</v>
      </c>
      <c r="E182" s="140" t="s">
        <v>546</v>
      </c>
    </row>
    <row r="183" spans="2:5">
      <c r="B183" s="139">
        <v>275</v>
      </c>
      <c r="D183" s="127" t="s">
        <v>187</v>
      </c>
      <c r="E183" s="140" t="s">
        <v>547</v>
      </c>
    </row>
    <row r="184" spans="2:5">
      <c r="B184" s="139">
        <v>276</v>
      </c>
      <c r="D184" s="127" t="s">
        <v>188</v>
      </c>
      <c r="E184" s="140" t="s">
        <v>941</v>
      </c>
    </row>
    <row r="185" spans="2:5">
      <c r="B185" s="139">
        <v>277</v>
      </c>
      <c r="D185" s="127" t="s">
        <v>475</v>
      </c>
      <c r="E185" s="140" t="s">
        <v>548</v>
      </c>
    </row>
    <row r="186" spans="2:5">
      <c r="B186" s="139">
        <v>278</v>
      </c>
      <c r="D186" s="127" t="s">
        <v>189</v>
      </c>
      <c r="E186" s="140" t="s">
        <v>549</v>
      </c>
    </row>
    <row r="187" spans="2:5">
      <c r="B187" s="139">
        <v>279</v>
      </c>
      <c r="D187" s="127" t="s">
        <v>190</v>
      </c>
      <c r="E187" s="140" t="s">
        <v>712</v>
      </c>
    </row>
    <row r="188" spans="2:5">
      <c r="B188" s="139">
        <v>280</v>
      </c>
      <c r="D188" s="127" t="s">
        <v>1</v>
      </c>
      <c r="E188" s="140" t="s">
        <v>1</v>
      </c>
    </row>
    <row r="189" spans="2:5">
      <c r="B189" s="139">
        <v>281</v>
      </c>
      <c r="D189" s="127" t="s">
        <v>2</v>
      </c>
      <c r="E189" s="140" t="s">
        <v>2</v>
      </c>
    </row>
    <row r="190" spans="2:5">
      <c r="B190" s="139">
        <v>282</v>
      </c>
      <c r="D190" s="127" t="s">
        <v>191</v>
      </c>
      <c r="E190" s="140" t="s">
        <v>192</v>
      </c>
    </row>
    <row r="191" spans="2:5">
      <c r="B191" s="139">
        <v>283</v>
      </c>
      <c r="D191" s="127" t="s">
        <v>193</v>
      </c>
      <c r="E191" s="140" t="s">
        <v>942</v>
      </c>
    </row>
    <row r="192" spans="2:5">
      <c r="B192" s="139">
        <v>284</v>
      </c>
      <c r="D192" s="127" t="s">
        <v>194</v>
      </c>
      <c r="E192" s="140" t="s">
        <v>713</v>
      </c>
    </row>
    <row r="193" spans="2:5">
      <c r="B193" s="139">
        <v>285</v>
      </c>
      <c r="D193" s="127" t="s">
        <v>195</v>
      </c>
      <c r="E193" s="140" t="s">
        <v>550</v>
      </c>
    </row>
    <row r="194" spans="2:5">
      <c r="B194" s="139">
        <v>286</v>
      </c>
      <c r="D194" s="127" t="s">
        <v>476</v>
      </c>
      <c r="E194" s="140" t="s">
        <v>551</v>
      </c>
    </row>
    <row r="195" spans="2:5">
      <c r="B195" s="139">
        <v>287</v>
      </c>
      <c r="D195" s="127" t="s">
        <v>477</v>
      </c>
      <c r="E195" s="140" t="s">
        <v>552</v>
      </c>
    </row>
    <row r="196" spans="2:5">
      <c r="B196" s="139">
        <v>288</v>
      </c>
      <c r="D196" s="127" t="s">
        <v>478</v>
      </c>
      <c r="E196" s="140" t="s">
        <v>551</v>
      </c>
    </row>
    <row r="197" spans="2:5">
      <c r="B197" s="139">
        <v>289</v>
      </c>
      <c r="D197" s="127" t="s">
        <v>196</v>
      </c>
      <c r="E197" s="140" t="s">
        <v>553</v>
      </c>
    </row>
    <row r="198" spans="2:5">
      <c r="B198" s="139">
        <v>290</v>
      </c>
      <c r="D198" s="127" t="s">
        <v>479</v>
      </c>
      <c r="E198" s="140" t="s">
        <v>714</v>
      </c>
    </row>
    <row r="199" spans="2:5">
      <c r="B199" s="139">
        <v>291</v>
      </c>
      <c r="D199" s="127" t="s">
        <v>197</v>
      </c>
      <c r="E199" s="140" t="s">
        <v>715</v>
      </c>
    </row>
    <row r="200" spans="2:5">
      <c r="B200" s="139">
        <v>292</v>
      </c>
      <c r="D200" s="127" t="s">
        <v>510</v>
      </c>
      <c r="E200" s="140" t="s">
        <v>716</v>
      </c>
    </row>
    <row r="201" spans="2:5">
      <c r="B201" s="139">
        <v>293</v>
      </c>
      <c r="D201" s="127" t="s">
        <v>511</v>
      </c>
      <c r="E201" s="140" t="s">
        <v>943</v>
      </c>
    </row>
    <row r="202" spans="2:5">
      <c r="B202" s="139">
        <v>294</v>
      </c>
      <c r="D202" s="127" t="s">
        <v>198</v>
      </c>
      <c r="E202" s="140" t="s">
        <v>554</v>
      </c>
    </row>
    <row r="203" spans="2:5">
      <c r="B203" s="139">
        <v>295</v>
      </c>
      <c r="D203" s="127" t="s">
        <v>480</v>
      </c>
      <c r="E203" s="140" t="s">
        <v>555</v>
      </c>
    </row>
    <row r="204" spans="2:5">
      <c r="B204" s="139">
        <v>296</v>
      </c>
      <c r="D204" s="127" t="s">
        <v>199</v>
      </c>
      <c r="E204" s="140" t="s">
        <v>717</v>
      </c>
    </row>
    <row r="205" spans="2:5">
      <c r="B205" s="139">
        <v>297</v>
      </c>
      <c r="D205" s="127" t="s">
        <v>200</v>
      </c>
      <c r="E205" s="140" t="s">
        <v>718</v>
      </c>
    </row>
    <row r="206" spans="2:5">
      <c r="B206" s="139">
        <v>298</v>
      </c>
      <c r="D206" s="127" t="s">
        <v>201</v>
      </c>
      <c r="E206" s="140" t="s">
        <v>556</v>
      </c>
    </row>
    <row r="207" spans="2:5" ht="26.4">
      <c r="B207" s="139">
        <v>299</v>
      </c>
      <c r="D207" s="127" t="s">
        <v>202</v>
      </c>
      <c r="E207" s="140" t="s">
        <v>719</v>
      </c>
    </row>
    <row r="208" spans="2:5" ht="26.4">
      <c r="B208" s="139">
        <v>300</v>
      </c>
      <c r="D208" s="127" t="s">
        <v>512</v>
      </c>
      <c r="E208" s="140" t="s">
        <v>720</v>
      </c>
    </row>
    <row r="209" spans="2:5">
      <c r="B209" s="139">
        <v>301</v>
      </c>
      <c r="D209" s="127" t="s">
        <v>513</v>
      </c>
      <c r="E209" s="140" t="s">
        <v>944</v>
      </c>
    </row>
    <row r="210" spans="2:5">
      <c r="B210" s="139">
        <v>302</v>
      </c>
      <c r="D210" s="127" t="s">
        <v>481</v>
      </c>
      <c r="E210" s="140" t="s">
        <v>945</v>
      </c>
    </row>
    <row r="211" spans="2:5">
      <c r="B211" s="139">
        <v>303</v>
      </c>
      <c r="D211" s="127" t="s">
        <v>203</v>
      </c>
      <c r="E211" s="140" t="s">
        <v>721</v>
      </c>
    </row>
    <row r="212" spans="2:5">
      <c r="B212" s="139">
        <v>304</v>
      </c>
      <c r="D212" s="127" t="s">
        <v>482</v>
      </c>
      <c r="E212" s="140" t="s">
        <v>722</v>
      </c>
    </row>
    <row r="213" spans="2:5">
      <c r="B213" s="139">
        <v>305</v>
      </c>
      <c r="D213" s="127" t="s">
        <v>483</v>
      </c>
      <c r="E213" s="140" t="s">
        <v>557</v>
      </c>
    </row>
    <row r="214" spans="2:5">
      <c r="B214" s="139">
        <v>306</v>
      </c>
      <c r="D214" s="127" t="s">
        <v>204</v>
      </c>
      <c r="E214" s="140" t="s">
        <v>723</v>
      </c>
    </row>
    <row r="215" spans="2:5">
      <c r="B215" s="139">
        <v>307</v>
      </c>
      <c r="D215" s="127" t="s">
        <v>205</v>
      </c>
      <c r="E215" s="140" t="s">
        <v>558</v>
      </c>
    </row>
    <row r="216" spans="2:5">
      <c r="B216" s="139">
        <v>308</v>
      </c>
      <c r="D216" s="127" t="s">
        <v>484</v>
      </c>
      <c r="E216" s="140" t="s">
        <v>724</v>
      </c>
    </row>
    <row r="217" spans="2:5">
      <c r="B217" s="139">
        <v>309</v>
      </c>
      <c r="D217" s="127" t="s">
        <v>206</v>
      </c>
      <c r="E217" s="140" t="s">
        <v>725</v>
      </c>
    </row>
    <row r="218" spans="2:5">
      <c r="B218" s="139">
        <v>310</v>
      </c>
      <c r="D218" s="127" t="s">
        <v>207</v>
      </c>
      <c r="E218" s="140" t="s">
        <v>726</v>
      </c>
    </row>
    <row r="219" spans="2:5" ht="26.4">
      <c r="B219" s="139">
        <v>311</v>
      </c>
      <c r="D219" s="127" t="s">
        <v>208</v>
      </c>
      <c r="E219" s="140" t="s">
        <v>727</v>
      </c>
    </row>
    <row r="220" spans="2:5">
      <c r="B220" s="139">
        <v>312</v>
      </c>
      <c r="D220" s="127" t="s">
        <v>209</v>
      </c>
      <c r="E220" s="140" t="s">
        <v>728</v>
      </c>
    </row>
    <row r="221" spans="2:5">
      <c r="B221" s="139">
        <v>313</v>
      </c>
      <c r="C221" s="136" t="s">
        <v>920</v>
      </c>
      <c r="D221" s="127" t="s">
        <v>946</v>
      </c>
      <c r="E221" s="166" t="s">
        <v>947</v>
      </c>
    </row>
    <row r="222" spans="2:5">
      <c r="B222" s="139">
        <v>314</v>
      </c>
      <c r="D222" s="127" t="s">
        <v>210</v>
      </c>
      <c r="E222" s="140" t="s">
        <v>948</v>
      </c>
    </row>
    <row r="223" spans="2:5">
      <c r="B223" s="139">
        <v>315</v>
      </c>
      <c r="D223" s="127" t="s">
        <v>211</v>
      </c>
      <c r="E223" s="140" t="s">
        <v>729</v>
      </c>
    </row>
    <row r="224" spans="2:5">
      <c r="B224" s="139">
        <v>316</v>
      </c>
      <c r="D224" s="127" t="s">
        <v>212</v>
      </c>
      <c r="E224" s="140" t="s">
        <v>730</v>
      </c>
    </row>
    <row r="225" spans="1:6">
      <c r="B225" s="139">
        <v>317</v>
      </c>
      <c r="D225" s="127" t="s">
        <v>213</v>
      </c>
      <c r="E225" s="140" t="s">
        <v>731</v>
      </c>
    </row>
    <row r="226" spans="1:6">
      <c r="B226" s="139">
        <v>318</v>
      </c>
      <c r="D226" s="127" t="s">
        <v>214</v>
      </c>
      <c r="E226" s="140" t="s">
        <v>559</v>
      </c>
    </row>
    <row r="227" spans="1:6">
      <c r="B227" s="139">
        <v>319</v>
      </c>
      <c r="D227" s="127" t="s">
        <v>485</v>
      </c>
      <c r="E227" s="140" t="s">
        <v>732</v>
      </c>
    </row>
    <row r="228" spans="1:6">
      <c r="B228" s="139">
        <v>320</v>
      </c>
      <c r="D228" s="127" t="s">
        <v>215</v>
      </c>
      <c r="E228" s="140" t="s">
        <v>733</v>
      </c>
    </row>
    <row r="229" spans="1:6" ht="39.6">
      <c r="B229" s="139">
        <v>321</v>
      </c>
      <c r="D229" s="127" t="s">
        <v>216</v>
      </c>
      <c r="E229" s="140" t="s">
        <v>734</v>
      </c>
    </row>
    <row r="230" spans="1:6">
      <c r="B230" s="139">
        <v>322</v>
      </c>
      <c r="D230" s="127" t="s">
        <v>217</v>
      </c>
      <c r="E230" s="140" t="s">
        <v>735</v>
      </c>
    </row>
    <row r="231" spans="1:6" ht="26.4">
      <c r="B231" s="139">
        <v>323</v>
      </c>
      <c r="D231" s="127" t="s">
        <v>218</v>
      </c>
      <c r="E231" s="140" t="s">
        <v>736</v>
      </c>
    </row>
    <row r="232" spans="1:6">
      <c r="A232" s="129"/>
      <c r="B232" s="139">
        <v>324</v>
      </c>
      <c r="C232" s="138" t="s">
        <v>509</v>
      </c>
      <c r="D232" s="128" t="s">
        <v>949</v>
      </c>
      <c r="E232" s="128" t="s">
        <v>516</v>
      </c>
      <c r="F232" s="130"/>
    </row>
    <row r="233" spans="1:6">
      <c r="A233" s="129"/>
      <c r="B233" s="139">
        <v>325</v>
      </c>
      <c r="C233" s="138" t="s">
        <v>509</v>
      </c>
      <c r="D233" s="128" t="s">
        <v>950</v>
      </c>
      <c r="E233" s="128" t="s">
        <v>899</v>
      </c>
      <c r="F233" s="130"/>
    </row>
    <row r="234" spans="1:6">
      <c r="A234" s="129"/>
      <c r="B234" s="139">
        <v>326</v>
      </c>
      <c r="C234" s="138" t="s">
        <v>918</v>
      </c>
      <c r="D234" s="128" t="s">
        <v>951</v>
      </c>
      <c r="E234" s="128" t="s">
        <v>952</v>
      </c>
      <c r="F234" s="130"/>
    </row>
    <row r="235" spans="1:6">
      <c r="B235" s="139">
        <v>327</v>
      </c>
      <c r="D235" s="127" t="s">
        <v>219</v>
      </c>
      <c r="E235" s="140" t="s">
        <v>560</v>
      </c>
    </row>
    <row r="236" spans="1:6" ht="14.4">
      <c r="B236" s="139">
        <v>328</v>
      </c>
      <c r="D236" s="127" t="s">
        <v>220</v>
      </c>
      <c r="E236" s="168" t="s">
        <v>905</v>
      </c>
    </row>
    <row r="237" spans="1:6">
      <c r="B237" s="139">
        <v>329</v>
      </c>
      <c r="D237" s="127" t="s">
        <v>221</v>
      </c>
      <c r="E237" s="140" t="s">
        <v>737</v>
      </c>
    </row>
    <row r="238" spans="1:6">
      <c r="B238" s="139">
        <v>330</v>
      </c>
      <c r="D238" s="127" t="s">
        <v>222</v>
      </c>
      <c r="E238" s="140" t="s">
        <v>738</v>
      </c>
    </row>
    <row r="239" spans="1:6">
      <c r="B239" s="139">
        <v>331</v>
      </c>
      <c r="D239" s="127" t="s">
        <v>223</v>
      </c>
      <c r="E239" s="140" t="s">
        <v>739</v>
      </c>
    </row>
    <row r="240" spans="1:6">
      <c r="B240" s="139">
        <v>332</v>
      </c>
      <c r="D240" s="127" t="s">
        <v>224</v>
      </c>
      <c r="E240" s="140" t="s">
        <v>740</v>
      </c>
    </row>
    <row r="241" spans="2:5">
      <c r="B241" s="139">
        <v>333</v>
      </c>
      <c r="D241" s="127" t="s">
        <v>225</v>
      </c>
      <c r="E241" s="140" t="s">
        <v>741</v>
      </c>
    </row>
    <row r="242" spans="2:5">
      <c r="B242" s="139">
        <v>334</v>
      </c>
      <c r="D242" s="127" t="s">
        <v>226</v>
      </c>
      <c r="E242" s="140" t="s">
        <v>742</v>
      </c>
    </row>
    <row r="243" spans="2:5">
      <c r="B243" s="139">
        <v>335</v>
      </c>
      <c r="D243" s="127" t="s">
        <v>227</v>
      </c>
      <c r="E243" s="140" t="s">
        <v>743</v>
      </c>
    </row>
    <row r="244" spans="2:5">
      <c r="B244" s="139">
        <v>336</v>
      </c>
      <c r="D244" s="127" t="s">
        <v>228</v>
      </c>
      <c r="E244" s="140" t="s">
        <v>561</v>
      </c>
    </row>
    <row r="245" spans="2:5">
      <c r="B245" s="139">
        <v>337</v>
      </c>
      <c r="D245" s="127" t="s">
        <v>229</v>
      </c>
      <c r="E245" s="140" t="s">
        <v>744</v>
      </c>
    </row>
    <row r="246" spans="2:5">
      <c r="B246" s="139">
        <v>338</v>
      </c>
      <c r="D246" s="127" t="s">
        <v>230</v>
      </c>
      <c r="E246" s="140" t="s">
        <v>562</v>
      </c>
    </row>
    <row r="247" spans="2:5">
      <c r="B247" s="139">
        <v>339</v>
      </c>
      <c r="D247" s="127" t="s">
        <v>231</v>
      </c>
      <c r="E247" s="140" t="s">
        <v>745</v>
      </c>
    </row>
    <row r="248" spans="2:5">
      <c r="B248" s="139">
        <v>340</v>
      </c>
      <c r="D248" s="127" t="s">
        <v>232</v>
      </c>
      <c r="E248" s="140" t="s">
        <v>563</v>
      </c>
    </row>
    <row r="249" spans="2:5">
      <c r="B249" s="139">
        <v>341</v>
      </c>
      <c r="D249" s="127" t="s">
        <v>233</v>
      </c>
      <c r="E249" s="140" t="s">
        <v>746</v>
      </c>
    </row>
    <row r="250" spans="2:5">
      <c r="B250" s="139">
        <v>342</v>
      </c>
      <c r="D250" s="127" t="s">
        <v>234</v>
      </c>
      <c r="E250" s="140" t="s">
        <v>564</v>
      </c>
    </row>
    <row r="251" spans="2:5">
      <c r="B251" s="139">
        <v>343</v>
      </c>
      <c r="D251" s="127" t="s">
        <v>235</v>
      </c>
      <c r="E251" s="140" t="s">
        <v>747</v>
      </c>
    </row>
    <row r="252" spans="2:5">
      <c r="B252" s="139">
        <v>344</v>
      </c>
      <c r="D252" s="127" t="s">
        <v>236</v>
      </c>
      <c r="E252" s="140" t="s">
        <v>565</v>
      </c>
    </row>
    <row r="253" spans="2:5">
      <c r="B253" s="139">
        <v>345</v>
      </c>
      <c r="D253" s="127" t="s">
        <v>237</v>
      </c>
      <c r="E253" s="140" t="s">
        <v>748</v>
      </c>
    </row>
    <row r="254" spans="2:5">
      <c r="B254" s="139">
        <v>346</v>
      </c>
      <c r="D254" s="127" t="s">
        <v>238</v>
      </c>
      <c r="E254" s="140" t="s">
        <v>749</v>
      </c>
    </row>
    <row r="255" spans="2:5">
      <c r="B255" s="139">
        <v>347</v>
      </c>
      <c r="D255" s="127" t="s">
        <v>486</v>
      </c>
      <c r="E255" s="140" t="s">
        <v>486</v>
      </c>
    </row>
    <row r="256" spans="2:5">
      <c r="B256" s="139">
        <v>348</v>
      </c>
      <c r="D256" s="127" t="s">
        <v>239</v>
      </c>
      <c r="E256" s="140" t="s">
        <v>566</v>
      </c>
    </row>
    <row r="257" spans="2:5" ht="26.4">
      <c r="B257" s="139">
        <v>349</v>
      </c>
      <c r="D257" s="127" t="s">
        <v>240</v>
      </c>
      <c r="E257" s="140" t="s">
        <v>750</v>
      </c>
    </row>
    <row r="258" spans="2:5">
      <c r="B258" s="139">
        <v>350</v>
      </c>
      <c r="D258" s="127" t="s">
        <v>241</v>
      </c>
      <c r="E258" s="140" t="s">
        <v>751</v>
      </c>
    </row>
    <row r="259" spans="2:5" ht="26.4">
      <c r="B259" s="139">
        <v>351</v>
      </c>
      <c r="D259" s="127" t="s">
        <v>242</v>
      </c>
      <c r="E259" s="140" t="s">
        <v>752</v>
      </c>
    </row>
    <row r="260" spans="2:5" ht="13.8">
      <c r="B260" s="139">
        <v>352</v>
      </c>
      <c r="D260" s="134" t="s">
        <v>953</v>
      </c>
      <c r="E260" s="167" t="s">
        <v>954</v>
      </c>
    </row>
    <row r="261" spans="2:5">
      <c r="B261" s="139">
        <v>353</v>
      </c>
      <c r="D261" s="127" t="s">
        <v>487</v>
      </c>
      <c r="E261" s="140" t="s">
        <v>567</v>
      </c>
    </row>
    <row r="262" spans="2:5">
      <c r="B262" s="139">
        <v>354</v>
      </c>
      <c r="D262" s="127" t="s">
        <v>243</v>
      </c>
      <c r="E262" s="140" t="s">
        <v>753</v>
      </c>
    </row>
    <row r="263" spans="2:5">
      <c r="B263" s="139">
        <v>355</v>
      </c>
      <c r="D263" s="127" t="s">
        <v>488</v>
      </c>
      <c r="E263" s="140" t="s">
        <v>754</v>
      </c>
    </row>
    <row r="264" spans="2:5">
      <c r="B264" s="139">
        <v>356</v>
      </c>
      <c r="D264" s="127" t="s">
        <v>244</v>
      </c>
      <c r="E264" s="140" t="s">
        <v>568</v>
      </c>
    </row>
    <row r="265" spans="2:5">
      <c r="B265" s="139">
        <v>357</v>
      </c>
      <c r="D265" s="127" t="s">
        <v>245</v>
      </c>
      <c r="E265" s="140" t="s">
        <v>569</v>
      </c>
    </row>
    <row r="266" spans="2:5">
      <c r="B266" s="139">
        <v>358</v>
      </c>
      <c r="D266" s="127" t="s">
        <v>246</v>
      </c>
      <c r="E266" s="140" t="s">
        <v>755</v>
      </c>
    </row>
    <row r="267" spans="2:5">
      <c r="B267" s="139">
        <v>359</v>
      </c>
      <c r="D267" s="127" t="s">
        <v>247</v>
      </c>
      <c r="E267" s="140" t="s">
        <v>756</v>
      </c>
    </row>
    <row r="268" spans="2:5">
      <c r="B268" s="139">
        <v>360</v>
      </c>
      <c r="D268" s="127" t="s">
        <v>248</v>
      </c>
      <c r="E268" s="140" t="s">
        <v>757</v>
      </c>
    </row>
    <row r="269" spans="2:5">
      <c r="B269" s="139">
        <v>361</v>
      </c>
      <c r="D269" s="127" t="s">
        <v>249</v>
      </c>
    </row>
    <row r="270" spans="2:5">
      <c r="B270" s="139">
        <v>362</v>
      </c>
      <c r="D270" s="127" t="s">
        <v>489</v>
      </c>
      <c r="E270" s="140" t="s">
        <v>758</v>
      </c>
    </row>
    <row r="271" spans="2:5" ht="26.4">
      <c r="B271" s="139">
        <v>363</v>
      </c>
      <c r="D271" s="127" t="s">
        <v>490</v>
      </c>
      <c r="E271" s="140" t="s">
        <v>759</v>
      </c>
    </row>
    <row r="272" spans="2:5" ht="26.4">
      <c r="B272" s="139">
        <v>364</v>
      </c>
      <c r="D272" s="127" t="s">
        <v>250</v>
      </c>
      <c r="E272" s="140" t="s">
        <v>760</v>
      </c>
    </row>
    <row r="273" spans="2:5">
      <c r="B273" s="139">
        <v>365</v>
      </c>
      <c r="D273" s="127" t="s">
        <v>251</v>
      </c>
      <c r="E273" s="140" t="s">
        <v>761</v>
      </c>
    </row>
    <row r="274" spans="2:5">
      <c r="B274" s="139">
        <v>366</v>
      </c>
      <c r="D274" s="127" t="s">
        <v>252</v>
      </c>
      <c r="E274" s="140" t="s">
        <v>762</v>
      </c>
    </row>
    <row r="275" spans="2:5">
      <c r="B275" s="139">
        <v>367</v>
      </c>
      <c r="D275" s="127" t="s">
        <v>253</v>
      </c>
      <c r="E275" s="140" t="s">
        <v>570</v>
      </c>
    </row>
    <row r="276" spans="2:5">
      <c r="B276" s="139">
        <v>368</v>
      </c>
      <c r="D276" s="127" t="s">
        <v>254</v>
      </c>
      <c r="E276" s="140" t="s">
        <v>571</v>
      </c>
    </row>
    <row r="277" spans="2:5">
      <c r="B277" s="139">
        <v>369</v>
      </c>
      <c r="D277" s="127" t="s">
        <v>255</v>
      </c>
      <c r="E277" s="140" t="s">
        <v>763</v>
      </c>
    </row>
    <row r="278" spans="2:5">
      <c r="B278" s="139">
        <v>370</v>
      </c>
      <c r="D278" s="127" t="s">
        <v>256</v>
      </c>
      <c r="E278" s="140" t="s">
        <v>572</v>
      </c>
    </row>
    <row r="279" spans="2:5">
      <c r="B279" s="139">
        <v>371</v>
      </c>
      <c r="D279" s="127" t="s">
        <v>257</v>
      </c>
      <c r="E279" s="140" t="s">
        <v>764</v>
      </c>
    </row>
    <row r="280" spans="2:5">
      <c r="B280" s="139">
        <v>372</v>
      </c>
      <c r="D280" s="127" t="s">
        <v>258</v>
      </c>
      <c r="E280" s="140" t="s">
        <v>573</v>
      </c>
    </row>
    <row r="281" spans="2:5">
      <c r="B281" s="139">
        <v>373</v>
      </c>
      <c r="D281" s="127" t="s">
        <v>259</v>
      </c>
      <c r="E281" s="140" t="s">
        <v>574</v>
      </c>
    </row>
    <row r="282" spans="2:5">
      <c r="B282" s="139">
        <v>374</v>
      </c>
      <c r="D282" s="127" t="s">
        <v>260</v>
      </c>
      <c r="E282" s="140" t="s">
        <v>765</v>
      </c>
    </row>
    <row r="283" spans="2:5">
      <c r="B283" s="139">
        <v>375</v>
      </c>
      <c r="D283" s="127" t="s">
        <v>261</v>
      </c>
      <c r="E283" s="140" t="s">
        <v>766</v>
      </c>
    </row>
    <row r="284" spans="2:5">
      <c r="B284" s="139">
        <v>376</v>
      </c>
      <c r="D284" s="127" t="s">
        <v>262</v>
      </c>
      <c r="E284" s="140" t="s">
        <v>767</v>
      </c>
    </row>
    <row r="285" spans="2:5">
      <c r="B285" s="139">
        <v>377</v>
      </c>
      <c r="D285" s="127" t="s">
        <v>263</v>
      </c>
      <c r="E285" s="140" t="s">
        <v>768</v>
      </c>
    </row>
    <row r="286" spans="2:5">
      <c r="B286" s="139">
        <v>378</v>
      </c>
      <c r="D286" s="127" t="s">
        <v>264</v>
      </c>
      <c r="E286" s="140" t="s">
        <v>575</v>
      </c>
    </row>
    <row r="287" spans="2:5">
      <c r="B287" s="139">
        <v>379</v>
      </c>
      <c r="D287" s="127" t="s">
        <v>265</v>
      </c>
      <c r="E287" s="140" t="s">
        <v>955</v>
      </c>
    </row>
    <row r="288" spans="2:5">
      <c r="B288" s="139">
        <v>380</v>
      </c>
      <c r="D288" s="127" t="s">
        <v>266</v>
      </c>
      <c r="E288" s="140" t="s">
        <v>769</v>
      </c>
    </row>
    <row r="289" spans="2:5">
      <c r="B289" s="139">
        <v>381</v>
      </c>
      <c r="D289" s="127" t="s">
        <v>267</v>
      </c>
      <c r="E289" s="140" t="s">
        <v>576</v>
      </c>
    </row>
    <row r="290" spans="2:5" ht="39.6">
      <c r="B290" s="139">
        <v>382</v>
      </c>
      <c r="D290" s="127" t="s">
        <v>268</v>
      </c>
      <c r="E290" s="140" t="s">
        <v>770</v>
      </c>
    </row>
    <row r="291" spans="2:5">
      <c r="B291" s="139">
        <v>383</v>
      </c>
      <c r="D291" s="127" t="s">
        <v>269</v>
      </c>
      <c r="E291" s="140" t="s">
        <v>771</v>
      </c>
    </row>
    <row r="292" spans="2:5" ht="26.4">
      <c r="B292" s="139">
        <v>384</v>
      </c>
      <c r="D292" s="127" t="s">
        <v>270</v>
      </c>
      <c r="E292" s="140" t="s">
        <v>772</v>
      </c>
    </row>
    <row r="293" spans="2:5">
      <c r="B293" s="139">
        <v>385</v>
      </c>
      <c r="D293" s="127" t="s">
        <v>271</v>
      </c>
      <c r="E293" s="140" t="s">
        <v>773</v>
      </c>
    </row>
    <row r="294" spans="2:5" ht="26.4">
      <c r="B294" s="139">
        <v>386</v>
      </c>
      <c r="D294" s="127" t="s">
        <v>272</v>
      </c>
      <c r="E294" s="140" t="s">
        <v>774</v>
      </c>
    </row>
    <row r="295" spans="2:5" ht="26.4">
      <c r="B295" s="139">
        <v>387</v>
      </c>
      <c r="D295" s="127" t="s">
        <v>273</v>
      </c>
      <c r="E295" s="140" t="s">
        <v>775</v>
      </c>
    </row>
    <row r="296" spans="2:5" ht="26.4">
      <c r="B296" s="139">
        <v>388</v>
      </c>
      <c r="D296" s="127" t="s">
        <v>274</v>
      </c>
      <c r="E296" s="140" t="s">
        <v>776</v>
      </c>
    </row>
    <row r="297" spans="2:5" ht="26.4">
      <c r="B297" s="139">
        <v>389</v>
      </c>
      <c r="D297" s="127" t="s">
        <v>275</v>
      </c>
      <c r="E297" s="140" t="s">
        <v>777</v>
      </c>
    </row>
    <row r="298" spans="2:5" ht="26.4">
      <c r="B298" s="139">
        <v>390</v>
      </c>
      <c r="D298" s="127" t="s">
        <v>276</v>
      </c>
      <c r="E298" s="140" t="s">
        <v>778</v>
      </c>
    </row>
    <row r="299" spans="2:5" ht="26.4">
      <c r="B299" s="139">
        <v>391</v>
      </c>
      <c r="D299" s="127" t="s">
        <v>277</v>
      </c>
      <c r="E299" s="140" t="s">
        <v>779</v>
      </c>
    </row>
    <row r="300" spans="2:5" ht="26.4">
      <c r="B300" s="139">
        <v>392</v>
      </c>
      <c r="D300" s="127" t="s">
        <v>278</v>
      </c>
      <c r="E300" s="140" t="s">
        <v>780</v>
      </c>
    </row>
    <row r="301" spans="2:5" ht="26.4">
      <c r="B301" s="139">
        <v>393</v>
      </c>
      <c r="D301" s="127" t="s">
        <v>279</v>
      </c>
      <c r="E301" s="140" t="s">
        <v>781</v>
      </c>
    </row>
    <row r="302" spans="2:5" ht="26.4">
      <c r="B302" s="139">
        <v>394</v>
      </c>
      <c r="D302" s="127" t="s">
        <v>280</v>
      </c>
      <c r="E302" s="140" t="s">
        <v>782</v>
      </c>
    </row>
    <row r="303" spans="2:5" ht="26.4">
      <c r="B303" s="139">
        <v>395</v>
      </c>
      <c r="D303" s="127" t="s">
        <v>281</v>
      </c>
      <c r="E303" s="140" t="s">
        <v>783</v>
      </c>
    </row>
    <row r="304" spans="2:5" ht="26.4">
      <c r="B304" s="139">
        <v>396</v>
      </c>
      <c r="D304" s="127" t="s">
        <v>282</v>
      </c>
      <c r="E304" s="140" t="s">
        <v>784</v>
      </c>
    </row>
    <row r="305" spans="2:5" ht="26.4">
      <c r="B305" s="139">
        <v>397</v>
      </c>
      <c r="D305" s="127" t="s">
        <v>283</v>
      </c>
      <c r="E305" s="140" t="s">
        <v>785</v>
      </c>
    </row>
    <row r="306" spans="2:5" ht="26.4">
      <c r="B306" s="139">
        <v>398</v>
      </c>
      <c r="D306" s="127" t="s">
        <v>284</v>
      </c>
      <c r="E306" s="140" t="s">
        <v>786</v>
      </c>
    </row>
    <row r="307" spans="2:5" ht="26.4">
      <c r="B307" s="139">
        <v>399</v>
      </c>
      <c r="D307" s="127" t="s">
        <v>285</v>
      </c>
      <c r="E307" s="140" t="s">
        <v>787</v>
      </c>
    </row>
    <row r="308" spans="2:5" ht="26.4">
      <c r="B308" s="139">
        <v>400</v>
      </c>
      <c r="D308" s="127" t="s">
        <v>286</v>
      </c>
      <c r="E308" s="140" t="s">
        <v>788</v>
      </c>
    </row>
    <row r="309" spans="2:5" ht="26.4">
      <c r="B309" s="139">
        <v>401</v>
      </c>
      <c r="D309" s="127" t="s">
        <v>287</v>
      </c>
      <c r="E309" s="140" t="s">
        <v>789</v>
      </c>
    </row>
    <row r="310" spans="2:5" ht="26.4">
      <c r="B310" s="139">
        <v>402</v>
      </c>
      <c r="D310" s="127" t="s">
        <v>288</v>
      </c>
      <c r="E310" s="140" t="s">
        <v>790</v>
      </c>
    </row>
    <row r="311" spans="2:5" ht="26.4">
      <c r="B311" s="139">
        <v>403</v>
      </c>
      <c r="D311" s="127" t="s">
        <v>289</v>
      </c>
      <c r="E311" s="140" t="s">
        <v>791</v>
      </c>
    </row>
    <row r="312" spans="2:5" ht="26.4">
      <c r="B312" s="139">
        <v>404</v>
      </c>
      <c r="D312" s="127" t="s">
        <v>290</v>
      </c>
      <c r="E312" s="140" t="s">
        <v>792</v>
      </c>
    </row>
    <row r="313" spans="2:5">
      <c r="B313" s="139">
        <v>405</v>
      </c>
      <c r="D313" s="127" t="s">
        <v>491</v>
      </c>
      <c r="E313" s="140" t="s">
        <v>793</v>
      </c>
    </row>
    <row r="314" spans="2:5">
      <c r="B314" s="139">
        <v>406</v>
      </c>
      <c r="D314" s="127" t="s">
        <v>492</v>
      </c>
      <c r="E314" s="140" t="s">
        <v>793</v>
      </c>
    </row>
    <row r="315" spans="2:5">
      <c r="B315" s="139">
        <v>407</v>
      </c>
      <c r="D315" s="127" t="s">
        <v>291</v>
      </c>
      <c r="E315" s="140" t="s">
        <v>794</v>
      </c>
    </row>
    <row r="316" spans="2:5" ht="26.4">
      <c r="B316" s="139">
        <v>408</v>
      </c>
      <c r="D316" s="127" t="s">
        <v>292</v>
      </c>
      <c r="E316" s="140" t="s">
        <v>795</v>
      </c>
    </row>
    <row r="317" spans="2:5">
      <c r="B317" s="139">
        <v>409</v>
      </c>
      <c r="D317" s="127" t="s">
        <v>293</v>
      </c>
      <c r="E317" s="140" t="s">
        <v>796</v>
      </c>
    </row>
    <row r="318" spans="2:5" ht="26.4">
      <c r="B318" s="139">
        <v>410</v>
      </c>
      <c r="D318" s="127" t="s">
        <v>294</v>
      </c>
      <c r="E318" s="140" t="s">
        <v>797</v>
      </c>
    </row>
    <row r="319" spans="2:5">
      <c r="B319" s="139">
        <v>411</v>
      </c>
      <c r="D319" s="127" t="s">
        <v>493</v>
      </c>
      <c r="E319" s="140" t="s">
        <v>798</v>
      </c>
    </row>
    <row r="320" spans="2:5" ht="26.4">
      <c r="B320" s="139">
        <v>412</v>
      </c>
      <c r="D320" s="127" t="s">
        <v>494</v>
      </c>
      <c r="E320" s="140" t="s">
        <v>799</v>
      </c>
    </row>
    <row r="321" spans="1:6">
      <c r="B321" s="139">
        <v>413</v>
      </c>
      <c r="D321" s="127" t="s">
        <v>295</v>
      </c>
      <c r="E321" s="140" t="s">
        <v>800</v>
      </c>
    </row>
    <row r="322" spans="1:6" ht="26.4">
      <c r="B322" s="139">
        <v>414</v>
      </c>
      <c r="D322" s="127" t="s">
        <v>296</v>
      </c>
      <c r="E322" s="140" t="s">
        <v>801</v>
      </c>
    </row>
    <row r="323" spans="1:6">
      <c r="B323" s="139">
        <v>415</v>
      </c>
      <c r="D323" s="127" t="s">
        <v>297</v>
      </c>
      <c r="E323" s="140" t="s">
        <v>802</v>
      </c>
    </row>
    <row r="324" spans="1:6" ht="39.6">
      <c r="B324" s="139">
        <v>416</v>
      </c>
      <c r="D324" s="127" t="s">
        <v>298</v>
      </c>
      <c r="E324" s="140" t="s">
        <v>803</v>
      </c>
    </row>
    <row r="325" spans="1:6">
      <c r="B325" s="139">
        <v>417</v>
      </c>
      <c r="D325" s="127" t="s">
        <v>299</v>
      </c>
      <c r="E325" s="140" t="s">
        <v>804</v>
      </c>
    </row>
    <row r="326" spans="1:6" ht="26.4">
      <c r="B326" s="139">
        <v>418</v>
      </c>
      <c r="D326" s="127" t="s">
        <v>300</v>
      </c>
      <c r="E326" s="140" t="s">
        <v>805</v>
      </c>
    </row>
    <row r="327" spans="1:6" ht="26.4">
      <c r="B327" s="139">
        <v>419</v>
      </c>
      <c r="D327" s="127" t="s">
        <v>301</v>
      </c>
      <c r="E327" s="140" t="s">
        <v>806</v>
      </c>
    </row>
    <row r="328" spans="1:6" ht="26.4">
      <c r="B328" s="139">
        <v>420</v>
      </c>
      <c r="D328" s="127" t="s">
        <v>302</v>
      </c>
      <c r="E328" s="140" t="s">
        <v>807</v>
      </c>
    </row>
    <row r="329" spans="1:6">
      <c r="B329" s="139">
        <v>421</v>
      </c>
      <c r="D329" s="127" t="s">
        <v>303</v>
      </c>
      <c r="E329" s="140" t="s">
        <v>808</v>
      </c>
    </row>
    <row r="330" spans="1:6">
      <c r="B330" s="139">
        <v>422</v>
      </c>
      <c r="D330" s="127" t="s">
        <v>304</v>
      </c>
      <c r="E330" s="140" t="s">
        <v>809</v>
      </c>
    </row>
    <row r="331" spans="1:6">
      <c r="B331" s="139">
        <v>423</v>
      </c>
      <c r="D331" s="127" t="s">
        <v>305</v>
      </c>
      <c r="E331" s="140" t="s">
        <v>810</v>
      </c>
    </row>
    <row r="332" spans="1:6">
      <c r="B332" s="139">
        <v>424</v>
      </c>
      <c r="D332" s="127" t="s">
        <v>306</v>
      </c>
      <c r="E332" s="140" t="s">
        <v>811</v>
      </c>
    </row>
    <row r="333" spans="1:6">
      <c r="B333" s="139">
        <v>425</v>
      </c>
      <c r="D333" s="127" t="s">
        <v>307</v>
      </c>
      <c r="E333" s="140" t="s">
        <v>812</v>
      </c>
    </row>
    <row r="334" spans="1:6">
      <c r="B334" s="139">
        <v>426</v>
      </c>
      <c r="D334" s="127" t="s">
        <v>308</v>
      </c>
      <c r="E334" s="140" t="s">
        <v>813</v>
      </c>
    </row>
    <row r="335" spans="1:6">
      <c r="B335" s="139">
        <v>427</v>
      </c>
      <c r="D335" s="127" t="s">
        <v>495</v>
      </c>
      <c r="E335" s="140" t="s">
        <v>814</v>
      </c>
    </row>
    <row r="336" spans="1:6" ht="43.2">
      <c r="A336" s="134"/>
      <c r="B336" s="139">
        <v>428</v>
      </c>
      <c r="C336" s="137" t="s">
        <v>920</v>
      </c>
      <c r="D336" s="134" t="s">
        <v>956</v>
      </c>
      <c r="E336" s="134" t="s">
        <v>957</v>
      </c>
      <c r="F336" s="135"/>
    </row>
    <row r="337" spans="2:5" ht="39.6">
      <c r="B337" s="139">
        <v>429</v>
      </c>
      <c r="D337" s="127" t="s">
        <v>309</v>
      </c>
      <c r="E337" s="140" t="s">
        <v>815</v>
      </c>
    </row>
    <row r="338" spans="2:5">
      <c r="B338" s="139">
        <v>430</v>
      </c>
      <c r="D338" s="127" t="s">
        <v>310</v>
      </c>
      <c r="E338" s="140" t="s">
        <v>816</v>
      </c>
    </row>
    <row r="339" spans="2:5">
      <c r="B339" s="139">
        <v>431</v>
      </c>
      <c r="D339" s="127" t="s">
        <v>311</v>
      </c>
      <c r="E339" s="140" t="s">
        <v>817</v>
      </c>
    </row>
    <row r="340" spans="2:5">
      <c r="B340" s="139">
        <v>432</v>
      </c>
      <c r="D340" s="127" t="s">
        <v>312</v>
      </c>
      <c r="E340" s="140" t="s">
        <v>818</v>
      </c>
    </row>
    <row r="341" spans="2:5" ht="26.4">
      <c r="B341" s="139">
        <v>433</v>
      </c>
      <c r="D341" s="127" t="s">
        <v>313</v>
      </c>
      <c r="E341" s="140" t="s">
        <v>819</v>
      </c>
    </row>
    <row r="342" spans="2:5">
      <c r="B342" s="139">
        <v>434</v>
      </c>
      <c r="D342" s="127" t="s">
        <v>314</v>
      </c>
      <c r="E342" s="140" t="s">
        <v>820</v>
      </c>
    </row>
    <row r="343" spans="2:5">
      <c r="B343" s="139">
        <v>435</v>
      </c>
      <c r="D343" s="127" t="s">
        <v>315</v>
      </c>
      <c r="E343" s="140" t="s">
        <v>821</v>
      </c>
    </row>
    <row r="344" spans="2:5">
      <c r="B344" s="139">
        <v>436</v>
      </c>
      <c r="D344" s="127" t="s">
        <v>316</v>
      </c>
      <c r="E344" s="140" t="s">
        <v>822</v>
      </c>
    </row>
    <row r="345" spans="2:5">
      <c r="B345" s="139">
        <v>437</v>
      </c>
      <c r="D345" s="127" t="s">
        <v>317</v>
      </c>
      <c r="E345" s="140" t="s">
        <v>823</v>
      </c>
    </row>
    <row r="346" spans="2:5">
      <c r="B346" s="139">
        <v>438</v>
      </c>
      <c r="D346" s="127" t="s">
        <v>496</v>
      </c>
      <c r="E346" s="140" t="s">
        <v>824</v>
      </c>
    </row>
    <row r="347" spans="2:5">
      <c r="B347" s="139">
        <v>439</v>
      </c>
      <c r="D347" s="127" t="s">
        <v>318</v>
      </c>
      <c r="E347" s="140" t="s">
        <v>825</v>
      </c>
    </row>
    <row r="348" spans="2:5">
      <c r="B348" s="139">
        <v>440</v>
      </c>
      <c r="D348" s="127" t="s">
        <v>497</v>
      </c>
      <c r="E348" s="140" t="s">
        <v>826</v>
      </c>
    </row>
    <row r="349" spans="2:5" ht="26.4">
      <c r="B349" s="139">
        <v>441</v>
      </c>
      <c r="D349" s="127" t="s">
        <v>319</v>
      </c>
      <c r="E349" s="140" t="s">
        <v>827</v>
      </c>
    </row>
    <row r="350" spans="2:5">
      <c r="B350" s="139">
        <v>442</v>
      </c>
      <c r="D350" s="127" t="s">
        <v>320</v>
      </c>
      <c r="E350" s="140" t="s">
        <v>828</v>
      </c>
    </row>
    <row r="351" spans="2:5">
      <c r="B351" s="139">
        <v>443</v>
      </c>
      <c r="D351" s="127" t="s">
        <v>321</v>
      </c>
      <c r="E351" s="140" t="s">
        <v>829</v>
      </c>
    </row>
    <row r="352" spans="2:5">
      <c r="B352" s="139">
        <v>444</v>
      </c>
      <c r="D352" s="127" t="s">
        <v>322</v>
      </c>
      <c r="E352" s="140" t="s">
        <v>830</v>
      </c>
    </row>
    <row r="353" spans="2:5" ht="39.6">
      <c r="B353" s="139">
        <v>445</v>
      </c>
      <c r="D353" s="127" t="s">
        <v>389</v>
      </c>
      <c r="E353" s="140" t="s">
        <v>831</v>
      </c>
    </row>
    <row r="354" spans="2:5">
      <c r="B354" s="139">
        <v>446</v>
      </c>
      <c r="D354" s="127" t="s">
        <v>323</v>
      </c>
      <c r="E354" s="140" t="s">
        <v>832</v>
      </c>
    </row>
    <row r="355" spans="2:5">
      <c r="B355" s="139">
        <v>447</v>
      </c>
      <c r="D355" s="127" t="s">
        <v>324</v>
      </c>
      <c r="E355" s="140" t="s">
        <v>833</v>
      </c>
    </row>
    <row r="356" spans="2:5">
      <c r="B356" s="139">
        <v>448</v>
      </c>
      <c r="D356" s="127" t="s">
        <v>325</v>
      </c>
      <c r="E356" s="140" t="s">
        <v>834</v>
      </c>
    </row>
    <row r="357" spans="2:5">
      <c r="B357" s="139">
        <v>449</v>
      </c>
      <c r="D357" s="127" t="s">
        <v>326</v>
      </c>
      <c r="E357" s="140" t="s">
        <v>835</v>
      </c>
    </row>
    <row r="358" spans="2:5">
      <c r="B358" s="139">
        <v>450</v>
      </c>
      <c r="D358" s="127" t="s">
        <v>327</v>
      </c>
      <c r="E358" s="140" t="s">
        <v>836</v>
      </c>
    </row>
    <row r="359" spans="2:5" ht="26.4">
      <c r="B359" s="139">
        <v>451</v>
      </c>
      <c r="D359" s="127" t="s">
        <v>328</v>
      </c>
      <c r="E359" s="140" t="s">
        <v>837</v>
      </c>
    </row>
    <row r="360" spans="2:5">
      <c r="B360" s="139">
        <v>452</v>
      </c>
      <c r="D360" s="127" t="s">
        <v>329</v>
      </c>
      <c r="E360" s="140" t="s">
        <v>838</v>
      </c>
    </row>
    <row r="361" spans="2:5">
      <c r="B361" s="139">
        <v>453</v>
      </c>
      <c r="D361" s="127" t="s">
        <v>330</v>
      </c>
      <c r="E361" s="140" t="s">
        <v>839</v>
      </c>
    </row>
    <row r="362" spans="2:5">
      <c r="B362" s="139">
        <v>454</v>
      </c>
      <c r="D362" s="127" t="s">
        <v>331</v>
      </c>
      <c r="E362" s="140" t="s">
        <v>840</v>
      </c>
    </row>
    <row r="363" spans="2:5" ht="26.4">
      <c r="B363" s="139">
        <v>455</v>
      </c>
      <c r="D363" s="127" t="s">
        <v>498</v>
      </c>
      <c r="E363" s="140" t="s">
        <v>841</v>
      </c>
    </row>
    <row r="364" spans="2:5">
      <c r="B364" s="139">
        <v>456</v>
      </c>
      <c r="D364" s="127" t="s">
        <v>332</v>
      </c>
      <c r="E364" s="140" t="s">
        <v>577</v>
      </c>
    </row>
    <row r="365" spans="2:5">
      <c r="B365" s="139">
        <v>457</v>
      </c>
      <c r="D365" s="127" t="s">
        <v>333</v>
      </c>
      <c r="E365" s="140" t="s">
        <v>842</v>
      </c>
    </row>
    <row r="366" spans="2:5">
      <c r="B366" s="139">
        <v>458</v>
      </c>
      <c r="D366" s="127" t="s">
        <v>334</v>
      </c>
      <c r="E366" s="140" t="s">
        <v>843</v>
      </c>
    </row>
    <row r="367" spans="2:5">
      <c r="B367" s="139">
        <v>459</v>
      </c>
      <c r="D367" s="127" t="s">
        <v>499</v>
      </c>
      <c r="E367" s="140" t="s">
        <v>844</v>
      </c>
    </row>
    <row r="368" spans="2:5" ht="26.4">
      <c r="B368" s="139">
        <v>460</v>
      </c>
      <c r="D368" s="127" t="s">
        <v>500</v>
      </c>
      <c r="E368" s="140" t="s">
        <v>845</v>
      </c>
    </row>
    <row r="369" spans="1:6">
      <c r="B369" s="139">
        <v>461</v>
      </c>
      <c r="D369" s="127" t="s">
        <v>335</v>
      </c>
      <c r="E369" s="140" t="s">
        <v>578</v>
      </c>
    </row>
    <row r="370" spans="1:6">
      <c r="B370" s="139">
        <v>462</v>
      </c>
      <c r="D370" s="127" t="s">
        <v>336</v>
      </c>
      <c r="E370" s="140" t="s">
        <v>846</v>
      </c>
    </row>
    <row r="371" spans="1:6">
      <c r="B371" s="139">
        <v>463</v>
      </c>
      <c r="D371" s="127" t="s">
        <v>337</v>
      </c>
      <c r="E371" s="140" t="s">
        <v>847</v>
      </c>
    </row>
    <row r="372" spans="1:6" ht="39.6">
      <c r="B372" s="139">
        <v>464</v>
      </c>
      <c r="D372" s="127" t="s">
        <v>338</v>
      </c>
      <c r="E372" s="140" t="s">
        <v>848</v>
      </c>
    </row>
    <row r="373" spans="1:6">
      <c r="B373" s="139">
        <v>465</v>
      </c>
      <c r="D373" s="127" t="s">
        <v>339</v>
      </c>
      <c r="E373" s="140" t="s">
        <v>849</v>
      </c>
    </row>
    <row r="374" spans="1:6">
      <c r="A374" s="129"/>
      <c r="B374" s="139">
        <v>466</v>
      </c>
      <c r="C374" s="138" t="s">
        <v>509</v>
      </c>
      <c r="D374" s="128" t="s">
        <v>900</v>
      </c>
      <c r="E374" s="128" t="s">
        <v>958</v>
      </c>
      <c r="F374" s="130"/>
    </row>
    <row r="375" spans="1:6">
      <c r="A375" s="129"/>
      <c r="B375" s="139">
        <v>467</v>
      </c>
      <c r="C375" s="138" t="s">
        <v>509</v>
      </c>
      <c r="D375" s="128" t="s">
        <v>959</v>
      </c>
      <c r="E375" s="128" t="s">
        <v>901</v>
      </c>
      <c r="F375" s="130"/>
    </row>
    <row r="376" spans="1:6" ht="14.4">
      <c r="B376" s="139">
        <v>468</v>
      </c>
      <c r="D376" s="127" t="s">
        <v>340</v>
      </c>
      <c r="E376" s="168" t="s">
        <v>907</v>
      </c>
    </row>
    <row r="377" spans="1:6">
      <c r="B377" s="139">
        <v>469</v>
      </c>
      <c r="D377" s="127" t="s">
        <v>341</v>
      </c>
      <c r="E377" s="140" t="s">
        <v>850</v>
      </c>
    </row>
    <row r="378" spans="1:6">
      <c r="B378" s="139">
        <v>470</v>
      </c>
      <c r="D378" s="127" t="s">
        <v>342</v>
      </c>
      <c r="E378" s="140" t="s">
        <v>579</v>
      </c>
    </row>
    <row r="379" spans="1:6" ht="26.4">
      <c r="B379" s="139">
        <v>471</v>
      </c>
      <c r="D379" s="127" t="s">
        <v>343</v>
      </c>
      <c r="E379" s="140" t="s">
        <v>851</v>
      </c>
    </row>
    <row r="380" spans="1:6">
      <c r="B380" s="139">
        <v>472</v>
      </c>
      <c r="D380" s="127" t="s">
        <v>344</v>
      </c>
      <c r="E380" s="140" t="s">
        <v>580</v>
      </c>
    </row>
    <row r="381" spans="1:6" ht="26.4">
      <c r="B381" s="139">
        <v>473</v>
      </c>
      <c r="D381" s="127" t="s">
        <v>345</v>
      </c>
      <c r="E381" s="140" t="s">
        <v>852</v>
      </c>
    </row>
    <row r="382" spans="1:6">
      <c r="B382" s="139">
        <v>474</v>
      </c>
      <c r="D382" s="127" t="s">
        <v>346</v>
      </c>
      <c r="E382" s="140" t="s">
        <v>581</v>
      </c>
    </row>
    <row r="383" spans="1:6">
      <c r="B383" s="139">
        <v>475</v>
      </c>
      <c r="D383" s="127" t="s">
        <v>347</v>
      </c>
      <c r="E383" s="140" t="s">
        <v>853</v>
      </c>
    </row>
    <row r="384" spans="1:6">
      <c r="B384" s="139">
        <v>476</v>
      </c>
      <c r="D384" s="127" t="s">
        <v>348</v>
      </c>
      <c r="E384" s="140" t="s">
        <v>854</v>
      </c>
    </row>
    <row r="385" spans="2:5">
      <c r="B385" s="139">
        <v>477</v>
      </c>
      <c r="D385" s="127" t="s">
        <v>349</v>
      </c>
      <c r="E385" s="140" t="s">
        <v>855</v>
      </c>
    </row>
    <row r="386" spans="2:5">
      <c r="B386" s="139">
        <v>478</v>
      </c>
      <c r="D386" s="127" t="s">
        <v>350</v>
      </c>
      <c r="E386" s="140" t="s">
        <v>856</v>
      </c>
    </row>
    <row r="387" spans="2:5">
      <c r="B387" s="139">
        <v>479</v>
      </c>
      <c r="D387" s="127" t="s">
        <v>351</v>
      </c>
      <c r="E387" s="140" t="s">
        <v>857</v>
      </c>
    </row>
    <row r="388" spans="2:5">
      <c r="B388" s="139">
        <v>480</v>
      </c>
      <c r="D388" s="127" t="s">
        <v>352</v>
      </c>
      <c r="E388" s="140" t="s">
        <v>352</v>
      </c>
    </row>
    <row r="389" spans="2:5">
      <c r="B389" s="139">
        <v>481</v>
      </c>
      <c r="D389" s="127" t="s">
        <v>501</v>
      </c>
      <c r="E389" s="140" t="s">
        <v>858</v>
      </c>
    </row>
    <row r="390" spans="2:5" ht="26.4">
      <c r="B390" s="139">
        <v>482</v>
      </c>
      <c r="D390" s="127" t="s">
        <v>353</v>
      </c>
      <c r="E390" s="140" t="s">
        <v>859</v>
      </c>
    </row>
    <row r="391" spans="2:5">
      <c r="B391" s="139">
        <v>483</v>
      </c>
      <c r="D391" s="127" t="s">
        <v>354</v>
      </c>
      <c r="E391" s="140" t="s">
        <v>354</v>
      </c>
    </row>
    <row r="392" spans="2:5">
      <c r="B392" s="139">
        <v>484</v>
      </c>
      <c r="D392" s="127" t="s">
        <v>502</v>
      </c>
    </row>
    <row r="393" spans="2:5">
      <c r="B393" s="139">
        <v>485</v>
      </c>
      <c r="D393" s="127" t="s">
        <v>355</v>
      </c>
      <c r="E393" s="140" t="s">
        <v>582</v>
      </c>
    </row>
    <row r="394" spans="2:5">
      <c r="B394" s="139">
        <v>486</v>
      </c>
      <c r="D394" s="127" t="s">
        <v>503</v>
      </c>
      <c r="E394" s="140" t="s">
        <v>583</v>
      </c>
    </row>
    <row r="395" spans="2:5">
      <c r="B395" s="139">
        <v>487</v>
      </c>
      <c r="D395" s="127" t="s">
        <v>504</v>
      </c>
      <c r="E395" s="140" t="s">
        <v>584</v>
      </c>
    </row>
    <row r="396" spans="2:5">
      <c r="B396" s="139">
        <v>488</v>
      </c>
      <c r="D396" s="127" t="s">
        <v>505</v>
      </c>
      <c r="E396" s="140" t="s">
        <v>583</v>
      </c>
    </row>
    <row r="397" spans="2:5">
      <c r="B397" s="139">
        <v>489</v>
      </c>
      <c r="D397" s="127" t="s">
        <v>356</v>
      </c>
      <c r="E397" s="140" t="s">
        <v>585</v>
      </c>
    </row>
    <row r="398" spans="2:5">
      <c r="B398" s="139">
        <v>490</v>
      </c>
      <c r="D398" s="127" t="s">
        <v>357</v>
      </c>
      <c r="E398" s="140" t="s">
        <v>860</v>
      </c>
    </row>
    <row r="399" spans="2:5">
      <c r="B399" s="139">
        <v>491</v>
      </c>
      <c r="D399" s="127" t="s">
        <v>358</v>
      </c>
      <c r="E399" s="140" t="s">
        <v>861</v>
      </c>
    </row>
    <row r="400" spans="2:5">
      <c r="B400" s="139">
        <v>492</v>
      </c>
      <c r="D400" s="127" t="s">
        <v>359</v>
      </c>
      <c r="E400" s="140" t="s">
        <v>586</v>
      </c>
    </row>
    <row r="401" spans="1:6">
      <c r="B401" s="139">
        <v>493</v>
      </c>
      <c r="D401" s="127" t="s">
        <v>360</v>
      </c>
    </row>
    <row r="402" spans="1:6">
      <c r="B402" s="139">
        <v>494</v>
      </c>
      <c r="D402" s="127" t="s">
        <v>361</v>
      </c>
    </row>
    <row r="403" spans="1:6">
      <c r="B403" s="139">
        <v>495</v>
      </c>
      <c r="D403" s="127" t="s">
        <v>362</v>
      </c>
      <c r="E403" s="140" t="s">
        <v>862</v>
      </c>
    </row>
    <row r="404" spans="1:6">
      <c r="B404" s="139">
        <v>496</v>
      </c>
      <c r="D404" s="127" t="s">
        <v>506</v>
      </c>
      <c r="E404" s="140" t="s">
        <v>863</v>
      </c>
    </row>
    <row r="405" spans="1:6">
      <c r="B405" s="139">
        <v>497</v>
      </c>
      <c r="D405" s="127" t="s">
        <v>363</v>
      </c>
      <c r="E405" s="140" t="s">
        <v>864</v>
      </c>
    </row>
    <row r="406" spans="1:6">
      <c r="B406" s="139">
        <v>498</v>
      </c>
      <c r="D406" s="127" t="s">
        <v>429</v>
      </c>
      <c r="E406" s="140" t="s">
        <v>865</v>
      </c>
    </row>
    <row r="407" spans="1:6">
      <c r="B407" s="139">
        <v>499</v>
      </c>
      <c r="D407" s="127" t="s">
        <v>364</v>
      </c>
      <c r="E407" s="140" t="s">
        <v>864</v>
      </c>
    </row>
    <row r="408" spans="1:6" ht="28.8">
      <c r="A408" s="134"/>
      <c r="B408" s="139">
        <v>500</v>
      </c>
      <c r="C408" s="134"/>
      <c r="D408" s="134" t="s">
        <v>960</v>
      </c>
      <c r="E408" s="134" t="s">
        <v>961</v>
      </c>
      <c r="F408" s="135"/>
    </row>
    <row r="409" spans="1:6">
      <c r="B409" s="139">
        <v>501</v>
      </c>
      <c r="D409" s="127" t="s">
        <v>365</v>
      </c>
      <c r="E409" s="140" t="s">
        <v>365</v>
      </c>
    </row>
    <row r="410" spans="1:6">
      <c r="B410" s="139">
        <v>502</v>
      </c>
      <c r="D410" s="127" t="s">
        <v>366</v>
      </c>
      <c r="E410" s="140" t="s">
        <v>866</v>
      </c>
    </row>
    <row r="411" spans="1:6">
      <c r="B411" s="139">
        <v>503</v>
      </c>
      <c r="D411" s="127" t="s">
        <v>367</v>
      </c>
      <c r="E411" s="140" t="s">
        <v>867</v>
      </c>
    </row>
    <row r="412" spans="1:6">
      <c r="B412" s="139">
        <v>504</v>
      </c>
      <c r="D412" s="127" t="s">
        <v>507</v>
      </c>
      <c r="E412" s="140" t="s">
        <v>868</v>
      </c>
    </row>
    <row r="413" spans="1:6">
      <c r="B413" s="139">
        <v>505</v>
      </c>
      <c r="D413" s="127" t="s">
        <v>368</v>
      </c>
      <c r="E413" s="140" t="s">
        <v>869</v>
      </c>
    </row>
    <row r="414" spans="1:6">
      <c r="B414" s="139">
        <v>506</v>
      </c>
      <c r="D414" s="127" t="s">
        <v>369</v>
      </c>
      <c r="E414" s="140" t="s">
        <v>870</v>
      </c>
    </row>
    <row r="415" spans="1:6">
      <c r="B415" s="139">
        <v>507</v>
      </c>
      <c r="D415" s="127" t="s">
        <v>370</v>
      </c>
      <c r="E415" s="140" t="s">
        <v>871</v>
      </c>
    </row>
    <row r="416" spans="1:6">
      <c r="B416" s="139">
        <v>508</v>
      </c>
      <c r="D416" s="127" t="s">
        <v>508</v>
      </c>
      <c r="E416" s="140" t="s">
        <v>872</v>
      </c>
    </row>
    <row r="417" spans="1:6" ht="26.4">
      <c r="B417" s="139">
        <v>509</v>
      </c>
      <c r="D417" s="127" t="s">
        <v>371</v>
      </c>
      <c r="E417" s="140" t="s">
        <v>873</v>
      </c>
    </row>
    <row r="418" spans="1:6">
      <c r="B418" s="139">
        <v>510</v>
      </c>
      <c r="D418" s="127" t="s">
        <v>372</v>
      </c>
      <c r="E418" s="140" t="s">
        <v>871</v>
      </c>
    </row>
    <row r="419" spans="1:6">
      <c r="B419" s="139">
        <v>511</v>
      </c>
      <c r="D419" s="127" t="s">
        <v>373</v>
      </c>
      <c r="E419" s="140" t="s">
        <v>874</v>
      </c>
    </row>
    <row r="420" spans="1:6">
      <c r="B420" s="139">
        <v>512</v>
      </c>
      <c r="D420" s="127" t="s">
        <v>374</v>
      </c>
      <c r="E420" s="140" t="s">
        <v>875</v>
      </c>
    </row>
    <row r="421" spans="1:6">
      <c r="B421" s="139">
        <v>513</v>
      </c>
      <c r="D421" s="127" t="s">
        <v>375</v>
      </c>
      <c r="E421" s="140" t="s">
        <v>876</v>
      </c>
    </row>
    <row r="422" spans="1:6" s="134" customFormat="1" ht="13.8">
      <c r="A422" s="126"/>
      <c r="B422" s="139">
        <v>514</v>
      </c>
      <c r="C422" s="136"/>
      <c r="D422" s="127" t="s">
        <v>376</v>
      </c>
      <c r="E422" s="140" t="s">
        <v>877</v>
      </c>
      <c r="F422" s="126"/>
    </row>
    <row r="423" spans="1:6" s="134" customFormat="1" ht="13.8">
      <c r="A423" s="126"/>
      <c r="B423" s="139">
        <v>515</v>
      </c>
      <c r="C423" s="136"/>
      <c r="D423" s="127" t="s">
        <v>377</v>
      </c>
      <c r="E423" s="140" t="s">
        <v>878</v>
      </c>
      <c r="F423" s="126"/>
    </row>
    <row r="424" spans="1:6" s="129" customFormat="1">
      <c r="A424" s="126"/>
      <c r="B424" s="139">
        <v>516</v>
      </c>
      <c r="C424" s="136"/>
      <c r="D424" s="127" t="s">
        <v>378</v>
      </c>
      <c r="E424" s="140" t="s">
        <v>870</v>
      </c>
      <c r="F424" s="126"/>
    </row>
    <row r="425" spans="1:6" s="129" customFormat="1" ht="26.4">
      <c r="A425" s="126"/>
      <c r="B425" s="139">
        <v>517</v>
      </c>
      <c r="C425" s="136"/>
      <c r="D425" s="127" t="s">
        <v>379</v>
      </c>
      <c r="E425" s="140" t="s">
        <v>879</v>
      </c>
      <c r="F425" s="126"/>
    </row>
    <row r="426" spans="1:6" s="129" customFormat="1" ht="39.6">
      <c r="A426" s="126"/>
      <c r="B426" s="139">
        <v>518</v>
      </c>
      <c r="C426" s="136"/>
      <c r="D426" s="127" t="s">
        <v>380</v>
      </c>
      <c r="E426" s="140" t="s">
        <v>880</v>
      </c>
      <c r="F426" s="126"/>
    </row>
    <row r="427" spans="1:6" s="129" customFormat="1">
      <c r="A427" s="126"/>
      <c r="B427" s="139">
        <v>519</v>
      </c>
      <c r="C427" s="136"/>
      <c r="D427" s="127" t="s">
        <v>381</v>
      </c>
      <c r="E427" s="140" t="s">
        <v>881</v>
      </c>
      <c r="F427" s="126"/>
    </row>
    <row r="428" spans="1:6" s="129" customFormat="1" ht="39.6">
      <c r="A428" s="126"/>
      <c r="B428" s="139">
        <v>520</v>
      </c>
      <c r="C428" s="136"/>
      <c r="D428" s="127" t="s">
        <v>382</v>
      </c>
      <c r="E428" s="140" t="s">
        <v>882</v>
      </c>
      <c r="F428" s="126"/>
    </row>
    <row r="429" spans="1:6" s="129" customFormat="1">
      <c r="A429" s="126"/>
      <c r="B429" s="139">
        <v>521</v>
      </c>
      <c r="C429" s="136"/>
      <c r="D429" s="127" t="s">
        <v>383</v>
      </c>
      <c r="E429" s="140" t="s">
        <v>883</v>
      </c>
      <c r="F429" s="126"/>
    </row>
    <row r="430" spans="1:6" s="129" customFormat="1">
      <c r="A430" s="126"/>
      <c r="B430" s="139">
        <v>522</v>
      </c>
      <c r="C430" s="136"/>
      <c r="D430" s="127" t="s">
        <v>384</v>
      </c>
      <c r="E430" s="140" t="s">
        <v>884</v>
      </c>
      <c r="F430" s="126"/>
    </row>
    <row r="431" spans="1:6" s="129" customFormat="1">
      <c r="A431" s="126"/>
      <c r="B431" s="139">
        <v>523</v>
      </c>
      <c r="C431" s="136"/>
      <c r="D431" s="127" t="s">
        <v>385</v>
      </c>
      <c r="E431" s="140" t="s">
        <v>885</v>
      </c>
      <c r="F431" s="126"/>
    </row>
    <row r="432" spans="1:6" s="129" customFormat="1">
      <c r="A432" s="126"/>
      <c r="B432" s="139">
        <v>524</v>
      </c>
      <c r="C432" s="136"/>
      <c r="D432" s="127" t="s">
        <v>386</v>
      </c>
      <c r="E432" s="140" t="s">
        <v>886</v>
      </c>
      <c r="F432" s="126"/>
    </row>
    <row r="433" spans="1:6" s="129" customFormat="1">
      <c r="A433" s="126"/>
      <c r="B433" s="139">
        <v>525</v>
      </c>
      <c r="C433" s="136"/>
      <c r="D433" s="127" t="s">
        <v>387</v>
      </c>
      <c r="E433" s="140" t="s">
        <v>887</v>
      </c>
      <c r="F433" s="126"/>
    </row>
    <row r="434" spans="1:6" s="129" customFormat="1">
      <c r="A434" s="126"/>
      <c r="B434" s="139">
        <v>526</v>
      </c>
      <c r="C434" s="136"/>
      <c r="D434" s="127" t="s">
        <v>388</v>
      </c>
      <c r="E434" s="140" t="s">
        <v>888</v>
      </c>
      <c r="F434" s="126"/>
    </row>
    <row r="435" spans="1:6">
      <c r="B435" s="139">
        <v>527</v>
      </c>
      <c r="D435" s="127" t="s">
        <v>963</v>
      </c>
      <c r="E435" s="140" t="s">
        <v>965</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6"/>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390</v>
      </c>
      <c r="B1" s="89" t="s">
        <v>391</v>
      </c>
      <c r="C1" s="90" t="s">
        <v>392</v>
      </c>
      <c r="D1" s="90" t="s">
        <v>393</v>
      </c>
      <c r="E1" s="89" t="s">
        <v>394</v>
      </c>
      <c r="F1" s="91" t="s">
        <v>395</v>
      </c>
      <c r="G1" s="91" t="s">
        <v>396</v>
      </c>
      <c r="H1" s="91" t="s">
        <v>397</v>
      </c>
    </row>
    <row r="2" spans="1:8">
      <c r="A2" s="93">
        <v>1.1000000000000001</v>
      </c>
      <c r="B2" s="94" t="s">
        <v>1059</v>
      </c>
      <c r="C2" s="95" t="s">
        <v>1064</v>
      </c>
      <c r="D2" s="95">
        <v>44390</v>
      </c>
      <c r="E2" s="96">
        <v>44391</v>
      </c>
      <c r="F2" s="95">
        <v>44389</v>
      </c>
      <c r="G2" s="95">
        <v>44395</v>
      </c>
      <c r="H2" s="92">
        <v>2</v>
      </c>
    </row>
    <row r="3" spans="1:8">
      <c r="A3" s="93">
        <v>1.2</v>
      </c>
      <c r="B3" s="94" t="s">
        <v>1060</v>
      </c>
      <c r="C3" s="95" t="s">
        <v>1065</v>
      </c>
      <c r="D3" s="95">
        <v>44390</v>
      </c>
      <c r="E3" s="96">
        <v>44519</v>
      </c>
      <c r="F3" s="95">
        <v>44389</v>
      </c>
      <c r="G3" s="95">
        <v>44395</v>
      </c>
      <c r="H3" s="92">
        <v>4</v>
      </c>
    </row>
    <row r="4" spans="1:8">
      <c r="A4" s="93">
        <v>1.2</v>
      </c>
      <c r="B4" s="94" t="s">
        <v>1060</v>
      </c>
      <c r="C4" s="95" t="s">
        <v>1065</v>
      </c>
      <c r="D4" s="95">
        <v>44390</v>
      </c>
      <c r="E4" s="96">
        <v>44519</v>
      </c>
      <c r="F4" s="95">
        <v>44396</v>
      </c>
      <c r="G4" s="95">
        <v>44402</v>
      </c>
      <c r="H4" s="92">
        <v>5</v>
      </c>
    </row>
    <row r="5" spans="1:8">
      <c r="A5" s="93">
        <v>1.2</v>
      </c>
      <c r="B5" s="94" t="s">
        <v>1060</v>
      </c>
      <c r="C5" s="95" t="s">
        <v>1065</v>
      </c>
      <c r="D5" s="95">
        <v>44390</v>
      </c>
      <c r="E5" s="96">
        <v>44519</v>
      </c>
      <c r="F5" s="95">
        <v>44403</v>
      </c>
      <c r="G5" s="95">
        <v>44409</v>
      </c>
      <c r="H5" s="92">
        <v>5</v>
      </c>
    </row>
    <row r="6" spans="1:8">
      <c r="A6" s="93">
        <v>1.2</v>
      </c>
      <c r="B6" s="94" t="s">
        <v>1060</v>
      </c>
      <c r="C6" s="95" t="s">
        <v>1065</v>
      </c>
      <c r="D6" s="95">
        <v>44390</v>
      </c>
      <c r="E6" s="96">
        <v>44519</v>
      </c>
      <c r="F6" s="95">
        <v>44410</v>
      </c>
      <c r="G6" s="95">
        <v>44416</v>
      </c>
      <c r="H6" s="92">
        <v>5</v>
      </c>
    </row>
    <row r="7" spans="1:8">
      <c r="A7" s="93">
        <v>1.2</v>
      </c>
      <c r="B7" s="94" t="s">
        <v>1060</v>
      </c>
      <c r="C7" s="95" t="s">
        <v>1065</v>
      </c>
      <c r="D7" s="95">
        <v>44390</v>
      </c>
      <c r="E7" s="96">
        <v>44519</v>
      </c>
      <c r="F7" s="95">
        <v>44417</v>
      </c>
      <c r="G7" s="95">
        <v>44423</v>
      </c>
      <c r="H7" s="92">
        <v>5</v>
      </c>
    </row>
    <row r="8" spans="1:8">
      <c r="A8" s="93">
        <v>1.2</v>
      </c>
      <c r="B8" s="94" t="s">
        <v>1060</v>
      </c>
      <c r="C8" s="95" t="s">
        <v>1065</v>
      </c>
      <c r="D8" s="95">
        <v>44390</v>
      </c>
      <c r="E8" s="96">
        <v>44519</v>
      </c>
      <c r="F8" s="95">
        <v>44424</v>
      </c>
      <c r="G8" s="95">
        <v>44430</v>
      </c>
      <c r="H8" s="92">
        <v>5</v>
      </c>
    </row>
    <row r="9" spans="1:8">
      <c r="A9" s="93">
        <v>1.2</v>
      </c>
      <c r="B9" s="94" t="s">
        <v>1060</v>
      </c>
      <c r="C9" s="95" t="s">
        <v>1065</v>
      </c>
      <c r="D9" s="95">
        <v>44390</v>
      </c>
      <c r="E9" s="96">
        <v>44519</v>
      </c>
      <c r="F9" s="95">
        <v>44431</v>
      </c>
      <c r="G9" s="95">
        <v>44437</v>
      </c>
      <c r="H9" s="92">
        <v>5</v>
      </c>
    </row>
    <row r="10" spans="1:8">
      <c r="A10" s="93">
        <v>1.2</v>
      </c>
      <c r="B10" s="94" t="s">
        <v>1060</v>
      </c>
      <c r="C10" s="95" t="s">
        <v>1065</v>
      </c>
      <c r="D10" s="95">
        <v>44390</v>
      </c>
      <c r="E10" s="96">
        <v>44519</v>
      </c>
      <c r="F10" s="95">
        <v>44438</v>
      </c>
      <c r="G10" s="95">
        <v>44444</v>
      </c>
      <c r="H10" s="92">
        <v>5</v>
      </c>
    </row>
    <row r="11" spans="1:8">
      <c r="A11" s="93">
        <v>1.2</v>
      </c>
      <c r="B11" s="94" t="s">
        <v>1060</v>
      </c>
      <c r="C11" s="95" t="s">
        <v>1065</v>
      </c>
      <c r="D11" s="95">
        <v>44390</v>
      </c>
      <c r="E11" s="96">
        <v>44519</v>
      </c>
      <c r="F11" s="95">
        <v>44445</v>
      </c>
      <c r="G11" s="95">
        <v>44451</v>
      </c>
      <c r="H11" s="92">
        <v>5</v>
      </c>
    </row>
    <row r="12" spans="1:8">
      <c r="A12" s="93">
        <v>1.2</v>
      </c>
      <c r="B12" s="94" t="s">
        <v>1060</v>
      </c>
      <c r="C12" s="95" t="s">
        <v>1065</v>
      </c>
      <c r="D12" s="95">
        <v>44390</v>
      </c>
      <c r="E12" s="96">
        <v>44519</v>
      </c>
      <c r="F12" s="95">
        <v>44452</v>
      </c>
      <c r="G12" s="95">
        <v>44458</v>
      </c>
      <c r="H12" s="92">
        <v>5</v>
      </c>
    </row>
    <row r="13" spans="1:8">
      <c r="A13" s="93">
        <v>1.2</v>
      </c>
      <c r="B13" s="94" t="s">
        <v>1060</v>
      </c>
      <c r="C13" s="95" t="s">
        <v>1065</v>
      </c>
      <c r="D13" s="95">
        <v>44390</v>
      </c>
      <c r="E13" s="96">
        <v>44519</v>
      </c>
      <c r="F13" s="95">
        <v>44459</v>
      </c>
      <c r="G13" s="95">
        <v>44465</v>
      </c>
      <c r="H13" s="92">
        <v>5</v>
      </c>
    </row>
    <row r="14" spans="1:8">
      <c r="A14" s="93">
        <v>1.2</v>
      </c>
      <c r="B14" s="94" t="s">
        <v>1060</v>
      </c>
      <c r="C14" s="95" t="s">
        <v>1065</v>
      </c>
      <c r="D14" s="95">
        <v>44390</v>
      </c>
      <c r="E14" s="96">
        <v>44519</v>
      </c>
      <c r="F14" s="95">
        <v>44466</v>
      </c>
      <c r="G14" s="95">
        <v>44472</v>
      </c>
      <c r="H14" s="92">
        <v>5</v>
      </c>
    </row>
    <row r="15" spans="1:8">
      <c r="A15" s="93">
        <v>1.2</v>
      </c>
      <c r="B15" s="94" t="s">
        <v>1060</v>
      </c>
      <c r="C15" s="95" t="s">
        <v>1065</v>
      </c>
      <c r="D15" s="95">
        <v>44390</v>
      </c>
      <c r="E15" s="96">
        <v>44519</v>
      </c>
      <c r="F15" s="95">
        <v>44473</v>
      </c>
      <c r="G15" s="95">
        <v>44479</v>
      </c>
      <c r="H15" s="92">
        <v>5</v>
      </c>
    </row>
    <row r="16" spans="1:8">
      <c r="A16" s="93">
        <v>1.2</v>
      </c>
      <c r="B16" s="94" t="s">
        <v>1060</v>
      </c>
      <c r="C16" s="95" t="s">
        <v>1065</v>
      </c>
      <c r="D16" s="95">
        <v>44390</v>
      </c>
      <c r="E16" s="96">
        <v>44519</v>
      </c>
      <c r="F16" s="95">
        <v>44480</v>
      </c>
      <c r="G16" s="95">
        <v>44486</v>
      </c>
      <c r="H16" s="92">
        <v>5</v>
      </c>
    </row>
    <row r="17" spans="1:8">
      <c r="A17" s="93">
        <v>1.2</v>
      </c>
      <c r="B17" s="94" t="s">
        <v>1060</v>
      </c>
      <c r="C17" s="95" t="s">
        <v>1065</v>
      </c>
      <c r="D17" s="95">
        <v>44390</v>
      </c>
      <c r="E17" s="96">
        <v>44519</v>
      </c>
      <c r="F17" s="95">
        <v>44487</v>
      </c>
      <c r="G17" s="95">
        <v>44493</v>
      </c>
      <c r="H17" s="92">
        <v>5</v>
      </c>
    </row>
    <row r="18" spans="1:8">
      <c r="A18" s="93">
        <v>1.2</v>
      </c>
      <c r="B18" s="94" t="s">
        <v>1060</v>
      </c>
      <c r="C18" s="95" t="s">
        <v>1065</v>
      </c>
      <c r="D18" s="95">
        <v>44390</v>
      </c>
      <c r="E18" s="96">
        <v>44519</v>
      </c>
      <c r="F18" s="95">
        <v>44494</v>
      </c>
      <c r="G18" s="95">
        <v>44500</v>
      </c>
      <c r="H18" s="92">
        <v>5</v>
      </c>
    </row>
    <row r="19" spans="1:8">
      <c r="A19" s="93">
        <v>1.2</v>
      </c>
      <c r="B19" s="94" t="s">
        <v>1060</v>
      </c>
      <c r="C19" s="95" t="s">
        <v>1065</v>
      </c>
      <c r="D19" s="95">
        <v>44390</v>
      </c>
      <c r="E19" s="96">
        <v>44519</v>
      </c>
      <c r="F19" s="95">
        <v>44501</v>
      </c>
      <c r="G19" s="95">
        <v>44507</v>
      </c>
      <c r="H19" s="92">
        <v>5</v>
      </c>
    </row>
    <row r="20" spans="1:8">
      <c r="A20" s="93">
        <v>1.2</v>
      </c>
      <c r="B20" s="94" t="s">
        <v>1060</v>
      </c>
      <c r="C20" s="95" t="s">
        <v>1065</v>
      </c>
      <c r="D20" s="95">
        <v>44390</v>
      </c>
      <c r="E20" s="96">
        <v>44519</v>
      </c>
      <c r="F20" s="95">
        <v>44508</v>
      </c>
      <c r="G20" s="95">
        <v>44514</v>
      </c>
      <c r="H20" s="92">
        <v>5</v>
      </c>
    </row>
    <row r="21" spans="1:8">
      <c r="A21" s="93">
        <v>1.2</v>
      </c>
      <c r="B21" s="94" t="s">
        <v>1060</v>
      </c>
      <c r="C21" s="95" t="s">
        <v>1065</v>
      </c>
      <c r="D21" s="95">
        <v>44390</v>
      </c>
      <c r="E21" s="96">
        <v>44519</v>
      </c>
      <c r="F21" s="95">
        <v>44515</v>
      </c>
      <c r="G21" s="95">
        <v>44521</v>
      </c>
      <c r="H21" s="92">
        <v>5</v>
      </c>
    </row>
    <row r="22" spans="1:8">
      <c r="A22" s="93">
        <v>1.3</v>
      </c>
      <c r="B22" s="94" t="s">
        <v>1061</v>
      </c>
      <c r="C22" s="95" t="s">
        <v>1066</v>
      </c>
      <c r="D22" s="95">
        <v>44390</v>
      </c>
      <c r="E22" s="96">
        <v>44519</v>
      </c>
      <c r="F22" s="95">
        <v>44389</v>
      </c>
      <c r="G22" s="95">
        <v>44395</v>
      </c>
      <c r="H22" s="92">
        <v>4</v>
      </c>
    </row>
    <row r="23" spans="1:8">
      <c r="A23" s="93">
        <v>1.3</v>
      </c>
      <c r="B23" s="94" t="s">
        <v>1061</v>
      </c>
      <c r="C23" s="95" t="s">
        <v>1066</v>
      </c>
      <c r="D23" s="95">
        <v>44390</v>
      </c>
      <c r="E23" s="96">
        <v>44519</v>
      </c>
      <c r="F23" s="95">
        <v>44396</v>
      </c>
      <c r="G23" s="95">
        <v>44402</v>
      </c>
      <c r="H23" s="92">
        <v>5</v>
      </c>
    </row>
    <row r="24" spans="1:8">
      <c r="A24" s="93">
        <v>1.3</v>
      </c>
      <c r="B24" s="94" t="s">
        <v>1061</v>
      </c>
      <c r="C24" s="95" t="s">
        <v>1066</v>
      </c>
      <c r="D24" s="95">
        <v>44390</v>
      </c>
      <c r="E24" s="96">
        <v>44519</v>
      </c>
      <c r="F24" s="95">
        <v>44403</v>
      </c>
      <c r="G24" s="95">
        <v>44409</v>
      </c>
      <c r="H24" s="92">
        <v>5</v>
      </c>
    </row>
    <row r="25" spans="1:8">
      <c r="A25" s="93">
        <v>1.3</v>
      </c>
      <c r="B25" s="94" t="s">
        <v>1061</v>
      </c>
      <c r="C25" s="95" t="s">
        <v>1066</v>
      </c>
      <c r="D25" s="95">
        <v>44390</v>
      </c>
      <c r="E25" s="96">
        <v>44519</v>
      </c>
      <c r="F25" s="95">
        <v>44410</v>
      </c>
      <c r="G25" s="95">
        <v>44416</v>
      </c>
      <c r="H25" s="92">
        <v>5</v>
      </c>
    </row>
    <row r="26" spans="1:8">
      <c r="A26" s="93">
        <v>1.3</v>
      </c>
      <c r="B26" s="94" t="s">
        <v>1061</v>
      </c>
      <c r="C26" s="95" t="s">
        <v>1066</v>
      </c>
      <c r="D26" s="95">
        <v>44390</v>
      </c>
      <c r="E26" s="96">
        <v>44519</v>
      </c>
      <c r="F26" s="95">
        <v>44417</v>
      </c>
      <c r="G26" s="95">
        <v>44423</v>
      </c>
      <c r="H26" s="92">
        <v>5</v>
      </c>
    </row>
    <row r="27" spans="1:8">
      <c r="A27" s="93">
        <v>1.3</v>
      </c>
      <c r="B27" s="94" t="s">
        <v>1061</v>
      </c>
      <c r="C27" s="95" t="s">
        <v>1066</v>
      </c>
      <c r="D27" s="95">
        <v>44390</v>
      </c>
      <c r="E27" s="96">
        <v>44519</v>
      </c>
      <c r="F27" s="95">
        <v>44424</v>
      </c>
      <c r="G27" s="95">
        <v>44430</v>
      </c>
      <c r="H27" s="92">
        <v>5</v>
      </c>
    </row>
    <row r="28" spans="1:8">
      <c r="A28" s="93">
        <v>1.3</v>
      </c>
      <c r="B28" s="94" t="s">
        <v>1061</v>
      </c>
      <c r="C28" s="95" t="s">
        <v>1066</v>
      </c>
      <c r="D28" s="95">
        <v>44390</v>
      </c>
      <c r="E28" s="96">
        <v>44519</v>
      </c>
      <c r="F28" s="95">
        <v>44431</v>
      </c>
      <c r="G28" s="95">
        <v>44437</v>
      </c>
      <c r="H28" s="92">
        <v>5</v>
      </c>
    </row>
    <row r="29" spans="1:8">
      <c r="A29" s="93">
        <v>1.3</v>
      </c>
      <c r="B29" s="94" t="s">
        <v>1061</v>
      </c>
      <c r="C29" s="95" t="s">
        <v>1066</v>
      </c>
      <c r="D29" s="95">
        <v>44390</v>
      </c>
      <c r="E29" s="96">
        <v>44519</v>
      </c>
      <c r="F29" s="95">
        <v>44438</v>
      </c>
      <c r="G29" s="95">
        <v>44444</v>
      </c>
      <c r="H29" s="92">
        <v>5</v>
      </c>
    </row>
    <row r="30" spans="1:8">
      <c r="A30" s="93">
        <v>1.3</v>
      </c>
      <c r="B30" s="94" t="s">
        <v>1061</v>
      </c>
      <c r="C30" s="95" t="s">
        <v>1066</v>
      </c>
      <c r="D30" s="95">
        <v>44390</v>
      </c>
      <c r="E30" s="96">
        <v>44519</v>
      </c>
      <c r="F30" s="95">
        <v>44445</v>
      </c>
      <c r="G30" s="95">
        <v>44451</v>
      </c>
      <c r="H30" s="92">
        <v>5</v>
      </c>
    </row>
    <row r="31" spans="1:8">
      <c r="A31" s="93">
        <v>1.3</v>
      </c>
      <c r="B31" s="94" t="s">
        <v>1061</v>
      </c>
      <c r="C31" s="95" t="s">
        <v>1066</v>
      </c>
      <c r="D31" s="95">
        <v>44390</v>
      </c>
      <c r="E31" s="96">
        <v>44519</v>
      </c>
      <c r="F31" s="95">
        <v>44452</v>
      </c>
      <c r="G31" s="95">
        <v>44458</v>
      </c>
      <c r="H31" s="92">
        <v>5</v>
      </c>
    </row>
    <row r="32" spans="1:8">
      <c r="A32" s="93">
        <v>1.3</v>
      </c>
      <c r="B32" s="94" t="s">
        <v>1061</v>
      </c>
      <c r="C32" s="95" t="s">
        <v>1066</v>
      </c>
      <c r="D32" s="95">
        <v>44390</v>
      </c>
      <c r="E32" s="96">
        <v>44519</v>
      </c>
      <c r="F32" s="95">
        <v>44459</v>
      </c>
      <c r="G32" s="95">
        <v>44465</v>
      </c>
      <c r="H32" s="92">
        <v>5</v>
      </c>
    </row>
    <row r="33" spans="1:8">
      <c r="A33" s="93">
        <v>1.3</v>
      </c>
      <c r="B33" s="94" t="s">
        <v>1061</v>
      </c>
      <c r="C33" s="95" t="s">
        <v>1066</v>
      </c>
      <c r="D33" s="95">
        <v>44390</v>
      </c>
      <c r="E33" s="96">
        <v>44519</v>
      </c>
      <c r="F33" s="95">
        <v>44466</v>
      </c>
      <c r="G33" s="95">
        <v>44472</v>
      </c>
      <c r="H33" s="92">
        <v>5</v>
      </c>
    </row>
    <row r="34" spans="1:8">
      <c r="A34" s="93">
        <v>1.3</v>
      </c>
      <c r="B34" s="94" t="s">
        <v>1061</v>
      </c>
      <c r="C34" s="95" t="s">
        <v>1066</v>
      </c>
      <c r="D34" s="95">
        <v>44390</v>
      </c>
      <c r="E34" s="96">
        <v>44519</v>
      </c>
      <c r="F34" s="95">
        <v>44473</v>
      </c>
      <c r="G34" s="95">
        <v>44479</v>
      </c>
      <c r="H34" s="92">
        <v>5</v>
      </c>
    </row>
    <row r="35" spans="1:8">
      <c r="A35" s="93">
        <v>1.3</v>
      </c>
      <c r="B35" s="94" t="s">
        <v>1061</v>
      </c>
      <c r="C35" s="95" t="s">
        <v>1066</v>
      </c>
      <c r="D35" s="95">
        <v>44390</v>
      </c>
      <c r="E35" s="96">
        <v>44519</v>
      </c>
      <c r="F35" s="95">
        <v>44480</v>
      </c>
      <c r="G35" s="95">
        <v>44486</v>
      </c>
      <c r="H35" s="92">
        <v>5</v>
      </c>
    </row>
    <row r="36" spans="1:8">
      <c r="A36" s="93">
        <v>1.3</v>
      </c>
      <c r="B36" s="94" t="s">
        <v>1061</v>
      </c>
      <c r="C36" s="95" t="s">
        <v>1066</v>
      </c>
      <c r="D36" s="95">
        <v>44390</v>
      </c>
      <c r="E36" s="96">
        <v>44519</v>
      </c>
      <c r="F36" s="95">
        <v>44487</v>
      </c>
      <c r="G36" s="95">
        <v>44493</v>
      </c>
      <c r="H36" s="92">
        <v>5</v>
      </c>
    </row>
    <row r="37" spans="1:8">
      <c r="A37" s="93">
        <v>1.3</v>
      </c>
      <c r="B37" s="94" t="s">
        <v>1061</v>
      </c>
      <c r="C37" s="95" t="s">
        <v>1066</v>
      </c>
      <c r="D37" s="95">
        <v>44390</v>
      </c>
      <c r="E37" s="96">
        <v>44519</v>
      </c>
      <c r="F37" s="95">
        <v>44494</v>
      </c>
      <c r="G37" s="95">
        <v>44500</v>
      </c>
      <c r="H37" s="92">
        <v>5</v>
      </c>
    </row>
    <row r="38" spans="1:8">
      <c r="A38" s="93">
        <v>1.3</v>
      </c>
      <c r="B38" s="94" t="s">
        <v>1061</v>
      </c>
      <c r="C38" s="95" t="s">
        <v>1066</v>
      </c>
      <c r="D38" s="95">
        <v>44390</v>
      </c>
      <c r="E38" s="96">
        <v>44519</v>
      </c>
      <c r="F38" s="95">
        <v>44501</v>
      </c>
      <c r="G38" s="95">
        <v>44507</v>
      </c>
      <c r="H38" s="92">
        <v>5</v>
      </c>
    </row>
    <row r="39" spans="1:8">
      <c r="A39" s="93">
        <v>1.3</v>
      </c>
      <c r="B39" s="94" t="s">
        <v>1061</v>
      </c>
      <c r="C39" s="95" t="s">
        <v>1066</v>
      </c>
      <c r="D39" s="95">
        <v>44390</v>
      </c>
      <c r="E39" s="96">
        <v>44519</v>
      </c>
      <c r="F39" s="95">
        <v>44508</v>
      </c>
      <c r="G39" s="95">
        <v>44514</v>
      </c>
      <c r="H39" s="92">
        <v>5</v>
      </c>
    </row>
    <row r="40" spans="1:8">
      <c r="A40" s="93">
        <v>1.3</v>
      </c>
      <c r="B40" s="94" t="s">
        <v>1061</v>
      </c>
      <c r="C40" s="95" t="s">
        <v>1066</v>
      </c>
      <c r="D40" s="95">
        <v>44390</v>
      </c>
      <c r="E40" s="96">
        <v>44519</v>
      </c>
      <c r="F40" s="95">
        <v>44515</v>
      </c>
      <c r="G40" s="95">
        <v>44521</v>
      </c>
      <c r="H40" s="92">
        <v>5</v>
      </c>
    </row>
    <row r="41" spans="1:8">
      <c r="A41" s="93">
        <v>1.4</v>
      </c>
      <c r="B41" s="94" t="s">
        <v>1062</v>
      </c>
      <c r="C41" s="95" t="s">
        <v>1067</v>
      </c>
      <c r="D41" s="95">
        <v>44390</v>
      </c>
      <c r="E41" s="96">
        <v>44519</v>
      </c>
      <c r="F41" s="95">
        <v>44389</v>
      </c>
      <c r="G41" s="95">
        <v>44395</v>
      </c>
      <c r="H41" s="92">
        <v>4</v>
      </c>
    </row>
    <row r="42" spans="1:8">
      <c r="A42" s="93">
        <v>1.4</v>
      </c>
      <c r="B42" s="94" t="s">
        <v>1062</v>
      </c>
      <c r="C42" s="95" t="s">
        <v>1067</v>
      </c>
      <c r="D42" s="95">
        <v>44390</v>
      </c>
      <c r="E42" s="96">
        <v>44519</v>
      </c>
      <c r="F42" s="95">
        <v>44396</v>
      </c>
      <c r="G42" s="95">
        <v>44402</v>
      </c>
      <c r="H42" s="92">
        <v>5</v>
      </c>
    </row>
    <row r="43" spans="1:8">
      <c r="A43" s="93">
        <v>1.4</v>
      </c>
      <c r="B43" s="94" t="s">
        <v>1062</v>
      </c>
      <c r="C43" s="95" t="s">
        <v>1067</v>
      </c>
      <c r="D43" s="95">
        <v>44390</v>
      </c>
      <c r="E43" s="96">
        <v>44519</v>
      </c>
      <c r="F43" s="95">
        <v>44403</v>
      </c>
      <c r="G43" s="95">
        <v>44409</v>
      </c>
      <c r="H43" s="92">
        <v>5</v>
      </c>
    </row>
    <row r="44" spans="1:8">
      <c r="A44" s="93">
        <v>1.4</v>
      </c>
      <c r="B44" s="94" t="s">
        <v>1062</v>
      </c>
      <c r="C44" s="95" t="s">
        <v>1067</v>
      </c>
      <c r="D44" s="95">
        <v>44390</v>
      </c>
      <c r="E44" s="96">
        <v>44519</v>
      </c>
      <c r="F44" s="95">
        <v>44410</v>
      </c>
      <c r="G44" s="95">
        <v>44416</v>
      </c>
      <c r="H44" s="92">
        <v>5</v>
      </c>
    </row>
    <row r="45" spans="1:8">
      <c r="A45" s="93">
        <v>1.4</v>
      </c>
      <c r="B45" s="94" t="s">
        <v>1062</v>
      </c>
      <c r="C45" s="95" t="s">
        <v>1067</v>
      </c>
      <c r="D45" s="95">
        <v>44390</v>
      </c>
      <c r="E45" s="96">
        <v>44519</v>
      </c>
      <c r="F45" s="95">
        <v>44417</v>
      </c>
      <c r="G45" s="95">
        <v>44423</v>
      </c>
      <c r="H45" s="92">
        <v>5</v>
      </c>
    </row>
    <row r="46" spans="1:8">
      <c r="A46" s="93">
        <v>1.4</v>
      </c>
      <c r="B46" s="94" t="s">
        <v>1062</v>
      </c>
      <c r="C46" s="95" t="s">
        <v>1067</v>
      </c>
      <c r="D46" s="95">
        <v>44390</v>
      </c>
      <c r="E46" s="96">
        <v>44519</v>
      </c>
      <c r="F46" s="95">
        <v>44424</v>
      </c>
      <c r="G46" s="95">
        <v>44430</v>
      </c>
      <c r="H46" s="92">
        <v>5</v>
      </c>
    </row>
    <row r="47" spans="1:8">
      <c r="A47" s="93">
        <v>1.4</v>
      </c>
      <c r="B47" s="94" t="s">
        <v>1062</v>
      </c>
      <c r="C47" s="95" t="s">
        <v>1067</v>
      </c>
      <c r="D47" s="95">
        <v>44390</v>
      </c>
      <c r="E47" s="96">
        <v>44519</v>
      </c>
      <c r="F47" s="95">
        <v>44431</v>
      </c>
      <c r="G47" s="95">
        <v>44437</v>
      </c>
      <c r="H47" s="92">
        <v>5</v>
      </c>
    </row>
    <row r="48" spans="1:8">
      <c r="A48" s="93">
        <v>1.4</v>
      </c>
      <c r="B48" s="94" t="s">
        <v>1062</v>
      </c>
      <c r="C48" s="95" t="s">
        <v>1067</v>
      </c>
      <c r="D48" s="95">
        <v>44390</v>
      </c>
      <c r="E48" s="96">
        <v>44519</v>
      </c>
      <c r="F48" s="95">
        <v>44438</v>
      </c>
      <c r="G48" s="95">
        <v>44444</v>
      </c>
      <c r="H48" s="92">
        <v>5</v>
      </c>
    </row>
    <row r="49" spans="1:8">
      <c r="A49" s="93">
        <v>1.4</v>
      </c>
      <c r="B49" s="94" t="s">
        <v>1062</v>
      </c>
      <c r="C49" s="95" t="s">
        <v>1067</v>
      </c>
      <c r="D49" s="95">
        <v>44390</v>
      </c>
      <c r="E49" s="96">
        <v>44519</v>
      </c>
      <c r="F49" s="95">
        <v>44445</v>
      </c>
      <c r="G49" s="95">
        <v>44451</v>
      </c>
      <c r="H49" s="92">
        <v>5</v>
      </c>
    </row>
    <row r="50" spans="1:8">
      <c r="A50" s="93">
        <v>1.4</v>
      </c>
      <c r="B50" s="94" t="s">
        <v>1062</v>
      </c>
      <c r="C50" s="95" t="s">
        <v>1067</v>
      </c>
      <c r="D50" s="95">
        <v>44390</v>
      </c>
      <c r="E50" s="96">
        <v>44519</v>
      </c>
      <c r="F50" s="95">
        <v>44452</v>
      </c>
      <c r="G50" s="95">
        <v>44458</v>
      </c>
      <c r="H50" s="92">
        <v>5</v>
      </c>
    </row>
    <row r="51" spans="1:8">
      <c r="A51" s="93">
        <v>1.4</v>
      </c>
      <c r="B51" s="94" t="s">
        <v>1062</v>
      </c>
      <c r="C51" s="95" t="s">
        <v>1067</v>
      </c>
      <c r="D51" s="95">
        <v>44390</v>
      </c>
      <c r="E51" s="96">
        <v>44519</v>
      </c>
      <c r="F51" s="95">
        <v>44459</v>
      </c>
      <c r="G51" s="95">
        <v>44465</v>
      </c>
      <c r="H51" s="92">
        <v>5</v>
      </c>
    </row>
    <row r="52" spans="1:8">
      <c r="A52" s="93">
        <v>1.4</v>
      </c>
      <c r="B52" s="94" t="s">
        <v>1062</v>
      </c>
      <c r="C52" s="95" t="s">
        <v>1067</v>
      </c>
      <c r="D52" s="95">
        <v>44390</v>
      </c>
      <c r="E52" s="96">
        <v>44519</v>
      </c>
      <c r="F52" s="95">
        <v>44466</v>
      </c>
      <c r="G52" s="95">
        <v>44472</v>
      </c>
      <c r="H52" s="92">
        <v>5</v>
      </c>
    </row>
    <row r="53" spans="1:8">
      <c r="A53" s="93">
        <v>1.4</v>
      </c>
      <c r="B53" s="94" t="s">
        <v>1062</v>
      </c>
      <c r="C53" s="95" t="s">
        <v>1067</v>
      </c>
      <c r="D53" s="95">
        <v>44390</v>
      </c>
      <c r="E53" s="96">
        <v>44519</v>
      </c>
      <c r="F53" s="95">
        <v>44473</v>
      </c>
      <c r="G53" s="95">
        <v>44479</v>
      </c>
      <c r="H53" s="92">
        <v>5</v>
      </c>
    </row>
    <row r="54" spans="1:8">
      <c r="A54" s="93">
        <v>1.4</v>
      </c>
      <c r="B54" s="94" t="s">
        <v>1062</v>
      </c>
      <c r="C54" s="95" t="s">
        <v>1067</v>
      </c>
      <c r="D54" s="95">
        <v>44390</v>
      </c>
      <c r="E54" s="96">
        <v>44519</v>
      </c>
      <c r="F54" s="95">
        <v>44480</v>
      </c>
      <c r="G54" s="95">
        <v>44486</v>
      </c>
      <c r="H54" s="92">
        <v>5</v>
      </c>
    </row>
    <row r="55" spans="1:8">
      <c r="A55" s="93">
        <v>1.4</v>
      </c>
      <c r="B55" s="94" t="s">
        <v>1062</v>
      </c>
      <c r="C55" s="95" t="s">
        <v>1067</v>
      </c>
      <c r="D55" s="95">
        <v>44390</v>
      </c>
      <c r="E55" s="96">
        <v>44519</v>
      </c>
      <c r="F55" s="95">
        <v>44487</v>
      </c>
      <c r="G55" s="95">
        <v>44493</v>
      </c>
      <c r="H55" s="92">
        <v>5</v>
      </c>
    </row>
    <row r="56" spans="1:8">
      <c r="A56" s="93">
        <v>1.4</v>
      </c>
      <c r="B56" s="94" t="s">
        <v>1062</v>
      </c>
      <c r="C56" s="95" t="s">
        <v>1067</v>
      </c>
      <c r="D56" s="95">
        <v>44390</v>
      </c>
      <c r="E56" s="96">
        <v>44519</v>
      </c>
      <c r="F56" s="95">
        <v>44494</v>
      </c>
      <c r="G56" s="95">
        <v>44500</v>
      </c>
      <c r="H56" s="92">
        <v>5</v>
      </c>
    </row>
    <row r="57" spans="1:8">
      <c r="A57" s="93">
        <v>1.4</v>
      </c>
      <c r="B57" s="94" t="s">
        <v>1062</v>
      </c>
      <c r="C57" s="95" t="s">
        <v>1067</v>
      </c>
      <c r="D57" s="95">
        <v>44390</v>
      </c>
      <c r="E57" s="96">
        <v>44519</v>
      </c>
      <c r="F57" s="95">
        <v>44501</v>
      </c>
      <c r="G57" s="95">
        <v>44507</v>
      </c>
      <c r="H57" s="92">
        <v>5</v>
      </c>
    </row>
    <row r="58" spans="1:8">
      <c r="A58" s="93">
        <v>1.4</v>
      </c>
      <c r="B58" s="94" t="s">
        <v>1062</v>
      </c>
      <c r="C58" s="95" t="s">
        <v>1067</v>
      </c>
      <c r="D58" s="95">
        <v>44390</v>
      </c>
      <c r="E58" s="96">
        <v>44519</v>
      </c>
      <c r="F58" s="95">
        <v>44508</v>
      </c>
      <c r="G58" s="95">
        <v>44514</v>
      </c>
      <c r="H58" s="92">
        <v>5</v>
      </c>
    </row>
    <row r="59" spans="1:8">
      <c r="A59" s="93">
        <v>1.4</v>
      </c>
      <c r="B59" s="94" t="s">
        <v>1062</v>
      </c>
      <c r="C59" s="95" t="s">
        <v>1067</v>
      </c>
      <c r="D59" s="95">
        <v>44390</v>
      </c>
      <c r="E59" s="96">
        <v>44519</v>
      </c>
      <c r="F59" s="95">
        <v>44515</v>
      </c>
      <c r="G59" s="95">
        <v>44521</v>
      </c>
      <c r="H59" s="92">
        <v>5</v>
      </c>
    </row>
    <row r="60" spans="1:8">
      <c r="A60" s="93">
        <v>1.5</v>
      </c>
      <c r="B60" s="94" t="s">
        <v>1063</v>
      </c>
      <c r="C60" s="95" t="s">
        <v>1071</v>
      </c>
      <c r="D60" s="95">
        <v>44522</v>
      </c>
      <c r="E60" s="96">
        <v>44526</v>
      </c>
      <c r="F60" s="95">
        <v>44522</v>
      </c>
      <c r="G60" s="95">
        <v>44528</v>
      </c>
      <c r="H60" s="92">
        <v>1.6666666666666667</v>
      </c>
    </row>
    <row r="61" spans="1:8">
      <c r="A61" s="93">
        <v>1.5</v>
      </c>
      <c r="B61" s="94" t="s">
        <v>1063</v>
      </c>
      <c r="C61" s="95" t="s">
        <v>1074</v>
      </c>
      <c r="D61" s="95">
        <v>44522</v>
      </c>
      <c r="E61" s="96">
        <v>44526</v>
      </c>
      <c r="F61" s="95">
        <v>44522</v>
      </c>
      <c r="G61" s="95">
        <v>44528</v>
      </c>
      <c r="H61" s="92">
        <v>1.6666666666666667</v>
      </c>
    </row>
    <row r="62" spans="1:8">
      <c r="A62" s="93">
        <v>1.5</v>
      </c>
      <c r="B62" s="94" t="s">
        <v>1063</v>
      </c>
      <c r="C62" s="95" t="s">
        <v>1073</v>
      </c>
      <c r="D62" s="95">
        <v>44522</v>
      </c>
      <c r="E62" s="96">
        <v>44526</v>
      </c>
      <c r="F62" s="95">
        <v>44522</v>
      </c>
      <c r="G62" s="95">
        <v>44528</v>
      </c>
      <c r="H62" s="92">
        <v>1.6666666666666667</v>
      </c>
    </row>
    <row r="63" spans="1:8">
      <c r="A63" s="93">
        <v>2.1</v>
      </c>
      <c r="B63" s="94" t="s">
        <v>1059</v>
      </c>
      <c r="C63" s="95" t="s">
        <v>1064</v>
      </c>
      <c r="D63" s="95">
        <v>44448</v>
      </c>
      <c r="E63" s="96">
        <v>44453</v>
      </c>
      <c r="F63" s="95">
        <v>44445</v>
      </c>
      <c r="G63" s="95">
        <v>44451</v>
      </c>
      <c r="H63" s="92">
        <v>2</v>
      </c>
    </row>
    <row r="64" spans="1:8">
      <c r="A64" s="93">
        <v>2.1</v>
      </c>
      <c r="B64" s="94" t="s">
        <v>1059</v>
      </c>
      <c r="C64" s="95" t="s">
        <v>1064</v>
      </c>
      <c r="D64" s="95">
        <v>44448</v>
      </c>
      <c r="E64" s="96">
        <v>44453</v>
      </c>
      <c r="F64" s="95">
        <v>44452</v>
      </c>
      <c r="G64" s="95">
        <v>44458</v>
      </c>
      <c r="H64" s="92">
        <v>2</v>
      </c>
    </row>
    <row r="65" spans="1:8">
      <c r="A65" s="93">
        <v>2.2000000000000002</v>
      </c>
      <c r="B65" s="94" t="s">
        <v>1060</v>
      </c>
      <c r="C65" s="95" t="s">
        <v>1068</v>
      </c>
      <c r="D65" s="95">
        <v>44462</v>
      </c>
      <c r="E65" s="96">
        <v>44489</v>
      </c>
      <c r="F65" s="95">
        <v>44459</v>
      </c>
      <c r="G65" s="95">
        <v>44465</v>
      </c>
      <c r="H65" s="92">
        <v>2</v>
      </c>
    </row>
    <row r="66" spans="1:8">
      <c r="A66" s="93">
        <v>2.2000000000000002</v>
      </c>
      <c r="B66" s="94" t="s">
        <v>1060</v>
      </c>
      <c r="C66" s="95" t="s">
        <v>1068</v>
      </c>
      <c r="D66" s="95">
        <v>44462</v>
      </c>
      <c r="E66" s="96">
        <v>44489</v>
      </c>
      <c r="F66" s="95">
        <v>44466</v>
      </c>
      <c r="G66" s="95">
        <v>44472</v>
      </c>
      <c r="H66" s="92">
        <v>5</v>
      </c>
    </row>
    <row r="67" spans="1:8">
      <c r="A67" s="93">
        <v>2.2000000000000002</v>
      </c>
      <c r="B67" s="94" t="s">
        <v>1060</v>
      </c>
      <c r="C67" s="95" t="s">
        <v>1068</v>
      </c>
      <c r="D67" s="95">
        <v>44462</v>
      </c>
      <c r="E67" s="96">
        <v>44489</v>
      </c>
      <c r="F67" s="95">
        <v>44473</v>
      </c>
      <c r="G67" s="95">
        <v>44479</v>
      </c>
      <c r="H67" s="92">
        <v>5</v>
      </c>
    </row>
    <row r="68" spans="1:8">
      <c r="A68" s="93">
        <v>2.2000000000000002</v>
      </c>
      <c r="B68" s="94" t="s">
        <v>1060</v>
      </c>
      <c r="C68" s="95" t="s">
        <v>1068</v>
      </c>
      <c r="D68" s="95">
        <v>44462</v>
      </c>
      <c r="E68" s="96">
        <v>44489</v>
      </c>
      <c r="F68" s="95">
        <v>44480</v>
      </c>
      <c r="G68" s="95">
        <v>44486</v>
      </c>
      <c r="H68" s="92">
        <v>5</v>
      </c>
    </row>
    <row r="69" spans="1:8">
      <c r="A69" s="93">
        <v>2.2000000000000002</v>
      </c>
      <c r="B69" s="94" t="s">
        <v>1060</v>
      </c>
      <c r="C69" s="95" t="s">
        <v>1068</v>
      </c>
      <c r="D69" s="95">
        <v>44462</v>
      </c>
      <c r="E69" s="96">
        <v>44489</v>
      </c>
      <c r="F69" s="95">
        <v>44487</v>
      </c>
      <c r="G69" s="95">
        <v>44493</v>
      </c>
      <c r="H69" s="92">
        <v>3</v>
      </c>
    </row>
    <row r="70" spans="1:8">
      <c r="A70" s="93">
        <v>2.2999999999999998</v>
      </c>
      <c r="B70" s="94" t="s">
        <v>1061</v>
      </c>
      <c r="C70" s="95" t="s">
        <v>1069</v>
      </c>
      <c r="D70" s="95">
        <v>44462</v>
      </c>
      <c r="E70" s="96">
        <v>44489</v>
      </c>
      <c r="F70" s="95">
        <v>44459</v>
      </c>
      <c r="G70" s="95">
        <v>44465</v>
      </c>
      <c r="H70" s="92">
        <v>2</v>
      </c>
    </row>
    <row r="71" spans="1:8">
      <c r="A71" s="93">
        <v>2.2999999999999998</v>
      </c>
      <c r="B71" s="94" t="s">
        <v>1061</v>
      </c>
      <c r="C71" s="95" t="s">
        <v>1069</v>
      </c>
      <c r="D71" s="95">
        <v>44462</v>
      </c>
      <c r="E71" s="96">
        <v>44489</v>
      </c>
      <c r="F71" s="95">
        <v>44466</v>
      </c>
      <c r="G71" s="95">
        <v>44472</v>
      </c>
      <c r="H71" s="92">
        <v>5</v>
      </c>
    </row>
    <row r="72" spans="1:8">
      <c r="A72" s="93">
        <v>2.2999999999999998</v>
      </c>
      <c r="B72" s="94" t="s">
        <v>1061</v>
      </c>
      <c r="C72" s="95" t="s">
        <v>1069</v>
      </c>
      <c r="D72" s="95">
        <v>44462</v>
      </c>
      <c r="E72" s="96">
        <v>44489</v>
      </c>
      <c r="F72" s="95">
        <v>44473</v>
      </c>
      <c r="G72" s="95">
        <v>44479</v>
      </c>
      <c r="H72" s="92">
        <v>5</v>
      </c>
    </row>
    <row r="73" spans="1:8">
      <c r="A73" s="93">
        <v>2.2999999999999998</v>
      </c>
      <c r="B73" s="94" t="s">
        <v>1061</v>
      </c>
      <c r="C73" s="95" t="s">
        <v>1069</v>
      </c>
      <c r="D73" s="95">
        <v>44462</v>
      </c>
      <c r="E73" s="96">
        <v>44489</v>
      </c>
      <c r="F73" s="95">
        <v>44480</v>
      </c>
      <c r="G73" s="95">
        <v>44486</v>
      </c>
      <c r="H73" s="92">
        <v>5</v>
      </c>
    </row>
    <row r="74" spans="1:8">
      <c r="A74" s="93">
        <v>2.2999999999999998</v>
      </c>
      <c r="B74" s="94" t="s">
        <v>1061</v>
      </c>
      <c r="C74" s="95" t="s">
        <v>1069</v>
      </c>
      <c r="D74" s="95">
        <v>44462</v>
      </c>
      <c r="E74" s="96">
        <v>44489</v>
      </c>
      <c r="F74" s="95">
        <v>44487</v>
      </c>
      <c r="G74" s="95">
        <v>44493</v>
      </c>
      <c r="H74" s="92">
        <v>3</v>
      </c>
    </row>
    <row r="75" spans="1:8">
      <c r="A75" s="93">
        <v>2.4</v>
      </c>
      <c r="B75" s="94" t="s">
        <v>1062</v>
      </c>
      <c r="C75" s="95" t="s">
        <v>1070</v>
      </c>
      <c r="D75" s="95">
        <v>44462</v>
      </c>
      <c r="E75" s="96">
        <v>44489</v>
      </c>
      <c r="F75" s="95">
        <v>44459</v>
      </c>
      <c r="G75" s="95">
        <v>44465</v>
      </c>
      <c r="H75" s="92">
        <v>2</v>
      </c>
    </row>
    <row r="76" spans="1:8">
      <c r="A76" s="93">
        <v>2.4</v>
      </c>
      <c r="B76" s="94" t="s">
        <v>1062</v>
      </c>
      <c r="C76" s="95" t="s">
        <v>1070</v>
      </c>
      <c r="D76" s="95">
        <v>44462</v>
      </c>
      <c r="E76" s="96">
        <v>44489</v>
      </c>
      <c r="F76" s="95">
        <v>44466</v>
      </c>
      <c r="G76" s="95">
        <v>44472</v>
      </c>
      <c r="H76" s="92">
        <v>5</v>
      </c>
    </row>
    <row r="77" spans="1:8">
      <c r="A77" s="93">
        <v>2.4</v>
      </c>
      <c r="B77" s="94" t="s">
        <v>1062</v>
      </c>
      <c r="C77" s="95" t="s">
        <v>1070</v>
      </c>
      <c r="D77" s="95">
        <v>44462</v>
      </c>
      <c r="E77" s="96">
        <v>44489</v>
      </c>
      <c r="F77" s="95">
        <v>44473</v>
      </c>
      <c r="G77" s="95">
        <v>44479</v>
      </c>
      <c r="H77" s="92">
        <v>5</v>
      </c>
    </row>
    <row r="78" spans="1:8">
      <c r="A78" s="93">
        <v>2.4</v>
      </c>
      <c r="B78" s="94" t="s">
        <v>1062</v>
      </c>
      <c r="C78" s="95" t="s">
        <v>1070</v>
      </c>
      <c r="D78" s="95">
        <v>44462</v>
      </c>
      <c r="E78" s="96">
        <v>44489</v>
      </c>
      <c r="F78" s="95">
        <v>44480</v>
      </c>
      <c r="G78" s="95">
        <v>44486</v>
      </c>
      <c r="H78" s="92">
        <v>5</v>
      </c>
    </row>
    <row r="79" spans="1:8">
      <c r="A79" s="93">
        <v>2.4</v>
      </c>
      <c r="B79" s="94" t="s">
        <v>1062</v>
      </c>
      <c r="C79" s="95" t="s">
        <v>1070</v>
      </c>
      <c r="D79" s="95">
        <v>44462</v>
      </c>
      <c r="E79" s="96">
        <v>44489</v>
      </c>
      <c r="F79" s="95">
        <v>44487</v>
      </c>
      <c r="G79" s="95">
        <v>44493</v>
      </c>
      <c r="H79" s="92">
        <v>3</v>
      </c>
    </row>
    <row r="80" spans="1:8">
      <c r="A80" s="93">
        <v>2.5</v>
      </c>
      <c r="B80" s="94" t="s">
        <v>1063</v>
      </c>
      <c r="C80" s="95" t="s">
        <v>1071</v>
      </c>
      <c r="D80" s="95">
        <v>44518</v>
      </c>
      <c r="E80" s="96">
        <v>44524</v>
      </c>
      <c r="F80" s="95">
        <v>44515</v>
      </c>
      <c r="G80" s="95">
        <v>44521</v>
      </c>
      <c r="H80" s="92">
        <v>2</v>
      </c>
    </row>
    <row r="81" spans="1:8">
      <c r="A81" s="93">
        <v>2.5</v>
      </c>
      <c r="B81" s="94" t="s">
        <v>1063</v>
      </c>
      <c r="C81" s="95" t="s">
        <v>1071</v>
      </c>
      <c r="D81" s="95">
        <v>44518</v>
      </c>
      <c r="E81" s="96">
        <v>44524</v>
      </c>
      <c r="F81" s="95">
        <v>44522</v>
      </c>
      <c r="G81" s="95">
        <v>44528</v>
      </c>
      <c r="H81" s="92">
        <v>3</v>
      </c>
    </row>
    <row r="82" spans="1:8">
      <c r="A82" s="93">
        <v>3.1</v>
      </c>
      <c r="B82" s="94" t="s">
        <v>1059</v>
      </c>
      <c r="C82" s="95" t="s">
        <v>1064</v>
      </c>
      <c r="D82" s="95">
        <v>44462</v>
      </c>
      <c r="E82" s="96">
        <v>44466</v>
      </c>
      <c r="F82" s="95">
        <v>44459</v>
      </c>
      <c r="G82" s="95">
        <v>44465</v>
      </c>
      <c r="H82" s="92">
        <v>2</v>
      </c>
    </row>
    <row r="83" spans="1:8">
      <c r="A83" s="93">
        <v>3.1</v>
      </c>
      <c r="B83" s="94" t="s">
        <v>1059</v>
      </c>
      <c r="C83" s="95" t="s">
        <v>1064</v>
      </c>
      <c r="D83" s="95">
        <v>44462</v>
      </c>
      <c r="E83" s="96">
        <v>44466</v>
      </c>
      <c r="F83" s="95">
        <v>44466</v>
      </c>
      <c r="G83" s="95">
        <v>44472</v>
      </c>
      <c r="H83" s="92">
        <v>1</v>
      </c>
    </row>
    <row r="84" spans="1:8">
      <c r="A84" s="93">
        <v>3.2</v>
      </c>
      <c r="B84" s="94" t="s">
        <v>1060</v>
      </c>
      <c r="C84" s="95" t="s">
        <v>1072</v>
      </c>
      <c r="D84" s="95">
        <v>44462</v>
      </c>
      <c r="E84" s="96">
        <v>44526</v>
      </c>
      <c r="F84" s="95">
        <v>44459</v>
      </c>
      <c r="G84" s="95">
        <v>44465</v>
      </c>
      <c r="H84" s="92">
        <v>2</v>
      </c>
    </row>
    <row r="85" spans="1:8">
      <c r="A85" s="93">
        <v>3.2</v>
      </c>
      <c r="B85" s="94" t="s">
        <v>1060</v>
      </c>
      <c r="C85" s="95" t="s">
        <v>1072</v>
      </c>
      <c r="D85" s="95">
        <v>44462</v>
      </c>
      <c r="E85" s="96">
        <v>44526</v>
      </c>
      <c r="F85" s="95">
        <v>44466</v>
      </c>
      <c r="G85" s="95">
        <v>44472</v>
      </c>
      <c r="H85" s="92">
        <v>5</v>
      </c>
    </row>
    <row r="86" spans="1:8">
      <c r="A86" s="93">
        <v>3.2</v>
      </c>
      <c r="B86" s="94" t="s">
        <v>1060</v>
      </c>
      <c r="C86" s="95" t="s">
        <v>1072</v>
      </c>
      <c r="D86" s="95">
        <v>44462</v>
      </c>
      <c r="E86" s="96">
        <v>44526</v>
      </c>
      <c r="F86" s="95">
        <v>44473</v>
      </c>
      <c r="G86" s="95">
        <v>44479</v>
      </c>
      <c r="H86" s="92">
        <v>5</v>
      </c>
    </row>
    <row r="87" spans="1:8">
      <c r="A87" s="93">
        <v>3.2</v>
      </c>
      <c r="B87" s="94" t="s">
        <v>1060</v>
      </c>
      <c r="C87" s="95" t="s">
        <v>1072</v>
      </c>
      <c r="D87" s="95">
        <v>44462</v>
      </c>
      <c r="E87" s="96">
        <v>44526</v>
      </c>
      <c r="F87" s="95">
        <v>44480</v>
      </c>
      <c r="G87" s="95">
        <v>44486</v>
      </c>
      <c r="H87" s="92">
        <v>5</v>
      </c>
    </row>
    <row r="88" spans="1:8">
      <c r="A88" s="93">
        <v>3.2</v>
      </c>
      <c r="B88" s="94" t="s">
        <v>1060</v>
      </c>
      <c r="C88" s="95" t="s">
        <v>1072</v>
      </c>
      <c r="D88" s="95">
        <v>44462</v>
      </c>
      <c r="E88" s="96">
        <v>44526</v>
      </c>
      <c r="F88" s="95">
        <v>44487</v>
      </c>
      <c r="G88" s="95">
        <v>44493</v>
      </c>
      <c r="H88" s="92">
        <v>5</v>
      </c>
    </row>
    <row r="89" spans="1:8">
      <c r="A89" s="93">
        <v>3.2</v>
      </c>
      <c r="B89" s="94" t="s">
        <v>1060</v>
      </c>
      <c r="C89" s="95" t="s">
        <v>1072</v>
      </c>
      <c r="D89" s="95">
        <v>44462</v>
      </c>
      <c r="E89" s="96">
        <v>44526</v>
      </c>
      <c r="F89" s="95">
        <v>44494</v>
      </c>
      <c r="G89" s="95">
        <v>44500</v>
      </c>
      <c r="H89" s="92">
        <v>5</v>
      </c>
    </row>
    <row r="90" spans="1:8">
      <c r="A90" s="93">
        <v>3.2</v>
      </c>
      <c r="B90" s="94" t="s">
        <v>1060</v>
      </c>
      <c r="C90" s="95" t="s">
        <v>1072</v>
      </c>
      <c r="D90" s="95">
        <v>44462</v>
      </c>
      <c r="E90" s="96">
        <v>44526</v>
      </c>
      <c r="F90" s="95">
        <v>44501</v>
      </c>
      <c r="G90" s="95">
        <v>44507</v>
      </c>
      <c r="H90" s="92">
        <v>5</v>
      </c>
    </row>
    <row r="91" spans="1:8">
      <c r="A91" s="93">
        <v>3.2</v>
      </c>
      <c r="B91" s="94" t="s">
        <v>1060</v>
      </c>
      <c r="C91" s="95" t="s">
        <v>1072</v>
      </c>
      <c r="D91" s="95">
        <v>44462</v>
      </c>
      <c r="E91" s="96">
        <v>44526</v>
      </c>
      <c r="F91" s="95">
        <v>44508</v>
      </c>
      <c r="G91" s="95">
        <v>44514</v>
      </c>
      <c r="H91" s="92">
        <v>5</v>
      </c>
    </row>
    <row r="92" spans="1:8">
      <c r="A92" s="93">
        <v>3.2</v>
      </c>
      <c r="B92" s="94" t="s">
        <v>1060</v>
      </c>
      <c r="C92" s="95" t="s">
        <v>1072</v>
      </c>
      <c r="D92" s="95">
        <v>44462</v>
      </c>
      <c r="E92" s="96">
        <v>44526</v>
      </c>
      <c r="F92" s="95">
        <v>44515</v>
      </c>
      <c r="G92" s="95">
        <v>44521</v>
      </c>
      <c r="H92" s="92">
        <v>5</v>
      </c>
    </row>
    <row r="93" spans="1:8">
      <c r="A93" s="93">
        <v>3.2</v>
      </c>
      <c r="B93" s="94" t="s">
        <v>1060</v>
      </c>
      <c r="C93" s="95" t="s">
        <v>1072</v>
      </c>
      <c r="D93" s="95">
        <v>44462</v>
      </c>
      <c r="E93" s="96">
        <v>44526</v>
      </c>
      <c r="F93" s="95">
        <v>44522</v>
      </c>
      <c r="G93" s="95">
        <v>44528</v>
      </c>
      <c r="H93" s="92">
        <v>5</v>
      </c>
    </row>
    <row r="94" spans="1:8">
      <c r="A94" s="93">
        <v>3.3</v>
      </c>
      <c r="B94" s="94" t="s">
        <v>1061</v>
      </c>
      <c r="C94" s="95" t="s">
        <v>1066</v>
      </c>
      <c r="D94" s="95">
        <v>44515</v>
      </c>
      <c r="E94" s="96">
        <v>44526</v>
      </c>
      <c r="F94" s="95">
        <v>44515</v>
      </c>
      <c r="G94" s="95">
        <v>44521</v>
      </c>
      <c r="H94" s="92">
        <v>5</v>
      </c>
    </row>
    <row r="95" spans="1:8">
      <c r="A95" s="93">
        <v>3.3</v>
      </c>
      <c r="B95" s="94" t="s">
        <v>1061</v>
      </c>
      <c r="C95" s="95" t="s">
        <v>1066</v>
      </c>
      <c r="D95" s="95">
        <v>44515</v>
      </c>
      <c r="E95" s="96">
        <v>44526</v>
      </c>
      <c r="F95" s="95">
        <v>44522</v>
      </c>
      <c r="G95" s="95">
        <v>44528</v>
      </c>
      <c r="H95" s="92">
        <v>5</v>
      </c>
    </row>
    <row r="96" spans="1:8">
      <c r="A96" s="93">
        <v>3.4</v>
      </c>
      <c r="B96" s="94" t="s">
        <v>1062</v>
      </c>
      <c r="C96" s="95" t="s">
        <v>1067</v>
      </c>
      <c r="D96" s="95">
        <v>44515</v>
      </c>
      <c r="E96" s="96">
        <v>44526</v>
      </c>
      <c r="F96" s="95">
        <v>44515</v>
      </c>
      <c r="G96" s="95">
        <v>44521</v>
      </c>
      <c r="H96" s="92">
        <v>5</v>
      </c>
    </row>
    <row r="97" spans="1:8">
      <c r="A97" s="93">
        <v>3.4</v>
      </c>
      <c r="B97" s="94" t="s">
        <v>1062</v>
      </c>
      <c r="C97" s="95" t="s">
        <v>1067</v>
      </c>
      <c r="D97" s="95">
        <v>44515</v>
      </c>
      <c r="E97" s="96">
        <v>44526</v>
      </c>
      <c r="F97" s="95">
        <v>44522</v>
      </c>
      <c r="G97" s="95">
        <v>44528</v>
      </c>
      <c r="H97" s="92">
        <v>5</v>
      </c>
    </row>
    <row r="98" spans="1:8">
      <c r="A98" s="93">
        <v>3.5</v>
      </c>
      <c r="B98" s="94" t="s">
        <v>1063</v>
      </c>
      <c r="C98" s="95" t="s">
        <v>1071</v>
      </c>
      <c r="D98" s="95">
        <v>44529</v>
      </c>
      <c r="E98" s="96">
        <v>44533</v>
      </c>
      <c r="F98" s="95">
        <v>44529</v>
      </c>
      <c r="G98" s="95">
        <v>44535</v>
      </c>
      <c r="H98" s="92">
        <v>5</v>
      </c>
    </row>
    <row r="99" spans="1:8">
      <c r="A99" s="93">
        <v>4.0999999999999996</v>
      </c>
      <c r="B99" s="94" t="s">
        <v>1059</v>
      </c>
      <c r="C99" s="95" t="s">
        <v>1064</v>
      </c>
      <c r="D99" s="95">
        <v>44487</v>
      </c>
      <c r="E99" s="96">
        <v>44489</v>
      </c>
      <c r="F99" s="95">
        <v>44487</v>
      </c>
      <c r="G99" s="95">
        <v>44493</v>
      </c>
      <c r="H99" s="92">
        <v>3</v>
      </c>
    </row>
    <row r="100" spans="1:8">
      <c r="A100" s="93">
        <v>4.2</v>
      </c>
      <c r="B100" s="94" t="s">
        <v>1061</v>
      </c>
      <c r="C100" s="95" t="s">
        <v>1069</v>
      </c>
      <c r="D100" s="95">
        <v>44517</v>
      </c>
      <c r="E100" s="96">
        <v>44519</v>
      </c>
      <c r="F100" s="95">
        <v>44515</v>
      </c>
      <c r="G100" s="95">
        <v>44521</v>
      </c>
      <c r="H100" s="92">
        <v>3</v>
      </c>
    </row>
    <row r="101" spans="1:8">
      <c r="A101" s="93">
        <v>4.3</v>
      </c>
      <c r="B101" s="94" t="s">
        <v>1062</v>
      </c>
      <c r="C101" s="95" t="s">
        <v>1070</v>
      </c>
      <c r="D101" s="95">
        <v>44517</v>
      </c>
      <c r="E101" s="96">
        <v>44519</v>
      </c>
      <c r="F101" s="95">
        <v>44515</v>
      </c>
      <c r="G101" s="95">
        <v>44521</v>
      </c>
      <c r="H101" s="92">
        <v>3</v>
      </c>
    </row>
    <row r="102" spans="1:8">
      <c r="A102" s="93">
        <v>4.4000000000000004</v>
      </c>
      <c r="B102" s="94" t="s">
        <v>1063</v>
      </c>
      <c r="C102" s="95" t="s">
        <v>1071</v>
      </c>
      <c r="D102" s="95">
        <v>44522</v>
      </c>
      <c r="E102" s="96">
        <v>44523</v>
      </c>
      <c r="F102" s="95">
        <v>44522</v>
      </c>
      <c r="G102" s="95">
        <v>44528</v>
      </c>
      <c r="H102" s="92">
        <v>2</v>
      </c>
    </row>
    <row r="103" spans="1:8">
      <c r="A103" s="93">
        <v>5.0999999999999996</v>
      </c>
      <c r="B103" s="94" t="s">
        <v>1060</v>
      </c>
      <c r="C103" s="95" t="s">
        <v>1068</v>
      </c>
      <c r="D103" s="95">
        <v>44487</v>
      </c>
      <c r="E103" s="96">
        <v>44489</v>
      </c>
      <c r="F103" s="95">
        <v>44487</v>
      </c>
      <c r="G103" s="95">
        <v>44493</v>
      </c>
      <c r="H103" s="92">
        <v>3</v>
      </c>
    </row>
    <row r="104" spans="1:8">
      <c r="A104" s="93">
        <v>5.2</v>
      </c>
      <c r="B104" s="94" t="s">
        <v>1061</v>
      </c>
      <c r="C104" s="95" t="s">
        <v>1069</v>
      </c>
      <c r="D104" s="95">
        <v>44487</v>
      </c>
      <c r="E104" s="96">
        <v>44489</v>
      </c>
      <c r="F104" s="95">
        <v>44487</v>
      </c>
      <c r="G104" s="95">
        <v>44493</v>
      </c>
      <c r="H104" s="92">
        <v>3</v>
      </c>
    </row>
    <row r="105" spans="1:8">
      <c r="A105" s="93">
        <v>5.3</v>
      </c>
      <c r="B105" s="94" t="s">
        <v>1062</v>
      </c>
      <c r="C105" s="95" t="s">
        <v>1070</v>
      </c>
      <c r="D105" s="95">
        <v>44487</v>
      </c>
      <c r="E105" s="96">
        <v>44489</v>
      </c>
      <c r="F105" s="95">
        <v>44487</v>
      </c>
      <c r="G105" s="95">
        <v>44493</v>
      </c>
      <c r="H105" s="92">
        <v>3</v>
      </c>
    </row>
    <row r="106" spans="1:8">
      <c r="A106" s="93">
        <v>5.4</v>
      </c>
      <c r="B106" s="94" t="s">
        <v>1063</v>
      </c>
      <c r="C106" s="95" t="s">
        <v>1073</v>
      </c>
      <c r="D106" s="95">
        <v>44497</v>
      </c>
      <c r="E106" s="96">
        <v>44497</v>
      </c>
      <c r="F106" s="95">
        <v>44494</v>
      </c>
      <c r="G106" s="95">
        <v>44500</v>
      </c>
      <c r="H106" s="92">
        <v>1</v>
      </c>
    </row>
    <row r="107" spans="1:8">
      <c r="A107" s="93">
        <v>6.1</v>
      </c>
      <c r="B107" s="94" t="s">
        <v>1061</v>
      </c>
      <c r="C107" s="95" t="s">
        <v>1069</v>
      </c>
      <c r="D107" s="95">
        <v>44505</v>
      </c>
      <c r="E107" s="96">
        <v>44505</v>
      </c>
      <c r="F107" s="95">
        <v>44501</v>
      </c>
      <c r="G107" s="95">
        <v>44507</v>
      </c>
      <c r="H107" s="92">
        <v>1</v>
      </c>
    </row>
    <row r="108" spans="1:8">
      <c r="A108" s="93">
        <v>6.2</v>
      </c>
      <c r="B108" s="94" t="s">
        <v>1062</v>
      </c>
      <c r="C108" s="95" t="s">
        <v>1070</v>
      </c>
      <c r="D108" s="95">
        <v>44505</v>
      </c>
      <c r="E108" s="96">
        <v>44505</v>
      </c>
      <c r="F108" s="95">
        <v>44501</v>
      </c>
      <c r="G108" s="95">
        <v>44507</v>
      </c>
      <c r="H108" s="92">
        <v>1</v>
      </c>
    </row>
    <row r="109" spans="1:8">
      <c r="A109" s="93">
        <v>6.3</v>
      </c>
      <c r="B109" s="94" t="s">
        <v>1063</v>
      </c>
      <c r="C109" s="95" t="s">
        <v>1071</v>
      </c>
      <c r="D109" s="95">
        <v>44508</v>
      </c>
      <c r="E109" s="96">
        <v>44508</v>
      </c>
      <c r="F109" s="95">
        <v>44508</v>
      </c>
      <c r="G109" s="95">
        <v>44514</v>
      </c>
      <c r="H109" s="92">
        <v>1</v>
      </c>
    </row>
    <row r="110" spans="1:8">
      <c r="A110" s="93">
        <v>7.1</v>
      </c>
      <c r="B110" s="94" t="s">
        <v>1059</v>
      </c>
      <c r="C110" s="95" t="s">
        <v>1064</v>
      </c>
      <c r="D110" s="95">
        <v>44512</v>
      </c>
      <c r="E110" s="96">
        <v>44512</v>
      </c>
      <c r="F110" s="95">
        <v>44508</v>
      </c>
      <c r="G110" s="95">
        <v>44514</v>
      </c>
      <c r="H110" s="92">
        <v>1</v>
      </c>
    </row>
    <row r="111" spans="1:8">
      <c r="A111" s="93">
        <v>7.2</v>
      </c>
      <c r="B111" s="94" t="s">
        <v>1060</v>
      </c>
      <c r="C111" s="95" t="s">
        <v>1075</v>
      </c>
      <c r="D111" s="95">
        <v>44515</v>
      </c>
      <c r="E111" s="96">
        <v>44519</v>
      </c>
      <c r="F111" s="95">
        <v>44515</v>
      </c>
      <c r="G111" s="95">
        <v>44521</v>
      </c>
      <c r="H111" s="92">
        <v>5</v>
      </c>
    </row>
    <row r="112" spans="1:8">
      <c r="A112" s="93">
        <v>7.3</v>
      </c>
      <c r="B112" s="94" t="s">
        <v>1061</v>
      </c>
      <c r="C112" s="95" t="s">
        <v>1069</v>
      </c>
      <c r="D112" s="95">
        <v>44515</v>
      </c>
      <c r="E112" s="96">
        <v>44519</v>
      </c>
      <c r="F112" s="95">
        <v>44515</v>
      </c>
      <c r="G112" s="95">
        <v>44521</v>
      </c>
      <c r="H112" s="92">
        <v>5</v>
      </c>
    </row>
    <row r="113" spans="1:8">
      <c r="A113" s="93">
        <v>7.4</v>
      </c>
      <c r="B113" s="94" t="s">
        <v>1062</v>
      </c>
      <c r="C113" s="95" t="s">
        <v>1070</v>
      </c>
      <c r="D113" s="95">
        <v>44515</v>
      </c>
      <c r="E113" s="96">
        <v>44519</v>
      </c>
      <c r="F113" s="95">
        <v>44515</v>
      </c>
      <c r="G113" s="95">
        <v>44521</v>
      </c>
      <c r="H113" s="92">
        <v>5</v>
      </c>
    </row>
    <row r="114" spans="1:8">
      <c r="A114" s="93">
        <v>7.5</v>
      </c>
      <c r="B114" s="94" t="s">
        <v>1063</v>
      </c>
      <c r="C114" s="95" t="s">
        <v>1071</v>
      </c>
      <c r="D114" s="95">
        <v>44522</v>
      </c>
      <c r="E114" s="96">
        <v>44522</v>
      </c>
      <c r="F114" s="95">
        <v>44522</v>
      </c>
      <c r="G114" s="95">
        <v>44528</v>
      </c>
      <c r="H114" s="92">
        <v>1</v>
      </c>
    </row>
    <row r="115" spans="1:8">
      <c r="A115" s="93">
        <v>8.1</v>
      </c>
      <c r="B115" s="94" t="s">
        <v>1060</v>
      </c>
      <c r="C115" s="95" t="s">
        <v>1076</v>
      </c>
      <c r="D115" s="95">
        <v>44517</v>
      </c>
      <c r="E115" s="96">
        <v>44519</v>
      </c>
      <c r="F115" s="95">
        <v>44515</v>
      </c>
      <c r="G115" s="95">
        <v>44521</v>
      </c>
      <c r="H115" s="92">
        <v>3</v>
      </c>
    </row>
    <row r="116" spans="1:8">
      <c r="A116" s="93">
        <v>8.1999999999999993</v>
      </c>
      <c r="B116" s="94" t="s">
        <v>1061</v>
      </c>
      <c r="C116" s="95" t="s">
        <v>1069</v>
      </c>
      <c r="D116" s="95">
        <v>44517</v>
      </c>
      <c r="E116" s="96">
        <v>44519</v>
      </c>
      <c r="F116" s="95">
        <v>44515</v>
      </c>
      <c r="G116" s="95">
        <v>44521</v>
      </c>
      <c r="H116" s="92">
        <v>3</v>
      </c>
    </row>
    <row r="117" spans="1:8">
      <c r="A117" s="93">
        <v>8.3000000000000007</v>
      </c>
      <c r="B117" s="94" t="s">
        <v>1062</v>
      </c>
      <c r="C117" s="95" t="s">
        <v>1070</v>
      </c>
      <c r="D117" s="95">
        <v>44517</v>
      </c>
      <c r="E117" s="96">
        <v>44519</v>
      </c>
      <c r="F117" s="95">
        <v>44515</v>
      </c>
      <c r="G117" s="95">
        <v>44521</v>
      </c>
      <c r="H117" s="92">
        <v>3</v>
      </c>
    </row>
    <row r="118" spans="1:8">
      <c r="A118" s="93">
        <v>8.4</v>
      </c>
      <c r="B118" s="94" t="s">
        <v>1063</v>
      </c>
      <c r="C118" s="95" t="s">
        <v>1074</v>
      </c>
      <c r="D118" s="95">
        <v>44522</v>
      </c>
      <c r="E118" s="96">
        <v>44522</v>
      </c>
      <c r="F118" s="95">
        <v>44522</v>
      </c>
      <c r="G118" s="95">
        <v>44528</v>
      </c>
      <c r="H118" s="92">
        <v>0.5</v>
      </c>
    </row>
    <row r="119" spans="1:8">
      <c r="A119" s="93">
        <v>8.4</v>
      </c>
      <c r="B119" s="94" t="s">
        <v>1063</v>
      </c>
      <c r="C119" s="95" t="s">
        <v>1073</v>
      </c>
      <c r="D119" s="95">
        <v>44522</v>
      </c>
      <c r="E119" s="96">
        <v>44522</v>
      </c>
      <c r="F119" s="95">
        <v>44522</v>
      </c>
      <c r="G119" s="95">
        <v>44528</v>
      </c>
      <c r="H119" s="92">
        <v>0.5</v>
      </c>
    </row>
    <row r="120" spans="1:8">
      <c r="A120" s="93">
        <v>9.1</v>
      </c>
      <c r="B120" s="94" t="s">
        <v>1060</v>
      </c>
      <c r="C120" s="95" t="s">
        <v>1076</v>
      </c>
      <c r="D120" s="95">
        <v>44439</v>
      </c>
      <c r="E120" s="96">
        <v>44449</v>
      </c>
      <c r="F120" s="95">
        <v>44438</v>
      </c>
      <c r="G120" s="95">
        <v>44444</v>
      </c>
      <c r="H120" s="92">
        <v>4</v>
      </c>
    </row>
    <row r="121" spans="1:8">
      <c r="A121" s="93">
        <v>9.1</v>
      </c>
      <c r="B121" s="94" t="s">
        <v>1060</v>
      </c>
      <c r="C121" s="95" t="s">
        <v>1076</v>
      </c>
      <c r="D121" s="95">
        <v>44439</v>
      </c>
      <c r="E121" s="96">
        <v>44449</v>
      </c>
      <c r="F121" s="95">
        <v>44445</v>
      </c>
      <c r="G121" s="95">
        <v>44451</v>
      </c>
      <c r="H121" s="92">
        <v>5</v>
      </c>
    </row>
    <row r="122" spans="1:8">
      <c r="A122" s="93">
        <v>9.1999999999999993</v>
      </c>
      <c r="B122" s="94" t="s">
        <v>1061</v>
      </c>
      <c r="C122" s="95" t="s">
        <v>1069</v>
      </c>
      <c r="D122" s="95">
        <v>44439</v>
      </c>
      <c r="E122" s="96">
        <v>44449</v>
      </c>
      <c r="F122" s="95">
        <v>44438</v>
      </c>
      <c r="G122" s="95">
        <v>44444</v>
      </c>
      <c r="H122" s="92">
        <v>4</v>
      </c>
    </row>
    <row r="123" spans="1:8">
      <c r="A123" s="93">
        <v>9.1999999999999993</v>
      </c>
      <c r="B123" s="94" t="s">
        <v>1061</v>
      </c>
      <c r="C123" s="95" t="s">
        <v>1069</v>
      </c>
      <c r="D123" s="95">
        <v>44439</v>
      </c>
      <c r="E123" s="96">
        <v>44449</v>
      </c>
      <c r="F123" s="95">
        <v>44445</v>
      </c>
      <c r="G123" s="95">
        <v>44451</v>
      </c>
      <c r="H123" s="92">
        <v>5</v>
      </c>
    </row>
    <row r="124" spans="1:8">
      <c r="A124" s="93">
        <v>9.3000000000000007</v>
      </c>
      <c r="B124" s="94" t="s">
        <v>1062</v>
      </c>
      <c r="C124" s="95" t="s">
        <v>1070</v>
      </c>
      <c r="D124" s="95">
        <v>44439</v>
      </c>
      <c r="E124" s="96">
        <v>44449</v>
      </c>
      <c r="F124" s="95">
        <v>44438</v>
      </c>
      <c r="G124" s="95">
        <v>44444</v>
      </c>
      <c r="H124" s="92">
        <v>4</v>
      </c>
    </row>
    <row r="125" spans="1:8">
      <c r="A125" s="93">
        <v>9.3000000000000007</v>
      </c>
      <c r="B125" s="94" t="s">
        <v>1062</v>
      </c>
      <c r="C125" s="95" t="s">
        <v>1070</v>
      </c>
      <c r="D125" s="95">
        <v>44439</v>
      </c>
      <c r="E125" s="96">
        <v>44449</v>
      </c>
      <c r="F125" s="95">
        <v>44445</v>
      </c>
      <c r="G125" s="95">
        <v>44451</v>
      </c>
      <c r="H125" s="92">
        <v>5</v>
      </c>
    </row>
    <row r="126" spans="1:8">
      <c r="G126" s="92" t="s">
        <v>3</v>
      </c>
      <c r="H126" s="92">
        <f>SUM(H2:H125)</f>
        <v>511.00000000000006</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DH376"/>
  <sheetViews>
    <sheetView tabSelected="1" zoomScale="130" zoomScaleNormal="130" zoomScalePageLayoutView="55" workbookViewId="0">
      <pane ySplit="4" topLeftCell="A52" activePane="bottomLeft" state="frozen"/>
      <selection activeCell="E5" sqref="E5"/>
      <selection pane="bottomLeft" activeCell="D5" sqref="D5"/>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12" width="1.8984375" style="114" customWidth="1"/>
    <col min="113" max="16384" width="10" style="114"/>
  </cols>
  <sheetData>
    <row r="1" spans="1:112"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2022-01-17~2022-04-05 [계획:2.37% 실적:0.00%]</v>
      </c>
      <c r="AC1" s="244" t="s">
        <v>1095</v>
      </c>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row>
    <row r="2" spans="1:112" s="158" customFormat="1" ht="15" customHeight="1">
      <c r="A2" s="159"/>
      <c r="B2" s="159"/>
      <c r="C2" s="160"/>
      <c r="D2" s="231"/>
      <c r="E2" s="231"/>
      <c r="F2" s="231"/>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1096</v>
      </c>
    </row>
    <row r="3" spans="1:112" s="1" customFormat="1" ht="19.95" customHeight="1">
      <c r="A3" s="235" t="s">
        <v>1049</v>
      </c>
      <c r="B3" s="232" t="s">
        <v>1050</v>
      </c>
      <c r="C3" s="238" t="s">
        <v>1039</v>
      </c>
      <c r="D3" s="239" t="s">
        <v>1024</v>
      </c>
      <c r="E3" s="240" t="s">
        <v>1025</v>
      </c>
      <c r="F3" s="241"/>
      <c r="G3" s="241"/>
      <c r="H3" s="241"/>
      <c r="I3" s="241"/>
      <c r="J3" s="241"/>
      <c r="K3" s="242"/>
      <c r="L3" s="226" t="s">
        <v>1022</v>
      </c>
      <c r="M3" s="226" t="s">
        <v>1033</v>
      </c>
      <c r="N3" s="226" t="s">
        <v>1026</v>
      </c>
      <c r="O3" s="233" t="s">
        <v>1051</v>
      </c>
      <c r="P3" s="234" t="s">
        <v>1052</v>
      </c>
      <c r="Q3" s="234" t="s">
        <v>1053</v>
      </c>
      <c r="R3" s="234" t="s">
        <v>1034</v>
      </c>
      <c r="S3" s="234" t="s">
        <v>1054</v>
      </c>
      <c r="T3" s="225" t="s">
        <v>1055</v>
      </c>
      <c r="U3" s="225" t="s">
        <v>1023</v>
      </c>
      <c r="V3" s="227" t="s">
        <v>1056</v>
      </c>
      <c r="W3" s="228" t="s">
        <v>1027</v>
      </c>
      <c r="X3" s="229" t="s">
        <v>1015</v>
      </c>
      <c r="Y3" s="226" t="s">
        <v>1038</v>
      </c>
      <c r="Z3" s="232" t="s">
        <v>1031</v>
      </c>
      <c r="AA3" s="230" t="s">
        <v>1035</v>
      </c>
      <c r="AB3" s="224" t="s">
        <v>1019</v>
      </c>
      <c r="AC3" s="245">
        <v>44578</v>
      </c>
      <c r="AD3" s="243"/>
      <c r="AE3" s="243"/>
      <c r="AF3" s="243"/>
      <c r="AG3" s="243">
        <v>44606</v>
      </c>
      <c r="AH3" s="243"/>
      <c r="AI3" s="243"/>
      <c r="AJ3" s="243"/>
      <c r="AK3" s="243">
        <v>44634</v>
      </c>
      <c r="AL3" s="243"/>
      <c r="AM3" s="243"/>
      <c r="AN3" s="246"/>
    </row>
    <row r="4" spans="1:112" s="2" customFormat="1" ht="4.95" customHeight="1">
      <c r="A4" s="236"/>
      <c r="B4" s="237"/>
      <c r="C4" s="235"/>
      <c r="D4" s="239"/>
      <c r="E4" s="240"/>
      <c r="F4" s="241"/>
      <c r="G4" s="241"/>
      <c r="H4" s="241"/>
      <c r="I4" s="241"/>
      <c r="J4" s="241"/>
      <c r="K4" s="242"/>
      <c r="L4" s="226"/>
      <c r="M4" s="226"/>
      <c r="N4" s="226"/>
      <c r="O4" s="233"/>
      <c r="P4" s="234"/>
      <c r="Q4" s="234"/>
      <c r="R4" s="234"/>
      <c r="S4" s="234"/>
      <c r="T4" s="226"/>
      <c r="U4" s="226"/>
      <c r="V4" s="227"/>
      <c r="W4" s="228"/>
      <c r="X4" s="229"/>
      <c r="Y4" s="226"/>
      <c r="Z4" s="232"/>
      <c r="AA4" s="230"/>
      <c r="AB4" s="224"/>
      <c r="AC4" s="112">
        <v>44578</v>
      </c>
      <c r="AD4" s="113">
        <v>44585</v>
      </c>
      <c r="AE4" s="113">
        <v>44592</v>
      </c>
      <c r="AF4" s="113">
        <v>44599</v>
      </c>
      <c r="AG4" s="113">
        <v>44606</v>
      </c>
      <c r="AH4" s="113">
        <v>44613</v>
      </c>
      <c r="AI4" s="113">
        <v>44620</v>
      </c>
      <c r="AJ4" s="113">
        <v>44627</v>
      </c>
      <c r="AK4" s="113">
        <v>44634</v>
      </c>
      <c r="AL4" s="113">
        <v>44641</v>
      </c>
      <c r="AM4" s="113">
        <v>44648</v>
      </c>
      <c r="AN4" s="115">
        <v>44655</v>
      </c>
      <c r="AO4" s="121"/>
      <c r="AP4" s="122"/>
      <c r="AQ4" s="122"/>
      <c r="AR4" s="122"/>
      <c r="AS4" s="122"/>
      <c r="AT4" s="122"/>
      <c r="AU4" s="122"/>
      <c r="AV4" s="122"/>
      <c r="AW4" s="122"/>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row>
    <row r="5" spans="1:112">
      <c r="A5" s="116"/>
      <c r="B5" s="116" t="s">
        <v>983</v>
      </c>
      <c r="C5" s="116">
        <v>1</v>
      </c>
      <c r="D5" s="3" t="s">
        <v>1130</v>
      </c>
      <c r="E5" s="222" t="s">
        <v>1158</v>
      </c>
      <c r="F5" s="183"/>
      <c r="G5" s="183"/>
      <c r="H5" s="183"/>
      <c r="I5" s="183"/>
      <c r="J5" s="183"/>
      <c r="K5" s="183"/>
      <c r="L5" s="183"/>
      <c r="M5" s="184">
        <v>44578</v>
      </c>
      <c r="N5" s="184">
        <v>44589</v>
      </c>
      <c r="O5" s="185"/>
      <c r="P5" s="186">
        <v>10</v>
      </c>
      <c r="Q5" s="186">
        <v>4</v>
      </c>
      <c r="R5" s="187">
        <v>10</v>
      </c>
      <c r="S5" s="187">
        <v>4</v>
      </c>
      <c r="T5" s="184"/>
      <c r="U5" s="184"/>
      <c r="V5" s="188">
        <v>0</v>
      </c>
      <c r="W5" s="189">
        <v>0</v>
      </c>
      <c r="X5" s="190"/>
      <c r="Y5" s="185"/>
      <c r="Z5" s="191"/>
      <c r="AA5" s="97">
        <v>0.4</v>
      </c>
      <c r="AB5" s="192">
        <v>0</v>
      </c>
      <c r="AC5" s="123" t="str">
        <f>"" &amp; TEXT(AB5,"#0.00%") &amp; " " &amp; "분석 및 설계" &amp; " " &amp; IF(M5="","",TEXT(M5,"M/D-")) &amp; IF(N5="","",TEXT(N5,"M/D")) &amp; " "</f>
        <v xml:space="preserve">0.00% 분석 및 설계 1/17-1/28 </v>
      </c>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row>
    <row r="6" spans="1:112" ht="13.2" outlineLevel="1">
      <c r="A6" s="116"/>
      <c r="B6" s="116"/>
      <c r="C6" s="116">
        <v>2</v>
      </c>
      <c r="D6" s="3" t="s">
        <v>1131</v>
      </c>
      <c r="E6" s="222"/>
      <c r="F6" s="256" t="s">
        <v>1159</v>
      </c>
      <c r="G6" s="183"/>
      <c r="H6" s="183"/>
      <c r="I6" s="183"/>
      <c r="J6" s="183"/>
      <c r="K6" s="183"/>
      <c r="L6" s="183"/>
      <c r="M6" s="184">
        <v>44578</v>
      </c>
      <c r="N6" s="184">
        <v>44582</v>
      </c>
      <c r="O6" s="185"/>
      <c r="P6" s="186">
        <v>5</v>
      </c>
      <c r="Q6" s="186">
        <v>4</v>
      </c>
      <c r="R6" s="187">
        <v>5</v>
      </c>
      <c r="S6" s="187">
        <v>4</v>
      </c>
      <c r="T6" s="184"/>
      <c r="U6" s="184"/>
      <c r="V6" s="188"/>
      <c r="W6" s="189">
        <v>0</v>
      </c>
      <c r="X6" s="190">
        <v>1</v>
      </c>
      <c r="Y6" s="185"/>
      <c r="Z6" s="191"/>
      <c r="AA6" s="97">
        <v>0.8</v>
      </c>
      <c r="AB6" s="192">
        <v>0</v>
      </c>
      <c r="AC6" s="123" t="str">
        <f>"" &amp; TEXT(AB6,"#0.00%") &amp; " " &amp; "제로페이 업무분석" &amp; " " &amp; IF(M6="","",TEXT(M6,"M/D-")) &amp; IF(N6="","",TEXT(N6,"M/D")) &amp; " "</f>
        <v xml:space="preserve">0.00% 제로페이 업무분석 1/17-1/21 </v>
      </c>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row>
    <row r="7" spans="1:112" ht="13.2" outlineLevel="1">
      <c r="A7" s="116"/>
      <c r="B7" s="116"/>
      <c r="C7" s="116">
        <v>2</v>
      </c>
      <c r="D7" s="3" t="s">
        <v>1132</v>
      </c>
      <c r="E7" s="222"/>
      <c r="F7" s="256" t="s">
        <v>1160</v>
      </c>
      <c r="G7" s="183"/>
      <c r="H7" s="183"/>
      <c r="I7" s="183"/>
      <c r="J7" s="183"/>
      <c r="K7" s="183"/>
      <c r="L7" s="183"/>
      <c r="M7" s="184">
        <v>44585</v>
      </c>
      <c r="N7" s="184">
        <v>44589</v>
      </c>
      <c r="O7" s="185"/>
      <c r="P7" s="186">
        <v>5</v>
      </c>
      <c r="Q7" s="186">
        <v>0</v>
      </c>
      <c r="R7" s="187">
        <v>5</v>
      </c>
      <c r="S7" s="187">
        <v>0</v>
      </c>
      <c r="T7" s="184"/>
      <c r="U7" s="184"/>
      <c r="V7" s="188"/>
      <c r="W7" s="189">
        <v>0</v>
      </c>
      <c r="X7" s="190">
        <v>1</v>
      </c>
      <c r="Y7" s="185"/>
      <c r="Z7" s="191"/>
      <c r="AA7" s="97">
        <v>0</v>
      </c>
      <c r="AB7" s="192">
        <v>0</v>
      </c>
      <c r="AC7" s="123"/>
      <c r="AD7" s="4" t="str">
        <f>"" &amp; TEXT(AB7,"#0.00%") &amp; " " &amp; "요구사항 정의서" &amp; " " &amp; IF(M7="","",TEXT(M7,"M/D-")) &amp; IF(N7="","",TEXT(N7,"M/D")) &amp; " "</f>
        <v xml:space="preserve">0.00% 요구사항 정의서 1/24-1/28 </v>
      </c>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row>
    <row r="8" spans="1:112" outlineLevel="1">
      <c r="A8" s="116"/>
      <c r="B8" s="116"/>
      <c r="C8" s="116">
        <v>0</v>
      </c>
      <c r="D8" s="3"/>
      <c r="E8" s="183"/>
      <c r="F8" s="183"/>
      <c r="G8" s="183"/>
      <c r="H8" s="183"/>
      <c r="I8" s="183"/>
      <c r="J8" s="183"/>
      <c r="K8" s="183"/>
      <c r="L8" s="183"/>
      <c r="M8" s="184"/>
      <c r="N8" s="184"/>
      <c r="O8" s="185"/>
      <c r="P8" s="186"/>
      <c r="Q8" s="186"/>
      <c r="R8" s="187">
        <v>0</v>
      </c>
      <c r="S8" s="187">
        <v>0</v>
      </c>
      <c r="T8" s="184"/>
      <c r="U8" s="184"/>
      <c r="V8" s="188"/>
      <c r="W8" s="189">
        <v>0</v>
      </c>
      <c r="X8" s="190"/>
      <c r="Y8" s="185"/>
      <c r="Z8" s="191"/>
      <c r="AA8" s="97"/>
      <c r="AB8" s="192"/>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row>
    <row r="9" spans="1:112">
      <c r="A9" s="116"/>
      <c r="B9" s="116" t="s">
        <v>983</v>
      </c>
      <c r="C9" s="116">
        <v>1</v>
      </c>
      <c r="D9" s="3" t="s">
        <v>1133</v>
      </c>
      <c r="E9" s="222" t="s">
        <v>1097</v>
      </c>
      <c r="F9" s="183"/>
      <c r="G9" s="183"/>
      <c r="H9" s="183"/>
      <c r="I9" s="183"/>
      <c r="J9" s="183"/>
      <c r="K9" s="183"/>
      <c r="L9" s="183"/>
      <c r="M9" s="184">
        <v>44599</v>
      </c>
      <c r="N9" s="184">
        <v>44642</v>
      </c>
      <c r="O9" s="185"/>
      <c r="P9" s="186">
        <v>56</v>
      </c>
      <c r="Q9" s="186">
        <v>0</v>
      </c>
      <c r="R9" s="187">
        <v>32</v>
      </c>
      <c r="S9" s="187">
        <v>0</v>
      </c>
      <c r="T9" s="184"/>
      <c r="U9" s="184"/>
      <c r="V9" s="188">
        <v>0</v>
      </c>
      <c r="W9" s="189">
        <v>0</v>
      </c>
      <c r="X9" s="190"/>
      <c r="Y9" s="185"/>
      <c r="Z9" s="191"/>
      <c r="AA9" s="97">
        <v>0</v>
      </c>
      <c r="AB9" s="192">
        <v>0</v>
      </c>
      <c r="AC9" s="123"/>
      <c r="AD9" s="4"/>
      <c r="AE9" s="4"/>
      <c r="AF9" s="4" t="str">
        <f>"" &amp; TEXT(AB9,"#0.00%") &amp; " "</f>
        <v xml:space="preserve">0.00% </v>
      </c>
      <c r="AG9" s="4"/>
      <c r="AH9" s="4"/>
      <c r="AI9" s="4"/>
      <c r="AJ9" s="4"/>
      <c r="AK9" s="4"/>
      <c r="AL9" s="4" t="str">
        <f>"  " &amp; "전문처리" &amp; " " &amp; IF(M9="","",TEXT(M9,"M/D-")) &amp; IF(N9="","",TEXT(N9,"M/D")) &amp; " "</f>
        <v xml:space="preserve">  전문처리 2/7-3/22 </v>
      </c>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row>
    <row r="10" spans="1:112" ht="13.2" outlineLevel="1">
      <c r="A10" s="116"/>
      <c r="B10" s="116"/>
      <c r="C10" s="116">
        <v>2</v>
      </c>
      <c r="D10" s="3" t="s">
        <v>1134</v>
      </c>
      <c r="E10" s="222"/>
      <c r="F10" s="256" t="s">
        <v>1085</v>
      </c>
      <c r="G10" s="183"/>
      <c r="H10" s="183"/>
      <c r="I10" s="183"/>
      <c r="J10" s="183"/>
      <c r="K10" s="183"/>
      <c r="L10" s="183"/>
      <c r="M10" s="184">
        <v>44599</v>
      </c>
      <c r="N10" s="184">
        <v>44603</v>
      </c>
      <c r="O10" s="185"/>
      <c r="P10" s="186">
        <v>5</v>
      </c>
      <c r="Q10" s="186">
        <v>0</v>
      </c>
      <c r="R10" s="187">
        <v>5</v>
      </c>
      <c r="S10" s="187">
        <v>0</v>
      </c>
      <c r="T10" s="184"/>
      <c r="U10" s="184"/>
      <c r="V10" s="188"/>
      <c r="W10" s="189">
        <v>0</v>
      </c>
      <c r="X10" s="190">
        <v>1</v>
      </c>
      <c r="Y10" s="185"/>
      <c r="Z10" s="191"/>
      <c r="AA10" s="97">
        <v>0</v>
      </c>
      <c r="AB10" s="192">
        <v>0</v>
      </c>
      <c r="AC10" s="123"/>
      <c r="AD10" s="4"/>
      <c r="AE10" s="4"/>
      <c r="AF10" s="4" t="str">
        <f>"" &amp; TEXT(AB10,"#0.00%") &amp; " " &amp; "소켓생성및 접속" &amp; " " &amp; IF(M10="","",TEXT(M10,"M/D-")) &amp; IF(N10="","",TEXT(N10,"M/D")) &amp; " "</f>
        <v xml:space="preserve">0.00% 소켓생성및 접속 2/7-2/11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row>
    <row r="11" spans="1:112" ht="13.2" outlineLevel="1">
      <c r="A11" s="116"/>
      <c r="B11" s="116"/>
      <c r="C11" s="116">
        <v>2</v>
      </c>
      <c r="D11" s="3" t="s">
        <v>1135</v>
      </c>
      <c r="E11" s="222"/>
      <c r="F11" s="256" t="s">
        <v>1087</v>
      </c>
      <c r="G11" s="183"/>
      <c r="H11" s="183"/>
      <c r="I11" s="183"/>
      <c r="J11" s="183"/>
      <c r="K11" s="183"/>
      <c r="L11" s="183"/>
      <c r="M11" s="184">
        <v>44606</v>
      </c>
      <c r="N11" s="184">
        <v>44606</v>
      </c>
      <c r="O11" s="185"/>
      <c r="P11" s="186">
        <v>1</v>
      </c>
      <c r="Q11" s="186">
        <v>0</v>
      </c>
      <c r="R11" s="187">
        <v>1</v>
      </c>
      <c r="S11" s="187">
        <v>0</v>
      </c>
      <c r="T11" s="184"/>
      <c r="U11" s="184"/>
      <c r="V11" s="188"/>
      <c r="W11" s="189">
        <v>0</v>
      </c>
      <c r="X11" s="190">
        <v>1</v>
      </c>
      <c r="Y11" s="185"/>
      <c r="Z11" s="191"/>
      <c r="AA11" s="97">
        <v>0</v>
      </c>
      <c r="AB11" s="192">
        <v>0</v>
      </c>
      <c r="AC11" s="123"/>
      <c r="AD11" s="4"/>
      <c r="AE11" s="4"/>
      <c r="AF11" s="4"/>
      <c r="AG11" s="4" t="str">
        <f>"" &amp; TEXT(AB11,"#0.00%") &amp; " " &amp; "TESTCALL" &amp; " " &amp; IF(M11="","",TEXT(M11,"M/D-")) &amp; IF(N11="","",TEXT(N11,"M/D")) &amp; " "</f>
        <v xml:space="preserve">0.00% TESTCALL 2/14-2/14 </v>
      </c>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row>
    <row r="12" spans="1:112" outlineLevel="1">
      <c r="A12" s="116"/>
      <c r="B12" s="116"/>
      <c r="C12" s="116">
        <v>2</v>
      </c>
      <c r="D12" s="3" t="s">
        <v>1136</v>
      </c>
      <c r="E12" s="210"/>
      <c r="F12" s="222" t="s">
        <v>1098</v>
      </c>
      <c r="G12" s="183"/>
      <c r="H12" s="183"/>
      <c r="I12" s="183"/>
      <c r="J12" s="183"/>
      <c r="K12" s="183"/>
      <c r="L12" s="183"/>
      <c r="M12" s="184">
        <v>44607</v>
      </c>
      <c r="N12" s="184">
        <v>44608</v>
      </c>
      <c r="O12" s="185"/>
      <c r="P12" s="186">
        <v>2</v>
      </c>
      <c r="Q12" s="186">
        <v>0</v>
      </c>
      <c r="R12" s="187">
        <v>2</v>
      </c>
      <c r="S12" s="187">
        <v>0</v>
      </c>
      <c r="T12" s="184"/>
      <c r="U12" s="184"/>
      <c r="V12" s="188"/>
      <c r="W12" s="189">
        <v>0</v>
      </c>
      <c r="X12" s="190">
        <v>1</v>
      </c>
      <c r="Y12" s="185"/>
      <c r="Z12" s="191"/>
      <c r="AA12" s="97">
        <v>0</v>
      </c>
      <c r="AB12" s="192">
        <v>0</v>
      </c>
      <c r="AC12" s="123"/>
      <c r="AD12" s="4"/>
      <c r="AE12" s="4"/>
      <c r="AF12" s="4"/>
      <c r="AG12" s="4" t="str">
        <f>" " &amp; TEXT(AB12,"#0.00%") &amp; " " &amp; "공통정보부" &amp; " " &amp; IF(M12="","",TEXT(M12,"M/D-")) &amp; IF(N12="","",TEXT(N12,"M/D")) &amp; " "</f>
        <v xml:space="preserve"> 0.00% 공통정보부 2/15-2/16 </v>
      </c>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row>
    <row r="13" spans="1:112" outlineLevel="1">
      <c r="A13" s="116"/>
      <c r="B13" s="116"/>
      <c r="C13" s="116">
        <v>2</v>
      </c>
      <c r="D13" s="3" t="s">
        <v>1137</v>
      </c>
      <c r="E13" s="183"/>
      <c r="F13" s="223" t="s">
        <v>1099</v>
      </c>
      <c r="G13" s="183"/>
      <c r="H13" s="183"/>
      <c r="I13" s="183"/>
      <c r="J13" s="183"/>
      <c r="K13" s="183"/>
      <c r="L13" s="183"/>
      <c r="M13" s="184">
        <v>44609</v>
      </c>
      <c r="N13" s="184">
        <v>44610</v>
      </c>
      <c r="O13" s="185"/>
      <c r="P13" s="186">
        <v>2</v>
      </c>
      <c r="Q13" s="186">
        <v>0</v>
      </c>
      <c r="R13" s="187">
        <v>2</v>
      </c>
      <c r="S13" s="187">
        <v>0</v>
      </c>
      <c r="T13" s="184"/>
      <c r="U13" s="184"/>
      <c r="V13" s="188"/>
      <c r="W13" s="189">
        <v>0</v>
      </c>
      <c r="X13" s="190">
        <v>1</v>
      </c>
      <c r="Y13" s="185"/>
      <c r="Z13" s="191"/>
      <c r="AA13" s="97">
        <v>0</v>
      </c>
      <c r="AB13" s="192">
        <v>0</v>
      </c>
      <c r="AC13" s="123"/>
      <c r="AD13" s="4"/>
      <c r="AE13" s="4"/>
      <c r="AF13" s="4"/>
      <c r="AG13" s="4" t="str">
        <f>"   " &amp; TEXT(AB13,"#0.00%") &amp; " " &amp; "업무공통부" &amp; " " &amp; IF(M13="","",TEXT(M13,"M/D-")) &amp; IF(N13="","",TEXT(N13,"M/D")) &amp; " "</f>
        <v xml:space="preserve">   0.00% 업무공통부 2/17-2/18 </v>
      </c>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row>
    <row r="14" spans="1:112" outlineLevel="1">
      <c r="A14" s="116"/>
      <c r="B14" s="116"/>
      <c r="C14" s="116">
        <v>2</v>
      </c>
      <c r="D14" s="3" t="s">
        <v>1138</v>
      </c>
      <c r="E14" s="183"/>
      <c r="F14" s="183" t="s">
        <v>1100</v>
      </c>
      <c r="G14" s="183"/>
      <c r="H14" s="183"/>
      <c r="I14" s="183"/>
      <c r="J14" s="183"/>
      <c r="K14" s="183"/>
      <c r="L14" s="183"/>
      <c r="M14" s="184">
        <v>44613</v>
      </c>
      <c r="N14" s="184">
        <v>44614</v>
      </c>
      <c r="O14" s="185"/>
      <c r="P14" s="186">
        <v>2</v>
      </c>
      <c r="Q14" s="186">
        <v>0</v>
      </c>
      <c r="R14" s="187">
        <v>2</v>
      </c>
      <c r="S14" s="187">
        <v>0</v>
      </c>
      <c r="T14" s="184"/>
      <c r="U14" s="184"/>
      <c r="V14" s="188"/>
      <c r="W14" s="189">
        <v>0</v>
      </c>
      <c r="X14" s="190">
        <v>1</v>
      </c>
      <c r="Y14" s="185"/>
      <c r="Z14" s="191"/>
      <c r="AA14" s="97">
        <v>0</v>
      </c>
      <c r="AB14" s="192">
        <v>0</v>
      </c>
      <c r="AC14" s="123"/>
      <c r="AD14" s="4"/>
      <c r="AE14" s="4"/>
      <c r="AF14" s="4"/>
      <c r="AG14" s="4"/>
      <c r="AH14" s="4" t="str">
        <f>"" &amp; TEXT(AB14,"#0.00%") &amp; " " &amp; "CPM 결제/결제취소" &amp; " " &amp; IF(M14="","",TEXT(M14,"M/D-")) &amp; IF(N14="","",TEXT(N14,"M/D")) &amp; " "</f>
        <v xml:space="preserve">0.00% CPM 결제/결제취소 2/21-2/22 </v>
      </c>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row>
    <row r="15" spans="1:112" outlineLevel="1">
      <c r="A15" s="116"/>
      <c r="B15" s="116"/>
      <c r="C15" s="116">
        <v>2</v>
      </c>
      <c r="D15" s="3" t="s">
        <v>1139</v>
      </c>
      <c r="E15" s="183"/>
      <c r="F15" s="222" t="s">
        <v>1101</v>
      </c>
      <c r="G15" s="183"/>
      <c r="H15" s="183"/>
      <c r="I15" s="183"/>
      <c r="J15" s="183"/>
      <c r="K15" s="183"/>
      <c r="L15" s="183"/>
      <c r="M15" s="184">
        <v>44615</v>
      </c>
      <c r="N15" s="184">
        <v>44616</v>
      </c>
      <c r="O15" s="185"/>
      <c r="P15" s="186">
        <v>2</v>
      </c>
      <c r="Q15" s="186">
        <v>0</v>
      </c>
      <c r="R15" s="187">
        <v>2</v>
      </c>
      <c r="S15" s="187">
        <v>0</v>
      </c>
      <c r="T15" s="184"/>
      <c r="U15" s="184"/>
      <c r="V15" s="188"/>
      <c r="W15" s="189">
        <v>0</v>
      </c>
      <c r="X15" s="190">
        <v>1</v>
      </c>
      <c r="Y15" s="185"/>
      <c r="Z15" s="191"/>
      <c r="AA15" s="97">
        <v>0</v>
      </c>
      <c r="AB15" s="192">
        <v>0</v>
      </c>
      <c r="AC15" s="123"/>
      <c r="AD15" s="4"/>
      <c r="AE15" s="4"/>
      <c r="AF15" s="4"/>
      <c r="AG15" s="4"/>
      <c r="AH15" s="4" t="str">
        <f>"  " &amp; TEXT(AB15,"#0.00%") &amp; " " &amp; "환불" &amp; " " &amp; IF(M15="","",TEXT(M15,"M/D-")) &amp; IF(N15="","",TEXT(N15,"M/D")) &amp; " "</f>
        <v xml:space="preserve">  0.00% 환불 2/23-2/24 </v>
      </c>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row>
    <row r="16" spans="1:112" outlineLevel="1">
      <c r="A16" s="116"/>
      <c r="B16" s="116"/>
      <c r="C16" s="116">
        <v>2</v>
      </c>
      <c r="D16" s="3" t="s">
        <v>1140</v>
      </c>
      <c r="E16" s="183"/>
      <c r="F16" s="223" t="s">
        <v>1102</v>
      </c>
      <c r="G16" s="183"/>
      <c r="H16" s="183"/>
      <c r="I16" s="183"/>
      <c r="J16" s="183"/>
      <c r="K16" s="183"/>
      <c r="L16" s="183"/>
      <c r="M16" s="184">
        <v>44617</v>
      </c>
      <c r="N16" s="184">
        <v>44620</v>
      </c>
      <c r="O16" s="185"/>
      <c r="P16" s="186">
        <v>2</v>
      </c>
      <c r="Q16" s="186">
        <v>0</v>
      </c>
      <c r="R16" s="187">
        <v>2</v>
      </c>
      <c r="S16" s="187">
        <v>0</v>
      </c>
      <c r="T16" s="184"/>
      <c r="U16" s="184"/>
      <c r="V16" s="188"/>
      <c r="W16" s="189">
        <v>0</v>
      </c>
      <c r="X16" s="190">
        <v>1</v>
      </c>
      <c r="Y16" s="185"/>
      <c r="Z16" s="191"/>
      <c r="AA16" s="97">
        <v>0</v>
      </c>
      <c r="AB16" s="192">
        <v>0</v>
      </c>
      <c r="AC16" s="123"/>
      <c r="AD16" s="4"/>
      <c r="AE16" s="4"/>
      <c r="AF16" s="4"/>
      <c r="AG16" s="4"/>
      <c r="AH16" s="4" t="str">
        <f>"    " &amp; TEXT(AB16,"#0.00%") &amp; " " &amp; "고정형MPM 결제결과 등록" &amp; " " &amp; IF(M16="","",TEXT(M16,"M/D-")) &amp; IF(N16="","",TEXT(N16,"M/D")) &amp; " "</f>
        <v xml:space="preserve">    0.00% 고정형MPM 결제결과 등록 2/25-2/28 </v>
      </c>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row>
    <row r="17" spans="1:112" outlineLevel="1">
      <c r="A17" s="116"/>
      <c r="B17" s="116"/>
      <c r="C17" s="116">
        <v>2</v>
      </c>
      <c r="D17" s="3" t="s">
        <v>1141</v>
      </c>
      <c r="E17" s="183"/>
      <c r="F17" s="223" t="s">
        <v>1103</v>
      </c>
      <c r="G17" s="183"/>
      <c r="H17" s="183"/>
      <c r="I17" s="183"/>
      <c r="J17" s="183"/>
      <c r="K17" s="183"/>
      <c r="L17" s="183"/>
      <c r="M17" s="184">
        <v>44622</v>
      </c>
      <c r="N17" s="184">
        <v>44623</v>
      </c>
      <c r="O17" s="185"/>
      <c r="P17" s="186">
        <v>2</v>
      </c>
      <c r="Q17" s="186">
        <v>0</v>
      </c>
      <c r="R17" s="187">
        <v>2</v>
      </c>
      <c r="S17" s="187">
        <v>0</v>
      </c>
      <c r="T17" s="184"/>
      <c r="U17" s="184"/>
      <c r="V17" s="188"/>
      <c r="W17" s="189">
        <v>0</v>
      </c>
      <c r="X17" s="190">
        <v>1</v>
      </c>
      <c r="Y17" s="185"/>
      <c r="Z17" s="191"/>
      <c r="AA17" s="97">
        <v>0</v>
      </c>
      <c r="AB17" s="192">
        <v>0</v>
      </c>
      <c r="AC17" s="123"/>
      <c r="AD17" s="4"/>
      <c r="AE17" s="4"/>
      <c r="AF17" s="4"/>
      <c r="AG17" s="4"/>
      <c r="AH17" s="4"/>
      <c r="AI17" s="4" t="str">
        <f>"  " &amp; TEXT(AB17,"#0.00%") &amp; " " &amp; "처리결과 조회" &amp; " " &amp; IF(M17="","",TEXT(M17,"M/D-")) &amp; IF(N17="","",TEXT(N17,"M/D")) &amp; " "</f>
        <v xml:space="preserve">  0.00% 처리결과 조회 3/2-3/3 </v>
      </c>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row>
    <row r="18" spans="1:112" outlineLevel="1">
      <c r="A18" s="116"/>
      <c r="B18" s="116"/>
      <c r="C18" s="116">
        <v>2</v>
      </c>
      <c r="D18" s="3" t="s">
        <v>1142</v>
      </c>
      <c r="E18" s="183"/>
      <c r="F18" s="183" t="s">
        <v>1104</v>
      </c>
      <c r="G18" s="183"/>
      <c r="H18" s="183"/>
      <c r="I18" s="183"/>
      <c r="J18" s="183"/>
      <c r="K18" s="183"/>
      <c r="L18" s="183"/>
      <c r="M18" s="184">
        <v>44624</v>
      </c>
      <c r="N18" s="184">
        <v>44627</v>
      </c>
      <c r="O18" s="185"/>
      <c r="P18" s="186">
        <v>2</v>
      </c>
      <c r="Q18" s="186">
        <v>0</v>
      </c>
      <c r="R18" s="187">
        <v>2</v>
      </c>
      <c r="S18" s="187">
        <v>0</v>
      </c>
      <c r="T18" s="184"/>
      <c r="U18" s="184"/>
      <c r="V18" s="188"/>
      <c r="W18" s="189">
        <v>0</v>
      </c>
      <c r="X18" s="190">
        <v>1</v>
      </c>
      <c r="Y18" s="185"/>
      <c r="Z18" s="191"/>
      <c r="AA18" s="97">
        <v>0</v>
      </c>
      <c r="AB18" s="192">
        <v>0</v>
      </c>
      <c r="AC18" s="123"/>
      <c r="AD18" s="4"/>
      <c r="AE18" s="4"/>
      <c r="AF18" s="4"/>
      <c r="AG18" s="4"/>
      <c r="AH18" s="4"/>
      <c r="AI18" s="4" t="str">
        <f>"    " &amp; TEXT(AB18,"#0.00%") &amp; " " &amp; "QR 코드 사고신고 및 해제" &amp; " " &amp; IF(M18="","",TEXT(M18,"M/D-")) &amp; IF(N18="","",TEXT(N18,"M/D")) &amp; " "</f>
        <v xml:space="preserve">    0.00% QR 코드 사고신고 및 해제 3/4-3/7 </v>
      </c>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row>
    <row r="19" spans="1:112" outlineLevel="1">
      <c r="A19" s="116"/>
      <c r="B19" s="116"/>
      <c r="C19" s="116">
        <v>2</v>
      </c>
      <c r="D19" s="3" t="s">
        <v>1143</v>
      </c>
      <c r="E19" s="183"/>
      <c r="F19" s="183" t="s">
        <v>1105</v>
      </c>
      <c r="G19" s="183"/>
      <c r="H19" s="183"/>
      <c r="I19" s="183"/>
      <c r="J19" s="183"/>
      <c r="K19" s="183"/>
      <c r="L19" s="183"/>
      <c r="M19" s="184">
        <v>44628</v>
      </c>
      <c r="N19" s="184">
        <v>44630</v>
      </c>
      <c r="O19" s="185"/>
      <c r="P19" s="186">
        <v>3</v>
      </c>
      <c r="Q19" s="186">
        <v>0</v>
      </c>
      <c r="R19" s="187">
        <v>3</v>
      </c>
      <c r="S19" s="187">
        <v>0</v>
      </c>
      <c r="T19" s="184"/>
      <c r="U19" s="184"/>
      <c r="V19" s="188"/>
      <c r="W19" s="189">
        <v>0</v>
      </c>
      <c r="X19" s="190">
        <v>1</v>
      </c>
      <c r="Y19" s="185"/>
      <c r="Z19" s="191"/>
      <c r="AA19" s="97">
        <v>0</v>
      </c>
      <c r="AB19" s="192">
        <v>0</v>
      </c>
      <c r="AC19" s="123"/>
      <c r="AD19" s="4"/>
      <c r="AE19" s="4"/>
      <c r="AF19" s="4"/>
      <c r="AG19" s="4"/>
      <c r="AH19" s="4"/>
      <c r="AI19" s="4"/>
      <c r="AJ19" s="4" t="str">
        <f>" " &amp; TEXT(AB19,"#0.00%") &amp; " " &amp; "QR 생성" &amp; " " &amp; IF(M19="","",TEXT(M19,"M/D-")) &amp; IF(N19="","",TEXT(N19,"M/D")) &amp; " "</f>
        <v xml:space="preserve"> 0.00% QR 생성 3/8-3/10 </v>
      </c>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row>
    <row r="20" spans="1:112" outlineLevel="1">
      <c r="A20" s="116"/>
      <c r="B20" s="116"/>
      <c r="C20" s="116">
        <v>2</v>
      </c>
      <c r="D20" s="3" t="s">
        <v>1144</v>
      </c>
      <c r="E20" s="210"/>
      <c r="F20" s="183" t="s">
        <v>1106</v>
      </c>
      <c r="G20" s="183"/>
      <c r="H20" s="183"/>
      <c r="I20" s="183"/>
      <c r="J20" s="183"/>
      <c r="K20" s="183"/>
      <c r="L20" s="183"/>
      <c r="M20" s="184">
        <v>44631</v>
      </c>
      <c r="N20" s="184">
        <v>44634</v>
      </c>
      <c r="O20" s="185"/>
      <c r="P20" s="186">
        <v>2</v>
      </c>
      <c r="Q20" s="186">
        <v>0</v>
      </c>
      <c r="R20" s="187">
        <v>2</v>
      </c>
      <c r="S20" s="187">
        <v>0</v>
      </c>
      <c r="T20" s="184"/>
      <c r="U20" s="184"/>
      <c r="V20" s="188"/>
      <c r="W20" s="189">
        <v>0</v>
      </c>
      <c r="X20" s="190">
        <v>1</v>
      </c>
      <c r="Y20" s="185"/>
      <c r="Z20" s="191"/>
      <c r="AA20" s="97">
        <v>0</v>
      </c>
      <c r="AB20" s="192">
        <v>0</v>
      </c>
      <c r="AC20" s="123"/>
      <c r="AD20" s="4"/>
      <c r="AE20" s="4"/>
      <c r="AF20" s="4"/>
      <c r="AG20" s="4"/>
      <c r="AH20" s="4"/>
      <c r="AI20" s="4"/>
      <c r="AJ20" s="4" t="str">
        <f>"    " &amp; TEXT(AB20,"#0.00%") &amp; " " &amp; "QR 조회" &amp; " " &amp; IF(M20="","",TEXT(M20,"M/D-")) &amp; IF(N20="","",TEXT(N20,"M/D")) &amp; " "</f>
        <v xml:space="preserve">    0.00% QR 조회 3/11-3/14 </v>
      </c>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row>
    <row r="21" spans="1:112" outlineLevel="1">
      <c r="A21" s="116"/>
      <c r="B21" s="116"/>
      <c r="C21" s="116">
        <v>2</v>
      </c>
      <c r="D21" s="3" t="s">
        <v>1145</v>
      </c>
      <c r="E21" s="183"/>
      <c r="F21" s="222" t="s">
        <v>1107</v>
      </c>
      <c r="G21" s="183"/>
      <c r="H21" s="183"/>
      <c r="I21" s="183"/>
      <c r="J21" s="183"/>
      <c r="K21" s="183"/>
      <c r="L21" s="183"/>
      <c r="M21" s="184">
        <v>44635</v>
      </c>
      <c r="N21" s="184">
        <v>44636</v>
      </c>
      <c r="O21" s="185"/>
      <c r="P21" s="186">
        <v>2</v>
      </c>
      <c r="Q21" s="186">
        <v>0</v>
      </c>
      <c r="R21" s="187">
        <v>2</v>
      </c>
      <c r="S21" s="187">
        <v>0</v>
      </c>
      <c r="T21" s="184"/>
      <c r="U21" s="184"/>
      <c r="V21" s="188"/>
      <c r="W21" s="189">
        <v>0</v>
      </c>
      <c r="X21" s="190">
        <v>1</v>
      </c>
      <c r="Y21" s="185"/>
      <c r="Z21" s="191"/>
      <c r="AA21" s="97">
        <v>0</v>
      </c>
      <c r="AB21" s="192">
        <v>0</v>
      </c>
      <c r="AC21" s="123"/>
      <c r="AD21" s="4"/>
      <c r="AE21" s="4"/>
      <c r="AF21" s="4"/>
      <c r="AG21" s="4"/>
      <c r="AH21" s="4"/>
      <c r="AI21" s="4"/>
      <c r="AJ21" s="4"/>
      <c r="AK21" s="4" t="str">
        <f>" " &amp; TEXT(AB21,"#0.00%") &amp; " " &amp; "변동형MPM 결제/결제취소" &amp; " " &amp; IF(M21="","",TEXT(M21,"M/D-")) &amp; IF(N21="","",TEXT(N21,"M/D")) &amp; " "</f>
        <v xml:space="preserve"> 0.00% 변동형MPM 결제/결제취소 3/15-3/16 </v>
      </c>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row>
    <row r="22" spans="1:112" outlineLevel="1">
      <c r="A22" s="116"/>
      <c r="B22" s="116"/>
      <c r="C22" s="116">
        <v>2</v>
      </c>
      <c r="D22" s="3" t="s">
        <v>1146</v>
      </c>
      <c r="E22" s="183"/>
      <c r="F22" s="222" t="s">
        <v>1088</v>
      </c>
      <c r="G22" s="183"/>
      <c r="H22" s="183"/>
      <c r="I22" s="183"/>
      <c r="J22" s="183"/>
      <c r="K22" s="183"/>
      <c r="L22" s="183"/>
      <c r="M22" s="184">
        <v>44637</v>
      </c>
      <c r="N22" s="184">
        <v>44638</v>
      </c>
      <c r="O22" s="185"/>
      <c r="P22" s="186">
        <v>2</v>
      </c>
      <c r="Q22" s="186">
        <v>0</v>
      </c>
      <c r="R22" s="187">
        <v>2</v>
      </c>
      <c r="S22" s="187">
        <v>0</v>
      </c>
      <c r="T22" s="184"/>
      <c r="U22" s="184"/>
      <c r="V22" s="188"/>
      <c r="W22" s="189">
        <v>0</v>
      </c>
      <c r="X22" s="190">
        <v>1</v>
      </c>
      <c r="Y22" s="185"/>
      <c r="Z22" s="191"/>
      <c r="AA22" s="97">
        <v>0</v>
      </c>
      <c r="AB22" s="192">
        <v>0</v>
      </c>
      <c r="AC22" s="123"/>
      <c r="AD22" s="4"/>
      <c r="AE22" s="4"/>
      <c r="AF22" s="4"/>
      <c r="AG22" s="4"/>
      <c r="AH22" s="4"/>
      <c r="AI22" s="4"/>
      <c r="AJ22" s="4"/>
      <c r="AK22" s="4" t="str">
        <f>"   " &amp; TEXT(AB22,"#0.00%") &amp; " " &amp; "응답코드 처리" &amp; " " &amp; IF(M22="","",TEXT(M22,"M/D-")) &amp; IF(N22="","",TEXT(N22,"M/D")) &amp; " "</f>
        <v xml:space="preserve">   0.00% 응답코드 처리 3/17-3/18 </v>
      </c>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row>
    <row r="23" spans="1:112" outlineLevel="1">
      <c r="A23" s="116"/>
      <c r="B23" s="116"/>
      <c r="C23" s="116">
        <v>2</v>
      </c>
      <c r="D23" s="3" t="s">
        <v>1147</v>
      </c>
      <c r="E23" s="183"/>
      <c r="F23" s="222" t="s">
        <v>1185</v>
      </c>
      <c r="G23" s="183"/>
      <c r="H23" s="183"/>
      <c r="I23" s="183"/>
      <c r="J23" s="183"/>
      <c r="K23" s="183"/>
      <c r="L23" s="183"/>
      <c r="M23" s="184">
        <v>44606</v>
      </c>
      <c r="N23" s="184">
        <v>44642</v>
      </c>
      <c r="O23" s="185"/>
      <c r="P23" s="186">
        <v>27</v>
      </c>
      <c r="Q23" s="186">
        <v>0</v>
      </c>
      <c r="R23" s="187">
        <v>27</v>
      </c>
      <c r="S23" s="187">
        <v>0</v>
      </c>
      <c r="T23" s="184"/>
      <c r="U23" s="184"/>
      <c r="V23" s="188"/>
      <c r="W23" s="189">
        <v>0</v>
      </c>
      <c r="X23" s="190">
        <v>1</v>
      </c>
      <c r="Y23" s="185"/>
      <c r="Z23" s="191"/>
      <c r="AA23" s="97">
        <v>0</v>
      </c>
      <c r="AB23" s="192">
        <v>0</v>
      </c>
      <c r="AC23" s="123"/>
      <c r="AD23" s="4"/>
      <c r="AE23" s="4"/>
      <c r="AF23" s="4"/>
      <c r="AG23" s="4" t="str">
        <f>"" &amp; TEXT(AB23,"#0.00%") &amp; " "</f>
        <v xml:space="preserve">0.00% </v>
      </c>
      <c r="AH23" s="4"/>
      <c r="AI23" s="4"/>
      <c r="AJ23" s="4"/>
      <c r="AK23" s="4"/>
      <c r="AL23" s="4" t="str">
        <f>"  " &amp; "전문처리 테스트" &amp; " " &amp; IF(M23="","",TEXT(M23,"M/D-")) &amp; IF(N23="","",TEXT(N23,"M/D")) &amp; " "</f>
        <v xml:space="preserve">  전문처리 테스트 2/14-3/22 </v>
      </c>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row>
    <row r="24" spans="1:112" outlineLevel="1">
      <c r="A24" s="116"/>
      <c r="B24" s="116"/>
      <c r="C24" s="116">
        <v>0</v>
      </c>
      <c r="D24" s="3"/>
      <c r="E24" s="183"/>
      <c r="F24" s="222"/>
      <c r="G24" s="183"/>
      <c r="H24" s="183"/>
      <c r="I24" s="183"/>
      <c r="J24" s="183"/>
      <c r="K24" s="183"/>
      <c r="L24" s="183"/>
      <c r="M24" s="184"/>
      <c r="N24" s="184"/>
      <c r="O24" s="185"/>
      <c r="P24" s="186"/>
      <c r="Q24" s="186"/>
      <c r="R24" s="187">
        <v>0</v>
      </c>
      <c r="S24" s="187">
        <v>0</v>
      </c>
      <c r="T24" s="184"/>
      <c r="U24" s="184"/>
      <c r="V24" s="188"/>
      <c r="W24" s="189">
        <v>0</v>
      </c>
      <c r="X24" s="190"/>
      <c r="Y24" s="185"/>
      <c r="Z24" s="191"/>
      <c r="AA24" s="97"/>
      <c r="AB24" s="192"/>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row>
    <row r="25" spans="1:112">
      <c r="A25" s="116"/>
      <c r="B25" s="116" t="s">
        <v>983</v>
      </c>
      <c r="C25" s="116">
        <v>1</v>
      </c>
      <c r="D25" s="3" t="s">
        <v>1148</v>
      </c>
      <c r="E25" s="223" t="s">
        <v>1108</v>
      </c>
      <c r="F25" s="183"/>
      <c r="G25" s="183"/>
      <c r="H25" s="183"/>
      <c r="I25" s="183"/>
      <c r="J25" s="183"/>
      <c r="K25" s="183"/>
      <c r="L25" s="183"/>
      <c r="M25" s="184">
        <v>44593</v>
      </c>
      <c r="N25" s="184">
        <v>44628</v>
      </c>
      <c r="O25" s="185"/>
      <c r="P25" s="186">
        <v>46</v>
      </c>
      <c r="Q25" s="186">
        <v>0</v>
      </c>
      <c r="R25" s="187">
        <v>26</v>
      </c>
      <c r="S25" s="187">
        <v>0</v>
      </c>
      <c r="T25" s="184"/>
      <c r="U25" s="184"/>
      <c r="V25" s="188">
        <v>0</v>
      </c>
      <c r="W25" s="189">
        <v>0</v>
      </c>
      <c r="X25" s="190"/>
      <c r="Y25" s="185"/>
      <c r="Z25" s="191"/>
      <c r="AA25" s="97">
        <v>0</v>
      </c>
      <c r="AB25" s="192">
        <v>0</v>
      </c>
      <c r="AC25" s="123"/>
      <c r="AD25" s="4"/>
      <c r="AE25" s="4" t="str">
        <f>" " &amp; TEXT(AB25,"#0.00%") &amp; " "</f>
        <v xml:space="preserve"> 0.00% </v>
      </c>
      <c r="AF25" s="4"/>
      <c r="AG25" s="4"/>
      <c r="AH25" s="4"/>
      <c r="AI25" s="4"/>
      <c r="AJ25" s="4" t="str">
        <f>"  " &amp; "일괄전송" &amp; " " &amp; IF(M25="","",TEXT(M25,"M/D-")) &amp; IF(N25="","",TEXT(N25,"M/D")) &amp; " "</f>
        <v xml:space="preserve">  일괄전송 2/1-3/8 </v>
      </c>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row>
    <row r="26" spans="1:112" outlineLevel="1">
      <c r="A26" s="116"/>
      <c r="B26" s="116"/>
      <c r="C26" s="116">
        <v>2</v>
      </c>
      <c r="D26" s="3" t="s">
        <v>1149</v>
      </c>
      <c r="E26" s="183"/>
      <c r="F26" s="223" t="s">
        <v>1109</v>
      </c>
      <c r="G26" s="183"/>
      <c r="H26" s="183"/>
      <c r="I26" s="183"/>
      <c r="J26" s="183"/>
      <c r="K26" s="183"/>
      <c r="L26" s="183"/>
      <c r="M26" s="184">
        <v>44599</v>
      </c>
      <c r="N26" s="184">
        <v>44601</v>
      </c>
      <c r="O26" s="185"/>
      <c r="P26" s="186">
        <v>3</v>
      </c>
      <c r="Q26" s="186">
        <v>0</v>
      </c>
      <c r="R26" s="187">
        <v>3</v>
      </c>
      <c r="S26" s="187">
        <v>0</v>
      </c>
      <c r="T26" s="184"/>
      <c r="U26" s="184"/>
      <c r="V26" s="188"/>
      <c r="W26" s="189">
        <v>0</v>
      </c>
      <c r="X26" s="190">
        <v>1</v>
      </c>
      <c r="Y26" s="185"/>
      <c r="Z26" s="191"/>
      <c r="AA26" s="97">
        <v>0</v>
      </c>
      <c r="AB26" s="192">
        <v>0</v>
      </c>
      <c r="AC26" s="123"/>
      <c r="AD26" s="4"/>
      <c r="AE26" s="4"/>
      <c r="AF26" s="4" t="str">
        <f>"" &amp; TEXT(AB26,"#0.00%") &amp; " " &amp; "파일송수신" &amp; " " &amp; IF(M26="","",TEXT(M26,"M/D-")) &amp; IF(N26="","",TEXT(N26,"M/D")) &amp; " "</f>
        <v xml:space="preserve">0.00% 파일송수신 2/7-2/9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row>
    <row r="27" spans="1:112" outlineLevel="1">
      <c r="A27" s="116"/>
      <c r="B27" s="116"/>
      <c r="C27" s="116">
        <v>2</v>
      </c>
      <c r="D27" s="3" t="s">
        <v>1150</v>
      </c>
      <c r="E27" s="183"/>
      <c r="F27" s="222" t="s">
        <v>1110</v>
      </c>
      <c r="G27" s="183"/>
      <c r="H27" s="183"/>
      <c r="I27" s="183"/>
      <c r="J27" s="183"/>
      <c r="K27" s="183"/>
      <c r="L27" s="183"/>
      <c r="M27" s="184">
        <v>44602</v>
      </c>
      <c r="N27" s="184">
        <v>44602</v>
      </c>
      <c r="O27" s="185"/>
      <c r="P27" s="186">
        <v>1</v>
      </c>
      <c r="Q27" s="186">
        <v>0</v>
      </c>
      <c r="R27" s="187">
        <v>1</v>
      </c>
      <c r="S27" s="187">
        <v>0</v>
      </c>
      <c r="T27" s="184"/>
      <c r="U27" s="184"/>
      <c r="V27" s="188"/>
      <c r="W27" s="189">
        <v>0</v>
      </c>
      <c r="X27" s="190">
        <v>1</v>
      </c>
      <c r="Y27" s="185"/>
      <c r="Z27" s="191"/>
      <c r="AA27" s="97">
        <v>0</v>
      </c>
      <c r="AB27" s="192">
        <v>0</v>
      </c>
      <c r="AC27" s="123"/>
      <c r="AD27" s="4"/>
      <c r="AE27" s="4"/>
      <c r="AF27" s="4" t="str">
        <f>"   " &amp; TEXT(AB27,"#0.00%") &amp; " " &amp; "결제사업자앞 결제취소 미완료 등록 내역" &amp; " " &amp; IF(M27="","",TEXT(M27,"M/D-")) &amp; IF(N27="","",TEXT(N27,"M/D")) &amp; " "</f>
        <v xml:space="preserve">   0.00% 결제사업자앞 결제취소 미완료 등록 내역 2/10-2/10 </v>
      </c>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row>
    <row r="28" spans="1:112" outlineLevel="1">
      <c r="A28" s="116"/>
      <c r="B28" s="116"/>
      <c r="C28" s="116">
        <v>2</v>
      </c>
      <c r="D28" s="3" t="s">
        <v>1151</v>
      </c>
      <c r="E28" s="183"/>
      <c r="F28" s="222" t="s">
        <v>1111</v>
      </c>
      <c r="G28" s="183"/>
      <c r="H28" s="183"/>
      <c r="I28" s="183"/>
      <c r="J28" s="183"/>
      <c r="K28" s="183"/>
      <c r="L28" s="183"/>
      <c r="M28" s="184">
        <v>44603</v>
      </c>
      <c r="N28" s="184">
        <v>44603</v>
      </c>
      <c r="O28" s="185"/>
      <c r="P28" s="186">
        <v>1</v>
      </c>
      <c r="Q28" s="186">
        <v>0</v>
      </c>
      <c r="R28" s="187">
        <v>1</v>
      </c>
      <c r="S28" s="187">
        <v>0</v>
      </c>
      <c r="T28" s="184"/>
      <c r="U28" s="184"/>
      <c r="V28" s="188"/>
      <c r="W28" s="189">
        <v>0</v>
      </c>
      <c r="X28" s="190">
        <v>1</v>
      </c>
      <c r="Y28" s="185"/>
      <c r="Z28" s="191"/>
      <c r="AA28" s="97">
        <v>0</v>
      </c>
      <c r="AB28" s="192">
        <v>0</v>
      </c>
      <c r="AC28" s="123"/>
      <c r="AD28" s="4"/>
      <c r="AE28" s="4"/>
      <c r="AF28" s="4" t="str">
        <f>"    " &amp; TEXT(AB28,"#0.00%") &amp; " " &amp; "결제사업자 결제결과 등록 내역" &amp; " " &amp; IF(M28="","",TEXT(M28,"M/D-")) &amp; IF(N28="","",TEXT(N28,"M/D")) &amp; " "</f>
        <v xml:space="preserve">    0.00% 결제사업자 결제결과 등록 내역 2/11-2/11 </v>
      </c>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row>
    <row r="29" spans="1:112" outlineLevel="1">
      <c r="A29" s="116"/>
      <c r="B29" s="116"/>
      <c r="C29" s="116">
        <v>2</v>
      </c>
      <c r="D29" s="3" t="s">
        <v>1161</v>
      </c>
      <c r="E29" s="183"/>
      <c r="F29" s="223" t="s">
        <v>1112</v>
      </c>
      <c r="G29" s="183"/>
      <c r="H29" s="183"/>
      <c r="I29" s="183"/>
      <c r="J29" s="183"/>
      <c r="K29" s="183"/>
      <c r="L29" s="183"/>
      <c r="M29" s="184">
        <v>44606</v>
      </c>
      <c r="N29" s="184">
        <v>44606</v>
      </c>
      <c r="O29" s="185"/>
      <c r="P29" s="186">
        <v>1</v>
      </c>
      <c r="Q29" s="186">
        <v>0</v>
      </c>
      <c r="R29" s="187">
        <v>1</v>
      </c>
      <c r="S29" s="187">
        <v>0</v>
      </c>
      <c r="T29" s="184"/>
      <c r="U29" s="184"/>
      <c r="V29" s="188"/>
      <c r="W29" s="189">
        <v>0</v>
      </c>
      <c r="X29" s="190">
        <v>1</v>
      </c>
      <c r="Y29" s="185"/>
      <c r="Z29" s="191"/>
      <c r="AA29" s="97">
        <v>0</v>
      </c>
      <c r="AB29" s="192">
        <v>0</v>
      </c>
      <c r="AC29" s="123"/>
      <c r="AD29" s="4"/>
      <c r="AE29" s="4"/>
      <c r="AF29" s="4"/>
      <c r="AG29" s="4" t="str">
        <f>"" &amp; TEXT(AB29,"#0.00%") &amp; " " &amp; "중계센터 결제결과 등록 결과" &amp; " " &amp; IF(M29="","",TEXT(M29,"M/D-")) &amp; IF(N29="","",TEXT(N29,"M/D")) &amp; " "</f>
        <v xml:space="preserve">0.00% 중계센터 결제결과 등록 결과 2/14-2/14 </v>
      </c>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row>
    <row r="30" spans="1:112" outlineLevel="1">
      <c r="A30" s="116"/>
      <c r="B30" s="116"/>
      <c r="C30" s="116">
        <v>2</v>
      </c>
      <c r="D30" s="3" t="s">
        <v>1162</v>
      </c>
      <c r="E30" s="183"/>
      <c r="F30" s="223" t="s">
        <v>1113</v>
      </c>
      <c r="G30" s="183"/>
      <c r="H30" s="183"/>
      <c r="I30" s="183"/>
      <c r="J30" s="183"/>
      <c r="K30" s="183"/>
      <c r="L30" s="183"/>
      <c r="M30" s="184">
        <v>44607</v>
      </c>
      <c r="N30" s="184">
        <v>44607</v>
      </c>
      <c r="O30" s="185"/>
      <c r="P30" s="186">
        <v>1</v>
      </c>
      <c r="Q30" s="186">
        <v>0</v>
      </c>
      <c r="R30" s="187">
        <v>1</v>
      </c>
      <c r="S30" s="187">
        <v>0</v>
      </c>
      <c r="T30" s="184"/>
      <c r="U30" s="184"/>
      <c r="V30" s="188"/>
      <c r="W30" s="189">
        <v>0</v>
      </c>
      <c r="X30" s="190">
        <v>1</v>
      </c>
      <c r="Y30" s="185"/>
      <c r="Z30" s="191"/>
      <c r="AA30" s="97">
        <v>0</v>
      </c>
      <c r="AB30" s="192">
        <v>0</v>
      </c>
      <c r="AC30" s="123"/>
      <c r="AD30" s="4"/>
      <c r="AE30" s="4"/>
      <c r="AF30" s="4"/>
      <c r="AG30" s="4" t="str">
        <f>" " &amp; TEXT(AB30,"#0.00%") &amp; " " &amp; "결제사업자 환불결과 등록 내역" &amp; " " &amp; IF(M30="","",TEXT(M30,"M/D-")) &amp; IF(N30="","",TEXT(N30,"M/D")) &amp; " "</f>
        <v xml:space="preserve"> 0.00% 결제사업자 환불결과 등록 내역 2/15-2/15 </v>
      </c>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row>
    <row r="31" spans="1:112" outlineLevel="1">
      <c r="A31" s="116"/>
      <c r="B31" s="116"/>
      <c r="C31" s="116">
        <v>2</v>
      </c>
      <c r="D31" s="3" t="s">
        <v>1163</v>
      </c>
      <c r="E31" s="183"/>
      <c r="F31" s="223" t="s">
        <v>1114</v>
      </c>
      <c r="G31" s="183"/>
      <c r="H31" s="183"/>
      <c r="I31" s="183"/>
      <c r="J31" s="183"/>
      <c r="K31" s="183"/>
      <c r="L31" s="183"/>
      <c r="M31" s="184">
        <v>44608</v>
      </c>
      <c r="N31" s="184">
        <v>44608</v>
      </c>
      <c r="O31" s="185"/>
      <c r="P31" s="186">
        <v>1</v>
      </c>
      <c r="Q31" s="186">
        <v>0</v>
      </c>
      <c r="R31" s="187">
        <v>1</v>
      </c>
      <c r="S31" s="187">
        <v>0</v>
      </c>
      <c r="T31" s="184"/>
      <c r="U31" s="184"/>
      <c r="V31" s="188"/>
      <c r="W31" s="189">
        <v>0</v>
      </c>
      <c r="X31" s="190">
        <v>1</v>
      </c>
      <c r="Y31" s="185"/>
      <c r="Z31" s="191"/>
      <c r="AA31" s="97">
        <v>0</v>
      </c>
      <c r="AB31" s="192">
        <v>0</v>
      </c>
      <c r="AC31" s="123"/>
      <c r="AD31" s="4"/>
      <c r="AE31" s="4"/>
      <c r="AF31" s="4"/>
      <c r="AG31" s="4" t="str">
        <f>"  " &amp; TEXT(AB31,"#0.00%") &amp; " " &amp; "중계센터 환불결과 등록 결과" &amp; " " &amp; IF(M31="","",TEXT(M31,"M/D-")) &amp; IF(N31="","",TEXT(N31,"M/D")) &amp; " "</f>
        <v xml:space="preserve">  0.00% 중계센터 환불결과 등록 결과 2/16-2/16 </v>
      </c>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row>
    <row r="32" spans="1:112" outlineLevel="1">
      <c r="A32" s="116"/>
      <c r="B32" s="116"/>
      <c r="C32" s="116">
        <v>2</v>
      </c>
      <c r="D32" s="3" t="s">
        <v>1164</v>
      </c>
      <c r="E32" s="183"/>
      <c r="F32" s="223" t="s">
        <v>1115</v>
      </c>
      <c r="G32" s="183"/>
      <c r="H32" s="183"/>
      <c r="I32" s="183"/>
      <c r="J32" s="183"/>
      <c r="K32" s="183"/>
      <c r="L32" s="183"/>
      <c r="M32" s="184">
        <v>44609</v>
      </c>
      <c r="N32" s="184">
        <v>44609</v>
      </c>
      <c r="O32" s="185"/>
      <c r="P32" s="186">
        <v>1</v>
      </c>
      <c r="Q32" s="186">
        <v>0</v>
      </c>
      <c r="R32" s="187">
        <v>1</v>
      </c>
      <c r="S32" s="187">
        <v>0</v>
      </c>
      <c r="T32" s="184"/>
      <c r="U32" s="184"/>
      <c r="V32" s="188"/>
      <c r="W32" s="189">
        <v>0</v>
      </c>
      <c r="X32" s="190">
        <v>1</v>
      </c>
      <c r="Y32" s="185"/>
      <c r="Z32" s="191"/>
      <c r="AA32" s="97">
        <v>0</v>
      </c>
      <c r="AB32" s="192">
        <v>0</v>
      </c>
      <c r="AC32" s="123"/>
      <c r="AD32" s="4"/>
      <c r="AE32" s="4"/>
      <c r="AF32" s="4"/>
      <c r="AG32" s="4" t="str">
        <f>"   " &amp; TEXT(AB32,"#0.00%") &amp; " " &amp; "프랜차이즈 소속 사업자 신규 및 변경내역" &amp; " " &amp; IF(M32="","",TEXT(M32,"M/D-")) &amp; IF(N32="","",TEXT(N32,"M/D")) &amp; " "</f>
        <v xml:space="preserve">   0.00% 프랜차이즈 소속 사업자 신규 및 변경내역 2/17-2/17 </v>
      </c>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row>
    <row r="33" spans="1:112" outlineLevel="1">
      <c r="A33" s="116"/>
      <c r="B33" s="116"/>
      <c r="C33" s="116">
        <v>2</v>
      </c>
      <c r="D33" s="3" t="s">
        <v>1165</v>
      </c>
      <c r="E33" s="183"/>
      <c r="F33" s="223" t="s">
        <v>1116</v>
      </c>
      <c r="G33" s="183"/>
      <c r="H33" s="183"/>
      <c r="I33" s="183"/>
      <c r="J33" s="183"/>
      <c r="K33" s="183"/>
      <c r="L33" s="183"/>
      <c r="M33" s="184">
        <v>44610</v>
      </c>
      <c r="N33" s="184">
        <v>44610</v>
      </c>
      <c r="O33" s="185"/>
      <c r="P33" s="186">
        <v>1</v>
      </c>
      <c r="Q33" s="186">
        <v>0</v>
      </c>
      <c r="R33" s="187">
        <v>1</v>
      </c>
      <c r="S33" s="187">
        <v>0</v>
      </c>
      <c r="T33" s="184"/>
      <c r="U33" s="184"/>
      <c r="V33" s="188"/>
      <c r="W33" s="189">
        <v>0</v>
      </c>
      <c r="X33" s="190">
        <v>1</v>
      </c>
      <c r="Y33" s="185"/>
      <c r="Z33" s="191"/>
      <c r="AA33" s="97">
        <v>0</v>
      </c>
      <c r="AB33" s="192">
        <v>0</v>
      </c>
      <c r="AC33" s="123"/>
      <c r="AD33" s="4"/>
      <c r="AE33" s="4"/>
      <c r="AF33" s="4"/>
      <c r="AG33" s="4" t="str">
        <f>"    " &amp; TEXT(AB33,"#0.00%") &amp; " " &amp; "프랜차이즈 내역" &amp; " " &amp; IF(M33="","",TEXT(M33,"M/D-")) &amp; IF(N33="","",TEXT(N33,"M/D")) &amp; " "</f>
        <v xml:space="preserve">    0.00% 프랜차이즈 내역 2/18-2/18 </v>
      </c>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row>
    <row r="34" spans="1:112" outlineLevel="1">
      <c r="A34" s="116"/>
      <c r="B34" s="116"/>
      <c r="C34" s="116">
        <v>2</v>
      </c>
      <c r="D34" s="3" t="s">
        <v>1166</v>
      </c>
      <c r="E34" s="183"/>
      <c r="F34" s="223" t="s">
        <v>1117</v>
      </c>
      <c r="G34" s="183"/>
      <c r="H34" s="183"/>
      <c r="I34" s="183"/>
      <c r="J34" s="183"/>
      <c r="K34" s="183"/>
      <c r="L34" s="183"/>
      <c r="M34" s="184">
        <v>44613</v>
      </c>
      <c r="N34" s="184">
        <v>44613</v>
      </c>
      <c r="O34" s="185"/>
      <c r="P34" s="186">
        <v>1</v>
      </c>
      <c r="Q34" s="186">
        <v>0</v>
      </c>
      <c r="R34" s="187">
        <v>1</v>
      </c>
      <c r="S34" s="187">
        <v>0</v>
      </c>
      <c r="T34" s="184"/>
      <c r="U34" s="184"/>
      <c r="V34" s="188"/>
      <c r="W34" s="189">
        <v>0</v>
      </c>
      <c r="X34" s="190">
        <v>1</v>
      </c>
      <c r="Y34" s="185"/>
      <c r="Z34" s="191"/>
      <c r="AA34" s="97">
        <v>0</v>
      </c>
      <c r="AB34" s="192">
        <v>0</v>
      </c>
      <c r="AC34" s="123"/>
      <c r="AD34" s="4"/>
      <c r="AE34" s="4"/>
      <c r="AF34" s="4"/>
      <c r="AG34" s="4"/>
      <c r="AH34" s="4" t="str">
        <f>"" &amp; TEXT(AB34,"#0.00%") &amp; " " &amp; "제로페이 가맹점 신규 및 변경 내역" &amp; " " &amp; IF(M34="","",TEXT(M34,"M/D-")) &amp; IF(N34="","",TEXT(N34,"M/D")) &amp; " "</f>
        <v xml:space="preserve">0.00% 제로페이 가맹점 신규 및 변경 내역 2/21-2/21 </v>
      </c>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row>
    <row r="35" spans="1:112" outlineLevel="1">
      <c r="A35" s="116"/>
      <c r="B35" s="116"/>
      <c r="C35" s="116">
        <v>2</v>
      </c>
      <c r="D35" s="3" t="s">
        <v>1167</v>
      </c>
      <c r="E35" s="183"/>
      <c r="F35" s="223" t="s">
        <v>1118</v>
      </c>
      <c r="G35" s="183"/>
      <c r="H35" s="183"/>
      <c r="I35" s="183"/>
      <c r="J35" s="183"/>
      <c r="K35" s="183"/>
      <c r="L35" s="183"/>
      <c r="M35" s="184">
        <v>44614</v>
      </c>
      <c r="N35" s="184">
        <v>44614</v>
      </c>
      <c r="O35" s="185"/>
      <c r="P35" s="186">
        <v>1</v>
      </c>
      <c r="Q35" s="186">
        <v>0</v>
      </c>
      <c r="R35" s="187">
        <v>1</v>
      </c>
      <c r="S35" s="187">
        <v>0</v>
      </c>
      <c r="T35" s="184"/>
      <c r="U35" s="184"/>
      <c r="V35" s="188"/>
      <c r="W35" s="189">
        <v>0</v>
      </c>
      <c r="X35" s="190">
        <v>1</v>
      </c>
      <c r="Y35" s="185"/>
      <c r="Z35" s="191"/>
      <c r="AA35" s="97">
        <v>0</v>
      </c>
      <c r="AB35" s="192">
        <v>0</v>
      </c>
      <c r="AC35" s="123"/>
      <c r="AD35" s="4"/>
      <c r="AE35" s="4"/>
      <c r="AF35" s="4"/>
      <c r="AG35" s="4"/>
      <c r="AH35" s="4" t="str">
        <f>" " &amp; TEXT(AB35,"#0.00%") &amp; " " &amp; "제로페이 QR등록 및 해지 내역" &amp; " " &amp; IF(M35="","",TEXT(M35,"M/D-")) &amp; IF(N35="","",TEXT(N35,"M/D")) &amp; " "</f>
        <v xml:space="preserve"> 0.00% 제로페이 QR등록 및 해지 내역 2/22-2/22 </v>
      </c>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row>
    <row r="36" spans="1:112" outlineLevel="1">
      <c r="A36" s="116"/>
      <c r="B36" s="116"/>
      <c r="C36" s="116">
        <v>2</v>
      </c>
      <c r="D36" s="3" t="s">
        <v>1168</v>
      </c>
      <c r="E36" s="183"/>
      <c r="F36" s="223" t="s">
        <v>1119</v>
      </c>
      <c r="G36" s="183"/>
      <c r="H36" s="183"/>
      <c r="I36" s="183"/>
      <c r="J36" s="183"/>
      <c r="K36" s="183"/>
      <c r="L36" s="183"/>
      <c r="M36" s="184">
        <v>44615</v>
      </c>
      <c r="N36" s="184">
        <v>44615</v>
      </c>
      <c r="O36" s="185"/>
      <c r="P36" s="186">
        <v>1</v>
      </c>
      <c r="Q36" s="186">
        <v>0</v>
      </c>
      <c r="R36" s="187">
        <v>1</v>
      </c>
      <c r="S36" s="187">
        <v>0</v>
      </c>
      <c r="T36" s="184"/>
      <c r="U36" s="184"/>
      <c r="V36" s="188"/>
      <c r="W36" s="189">
        <v>0</v>
      </c>
      <c r="X36" s="190">
        <v>1</v>
      </c>
      <c r="Y36" s="185"/>
      <c r="Z36" s="191"/>
      <c r="AA36" s="97">
        <v>0</v>
      </c>
      <c r="AB36" s="192">
        <v>0</v>
      </c>
      <c r="AC36" s="123"/>
      <c r="AD36" s="4"/>
      <c r="AE36" s="4"/>
      <c r="AF36" s="4"/>
      <c r="AG36" s="4"/>
      <c r="AH36" s="4" t="str">
        <f>"  " &amp; TEXT(AB36,"#0.00%") &amp; " " &amp; "제로페이 전자출입 내역" &amp; " " &amp; IF(M36="","",TEXT(M36,"M/D-")) &amp; IF(N36="","",TEXT(N36,"M/D")) &amp; " "</f>
        <v xml:space="preserve">  0.00% 제로페이 전자출입 내역 2/23-2/23 </v>
      </c>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row>
    <row r="37" spans="1:112" outlineLevel="1">
      <c r="A37" s="116"/>
      <c r="B37" s="116"/>
      <c r="C37" s="116">
        <v>2</v>
      </c>
      <c r="D37" s="3" t="s">
        <v>1169</v>
      </c>
      <c r="E37" s="183"/>
      <c r="F37" s="223" t="s">
        <v>1120</v>
      </c>
      <c r="G37" s="183"/>
      <c r="H37" s="183"/>
      <c r="I37" s="183"/>
      <c r="J37" s="183"/>
      <c r="K37" s="183"/>
      <c r="L37" s="183"/>
      <c r="M37" s="184">
        <v>44616</v>
      </c>
      <c r="N37" s="184">
        <v>44616</v>
      </c>
      <c r="O37" s="185"/>
      <c r="P37" s="186">
        <v>1</v>
      </c>
      <c r="Q37" s="186">
        <v>0</v>
      </c>
      <c r="R37" s="187">
        <v>1</v>
      </c>
      <c r="S37" s="187">
        <v>0</v>
      </c>
      <c r="T37" s="184"/>
      <c r="U37" s="184"/>
      <c r="V37" s="188"/>
      <c r="W37" s="189">
        <v>0</v>
      </c>
      <c r="X37" s="190">
        <v>1</v>
      </c>
      <c r="Y37" s="185"/>
      <c r="Z37" s="191"/>
      <c r="AA37" s="97">
        <v>0</v>
      </c>
      <c r="AB37" s="192">
        <v>0</v>
      </c>
      <c r="AC37" s="123"/>
      <c r="AD37" s="4"/>
      <c r="AE37" s="4"/>
      <c r="AF37" s="4"/>
      <c r="AG37" s="4"/>
      <c r="AH37" s="4" t="str">
        <f>"   " &amp; TEXT(AB37,"#0.00%") &amp; " " &amp; "프랜차이즈 소속 사업자 전체 내역" &amp; " " &amp; IF(M37="","",TEXT(M37,"M/D-")) &amp; IF(N37="","",TEXT(N37,"M/D")) &amp; " "</f>
        <v xml:space="preserve">   0.00% 프랜차이즈 소속 사업자 전체 내역 2/24-2/24 </v>
      </c>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row>
    <row r="38" spans="1:112" outlineLevel="1">
      <c r="A38" s="116"/>
      <c r="B38" s="116"/>
      <c r="C38" s="116">
        <v>2</v>
      </c>
      <c r="D38" s="3" t="s">
        <v>1170</v>
      </c>
      <c r="E38" s="183"/>
      <c r="F38" s="223" t="s">
        <v>1121</v>
      </c>
      <c r="G38" s="183"/>
      <c r="H38" s="183"/>
      <c r="I38" s="183"/>
      <c r="J38" s="183"/>
      <c r="K38" s="183"/>
      <c r="L38" s="183"/>
      <c r="M38" s="184">
        <v>44617</v>
      </c>
      <c r="N38" s="184">
        <v>44617</v>
      </c>
      <c r="O38" s="185"/>
      <c r="P38" s="186">
        <v>1</v>
      </c>
      <c r="Q38" s="186">
        <v>0</v>
      </c>
      <c r="R38" s="187">
        <v>1</v>
      </c>
      <c r="S38" s="187">
        <v>0</v>
      </c>
      <c r="T38" s="184"/>
      <c r="U38" s="184"/>
      <c r="V38" s="188"/>
      <c r="W38" s="189">
        <v>0</v>
      </c>
      <c r="X38" s="190">
        <v>1</v>
      </c>
      <c r="Y38" s="185"/>
      <c r="Z38" s="191"/>
      <c r="AA38" s="97">
        <v>0</v>
      </c>
      <c r="AB38" s="192">
        <v>0</v>
      </c>
      <c r="AC38" s="123"/>
      <c r="AD38" s="4"/>
      <c r="AE38" s="4"/>
      <c r="AF38" s="4"/>
      <c r="AG38" s="4"/>
      <c r="AH38" s="4" t="str">
        <f>"    " &amp; TEXT(AB38,"#0.00%") &amp; " " &amp; "제로페이 가맹점 전체 내역" &amp; " " &amp; IF(M38="","",TEXT(M38,"M/D-")) &amp; IF(N38="","",TEXT(N38,"M/D")) &amp; " "</f>
        <v xml:space="preserve">    0.00% 제로페이 가맹점 전체 내역 2/25-2/25 </v>
      </c>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row>
    <row r="39" spans="1:112" outlineLevel="1">
      <c r="A39" s="116"/>
      <c r="B39" s="116"/>
      <c r="C39" s="116">
        <v>2</v>
      </c>
      <c r="D39" s="3" t="s">
        <v>1171</v>
      </c>
      <c r="E39" s="183"/>
      <c r="F39" s="223" t="s">
        <v>1122</v>
      </c>
      <c r="G39" s="183"/>
      <c r="H39" s="183"/>
      <c r="I39" s="183"/>
      <c r="J39" s="183"/>
      <c r="K39" s="183"/>
      <c r="L39" s="183"/>
      <c r="M39" s="184">
        <v>44620</v>
      </c>
      <c r="N39" s="184">
        <v>44620</v>
      </c>
      <c r="O39" s="185"/>
      <c r="P39" s="186">
        <v>1</v>
      </c>
      <c r="Q39" s="186">
        <v>0</v>
      </c>
      <c r="R39" s="187">
        <v>1</v>
      </c>
      <c r="S39" s="187">
        <v>0</v>
      </c>
      <c r="T39" s="184"/>
      <c r="U39" s="184"/>
      <c r="V39" s="188"/>
      <c r="W39" s="189">
        <v>0</v>
      </c>
      <c r="X39" s="190">
        <v>1</v>
      </c>
      <c r="Y39" s="185"/>
      <c r="Z39" s="191"/>
      <c r="AA39" s="97">
        <v>0</v>
      </c>
      <c r="AB39" s="192">
        <v>0</v>
      </c>
      <c r="AC39" s="123"/>
      <c r="AD39" s="4"/>
      <c r="AE39" s="4"/>
      <c r="AF39" s="4"/>
      <c r="AG39" s="4"/>
      <c r="AH39" s="4"/>
      <c r="AI39" s="4" t="str">
        <f>"" &amp; TEXT(AB39,"#0.00%") &amp; " " &amp; "제로페이 QR 전체 내역" &amp; " " &amp; IF(M39="","",TEXT(M39,"M/D-")) &amp; IF(N39="","",TEXT(N39,"M/D")) &amp; " "</f>
        <v xml:space="preserve">0.00% 제로페이 QR 전체 내역 2/28-2/28 </v>
      </c>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row>
    <row r="40" spans="1:112" outlineLevel="1">
      <c r="A40" s="116"/>
      <c r="B40" s="116"/>
      <c r="C40" s="116">
        <v>2</v>
      </c>
      <c r="D40" s="3" t="s">
        <v>1172</v>
      </c>
      <c r="E40" s="183"/>
      <c r="F40" s="223" t="s">
        <v>1123</v>
      </c>
      <c r="G40" s="183"/>
      <c r="H40" s="183"/>
      <c r="I40" s="183"/>
      <c r="J40" s="183"/>
      <c r="K40" s="183"/>
      <c r="L40" s="183"/>
      <c r="M40" s="184">
        <v>44622</v>
      </c>
      <c r="N40" s="184">
        <v>44622</v>
      </c>
      <c r="O40" s="185"/>
      <c r="P40" s="186">
        <v>1</v>
      </c>
      <c r="Q40" s="186">
        <v>0</v>
      </c>
      <c r="R40" s="187">
        <v>1</v>
      </c>
      <c r="S40" s="187">
        <v>0</v>
      </c>
      <c r="T40" s="184"/>
      <c r="U40" s="184"/>
      <c r="V40" s="188"/>
      <c r="W40" s="189">
        <v>0</v>
      </c>
      <c r="X40" s="190">
        <v>1</v>
      </c>
      <c r="Y40" s="185"/>
      <c r="Z40" s="191"/>
      <c r="AA40" s="97">
        <v>0</v>
      </c>
      <c r="AB40" s="192">
        <v>0</v>
      </c>
      <c r="AC40" s="123"/>
      <c r="AD40" s="4"/>
      <c r="AE40" s="4"/>
      <c r="AF40" s="4"/>
      <c r="AG40" s="4"/>
      <c r="AH40" s="4"/>
      <c r="AI40" s="4" t="str">
        <f>"  " &amp; TEXT(AB40,"#0.00%") &amp; " " &amp; "중계센터 앞 정산요청(1차)" &amp; " " &amp; IF(M40="","",TEXT(M40,"M/D-")) &amp; IF(N40="","",TEXT(N40,"M/D")) &amp; " "</f>
        <v xml:space="preserve">  0.00% 중계센터 앞 정산요청(1차) 3/2-3/2 </v>
      </c>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row>
    <row r="41" spans="1:112" outlineLevel="1">
      <c r="A41" s="116"/>
      <c r="B41" s="116"/>
      <c r="C41" s="116">
        <v>2</v>
      </c>
      <c r="D41" s="3" t="s">
        <v>1173</v>
      </c>
      <c r="E41" s="183"/>
      <c r="F41" s="223" t="s">
        <v>1124</v>
      </c>
      <c r="G41" s="183"/>
      <c r="H41" s="183"/>
      <c r="I41" s="183"/>
      <c r="J41" s="183"/>
      <c r="K41" s="183"/>
      <c r="L41" s="183"/>
      <c r="M41" s="184">
        <v>44623</v>
      </c>
      <c r="N41" s="184">
        <v>44623</v>
      </c>
      <c r="O41" s="185"/>
      <c r="P41" s="186">
        <v>1</v>
      </c>
      <c r="Q41" s="186">
        <v>0</v>
      </c>
      <c r="R41" s="187">
        <v>1</v>
      </c>
      <c r="S41" s="187">
        <v>0</v>
      </c>
      <c r="T41" s="184"/>
      <c r="U41" s="184"/>
      <c r="V41" s="188"/>
      <c r="W41" s="189">
        <v>0</v>
      </c>
      <c r="X41" s="190">
        <v>1</v>
      </c>
      <c r="Y41" s="185"/>
      <c r="Z41" s="191"/>
      <c r="AA41" s="97">
        <v>0</v>
      </c>
      <c r="AB41" s="192">
        <v>0</v>
      </c>
      <c r="AC41" s="123"/>
      <c r="AD41" s="4"/>
      <c r="AE41" s="4"/>
      <c r="AF41" s="4"/>
      <c r="AG41" s="4"/>
      <c r="AH41" s="4"/>
      <c r="AI41" s="4" t="str">
        <f>"   " &amp; TEXT(AB41,"#0.00%") &amp; " " &amp; "중계센터 앞 정산요청(2차)" &amp; " " &amp; IF(M41="","",TEXT(M41,"M/D-")) &amp; IF(N41="","",TEXT(N41,"M/D")) &amp; " "</f>
        <v xml:space="preserve">   0.00% 중계센터 앞 정산요청(2차) 3/3-3/3 </v>
      </c>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row>
    <row r="42" spans="1:112" outlineLevel="1">
      <c r="A42" s="116"/>
      <c r="B42" s="116"/>
      <c r="C42" s="116">
        <v>2</v>
      </c>
      <c r="D42" s="3" t="s">
        <v>1174</v>
      </c>
      <c r="E42" s="183"/>
      <c r="F42" s="223" t="s">
        <v>1125</v>
      </c>
      <c r="G42" s="183"/>
      <c r="H42" s="183"/>
      <c r="I42" s="183"/>
      <c r="J42" s="183"/>
      <c r="K42" s="183"/>
      <c r="L42" s="183"/>
      <c r="M42" s="184">
        <v>44624</v>
      </c>
      <c r="N42" s="184">
        <v>44624</v>
      </c>
      <c r="O42" s="185"/>
      <c r="P42" s="186">
        <v>1</v>
      </c>
      <c r="Q42" s="186">
        <v>0</v>
      </c>
      <c r="R42" s="187">
        <v>1</v>
      </c>
      <c r="S42" s="187">
        <v>0</v>
      </c>
      <c r="T42" s="184"/>
      <c r="U42" s="184"/>
      <c r="V42" s="188"/>
      <c r="W42" s="189">
        <v>0</v>
      </c>
      <c r="X42" s="190">
        <v>1</v>
      </c>
      <c r="Y42" s="185"/>
      <c r="Z42" s="191"/>
      <c r="AA42" s="97">
        <v>0</v>
      </c>
      <c r="AB42" s="192">
        <v>0</v>
      </c>
      <c r="AC42" s="123"/>
      <c r="AD42" s="4"/>
      <c r="AE42" s="4"/>
      <c r="AF42" s="4"/>
      <c r="AG42" s="4"/>
      <c r="AH42" s="4"/>
      <c r="AI42" s="4" t="str">
        <f>"    " &amp; TEXT(AB42,"#0.00%") &amp; " " &amp; "결제사업자 앞 정산결과(1차)" &amp; " " &amp; IF(M42="","",TEXT(M42,"M/D-")) &amp; IF(N42="","",TEXT(N42,"M/D")) &amp; " "</f>
        <v xml:space="preserve">    0.00% 결제사업자 앞 정산결과(1차) 3/4-3/4 </v>
      </c>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row>
    <row r="43" spans="1:112" outlineLevel="1">
      <c r="A43" s="116"/>
      <c r="B43" s="116"/>
      <c r="C43" s="116">
        <v>2</v>
      </c>
      <c r="D43" s="3" t="s">
        <v>1175</v>
      </c>
      <c r="E43" s="183"/>
      <c r="F43" s="223" t="s">
        <v>1126</v>
      </c>
      <c r="G43" s="183"/>
      <c r="H43" s="183"/>
      <c r="I43" s="183"/>
      <c r="J43" s="183"/>
      <c r="K43" s="183"/>
      <c r="L43" s="183"/>
      <c r="M43" s="184">
        <v>44625</v>
      </c>
      <c r="N43" s="184">
        <v>44625</v>
      </c>
      <c r="O43" s="185"/>
      <c r="P43" s="186">
        <v>0</v>
      </c>
      <c r="Q43" s="186">
        <v>0</v>
      </c>
      <c r="R43" s="187">
        <v>0</v>
      </c>
      <c r="S43" s="187">
        <v>0</v>
      </c>
      <c r="T43" s="184"/>
      <c r="U43" s="184"/>
      <c r="V43" s="188"/>
      <c r="W43" s="189">
        <v>0</v>
      </c>
      <c r="X43" s="190">
        <v>1</v>
      </c>
      <c r="Y43" s="185"/>
      <c r="Z43" s="191"/>
      <c r="AA43" s="97">
        <v>0</v>
      </c>
      <c r="AB43" s="192">
        <v>0</v>
      </c>
      <c r="AC43" s="123"/>
      <c r="AD43" s="4"/>
      <c r="AE43" s="4"/>
      <c r="AF43" s="4"/>
      <c r="AG43" s="4"/>
      <c r="AH43" s="4"/>
      <c r="AI43" s="4" t="str">
        <f>"     " &amp; TEXT(AB43,"#0.00%") &amp; " " &amp; "결제사업자 앞 정산결과(2차)" &amp; " " &amp; IF(M43="","",TEXT(M43,"M/D-")) &amp; IF(N43="","",TEXT(N43,"M/D")) &amp; " "</f>
        <v xml:space="preserve">     0.00% 결제사업자 앞 정산결과(2차) 3/5-3/5 </v>
      </c>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row>
    <row r="44" spans="1:112" outlineLevel="1">
      <c r="A44" s="116"/>
      <c r="B44" s="116"/>
      <c r="C44" s="116">
        <v>2</v>
      </c>
      <c r="D44" s="3" t="s">
        <v>1176</v>
      </c>
      <c r="E44" s="183"/>
      <c r="F44" s="223" t="s">
        <v>1127</v>
      </c>
      <c r="G44" s="183"/>
      <c r="H44" s="183"/>
      <c r="I44" s="183"/>
      <c r="J44" s="183"/>
      <c r="K44" s="183"/>
      <c r="L44" s="183"/>
      <c r="M44" s="184">
        <v>44626</v>
      </c>
      <c r="N44" s="184">
        <v>44626</v>
      </c>
      <c r="O44" s="185"/>
      <c r="P44" s="186">
        <v>0</v>
      </c>
      <c r="Q44" s="186">
        <v>0</v>
      </c>
      <c r="R44" s="187">
        <v>0</v>
      </c>
      <c r="S44" s="187">
        <v>0</v>
      </c>
      <c r="T44" s="184"/>
      <c r="U44" s="184"/>
      <c r="V44" s="188"/>
      <c r="W44" s="189">
        <v>0</v>
      </c>
      <c r="X44" s="190">
        <v>1</v>
      </c>
      <c r="Y44" s="185"/>
      <c r="Z44" s="191"/>
      <c r="AA44" s="97">
        <v>0</v>
      </c>
      <c r="AB44" s="192">
        <v>0</v>
      </c>
      <c r="AC44" s="123"/>
      <c r="AD44" s="4"/>
      <c r="AE44" s="4"/>
      <c r="AF44" s="4"/>
      <c r="AG44" s="4"/>
      <c r="AH44" s="4"/>
      <c r="AI44" s="4" t="str">
        <f>"      " &amp; TEXT(AB44,"#0.00%") &amp; " " &amp; "중계센터앞 정산 세부결과(결제)" &amp; " " &amp; IF(M44="","",TEXT(M44,"M/D-")) &amp; IF(N44="","",TEXT(N44,"M/D")) &amp; " "</f>
        <v xml:space="preserve">      0.00% 중계센터앞 정산 세부결과(결제) 3/6-3/6 </v>
      </c>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row>
    <row r="45" spans="1:112" outlineLevel="1">
      <c r="A45" s="116"/>
      <c r="B45" s="116"/>
      <c r="C45" s="116">
        <v>2</v>
      </c>
      <c r="D45" s="3" t="s">
        <v>1177</v>
      </c>
      <c r="E45" s="183"/>
      <c r="F45" s="223" t="s">
        <v>1128</v>
      </c>
      <c r="G45" s="183"/>
      <c r="H45" s="183"/>
      <c r="I45" s="183"/>
      <c r="J45" s="183"/>
      <c r="K45" s="183"/>
      <c r="L45" s="183"/>
      <c r="M45" s="184">
        <v>44627</v>
      </c>
      <c r="N45" s="184">
        <v>44627</v>
      </c>
      <c r="O45" s="185"/>
      <c r="P45" s="186">
        <v>1</v>
      </c>
      <c r="Q45" s="186">
        <v>0</v>
      </c>
      <c r="R45" s="187">
        <v>1</v>
      </c>
      <c r="S45" s="187">
        <v>0</v>
      </c>
      <c r="T45" s="184"/>
      <c r="U45" s="184"/>
      <c r="V45" s="188"/>
      <c r="W45" s="189">
        <v>0</v>
      </c>
      <c r="X45" s="190">
        <v>1</v>
      </c>
      <c r="Y45" s="185"/>
      <c r="Z45" s="191"/>
      <c r="AA45" s="97">
        <v>0</v>
      </c>
      <c r="AB45" s="192">
        <v>0</v>
      </c>
      <c r="AC45" s="123"/>
      <c r="AD45" s="4"/>
      <c r="AE45" s="4"/>
      <c r="AF45" s="4"/>
      <c r="AG45" s="4"/>
      <c r="AH45" s="4"/>
      <c r="AI45" s="4"/>
      <c r="AJ45" s="4" t="str">
        <f>"" &amp; TEXT(AB45,"#0.00%") &amp; " " &amp; "중계센터앞 정산 세부내역(환불)" &amp; " " &amp; IF(M45="","",TEXT(M45,"M/D-")) &amp; IF(N45="","",TEXT(N45,"M/D")) &amp; " "</f>
        <v xml:space="preserve">0.00% 중계센터앞 정산 세부내역(환불) 3/7-3/7 </v>
      </c>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row>
    <row r="46" spans="1:112" outlineLevel="1">
      <c r="A46" s="116"/>
      <c r="B46" s="116"/>
      <c r="C46" s="116">
        <v>2</v>
      </c>
      <c r="D46" s="3" t="s">
        <v>1189</v>
      </c>
      <c r="E46" s="183"/>
      <c r="F46" s="223" t="s">
        <v>1186</v>
      </c>
      <c r="G46" s="183"/>
      <c r="H46" s="183"/>
      <c r="I46" s="183"/>
      <c r="J46" s="183"/>
      <c r="K46" s="183"/>
      <c r="L46" s="183"/>
      <c r="M46" s="184">
        <v>44593</v>
      </c>
      <c r="N46" s="184">
        <v>44628</v>
      </c>
      <c r="O46" s="185"/>
      <c r="P46" s="186">
        <v>26</v>
      </c>
      <c r="Q46" s="186">
        <v>0</v>
      </c>
      <c r="R46" s="187">
        <v>26</v>
      </c>
      <c r="S46" s="187">
        <v>0</v>
      </c>
      <c r="T46" s="184"/>
      <c r="U46" s="184"/>
      <c r="V46" s="188"/>
      <c r="W46" s="189">
        <v>0</v>
      </c>
      <c r="X46" s="190">
        <v>1</v>
      </c>
      <c r="Y46" s="185"/>
      <c r="Z46" s="191"/>
      <c r="AA46" s="97">
        <v>0</v>
      </c>
      <c r="AB46" s="192">
        <v>0</v>
      </c>
      <c r="AC46" s="123"/>
      <c r="AD46" s="4"/>
      <c r="AE46" s="4" t="str">
        <f>" " &amp; TEXT(AB46,"#0.00%") &amp; " "</f>
        <v xml:space="preserve"> 0.00% </v>
      </c>
      <c r="AF46" s="4"/>
      <c r="AG46" s="4"/>
      <c r="AH46" s="4"/>
      <c r="AI46" s="4"/>
      <c r="AJ46" s="4" t="str">
        <f>"  " &amp; "일괄전송 테스트" &amp; " " &amp; IF(M46="","",TEXT(M46,"M/D-")) &amp; IF(N46="","",TEXT(N46,"M/D")) &amp; " "</f>
        <v xml:space="preserve">  일괄전송 테스트 2/1-3/8 </v>
      </c>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row>
    <row r="47" spans="1:112" outlineLevel="1">
      <c r="A47" s="116"/>
      <c r="B47" s="116"/>
      <c r="C47" s="116">
        <v>0</v>
      </c>
      <c r="D47" s="3"/>
      <c r="E47" s="183"/>
      <c r="F47" s="183"/>
      <c r="G47" s="183"/>
      <c r="H47" s="183"/>
      <c r="I47" s="183"/>
      <c r="J47" s="183"/>
      <c r="K47" s="183"/>
      <c r="L47" s="183"/>
      <c r="M47" s="184"/>
      <c r="N47" s="184"/>
      <c r="O47" s="185"/>
      <c r="P47" s="186"/>
      <c r="Q47" s="186"/>
      <c r="R47" s="187">
        <v>0</v>
      </c>
      <c r="S47" s="187">
        <v>0</v>
      </c>
      <c r="T47" s="184"/>
      <c r="U47" s="184"/>
      <c r="V47" s="188"/>
      <c r="W47" s="189">
        <v>0</v>
      </c>
      <c r="X47" s="190"/>
      <c r="Y47" s="185"/>
      <c r="Z47" s="191"/>
      <c r="AA47" s="97"/>
      <c r="AB47" s="192"/>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row>
    <row r="48" spans="1:112">
      <c r="A48" s="116"/>
      <c r="B48" s="116" t="s">
        <v>983</v>
      </c>
      <c r="C48" s="116">
        <v>1</v>
      </c>
      <c r="D48" s="3" t="s">
        <v>1152</v>
      </c>
      <c r="E48" s="223" t="s">
        <v>1090</v>
      </c>
      <c r="F48" s="183"/>
      <c r="G48" s="183"/>
      <c r="H48" s="183"/>
      <c r="I48" s="183"/>
      <c r="J48" s="183"/>
      <c r="K48" s="183"/>
      <c r="L48" s="183"/>
      <c r="M48" s="184">
        <v>44599</v>
      </c>
      <c r="N48" s="184">
        <v>44610</v>
      </c>
      <c r="O48" s="185"/>
      <c r="P48" s="186">
        <v>16</v>
      </c>
      <c r="Q48" s="186">
        <v>0</v>
      </c>
      <c r="R48" s="187">
        <v>10</v>
      </c>
      <c r="S48" s="187">
        <v>0</v>
      </c>
      <c r="T48" s="184"/>
      <c r="U48" s="184"/>
      <c r="V48" s="188">
        <v>0</v>
      </c>
      <c r="W48" s="189">
        <v>0</v>
      </c>
      <c r="X48" s="190"/>
      <c r="Y48" s="185"/>
      <c r="Z48" s="191"/>
      <c r="AA48" s="97">
        <v>0</v>
      </c>
      <c r="AB48" s="192">
        <v>0</v>
      </c>
      <c r="AC48" s="123"/>
      <c r="AD48" s="4"/>
      <c r="AE48" s="4"/>
      <c r="AF48" s="4" t="str">
        <f>"" &amp; TEXT(AB48,"#0.00%") &amp; " " &amp; "업무처리" &amp; " " &amp; IF(M48="","",TEXT(M48,"M/D-")) &amp; IF(N48="","",TEXT(N48,"M/D")) &amp; " "</f>
        <v xml:space="preserve">0.00% 업무처리 2/7-2/18 </v>
      </c>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row>
    <row r="49" spans="1:112" outlineLevel="1">
      <c r="A49" s="116"/>
      <c r="B49" s="116"/>
      <c r="C49" s="116">
        <v>2</v>
      </c>
      <c r="D49" s="3" t="s">
        <v>1153</v>
      </c>
      <c r="E49" s="183"/>
      <c r="F49" s="223" t="s">
        <v>1091</v>
      </c>
      <c r="G49" s="183"/>
      <c r="H49" s="183"/>
      <c r="I49" s="183"/>
      <c r="J49" s="183"/>
      <c r="K49" s="183"/>
      <c r="L49" s="183"/>
      <c r="M49" s="184">
        <v>44599</v>
      </c>
      <c r="N49" s="184">
        <v>44601</v>
      </c>
      <c r="O49" s="185"/>
      <c r="P49" s="186">
        <v>3</v>
      </c>
      <c r="Q49" s="186">
        <v>0</v>
      </c>
      <c r="R49" s="187">
        <v>3</v>
      </c>
      <c r="S49" s="187">
        <v>0</v>
      </c>
      <c r="T49" s="184"/>
      <c r="U49" s="184"/>
      <c r="V49" s="188"/>
      <c r="W49" s="189">
        <v>0</v>
      </c>
      <c r="X49" s="190">
        <v>1</v>
      </c>
      <c r="Y49" s="185"/>
      <c r="Z49" s="191"/>
      <c r="AA49" s="97">
        <v>0</v>
      </c>
      <c r="AB49" s="192">
        <v>0</v>
      </c>
      <c r="AC49" s="123"/>
      <c r="AD49" s="4"/>
      <c r="AE49" s="4"/>
      <c r="AF49" s="4" t="str">
        <f>"" &amp; TEXT(AB49,"#0.00%") &amp; " " &amp; "결제처리" &amp; " " &amp; IF(M49="","",TEXT(M49,"M/D-")) &amp; IF(N49="","",TEXT(N49,"M/D")) &amp; " "</f>
        <v xml:space="preserve">0.00% 결제처리 2/7-2/9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row>
    <row r="50" spans="1:112" outlineLevel="1">
      <c r="A50" s="116"/>
      <c r="B50" s="116"/>
      <c r="C50" s="116">
        <v>2</v>
      </c>
      <c r="D50" s="3" t="s">
        <v>1154</v>
      </c>
      <c r="E50" s="183"/>
      <c r="F50" s="222" t="s">
        <v>1093</v>
      </c>
      <c r="G50" s="183"/>
      <c r="H50" s="183"/>
      <c r="I50" s="183"/>
      <c r="J50" s="183"/>
      <c r="K50" s="183"/>
      <c r="L50" s="183"/>
      <c r="M50" s="184">
        <v>44602</v>
      </c>
      <c r="N50" s="184">
        <v>44606</v>
      </c>
      <c r="O50" s="185"/>
      <c r="P50" s="186">
        <v>3</v>
      </c>
      <c r="Q50" s="186">
        <v>0</v>
      </c>
      <c r="R50" s="187">
        <v>3</v>
      </c>
      <c r="S50" s="187">
        <v>0</v>
      </c>
      <c r="T50" s="184"/>
      <c r="U50" s="184"/>
      <c r="V50" s="188"/>
      <c r="W50" s="189">
        <v>0</v>
      </c>
      <c r="X50" s="190">
        <v>1</v>
      </c>
      <c r="Y50" s="185"/>
      <c r="Z50" s="191"/>
      <c r="AA50" s="97">
        <v>0</v>
      </c>
      <c r="AB50" s="192">
        <v>0</v>
      </c>
      <c r="AC50" s="123"/>
      <c r="AD50" s="4"/>
      <c r="AE50" s="4"/>
      <c r="AF50" s="4" t="str">
        <f>"   " &amp; TEXT(AB50,"#0.00%") &amp; " " &amp; "결제취소처리" &amp; " " &amp; IF(M50="","",TEXT(M50,"M/D-")) &amp; IF(N50="","",TEXT(N50,"M/D")) &amp; " "</f>
        <v xml:space="preserve">   0.00% 결제취소처리 2/10-2/14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row>
    <row r="51" spans="1:112" outlineLevel="1">
      <c r="A51" s="116"/>
      <c r="B51" s="116"/>
      <c r="C51" s="116">
        <v>2</v>
      </c>
      <c r="D51" s="3" t="s">
        <v>1155</v>
      </c>
      <c r="E51" s="183"/>
      <c r="F51" s="223" t="s">
        <v>1092</v>
      </c>
      <c r="G51" s="183"/>
      <c r="H51" s="183"/>
      <c r="I51" s="183"/>
      <c r="J51" s="183"/>
      <c r="K51" s="183"/>
      <c r="L51" s="183"/>
      <c r="M51" s="184">
        <v>44607</v>
      </c>
      <c r="N51" s="184">
        <v>44609</v>
      </c>
      <c r="O51" s="185"/>
      <c r="P51" s="186">
        <v>3</v>
      </c>
      <c r="Q51" s="186">
        <v>0</v>
      </c>
      <c r="R51" s="187">
        <v>3</v>
      </c>
      <c r="S51" s="187">
        <v>0</v>
      </c>
      <c r="T51" s="184"/>
      <c r="U51" s="184"/>
      <c r="V51" s="188"/>
      <c r="W51" s="189">
        <v>0</v>
      </c>
      <c r="X51" s="190">
        <v>1</v>
      </c>
      <c r="Y51" s="185"/>
      <c r="Z51" s="191"/>
      <c r="AA51" s="97">
        <v>0</v>
      </c>
      <c r="AB51" s="192">
        <v>0</v>
      </c>
      <c r="AC51" s="123"/>
      <c r="AD51" s="4"/>
      <c r="AE51" s="4"/>
      <c r="AF51" s="4"/>
      <c r="AG51" s="4" t="str">
        <f>" " &amp; TEXT(AB51,"#0.00%") &amp; " " &amp; "환불처리" &amp; " " &amp; IF(M51="","",TEXT(M51,"M/D-")) &amp; IF(N51="","",TEXT(N51,"M/D")) &amp; " "</f>
        <v xml:space="preserve"> 0.00% 환불처리 2/15-2/17 </v>
      </c>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row>
    <row r="52" spans="1:112" outlineLevel="1">
      <c r="A52" s="116"/>
      <c r="B52" s="116"/>
      <c r="C52" s="116">
        <v>2</v>
      </c>
      <c r="D52" s="3" t="s">
        <v>1156</v>
      </c>
      <c r="E52" s="183"/>
      <c r="F52" s="223" t="s">
        <v>1187</v>
      </c>
      <c r="G52" s="183"/>
      <c r="H52" s="183"/>
      <c r="I52" s="183"/>
      <c r="J52" s="183"/>
      <c r="K52" s="183"/>
      <c r="L52" s="183"/>
      <c r="M52" s="184">
        <v>44602</v>
      </c>
      <c r="N52" s="184">
        <v>44610</v>
      </c>
      <c r="O52" s="185"/>
      <c r="P52" s="186">
        <v>7</v>
      </c>
      <c r="Q52" s="186">
        <v>0</v>
      </c>
      <c r="R52" s="187">
        <v>7</v>
      </c>
      <c r="S52" s="187">
        <v>0</v>
      </c>
      <c r="T52" s="184"/>
      <c r="U52" s="184"/>
      <c r="V52" s="188"/>
      <c r="W52" s="189">
        <v>0</v>
      </c>
      <c r="X52" s="190">
        <v>1</v>
      </c>
      <c r="Y52" s="185"/>
      <c r="Z52" s="191"/>
      <c r="AA52" s="97">
        <v>0</v>
      </c>
      <c r="AB52" s="192">
        <v>0</v>
      </c>
      <c r="AC52" s="123"/>
      <c r="AD52" s="4"/>
      <c r="AE52" s="4"/>
      <c r="AF52" s="4" t="str">
        <f>"   " &amp; TEXT(AB52,"#0.00%") &amp; " " &amp; "업무처리 테스트" &amp; " " &amp; IF(M52="","",TEXT(M52,"M/D-")) &amp; IF(N52="","",TEXT(N52,"M/D")) &amp; " "</f>
        <v xml:space="preserve">   0.00% 업무처리 테스트 2/10-2/18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row>
    <row r="53" spans="1:112" outlineLevel="1">
      <c r="A53" s="116"/>
      <c r="B53" s="116"/>
      <c r="C53" s="116">
        <v>0</v>
      </c>
      <c r="D53" s="3"/>
      <c r="E53" s="183"/>
      <c r="F53" s="223"/>
      <c r="G53" s="183"/>
      <c r="H53" s="183"/>
      <c r="I53" s="183"/>
      <c r="J53" s="183"/>
      <c r="K53" s="183"/>
      <c r="L53" s="183"/>
      <c r="M53" s="184"/>
      <c r="N53" s="184"/>
      <c r="O53" s="185"/>
      <c r="P53" s="186"/>
      <c r="Q53" s="186"/>
      <c r="R53" s="187">
        <v>0</v>
      </c>
      <c r="S53" s="187">
        <v>0</v>
      </c>
      <c r="T53" s="184"/>
      <c r="U53" s="184"/>
      <c r="V53" s="188"/>
      <c r="W53" s="189">
        <v>0</v>
      </c>
      <c r="X53" s="190"/>
      <c r="Y53" s="185"/>
      <c r="Z53" s="191"/>
      <c r="AA53" s="97"/>
      <c r="AB53" s="192"/>
      <c r="AC53" s="123"/>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row>
    <row r="54" spans="1:112" ht="13.2">
      <c r="A54" s="116"/>
      <c r="B54" s="116" t="s">
        <v>983</v>
      </c>
      <c r="C54" s="116">
        <v>1</v>
      </c>
      <c r="D54" s="3" t="s">
        <v>1157</v>
      </c>
      <c r="E54" s="256" t="s">
        <v>1082</v>
      </c>
      <c r="F54" s="183"/>
      <c r="G54" s="183"/>
      <c r="H54" s="183"/>
      <c r="I54" s="183"/>
      <c r="J54" s="183"/>
      <c r="K54" s="183"/>
      <c r="L54" s="183"/>
      <c r="M54" s="184">
        <v>44599</v>
      </c>
      <c r="N54" s="184">
        <v>44617</v>
      </c>
      <c r="O54" s="185"/>
      <c r="P54" s="186">
        <v>25</v>
      </c>
      <c r="Q54" s="186">
        <v>0</v>
      </c>
      <c r="R54" s="187">
        <v>15</v>
      </c>
      <c r="S54" s="187">
        <v>0</v>
      </c>
      <c r="T54" s="184"/>
      <c r="U54" s="184"/>
      <c r="V54" s="188">
        <v>0</v>
      </c>
      <c r="W54" s="189">
        <v>0</v>
      </c>
      <c r="X54" s="190"/>
      <c r="Y54" s="185"/>
      <c r="Z54" s="191"/>
      <c r="AA54" s="97">
        <v>0</v>
      </c>
      <c r="AB54" s="192">
        <v>0</v>
      </c>
      <c r="AC54" s="123"/>
      <c r="AD54" s="4"/>
      <c r="AE54" s="4"/>
      <c r="AF54" s="4" t="str">
        <f>"" &amp; TEXT(AB54,"#0.00%") &amp; " " &amp; "기타" &amp; " " &amp; IF(M54="","",TEXT(M54,"M/D-")) &amp; IF(N54="","",TEXT(N54,"M/D")) &amp; " "</f>
        <v xml:space="preserve">0.00% 기타 2/7-2/25 </v>
      </c>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row>
    <row r="55" spans="1:112" ht="13.2" outlineLevel="1">
      <c r="A55" s="116"/>
      <c r="B55" s="116"/>
      <c r="C55" s="116">
        <v>2</v>
      </c>
      <c r="D55" s="3" t="s">
        <v>1178</v>
      </c>
      <c r="E55" s="183"/>
      <c r="F55" s="256" t="s">
        <v>1083</v>
      </c>
      <c r="G55" s="183"/>
      <c r="H55" s="183"/>
      <c r="I55" s="183"/>
      <c r="J55" s="183"/>
      <c r="K55" s="183"/>
      <c r="L55" s="183"/>
      <c r="M55" s="184">
        <v>44599</v>
      </c>
      <c r="N55" s="184">
        <v>44601</v>
      </c>
      <c r="O55" s="185"/>
      <c r="P55" s="186">
        <v>3</v>
      </c>
      <c r="Q55" s="186">
        <v>0</v>
      </c>
      <c r="R55" s="187">
        <v>3</v>
      </c>
      <c r="S55" s="187">
        <v>0</v>
      </c>
      <c r="T55" s="184"/>
      <c r="U55" s="184"/>
      <c r="V55" s="188"/>
      <c r="W55" s="189">
        <v>0</v>
      </c>
      <c r="X55" s="190">
        <v>1</v>
      </c>
      <c r="Y55" s="185"/>
      <c r="Z55" s="191"/>
      <c r="AA55" s="97">
        <v>0</v>
      </c>
      <c r="AB55" s="192">
        <v>0</v>
      </c>
      <c r="AC55" s="123"/>
      <c r="AD55" s="4"/>
      <c r="AE55" s="4"/>
      <c r="AF55" s="4" t="str">
        <f>"" &amp; TEXT(AB55,"#0.00%") &amp; " " &amp; "결제토큰생성" &amp; " " &amp; IF(M55="","",TEXT(M55,"M/D-")) &amp; IF(N55="","",TEXT(N55,"M/D")) &amp; " "</f>
        <v xml:space="preserve">0.00% 결제토큰생성 2/7-2/9 </v>
      </c>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row>
    <row r="56" spans="1:112" outlineLevel="1">
      <c r="A56" s="116"/>
      <c r="B56" s="116"/>
      <c r="C56" s="116">
        <v>2</v>
      </c>
      <c r="D56" s="3" t="s">
        <v>1179</v>
      </c>
      <c r="E56" s="183"/>
      <c r="F56" s="183" t="s">
        <v>1129</v>
      </c>
      <c r="G56" s="183"/>
      <c r="H56" s="183"/>
      <c r="I56" s="183"/>
      <c r="J56" s="183"/>
      <c r="K56" s="183"/>
      <c r="L56" s="183"/>
      <c r="M56" s="184">
        <v>44602</v>
      </c>
      <c r="N56" s="184">
        <v>44606</v>
      </c>
      <c r="O56" s="185"/>
      <c r="P56" s="186">
        <v>3</v>
      </c>
      <c r="Q56" s="186">
        <v>0</v>
      </c>
      <c r="R56" s="187">
        <v>3</v>
      </c>
      <c r="S56" s="187">
        <v>0</v>
      </c>
      <c r="T56" s="184"/>
      <c r="U56" s="184"/>
      <c r="V56" s="188"/>
      <c r="W56" s="189">
        <v>0</v>
      </c>
      <c r="X56" s="190">
        <v>1</v>
      </c>
      <c r="Y56" s="185"/>
      <c r="Z56" s="191"/>
      <c r="AA56" s="97">
        <v>0</v>
      </c>
      <c r="AB56" s="192">
        <v>0</v>
      </c>
      <c r="AC56" s="123"/>
      <c r="AD56" s="4"/>
      <c r="AE56" s="4"/>
      <c r="AF56" s="4" t="str">
        <f>"   " &amp; TEXT(AB56,"#0.00%") &amp; " " &amp; "QR코드 생성" &amp; " " &amp; IF(M56="","",TEXT(M56,"M/D-")) &amp; IF(N56="","",TEXT(N56,"M/D")) &amp; " "</f>
        <v xml:space="preserve">   0.00% QR코드 생성 2/10-2/14 </v>
      </c>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row>
    <row r="57" spans="1:112" outlineLevel="1">
      <c r="A57" s="116"/>
      <c r="B57" s="116"/>
      <c r="C57" s="116">
        <v>2</v>
      </c>
      <c r="D57" s="3" t="s">
        <v>1180</v>
      </c>
      <c r="E57" s="183"/>
      <c r="F57" s="222" t="s">
        <v>1084</v>
      </c>
      <c r="G57" s="183"/>
      <c r="H57" s="183"/>
      <c r="I57" s="183"/>
      <c r="J57" s="183"/>
      <c r="K57" s="183"/>
      <c r="L57" s="183"/>
      <c r="M57" s="184">
        <v>44607</v>
      </c>
      <c r="N57" s="184">
        <v>44609</v>
      </c>
      <c r="O57" s="185"/>
      <c r="P57" s="186">
        <v>3</v>
      </c>
      <c r="Q57" s="186">
        <v>0</v>
      </c>
      <c r="R57" s="187">
        <v>3</v>
      </c>
      <c r="S57" s="187">
        <v>0</v>
      </c>
      <c r="T57" s="184"/>
      <c r="U57" s="184"/>
      <c r="V57" s="188"/>
      <c r="W57" s="189">
        <v>0</v>
      </c>
      <c r="X57" s="190">
        <v>1</v>
      </c>
      <c r="Y57" s="185"/>
      <c r="Z57" s="191"/>
      <c r="AA57" s="97">
        <v>0</v>
      </c>
      <c r="AB57" s="192">
        <v>0</v>
      </c>
      <c r="AC57" s="123"/>
      <c r="AD57" s="4"/>
      <c r="AE57" s="4"/>
      <c r="AF57" s="4"/>
      <c r="AG57" s="4" t="str">
        <f>" " &amp; TEXT(AB57,"#0.00%") &amp; " " &amp; "바코드 생성" &amp; " " &amp; IF(M57="","",TEXT(M57,"M/D-")) &amp; IF(N57="","",TEXT(N57,"M/D")) &amp; " "</f>
        <v xml:space="preserve"> 0.00% 바코드 생성 2/15-2/17 </v>
      </c>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row>
    <row r="58" spans="1:112" outlineLevel="1">
      <c r="A58" s="116"/>
      <c r="B58" s="116"/>
      <c r="C58" s="116">
        <v>2</v>
      </c>
      <c r="D58" s="3" t="s">
        <v>1181</v>
      </c>
      <c r="E58" s="183"/>
      <c r="F58" s="222" t="s">
        <v>1086</v>
      </c>
      <c r="G58" s="183"/>
      <c r="H58" s="183"/>
      <c r="I58" s="183"/>
      <c r="J58" s="183"/>
      <c r="K58" s="183"/>
      <c r="L58" s="183"/>
      <c r="M58" s="184">
        <v>44610</v>
      </c>
      <c r="N58" s="184">
        <v>44610</v>
      </c>
      <c r="O58" s="185"/>
      <c r="P58" s="186">
        <v>1</v>
      </c>
      <c r="Q58" s="186">
        <v>0</v>
      </c>
      <c r="R58" s="187">
        <v>1</v>
      </c>
      <c r="S58" s="187">
        <v>0</v>
      </c>
      <c r="T58" s="184"/>
      <c r="U58" s="184"/>
      <c r="V58" s="188"/>
      <c r="W58" s="189">
        <v>0</v>
      </c>
      <c r="X58" s="190">
        <v>1</v>
      </c>
      <c r="Y58" s="185"/>
      <c r="Z58" s="191"/>
      <c r="AA58" s="97">
        <v>0</v>
      </c>
      <c r="AB58" s="192">
        <v>0</v>
      </c>
      <c r="AC58" s="123"/>
      <c r="AD58" s="4"/>
      <c r="AE58" s="4"/>
      <c r="AF58" s="4"/>
      <c r="AG58" s="4" t="str">
        <f>"    " &amp; TEXT(AB58,"#0.00%") &amp; " " &amp; "거래고유번호 생성" &amp; " " &amp; IF(M58="","",TEXT(M58,"M/D-")) &amp; IF(N58="","",TEXT(N58,"M/D")) &amp; " "</f>
        <v xml:space="preserve">    0.00% 거래고유번호 생성 2/18-2/18 </v>
      </c>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row>
    <row r="59" spans="1:112" outlineLevel="1">
      <c r="A59" s="116"/>
      <c r="B59" s="116"/>
      <c r="C59" s="116">
        <v>2</v>
      </c>
      <c r="D59" s="3" t="s">
        <v>1182</v>
      </c>
      <c r="E59" s="183"/>
      <c r="F59" s="222" t="s">
        <v>1089</v>
      </c>
      <c r="G59" s="183"/>
      <c r="H59" s="183"/>
      <c r="I59" s="183"/>
      <c r="J59" s="183"/>
      <c r="K59" s="183"/>
      <c r="L59" s="183"/>
      <c r="M59" s="184">
        <v>44613</v>
      </c>
      <c r="N59" s="184">
        <v>44615</v>
      </c>
      <c r="O59" s="185"/>
      <c r="P59" s="186">
        <v>3</v>
      </c>
      <c r="Q59" s="186">
        <v>0</v>
      </c>
      <c r="R59" s="187">
        <v>3</v>
      </c>
      <c r="S59" s="187">
        <v>0</v>
      </c>
      <c r="T59" s="184"/>
      <c r="U59" s="184"/>
      <c r="V59" s="188"/>
      <c r="W59" s="189">
        <v>0</v>
      </c>
      <c r="X59" s="190">
        <v>1</v>
      </c>
      <c r="Y59" s="185"/>
      <c r="Z59" s="191"/>
      <c r="AA59" s="97">
        <v>0</v>
      </c>
      <c r="AB59" s="192">
        <v>0</v>
      </c>
      <c r="AC59" s="123"/>
      <c r="AD59" s="4"/>
      <c r="AE59" s="4"/>
      <c r="AF59" s="4"/>
      <c r="AG59" s="4"/>
      <c r="AH59" s="4" t="str">
        <f>"" &amp; TEXT(AB59,"#0.00%") &amp; " " &amp; "암/복호화 처리" &amp; " " &amp; IF(M59="","",TEXT(M59,"M/D-")) &amp; IF(N59="","",TEXT(N59,"M/D")) &amp; " "</f>
        <v xml:space="preserve">0.00% 암/복호화 처리 2/21-2/23 </v>
      </c>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row>
    <row r="60" spans="1:112" outlineLevel="1">
      <c r="A60" s="116"/>
      <c r="B60" s="116"/>
      <c r="C60" s="116">
        <v>2</v>
      </c>
      <c r="D60" s="3" t="s">
        <v>1190</v>
      </c>
      <c r="E60" s="183"/>
      <c r="F60" s="222" t="s">
        <v>1188</v>
      </c>
      <c r="G60" s="183"/>
      <c r="H60" s="183"/>
      <c r="I60" s="183"/>
      <c r="J60" s="183"/>
      <c r="K60" s="183"/>
      <c r="L60" s="183"/>
      <c r="M60" s="184">
        <v>44602</v>
      </c>
      <c r="N60" s="184">
        <v>44617</v>
      </c>
      <c r="O60" s="185"/>
      <c r="P60" s="186">
        <v>12</v>
      </c>
      <c r="Q60" s="186">
        <v>0</v>
      </c>
      <c r="R60" s="187">
        <v>12</v>
      </c>
      <c r="S60" s="187">
        <v>0</v>
      </c>
      <c r="T60" s="184"/>
      <c r="U60" s="184"/>
      <c r="V60" s="188"/>
      <c r="W60" s="189">
        <v>0</v>
      </c>
      <c r="X60" s="190">
        <v>1</v>
      </c>
      <c r="Y60" s="185"/>
      <c r="Z60" s="191"/>
      <c r="AA60" s="97">
        <v>0</v>
      </c>
      <c r="AB60" s="192">
        <v>0</v>
      </c>
      <c r="AC60" s="123"/>
      <c r="AD60" s="4"/>
      <c r="AE60" s="4"/>
      <c r="AF60" s="4" t="str">
        <f>"   " &amp; TEXT(AB60,"#0.00%") &amp; " " &amp; "기타 테스트" &amp; " " &amp; IF(M60="","",TEXT(M60,"M/D-")) &amp; IF(N60="","",TEXT(N60,"M/D")) &amp; " "</f>
        <v xml:space="preserve">   0.00% 기타 테스트 2/10-2/25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row>
    <row r="61" spans="1:112" outlineLevel="1">
      <c r="A61" s="116"/>
      <c r="B61" s="116"/>
      <c r="C61" s="116">
        <v>0</v>
      </c>
      <c r="D61" s="3"/>
      <c r="E61" s="183"/>
      <c r="F61" s="222"/>
      <c r="G61" s="183"/>
      <c r="H61" s="183"/>
      <c r="I61" s="183"/>
      <c r="J61" s="183"/>
      <c r="K61" s="183"/>
      <c r="L61" s="183"/>
      <c r="M61" s="184"/>
      <c r="N61" s="184"/>
      <c r="O61" s="185"/>
      <c r="P61" s="186"/>
      <c r="Q61" s="186"/>
      <c r="R61" s="187">
        <v>0</v>
      </c>
      <c r="S61" s="187">
        <v>0</v>
      </c>
      <c r="T61" s="184"/>
      <c r="U61" s="184"/>
      <c r="V61" s="188"/>
      <c r="W61" s="189">
        <v>0</v>
      </c>
      <c r="X61" s="190"/>
      <c r="Y61" s="185"/>
      <c r="Z61" s="191"/>
      <c r="AA61" s="97"/>
      <c r="AB61" s="192"/>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row>
    <row r="62" spans="1:112">
      <c r="A62" s="116"/>
      <c r="B62" s="116" t="s">
        <v>983</v>
      </c>
      <c r="C62" s="116">
        <v>1</v>
      </c>
      <c r="D62" s="3" t="s">
        <v>1183</v>
      </c>
      <c r="E62" s="223" t="s">
        <v>1094</v>
      </c>
      <c r="F62" s="183"/>
      <c r="G62" s="183"/>
      <c r="H62" s="183"/>
      <c r="I62" s="183"/>
      <c r="J62" s="183"/>
      <c r="K62" s="183"/>
      <c r="L62" s="183"/>
      <c r="M62" s="184"/>
      <c r="N62" s="184"/>
      <c r="O62" s="185"/>
      <c r="P62" s="186">
        <v>0</v>
      </c>
      <c r="Q62" s="186">
        <v>0</v>
      </c>
      <c r="R62" s="187">
        <v>0</v>
      </c>
      <c r="S62" s="187">
        <v>0</v>
      </c>
      <c r="T62" s="184"/>
      <c r="U62" s="184"/>
      <c r="V62" s="188">
        <v>0</v>
      </c>
      <c r="W62" s="189">
        <v>0</v>
      </c>
      <c r="X62" s="190"/>
      <c r="Y62" s="185"/>
      <c r="Z62" s="191"/>
      <c r="AA62" s="97">
        <v>0</v>
      </c>
      <c r="AB62" s="192">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row>
    <row r="63" spans="1:112" outlineLevel="1">
      <c r="A63" s="116"/>
      <c r="B63" s="116"/>
      <c r="C63" s="116">
        <v>2</v>
      </c>
      <c r="D63" s="3" t="s">
        <v>1195</v>
      </c>
      <c r="E63" s="183"/>
      <c r="F63" s="223" t="s">
        <v>1192</v>
      </c>
      <c r="G63" s="183"/>
      <c r="H63" s="183"/>
      <c r="I63" s="183"/>
      <c r="J63" s="183"/>
      <c r="K63" s="183"/>
      <c r="L63" s="183"/>
      <c r="M63" s="184"/>
      <c r="N63" s="184"/>
      <c r="O63" s="185"/>
      <c r="P63" s="186">
        <v>0</v>
      </c>
      <c r="Q63" s="186">
        <v>0</v>
      </c>
      <c r="R63" s="187">
        <v>0</v>
      </c>
      <c r="S63" s="187">
        <v>0</v>
      </c>
      <c r="T63" s="184"/>
      <c r="U63" s="184"/>
      <c r="V63" s="188">
        <v>0</v>
      </c>
      <c r="W63" s="189">
        <v>0</v>
      </c>
      <c r="X63" s="190"/>
      <c r="Y63" s="185"/>
      <c r="Z63" s="191"/>
      <c r="AA63" s="97">
        <v>0</v>
      </c>
      <c r="AB63" s="19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row>
    <row r="64" spans="1:112" outlineLevel="1">
      <c r="A64" s="116"/>
      <c r="B64" s="116"/>
      <c r="C64" s="116">
        <v>0</v>
      </c>
      <c r="D64" s="3"/>
      <c r="E64" s="183"/>
      <c r="F64" s="223"/>
      <c r="G64" s="183"/>
      <c r="H64" s="183"/>
      <c r="I64" s="183"/>
      <c r="J64" s="183"/>
      <c r="K64" s="183"/>
      <c r="L64" s="183"/>
      <c r="M64" s="184"/>
      <c r="N64" s="184"/>
      <c r="O64" s="185"/>
      <c r="P64" s="186"/>
      <c r="Q64" s="186"/>
      <c r="R64" s="187">
        <v>0</v>
      </c>
      <c r="S64" s="187">
        <v>0</v>
      </c>
      <c r="T64" s="184"/>
      <c r="U64" s="184"/>
      <c r="V64" s="188"/>
      <c r="W64" s="189">
        <v>0</v>
      </c>
      <c r="X64" s="190"/>
      <c r="Y64" s="185"/>
      <c r="Z64" s="191"/>
      <c r="AA64" s="97"/>
      <c r="AB64" s="192"/>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row>
    <row r="65" spans="1:112" ht="13.2">
      <c r="A65" s="116"/>
      <c r="B65" s="116" t="s">
        <v>983</v>
      </c>
      <c r="C65" s="116">
        <v>1</v>
      </c>
      <c r="D65" s="3" t="s">
        <v>1191</v>
      </c>
      <c r="E65" s="256" t="s">
        <v>1184</v>
      </c>
      <c r="F65" s="183"/>
      <c r="G65" s="183"/>
      <c r="H65" s="183"/>
      <c r="I65" s="183"/>
      <c r="J65" s="183"/>
      <c r="K65" s="183"/>
      <c r="L65" s="183"/>
      <c r="M65" s="184">
        <v>44634</v>
      </c>
      <c r="N65" s="184">
        <v>44651</v>
      </c>
      <c r="O65" s="185"/>
      <c r="P65" s="186">
        <v>14</v>
      </c>
      <c r="Q65" s="186">
        <v>0</v>
      </c>
      <c r="R65" s="187">
        <v>14</v>
      </c>
      <c r="S65" s="187">
        <v>0</v>
      </c>
      <c r="T65" s="184"/>
      <c r="U65" s="184"/>
      <c r="V65" s="188">
        <v>0</v>
      </c>
      <c r="W65" s="189">
        <v>0</v>
      </c>
      <c r="X65" s="190"/>
      <c r="Y65" s="185"/>
      <c r="Z65" s="191"/>
      <c r="AA65" s="97">
        <v>0</v>
      </c>
      <c r="AB65" s="192">
        <v>0</v>
      </c>
      <c r="AC65" s="123"/>
      <c r="AD65" s="4"/>
      <c r="AE65" s="4"/>
      <c r="AF65" s="4"/>
      <c r="AG65" s="4"/>
      <c r="AH65" s="4"/>
      <c r="AI65" s="4"/>
      <c r="AJ65" s="4"/>
      <c r="AK65" s="4" t="str">
        <f>"" &amp; TEXT(AB65,"#0.00%") &amp; " " &amp; "테스트" &amp; " " &amp; IF(M65="","",TEXT(M65,"M/D-")) &amp; IF(N65="","",TEXT(N65,"M/D")) &amp; " "</f>
        <v xml:space="preserve">0.00% 테스트 3/14-3/31 </v>
      </c>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row>
    <row r="66" spans="1:112" outlineLevel="1">
      <c r="A66" s="116"/>
      <c r="B66" s="116"/>
      <c r="C66" s="116">
        <v>2</v>
      </c>
      <c r="D66" s="3" t="s">
        <v>1196</v>
      </c>
      <c r="E66" s="183"/>
      <c r="F66" s="223" t="s">
        <v>1194</v>
      </c>
      <c r="G66" s="183"/>
      <c r="H66" s="183"/>
      <c r="I66" s="183"/>
      <c r="J66" s="183"/>
      <c r="K66" s="183"/>
      <c r="L66" s="183"/>
      <c r="M66" s="184">
        <v>44634</v>
      </c>
      <c r="N66" s="184">
        <v>44645</v>
      </c>
      <c r="O66" s="185"/>
      <c r="P66" s="186">
        <v>10</v>
      </c>
      <c r="Q66" s="186">
        <v>0</v>
      </c>
      <c r="R66" s="187">
        <v>10</v>
      </c>
      <c r="S66" s="187">
        <v>0</v>
      </c>
      <c r="T66" s="184"/>
      <c r="U66" s="184"/>
      <c r="V66" s="188"/>
      <c r="W66" s="189">
        <v>0</v>
      </c>
      <c r="X66" s="190">
        <v>1</v>
      </c>
      <c r="Y66" s="185"/>
      <c r="Z66" s="191"/>
      <c r="AA66" s="97">
        <v>0</v>
      </c>
      <c r="AB66" s="192">
        <v>0</v>
      </c>
      <c r="AC66" s="123"/>
      <c r="AD66" s="4"/>
      <c r="AE66" s="4"/>
      <c r="AF66" s="4"/>
      <c r="AG66" s="4"/>
      <c r="AH66" s="4"/>
      <c r="AI66" s="4"/>
      <c r="AJ66" s="4"/>
      <c r="AK66" s="4" t="str">
        <f>"" &amp; TEXT(AB66,"#0.00%") &amp; " " &amp; "기능 테스트" &amp; " " &amp; IF(M66="","",TEXT(M66,"M/D-")) &amp; IF(N66="","",TEXT(N66,"M/D")) &amp; " "</f>
        <v xml:space="preserve">0.00% 기능 테스트 3/14-3/25 </v>
      </c>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row>
    <row r="67" spans="1:112" outlineLevel="1">
      <c r="A67" s="116"/>
      <c r="B67" s="116"/>
      <c r="C67" s="116">
        <v>2</v>
      </c>
      <c r="D67" s="3" t="s">
        <v>1197</v>
      </c>
      <c r="E67" s="183"/>
      <c r="F67" s="223" t="s">
        <v>1193</v>
      </c>
      <c r="G67" s="183"/>
      <c r="H67" s="183"/>
      <c r="I67" s="183"/>
      <c r="J67" s="183"/>
      <c r="K67" s="183"/>
      <c r="L67" s="183"/>
      <c r="M67" s="184">
        <v>44648</v>
      </c>
      <c r="N67" s="184">
        <v>44651</v>
      </c>
      <c r="O67" s="185"/>
      <c r="P67" s="186">
        <v>4</v>
      </c>
      <c r="Q67" s="186">
        <v>0</v>
      </c>
      <c r="R67" s="187">
        <v>4</v>
      </c>
      <c r="S67" s="187">
        <v>0</v>
      </c>
      <c r="T67" s="184"/>
      <c r="U67" s="184"/>
      <c r="V67" s="188"/>
      <c r="W67" s="189">
        <v>0</v>
      </c>
      <c r="X67" s="190">
        <v>1</v>
      </c>
      <c r="Y67" s="185"/>
      <c r="Z67" s="191"/>
      <c r="AA67" s="97">
        <v>0</v>
      </c>
      <c r="AB67" s="192">
        <v>0</v>
      </c>
      <c r="AC67" s="123"/>
      <c r="AD67" s="4"/>
      <c r="AE67" s="4"/>
      <c r="AF67" s="4"/>
      <c r="AG67" s="4"/>
      <c r="AH67" s="4"/>
      <c r="AI67" s="4"/>
      <c r="AJ67" s="4"/>
      <c r="AK67" s="4"/>
      <c r="AL67" s="4"/>
      <c r="AM67" s="4" t="str">
        <f>"" &amp; TEXT(AB67,"#0.00%") &amp; " " &amp; "통합 테스트" &amp; " " &amp; IF(M67="","",TEXT(M67,"M/D-")) &amp; IF(N67="","",TEXT(N67,"M/D")) &amp; " "</f>
        <v xml:space="preserve">0.00% 통합 테스트 3/28-3/31 </v>
      </c>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row>
    <row r="68" spans="1:112" outlineLevel="1">
      <c r="A68" s="116"/>
      <c r="B68" s="116"/>
      <c r="C68" s="116">
        <v>0</v>
      </c>
      <c r="D68" s="3"/>
      <c r="E68" s="183"/>
      <c r="F68" s="183"/>
      <c r="G68" s="183"/>
      <c r="H68" s="183"/>
      <c r="I68" s="183"/>
      <c r="J68" s="183"/>
      <c r="K68" s="183"/>
      <c r="L68" s="183"/>
      <c r="M68" s="184"/>
      <c r="N68" s="184"/>
      <c r="O68" s="185"/>
      <c r="P68" s="186"/>
      <c r="Q68" s="186"/>
      <c r="R68" s="187">
        <v>0</v>
      </c>
      <c r="S68" s="187">
        <v>0</v>
      </c>
      <c r="T68" s="184"/>
      <c r="U68" s="184"/>
      <c r="V68" s="188"/>
      <c r="W68" s="189">
        <v>0</v>
      </c>
      <c r="X68" s="190"/>
      <c r="Y68" s="185"/>
      <c r="Z68" s="191"/>
      <c r="AA68" s="97"/>
      <c r="AB68" s="192"/>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row>
    <row r="69" spans="1:112">
      <c r="A69" s="116"/>
      <c r="B69" s="116" t="s">
        <v>983</v>
      </c>
      <c r="C69" s="116">
        <v>1</v>
      </c>
      <c r="D69" s="3" t="s">
        <v>1199</v>
      </c>
      <c r="E69" s="223" t="s">
        <v>1198</v>
      </c>
      <c r="F69" s="183"/>
      <c r="G69" s="183"/>
      <c r="H69" s="183"/>
      <c r="I69" s="183"/>
      <c r="J69" s="183"/>
      <c r="K69" s="183"/>
      <c r="L69" s="183"/>
      <c r="M69" s="184">
        <v>44655</v>
      </c>
      <c r="N69" s="184">
        <v>44656</v>
      </c>
      <c r="O69" s="185"/>
      <c r="P69" s="186">
        <v>2</v>
      </c>
      <c r="Q69" s="186">
        <v>0</v>
      </c>
      <c r="R69" s="187">
        <v>2</v>
      </c>
      <c r="S69" s="187">
        <v>0</v>
      </c>
      <c r="T69" s="184"/>
      <c r="U69" s="184"/>
      <c r="V69" s="188">
        <v>0</v>
      </c>
      <c r="W69" s="189">
        <v>0</v>
      </c>
      <c r="X69" s="190"/>
      <c r="Y69" s="185"/>
      <c r="Z69" s="191"/>
      <c r="AA69" s="97">
        <v>0</v>
      </c>
      <c r="AB69" s="192">
        <v>0</v>
      </c>
      <c r="AC69" s="123"/>
      <c r="AD69" s="4"/>
      <c r="AE69" s="4"/>
      <c r="AF69" s="4"/>
      <c r="AG69" s="4"/>
      <c r="AH69" s="4"/>
      <c r="AI69" s="4"/>
      <c r="AJ69" s="4"/>
      <c r="AK69" s="4"/>
      <c r="AL69" s="4"/>
      <c r="AM69" s="4"/>
      <c r="AN69" s="4" t="str">
        <f>"" &amp; TEXT(AB69,"#0.00%") &amp; " " &amp; "서비스오픈" &amp; " " &amp; IF(M69="","",TEXT(M69,"M/D-")) &amp; IF(N69="","",TEXT(N69,"M/D")) &amp; " "</f>
        <v xml:space="preserve">0.00% 서비스오픈 4/4-4/5 </v>
      </c>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row>
    <row r="70" spans="1:112" outlineLevel="1">
      <c r="A70" s="116"/>
      <c r="B70" s="116"/>
      <c r="C70" s="116">
        <v>2</v>
      </c>
      <c r="D70" s="3" t="s">
        <v>1201</v>
      </c>
      <c r="E70" s="183"/>
      <c r="F70" s="222" t="s">
        <v>1200</v>
      </c>
      <c r="G70" s="183"/>
      <c r="H70" s="183"/>
      <c r="I70" s="183"/>
      <c r="J70" s="183"/>
      <c r="K70" s="183"/>
      <c r="L70" s="183"/>
      <c r="M70" s="184">
        <v>44655</v>
      </c>
      <c r="N70" s="184">
        <v>44656</v>
      </c>
      <c r="O70" s="185"/>
      <c r="P70" s="186">
        <v>2</v>
      </c>
      <c r="Q70" s="186">
        <v>0</v>
      </c>
      <c r="R70" s="187">
        <v>2</v>
      </c>
      <c r="S70" s="187">
        <v>0</v>
      </c>
      <c r="T70" s="184"/>
      <c r="U70" s="184"/>
      <c r="V70" s="188"/>
      <c r="W70" s="189">
        <v>0</v>
      </c>
      <c r="X70" s="190">
        <v>1</v>
      </c>
      <c r="Y70" s="185"/>
      <c r="Z70" s="191"/>
      <c r="AA70" s="97">
        <v>0</v>
      </c>
      <c r="AB70" s="192">
        <v>0</v>
      </c>
      <c r="AC70" s="123"/>
      <c r="AD70" s="4"/>
      <c r="AE70" s="4"/>
      <c r="AF70" s="4"/>
      <c r="AG70" s="4"/>
      <c r="AH70" s="4"/>
      <c r="AI70" s="4"/>
      <c r="AJ70" s="4"/>
      <c r="AK70" s="4"/>
      <c r="AL70" s="4"/>
      <c r="AM70" s="4"/>
      <c r="AN70" s="4" t="str">
        <f>"" &amp; TEXT(AB70,"#0.00%") &amp; " " &amp; "오픈일" &amp; " " &amp; IF(M70="","",TEXT(M70,"M/D-")) &amp; IF(N70="","",TEXT(N70,"M/D")) &amp; " "</f>
        <v xml:space="preserve">0.00% 오픈일 4/4-4/5 </v>
      </c>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row>
    <row r="71" spans="1:112">
      <c r="A71" s="193"/>
      <c r="B71" s="193"/>
      <c r="C71" s="193">
        <v>2</v>
      </c>
      <c r="D71" s="194"/>
      <c r="E71" s="195"/>
      <c r="F71" s="195"/>
      <c r="G71" s="195"/>
      <c r="H71" s="195"/>
      <c r="I71" s="195"/>
      <c r="J71" s="195"/>
      <c r="K71" s="195"/>
      <c r="L71" s="195"/>
      <c r="M71" s="196"/>
      <c r="N71" s="196"/>
      <c r="O71" s="197"/>
      <c r="P71" s="198"/>
      <c r="Q71" s="198"/>
      <c r="R71" s="199"/>
      <c r="S71" s="199"/>
      <c r="T71" s="196"/>
      <c r="U71" s="196"/>
      <c r="V71" s="200"/>
      <c r="W71" s="201"/>
      <c r="X71" s="202"/>
      <c r="Y71" s="197"/>
      <c r="Z71" s="203"/>
      <c r="AA71" s="204"/>
      <c r="AB71" s="205"/>
      <c r="AC71" s="211"/>
      <c r="AD71" s="211"/>
      <c r="AE71" s="211"/>
      <c r="AF71" s="211"/>
      <c r="AG71" s="211"/>
      <c r="AH71" s="211"/>
      <c r="AI71" s="211"/>
      <c r="AJ71" s="211"/>
      <c r="AK71" s="211"/>
      <c r="AL71" s="211"/>
      <c r="AM71" s="211"/>
      <c r="AN71" s="211"/>
      <c r="AO71" s="211"/>
      <c r="AP71" s="211"/>
      <c r="AQ71" s="211"/>
      <c r="AR71" s="211"/>
      <c r="AS71" s="211"/>
      <c r="AT71" s="211"/>
      <c r="AU71" s="211"/>
      <c r="AV71" s="211"/>
      <c r="AW71" s="211"/>
      <c r="AX71" s="211"/>
      <c r="AY71" s="211"/>
      <c r="AZ71" s="211"/>
      <c r="BA71" s="211"/>
      <c r="BB71" s="211"/>
      <c r="BC71" s="211"/>
      <c r="BD71" s="211"/>
      <c r="BE71" s="211"/>
      <c r="BF71" s="211"/>
      <c r="BG71" s="211"/>
      <c r="BH71" s="211"/>
      <c r="BI71" s="211"/>
      <c r="BJ71" s="211"/>
      <c r="BK71" s="211"/>
      <c r="BL71" s="211"/>
      <c r="BM71" s="211"/>
      <c r="BN71" s="211"/>
      <c r="BO71" s="211"/>
      <c r="BP71" s="211"/>
      <c r="BQ71" s="211"/>
      <c r="BR71" s="211"/>
      <c r="BS71" s="211"/>
      <c r="BT71" s="211"/>
      <c r="BU71" s="211"/>
      <c r="BV71" s="211"/>
      <c r="BW71" s="211"/>
      <c r="BX71" s="211"/>
      <c r="BY71" s="211"/>
      <c r="BZ71" s="211"/>
      <c r="CA71" s="211"/>
      <c r="CB71" s="211"/>
      <c r="CC71" s="211"/>
      <c r="CD71" s="211"/>
      <c r="CE71" s="211"/>
      <c r="CF71" s="211"/>
      <c r="CG71" s="211"/>
      <c r="CH71" s="211"/>
      <c r="CI71" s="211"/>
      <c r="CJ71" s="211"/>
      <c r="CK71" s="211"/>
      <c r="CL71" s="211"/>
      <c r="CM71" s="211"/>
      <c r="CN71" s="211"/>
      <c r="CO71" s="211"/>
      <c r="CP71" s="211"/>
      <c r="CQ71" s="211"/>
      <c r="CR71" s="211"/>
      <c r="CS71" s="211"/>
      <c r="CT71" s="211"/>
      <c r="CU71" s="211"/>
      <c r="CV71" s="211"/>
      <c r="CW71" s="211"/>
      <c r="CX71" s="211"/>
      <c r="CY71" s="211"/>
      <c r="CZ71" s="211"/>
      <c r="DA71" s="211"/>
      <c r="DB71" s="211"/>
      <c r="DC71" s="211"/>
      <c r="DD71" s="211"/>
      <c r="DE71" s="211"/>
      <c r="DF71" s="211"/>
      <c r="DG71" s="211"/>
      <c r="DH71" s="211"/>
    </row>
    <row r="72" spans="1:112">
      <c r="A72" s="116"/>
      <c r="B72" s="116"/>
      <c r="C72" s="116">
        <v>0</v>
      </c>
      <c r="D72" s="3"/>
      <c r="E72" s="183"/>
      <c r="F72" s="183"/>
      <c r="G72" s="183"/>
      <c r="H72" s="183"/>
      <c r="I72" s="183"/>
      <c r="J72" s="183"/>
      <c r="K72" s="183"/>
      <c r="L72" s="183"/>
      <c r="M72" s="184"/>
      <c r="N72" s="184"/>
      <c r="O72" s="185"/>
      <c r="P72" s="186"/>
      <c r="Q72" s="186"/>
      <c r="R72" s="187"/>
      <c r="S72" s="187"/>
      <c r="T72" s="184"/>
      <c r="U72" s="184"/>
      <c r="V72" s="188"/>
      <c r="W72" s="189"/>
      <c r="X72" s="190"/>
      <c r="Y72" s="185"/>
      <c r="Z72" s="191"/>
      <c r="AA72" s="97"/>
      <c r="AB72" s="192"/>
    </row>
    <row r="73" spans="1:112">
      <c r="A73" s="116"/>
      <c r="B73" s="116"/>
      <c r="C73" s="116">
        <v>1</v>
      </c>
      <c r="D73" s="3"/>
      <c r="E73" s="183"/>
      <c r="F73" s="183"/>
      <c r="G73" s="183"/>
      <c r="H73" s="183"/>
      <c r="I73" s="183"/>
      <c r="J73" s="183"/>
      <c r="K73" s="183"/>
      <c r="L73" s="183"/>
      <c r="M73" s="184"/>
      <c r="N73" s="184"/>
      <c r="O73" s="185"/>
      <c r="P73" s="186"/>
      <c r="Q73" s="186"/>
      <c r="R73" s="187"/>
      <c r="S73" s="187"/>
      <c r="T73" s="184"/>
      <c r="U73" s="184"/>
      <c r="V73" s="188"/>
      <c r="W73" s="189"/>
      <c r="X73" s="190"/>
      <c r="Y73" s="185"/>
      <c r="Z73" s="191"/>
      <c r="AA73" s="97"/>
      <c r="AB73" s="192"/>
    </row>
    <row r="74" spans="1:112">
      <c r="A74" s="116"/>
      <c r="B74" s="116"/>
      <c r="C74" s="116">
        <v>2</v>
      </c>
      <c r="D74" s="3"/>
      <c r="E74" s="183"/>
      <c r="F74" s="183"/>
      <c r="G74" s="183"/>
      <c r="H74" s="183"/>
      <c r="I74" s="183"/>
      <c r="J74" s="183"/>
      <c r="K74" s="183"/>
      <c r="L74" s="183"/>
      <c r="M74" s="184"/>
      <c r="N74" s="184"/>
      <c r="O74" s="185"/>
      <c r="P74" s="186"/>
      <c r="Q74" s="186"/>
      <c r="R74" s="187"/>
      <c r="S74" s="187"/>
      <c r="T74" s="184"/>
      <c r="U74" s="184"/>
      <c r="V74" s="188"/>
      <c r="W74" s="189"/>
      <c r="X74" s="190"/>
      <c r="Y74" s="185"/>
      <c r="Z74" s="191"/>
      <c r="AA74" s="97"/>
      <c r="AB74" s="192"/>
    </row>
    <row r="75" spans="1:112">
      <c r="A75" s="116"/>
      <c r="B75" s="116"/>
      <c r="C75" s="116">
        <v>0</v>
      </c>
      <c r="D75" s="3"/>
      <c r="E75" s="183"/>
      <c r="F75" s="183"/>
      <c r="G75" s="183"/>
      <c r="H75" s="183"/>
      <c r="I75" s="183"/>
      <c r="J75" s="183"/>
      <c r="K75" s="183"/>
      <c r="L75" s="183"/>
      <c r="M75" s="184"/>
      <c r="N75" s="184"/>
      <c r="O75" s="185"/>
      <c r="P75" s="186"/>
      <c r="Q75" s="186"/>
      <c r="R75" s="187"/>
      <c r="S75" s="187"/>
      <c r="T75" s="184"/>
      <c r="U75" s="184"/>
      <c r="V75" s="188"/>
      <c r="W75" s="189"/>
      <c r="X75" s="190"/>
      <c r="Y75" s="185"/>
      <c r="Z75" s="191"/>
      <c r="AA75" s="97"/>
      <c r="AB75" s="192"/>
    </row>
    <row r="76" spans="1:112">
      <c r="A76" s="116"/>
      <c r="B76" s="116"/>
      <c r="C76" s="116">
        <v>1</v>
      </c>
      <c r="D76" s="3"/>
      <c r="E76" s="183"/>
      <c r="F76" s="183"/>
      <c r="G76" s="183"/>
      <c r="H76" s="183"/>
      <c r="I76" s="183"/>
      <c r="J76" s="183"/>
      <c r="K76" s="183"/>
      <c r="L76" s="183"/>
      <c r="M76" s="184"/>
      <c r="N76" s="184"/>
      <c r="O76" s="185"/>
      <c r="P76" s="186"/>
      <c r="Q76" s="186"/>
      <c r="R76" s="187"/>
      <c r="S76" s="187"/>
      <c r="T76" s="184"/>
      <c r="U76" s="184"/>
      <c r="V76" s="188"/>
      <c r="W76" s="189"/>
      <c r="X76" s="190"/>
      <c r="Y76" s="185"/>
      <c r="Z76" s="191"/>
      <c r="AA76" s="97"/>
      <c r="AB76" s="192"/>
    </row>
    <row r="77" spans="1:112">
      <c r="A77" s="116"/>
      <c r="B77" s="116"/>
      <c r="C77" s="116">
        <v>2</v>
      </c>
      <c r="D77" s="3"/>
      <c r="E77" s="183"/>
      <c r="F77" s="183"/>
      <c r="G77" s="183"/>
      <c r="H77" s="183"/>
      <c r="I77" s="183"/>
      <c r="J77" s="183"/>
      <c r="K77" s="183"/>
      <c r="L77" s="183"/>
      <c r="M77" s="184"/>
      <c r="N77" s="184"/>
      <c r="O77" s="185"/>
      <c r="P77" s="186"/>
      <c r="Q77" s="186"/>
      <c r="R77" s="187"/>
      <c r="S77" s="187"/>
      <c r="T77" s="184"/>
      <c r="U77" s="184"/>
      <c r="V77" s="188"/>
      <c r="W77" s="189"/>
      <c r="X77" s="190"/>
      <c r="Y77" s="185"/>
      <c r="Z77" s="191"/>
      <c r="AA77" s="97"/>
      <c r="AB77" s="192"/>
    </row>
    <row r="78" spans="1:112">
      <c r="A78" s="193"/>
      <c r="B78" s="193"/>
      <c r="C78" s="193">
        <v>1</v>
      </c>
      <c r="D78" s="194"/>
      <c r="E78" s="195"/>
      <c r="F78" s="195"/>
      <c r="G78" s="195"/>
      <c r="H78" s="195"/>
      <c r="I78" s="195"/>
      <c r="J78" s="195"/>
      <c r="K78" s="195"/>
      <c r="L78" s="195"/>
      <c r="M78" s="196"/>
      <c r="N78" s="196"/>
      <c r="O78" s="197"/>
      <c r="P78" s="198"/>
      <c r="Q78" s="198"/>
      <c r="R78" s="199"/>
      <c r="S78" s="199"/>
      <c r="T78" s="196"/>
      <c r="U78" s="196"/>
      <c r="V78" s="200"/>
      <c r="W78" s="201"/>
      <c r="X78" s="202"/>
      <c r="Y78" s="197"/>
      <c r="Z78" s="203"/>
      <c r="AA78" s="204"/>
      <c r="AB78" s="205"/>
    </row>
    <row r="79" spans="1:112">
      <c r="A79" s="116"/>
      <c r="B79" s="116"/>
      <c r="C79" s="116">
        <v>2</v>
      </c>
      <c r="D79" s="3"/>
      <c r="E79" s="183"/>
      <c r="F79" s="183"/>
      <c r="G79" s="183"/>
      <c r="H79" s="183"/>
      <c r="I79" s="183"/>
      <c r="J79" s="183"/>
      <c r="K79" s="183"/>
      <c r="L79" s="183"/>
      <c r="M79" s="184"/>
      <c r="N79" s="184"/>
      <c r="O79" s="185"/>
      <c r="P79" s="186"/>
      <c r="Q79" s="186"/>
      <c r="R79" s="187"/>
      <c r="S79" s="187"/>
      <c r="T79" s="184"/>
      <c r="U79" s="184"/>
      <c r="V79" s="188"/>
      <c r="W79" s="189"/>
      <c r="X79" s="190"/>
      <c r="Y79" s="185"/>
      <c r="Z79" s="191"/>
      <c r="AA79" s="97"/>
      <c r="AB79" s="192"/>
    </row>
    <row r="80" spans="1:112">
      <c r="A80" s="116"/>
      <c r="B80" s="116"/>
      <c r="C80" s="116">
        <v>2</v>
      </c>
      <c r="D80" s="3"/>
      <c r="E80" s="183"/>
      <c r="F80" s="183"/>
      <c r="G80" s="183"/>
      <c r="H80" s="183"/>
      <c r="I80" s="183"/>
      <c r="J80" s="183"/>
      <c r="K80" s="183"/>
      <c r="L80" s="183"/>
      <c r="M80" s="184"/>
      <c r="N80" s="184"/>
      <c r="O80" s="185"/>
      <c r="P80" s="186"/>
      <c r="Q80" s="186"/>
      <c r="R80" s="187"/>
      <c r="S80" s="187"/>
      <c r="T80" s="184"/>
      <c r="U80" s="184"/>
      <c r="V80" s="188"/>
      <c r="W80" s="189"/>
      <c r="X80" s="190"/>
      <c r="Y80" s="185"/>
      <c r="Z80" s="191"/>
      <c r="AA80" s="97"/>
      <c r="AB80" s="192"/>
    </row>
    <row r="81" spans="1:28">
      <c r="A81" s="116"/>
      <c r="B81" s="116"/>
      <c r="C81" s="116">
        <v>2</v>
      </c>
      <c r="D81" s="3"/>
      <c r="E81" s="183"/>
      <c r="F81" s="183"/>
      <c r="G81" s="183"/>
      <c r="H81" s="183"/>
      <c r="I81" s="183"/>
      <c r="J81" s="183"/>
      <c r="K81" s="183"/>
      <c r="L81" s="183"/>
      <c r="M81" s="184"/>
      <c r="N81" s="184"/>
      <c r="O81" s="185"/>
      <c r="P81" s="186"/>
      <c r="Q81" s="186"/>
      <c r="R81" s="187"/>
      <c r="S81" s="187"/>
      <c r="T81" s="184"/>
      <c r="U81" s="184"/>
      <c r="V81" s="188"/>
      <c r="W81" s="189"/>
      <c r="X81" s="190"/>
      <c r="Y81" s="185"/>
      <c r="Z81" s="191"/>
      <c r="AA81" s="97"/>
      <c r="AB81" s="192"/>
    </row>
    <row r="82" spans="1:28">
      <c r="A82" s="116"/>
      <c r="B82" s="116"/>
      <c r="C82" s="116">
        <v>2</v>
      </c>
      <c r="D82" s="3"/>
      <c r="E82" s="183"/>
      <c r="F82" s="183"/>
      <c r="G82" s="183"/>
      <c r="H82" s="183"/>
      <c r="I82" s="183"/>
      <c r="J82" s="183"/>
      <c r="K82" s="183"/>
      <c r="L82" s="183"/>
      <c r="M82" s="184"/>
      <c r="N82" s="184"/>
      <c r="O82" s="185"/>
      <c r="P82" s="186"/>
      <c r="Q82" s="186"/>
      <c r="R82" s="187"/>
      <c r="S82" s="187"/>
      <c r="T82" s="184"/>
      <c r="U82" s="184"/>
      <c r="V82" s="188"/>
      <c r="W82" s="189"/>
      <c r="X82" s="190"/>
      <c r="Y82" s="185"/>
      <c r="Z82" s="191"/>
      <c r="AA82" s="97"/>
      <c r="AB82" s="192"/>
    </row>
    <row r="83" spans="1:28">
      <c r="A83" s="116"/>
      <c r="B83" s="116"/>
      <c r="C83" s="116">
        <v>2</v>
      </c>
      <c r="D83" s="3"/>
      <c r="E83" s="183"/>
      <c r="F83" s="183"/>
      <c r="G83" s="183"/>
      <c r="H83" s="183"/>
      <c r="I83" s="183"/>
      <c r="J83" s="183"/>
      <c r="K83" s="183"/>
      <c r="L83" s="183"/>
      <c r="M83" s="184"/>
      <c r="N83" s="184"/>
      <c r="O83" s="185"/>
      <c r="P83" s="186"/>
      <c r="Q83" s="186"/>
      <c r="R83" s="187"/>
      <c r="S83" s="187"/>
      <c r="T83" s="184"/>
      <c r="U83" s="184"/>
      <c r="V83" s="188"/>
      <c r="W83" s="189"/>
      <c r="X83" s="190"/>
      <c r="Y83" s="185"/>
      <c r="Z83" s="191"/>
      <c r="AA83" s="97"/>
      <c r="AB83" s="192"/>
    </row>
    <row r="84" spans="1:28">
      <c r="A84" s="116"/>
      <c r="B84" s="116"/>
      <c r="C84" s="116">
        <v>2</v>
      </c>
      <c r="D84" s="3"/>
      <c r="E84" s="183"/>
      <c r="F84" s="183"/>
      <c r="G84" s="183"/>
      <c r="H84" s="183"/>
      <c r="I84" s="183"/>
      <c r="J84" s="183"/>
      <c r="K84" s="183"/>
      <c r="L84" s="183"/>
      <c r="M84" s="184"/>
      <c r="N84" s="184"/>
      <c r="O84" s="185"/>
      <c r="P84" s="186"/>
      <c r="Q84" s="186"/>
      <c r="R84" s="187"/>
      <c r="S84" s="187"/>
      <c r="T84" s="184"/>
      <c r="U84" s="184"/>
      <c r="V84" s="188"/>
      <c r="W84" s="189"/>
      <c r="X84" s="190"/>
      <c r="Y84" s="185"/>
      <c r="Z84" s="191"/>
      <c r="AA84" s="97"/>
      <c r="AB84" s="192"/>
    </row>
    <row r="85" spans="1:28">
      <c r="A85" s="116"/>
      <c r="B85" s="116"/>
      <c r="C85" s="116">
        <v>2</v>
      </c>
      <c r="D85" s="3"/>
      <c r="E85" s="183"/>
      <c r="F85" s="183"/>
      <c r="G85" s="183"/>
      <c r="H85" s="183"/>
      <c r="I85" s="183"/>
      <c r="J85" s="183"/>
      <c r="K85" s="183"/>
      <c r="L85" s="183"/>
      <c r="M85" s="184"/>
      <c r="N85" s="184"/>
      <c r="O85" s="185"/>
      <c r="P85" s="186"/>
      <c r="Q85" s="186"/>
      <c r="R85" s="187"/>
      <c r="S85" s="187"/>
      <c r="T85" s="184"/>
      <c r="U85" s="184"/>
      <c r="V85" s="188"/>
      <c r="W85" s="189"/>
      <c r="X85" s="190"/>
      <c r="Y85" s="185"/>
      <c r="Z85" s="191"/>
      <c r="AA85" s="97"/>
      <c r="AB85" s="192"/>
    </row>
    <row r="86" spans="1:28">
      <c r="A86" s="116"/>
      <c r="B86" s="116"/>
      <c r="C86" s="116">
        <v>0</v>
      </c>
      <c r="D86" s="3"/>
      <c r="E86" s="183"/>
      <c r="F86" s="183"/>
      <c r="G86" s="183"/>
      <c r="H86" s="183"/>
      <c r="I86" s="183"/>
      <c r="J86" s="183"/>
      <c r="K86" s="183"/>
      <c r="L86" s="183"/>
      <c r="M86" s="184"/>
      <c r="N86" s="184"/>
      <c r="O86" s="185"/>
      <c r="P86" s="186"/>
      <c r="Q86" s="186"/>
      <c r="R86" s="187"/>
      <c r="S86" s="187"/>
      <c r="T86" s="184"/>
      <c r="U86" s="184"/>
      <c r="V86" s="188"/>
      <c r="W86" s="189"/>
      <c r="X86" s="190"/>
      <c r="Y86" s="185"/>
      <c r="Z86" s="191"/>
      <c r="AA86" s="97"/>
      <c r="AB86" s="192"/>
    </row>
    <row r="87" spans="1:28">
      <c r="A87" s="116"/>
      <c r="B87" s="116"/>
      <c r="C87" s="116">
        <v>1</v>
      </c>
      <c r="D87" s="3"/>
      <c r="E87" s="183"/>
      <c r="F87" s="183"/>
      <c r="G87" s="183"/>
      <c r="H87" s="183"/>
      <c r="I87" s="183"/>
      <c r="J87" s="183"/>
      <c r="K87" s="183"/>
      <c r="L87" s="183"/>
      <c r="M87" s="184"/>
      <c r="N87" s="184"/>
      <c r="O87" s="185"/>
      <c r="P87" s="186"/>
      <c r="Q87" s="186"/>
      <c r="R87" s="187"/>
      <c r="S87" s="187"/>
      <c r="T87" s="184"/>
      <c r="U87" s="184"/>
      <c r="V87" s="188"/>
      <c r="W87" s="189"/>
      <c r="X87" s="190"/>
      <c r="Y87" s="185"/>
      <c r="Z87" s="191"/>
      <c r="AA87" s="97"/>
      <c r="AB87" s="192"/>
    </row>
    <row r="88" spans="1:28">
      <c r="A88" s="116"/>
      <c r="B88" s="116"/>
      <c r="C88" s="116">
        <v>2</v>
      </c>
      <c r="D88" s="3"/>
      <c r="E88" s="183"/>
      <c r="F88" s="183"/>
      <c r="G88" s="183"/>
      <c r="H88" s="183"/>
      <c r="I88" s="183"/>
      <c r="J88" s="183"/>
      <c r="K88" s="183"/>
      <c r="L88" s="183"/>
      <c r="M88" s="184"/>
      <c r="N88" s="184"/>
      <c r="O88" s="185"/>
      <c r="P88" s="186"/>
      <c r="Q88" s="186"/>
      <c r="R88" s="187"/>
      <c r="S88" s="187"/>
      <c r="T88" s="184"/>
      <c r="U88" s="184"/>
      <c r="V88" s="188"/>
      <c r="W88" s="189"/>
      <c r="X88" s="190"/>
      <c r="Y88" s="185"/>
      <c r="Z88" s="191"/>
      <c r="AA88" s="97"/>
      <c r="AB88" s="192"/>
    </row>
    <row r="89" spans="1:28">
      <c r="A89" s="116"/>
      <c r="B89" s="116"/>
      <c r="C89" s="116">
        <v>2</v>
      </c>
      <c r="D89" s="3"/>
      <c r="E89" s="183"/>
      <c r="F89" s="183"/>
      <c r="G89" s="183"/>
      <c r="H89" s="183"/>
      <c r="I89" s="183"/>
      <c r="J89" s="183"/>
      <c r="K89" s="183"/>
      <c r="L89" s="183"/>
      <c r="M89" s="184"/>
      <c r="N89" s="184"/>
      <c r="O89" s="185"/>
      <c r="P89" s="186"/>
      <c r="Q89" s="186"/>
      <c r="R89" s="187"/>
      <c r="S89" s="187"/>
      <c r="T89" s="184"/>
      <c r="U89" s="184"/>
      <c r="V89" s="188"/>
      <c r="W89" s="189"/>
      <c r="X89" s="190"/>
      <c r="Y89" s="185"/>
      <c r="Z89" s="191"/>
      <c r="AA89" s="97"/>
      <c r="AB89" s="192"/>
    </row>
    <row r="90" spans="1:28">
      <c r="A90" s="116"/>
      <c r="B90" s="116"/>
      <c r="C90" s="116">
        <v>2</v>
      </c>
      <c r="D90" s="3"/>
      <c r="E90" s="183"/>
      <c r="F90" s="183"/>
      <c r="G90" s="183"/>
      <c r="H90" s="183"/>
      <c r="I90" s="183"/>
      <c r="J90" s="183"/>
      <c r="K90" s="183"/>
      <c r="L90" s="183"/>
      <c r="M90" s="184"/>
      <c r="N90" s="184"/>
      <c r="O90" s="185"/>
      <c r="P90" s="186"/>
      <c r="Q90" s="186"/>
      <c r="R90" s="187"/>
      <c r="S90" s="187"/>
      <c r="T90" s="184"/>
      <c r="U90" s="184"/>
      <c r="V90" s="188"/>
      <c r="W90" s="189"/>
      <c r="X90" s="190"/>
      <c r="Y90" s="185"/>
      <c r="Z90" s="191"/>
      <c r="AA90" s="97"/>
      <c r="AB90" s="192"/>
    </row>
    <row r="91" spans="1:28">
      <c r="A91" s="116"/>
      <c r="B91" s="116"/>
      <c r="C91" s="116">
        <v>2</v>
      </c>
      <c r="D91" s="3"/>
      <c r="E91" s="183"/>
      <c r="F91" s="183"/>
      <c r="G91" s="183"/>
      <c r="H91" s="183"/>
      <c r="I91" s="183"/>
      <c r="J91" s="183"/>
      <c r="K91" s="183"/>
      <c r="L91" s="183"/>
      <c r="M91" s="184"/>
      <c r="N91" s="184"/>
      <c r="O91" s="185"/>
      <c r="P91" s="186"/>
      <c r="Q91" s="186"/>
      <c r="R91" s="187"/>
      <c r="S91" s="187"/>
      <c r="T91" s="184"/>
      <c r="U91" s="184"/>
      <c r="V91" s="188"/>
      <c r="W91" s="189"/>
      <c r="X91" s="190"/>
      <c r="Y91" s="185"/>
      <c r="Z91" s="191"/>
      <c r="AA91" s="97"/>
      <c r="AB91" s="192"/>
    </row>
    <row r="92" spans="1:28">
      <c r="A92" s="116"/>
      <c r="B92" s="116"/>
      <c r="C92" s="116">
        <v>2</v>
      </c>
      <c r="D92" s="3"/>
      <c r="E92" s="183"/>
      <c r="F92" s="183"/>
      <c r="G92" s="183"/>
      <c r="H92" s="183"/>
      <c r="I92" s="183"/>
      <c r="J92" s="183"/>
      <c r="K92" s="183"/>
      <c r="L92" s="183"/>
      <c r="M92" s="184"/>
      <c r="N92" s="184"/>
      <c r="O92" s="185"/>
      <c r="P92" s="186"/>
      <c r="Q92" s="186"/>
      <c r="R92" s="187"/>
      <c r="S92" s="187"/>
      <c r="T92" s="184"/>
      <c r="U92" s="184"/>
      <c r="V92" s="188"/>
      <c r="W92" s="189"/>
      <c r="X92" s="190"/>
      <c r="Y92" s="185"/>
      <c r="Z92" s="191"/>
      <c r="AA92" s="97"/>
      <c r="AB92" s="192"/>
    </row>
    <row r="93" spans="1:28">
      <c r="A93" s="116"/>
      <c r="B93" s="116"/>
      <c r="C93" s="116">
        <v>2</v>
      </c>
      <c r="D93" s="3"/>
      <c r="E93" s="183"/>
      <c r="F93" s="183"/>
      <c r="G93" s="183"/>
      <c r="H93" s="183"/>
      <c r="I93" s="183"/>
      <c r="J93" s="183"/>
      <c r="K93" s="183"/>
      <c r="L93" s="183"/>
      <c r="M93" s="184"/>
      <c r="N93" s="184"/>
      <c r="O93" s="185"/>
      <c r="P93" s="186"/>
      <c r="Q93" s="186"/>
      <c r="R93" s="187"/>
      <c r="S93" s="187"/>
      <c r="T93" s="184"/>
      <c r="U93" s="184"/>
      <c r="V93" s="188"/>
      <c r="W93" s="189"/>
      <c r="X93" s="190"/>
      <c r="Y93" s="185"/>
      <c r="Z93" s="191"/>
      <c r="AA93" s="97"/>
      <c r="AB93" s="192"/>
    </row>
    <row r="94" spans="1:28">
      <c r="A94" s="116"/>
      <c r="B94" s="116"/>
      <c r="C94" s="116">
        <v>2</v>
      </c>
      <c r="D94" s="3"/>
      <c r="E94" s="183"/>
      <c r="F94" s="183"/>
      <c r="G94" s="183"/>
      <c r="H94" s="183"/>
      <c r="I94" s="183"/>
      <c r="J94" s="183"/>
      <c r="K94" s="183"/>
      <c r="L94" s="183"/>
      <c r="M94" s="184"/>
      <c r="N94" s="184"/>
      <c r="O94" s="185"/>
      <c r="P94" s="186"/>
      <c r="Q94" s="186"/>
      <c r="R94" s="187"/>
      <c r="S94" s="187"/>
      <c r="T94" s="184"/>
      <c r="U94" s="184"/>
      <c r="V94" s="188"/>
      <c r="W94" s="189"/>
      <c r="X94" s="190"/>
      <c r="Y94" s="185"/>
      <c r="Z94" s="191"/>
      <c r="AA94" s="97"/>
      <c r="AB94" s="192"/>
    </row>
    <row r="95" spans="1:28">
      <c r="A95" s="116"/>
      <c r="B95" s="116"/>
      <c r="C95" s="116">
        <v>0</v>
      </c>
      <c r="D95" s="3"/>
      <c r="E95" s="183"/>
      <c r="F95" s="183"/>
      <c r="G95" s="183"/>
      <c r="H95" s="183"/>
      <c r="I95" s="183"/>
      <c r="J95" s="183"/>
      <c r="K95" s="183"/>
      <c r="L95" s="183"/>
      <c r="M95" s="184"/>
      <c r="N95" s="184"/>
      <c r="O95" s="185"/>
      <c r="P95" s="186"/>
      <c r="Q95" s="186"/>
      <c r="R95" s="187"/>
      <c r="S95" s="187"/>
      <c r="T95" s="184"/>
      <c r="U95" s="184"/>
      <c r="V95" s="188"/>
      <c r="W95" s="189"/>
      <c r="X95" s="190"/>
      <c r="Y95" s="185"/>
      <c r="Z95" s="191"/>
      <c r="AA95" s="97"/>
      <c r="AB95" s="192"/>
    </row>
    <row r="96" spans="1:28">
      <c r="A96" s="116"/>
      <c r="B96" s="116"/>
      <c r="C96" s="116">
        <v>1</v>
      </c>
      <c r="D96" s="3"/>
      <c r="E96" s="183"/>
      <c r="F96" s="183"/>
      <c r="G96" s="183"/>
      <c r="H96" s="183"/>
      <c r="I96" s="183"/>
      <c r="J96" s="183"/>
      <c r="K96" s="183"/>
      <c r="L96" s="183"/>
      <c r="M96" s="184"/>
      <c r="N96" s="184"/>
      <c r="O96" s="185"/>
      <c r="P96" s="186"/>
      <c r="Q96" s="186"/>
      <c r="R96" s="187"/>
      <c r="S96" s="187"/>
      <c r="T96" s="184"/>
      <c r="U96" s="184"/>
      <c r="V96" s="188"/>
      <c r="W96" s="189"/>
      <c r="X96" s="190"/>
      <c r="Y96" s="185"/>
      <c r="Z96" s="191"/>
      <c r="AA96" s="97"/>
      <c r="AB96" s="192"/>
    </row>
    <row r="97" spans="1:28">
      <c r="A97" s="116"/>
      <c r="B97" s="116"/>
      <c r="C97" s="116">
        <v>2</v>
      </c>
      <c r="D97" s="3"/>
      <c r="E97" s="183"/>
      <c r="F97" s="183"/>
      <c r="G97" s="183"/>
      <c r="H97" s="183"/>
      <c r="I97" s="183"/>
      <c r="J97" s="183"/>
      <c r="K97" s="183"/>
      <c r="L97" s="183"/>
      <c r="M97" s="184"/>
      <c r="N97" s="184"/>
      <c r="O97" s="185"/>
      <c r="P97" s="186"/>
      <c r="Q97" s="186"/>
      <c r="R97" s="187"/>
      <c r="S97" s="187"/>
      <c r="T97" s="184"/>
      <c r="U97" s="184"/>
      <c r="V97" s="188"/>
      <c r="W97" s="189"/>
      <c r="X97" s="190"/>
      <c r="Y97" s="185"/>
      <c r="Z97" s="191"/>
      <c r="AA97" s="97"/>
      <c r="AB97" s="192"/>
    </row>
    <row r="98" spans="1:28">
      <c r="A98" s="116"/>
      <c r="B98" s="116"/>
      <c r="C98" s="116">
        <v>2</v>
      </c>
      <c r="D98" s="3"/>
      <c r="E98" s="183"/>
      <c r="F98" s="183"/>
      <c r="G98" s="183"/>
      <c r="H98" s="183"/>
      <c r="I98" s="183"/>
      <c r="J98" s="183"/>
      <c r="K98" s="183"/>
      <c r="L98" s="183"/>
      <c r="M98" s="184"/>
      <c r="N98" s="184"/>
      <c r="O98" s="185"/>
      <c r="P98" s="186"/>
      <c r="Q98" s="186"/>
      <c r="R98" s="187"/>
      <c r="S98" s="187"/>
      <c r="T98" s="184"/>
      <c r="U98" s="184"/>
      <c r="V98" s="188"/>
      <c r="W98" s="189"/>
      <c r="X98" s="190"/>
      <c r="Y98" s="185"/>
      <c r="Z98" s="191"/>
      <c r="AA98" s="97"/>
      <c r="AB98" s="192"/>
    </row>
    <row r="99" spans="1:28">
      <c r="A99" s="116"/>
      <c r="B99" s="116"/>
      <c r="C99" s="116">
        <v>2</v>
      </c>
      <c r="D99" s="3"/>
      <c r="E99" s="183"/>
      <c r="F99" s="183"/>
      <c r="G99" s="183"/>
      <c r="H99" s="183"/>
      <c r="I99" s="183"/>
      <c r="J99" s="183"/>
      <c r="K99" s="183"/>
      <c r="L99" s="183"/>
      <c r="M99" s="184"/>
      <c r="N99" s="184"/>
      <c r="O99" s="185"/>
      <c r="P99" s="186"/>
      <c r="Q99" s="186"/>
      <c r="R99" s="187"/>
      <c r="S99" s="187"/>
      <c r="T99" s="184"/>
      <c r="U99" s="184"/>
      <c r="V99" s="188"/>
      <c r="W99" s="189"/>
      <c r="X99" s="190"/>
      <c r="Y99" s="185"/>
      <c r="Z99" s="191"/>
      <c r="AA99" s="97"/>
      <c r="AB99" s="192"/>
    </row>
    <row r="100" spans="1:28">
      <c r="A100" s="116"/>
      <c r="B100" s="116"/>
      <c r="C100" s="116">
        <v>2</v>
      </c>
      <c r="D100" s="3"/>
      <c r="E100" s="183"/>
      <c r="F100" s="183"/>
      <c r="G100" s="183"/>
      <c r="H100" s="183"/>
      <c r="I100" s="183"/>
      <c r="J100" s="183"/>
      <c r="K100" s="183"/>
      <c r="L100" s="183"/>
      <c r="M100" s="184"/>
      <c r="N100" s="184"/>
      <c r="O100" s="185"/>
      <c r="P100" s="186"/>
      <c r="Q100" s="186"/>
      <c r="R100" s="187"/>
      <c r="S100" s="187"/>
      <c r="T100" s="184"/>
      <c r="U100" s="184"/>
      <c r="V100" s="188"/>
      <c r="W100" s="189"/>
      <c r="X100" s="190"/>
      <c r="Y100" s="185"/>
      <c r="Z100" s="191"/>
      <c r="AA100" s="97"/>
      <c r="AB100" s="192"/>
    </row>
    <row r="101" spans="1:28">
      <c r="A101" s="116"/>
      <c r="B101" s="116"/>
      <c r="C101" s="116">
        <v>2</v>
      </c>
      <c r="D101" s="3"/>
      <c r="E101" s="183"/>
      <c r="F101" s="183"/>
      <c r="G101" s="183"/>
      <c r="H101" s="183"/>
      <c r="I101" s="183"/>
      <c r="J101" s="183"/>
      <c r="K101" s="183"/>
      <c r="L101" s="183"/>
      <c r="M101" s="184"/>
      <c r="N101" s="184"/>
      <c r="O101" s="185"/>
      <c r="P101" s="186"/>
      <c r="Q101" s="186"/>
      <c r="R101" s="187"/>
      <c r="S101" s="187"/>
      <c r="T101" s="184"/>
      <c r="U101" s="184"/>
      <c r="V101" s="188"/>
      <c r="W101" s="189"/>
      <c r="X101" s="190"/>
      <c r="Y101" s="185"/>
      <c r="Z101" s="191"/>
      <c r="AA101" s="97"/>
      <c r="AB101" s="192"/>
    </row>
    <row r="102" spans="1:28">
      <c r="A102" s="116"/>
      <c r="B102" s="116"/>
      <c r="C102" s="116">
        <v>2</v>
      </c>
      <c r="D102" s="3"/>
      <c r="E102" s="183"/>
      <c r="F102" s="183"/>
      <c r="G102" s="183"/>
      <c r="H102" s="183"/>
      <c r="I102" s="183"/>
      <c r="J102" s="183"/>
      <c r="K102" s="183"/>
      <c r="L102" s="183"/>
      <c r="M102" s="184"/>
      <c r="N102" s="184"/>
      <c r="O102" s="185"/>
      <c r="P102" s="186"/>
      <c r="Q102" s="186"/>
      <c r="R102" s="187"/>
      <c r="S102" s="187"/>
      <c r="T102" s="184"/>
      <c r="U102" s="184"/>
      <c r="V102" s="188"/>
      <c r="W102" s="189"/>
      <c r="X102" s="190"/>
      <c r="Y102" s="185"/>
      <c r="Z102" s="191"/>
      <c r="AA102" s="97"/>
      <c r="AB102" s="192"/>
    </row>
    <row r="103" spans="1:28">
      <c r="A103" s="116"/>
      <c r="B103" s="116"/>
      <c r="C103" s="116">
        <v>2</v>
      </c>
      <c r="D103" s="3"/>
      <c r="E103" s="183"/>
      <c r="F103" s="183"/>
      <c r="G103" s="183"/>
      <c r="H103" s="183"/>
      <c r="I103" s="183"/>
      <c r="J103" s="183"/>
      <c r="K103" s="183"/>
      <c r="L103" s="183"/>
      <c r="M103" s="184"/>
      <c r="N103" s="184"/>
      <c r="O103" s="185"/>
      <c r="P103" s="186"/>
      <c r="Q103" s="186"/>
      <c r="R103" s="187"/>
      <c r="S103" s="187"/>
      <c r="T103" s="184"/>
      <c r="U103" s="184"/>
      <c r="V103" s="188"/>
      <c r="W103" s="189"/>
      <c r="X103" s="190"/>
      <c r="Y103" s="185"/>
      <c r="Z103" s="191"/>
      <c r="AA103" s="97"/>
      <c r="AB103" s="192"/>
    </row>
    <row r="104" spans="1:28">
      <c r="A104" s="116"/>
      <c r="B104" s="116"/>
      <c r="C104" s="116">
        <v>0</v>
      </c>
      <c r="D104" s="3"/>
      <c r="E104" s="183"/>
      <c r="F104" s="183"/>
      <c r="G104" s="183"/>
      <c r="H104" s="183"/>
      <c r="I104" s="183"/>
      <c r="J104" s="183"/>
      <c r="K104" s="183"/>
      <c r="L104" s="183"/>
      <c r="M104" s="184"/>
      <c r="N104" s="184"/>
      <c r="O104" s="185"/>
      <c r="P104" s="186"/>
      <c r="Q104" s="186"/>
      <c r="R104" s="187"/>
      <c r="S104" s="187"/>
      <c r="T104" s="184"/>
      <c r="U104" s="184"/>
      <c r="V104" s="188"/>
      <c r="W104" s="189"/>
      <c r="X104" s="190"/>
      <c r="Y104" s="185"/>
      <c r="Z104" s="191"/>
      <c r="AA104" s="97"/>
      <c r="AB104" s="192"/>
    </row>
    <row r="105" spans="1:28">
      <c r="A105" s="116"/>
      <c r="B105" s="116"/>
      <c r="C105" s="116">
        <v>1</v>
      </c>
      <c r="D105" s="3"/>
      <c r="E105" s="183"/>
      <c r="F105" s="183"/>
      <c r="G105" s="183"/>
      <c r="H105" s="183"/>
      <c r="I105" s="183"/>
      <c r="J105" s="183"/>
      <c r="K105" s="183"/>
      <c r="L105" s="183"/>
      <c r="M105" s="184"/>
      <c r="N105" s="184"/>
      <c r="O105" s="185"/>
      <c r="P105" s="186"/>
      <c r="Q105" s="186"/>
      <c r="R105" s="187"/>
      <c r="S105" s="187"/>
      <c r="T105" s="184"/>
      <c r="U105" s="184"/>
      <c r="V105" s="188"/>
      <c r="W105" s="189"/>
      <c r="X105" s="190"/>
      <c r="Y105" s="185"/>
      <c r="Z105" s="191"/>
      <c r="AA105" s="97"/>
      <c r="AB105" s="192"/>
    </row>
    <row r="106" spans="1:28">
      <c r="A106" s="116"/>
      <c r="B106" s="116"/>
      <c r="C106" s="116">
        <v>2</v>
      </c>
      <c r="D106" s="3"/>
      <c r="E106" s="183"/>
      <c r="F106" s="183"/>
      <c r="G106" s="183"/>
      <c r="H106" s="183"/>
      <c r="I106" s="183"/>
      <c r="J106" s="183"/>
      <c r="K106" s="183"/>
      <c r="L106" s="183"/>
      <c r="M106" s="184"/>
      <c r="N106" s="184"/>
      <c r="O106" s="185"/>
      <c r="P106" s="186"/>
      <c r="Q106" s="186"/>
      <c r="R106" s="187"/>
      <c r="S106" s="187"/>
      <c r="T106" s="184"/>
      <c r="U106" s="184"/>
      <c r="V106" s="188"/>
      <c r="W106" s="189"/>
      <c r="X106" s="190"/>
      <c r="Y106" s="185"/>
      <c r="Z106" s="191"/>
      <c r="AA106" s="97"/>
      <c r="AB106" s="192"/>
    </row>
    <row r="107" spans="1:28">
      <c r="A107" s="116"/>
      <c r="B107" s="116"/>
      <c r="C107" s="116">
        <v>2</v>
      </c>
      <c r="D107" s="3"/>
      <c r="E107" s="183"/>
      <c r="F107" s="183"/>
      <c r="G107" s="183"/>
      <c r="H107" s="183"/>
      <c r="I107" s="183"/>
      <c r="J107" s="183"/>
      <c r="K107" s="183"/>
      <c r="L107" s="183"/>
      <c r="M107" s="184"/>
      <c r="N107" s="184"/>
      <c r="O107" s="185"/>
      <c r="P107" s="186"/>
      <c r="Q107" s="186"/>
      <c r="R107" s="187"/>
      <c r="S107" s="187"/>
      <c r="T107" s="184"/>
      <c r="U107" s="184"/>
      <c r="V107" s="188"/>
      <c r="W107" s="189"/>
      <c r="X107" s="190"/>
      <c r="Y107" s="185"/>
      <c r="Z107" s="191"/>
      <c r="AA107" s="97"/>
      <c r="AB107" s="192"/>
    </row>
    <row r="108" spans="1:28">
      <c r="A108" s="116"/>
      <c r="B108" s="116"/>
      <c r="C108" s="116">
        <v>2</v>
      </c>
      <c r="D108" s="3"/>
      <c r="E108" s="183"/>
      <c r="F108" s="183"/>
      <c r="G108" s="183"/>
      <c r="H108" s="183"/>
      <c r="I108" s="183"/>
      <c r="J108" s="183"/>
      <c r="K108" s="183"/>
      <c r="L108" s="183"/>
      <c r="M108" s="184"/>
      <c r="N108" s="184"/>
      <c r="O108" s="185"/>
      <c r="P108" s="186"/>
      <c r="Q108" s="186"/>
      <c r="R108" s="187"/>
      <c r="S108" s="187"/>
      <c r="T108" s="184"/>
      <c r="U108" s="184"/>
      <c r="V108" s="188"/>
      <c r="W108" s="189"/>
      <c r="X108" s="190"/>
      <c r="Y108" s="185"/>
      <c r="Z108" s="191"/>
      <c r="AA108" s="97"/>
      <c r="AB108" s="192"/>
    </row>
    <row r="109" spans="1:28">
      <c r="A109" s="116"/>
      <c r="B109" s="116"/>
      <c r="C109" s="116">
        <v>2</v>
      </c>
      <c r="D109" s="3"/>
      <c r="E109" s="183"/>
      <c r="F109" s="183"/>
      <c r="G109" s="183"/>
      <c r="H109" s="183"/>
      <c r="I109" s="183"/>
      <c r="J109" s="183"/>
      <c r="K109" s="183"/>
      <c r="L109" s="183"/>
      <c r="M109" s="184"/>
      <c r="N109" s="184"/>
      <c r="O109" s="185"/>
      <c r="P109" s="186"/>
      <c r="Q109" s="186"/>
      <c r="R109" s="187"/>
      <c r="S109" s="187"/>
      <c r="T109" s="184"/>
      <c r="U109" s="184"/>
      <c r="V109" s="188"/>
      <c r="W109" s="189"/>
      <c r="X109" s="190"/>
      <c r="Y109" s="185"/>
      <c r="Z109" s="191"/>
      <c r="AA109" s="97"/>
      <c r="AB109" s="192"/>
    </row>
    <row r="110" spans="1:28">
      <c r="A110" s="116"/>
      <c r="B110" s="116"/>
      <c r="C110" s="116">
        <v>2</v>
      </c>
      <c r="D110" s="3"/>
      <c r="E110" s="183"/>
      <c r="F110" s="183"/>
      <c r="G110" s="183"/>
      <c r="H110" s="183"/>
      <c r="I110" s="183"/>
      <c r="J110" s="183"/>
      <c r="K110" s="183"/>
      <c r="L110" s="183"/>
      <c r="M110" s="184"/>
      <c r="N110" s="184"/>
      <c r="O110" s="185"/>
      <c r="P110" s="186"/>
      <c r="Q110" s="186"/>
      <c r="R110" s="187"/>
      <c r="S110" s="187"/>
      <c r="T110" s="184"/>
      <c r="U110" s="184"/>
      <c r="V110" s="188"/>
      <c r="W110" s="189"/>
      <c r="X110" s="190"/>
      <c r="Y110" s="185"/>
      <c r="Z110" s="191"/>
      <c r="AA110" s="97"/>
      <c r="AB110" s="192"/>
    </row>
    <row r="111" spans="1:28">
      <c r="A111" s="116"/>
      <c r="B111" s="116"/>
      <c r="C111" s="116">
        <v>2</v>
      </c>
      <c r="D111" s="3"/>
      <c r="E111" s="183"/>
      <c r="F111" s="183"/>
      <c r="G111" s="183"/>
      <c r="H111" s="183"/>
      <c r="I111" s="183"/>
      <c r="J111" s="183"/>
      <c r="K111" s="183"/>
      <c r="L111" s="183"/>
      <c r="M111" s="184"/>
      <c r="N111" s="184"/>
      <c r="O111" s="185"/>
      <c r="P111" s="186"/>
      <c r="Q111" s="186"/>
      <c r="R111" s="187"/>
      <c r="S111" s="187"/>
      <c r="T111" s="184"/>
      <c r="U111" s="184"/>
      <c r="V111" s="188"/>
      <c r="W111" s="189"/>
      <c r="X111" s="190"/>
      <c r="Y111" s="185"/>
      <c r="Z111" s="191"/>
      <c r="AA111" s="97"/>
      <c r="AB111" s="192"/>
    </row>
    <row r="112" spans="1:28">
      <c r="A112" s="116"/>
      <c r="B112" s="116"/>
      <c r="C112" s="116">
        <v>2</v>
      </c>
      <c r="D112" s="3"/>
      <c r="E112" s="183"/>
      <c r="F112" s="183"/>
      <c r="G112" s="183"/>
      <c r="H112" s="183"/>
      <c r="I112" s="183"/>
      <c r="J112" s="183"/>
      <c r="K112" s="183"/>
      <c r="L112" s="183"/>
      <c r="M112" s="184"/>
      <c r="N112" s="184"/>
      <c r="O112" s="185"/>
      <c r="P112" s="186"/>
      <c r="Q112" s="186"/>
      <c r="R112" s="187"/>
      <c r="S112" s="187"/>
      <c r="T112" s="184"/>
      <c r="U112" s="184"/>
      <c r="V112" s="188"/>
      <c r="W112" s="189"/>
      <c r="X112" s="190"/>
      <c r="Y112" s="185"/>
      <c r="Z112" s="191"/>
      <c r="AA112" s="97"/>
      <c r="AB112" s="192"/>
    </row>
    <row r="113" spans="1:28">
      <c r="A113" s="116"/>
      <c r="B113" s="116"/>
      <c r="C113" s="116">
        <v>0</v>
      </c>
      <c r="D113" s="3"/>
      <c r="E113" s="183"/>
      <c r="F113" s="183"/>
      <c r="G113" s="183"/>
      <c r="H113" s="183"/>
      <c r="I113" s="183"/>
      <c r="J113" s="183"/>
      <c r="K113" s="183"/>
      <c r="L113" s="183"/>
      <c r="M113" s="184"/>
      <c r="N113" s="184"/>
      <c r="O113" s="185"/>
      <c r="P113" s="186"/>
      <c r="Q113" s="186"/>
      <c r="R113" s="187"/>
      <c r="S113" s="187"/>
      <c r="T113" s="184"/>
      <c r="U113" s="184"/>
      <c r="V113" s="188"/>
      <c r="W113" s="189"/>
      <c r="X113" s="190"/>
      <c r="Y113" s="185"/>
      <c r="Z113" s="191"/>
      <c r="AA113" s="97"/>
      <c r="AB113" s="192"/>
    </row>
    <row r="114" spans="1:28">
      <c r="A114" s="116"/>
      <c r="B114" s="116"/>
      <c r="C114" s="116">
        <v>1</v>
      </c>
      <c r="D114" s="3"/>
      <c r="E114" s="183"/>
      <c r="F114" s="183"/>
      <c r="G114" s="183"/>
      <c r="H114" s="183"/>
      <c r="I114" s="183"/>
      <c r="J114" s="183"/>
      <c r="K114" s="183"/>
      <c r="L114" s="183"/>
      <c r="M114" s="184"/>
      <c r="N114" s="184"/>
      <c r="O114" s="185"/>
      <c r="P114" s="186"/>
      <c r="Q114" s="186"/>
      <c r="R114" s="187"/>
      <c r="S114" s="187"/>
      <c r="T114" s="184"/>
      <c r="U114" s="184"/>
      <c r="V114" s="188"/>
      <c r="W114" s="189"/>
      <c r="X114" s="190"/>
      <c r="Y114" s="185"/>
      <c r="Z114" s="191"/>
      <c r="AA114" s="97"/>
      <c r="AB114" s="192"/>
    </row>
    <row r="115" spans="1:28">
      <c r="A115" s="116"/>
      <c r="B115" s="116"/>
      <c r="C115" s="116">
        <v>2</v>
      </c>
      <c r="D115" s="3"/>
      <c r="E115" s="183"/>
      <c r="F115" s="183"/>
      <c r="G115" s="183"/>
      <c r="H115" s="183"/>
      <c r="I115" s="183"/>
      <c r="J115" s="183"/>
      <c r="K115" s="183"/>
      <c r="L115" s="183"/>
      <c r="M115" s="184"/>
      <c r="N115" s="184"/>
      <c r="O115" s="185"/>
      <c r="P115" s="186"/>
      <c r="Q115" s="186"/>
      <c r="R115" s="187"/>
      <c r="S115" s="187"/>
      <c r="T115" s="184"/>
      <c r="U115" s="184"/>
      <c r="V115" s="188"/>
      <c r="W115" s="189"/>
      <c r="X115" s="190"/>
      <c r="Y115" s="185"/>
      <c r="Z115" s="191"/>
      <c r="AA115" s="97"/>
      <c r="AB115" s="192"/>
    </row>
    <row r="116" spans="1:28">
      <c r="A116" s="116"/>
      <c r="B116" s="116"/>
      <c r="C116" s="116">
        <v>2</v>
      </c>
      <c r="D116" s="3"/>
      <c r="E116" s="183"/>
      <c r="F116" s="183"/>
      <c r="G116" s="183"/>
      <c r="H116" s="183"/>
      <c r="I116" s="183"/>
      <c r="J116" s="183"/>
      <c r="K116" s="183"/>
      <c r="L116" s="183"/>
      <c r="M116" s="184"/>
      <c r="N116" s="184"/>
      <c r="O116" s="185"/>
      <c r="P116" s="186"/>
      <c r="Q116" s="186"/>
      <c r="R116" s="187"/>
      <c r="S116" s="187"/>
      <c r="T116" s="184"/>
      <c r="U116" s="184"/>
      <c r="V116" s="188"/>
      <c r="W116" s="189"/>
      <c r="X116" s="190"/>
      <c r="Y116" s="185"/>
      <c r="Z116" s="191"/>
      <c r="AA116" s="97"/>
      <c r="AB116" s="192"/>
    </row>
    <row r="117" spans="1:28">
      <c r="A117" s="116"/>
      <c r="B117" s="116"/>
      <c r="C117" s="116">
        <v>2</v>
      </c>
      <c r="D117" s="3"/>
      <c r="E117" s="183"/>
      <c r="F117" s="183"/>
      <c r="G117" s="183"/>
      <c r="H117" s="183"/>
      <c r="I117" s="183"/>
      <c r="J117" s="183"/>
      <c r="K117" s="183"/>
      <c r="L117" s="183"/>
      <c r="M117" s="184"/>
      <c r="N117" s="184"/>
      <c r="O117" s="185"/>
      <c r="P117" s="186"/>
      <c r="Q117" s="186"/>
      <c r="R117" s="187"/>
      <c r="S117" s="187"/>
      <c r="T117" s="184"/>
      <c r="U117" s="184"/>
      <c r="V117" s="188"/>
      <c r="W117" s="189"/>
      <c r="X117" s="190"/>
      <c r="Y117" s="185"/>
      <c r="Z117" s="191"/>
      <c r="AA117" s="97"/>
      <c r="AB117" s="192"/>
    </row>
    <row r="118" spans="1:28">
      <c r="A118" s="116"/>
      <c r="B118" s="116"/>
      <c r="C118" s="116">
        <v>2</v>
      </c>
      <c r="D118" s="3"/>
      <c r="E118" s="183"/>
      <c r="F118" s="183"/>
      <c r="G118" s="183"/>
      <c r="H118" s="183"/>
      <c r="I118" s="183"/>
      <c r="J118" s="183"/>
      <c r="K118" s="183"/>
      <c r="L118" s="183"/>
      <c r="M118" s="184"/>
      <c r="N118" s="184"/>
      <c r="O118" s="185"/>
      <c r="P118" s="186"/>
      <c r="Q118" s="186"/>
      <c r="R118" s="187"/>
      <c r="S118" s="187"/>
      <c r="T118" s="184"/>
      <c r="U118" s="184"/>
      <c r="V118" s="188"/>
      <c r="W118" s="189"/>
      <c r="X118" s="190"/>
      <c r="Y118" s="185"/>
      <c r="Z118" s="191"/>
      <c r="AA118" s="97"/>
      <c r="AB118" s="192"/>
    </row>
    <row r="119" spans="1:28">
      <c r="A119" s="116"/>
      <c r="B119" s="116"/>
      <c r="C119" s="116">
        <v>2</v>
      </c>
      <c r="D119" s="3"/>
      <c r="E119" s="183"/>
      <c r="F119" s="183"/>
      <c r="G119" s="183"/>
      <c r="H119" s="183"/>
      <c r="I119" s="183"/>
      <c r="J119" s="183"/>
      <c r="K119" s="183"/>
      <c r="L119" s="183"/>
      <c r="M119" s="184"/>
      <c r="N119" s="184"/>
      <c r="O119" s="185"/>
      <c r="P119" s="186"/>
      <c r="Q119" s="186"/>
      <c r="R119" s="187"/>
      <c r="S119" s="187"/>
      <c r="T119" s="184"/>
      <c r="U119" s="184"/>
      <c r="V119" s="188"/>
      <c r="W119" s="189"/>
      <c r="X119" s="190"/>
      <c r="Y119" s="185"/>
      <c r="Z119" s="191"/>
      <c r="AA119" s="97"/>
      <c r="AB119" s="192"/>
    </row>
    <row r="120" spans="1:28">
      <c r="A120" s="116"/>
      <c r="B120" s="116"/>
      <c r="C120" s="116">
        <v>2</v>
      </c>
      <c r="D120" s="3"/>
      <c r="E120" s="183"/>
      <c r="F120" s="183"/>
      <c r="G120" s="183"/>
      <c r="H120" s="183"/>
      <c r="I120" s="183"/>
      <c r="J120" s="183"/>
      <c r="K120" s="183"/>
      <c r="L120" s="183"/>
      <c r="M120" s="184"/>
      <c r="N120" s="184"/>
      <c r="O120" s="185"/>
      <c r="P120" s="186"/>
      <c r="Q120" s="186"/>
      <c r="R120" s="187"/>
      <c r="S120" s="187"/>
      <c r="T120" s="184"/>
      <c r="U120" s="184"/>
      <c r="V120" s="188"/>
      <c r="W120" s="189"/>
      <c r="X120" s="190"/>
      <c r="Y120" s="185"/>
      <c r="Z120" s="191"/>
      <c r="AA120" s="97"/>
      <c r="AB120" s="192"/>
    </row>
    <row r="121" spans="1:28">
      <c r="A121" s="116"/>
      <c r="B121" s="116"/>
      <c r="C121" s="116">
        <v>2</v>
      </c>
      <c r="D121" s="3"/>
      <c r="E121" s="183"/>
      <c r="F121" s="183"/>
      <c r="G121" s="183"/>
      <c r="H121" s="183"/>
      <c r="I121" s="183"/>
      <c r="J121" s="183"/>
      <c r="K121" s="183"/>
      <c r="L121" s="183"/>
      <c r="M121" s="184"/>
      <c r="N121" s="184"/>
      <c r="O121" s="185"/>
      <c r="P121" s="186"/>
      <c r="Q121" s="186"/>
      <c r="R121" s="187"/>
      <c r="S121" s="187"/>
      <c r="T121" s="184"/>
      <c r="U121" s="184"/>
      <c r="V121" s="188"/>
      <c r="W121" s="189"/>
      <c r="X121" s="190"/>
      <c r="Y121" s="185"/>
      <c r="Z121" s="191"/>
      <c r="AA121" s="97"/>
      <c r="AB121" s="192"/>
    </row>
    <row r="122" spans="1:28">
      <c r="A122" s="116"/>
      <c r="B122" s="116"/>
      <c r="C122" s="116">
        <v>0</v>
      </c>
      <c r="D122" s="3"/>
      <c r="E122" s="183"/>
      <c r="F122" s="183"/>
      <c r="G122" s="183"/>
      <c r="H122" s="183"/>
      <c r="I122" s="183"/>
      <c r="J122" s="183"/>
      <c r="K122" s="183"/>
      <c r="L122" s="183"/>
      <c r="M122" s="184"/>
      <c r="N122" s="184"/>
      <c r="O122" s="185"/>
      <c r="P122" s="186"/>
      <c r="Q122" s="186"/>
      <c r="R122" s="187"/>
      <c r="S122" s="187"/>
      <c r="T122" s="184"/>
      <c r="U122" s="184"/>
      <c r="V122" s="188"/>
      <c r="W122" s="189"/>
      <c r="X122" s="190"/>
      <c r="Y122" s="185"/>
      <c r="Z122" s="191"/>
      <c r="AA122" s="97"/>
      <c r="AB122" s="192"/>
    </row>
    <row r="123" spans="1:28">
      <c r="A123" s="116"/>
      <c r="B123" s="116"/>
      <c r="C123" s="116">
        <v>1</v>
      </c>
      <c r="D123" s="3"/>
      <c r="E123" s="210"/>
      <c r="F123" s="183"/>
      <c r="G123" s="183"/>
      <c r="H123" s="183"/>
      <c r="I123" s="183"/>
      <c r="J123" s="183"/>
      <c r="K123" s="183"/>
      <c r="L123" s="183"/>
      <c r="M123" s="184"/>
      <c r="N123" s="184"/>
      <c r="O123" s="185"/>
      <c r="P123" s="186"/>
      <c r="Q123" s="186"/>
      <c r="R123" s="187"/>
      <c r="S123" s="187"/>
      <c r="T123" s="184"/>
      <c r="U123" s="184"/>
      <c r="V123" s="188"/>
      <c r="W123" s="189"/>
      <c r="X123" s="190"/>
      <c r="Y123" s="185"/>
      <c r="Z123" s="191"/>
      <c r="AA123" s="97"/>
      <c r="AB123" s="192"/>
    </row>
    <row r="124" spans="1:28">
      <c r="A124" s="116"/>
      <c r="B124" s="116"/>
      <c r="C124" s="116">
        <v>2</v>
      </c>
      <c r="D124" s="3"/>
      <c r="E124" s="183"/>
      <c r="F124" s="183"/>
      <c r="G124" s="183"/>
      <c r="H124" s="183"/>
      <c r="I124" s="183"/>
      <c r="J124" s="183"/>
      <c r="K124" s="183"/>
      <c r="L124" s="183"/>
      <c r="M124" s="184"/>
      <c r="N124" s="184"/>
      <c r="O124" s="185"/>
      <c r="P124" s="186"/>
      <c r="Q124" s="186"/>
      <c r="R124" s="187"/>
      <c r="S124" s="187"/>
      <c r="T124" s="184"/>
      <c r="U124" s="184"/>
      <c r="V124" s="188"/>
      <c r="W124" s="189"/>
      <c r="X124" s="190"/>
      <c r="Y124" s="185"/>
      <c r="Z124" s="191"/>
      <c r="AA124" s="97"/>
      <c r="AB124" s="192"/>
    </row>
    <row r="125" spans="1:28">
      <c r="A125" s="116"/>
      <c r="B125" s="116"/>
      <c r="C125" s="116">
        <v>2</v>
      </c>
      <c r="D125" s="3"/>
      <c r="E125" s="183"/>
      <c r="F125" s="183"/>
      <c r="G125" s="183"/>
      <c r="H125" s="183"/>
      <c r="I125" s="183"/>
      <c r="J125" s="183"/>
      <c r="K125" s="183"/>
      <c r="L125" s="183"/>
      <c r="M125" s="184"/>
      <c r="N125" s="184"/>
      <c r="O125" s="185"/>
      <c r="P125" s="186"/>
      <c r="Q125" s="186"/>
      <c r="R125" s="187"/>
      <c r="S125" s="187"/>
      <c r="T125" s="184"/>
      <c r="U125" s="184"/>
      <c r="V125" s="188"/>
      <c r="W125" s="189"/>
      <c r="X125" s="190"/>
      <c r="Y125" s="185"/>
      <c r="Z125" s="191"/>
      <c r="AA125" s="97"/>
      <c r="AB125" s="192"/>
    </row>
    <row r="126" spans="1:28">
      <c r="A126" s="116"/>
      <c r="B126" s="116"/>
      <c r="C126" s="116">
        <v>2</v>
      </c>
      <c r="D126" s="3"/>
      <c r="E126" s="183"/>
      <c r="F126" s="183"/>
      <c r="G126" s="183"/>
      <c r="H126" s="183"/>
      <c r="I126" s="183"/>
      <c r="J126" s="183"/>
      <c r="K126" s="183"/>
      <c r="L126" s="183"/>
      <c r="M126" s="184"/>
      <c r="N126" s="184"/>
      <c r="O126" s="185"/>
      <c r="P126" s="186"/>
      <c r="Q126" s="186"/>
      <c r="R126" s="187"/>
      <c r="S126" s="187"/>
      <c r="T126" s="184"/>
      <c r="U126" s="184"/>
      <c r="V126" s="188"/>
      <c r="W126" s="189"/>
      <c r="X126" s="190"/>
      <c r="Y126" s="185"/>
      <c r="Z126" s="191"/>
      <c r="AA126" s="97"/>
      <c r="AB126" s="192"/>
    </row>
    <row r="127" spans="1:28">
      <c r="A127" s="116"/>
      <c r="B127" s="116"/>
      <c r="C127" s="116">
        <v>2</v>
      </c>
      <c r="D127" s="3"/>
      <c r="E127" s="183"/>
      <c r="F127" s="183"/>
      <c r="G127" s="183"/>
      <c r="H127" s="183"/>
      <c r="I127" s="183"/>
      <c r="J127" s="183"/>
      <c r="K127" s="183"/>
      <c r="L127" s="183"/>
      <c r="M127" s="184"/>
      <c r="N127" s="184"/>
      <c r="O127" s="185"/>
      <c r="P127" s="186"/>
      <c r="Q127" s="186"/>
      <c r="R127" s="187"/>
      <c r="S127" s="187"/>
      <c r="T127" s="184"/>
      <c r="U127" s="184"/>
      <c r="V127" s="188"/>
      <c r="W127" s="189"/>
      <c r="X127" s="190"/>
      <c r="Y127" s="185"/>
      <c r="Z127" s="191"/>
      <c r="AA127" s="97"/>
      <c r="AB127" s="192"/>
    </row>
    <row r="128" spans="1:28">
      <c r="A128" s="116"/>
      <c r="B128" s="116"/>
      <c r="C128" s="116">
        <v>2</v>
      </c>
      <c r="D128" s="3"/>
      <c r="E128" s="183"/>
      <c r="F128" s="183"/>
      <c r="G128" s="183"/>
      <c r="H128" s="183"/>
      <c r="I128" s="183"/>
      <c r="J128" s="183"/>
      <c r="K128" s="183"/>
      <c r="L128" s="183"/>
      <c r="M128" s="184"/>
      <c r="N128" s="184"/>
      <c r="O128" s="185"/>
      <c r="P128" s="186"/>
      <c r="Q128" s="186"/>
      <c r="R128" s="187"/>
      <c r="S128" s="187"/>
      <c r="T128" s="184"/>
      <c r="U128" s="184"/>
      <c r="V128" s="188"/>
      <c r="W128" s="189"/>
      <c r="X128" s="190"/>
      <c r="Y128" s="185"/>
      <c r="Z128" s="191"/>
      <c r="AA128" s="97"/>
      <c r="AB128" s="192"/>
    </row>
    <row r="129" spans="1:28">
      <c r="A129" s="116"/>
      <c r="B129" s="116"/>
      <c r="C129" s="116">
        <v>2</v>
      </c>
      <c r="D129" s="3"/>
      <c r="E129" s="183"/>
      <c r="F129" s="183"/>
      <c r="G129" s="183"/>
      <c r="H129" s="183"/>
      <c r="I129" s="183"/>
      <c r="J129" s="183"/>
      <c r="K129" s="183"/>
      <c r="L129" s="183"/>
      <c r="M129" s="184"/>
      <c r="N129" s="184"/>
      <c r="O129" s="185"/>
      <c r="P129" s="186"/>
      <c r="Q129" s="186"/>
      <c r="R129" s="187"/>
      <c r="S129" s="187"/>
      <c r="T129" s="184"/>
      <c r="U129" s="184"/>
      <c r="V129" s="188"/>
      <c r="W129" s="189"/>
      <c r="X129" s="190"/>
      <c r="Y129" s="185"/>
      <c r="Z129" s="191"/>
      <c r="AA129" s="97"/>
      <c r="AB129" s="192"/>
    </row>
    <row r="130" spans="1:28">
      <c r="A130" s="116"/>
      <c r="B130" s="116"/>
      <c r="C130" s="116">
        <v>2</v>
      </c>
      <c r="D130" s="3"/>
      <c r="E130" s="183"/>
      <c r="F130" s="183"/>
      <c r="G130" s="183"/>
      <c r="H130" s="183"/>
      <c r="I130" s="183"/>
      <c r="J130" s="183"/>
      <c r="K130" s="183"/>
      <c r="L130" s="183"/>
      <c r="M130" s="184"/>
      <c r="N130" s="184"/>
      <c r="O130" s="185"/>
      <c r="P130" s="186"/>
      <c r="Q130" s="186"/>
      <c r="R130" s="187"/>
      <c r="S130" s="187"/>
      <c r="T130" s="184"/>
      <c r="U130" s="184"/>
      <c r="V130" s="188"/>
      <c r="W130" s="189"/>
      <c r="X130" s="190"/>
      <c r="Y130" s="185"/>
      <c r="Z130" s="191"/>
      <c r="AA130" s="97"/>
      <c r="AB130" s="192"/>
    </row>
    <row r="131" spans="1:28">
      <c r="A131" s="116"/>
      <c r="B131" s="116"/>
      <c r="C131" s="116">
        <v>2</v>
      </c>
      <c r="D131" s="3"/>
      <c r="E131" s="183"/>
      <c r="F131" s="183"/>
      <c r="G131" s="183"/>
      <c r="H131" s="183"/>
      <c r="I131" s="183"/>
      <c r="J131" s="183"/>
      <c r="K131" s="183"/>
      <c r="L131" s="183"/>
      <c r="M131" s="184"/>
      <c r="N131" s="184"/>
      <c r="O131" s="185"/>
      <c r="P131" s="186"/>
      <c r="Q131" s="186"/>
      <c r="R131" s="187"/>
      <c r="S131" s="187"/>
      <c r="T131" s="184"/>
      <c r="U131" s="184"/>
      <c r="V131" s="188"/>
      <c r="W131" s="189"/>
      <c r="X131" s="190"/>
      <c r="Y131" s="185"/>
      <c r="Z131" s="191"/>
      <c r="AA131" s="97"/>
      <c r="AB131" s="192"/>
    </row>
    <row r="132" spans="1:28">
      <c r="A132" s="116"/>
      <c r="B132" s="116"/>
      <c r="C132" s="116">
        <v>2</v>
      </c>
      <c r="D132" s="3"/>
      <c r="E132" s="183"/>
      <c r="F132" s="183"/>
      <c r="G132" s="183"/>
      <c r="H132" s="183"/>
      <c r="I132" s="183"/>
      <c r="J132" s="183"/>
      <c r="K132" s="183"/>
      <c r="L132" s="183"/>
      <c r="M132" s="184"/>
      <c r="N132" s="184"/>
      <c r="O132" s="185"/>
      <c r="P132" s="186"/>
      <c r="Q132" s="186"/>
      <c r="R132" s="187"/>
      <c r="S132" s="187"/>
      <c r="T132" s="184"/>
      <c r="U132" s="184"/>
      <c r="V132" s="188"/>
      <c r="W132" s="189"/>
      <c r="X132" s="190"/>
      <c r="Y132" s="185"/>
      <c r="Z132" s="191"/>
      <c r="AA132" s="97"/>
      <c r="AB132" s="192"/>
    </row>
    <row r="133" spans="1:28">
      <c r="A133" s="193"/>
      <c r="B133" s="193"/>
      <c r="C133" s="193">
        <v>0</v>
      </c>
      <c r="D133" s="194"/>
      <c r="E133" s="195"/>
      <c r="F133" s="195"/>
      <c r="G133" s="195"/>
      <c r="H133" s="195"/>
      <c r="I133" s="195"/>
      <c r="J133" s="195"/>
      <c r="K133" s="195"/>
      <c r="L133" s="195"/>
      <c r="M133" s="196"/>
      <c r="N133" s="196"/>
      <c r="O133" s="197"/>
      <c r="P133" s="198"/>
      <c r="Q133" s="198"/>
      <c r="R133" s="199"/>
      <c r="S133" s="199"/>
      <c r="T133" s="196"/>
      <c r="U133" s="196"/>
      <c r="V133" s="200"/>
      <c r="W133" s="201"/>
      <c r="X133" s="202"/>
      <c r="Y133" s="197"/>
      <c r="Z133" s="203"/>
      <c r="AA133" s="204"/>
      <c r="AB133" s="205"/>
    </row>
    <row r="134" spans="1:28">
      <c r="A134" s="116"/>
      <c r="B134" s="116"/>
      <c r="C134" s="116">
        <v>0</v>
      </c>
      <c r="D134" s="3"/>
      <c r="E134" s="183"/>
      <c r="F134" s="183"/>
      <c r="G134" s="183"/>
      <c r="H134" s="183"/>
      <c r="I134" s="183"/>
      <c r="J134" s="183"/>
      <c r="K134" s="183"/>
      <c r="L134" s="183"/>
      <c r="M134" s="184"/>
      <c r="N134" s="184"/>
      <c r="O134" s="185"/>
      <c r="P134" s="186"/>
      <c r="Q134" s="186"/>
      <c r="R134" s="187"/>
      <c r="S134" s="187"/>
      <c r="T134" s="184"/>
      <c r="U134" s="184"/>
      <c r="V134" s="188"/>
      <c r="W134" s="189"/>
      <c r="X134" s="190"/>
      <c r="Y134" s="185"/>
      <c r="Z134" s="191"/>
      <c r="AA134" s="97"/>
      <c r="AB134" s="192"/>
    </row>
    <row r="135" spans="1:28">
      <c r="A135" s="116"/>
      <c r="B135" s="116" t="s">
        <v>983</v>
      </c>
      <c r="C135" s="116">
        <v>1</v>
      </c>
      <c r="D135" s="3"/>
      <c r="E135" s="207"/>
      <c r="F135" s="183"/>
      <c r="G135" s="183"/>
      <c r="H135" s="183"/>
      <c r="I135" s="183"/>
      <c r="J135" s="183"/>
      <c r="K135" s="183"/>
      <c r="L135" s="183"/>
      <c r="M135" s="184"/>
      <c r="N135" s="184"/>
      <c r="O135" s="185"/>
      <c r="P135" s="186"/>
      <c r="Q135" s="186"/>
      <c r="R135" s="187"/>
      <c r="S135" s="187"/>
      <c r="T135" s="184"/>
      <c r="U135" s="184"/>
      <c r="V135" s="188"/>
      <c r="W135" s="189"/>
      <c r="X135" s="190"/>
      <c r="Y135" s="185"/>
      <c r="Z135" s="191"/>
      <c r="AA135" s="97"/>
      <c r="AB135" s="192"/>
    </row>
    <row r="136" spans="1:28">
      <c r="A136" s="116"/>
      <c r="B136" s="116"/>
      <c r="C136" s="116">
        <v>2</v>
      </c>
      <c r="D136" s="3"/>
      <c r="E136" s="207"/>
      <c r="F136" s="209"/>
      <c r="G136" s="183"/>
      <c r="H136" s="183"/>
      <c r="I136" s="183"/>
      <c r="J136" s="183"/>
      <c r="K136" s="183"/>
      <c r="L136" s="183"/>
      <c r="M136" s="184"/>
      <c r="N136" s="184"/>
      <c r="O136" s="185"/>
      <c r="P136" s="186"/>
      <c r="Q136" s="186"/>
      <c r="R136" s="187"/>
      <c r="S136" s="187"/>
      <c r="T136" s="184"/>
      <c r="U136" s="184"/>
      <c r="V136" s="188"/>
      <c r="W136" s="189"/>
      <c r="X136" s="190"/>
      <c r="Y136" s="185"/>
      <c r="Z136" s="191"/>
      <c r="AA136" s="97"/>
      <c r="AB136" s="192"/>
    </row>
    <row r="137" spans="1:28">
      <c r="A137" s="116"/>
      <c r="B137" s="116"/>
      <c r="C137" s="116">
        <v>2</v>
      </c>
      <c r="D137" s="3"/>
      <c r="E137" s="207"/>
      <c r="F137" s="209"/>
      <c r="G137" s="183"/>
      <c r="H137" s="183"/>
      <c r="I137" s="183"/>
      <c r="J137" s="183"/>
      <c r="K137" s="183"/>
      <c r="L137" s="183"/>
      <c r="M137" s="184"/>
      <c r="N137" s="184"/>
      <c r="O137" s="185"/>
      <c r="P137" s="186"/>
      <c r="Q137" s="186"/>
      <c r="R137" s="187"/>
      <c r="S137" s="187"/>
      <c r="T137" s="184"/>
      <c r="U137" s="184"/>
      <c r="V137" s="188"/>
      <c r="W137" s="189"/>
      <c r="X137" s="190"/>
      <c r="Y137" s="185"/>
      <c r="Z137" s="191"/>
      <c r="AA137" s="97"/>
      <c r="AB137" s="192"/>
    </row>
    <row r="138" spans="1:28">
      <c r="A138" s="116"/>
      <c r="B138" s="116"/>
      <c r="C138" s="116">
        <v>2</v>
      </c>
      <c r="D138" s="3"/>
      <c r="E138" s="183"/>
      <c r="F138" s="209"/>
      <c r="G138" s="183"/>
      <c r="H138" s="183"/>
      <c r="I138" s="183"/>
      <c r="J138" s="183"/>
      <c r="K138" s="183"/>
      <c r="L138" s="183"/>
      <c r="M138" s="184"/>
      <c r="N138" s="184"/>
      <c r="O138" s="185"/>
      <c r="P138" s="186"/>
      <c r="Q138" s="186"/>
      <c r="R138" s="187"/>
      <c r="S138" s="187"/>
      <c r="T138" s="184"/>
      <c r="U138" s="184"/>
      <c r="V138" s="188"/>
      <c r="W138" s="189"/>
      <c r="X138" s="190"/>
      <c r="Y138" s="185"/>
      <c r="Z138" s="191"/>
      <c r="AA138" s="97"/>
      <c r="AB138" s="192"/>
    </row>
    <row r="139" spans="1:28">
      <c r="A139" s="116"/>
      <c r="B139" s="116"/>
      <c r="C139" s="116">
        <v>2</v>
      </c>
      <c r="D139" s="3"/>
      <c r="E139" s="183"/>
      <c r="F139" s="209"/>
      <c r="G139" s="183"/>
      <c r="H139" s="183"/>
      <c r="I139" s="183"/>
      <c r="J139" s="183"/>
      <c r="K139" s="183"/>
      <c r="L139" s="183"/>
      <c r="M139" s="184"/>
      <c r="N139" s="184"/>
      <c r="O139" s="185"/>
      <c r="P139" s="186"/>
      <c r="Q139" s="186"/>
      <c r="R139" s="187"/>
      <c r="S139" s="187"/>
      <c r="T139" s="184"/>
      <c r="U139" s="184"/>
      <c r="V139" s="188"/>
      <c r="W139" s="189"/>
      <c r="X139" s="190"/>
      <c r="Y139" s="185"/>
      <c r="Z139" s="191"/>
      <c r="AA139" s="97"/>
      <c r="AB139" s="192"/>
    </row>
    <row r="140" spans="1:28">
      <c r="A140" s="116"/>
      <c r="B140" s="116"/>
      <c r="C140" s="116">
        <v>2</v>
      </c>
      <c r="D140" s="3"/>
      <c r="E140" s="183"/>
      <c r="F140" s="209"/>
      <c r="G140" s="183"/>
      <c r="H140" s="183"/>
      <c r="I140" s="183"/>
      <c r="J140" s="183"/>
      <c r="K140" s="183"/>
      <c r="L140" s="183"/>
      <c r="M140" s="184"/>
      <c r="N140" s="184"/>
      <c r="O140" s="185"/>
      <c r="P140" s="186"/>
      <c r="Q140" s="186"/>
      <c r="R140" s="187"/>
      <c r="S140" s="187"/>
      <c r="T140" s="184"/>
      <c r="U140" s="184"/>
      <c r="V140" s="188"/>
      <c r="W140" s="189"/>
      <c r="X140" s="190"/>
      <c r="Y140" s="185"/>
      <c r="Z140" s="191"/>
      <c r="AA140" s="97"/>
      <c r="AB140" s="192"/>
    </row>
    <row r="141" spans="1:28">
      <c r="A141" s="116"/>
      <c r="B141" s="116"/>
      <c r="C141" s="116">
        <v>2</v>
      </c>
      <c r="D141" s="3"/>
      <c r="E141" s="183"/>
      <c r="F141" s="209"/>
      <c r="G141" s="183"/>
      <c r="H141" s="183"/>
      <c r="I141" s="183"/>
      <c r="J141" s="183"/>
      <c r="K141" s="183"/>
      <c r="L141" s="183"/>
      <c r="M141" s="184"/>
      <c r="N141" s="184"/>
      <c r="O141" s="185"/>
      <c r="P141" s="186"/>
      <c r="Q141" s="186"/>
      <c r="R141" s="187"/>
      <c r="S141" s="187"/>
      <c r="T141" s="184"/>
      <c r="U141" s="184"/>
      <c r="V141" s="188"/>
      <c r="W141" s="189"/>
      <c r="X141" s="190"/>
      <c r="Y141" s="185"/>
      <c r="Z141" s="191"/>
      <c r="AA141" s="97"/>
      <c r="AB141" s="192"/>
    </row>
    <row r="142" spans="1:28">
      <c r="A142" s="116"/>
      <c r="B142" s="116"/>
      <c r="C142" s="116">
        <v>2</v>
      </c>
      <c r="D142" s="3"/>
      <c r="E142" s="183"/>
      <c r="F142" s="209"/>
      <c r="G142" s="183"/>
      <c r="H142" s="183"/>
      <c r="I142" s="183"/>
      <c r="J142" s="183"/>
      <c r="K142" s="183"/>
      <c r="L142" s="183"/>
      <c r="M142" s="184"/>
      <c r="N142" s="184"/>
      <c r="O142" s="185"/>
      <c r="P142" s="186"/>
      <c r="Q142" s="186"/>
      <c r="R142" s="187"/>
      <c r="S142" s="187"/>
      <c r="T142" s="184"/>
      <c r="U142" s="184"/>
      <c r="V142" s="188"/>
      <c r="W142" s="189"/>
      <c r="X142" s="190"/>
      <c r="Y142" s="185"/>
      <c r="Z142" s="191"/>
      <c r="AA142" s="97"/>
      <c r="AB142" s="192"/>
    </row>
    <row r="143" spans="1:28">
      <c r="A143" s="116"/>
      <c r="B143" s="116"/>
      <c r="C143" s="116">
        <v>2</v>
      </c>
      <c r="D143" s="3"/>
      <c r="E143" s="183"/>
      <c r="F143" s="209"/>
      <c r="G143" s="183"/>
      <c r="H143" s="183"/>
      <c r="I143" s="183"/>
      <c r="J143" s="183"/>
      <c r="K143" s="183"/>
      <c r="L143" s="183"/>
      <c r="M143" s="184"/>
      <c r="N143" s="184"/>
      <c r="O143" s="185"/>
      <c r="P143" s="186"/>
      <c r="Q143" s="186"/>
      <c r="R143" s="187"/>
      <c r="S143" s="187"/>
      <c r="T143" s="184"/>
      <c r="U143" s="184"/>
      <c r="V143" s="188"/>
      <c r="W143" s="189"/>
      <c r="X143" s="190"/>
      <c r="Y143" s="185"/>
      <c r="Z143" s="191"/>
      <c r="AA143" s="97"/>
      <c r="AB143" s="192"/>
    </row>
    <row r="144" spans="1:28">
      <c r="A144" s="116"/>
      <c r="B144" s="116"/>
      <c r="C144" s="116">
        <v>2</v>
      </c>
      <c r="D144" s="3"/>
      <c r="E144" s="183"/>
      <c r="F144" s="209"/>
      <c r="G144" s="183"/>
      <c r="H144" s="183"/>
      <c r="I144" s="183"/>
      <c r="J144" s="183"/>
      <c r="K144" s="183"/>
      <c r="L144" s="183"/>
      <c r="M144" s="184"/>
      <c r="N144" s="184"/>
      <c r="O144" s="185"/>
      <c r="P144" s="186"/>
      <c r="Q144" s="186"/>
      <c r="R144" s="187"/>
      <c r="S144" s="187"/>
      <c r="T144" s="184"/>
      <c r="U144" s="184"/>
      <c r="V144" s="188"/>
      <c r="W144" s="189"/>
      <c r="X144" s="190"/>
      <c r="Y144" s="185"/>
      <c r="Z144" s="191"/>
      <c r="AA144" s="97"/>
      <c r="AB144" s="192"/>
    </row>
    <row r="145" spans="1:28">
      <c r="A145" s="116"/>
      <c r="B145" s="116"/>
      <c r="C145" s="116">
        <v>2</v>
      </c>
      <c r="D145" s="3"/>
      <c r="E145" s="183"/>
      <c r="F145" s="209"/>
      <c r="G145" s="183"/>
      <c r="H145" s="183"/>
      <c r="I145" s="183"/>
      <c r="J145" s="183"/>
      <c r="K145" s="183"/>
      <c r="L145" s="183"/>
      <c r="M145" s="184"/>
      <c r="N145" s="184"/>
      <c r="O145" s="185"/>
      <c r="P145" s="186"/>
      <c r="Q145" s="186"/>
      <c r="R145" s="187"/>
      <c r="S145" s="187"/>
      <c r="T145" s="184"/>
      <c r="U145" s="184"/>
      <c r="V145" s="188"/>
      <c r="W145" s="189"/>
      <c r="X145" s="190"/>
      <c r="Y145" s="185"/>
      <c r="Z145" s="191"/>
      <c r="AA145" s="97"/>
      <c r="AB145" s="192"/>
    </row>
    <row r="146" spans="1:28">
      <c r="A146" s="116"/>
      <c r="B146" s="116"/>
      <c r="C146" s="116">
        <v>2</v>
      </c>
      <c r="D146" s="3"/>
      <c r="E146" s="183"/>
      <c r="F146" s="209"/>
      <c r="G146" s="183"/>
      <c r="H146" s="183"/>
      <c r="I146" s="183"/>
      <c r="J146" s="183"/>
      <c r="K146" s="183"/>
      <c r="L146" s="183"/>
      <c r="M146" s="184"/>
      <c r="N146" s="184"/>
      <c r="O146" s="185"/>
      <c r="P146" s="186"/>
      <c r="Q146" s="186"/>
      <c r="R146" s="187"/>
      <c r="S146" s="187"/>
      <c r="T146" s="184"/>
      <c r="U146" s="184"/>
      <c r="V146" s="188"/>
      <c r="W146" s="189"/>
      <c r="X146" s="190"/>
      <c r="Y146" s="185"/>
      <c r="Z146" s="191"/>
      <c r="AA146" s="97"/>
      <c r="AB146" s="192"/>
    </row>
    <row r="147" spans="1:28">
      <c r="A147" s="116"/>
      <c r="B147" s="116"/>
      <c r="C147" s="116">
        <v>2</v>
      </c>
      <c r="D147" s="3"/>
      <c r="E147" s="183"/>
      <c r="F147" s="209"/>
      <c r="G147" s="183"/>
      <c r="H147" s="183"/>
      <c r="I147" s="183"/>
      <c r="J147" s="183"/>
      <c r="K147" s="183"/>
      <c r="L147" s="183"/>
      <c r="M147" s="184"/>
      <c r="N147" s="184"/>
      <c r="O147" s="185"/>
      <c r="P147" s="186"/>
      <c r="Q147" s="186"/>
      <c r="R147" s="187"/>
      <c r="S147" s="187"/>
      <c r="T147" s="184"/>
      <c r="U147" s="184"/>
      <c r="V147" s="188"/>
      <c r="W147" s="189"/>
      <c r="X147" s="190"/>
      <c r="Y147" s="185"/>
      <c r="Z147" s="191"/>
      <c r="AA147" s="97"/>
      <c r="AB147" s="192"/>
    </row>
    <row r="148" spans="1:28">
      <c r="A148" s="116"/>
      <c r="B148" s="116"/>
      <c r="C148" s="116">
        <v>2</v>
      </c>
      <c r="D148" s="3"/>
      <c r="E148" s="183"/>
      <c r="F148" s="209"/>
      <c r="G148" s="183"/>
      <c r="H148" s="183"/>
      <c r="I148" s="183"/>
      <c r="J148" s="183"/>
      <c r="K148" s="183"/>
      <c r="L148" s="183"/>
      <c r="M148" s="184"/>
      <c r="N148" s="184"/>
      <c r="O148" s="185"/>
      <c r="P148" s="186"/>
      <c r="Q148" s="186"/>
      <c r="R148" s="187"/>
      <c r="S148" s="187"/>
      <c r="T148" s="184"/>
      <c r="U148" s="184"/>
      <c r="V148" s="188"/>
      <c r="W148" s="189"/>
      <c r="X148" s="190"/>
      <c r="Y148" s="185"/>
      <c r="Z148" s="191"/>
      <c r="AA148" s="97"/>
      <c r="AB148" s="192"/>
    </row>
    <row r="149" spans="1:28">
      <c r="A149" s="116"/>
      <c r="B149" s="116"/>
      <c r="C149" s="116">
        <v>2</v>
      </c>
      <c r="D149" s="3"/>
      <c r="E149" s="183"/>
      <c r="F149" s="209"/>
      <c r="G149" s="183"/>
      <c r="H149" s="183"/>
      <c r="I149" s="183"/>
      <c r="J149" s="183"/>
      <c r="K149" s="183"/>
      <c r="L149" s="183"/>
      <c r="M149" s="184"/>
      <c r="N149" s="184"/>
      <c r="O149" s="185"/>
      <c r="P149" s="186"/>
      <c r="Q149" s="186"/>
      <c r="R149" s="187"/>
      <c r="S149" s="187"/>
      <c r="T149" s="184"/>
      <c r="U149" s="184"/>
      <c r="V149" s="188"/>
      <c r="W149" s="189"/>
      <c r="X149" s="190"/>
      <c r="Y149" s="185"/>
      <c r="Z149" s="191"/>
      <c r="AA149" s="97"/>
      <c r="AB149" s="192"/>
    </row>
    <row r="150" spans="1:28">
      <c r="A150" s="116"/>
      <c r="B150" s="116"/>
      <c r="C150" s="116">
        <v>2</v>
      </c>
      <c r="D150" s="3"/>
      <c r="E150" s="183"/>
      <c r="F150" s="209"/>
      <c r="G150" s="183"/>
      <c r="H150" s="183"/>
      <c r="I150" s="183"/>
      <c r="J150" s="183"/>
      <c r="K150" s="183"/>
      <c r="L150" s="183"/>
      <c r="M150" s="184"/>
      <c r="N150" s="184"/>
      <c r="O150" s="185"/>
      <c r="P150" s="186"/>
      <c r="Q150" s="186"/>
      <c r="R150" s="187"/>
      <c r="S150" s="187"/>
      <c r="T150" s="184"/>
      <c r="U150" s="184"/>
      <c r="V150" s="188"/>
      <c r="W150" s="189"/>
      <c r="X150" s="190"/>
      <c r="Y150" s="185"/>
      <c r="Z150" s="191"/>
      <c r="AA150" s="97"/>
      <c r="AB150" s="192"/>
    </row>
    <row r="151" spans="1:28">
      <c r="A151" s="116"/>
      <c r="B151" s="116"/>
      <c r="C151" s="116">
        <v>2</v>
      </c>
      <c r="D151" s="3"/>
      <c r="E151" s="183"/>
      <c r="F151" s="209"/>
      <c r="G151" s="183"/>
      <c r="H151" s="183"/>
      <c r="I151" s="183"/>
      <c r="J151" s="183"/>
      <c r="K151" s="183"/>
      <c r="L151" s="183"/>
      <c r="M151" s="184"/>
      <c r="N151" s="184"/>
      <c r="O151" s="185"/>
      <c r="P151" s="186"/>
      <c r="Q151" s="186"/>
      <c r="R151" s="187"/>
      <c r="S151" s="187"/>
      <c r="T151" s="184"/>
      <c r="U151" s="184"/>
      <c r="V151" s="188"/>
      <c r="W151" s="189"/>
      <c r="X151" s="190"/>
      <c r="Y151" s="185"/>
      <c r="Z151" s="191"/>
      <c r="AA151" s="97"/>
      <c r="AB151" s="192"/>
    </row>
    <row r="152" spans="1:28">
      <c r="A152" s="116"/>
      <c r="B152" s="116"/>
      <c r="C152" s="116">
        <v>0</v>
      </c>
      <c r="D152" s="3"/>
      <c r="E152" s="183"/>
      <c r="F152" s="209"/>
      <c r="G152" s="183"/>
      <c r="H152" s="183"/>
      <c r="I152" s="183"/>
      <c r="J152" s="183"/>
      <c r="K152" s="183"/>
      <c r="L152" s="183"/>
      <c r="M152" s="184"/>
      <c r="N152" s="184"/>
      <c r="O152" s="185"/>
      <c r="P152" s="186"/>
      <c r="Q152" s="186"/>
      <c r="R152" s="187"/>
      <c r="S152" s="187"/>
      <c r="T152" s="184"/>
      <c r="U152" s="184"/>
      <c r="V152" s="188"/>
      <c r="W152" s="189"/>
      <c r="X152" s="190"/>
      <c r="Y152" s="185"/>
      <c r="Z152" s="191"/>
      <c r="AA152" s="97"/>
      <c r="AB152" s="192"/>
    </row>
    <row r="153" spans="1:28">
      <c r="A153" s="116"/>
      <c r="B153" s="116"/>
      <c r="C153" s="116">
        <v>0</v>
      </c>
      <c r="D153" s="3"/>
      <c r="E153" s="183"/>
      <c r="F153" s="183"/>
      <c r="G153" s="183"/>
      <c r="H153" s="183"/>
      <c r="I153" s="183"/>
      <c r="J153" s="183"/>
      <c r="K153" s="183"/>
      <c r="L153" s="183"/>
      <c r="M153" s="184"/>
      <c r="N153" s="184"/>
      <c r="O153" s="185"/>
      <c r="P153" s="186"/>
      <c r="Q153" s="186"/>
      <c r="R153" s="187"/>
      <c r="S153" s="187"/>
      <c r="T153" s="184"/>
      <c r="U153" s="184"/>
      <c r="V153" s="188"/>
      <c r="W153" s="189"/>
      <c r="X153" s="190"/>
      <c r="Y153" s="185"/>
      <c r="Z153" s="191"/>
      <c r="AA153" s="97"/>
      <c r="AB153" s="192"/>
    </row>
    <row r="154" spans="1:28">
      <c r="A154" s="116"/>
      <c r="B154" s="116" t="s">
        <v>983</v>
      </c>
      <c r="C154" s="116">
        <v>1</v>
      </c>
      <c r="D154" s="3"/>
      <c r="E154" s="207"/>
      <c r="F154" s="183"/>
      <c r="G154" s="183"/>
      <c r="H154" s="183"/>
      <c r="I154" s="183"/>
      <c r="J154" s="183"/>
      <c r="K154" s="183"/>
      <c r="L154" s="183"/>
      <c r="M154" s="184"/>
      <c r="N154" s="184"/>
      <c r="O154" s="185"/>
      <c r="P154" s="186"/>
      <c r="Q154" s="186"/>
      <c r="R154" s="187"/>
      <c r="S154" s="187"/>
      <c r="T154" s="184"/>
      <c r="U154" s="184"/>
      <c r="V154" s="188"/>
      <c r="W154" s="189"/>
      <c r="X154" s="190"/>
      <c r="Y154" s="185"/>
      <c r="Z154" s="191"/>
      <c r="AA154" s="97"/>
      <c r="AB154" s="192"/>
    </row>
    <row r="155" spans="1:28">
      <c r="A155" s="116"/>
      <c r="B155" s="116" t="s">
        <v>983</v>
      </c>
      <c r="C155" s="116">
        <v>2</v>
      </c>
      <c r="D155" s="3"/>
      <c r="E155" s="207"/>
      <c r="F155" s="209"/>
      <c r="G155" s="209"/>
      <c r="H155" s="183"/>
      <c r="I155" s="183"/>
      <c r="J155" s="183"/>
      <c r="K155" s="183"/>
      <c r="L155" s="183"/>
      <c r="M155" s="184"/>
      <c r="N155" s="184"/>
      <c r="O155" s="185"/>
      <c r="P155" s="186"/>
      <c r="Q155" s="186"/>
      <c r="R155" s="187"/>
      <c r="S155" s="187"/>
      <c r="T155" s="184"/>
      <c r="U155" s="184"/>
      <c r="V155" s="188"/>
      <c r="W155" s="189"/>
      <c r="X155" s="190"/>
      <c r="Y155" s="185"/>
      <c r="Z155" s="191"/>
      <c r="AA155" s="97"/>
      <c r="AB155" s="192"/>
    </row>
    <row r="156" spans="1:28">
      <c r="A156" s="116"/>
      <c r="B156" s="116"/>
      <c r="C156" s="116">
        <v>3</v>
      </c>
      <c r="D156" s="3"/>
      <c r="E156" s="207"/>
      <c r="F156" s="209"/>
      <c r="G156" s="209"/>
      <c r="H156" s="183"/>
      <c r="I156" s="183"/>
      <c r="J156" s="183"/>
      <c r="K156" s="183"/>
      <c r="L156" s="183"/>
      <c r="M156" s="184"/>
      <c r="N156" s="184"/>
      <c r="O156" s="185"/>
      <c r="P156" s="186"/>
      <c r="Q156" s="186"/>
      <c r="R156" s="187"/>
      <c r="S156" s="187"/>
      <c r="T156" s="184"/>
      <c r="U156" s="184"/>
      <c r="V156" s="188"/>
      <c r="W156" s="189"/>
      <c r="X156" s="190"/>
      <c r="Y156" s="185"/>
      <c r="Z156" s="191"/>
      <c r="AA156" s="97"/>
      <c r="AB156" s="192"/>
    </row>
    <row r="157" spans="1:28">
      <c r="A157" s="116"/>
      <c r="B157" s="116"/>
      <c r="C157" s="116">
        <v>3</v>
      </c>
      <c r="D157" s="3"/>
      <c r="E157" s="207"/>
      <c r="F157" s="209"/>
      <c r="G157" s="209"/>
      <c r="H157" s="183"/>
      <c r="I157" s="183"/>
      <c r="J157" s="183"/>
      <c r="K157" s="183"/>
      <c r="L157" s="183"/>
      <c r="M157" s="184"/>
      <c r="N157" s="184"/>
      <c r="O157" s="185"/>
      <c r="P157" s="186"/>
      <c r="Q157" s="186"/>
      <c r="R157" s="187"/>
      <c r="S157" s="187"/>
      <c r="T157" s="184"/>
      <c r="U157" s="184"/>
      <c r="V157" s="188"/>
      <c r="W157" s="189"/>
      <c r="X157" s="190"/>
      <c r="Y157" s="185"/>
      <c r="Z157" s="191"/>
      <c r="AA157" s="97"/>
      <c r="AB157" s="192"/>
    </row>
    <row r="158" spans="1:28">
      <c r="A158" s="116"/>
      <c r="B158" s="116"/>
      <c r="C158" s="116">
        <v>3</v>
      </c>
      <c r="D158" s="3"/>
      <c r="E158" s="207"/>
      <c r="F158" s="209"/>
      <c r="G158" s="209"/>
      <c r="H158" s="183"/>
      <c r="I158" s="183"/>
      <c r="J158" s="183"/>
      <c r="K158" s="183"/>
      <c r="L158" s="183"/>
      <c r="M158" s="184"/>
      <c r="N158" s="184"/>
      <c r="O158" s="185"/>
      <c r="P158" s="186"/>
      <c r="Q158" s="186"/>
      <c r="R158" s="187"/>
      <c r="S158" s="187"/>
      <c r="T158" s="184"/>
      <c r="U158" s="184"/>
      <c r="V158" s="188"/>
      <c r="W158" s="189"/>
      <c r="X158" s="190"/>
      <c r="Y158" s="185"/>
      <c r="Z158" s="191"/>
      <c r="AA158" s="97"/>
      <c r="AB158" s="192"/>
    </row>
    <row r="159" spans="1:28">
      <c r="A159" s="116"/>
      <c r="B159" s="116"/>
      <c r="C159" s="116">
        <v>3</v>
      </c>
      <c r="D159" s="3"/>
      <c r="E159" s="207"/>
      <c r="F159" s="209"/>
      <c r="G159" s="209"/>
      <c r="H159" s="183"/>
      <c r="I159" s="183"/>
      <c r="J159" s="183"/>
      <c r="K159" s="183"/>
      <c r="L159" s="183"/>
      <c r="M159" s="184"/>
      <c r="N159" s="184"/>
      <c r="O159" s="185"/>
      <c r="P159" s="186"/>
      <c r="Q159" s="186"/>
      <c r="R159" s="187"/>
      <c r="S159" s="187"/>
      <c r="T159" s="184"/>
      <c r="U159" s="184"/>
      <c r="V159" s="188"/>
      <c r="W159" s="189"/>
      <c r="X159" s="190"/>
      <c r="Y159" s="185"/>
      <c r="Z159" s="191"/>
      <c r="AA159" s="97"/>
      <c r="AB159" s="192"/>
    </row>
    <row r="160" spans="1:28">
      <c r="A160" s="116"/>
      <c r="B160" s="116"/>
      <c r="C160" s="116">
        <v>0</v>
      </c>
      <c r="D160" s="3"/>
      <c r="E160" s="207"/>
      <c r="F160" s="209"/>
      <c r="G160" s="209"/>
      <c r="H160" s="183"/>
      <c r="I160" s="183"/>
      <c r="J160" s="183"/>
      <c r="K160" s="183"/>
      <c r="L160" s="183"/>
      <c r="M160" s="184"/>
      <c r="N160" s="184"/>
      <c r="O160" s="185"/>
      <c r="P160" s="186"/>
      <c r="Q160" s="186"/>
      <c r="R160" s="187"/>
      <c r="S160" s="187"/>
      <c r="T160" s="184"/>
      <c r="U160" s="184"/>
      <c r="V160" s="188"/>
      <c r="W160" s="189"/>
      <c r="X160" s="190"/>
      <c r="Y160" s="185"/>
      <c r="Z160" s="191"/>
      <c r="AA160" s="97"/>
      <c r="AB160" s="192"/>
    </row>
    <row r="161" spans="1:28">
      <c r="A161" s="116"/>
      <c r="B161" s="116" t="s">
        <v>983</v>
      </c>
      <c r="C161" s="116">
        <v>2</v>
      </c>
      <c r="D161" s="3"/>
      <c r="E161" s="207"/>
      <c r="F161" s="209"/>
      <c r="G161" s="209"/>
      <c r="H161" s="183"/>
      <c r="I161" s="183"/>
      <c r="J161" s="183"/>
      <c r="K161" s="183"/>
      <c r="L161" s="183"/>
      <c r="M161" s="184"/>
      <c r="N161" s="184"/>
      <c r="O161" s="185"/>
      <c r="P161" s="186"/>
      <c r="Q161" s="186"/>
      <c r="R161" s="187"/>
      <c r="S161" s="187"/>
      <c r="T161" s="184"/>
      <c r="U161" s="184"/>
      <c r="V161" s="188"/>
      <c r="W161" s="189"/>
      <c r="X161" s="190"/>
      <c r="Y161" s="185"/>
      <c r="Z161" s="191"/>
      <c r="AA161" s="97"/>
      <c r="AB161" s="192"/>
    </row>
    <row r="162" spans="1:28">
      <c r="A162" s="116"/>
      <c r="B162" s="116"/>
      <c r="C162" s="116">
        <v>3</v>
      </c>
      <c r="D162" s="3"/>
      <c r="E162" s="207"/>
      <c r="F162" s="209"/>
      <c r="G162" s="209"/>
      <c r="H162" s="183"/>
      <c r="I162" s="183"/>
      <c r="J162" s="183"/>
      <c r="K162" s="183"/>
      <c r="L162" s="183"/>
      <c r="M162" s="184"/>
      <c r="N162" s="184"/>
      <c r="O162" s="185"/>
      <c r="P162" s="186"/>
      <c r="Q162" s="186"/>
      <c r="R162" s="187"/>
      <c r="S162" s="187"/>
      <c r="T162" s="184"/>
      <c r="U162" s="184"/>
      <c r="V162" s="188"/>
      <c r="W162" s="189"/>
      <c r="X162" s="190"/>
      <c r="Y162" s="185"/>
      <c r="Z162" s="191"/>
      <c r="AA162" s="97"/>
      <c r="AB162" s="192"/>
    </row>
    <row r="163" spans="1:28">
      <c r="A163" s="116"/>
      <c r="B163" s="116"/>
      <c r="C163" s="116">
        <v>3</v>
      </c>
      <c r="D163" s="3"/>
      <c r="E163" s="207"/>
      <c r="F163" s="209"/>
      <c r="G163" s="209"/>
      <c r="H163" s="183"/>
      <c r="I163" s="183"/>
      <c r="J163" s="183"/>
      <c r="K163" s="183"/>
      <c r="L163" s="183"/>
      <c r="M163" s="184"/>
      <c r="N163" s="184"/>
      <c r="O163" s="185"/>
      <c r="P163" s="186"/>
      <c r="Q163" s="186"/>
      <c r="R163" s="187"/>
      <c r="S163" s="187"/>
      <c r="T163" s="184"/>
      <c r="U163" s="184"/>
      <c r="V163" s="188"/>
      <c r="W163" s="189"/>
      <c r="X163" s="190"/>
      <c r="Y163" s="185"/>
      <c r="Z163" s="191"/>
      <c r="AA163" s="97"/>
      <c r="AB163" s="192"/>
    </row>
    <row r="164" spans="1:28">
      <c r="A164" s="116"/>
      <c r="B164" s="116"/>
      <c r="C164" s="116">
        <v>3</v>
      </c>
      <c r="D164" s="3"/>
      <c r="E164" s="207"/>
      <c r="F164" s="209"/>
      <c r="G164" s="209"/>
      <c r="H164" s="183"/>
      <c r="I164" s="183"/>
      <c r="J164" s="183"/>
      <c r="K164" s="183"/>
      <c r="L164" s="183"/>
      <c r="M164" s="184"/>
      <c r="N164" s="184"/>
      <c r="O164" s="185"/>
      <c r="P164" s="186"/>
      <c r="Q164" s="186"/>
      <c r="R164" s="187"/>
      <c r="S164" s="187"/>
      <c r="T164" s="184"/>
      <c r="U164" s="184"/>
      <c r="V164" s="188"/>
      <c r="W164" s="189"/>
      <c r="X164" s="190"/>
      <c r="Y164" s="185"/>
      <c r="Z164" s="191"/>
      <c r="AA164" s="97"/>
      <c r="AB164" s="192"/>
    </row>
    <row r="165" spans="1:28">
      <c r="A165" s="116"/>
      <c r="B165" s="116"/>
      <c r="C165" s="116">
        <v>3</v>
      </c>
      <c r="D165" s="3"/>
      <c r="E165" s="207"/>
      <c r="F165" s="209"/>
      <c r="G165" s="209"/>
      <c r="H165" s="183"/>
      <c r="I165" s="183"/>
      <c r="J165" s="183"/>
      <c r="K165" s="183"/>
      <c r="L165" s="183"/>
      <c r="M165" s="184"/>
      <c r="N165" s="184"/>
      <c r="O165" s="185"/>
      <c r="P165" s="186"/>
      <c r="Q165" s="186"/>
      <c r="R165" s="187"/>
      <c r="S165" s="187"/>
      <c r="T165" s="184"/>
      <c r="U165" s="184"/>
      <c r="V165" s="188"/>
      <c r="W165" s="189"/>
      <c r="X165" s="190"/>
      <c r="Y165" s="185"/>
      <c r="Z165" s="191"/>
      <c r="AA165" s="97"/>
      <c r="AB165" s="192"/>
    </row>
    <row r="166" spans="1:28">
      <c r="A166" s="116"/>
      <c r="B166" s="116"/>
      <c r="C166" s="116">
        <v>0</v>
      </c>
      <c r="D166" s="3"/>
      <c r="E166" s="207"/>
      <c r="F166" s="209"/>
      <c r="G166" s="209"/>
      <c r="H166" s="183"/>
      <c r="I166" s="183"/>
      <c r="J166" s="183"/>
      <c r="K166" s="183"/>
      <c r="L166" s="183"/>
      <c r="M166" s="184"/>
      <c r="N166" s="184"/>
      <c r="O166" s="185"/>
      <c r="P166" s="186"/>
      <c r="Q166" s="186"/>
      <c r="R166" s="187"/>
      <c r="S166" s="187"/>
      <c r="T166" s="184"/>
      <c r="U166" s="184"/>
      <c r="V166" s="188"/>
      <c r="W166" s="189"/>
      <c r="X166" s="190"/>
      <c r="Y166" s="185"/>
      <c r="Z166" s="191"/>
      <c r="AA166" s="97"/>
      <c r="AB166" s="192"/>
    </row>
    <row r="167" spans="1:28">
      <c r="A167" s="116"/>
      <c r="B167" s="116" t="s">
        <v>983</v>
      </c>
      <c r="C167" s="116">
        <v>2</v>
      </c>
      <c r="D167" s="3"/>
      <c r="E167" s="207"/>
      <c r="F167" s="209"/>
      <c r="G167" s="209"/>
      <c r="H167" s="183"/>
      <c r="I167" s="183"/>
      <c r="J167" s="183"/>
      <c r="K167" s="183"/>
      <c r="L167" s="183"/>
      <c r="M167" s="184"/>
      <c r="N167" s="184"/>
      <c r="O167" s="185"/>
      <c r="P167" s="186"/>
      <c r="Q167" s="186"/>
      <c r="R167" s="187"/>
      <c r="S167" s="187"/>
      <c r="T167" s="184"/>
      <c r="U167" s="184"/>
      <c r="V167" s="188"/>
      <c r="W167" s="189"/>
      <c r="X167" s="190"/>
      <c r="Y167" s="185"/>
      <c r="Z167" s="191"/>
      <c r="AA167" s="97"/>
      <c r="AB167" s="192"/>
    </row>
    <row r="168" spans="1:28">
      <c r="A168" s="116"/>
      <c r="B168" s="116"/>
      <c r="C168" s="116">
        <v>3</v>
      </c>
      <c r="D168" s="3"/>
      <c r="E168" s="207"/>
      <c r="F168" s="209"/>
      <c r="G168" s="209"/>
      <c r="H168" s="183"/>
      <c r="I168" s="183"/>
      <c r="J168" s="183"/>
      <c r="K168" s="183"/>
      <c r="L168" s="183"/>
      <c r="M168" s="184"/>
      <c r="N168" s="184"/>
      <c r="O168" s="185"/>
      <c r="P168" s="186"/>
      <c r="Q168" s="186"/>
      <c r="R168" s="187"/>
      <c r="S168" s="187"/>
      <c r="T168" s="184"/>
      <c r="U168" s="184"/>
      <c r="V168" s="188"/>
      <c r="W168" s="189"/>
      <c r="X168" s="190"/>
      <c r="Y168" s="185"/>
      <c r="Z168" s="191"/>
      <c r="AA168" s="97"/>
      <c r="AB168" s="192"/>
    </row>
    <row r="169" spans="1:28">
      <c r="A169" s="116"/>
      <c r="B169" s="116"/>
      <c r="C169" s="116">
        <v>3</v>
      </c>
      <c r="D169" s="3"/>
      <c r="E169" s="207"/>
      <c r="F169" s="209"/>
      <c r="G169" s="209"/>
      <c r="H169" s="183"/>
      <c r="I169" s="183"/>
      <c r="J169" s="183"/>
      <c r="K169" s="183"/>
      <c r="L169" s="183"/>
      <c r="M169" s="184"/>
      <c r="N169" s="184"/>
      <c r="O169" s="185"/>
      <c r="P169" s="186"/>
      <c r="Q169" s="186"/>
      <c r="R169" s="187"/>
      <c r="S169" s="187"/>
      <c r="T169" s="184"/>
      <c r="U169" s="184"/>
      <c r="V169" s="188"/>
      <c r="W169" s="189"/>
      <c r="X169" s="190"/>
      <c r="Y169" s="185"/>
      <c r="Z169" s="191"/>
      <c r="AA169" s="97"/>
      <c r="AB169" s="192"/>
    </row>
    <row r="170" spans="1:28">
      <c r="A170" s="116"/>
      <c r="B170" s="116"/>
      <c r="C170" s="116">
        <v>3</v>
      </c>
      <c r="D170" s="3"/>
      <c r="E170" s="207"/>
      <c r="F170" s="209"/>
      <c r="G170" s="209"/>
      <c r="H170" s="183"/>
      <c r="I170" s="183"/>
      <c r="J170" s="183"/>
      <c r="K170" s="183"/>
      <c r="L170" s="183"/>
      <c r="M170" s="184"/>
      <c r="N170" s="184"/>
      <c r="O170" s="185"/>
      <c r="P170" s="186"/>
      <c r="Q170" s="186"/>
      <c r="R170" s="187"/>
      <c r="S170" s="187"/>
      <c r="T170" s="184"/>
      <c r="U170" s="184"/>
      <c r="V170" s="188"/>
      <c r="W170" s="189"/>
      <c r="X170" s="190"/>
      <c r="Y170" s="185"/>
      <c r="Z170" s="191"/>
      <c r="AA170" s="97"/>
      <c r="AB170" s="192"/>
    </row>
    <row r="171" spans="1:28">
      <c r="A171" s="116"/>
      <c r="B171" s="116"/>
      <c r="C171" s="116">
        <v>3</v>
      </c>
      <c r="D171" s="3"/>
      <c r="E171" s="207"/>
      <c r="F171" s="209"/>
      <c r="G171" s="209"/>
      <c r="H171" s="183"/>
      <c r="I171" s="183"/>
      <c r="J171" s="183"/>
      <c r="K171" s="183"/>
      <c r="L171" s="183"/>
      <c r="M171" s="184"/>
      <c r="N171" s="184"/>
      <c r="O171" s="185"/>
      <c r="P171" s="186"/>
      <c r="Q171" s="186"/>
      <c r="R171" s="187"/>
      <c r="S171" s="187"/>
      <c r="T171" s="184"/>
      <c r="U171" s="184"/>
      <c r="V171" s="188"/>
      <c r="W171" s="189"/>
      <c r="X171" s="190"/>
      <c r="Y171" s="185"/>
      <c r="Z171" s="191"/>
      <c r="AA171" s="97"/>
      <c r="AB171" s="192"/>
    </row>
    <row r="172" spans="1:28">
      <c r="A172" s="116"/>
      <c r="B172" s="116"/>
      <c r="C172" s="116">
        <v>0</v>
      </c>
      <c r="D172" s="3"/>
      <c r="E172" s="207"/>
      <c r="F172" s="209"/>
      <c r="G172" s="209"/>
      <c r="H172" s="183"/>
      <c r="I172" s="183"/>
      <c r="J172" s="183"/>
      <c r="K172" s="183"/>
      <c r="L172" s="183"/>
      <c r="M172" s="184"/>
      <c r="N172" s="184"/>
      <c r="O172" s="185"/>
      <c r="P172" s="186"/>
      <c r="Q172" s="186"/>
      <c r="R172" s="187"/>
      <c r="S172" s="187"/>
      <c r="T172" s="184"/>
      <c r="U172" s="184"/>
      <c r="V172" s="188"/>
      <c r="W172" s="189"/>
      <c r="X172" s="190"/>
      <c r="Y172" s="185"/>
      <c r="Z172" s="191"/>
      <c r="AA172" s="97"/>
      <c r="AB172" s="192"/>
    </row>
    <row r="173" spans="1:28">
      <c r="A173" s="116"/>
      <c r="B173" s="116" t="s">
        <v>983</v>
      </c>
      <c r="C173" s="116">
        <v>2</v>
      </c>
      <c r="D173" s="3"/>
      <c r="E173" s="207"/>
      <c r="F173" s="209"/>
      <c r="G173" s="209"/>
      <c r="H173" s="183"/>
      <c r="I173" s="183"/>
      <c r="J173" s="183"/>
      <c r="K173" s="183"/>
      <c r="L173" s="183"/>
      <c r="M173" s="184"/>
      <c r="N173" s="184"/>
      <c r="O173" s="185"/>
      <c r="P173" s="186"/>
      <c r="Q173" s="186"/>
      <c r="R173" s="187"/>
      <c r="S173" s="187"/>
      <c r="T173" s="184"/>
      <c r="U173" s="184"/>
      <c r="V173" s="188"/>
      <c r="W173" s="189"/>
      <c r="X173" s="190"/>
      <c r="Y173" s="185"/>
      <c r="Z173" s="191"/>
      <c r="AA173" s="97"/>
      <c r="AB173" s="192"/>
    </row>
    <row r="174" spans="1:28">
      <c r="A174" s="116"/>
      <c r="B174" s="116"/>
      <c r="C174" s="116">
        <v>3</v>
      </c>
      <c r="D174" s="3"/>
      <c r="E174" s="207"/>
      <c r="F174" s="209"/>
      <c r="G174" s="209"/>
      <c r="H174" s="183"/>
      <c r="I174" s="183"/>
      <c r="J174" s="183"/>
      <c r="K174" s="183"/>
      <c r="L174" s="183"/>
      <c r="M174" s="184"/>
      <c r="N174" s="184"/>
      <c r="O174" s="185"/>
      <c r="P174" s="186"/>
      <c r="Q174" s="186"/>
      <c r="R174" s="187"/>
      <c r="S174" s="187"/>
      <c r="T174" s="184"/>
      <c r="U174" s="184"/>
      <c r="V174" s="188"/>
      <c r="W174" s="189"/>
      <c r="X174" s="190"/>
      <c r="Y174" s="185"/>
      <c r="Z174" s="191"/>
      <c r="AA174" s="97"/>
      <c r="AB174" s="192"/>
    </row>
    <row r="175" spans="1:28">
      <c r="A175" s="116"/>
      <c r="B175" s="116"/>
      <c r="C175" s="116">
        <v>3</v>
      </c>
      <c r="D175" s="3"/>
      <c r="E175" s="207"/>
      <c r="F175" s="209"/>
      <c r="G175" s="209"/>
      <c r="H175" s="183"/>
      <c r="I175" s="183"/>
      <c r="J175" s="183"/>
      <c r="K175" s="183"/>
      <c r="L175" s="183"/>
      <c r="M175" s="184"/>
      <c r="N175" s="184"/>
      <c r="O175" s="185"/>
      <c r="P175" s="186"/>
      <c r="Q175" s="186"/>
      <c r="R175" s="187"/>
      <c r="S175" s="187"/>
      <c r="T175" s="184"/>
      <c r="U175" s="184"/>
      <c r="V175" s="188"/>
      <c r="W175" s="189"/>
      <c r="X175" s="190"/>
      <c r="Y175" s="185"/>
      <c r="Z175" s="191"/>
      <c r="AA175" s="97"/>
      <c r="AB175" s="192"/>
    </row>
    <row r="176" spans="1:28">
      <c r="A176" s="116"/>
      <c r="B176" s="116"/>
      <c r="C176" s="116">
        <v>3</v>
      </c>
      <c r="D176" s="3"/>
      <c r="E176" s="207"/>
      <c r="F176" s="209"/>
      <c r="G176" s="209"/>
      <c r="H176" s="183"/>
      <c r="I176" s="183"/>
      <c r="J176" s="183"/>
      <c r="K176" s="183"/>
      <c r="L176" s="183"/>
      <c r="M176" s="184"/>
      <c r="N176" s="184"/>
      <c r="O176" s="185"/>
      <c r="P176" s="186"/>
      <c r="Q176" s="186"/>
      <c r="R176" s="187"/>
      <c r="S176" s="187"/>
      <c r="T176" s="184"/>
      <c r="U176" s="184"/>
      <c r="V176" s="188"/>
      <c r="W176" s="189"/>
      <c r="X176" s="190"/>
      <c r="Y176" s="185"/>
      <c r="Z176" s="191"/>
      <c r="AA176" s="97"/>
      <c r="AB176" s="192"/>
    </row>
    <row r="177" spans="1:28">
      <c r="A177" s="116"/>
      <c r="B177" s="116"/>
      <c r="C177" s="116">
        <v>3</v>
      </c>
      <c r="D177" s="3"/>
      <c r="E177" s="207"/>
      <c r="F177" s="209"/>
      <c r="G177" s="209"/>
      <c r="H177" s="183"/>
      <c r="I177" s="183"/>
      <c r="J177" s="183"/>
      <c r="K177" s="183"/>
      <c r="L177" s="183"/>
      <c r="M177" s="184"/>
      <c r="N177" s="184"/>
      <c r="O177" s="185"/>
      <c r="P177" s="186"/>
      <c r="Q177" s="186"/>
      <c r="R177" s="187"/>
      <c r="S177" s="187"/>
      <c r="T177" s="184"/>
      <c r="U177" s="184"/>
      <c r="V177" s="188"/>
      <c r="W177" s="189"/>
      <c r="X177" s="190"/>
      <c r="Y177" s="185"/>
      <c r="Z177" s="191"/>
      <c r="AA177" s="97"/>
      <c r="AB177" s="192"/>
    </row>
    <row r="178" spans="1:28">
      <c r="A178" s="116"/>
      <c r="B178" s="116"/>
      <c r="C178" s="116">
        <v>0</v>
      </c>
      <c r="D178" s="3"/>
      <c r="E178" s="207"/>
      <c r="F178" s="209"/>
      <c r="G178" s="209"/>
      <c r="H178" s="183"/>
      <c r="I178" s="183"/>
      <c r="J178" s="183"/>
      <c r="K178" s="183"/>
      <c r="L178" s="183"/>
      <c r="M178" s="184"/>
      <c r="N178" s="184"/>
      <c r="O178" s="185"/>
      <c r="P178" s="186"/>
      <c r="Q178" s="186"/>
      <c r="R178" s="187"/>
      <c r="S178" s="187"/>
      <c r="T178" s="184"/>
      <c r="U178" s="184"/>
      <c r="V178" s="188"/>
      <c r="W178" s="189"/>
      <c r="X178" s="190"/>
      <c r="Y178" s="185"/>
      <c r="Z178" s="191"/>
      <c r="AA178" s="97"/>
      <c r="AB178" s="192"/>
    </row>
    <row r="179" spans="1:28">
      <c r="A179" s="116"/>
      <c r="B179" s="116" t="s">
        <v>983</v>
      </c>
      <c r="C179" s="116">
        <v>2</v>
      </c>
      <c r="D179" s="3"/>
      <c r="E179" s="207"/>
      <c r="F179" s="209"/>
      <c r="G179" s="209"/>
      <c r="H179" s="183"/>
      <c r="I179" s="183"/>
      <c r="J179" s="183"/>
      <c r="K179" s="183"/>
      <c r="L179" s="183"/>
      <c r="M179" s="184"/>
      <c r="N179" s="184"/>
      <c r="O179" s="185"/>
      <c r="P179" s="186"/>
      <c r="Q179" s="186"/>
      <c r="R179" s="187"/>
      <c r="S179" s="187"/>
      <c r="T179" s="184"/>
      <c r="U179" s="184"/>
      <c r="V179" s="188"/>
      <c r="W179" s="189"/>
      <c r="X179" s="190"/>
      <c r="Y179" s="185"/>
      <c r="Z179" s="191"/>
      <c r="AA179" s="97"/>
      <c r="AB179" s="192"/>
    </row>
    <row r="180" spans="1:28">
      <c r="A180" s="116"/>
      <c r="B180" s="116"/>
      <c r="C180" s="116">
        <v>3</v>
      </c>
      <c r="D180" s="3"/>
      <c r="E180" s="207"/>
      <c r="F180" s="209"/>
      <c r="G180" s="209"/>
      <c r="H180" s="183"/>
      <c r="I180" s="183"/>
      <c r="J180" s="183"/>
      <c r="K180" s="183"/>
      <c r="L180" s="183"/>
      <c r="M180" s="184"/>
      <c r="N180" s="184"/>
      <c r="O180" s="185"/>
      <c r="P180" s="186"/>
      <c r="Q180" s="186"/>
      <c r="R180" s="187"/>
      <c r="S180" s="187"/>
      <c r="T180" s="184"/>
      <c r="U180" s="184"/>
      <c r="V180" s="188"/>
      <c r="W180" s="189"/>
      <c r="X180" s="190"/>
      <c r="Y180" s="185"/>
      <c r="Z180" s="191"/>
      <c r="AA180" s="97"/>
      <c r="AB180" s="192"/>
    </row>
    <row r="181" spans="1:28">
      <c r="A181" s="116"/>
      <c r="B181" s="116"/>
      <c r="C181" s="116">
        <v>3</v>
      </c>
      <c r="D181" s="3"/>
      <c r="E181" s="207"/>
      <c r="F181" s="209"/>
      <c r="G181" s="209"/>
      <c r="H181" s="183"/>
      <c r="I181" s="183"/>
      <c r="J181" s="183"/>
      <c r="K181" s="183"/>
      <c r="L181" s="183"/>
      <c r="M181" s="184"/>
      <c r="N181" s="184"/>
      <c r="O181" s="185"/>
      <c r="P181" s="186"/>
      <c r="Q181" s="186"/>
      <c r="R181" s="187"/>
      <c r="S181" s="187"/>
      <c r="T181" s="184"/>
      <c r="U181" s="184"/>
      <c r="V181" s="188"/>
      <c r="W181" s="189"/>
      <c r="X181" s="190"/>
      <c r="Y181" s="185"/>
      <c r="Z181" s="191"/>
      <c r="AA181" s="97"/>
      <c r="AB181" s="192"/>
    </row>
    <row r="182" spans="1:28">
      <c r="A182" s="116"/>
      <c r="B182" s="116"/>
      <c r="C182" s="116">
        <v>3</v>
      </c>
      <c r="D182" s="3"/>
      <c r="E182" s="207"/>
      <c r="F182" s="209"/>
      <c r="G182" s="209"/>
      <c r="H182" s="183"/>
      <c r="I182" s="183"/>
      <c r="J182" s="183"/>
      <c r="K182" s="183"/>
      <c r="L182" s="183"/>
      <c r="M182" s="184"/>
      <c r="N182" s="184"/>
      <c r="O182" s="185"/>
      <c r="P182" s="186"/>
      <c r="Q182" s="186"/>
      <c r="R182" s="187"/>
      <c r="S182" s="187"/>
      <c r="T182" s="184"/>
      <c r="U182" s="184"/>
      <c r="V182" s="188"/>
      <c r="W182" s="189"/>
      <c r="X182" s="190"/>
      <c r="Y182" s="185"/>
      <c r="Z182" s="191"/>
      <c r="AA182" s="97"/>
      <c r="AB182" s="192"/>
    </row>
    <row r="183" spans="1:28">
      <c r="A183" s="116"/>
      <c r="B183" s="116"/>
      <c r="C183" s="116">
        <v>3</v>
      </c>
      <c r="D183" s="3"/>
      <c r="E183" s="207"/>
      <c r="F183" s="209"/>
      <c r="G183" s="209"/>
      <c r="H183" s="183"/>
      <c r="I183" s="183"/>
      <c r="J183" s="183"/>
      <c r="K183" s="183"/>
      <c r="L183" s="183"/>
      <c r="M183" s="184"/>
      <c r="N183" s="184"/>
      <c r="O183" s="185"/>
      <c r="P183" s="186"/>
      <c r="Q183" s="186"/>
      <c r="R183" s="187"/>
      <c r="S183" s="187"/>
      <c r="T183" s="184"/>
      <c r="U183" s="184"/>
      <c r="V183" s="188"/>
      <c r="W183" s="189"/>
      <c r="X183" s="190"/>
      <c r="Y183" s="185"/>
      <c r="Z183" s="191"/>
      <c r="AA183" s="97"/>
      <c r="AB183" s="192"/>
    </row>
    <row r="184" spans="1:28">
      <c r="A184" s="116"/>
      <c r="B184" s="116"/>
      <c r="C184" s="116">
        <v>0</v>
      </c>
      <c r="D184" s="3"/>
      <c r="E184" s="207"/>
      <c r="F184" s="209"/>
      <c r="G184" s="209"/>
      <c r="H184" s="183"/>
      <c r="I184" s="183"/>
      <c r="J184" s="183"/>
      <c r="K184" s="183"/>
      <c r="L184" s="183"/>
      <c r="M184" s="184"/>
      <c r="N184" s="184"/>
      <c r="O184" s="185"/>
      <c r="P184" s="186"/>
      <c r="Q184" s="186"/>
      <c r="R184" s="187"/>
      <c r="S184" s="187"/>
      <c r="T184" s="184"/>
      <c r="U184" s="184"/>
      <c r="V184" s="188"/>
      <c r="W184" s="189"/>
      <c r="X184" s="190"/>
      <c r="Y184" s="185"/>
      <c r="Z184" s="191"/>
      <c r="AA184" s="97"/>
      <c r="AB184" s="192"/>
    </row>
    <row r="185" spans="1:28">
      <c r="A185" s="116"/>
      <c r="B185" s="116" t="s">
        <v>983</v>
      </c>
      <c r="C185" s="116">
        <v>2</v>
      </c>
      <c r="D185" s="3"/>
      <c r="E185" s="207"/>
      <c r="F185" s="209"/>
      <c r="G185" s="209"/>
      <c r="H185" s="183"/>
      <c r="I185" s="183"/>
      <c r="J185" s="183"/>
      <c r="K185" s="183"/>
      <c r="L185" s="183"/>
      <c r="M185" s="184"/>
      <c r="N185" s="184"/>
      <c r="O185" s="185"/>
      <c r="P185" s="186"/>
      <c r="Q185" s="186"/>
      <c r="R185" s="187"/>
      <c r="S185" s="187"/>
      <c r="T185" s="184"/>
      <c r="U185" s="184"/>
      <c r="V185" s="188"/>
      <c r="W185" s="189"/>
      <c r="X185" s="190"/>
      <c r="Y185" s="185"/>
      <c r="Z185" s="191"/>
      <c r="AA185" s="97"/>
      <c r="AB185" s="192"/>
    </row>
    <row r="186" spans="1:28">
      <c r="A186" s="116"/>
      <c r="B186" s="116"/>
      <c r="C186" s="116">
        <v>3</v>
      </c>
      <c r="D186" s="3"/>
      <c r="E186" s="207"/>
      <c r="F186" s="209"/>
      <c r="G186" s="209"/>
      <c r="H186" s="183"/>
      <c r="I186" s="183"/>
      <c r="J186" s="183"/>
      <c r="K186" s="183"/>
      <c r="L186" s="183"/>
      <c r="M186" s="184"/>
      <c r="N186" s="184"/>
      <c r="O186" s="185"/>
      <c r="P186" s="186"/>
      <c r="Q186" s="186"/>
      <c r="R186" s="187"/>
      <c r="S186" s="187"/>
      <c r="T186" s="184"/>
      <c r="U186" s="184"/>
      <c r="V186" s="188"/>
      <c r="W186" s="189"/>
      <c r="X186" s="190"/>
      <c r="Y186" s="185"/>
      <c r="Z186" s="191"/>
      <c r="AA186" s="97"/>
      <c r="AB186" s="192"/>
    </row>
    <row r="187" spans="1:28">
      <c r="A187" s="116"/>
      <c r="B187" s="116"/>
      <c r="C187" s="116">
        <v>3</v>
      </c>
      <c r="D187" s="3"/>
      <c r="E187" s="207"/>
      <c r="F187" s="209"/>
      <c r="G187" s="209"/>
      <c r="H187" s="183"/>
      <c r="I187" s="183"/>
      <c r="J187" s="183"/>
      <c r="K187" s="183"/>
      <c r="L187" s="183"/>
      <c r="M187" s="184"/>
      <c r="N187" s="184"/>
      <c r="O187" s="185"/>
      <c r="P187" s="186"/>
      <c r="Q187" s="186"/>
      <c r="R187" s="187"/>
      <c r="S187" s="187"/>
      <c r="T187" s="184"/>
      <c r="U187" s="184"/>
      <c r="V187" s="188"/>
      <c r="W187" s="189"/>
      <c r="X187" s="190"/>
      <c r="Y187" s="185"/>
      <c r="Z187" s="191"/>
      <c r="AA187" s="97"/>
      <c r="AB187" s="192"/>
    </row>
    <row r="188" spans="1:28">
      <c r="A188" s="116"/>
      <c r="B188" s="116"/>
      <c r="C188" s="116">
        <v>3</v>
      </c>
      <c r="D188" s="3"/>
      <c r="E188" s="207"/>
      <c r="F188" s="209"/>
      <c r="G188" s="209"/>
      <c r="H188" s="183"/>
      <c r="I188" s="183"/>
      <c r="J188" s="183"/>
      <c r="K188" s="183"/>
      <c r="L188" s="183"/>
      <c r="M188" s="184"/>
      <c r="N188" s="184"/>
      <c r="O188" s="185"/>
      <c r="P188" s="186"/>
      <c r="Q188" s="186"/>
      <c r="R188" s="187"/>
      <c r="S188" s="187"/>
      <c r="T188" s="184"/>
      <c r="U188" s="184"/>
      <c r="V188" s="188"/>
      <c r="W188" s="189"/>
      <c r="X188" s="190"/>
      <c r="Y188" s="185"/>
      <c r="Z188" s="191"/>
      <c r="AA188" s="97"/>
      <c r="AB188" s="192"/>
    </row>
    <row r="189" spans="1:28">
      <c r="A189" s="116"/>
      <c r="B189" s="116"/>
      <c r="C189" s="116">
        <v>3</v>
      </c>
      <c r="D189" s="3"/>
      <c r="E189" s="207"/>
      <c r="F189" s="209"/>
      <c r="G189" s="209"/>
      <c r="H189" s="183"/>
      <c r="I189" s="183"/>
      <c r="J189" s="183"/>
      <c r="K189" s="183"/>
      <c r="L189" s="183"/>
      <c r="M189" s="184"/>
      <c r="N189" s="184"/>
      <c r="O189" s="185"/>
      <c r="P189" s="186"/>
      <c r="Q189" s="186"/>
      <c r="R189" s="187"/>
      <c r="S189" s="187"/>
      <c r="T189" s="184"/>
      <c r="U189" s="184"/>
      <c r="V189" s="188"/>
      <c r="W189" s="189"/>
      <c r="X189" s="190"/>
      <c r="Y189" s="185"/>
      <c r="Z189" s="191"/>
      <c r="AA189" s="97"/>
      <c r="AB189" s="192"/>
    </row>
    <row r="190" spans="1:28">
      <c r="A190" s="116"/>
      <c r="B190" s="116"/>
      <c r="C190" s="116">
        <v>0</v>
      </c>
      <c r="D190" s="3"/>
      <c r="E190" s="207"/>
      <c r="F190" s="209"/>
      <c r="G190" s="209"/>
      <c r="H190" s="183"/>
      <c r="I190" s="183"/>
      <c r="J190" s="183"/>
      <c r="K190" s="183"/>
      <c r="L190" s="183"/>
      <c r="M190" s="184"/>
      <c r="N190" s="184"/>
      <c r="O190" s="185"/>
      <c r="P190" s="186"/>
      <c r="Q190" s="186"/>
      <c r="R190" s="187"/>
      <c r="S190" s="187"/>
      <c r="T190" s="184"/>
      <c r="U190" s="184"/>
      <c r="V190" s="188"/>
      <c r="W190" s="189"/>
      <c r="X190" s="190"/>
      <c r="Y190" s="185"/>
      <c r="Z190" s="191"/>
      <c r="AA190" s="97"/>
      <c r="AB190" s="192"/>
    </row>
    <row r="191" spans="1:28">
      <c r="A191" s="116"/>
      <c r="B191" s="116" t="s">
        <v>983</v>
      </c>
      <c r="C191" s="116">
        <v>2</v>
      </c>
      <c r="D191" s="3"/>
      <c r="E191" s="207"/>
      <c r="F191" s="209"/>
      <c r="G191" s="209"/>
      <c r="H191" s="183"/>
      <c r="I191" s="183"/>
      <c r="J191" s="183"/>
      <c r="K191" s="183"/>
      <c r="L191" s="183"/>
      <c r="M191" s="184"/>
      <c r="N191" s="184"/>
      <c r="O191" s="185"/>
      <c r="P191" s="186"/>
      <c r="Q191" s="186"/>
      <c r="R191" s="187"/>
      <c r="S191" s="187"/>
      <c r="T191" s="184"/>
      <c r="U191" s="184"/>
      <c r="V191" s="188"/>
      <c r="W191" s="189"/>
      <c r="X191" s="190"/>
      <c r="Y191" s="185"/>
      <c r="Z191" s="191"/>
      <c r="AA191" s="97"/>
      <c r="AB191" s="192"/>
    </row>
    <row r="192" spans="1:28">
      <c r="A192" s="116"/>
      <c r="B192" s="116"/>
      <c r="C192" s="116">
        <v>3</v>
      </c>
      <c r="D192" s="3"/>
      <c r="E192" s="207"/>
      <c r="F192" s="209"/>
      <c r="G192" s="209"/>
      <c r="H192" s="183"/>
      <c r="I192" s="183"/>
      <c r="J192" s="183"/>
      <c r="K192" s="183"/>
      <c r="L192" s="183"/>
      <c r="M192" s="184"/>
      <c r="N192" s="184"/>
      <c r="O192" s="185"/>
      <c r="P192" s="186"/>
      <c r="Q192" s="186"/>
      <c r="R192" s="187"/>
      <c r="S192" s="187"/>
      <c r="T192" s="184"/>
      <c r="U192" s="184"/>
      <c r="V192" s="188"/>
      <c r="W192" s="189"/>
      <c r="X192" s="190"/>
      <c r="Y192" s="185"/>
      <c r="Z192" s="191"/>
      <c r="AA192" s="97"/>
      <c r="AB192" s="192"/>
    </row>
    <row r="193" spans="1:28">
      <c r="A193" s="116"/>
      <c r="B193" s="116"/>
      <c r="C193" s="116">
        <v>3</v>
      </c>
      <c r="D193" s="3"/>
      <c r="E193" s="207"/>
      <c r="F193" s="209"/>
      <c r="G193" s="209"/>
      <c r="H193" s="183"/>
      <c r="I193" s="183"/>
      <c r="J193" s="183"/>
      <c r="K193" s="183"/>
      <c r="L193" s="183"/>
      <c r="M193" s="184"/>
      <c r="N193" s="184"/>
      <c r="O193" s="185"/>
      <c r="P193" s="186"/>
      <c r="Q193" s="186"/>
      <c r="R193" s="187"/>
      <c r="S193" s="187"/>
      <c r="T193" s="184"/>
      <c r="U193" s="184"/>
      <c r="V193" s="188"/>
      <c r="W193" s="189"/>
      <c r="X193" s="190"/>
      <c r="Y193" s="185"/>
      <c r="Z193" s="191"/>
      <c r="AA193" s="97"/>
      <c r="AB193" s="192"/>
    </row>
    <row r="194" spans="1:28">
      <c r="A194" s="116"/>
      <c r="B194" s="116"/>
      <c r="C194" s="116">
        <v>3</v>
      </c>
      <c r="D194" s="3"/>
      <c r="E194" s="207"/>
      <c r="F194" s="209"/>
      <c r="G194" s="209"/>
      <c r="H194" s="183"/>
      <c r="I194" s="183"/>
      <c r="J194" s="183"/>
      <c r="K194" s="183"/>
      <c r="L194" s="183"/>
      <c r="M194" s="184"/>
      <c r="N194" s="184"/>
      <c r="O194" s="185"/>
      <c r="P194" s="186"/>
      <c r="Q194" s="186"/>
      <c r="R194" s="187"/>
      <c r="S194" s="187"/>
      <c r="T194" s="184"/>
      <c r="U194" s="184"/>
      <c r="V194" s="188"/>
      <c r="W194" s="189"/>
      <c r="X194" s="190"/>
      <c r="Y194" s="185"/>
      <c r="Z194" s="191"/>
      <c r="AA194" s="97"/>
      <c r="AB194" s="192"/>
    </row>
    <row r="195" spans="1:28">
      <c r="A195" s="116"/>
      <c r="B195" s="116"/>
      <c r="C195" s="116">
        <v>3</v>
      </c>
      <c r="D195" s="3"/>
      <c r="E195" s="207"/>
      <c r="F195" s="209"/>
      <c r="G195" s="209"/>
      <c r="H195" s="183"/>
      <c r="I195" s="183"/>
      <c r="J195" s="183"/>
      <c r="K195" s="183"/>
      <c r="L195" s="183"/>
      <c r="M195" s="184"/>
      <c r="N195" s="184"/>
      <c r="O195" s="185"/>
      <c r="P195" s="186"/>
      <c r="Q195" s="186"/>
      <c r="R195" s="187"/>
      <c r="S195" s="187"/>
      <c r="T195" s="184"/>
      <c r="U195" s="184"/>
      <c r="V195" s="188"/>
      <c r="W195" s="189"/>
      <c r="X195" s="190"/>
      <c r="Y195" s="185"/>
      <c r="Z195" s="191"/>
      <c r="AA195" s="97"/>
      <c r="AB195" s="192"/>
    </row>
    <row r="196" spans="1:28">
      <c r="A196" s="116"/>
      <c r="B196" s="116"/>
      <c r="C196" s="116">
        <v>0</v>
      </c>
      <c r="D196" s="3"/>
      <c r="E196" s="207"/>
      <c r="F196" s="209"/>
      <c r="G196" s="209"/>
      <c r="H196" s="183"/>
      <c r="I196" s="183"/>
      <c r="J196" s="183"/>
      <c r="K196" s="183"/>
      <c r="L196" s="183"/>
      <c r="M196" s="184"/>
      <c r="N196" s="184"/>
      <c r="O196" s="185"/>
      <c r="P196" s="186"/>
      <c r="Q196" s="186"/>
      <c r="R196" s="187"/>
      <c r="S196" s="187"/>
      <c r="T196" s="184"/>
      <c r="U196" s="184"/>
      <c r="V196" s="188"/>
      <c r="W196" s="189"/>
      <c r="X196" s="190"/>
      <c r="Y196" s="185"/>
      <c r="Z196" s="191"/>
      <c r="AA196" s="97"/>
      <c r="AB196" s="192"/>
    </row>
    <row r="197" spans="1:28">
      <c r="A197" s="116"/>
      <c r="B197" s="116" t="s">
        <v>983</v>
      </c>
      <c r="C197" s="116">
        <v>2</v>
      </c>
      <c r="D197" s="3"/>
      <c r="E197" s="207"/>
      <c r="F197" s="209"/>
      <c r="G197" s="209"/>
      <c r="H197" s="183"/>
      <c r="I197" s="183"/>
      <c r="J197" s="183"/>
      <c r="K197" s="183"/>
      <c r="L197" s="183"/>
      <c r="M197" s="184"/>
      <c r="N197" s="184"/>
      <c r="O197" s="185"/>
      <c r="P197" s="186"/>
      <c r="Q197" s="186"/>
      <c r="R197" s="187"/>
      <c r="S197" s="187"/>
      <c r="T197" s="184"/>
      <c r="U197" s="184"/>
      <c r="V197" s="188"/>
      <c r="W197" s="189"/>
      <c r="X197" s="190"/>
      <c r="Y197" s="185"/>
      <c r="Z197" s="191"/>
      <c r="AA197" s="97"/>
      <c r="AB197" s="192"/>
    </row>
    <row r="198" spans="1:28">
      <c r="A198" s="116"/>
      <c r="B198" s="116"/>
      <c r="C198" s="116">
        <v>3</v>
      </c>
      <c r="D198" s="3"/>
      <c r="E198" s="207"/>
      <c r="F198" s="209"/>
      <c r="G198" s="209"/>
      <c r="H198" s="183"/>
      <c r="I198" s="183"/>
      <c r="J198" s="183"/>
      <c r="K198" s="183"/>
      <c r="L198" s="183"/>
      <c r="M198" s="184"/>
      <c r="N198" s="184"/>
      <c r="O198" s="185"/>
      <c r="P198" s="186"/>
      <c r="Q198" s="186"/>
      <c r="R198" s="187"/>
      <c r="S198" s="187"/>
      <c r="T198" s="184"/>
      <c r="U198" s="184"/>
      <c r="V198" s="188"/>
      <c r="W198" s="189"/>
      <c r="X198" s="190"/>
      <c r="Y198" s="185"/>
      <c r="Z198" s="191"/>
      <c r="AA198" s="97"/>
      <c r="AB198" s="192"/>
    </row>
    <row r="199" spans="1:28">
      <c r="A199" s="116"/>
      <c r="B199" s="116"/>
      <c r="C199" s="116">
        <v>3</v>
      </c>
      <c r="D199" s="3"/>
      <c r="E199" s="207"/>
      <c r="F199" s="209"/>
      <c r="G199" s="209"/>
      <c r="H199" s="183"/>
      <c r="I199" s="183"/>
      <c r="J199" s="183"/>
      <c r="K199" s="183"/>
      <c r="L199" s="183"/>
      <c r="M199" s="184"/>
      <c r="N199" s="184"/>
      <c r="O199" s="185"/>
      <c r="P199" s="186"/>
      <c r="Q199" s="186"/>
      <c r="R199" s="187"/>
      <c r="S199" s="187"/>
      <c r="T199" s="184"/>
      <c r="U199" s="184"/>
      <c r="V199" s="188"/>
      <c r="W199" s="189"/>
      <c r="X199" s="190"/>
      <c r="Y199" s="185"/>
      <c r="Z199" s="191"/>
      <c r="AA199" s="97"/>
      <c r="AB199" s="192"/>
    </row>
    <row r="200" spans="1:28">
      <c r="A200" s="116"/>
      <c r="B200" s="116"/>
      <c r="C200" s="116">
        <v>3</v>
      </c>
      <c r="D200" s="3"/>
      <c r="E200" s="207"/>
      <c r="F200" s="209"/>
      <c r="G200" s="209"/>
      <c r="H200" s="183"/>
      <c r="I200" s="183"/>
      <c r="J200" s="183"/>
      <c r="K200" s="183"/>
      <c r="L200" s="183"/>
      <c r="M200" s="184"/>
      <c r="N200" s="184"/>
      <c r="O200" s="185"/>
      <c r="P200" s="186"/>
      <c r="Q200" s="186"/>
      <c r="R200" s="187"/>
      <c r="S200" s="187"/>
      <c r="T200" s="184"/>
      <c r="U200" s="184"/>
      <c r="V200" s="188"/>
      <c r="W200" s="189"/>
      <c r="X200" s="190"/>
      <c r="Y200" s="185"/>
      <c r="Z200" s="191"/>
      <c r="AA200" s="97"/>
      <c r="AB200" s="192"/>
    </row>
    <row r="201" spans="1:28">
      <c r="A201" s="116"/>
      <c r="B201" s="116"/>
      <c r="C201" s="116">
        <v>3</v>
      </c>
      <c r="D201" s="3"/>
      <c r="E201" s="207"/>
      <c r="F201" s="209"/>
      <c r="G201" s="209"/>
      <c r="H201" s="183"/>
      <c r="I201" s="183"/>
      <c r="J201" s="183"/>
      <c r="K201" s="183"/>
      <c r="L201" s="183"/>
      <c r="M201" s="184"/>
      <c r="N201" s="184"/>
      <c r="O201" s="185"/>
      <c r="P201" s="186"/>
      <c r="Q201" s="186"/>
      <c r="R201" s="187"/>
      <c r="S201" s="187"/>
      <c r="T201" s="184"/>
      <c r="U201" s="184"/>
      <c r="V201" s="188"/>
      <c r="W201" s="189"/>
      <c r="X201" s="190"/>
      <c r="Y201" s="185"/>
      <c r="Z201" s="191"/>
      <c r="AA201" s="97"/>
      <c r="AB201" s="192"/>
    </row>
    <row r="202" spans="1:28">
      <c r="A202" s="116"/>
      <c r="B202" s="116"/>
      <c r="C202" s="116">
        <v>0</v>
      </c>
      <c r="D202" s="3"/>
      <c r="E202" s="207"/>
      <c r="F202" s="209"/>
      <c r="G202" s="209"/>
      <c r="H202" s="183"/>
      <c r="I202" s="183"/>
      <c r="J202" s="183"/>
      <c r="K202" s="183"/>
      <c r="L202" s="183"/>
      <c r="M202" s="184"/>
      <c r="N202" s="184"/>
      <c r="O202" s="185"/>
      <c r="P202" s="186"/>
      <c r="Q202" s="186"/>
      <c r="R202" s="187"/>
      <c r="S202" s="187"/>
      <c r="T202" s="184"/>
      <c r="U202" s="184"/>
      <c r="V202" s="188"/>
      <c r="W202" s="189"/>
      <c r="X202" s="190"/>
      <c r="Y202" s="185"/>
      <c r="Z202" s="191"/>
      <c r="AA202" s="97"/>
      <c r="AB202" s="192"/>
    </row>
    <row r="203" spans="1:28">
      <c r="A203" s="116"/>
      <c r="B203" s="116" t="s">
        <v>983</v>
      </c>
      <c r="C203" s="116">
        <v>2</v>
      </c>
      <c r="D203" s="3"/>
      <c r="E203" s="207"/>
      <c r="F203" s="209"/>
      <c r="G203" s="209"/>
      <c r="H203" s="183"/>
      <c r="I203" s="183"/>
      <c r="J203" s="183"/>
      <c r="K203" s="183"/>
      <c r="L203" s="183"/>
      <c r="M203" s="184"/>
      <c r="N203" s="184"/>
      <c r="O203" s="185"/>
      <c r="P203" s="186"/>
      <c r="Q203" s="186"/>
      <c r="R203" s="187"/>
      <c r="S203" s="187"/>
      <c r="T203" s="184"/>
      <c r="U203" s="184"/>
      <c r="V203" s="188"/>
      <c r="W203" s="189"/>
      <c r="X203" s="190"/>
      <c r="Y203" s="185"/>
      <c r="Z203" s="191"/>
      <c r="AA203" s="97"/>
      <c r="AB203" s="192"/>
    </row>
    <row r="204" spans="1:28">
      <c r="A204" s="116"/>
      <c r="B204" s="116"/>
      <c r="C204" s="116">
        <v>3</v>
      </c>
      <c r="D204" s="3"/>
      <c r="E204" s="207"/>
      <c r="F204" s="209"/>
      <c r="G204" s="209"/>
      <c r="H204" s="183"/>
      <c r="I204" s="183"/>
      <c r="J204" s="183"/>
      <c r="K204" s="183"/>
      <c r="L204" s="183"/>
      <c r="M204" s="184"/>
      <c r="N204" s="184"/>
      <c r="O204" s="185"/>
      <c r="P204" s="186"/>
      <c r="Q204" s="186"/>
      <c r="R204" s="187"/>
      <c r="S204" s="187"/>
      <c r="T204" s="184"/>
      <c r="U204" s="184"/>
      <c r="V204" s="188"/>
      <c r="W204" s="189"/>
      <c r="X204" s="190"/>
      <c r="Y204" s="185"/>
      <c r="Z204" s="191"/>
      <c r="AA204" s="97"/>
      <c r="AB204" s="192"/>
    </row>
    <row r="205" spans="1:28">
      <c r="A205" s="116"/>
      <c r="B205" s="116"/>
      <c r="C205" s="116">
        <v>3</v>
      </c>
      <c r="D205" s="3"/>
      <c r="E205" s="207"/>
      <c r="F205" s="209"/>
      <c r="G205" s="209"/>
      <c r="H205" s="183"/>
      <c r="I205" s="183"/>
      <c r="J205" s="183"/>
      <c r="K205" s="183"/>
      <c r="L205" s="183"/>
      <c r="M205" s="184"/>
      <c r="N205" s="184"/>
      <c r="O205" s="185"/>
      <c r="P205" s="186"/>
      <c r="Q205" s="186"/>
      <c r="R205" s="187"/>
      <c r="S205" s="187"/>
      <c r="T205" s="184"/>
      <c r="U205" s="184"/>
      <c r="V205" s="188"/>
      <c r="W205" s="189"/>
      <c r="X205" s="190"/>
      <c r="Y205" s="185"/>
      <c r="Z205" s="191"/>
      <c r="AA205" s="97"/>
      <c r="AB205" s="192"/>
    </row>
    <row r="206" spans="1:28">
      <c r="A206" s="116"/>
      <c r="B206" s="116"/>
      <c r="C206" s="116">
        <v>3</v>
      </c>
      <c r="D206" s="3"/>
      <c r="E206" s="207"/>
      <c r="F206" s="209"/>
      <c r="G206" s="209"/>
      <c r="H206" s="183"/>
      <c r="I206" s="183"/>
      <c r="J206" s="183"/>
      <c r="K206" s="183"/>
      <c r="L206" s="183"/>
      <c r="M206" s="184"/>
      <c r="N206" s="184"/>
      <c r="O206" s="185"/>
      <c r="P206" s="186"/>
      <c r="Q206" s="186"/>
      <c r="R206" s="187"/>
      <c r="S206" s="187"/>
      <c r="T206" s="184"/>
      <c r="U206" s="184"/>
      <c r="V206" s="188"/>
      <c r="W206" s="189"/>
      <c r="X206" s="190"/>
      <c r="Y206" s="185"/>
      <c r="Z206" s="191"/>
      <c r="AA206" s="97"/>
      <c r="AB206" s="192"/>
    </row>
    <row r="207" spans="1:28">
      <c r="A207" s="116"/>
      <c r="B207" s="116"/>
      <c r="C207" s="116">
        <v>3</v>
      </c>
      <c r="D207" s="3"/>
      <c r="E207" s="207"/>
      <c r="F207" s="209"/>
      <c r="G207" s="209"/>
      <c r="H207" s="183"/>
      <c r="I207" s="183"/>
      <c r="J207" s="183"/>
      <c r="K207" s="183"/>
      <c r="L207" s="183"/>
      <c r="M207" s="184"/>
      <c r="N207" s="184"/>
      <c r="O207" s="185"/>
      <c r="P207" s="186"/>
      <c r="Q207" s="186"/>
      <c r="R207" s="187"/>
      <c r="S207" s="187"/>
      <c r="T207" s="184"/>
      <c r="U207" s="184"/>
      <c r="V207" s="188"/>
      <c r="W207" s="189"/>
      <c r="X207" s="190"/>
      <c r="Y207" s="185"/>
      <c r="Z207" s="191"/>
      <c r="AA207" s="97"/>
      <c r="AB207" s="192"/>
    </row>
    <row r="208" spans="1:28">
      <c r="A208" s="116"/>
      <c r="B208" s="116"/>
      <c r="C208" s="116">
        <v>0</v>
      </c>
      <c r="D208" s="3"/>
      <c r="E208" s="207"/>
      <c r="F208" s="209"/>
      <c r="G208" s="209"/>
      <c r="H208" s="183"/>
      <c r="I208" s="183"/>
      <c r="J208" s="183"/>
      <c r="K208" s="183"/>
      <c r="L208" s="183"/>
      <c r="M208" s="184"/>
      <c r="N208" s="184"/>
      <c r="O208" s="185"/>
      <c r="P208" s="186"/>
      <c r="Q208" s="186"/>
      <c r="R208" s="187"/>
      <c r="S208" s="187"/>
      <c r="T208" s="184"/>
      <c r="U208" s="184"/>
      <c r="V208" s="188"/>
      <c r="W208" s="189"/>
      <c r="X208" s="190"/>
      <c r="Y208" s="185"/>
      <c r="Z208" s="191"/>
      <c r="AA208" s="97"/>
      <c r="AB208" s="192"/>
    </row>
    <row r="209" spans="1:28">
      <c r="A209" s="116"/>
      <c r="B209" s="116" t="s">
        <v>983</v>
      </c>
      <c r="C209" s="116">
        <v>2</v>
      </c>
      <c r="D209" s="3"/>
      <c r="E209" s="207"/>
      <c r="F209" s="209"/>
      <c r="G209" s="209"/>
      <c r="H209" s="183"/>
      <c r="I209" s="183"/>
      <c r="J209" s="183"/>
      <c r="K209" s="183"/>
      <c r="L209" s="183"/>
      <c r="M209" s="184"/>
      <c r="N209" s="184"/>
      <c r="O209" s="185"/>
      <c r="P209" s="186"/>
      <c r="Q209" s="186"/>
      <c r="R209" s="187"/>
      <c r="S209" s="187"/>
      <c r="T209" s="184"/>
      <c r="U209" s="184"/>
      <c r="V209" s="188"/>
      <c r="W209" s="189"/>
      <c r="X209" s="190"/>
      <c r="Y209" s="185"/>
      <c r="Z209" s="191"/>
      <c r="AA209" s="97"/>
      <c r="AB209" s="192"/>
    </row>
    <row r="210" spans="1:28">
      <c r="A210" s="116"/>
      <c r="B210" s="116"/>
      <c r="C210" s="116">
        <v>3</v>
      </c>
      <c r="D210" s="3"/>
      <c r="E210" s="207"/>
      <c r="F210" s="209"/>
      <c r="G210" s="209"/>
      <c r="H210" s="183"/>
      <c r="I210" s="183"/>
      <c r="J210" s="183"/>
      <c r="K210" s="183"/>
      <c r="L210" s="183"/>
      <c r="M210" s="184"/>
      <c r="N210" s="184"/>
      <c r="O210" s="185"/>
      <c r="P210" s="186"/>
      <c r="Q210" s="186"/>
      <c r="R210" s="187"/>
      <c r="S210" s="187"/>
      <c r="T210" s="184"/>
      <c r="U210" s="184"/>
      <c r="V210" s="188"/>
      <c r="W210" s="189"/>
      <c r="X210" s="190"/>
      <c r="Y210" s="185"/>
      <c r="Z210" s="191"/>
      <c r="AA210" s="97"/>
      <c r="AB210" s="192"/>
    </row>
    <row r="211" spans="1:28">
      <c r="A211" s="116"/>
      <c r="B211" s="116"/>
      <c r="C211" s="116">
        <v>3</v>
      </c>
      <c r="D211" s="3"/>
      <c r="E211" s="207"/>
      <c r="F211" s="209"/>
      <c r="G211" s="209"/>
      <c r="H211" s="183"/>
      <c r="I211" s="183"/>
      <c r="J211" s="183"/>
      <c r="K211" s="183"/>
      <c r="L211" s="183"/>
      <c r="M211" s="184"/>
      <c r="N211" s="184"/>
      <c r="O211" s="185"/>
      <c r="P211" s="186"/>
      <c r="Q211" s="186"/>
      <c r="R211" s="187"/>
      <c r="S211" s="187"/>
      <c r="T211" s="184"/>
      <c r="U211" s="184"/>
      <c r="V211" s="188"/>
      <c r="W211" s="189"/>
      <c r="X211" s="190"/>
      <c r="Y211" s="185"/>
      <c r="Z211" s="191"/>
      <c r="AA211" s="97"/>
      <c r="AB211" s="192"/>
    </row>
    <row r="212" spans="1:28">
      <c r="A212" s="116"/>
      <c r="B212" s="116"/>
      <c r="C212" s="116">
        <v>3</v>
      </c>
      <c r="D212" s="3"/>
      <c r="E212" s="207"/>
      <c r="F212" s="209"/>
      <c r="G212" s="209"/>
      <c r="H212" s="183"/>
      <c r="I212" s="183"/>
      <c r="J212" s="183"/>
      <c r="K212" s="183"/>
      <c r="L212" s="183"/>
      <c r="M212" s="184"/>
      <c r="N212" s="184"/>
      <c r="O212" s="185"/>
      <c r="P212" s="186"/>
      <c r="Q212" s="186"/>
      <c r="R212" s="187"/>
      <c r="S212" s="187"/>
      <c r="T212" s="184"/>
      <c r="U212" s="184"/>
      <c r="V212" s="188"/>
      <c r="W212" s="189"/>
      <c r="X212" s="190"/>
      <c r="Y212" s="185"/>
      <c r="Z212" s="191"/>
      <c r="AA212" s="97"/>
      <c r="AB212" s="192"/>
    </row>
    <row r="213" spans="1:28">
      <c r="A213" s="116"/>
      <c r="B213" s="116"/>
      <c r="C213" s="116">
        <v>3</v>
      </c>
      <c r="D213" s="3"/>
      <c r="E213" s="207"/>
      <c r="F213" s="209"/>
      <c r="G213" s="209"/>
      <c r="H213" s="183"/>
      <c r="I213" s="183"/>
      <c r="J213" s="183"/>
      <c r="K213" s="183"/>
      <c r="L213" s="183"/>
      <c r="M213" s="184"/>
      <c r="N213" s="184"/>
      <c r="O213" s="185"/>
      <c r="P213" s="186"/>
      <c r="Q213" s="186"/>
      <c r="R213" s="187"/>
      <c r="S213" s="187"/>
      <c r="T213" s="184"/>
      <c r="U213" s="184"/>
      <c r="V213" s="188"/>
      <c r="W213" s="189"/>
      <c r="X213" s="190"/>
      <c r="Y213" s="185"/>
      <c r="Z213" s="191"/>
      <c r="AA213" s="97"/>
      <c r="AB213" s="192"/>
    </row>
    <row r="214" spans="1:28">
      <c r="A214" s="116"/>
      <c r="B214" s="116"/>
      <c r="C214" s="116">
        <v>0</v>
      </c>
      <c r="D214" s="3"/>
      <c r="E214" s="207"/>
      <c r="F214" s="209"/>
      <c r="G214" s="209"/>
      <c r="H214" s="183"/>
      <c r="I214" s="183"/>
      <c r="J214" s="183"/>
      <c r="K214" s="183"/>
      <c r="L214" s="183"/>
      <c r="M214" s="184"/>
      <c r="N214" s="184"/>
      <c r="O214" s="185"/>
      <c r="P214" s="186"/>
      <c r="Q214" s="186"/>
      <c r="R214" s="187"/>
      <c r="S214" s="187"/>
      <c r="T214" s="184"/>
      <c r="U214" s="184"/>
      <c r="V214" s="188"/>
      <c r="W214" s="189"/>
      <c r="X214" s="190"/>
      <c r="Y214" s="185"/>
      <c r="Z214" s="191"/>
      <c r="AA214" s="97"/>
      <c r="AB214" s="192"/>
    </row>
    <row r="215" spans="1:28">
      <c r="A215" s="116"/>
      <c r="B215" s="116" t="s">
        <v>983</v>
      </c>
      <c r="C215" s="116">
        <v>2</v>
      </c>
      <c r="D215" s="3"/>
      <c r="E215" s="207"/>
      <c r="F215" s="209"/>
      <c r="G215" s="209"/>
      <c r="H215" s="183"/>
      <c r="I215" s="183"/>
      <c r="J215" s="183"/>
      <c r="K215" s="183"/>
      <c r="L215" s="183"/>
      <c r="M215" s="184"/>
      <c r="N215" s="184"/>
      <c r="O215" s="185"/>
      <c r="P215" s="186"/>
      <c r="Q215" s="186"/>
      <c r="R215" s="187"/>
      <c r="S215" s="187"/>
      <c r="T215" s="184"/>
      <c r="U215" s="184"/>
      <c r="V215" s="188"/>
      <c r="W215" s="189"/>
      <c r="X215" s="190"/>
      <c r="Y215" s="185"/>
      <c r="Z215" s="191"/>
      <c r="AA215" s="97"/>
      <c r="AB215" s="192"/>
    </row>
    <row r="216" spans="1:28">
      <c r="A216" s="116"/>
      <c r="B216" s="116"/>
      <c r="C216" s="116">
        <v>3</v>
      </c>
      <c r="D216" s="3"/>
      <c r="E216" s="207"/>
      <c r="F216" s="209"/>
      <c r="G216" s="209"/>
      <c r="H216" s="183"/>
      <c r="I216" s="183"/>
      <c r="J216" s="183"/>
      <c r="K216" s="183"/>
      <c r="L216" s="183"/>
      <c r="M216" s="184"/>
      <c r="N216" s="184"/>
      <c r="O216" s="185"/>
      <c r="P216" s="186"/>
      <c r="Q216" s="186"/>
      <c r="R216" s="187"/>
      <c r="S216" s="187"/>
      <c r="T216" s="184"/>
      <c r="U216" s="184"/>
      <c r="V216" s="188"/>
      <c r="W216" s="189"/>
      <c r="X216" s="190"/>
      <c r="Y216" s="185"/>
      <c r="Z216" s="191"/>
      <c r="AA216" s="97"/>
      <c r="AB216" s="192"/>
    </row>
    <row r="217" spans="1:28">
      <c r="A217" s="116"/>
      <c r="B217" s="116"/>
      <c r="C217" s="116">
        <v>3</v>
      </c>
      <c r="D217" s="3"/>
      <c r="E217" s="207"/>
      <c r="F217" s="209"/>
      <c r="G217" s="209"/>
      <c r="H217" s="183"/>
      <c r="I217" s="183"/>
      <c r="J217" s="183"/>
      <c r="K217" s="183"/>
      <c r="L217" s="183"/>
      <c r="M217" s="184"/>
      <c r="N217" s="184"/>
      <c r="O217" s="185"/>
      <c r="P217" s="186"/>
      <c r="Q217" s="186"/>
      <c r="R217" s="187"/>
      <c r="S217" s="187"/>
      <c r="T217" s="184"/>
      <c r="U217" s="184"/>
      <c r="V217" s="188"/>
      <c r="W217" s="189"/>
      <c r="X217" s="190"/>
      <c r="Y217" s="185"/>
      <c r="Z217" s="191"/>
      <c r="AA217" s="97"/>
      <c r="AB217" s="192"/>
    </row>
    <row r="218" spans="1:28">
      <c r="A218" s="116"/>
      <c r="B218" s="116"/>
      <c r="C218" s="116">
        <v>3</v>
      </c>
      <c r="D218" s="3"/>
      <c r="E218" s="207"/>
      <c r="F218" s="209"/>
      <c r="G218" s="209"/>
      <c r="H218" s="183"/>
      <c r="I218" s="183"/>
      <c r="J218" s="183"/>
      <c r="K218" s="183"/>
      <c r="L218" s="183"/>
      <c r="M218" s="184"/>
      <c r="N218" s="184"/>
      <c r="O218" s="185"/>
      <c r="P218" s="186"/>
      <c r="Q218" s="186"/>
      <c r="R218" s="187"/>
      <c r="S218" s="187"/>
      <c r="T218" s="184"/>
      <c r="U218" s="184"/>
      <c r="V218" s="188"/>
      <c r="W218" s="189"/>
      <c r="X218" s="190"/>
      <c r="Y218" s="185"/>
      <c r="Z218" s="191"/>
      <c r="AA218" s="97"/>
      <c r="AB218" s="192"/>
    </row>
    <row r="219" spans="1:28">
      <c r="A219" s="116"/>
      <c r="B219" s="116"/>
      <c r="C219" s="116">
        <v>3</v>
      </c>
      <c r="D219" s="3"/>
      <c r="E219" s="207"/>
      <c r="F219" s="209"/>
      <c r="G219" s="209"/>
      <c r="H219" s="183"/>
      <c r="I219" s="183"/>
      <c r="J219" s="183"/>
      <c r="K219" s="183"/>
      <c r="L219" s="183"/>
      <c r="M219" s="184"/>
      <c r="N219" s="184"/>
      <c r="O219" s="185"/>
      <c r="P219" s="186"/>
      <c r="Q219" s="186"/>
      <c r="R219" s="187"/>
      <c r="S219" s="187"/>
      <c r="T219" s="184"/>
      <c r="U219" s="184"/>
      <c r="V219" s="188"/>
      <c r="W219" s="189"/>
      <c r="X219" s="190"/>
      <c r="Y219" s="185"/>
      <c r="Z219" s="191"/>
      <c r="AA219" s="97"/>
      <c r="AB219" s="192"/>
    </row>
    <row r="220" spans="1:28">
      <c r="A220" s="116"/>
      <c r="B220" s="116"/>
      <c r="C220" s="116">
        <v>0</v>
      </c>
      <c r="D220" s="3"/>
      <c r="E220" s="207"/>
      <c r="F220" s="209"/>
      <c r="G220" s="209"/>
      <c r="H220" s="183"/>
      <c r="I220" s="183"/>
      <c r="J220" s="183"/>
      <c r="K220" s="183"/>
      <c r="L220" s="183"/>
      <c r="M220" s="184"/>
      <c r="N220" s="184"/>
      <c r="O220" s="185"/>
      <c r="P220" s="186"/>
      <c r="Q220" s="186"/>
      <c r="R220" s="187"/>
      <c r="S220" s="187"/>
      <c r="T220" s="184"/>
      <c r="U220" s="184"/>
      <c r="V220" s="188"/>
      <c r="W220" s="189"/>
      <c r="X220" s="190"/>
      <c r="Y220" s="185"/>
      <c r="Z220" s="191"/>
      <c r="AA220" s="97"/>
      <c r="AB220" s="192"/>
    </row>
    <row r="221" spans="1:28">
      <c r="A221" s="116"/>
      <c r="B221" s="116" t="s">
        <v>983</v>
      </c>
      <c r="C221" s="116">
        <v>2</v>
      </c>
      <c r="D221" s="3"/>
      <c r="E221" s="207"/>
      <c r="F221" s="209"/>
      <c r="G221" s="209"/>
      <c r="H221" s="183"/>
      <c r="I221" s="183"/>
      <c r="J221" s="183"/>
      <c r="K221" s="183"/>
      <c r="L221" s="183"/>
      <c r="M221" s="184"/>
      <c r="N221" s="184"/>
      <c r="O221" s="185"/>
      <c r="P221" s="186"/>
      <c r="Q221" s="186"/>
      <c r="R221" s="187"/>
      <c r="S221" s="187"/>
      <c r="T221" s="184"/>
      <c r="U221" s="184"/>
      <c r="V221" s="188"/>
      <c r="W221" s="189"/>
      <c r="X221" s="190"/>
      <c r="Y221" s="185"/>
      <c r="Z221" s="191"/>
      <c r="AA221" s="97"/>
      <c r="AB221" s="192"/>
    </row>
    <row r="222" spans="1:28">
      <c r="A222" s="116"/>
      <c r="B222" s="116"/>
      <c r="C222" s="116">
        <v>3</v>
      </c>
      <c r="D222" s="3"/>
      <c r="E222" s="207"/>
      <c r="F222" s="209"/>
      <c r="G222" s="209"/>
      <c r="H222" s="183"/>
      <c r="I222" s="183"/>
      <c r="J222" s="183"/>
      <c r="K222" s="183"/>
      <c r="L222" s="183"/>
      <c r="M222" s="184"/>
      <c r="N222" s="184"/>
      <c r="O222" s="185"/>
      <c r="P222" s="186"/>
      <c r="Q222" s="186"/>
      <c r="R222" s="187"/>
      <c r="S222" s="187"/>
      <c r="T222" s="184"/>
      <c r="U222" s="184"/>
      <c r="V222" s="188"/>
      <c r="W222" s="189"/>
      <c r="X222" s="190"/>
      <c r="Y222" s="185"/>
      <c r="Z222" s="191"/>
      <c r="AA222" s="97"/>
      <c r="AB222" s="192"/>
    </row>
    <row r="223" spans="1:28">
      <c r="A223" s="116"/>
      <c r="B223" s="116"/>
      <c r="C223" s="116">
        <v>3</v>
      </c>
      <c r="D223" s="3"/>
      <c r="E223" s="207"/>
      <c r="F223" s="209"/>
      <c r="G223" s="209"/>
      <c r="H223" s="183"/>
      <c r="I223" s="183"/>
      <c r="J223" s="183"/>
      <c r="K223" s="183"/>
      <c r="L223" s="183"/>
      <c r="M223" s="184"/>
      <c r="N223" s="184"/>
      <c r="O223" s="185"/>
      <c r="P223" s="186"/>
      <c r="Q223" s="186"/>
      <c r="R223" s="187"/>
      <c r="S223" s="187"/>
      <c r="T223" s="184"/>
      <c r="U223" s="184"/>
      <c r="V223" s="188"/>
      <c r="W223" s="189"/>
      <c r="X223" s="190"/>
      <c r="Y223" s="185"/>
      <c r="Z223" s="191"/>
      <c r="AA223" s="97"/>
      <c r="AB223" s="192"/>
    </row>
    <row r="224" spans="1:28">
      <c r="A224" s="116"/>
      <c r="B224" s="116"/>
      <c r="C224" s="116">
        <v>3</v>
      </c>
      <c r="D224" s="3"/>
      <c r="E224" s="207"/>
      <c r="F224" s="209"/>
      <c r="G224" s="209"/>
      <c r="H224" s="183"/>
      <c r="I224" s="183"/>
      <c r="J224" s="183"/>
      <c r="K224" s="183"/>
      <c r="L224" s="183"/>
      <c r="M224" s="184"/>
      <c r="N224" s="184"/>
      <c r="O224" s="185"/>
      <c r="P224" s="186"/>
      <c r="Q224" s="186"/>
      <c r="R224" s="187"/>
      <c r="S224" s="187"/>
      <c r="T224" s="184"/>
      <c r="U224" s="184"/>
      <c r="V224" s="188"/>
      <c r="W224" s="189"/>
      <c r="X224" s="190"/>
      <c r="Y224" s="185"/>
      <c r="Z224" s="191"/>
      <c r="AA224" s="97"/>
      <c r="AB224" s="192"/>
    </row>
    <row r="225" spans="1:28">
      <c r="A225" s="116"/>
      <c r="B225" s="116"/>
      <c r="C225" s="116">
        <v>3</v>
      </c>
      <c r="D225" s="3"/>
      <c r="E225" s="207"/>
      <c r="F225" s="209"/>
      <c r="G225" s="209"/>
      <c r="H225" s="183"/>
      <c r="I225" s="183"/>
      <c r="J225" s="183"/>
      <c r="K225" s="183"/>
      <c r="L225" s="183"/>
      <c r="M225" s="184"/>
      <c r="N225" s="184"/>
      <c r="O225" s="185"/>
      <c r="P225" s="186"/>
      <c r="Q225" s="186"/>
      <c r="R225" s="187"/>
      <c r="S225" s="187"/>
      <c r="T225" s="184"/>
      <c r="U225" s="184"/>
      <c r="V225" s="188"/>
      <c r="W225" s="189"/>
      <c r="X225" s="190"/>
      <c r="Y225" s="185"/>
      <c r="Z225" s="191"/>
      <c r="AA225" s="97"/>
      <c r="AB225" s="192"/>
    </row>
    <row r="226" spans="1:28">
      <c r="A226" s="116"/>
      <c r="B226" s="116"/>
      <c r="C226" s="116">
        <v>0</v>
      </c>
      <c r="D226" s="3"/>
      <c r="E226" s="207"/>
      <c r="F226" s="209"/>
      <c r="G226" s="209"/>
      <c r="H226" s="183"/>
      <c r="I226" s="183"/>
      <c r="J226" s="183"/>
      <c r="K226" s="183"/>
      <c r="L226" s="183"/>
      <c r="M226" s="184"/>
      <c r="N226" s="184"/>
      <c r="O226" s="185"/>
      <c r="P226" s="186"/>
      <c r="Q226" s="186"/>
      <c r="R226" s="187"/>
      <c r="S226" s="187"/>
      <c r="T226" s="184"/>
      <c r="U226" s="184"/>
      <c r="V226" s="188"/>
      <c r="W226" s="189"/>
      <c r="X226" s="190"/>
      <c r="Y226" s="185"/>
      <c r="Z226" s="191"/>
      <c r="AA226" s="97"/>
      <c r="AB226" s="192"/>
    </row>
    <row r="227" spans="1:28">
      <c r="A227" s="116"/>
      <c r="B227" s="116" t="s">
        <v>983</v>
      </c>
      <c r="C227" s="116">
        <v>2</v>
      </c>
      <c r="D227" s="3"/>
      <c r="E227" s="207"/>
      <c r="F227" s="209"/>
      <c r="G227" s="209"/>
      <c r="H227" s="183"/>
      <c r="I227" s="183"/>
      <c r="J227" s="183"/>
      <c r="K227" s="183"/>
      <c r="L227" s="183"/>
      <c r="M227" s="184"/>
      <c r="N227" s="184"/>
      <c r="O227" s="185"/>
      <c r="P227" s="186"/>
      <c r="Q227" s="186"/>
      <c r="R227" s="187"/>
      <c r="S227" s="187"/>
      <c r="T227" s="184"/>
      <c r="U227" s="184"/>
      <c r="V227" s="188"/>
      <c r="W227" s="189"/>
      <c r="X227" s="190"/>
      <c r="Y227" s="185"/>
      <c r="Z227" s="191"/>
      <c r="AA227" s="97"/>
      <c r="AB227" s="192"/>
    </row>
    <row r="228" spans="1:28">
      <c r="A228" s="116"/>
      <c r="B228" s="116"/>
      <c r="C228" s="116">
        <v>3</v>
      </c>
      <c r="D228" s="3"/>
      <c r="E228" s="207"/>
      <c r="F228" s="209"/>
      <c r="G228" s="209"/>
      <c r="H228" s="183"/>
      <c r="I228" s="183"/>
      <c r="J228" s="183"/>
      <c r="K228" s="183"/>
      <c r="L228" s="183"/>
      <c r="M228" s="184"/>
      <c r="N228" s="184"/>
      <c r="O228" s="185"/>
      <c r="P228" s="186"/>
      <c r="Q228" s="186"/>
      <c r="R228" s="187"/>
      <c r="S228" s="187"/>
      <c r="T228" s="184"/>
      <c r="U228" s="184"/>
      <c r="V228" s="188"/>
      <c r="W228" s="189"/>
      <c r="X228" s="190"/>
      <c r="Y228" s="185"/>
      <c r="Z228" s="191"/>
      <c r="AA228" s="97"/>
      <c r="AB228" s="192"/>
    </row>
    <row r="229" spans="1:28">
      <c r="A229" s="116"/>
      <c r="B229" s="116"/>
      <c r="C229" s="116">
        <v>3</v>
      </c>
      <c r="D229" s="3"/>
      <c r="E229" s="207"/>
      <c r="F229" s="209"/>
      <c r="G229" s="209"/>
      <c r="H229" s="183"/>
      <c r="I229" s="183"/>
      <c r="J229" s="183"/>
      <c r="K229" s="183"/>
      <c r="L229" s="183"/>
      <c r="M229" s="184"/>
      <c r="N229" s="184"/>
      <c r="O229" s="185"/>
      <c r="P229" s="186"/>
      <c r="Q229" s="186"/>
      <c r="R229" s="187"/>
      <c r="S229" s="187"/>
      <c r="T229" s="184"/>
      <c r="U229" s="184"/>
      <c r="V229" s="188"/>
      <c r="W229" s="189"/>
      <c r="X229" s="190"/>
      <c r="Y229" s="185"/>
      <c r="Z229" s="191"/>
      <c r="AA229" s="97"/>
      <c r="AB229" s="192"/>
    </row>
    <row r="230" spans="1:28">
      <c r="A230" s="116"/>
      <c r="B230" s="116"/>
      <c r="C230" s="116">
        <v>3</v>
      </c>
      <c r="D230" s="3"/>
      <c r="E230" s="207"/>
      <c r="F230" s="209"/>
      <c r="G230" s="209"/>
      <c r="H230" s="183"/>
      <c r="I230" s="183"/>
      <c r="J230" s="183"/>
      <c r="K230" s="183"/>
      <c r="L230" s="183"/>
      <c r="M230" s="184"/>
      <c r="N230" s="184"/>
      <c r="O230" s="185"/>
      <c r="P230" s="186"/>
      <c r="Q230" s="186"/>
      <c r="R230" s="187"/>
      <c r="S230" s="187"/>
      <c r="T230" s="184"/>
      <c r="U230" s="184"/>
      <c r="V230" s="188"/>
      <c r="W230" s="189"/>
      <c r="X230" s="190"/>
      <c r="Y230" s="185"/>
      <c r="Z230" s="191"/>
      <c r="AA230" s="97"/>
      <c r="AB230" s="192"/>
    </row>
    <row r="231" spans="1:28">
      <c r="A231" s="116"/>
      <c r="B231" s="116"/>
      <c r="C231" s="116">
        <v>3</v>
      </c>
      <c r="D231" s="3"/>
      <c r="E231" s="207"/>
      <c r="F231" s="209"/>
      <c r="G231" s="209"/>
      <c r="H231" s="183"/>
      <c r="I231" s="183"/>
      <c r="J231" s="183"/>
      <c r="K231" s="183"/>
      <c r="L231" s="183"/>
      <c r="M231" s="184"/>
      <c r="N231" s="184"/>
      <c r="O231" s="185"/>
      <c r="P231" s="186"/>
      <c r="Q231" s="186"/>
      <c r="R231" s="187"/>
      <c r="S231" s="187"/>
      <c r="T231" s="184"/>
      <c r="U231" s="184"/>
      <c r="V231" s="188"/>
      <c r="W231" s="189"/>
      <c r="X231" s="190"/>
      <c r="Y231" s="185"/>
      <c r="Z231" s="191"/>
      <c r="AA231" s="97"/>
      <c r="AB231" s="192"/>
    </row>
    <row r="232" spans="1:28">
      <c r="A232" s="116"/>
      <c r="B232" s="116"/>
      <c r="C232" s="116">
        <v>0</v>
      </c>
      <c r="D232" s="3"/>
      <c r="E232" s="207"/>
      <c r="F232" s="183"/>
      <c r="G232" s="183"/>
      <c r="H232" s="183"/>
      <c r="I232" s="183"/>
      <c r="J232" s="183"/>
      <c r="K232" s="183"/>
      <c r="L232" s="183"/>
      <c r="M232" s="184"/>
      <c r="N232" s="184"/>
      <c r="O232" s="185"/>
      <c r="P232" s="186"/>
      <c r="Q232" s="186"/>
      <c r="R232" s="187"/>
      <c r="S232" s="187"/>
      <c r="T232" s="184"/>
      <c r="U232" s="184"/>
      <c r="V232" s="188"/>
      <c r="W232" s="189"/>
      <c r="X232" s="190"/>
      <c r="Y232" s="185"/>
      <c r="Z232" s="191"/>
      <c r="AA232" s="97"/>
      <c r="AB232" s="192"/>
    </row>
    <row r="233" spans="1:28">
      <c r="A233" s="116"/>
      <c r="B233" s="116" t="s">
        <v>983</v>
      </c>
      <c r="C233" s="116">
        <v>2</v>
      </c>
      <c r="D233" s="3"/>
      <c r="E233" s="207"/>
      <c r="F233" s="209"/>
      <c r="G233" s="209"/>
      <c r="H233" s="183"/>
      <c r="I233" s="183"/>
      <c r="J233" s="183"/>
      <c r="K233" s="183"/>
      <c r="L233" s="183"/>
      <c r="M233" s="184"/>
      <c r="N233" s="184"/>
      <c r="O233" s="185"/>
      <c r="P233" s="186"/>
      <c r="Q233" s="186"/>
      <c r="R233" s="187"/>
      <c r="S233" s="187"/>
      <c r="T233" s="184"/>
      <c r="U233" s="184"/>
      <c r="V233" s="188"/>
      <c r="W233" s="189"/>
      <c r="X233" s="190"/>
      <c r="Y233" s="185"/>
      <c r="Z233" s="191"/>
      <c r="AA233" s="97"/>
      <c r="AB233" s="192"/>
    </row>
    <row r="234" spans="1:28">
      <c r="A234" s="116"/>
      <c r="B234" s="116"/>
      <c r="C234" s="116">
        <v>3</v>
      </c>
      <c r="D234" s="3"/>
      <c r="E234" s="207"/>
      <c r="F234" s="209"/>
      <c r="G234" s="209"/>
      <c r="H234" s="183"/>
      <c r="I234" s="183"/>
      <c r="J234" s="183"/>
      <c r="K234" s="183"/>
      <c r="L234" s="183"/>
      <c r="M234" s="184"/>
      <c r="N234" s="184"/>
      <c r="O234" s="185"/>
      <c r="P234" s="186"/>
      <c r="Q234" s="186"/>
      <c r="R234" s="187"/>
      <c r="S234" s="187"/>
      <c r="T234" s="184"/>
      <c r="U234" s="184"/>
      <c r="V234" s="188"/>
      <c r="W234" s="189"/>
      <c r="X234" s="190"/>
      <c r="Y234" s="185"/>
      <c r="Z234" s="191"/>
      <c r="AA234" s="97"/>
      <c r="AB234" s="192"/>
    </row>
    <row r="235" spans="1:28">
      <c r="A235" s="116"/>
      <c r="B235" s="116"/>
      <c r="C235" s="116">
        <v>3</v>
      </c>
      <c r="D235" s="3"/>
      <c r="E235" s="207"/>
      <c r="F235" s="209"/>
      <c r="G235" s="209"/>
      <c r="H235" s="183"/>
      <c r="I235" s="183"/>
      <c r="J235" s="183"/>
      <c r="K235" s="183"/>
      <c r="L235" s="183"/>
      <c r="M235" s="184"/>
      <c r="N235" s="184"/>
      <c r="O235" s="185"/>
      <c r="P235" s="186"/>
      <c r="Q235" s="186"/>
      <c r="R235" s="187"/>
      <c r="S235" s="187"/>
      <c r="T235" s="184"/>
      <c r="U235" s="184"/>
      <c r="V235" s="188"/>
      <c r="W235" s="189"/>
      <c r="X235" s="190"/>
      <c r="Y235" s="185"/>
      <c r="Z235" s="191"/>
      <c r="AA235" s="97"/>
      <c r="AB235" s="192"/>
    </row>
    <row r="236" spans="1:28">
      <c r="A236" s="116"/>
      <c r="B236" s="116"/>
      <c r="C236" s="116">
        <v>3</v>
      </c>
      <c r="D236" s="3"/>
      <c r="E236" s="207"/>
      <c r="F236" s="209"/>
      <c r="G236" s="209"/>
      <c r="H236" s="183"/>
      <c r="I236" s="183"/>
      <c r="J236" s="183"/>
      <c r="K236" s="183"/>
      <c r="L236" s="183"/>
      <c r="M236" s="184"/>
      <c r="N236" s="184"/>
      <c r="O236" s="185"/>
      <c r="P236" s="186"/>
      <c r="Q236" s="186"/>
      <c r="R236" s="187"/>
      <c r="S236" s="187"/>
      <c r="T236" s="184"/>
      <c r="U236" s="184"/>
      <c r="V236" s="188"/>
      <c r="W236" s="189"/>
      <c r="X236" s="190"/>
      <c r="Y236" s="185"/>
      <c r="Z236" s="191"/>
      <c r="AA236" s="97"/>
      <c r="AB236" s="192"/>
    </row>
    <row r="237" spans="1:28">
      <c r="A237" s="116"/>
      <c r="B237" s="116"/>
      <c r="C237" s="116">
        <v>3</v>
      </c>
      <c r="D237" s="3"/>
      <c r="E237" s="207"/>
      <c r="F237" s="209"/>
      <c r="G237" s="209"/>
      <c r="H237" s="183"/>
      <c r="I237" s="183"/>
      <c r="J237" s="183"/>
      <c r="K237" s="183"/>
      <c r="L237" s="183"/>
      <c r="M237" s="184"/>
      <c r="N237" s="184"/>
      <c r="O237" s="185"/>
      <c r="P237" s="186"/>
      <c r="Q237" s="186"/>
      <c r="R237" s="187"/>
      <c r="S237" s="187"/>
      <c r="T237" s="184"/>
      <c r="U237" s="184"/>
      <c r="V237" s="188"/>
      <c r="W237" s="189"/>
      <c r="X237" s="190"/>
      <c r="Y237" s="185"/>
      <c r="Z237" s="191"/>
      <c r="AA237" s="97"/>
      <c r="AB237" s="192"/>
    </row>
    <row r="238" spans="1:28">
      <c r="A238" s="116"/>
      <c r="B238" s="116"/>
      <c r="C238" s="116">
        <v>0</v>
      </c>
      <c r="D238" s="3"/>
      <c r="E238" s="207"/>
      <c r="F238" s="183"/>
      <c r="G238" s="183"/>
      <c r="H238" s="183"/>
      <c r="I238" s="183"/>
      <c r="J238" s="183"/>
      <c r="K238" s="183"/>
      <c r="L238" s="183"/>
      <c r="M238" s="184"/>
      <c r="N238" s="184"/>
      <c r="O238" s="185"/>
      <c r="P238" s="186"/>
      <c r="Q238" s="186"/>
      <c r="R238" s="187"/>
      <c r="S238" s="187"/>
      <c r="T238" s="184"/>
      <c r="U238" s="184"/>
      <c r="V238" s="188"/>
      <c r="W238" s="189"/>
      <c r="X238" s="190"/>
      <c r="Y238" s="185"/>
      <c r="Z238" s="191"/>
      <c r="AA238" s="97"/>
      <c r="AB238" s="192"/>
    </row>
    <row r="239" spans="1:28">
      <c r="A239" s="116"/>
      <c r="B239" s="116" t="s">
        <v>983</v>
      </c>
      <c r="C239" s="116">
        <v>2</v>
      </c>
      <c r="D239" s="3"/>
      <c r="E239" s="207"/>
      <c r="F239" s="209"/>
      <c r="G239" s="209"/>
      <c r="H239" s="183"/>
      <c r="I239" s="183"/>
      <c r="J239" s="183"/>
      <c r="K239" s="183"/>
      <c r="L239" s="183"/>
      <c r="M239" s="184"/>
      <c r="N239" s="184"/>
      <c r="O239" s="185"/>
      <c r="P239" s="186"/>
      <c r="Q239" s="186"/>
      <c r="R239" s="187"/>
      <c r="S239" s="187"/>
      <c r="T239" s="184"/>
      <c r="U239" s="184"/>
      <c r="V239" s="188"/>
      <c r="W239" s="189"/>
      <c r="X239" s="190"/>
      <c r="Y239" s="185"/>
      <c r="Z239" s="191"/>
      <c r="AA239" s="97"/>
      <c r="AB239" s="192"/>
    </row>
    <row r="240" spans="1:28">
      <c r="A240" s="116"/>
      <c r="B240" s="116"/>
      <c r="C240" s="116">
        <v>3</v>
      </c>
      <c r="D240" s="3"/>
      <c r="E240" s="207"/>
      <c r="F240" s="209"/>
      <c r="G240" s="209"/>
      <c r="H240" s="183"/>
      <c r="I240" s="183"/>
      <c r="J240" s="183"/>
      <c r="K240" s="183"/>
      <c r="L240" s="183"/>
      <c r="M240" s="184"/>
      <c r="N240" s="184"/>
      <c r="O240" s="185"/>
      <c r="P240" s="186"/>
      <c r="Q240" s="186"/>
      <c r="R240" s="187"/>
      <c r="S240" s="187"/>
      <c r="T240" s="184"/>
      <c r="U240" s="184"/>
      <c r="V240" s="188"/>
      <c r="W240" s="189"/>
      <c r="X240" s="190"/>
      <c r="Y240" s="185"/>
      <c r="Z240" s="191"/>
      <c r="AA240" s="97"/>
      <c r="AB240" s="192"/>
    </row>
    <row r="241" spans="1:28">
      <c r="A241" s="116"/>
      <c r="B241" s="116"/>
      <c r="C241" s="116">
        <v>3</v>
      </c>
      <c r="D241" s="3"/>
      <c r="E241" s="207"/>
      <c r="F241" s="209"/>
      <c r="G241" s="209"/>
      <c r="H241" s="183"/>
      <c r="I241" s="183"/>
      <c r="J241" s="183"/>
      <c r="K241" s="183"/>
      <c r="L241" s="183"/>
      <c r="M241" s="184"/>
      <c r="N241" s="184"/>
      <c r="O241" s="185"/>
      <c r="P241" s="186"/>
      <c r="Q241" s="186"/>
      <c r="R241" s="187"/>
      <c r="S241" s="187"/>
      <c r="T241" s="184"/>
      <c r="U241" s="184"/>
      <c r="V241" s="188"/>
      <c r="W241" s="189"/>
      <c r="X241" s="190"/>
      <c r="Y241" s="185"/>
      <c r="Z241" s="191"/>
      <c r="AA241" s="97"/>
      <c r="AB241" s="192"/>
    </row>
    <row r="242" spans="1:28">
      <c r="A242" s="116"/>
      <c r="B242" s="116"/>
      <c r="C242" s="116">
        <v>3</v>
      </c>
      <c r="D242" s="3"/>
      <c r="E242" s="207"/>
      <c r="F242" s="209"/>
      <c r="G242" s="209"/>
      <c r="H242" s="183"/>
      <c r="I242" s="183"/>
      <c r="J242" s="183"/>
      <c r="K242" s="183"/>
      <c r="L242" s="183"/>
      <c r="M242" s="184"/>
      <c r="N242" s="184"/>
      <c r="O242" s="185"/>
      <c r="P242" s="186"/>
      <c r="Q242" s="186"/>
      <c r="R242" s="187"/>
      <c r="S242" s="187"/>
      <c r="T242" s="184"/>
      <c r="U242" s="184"/>
      <c r="V242" s="188"/>
      <c r="W242" s="189"/>
      <c r="X242" s="190"/>
      <c r="Y242" s="185"/>
      <c r="Z242" s="191"/>
      <c r="AA242" s="97"/>
      <c r="AB242" s="192"/>
    </row>
    <row r="243" spans="1:28">
      <c r="A243" s="116"/>
      <c r="B243" s="116"/>
      <c r="C243" s="116">
        <v>3</v>
      </c>
      <c r="D243" s="3"/>
      <c r="E243" s="207"/>
      <c r="F243" s="209"/>
      <c r="G243" s="209"/>
      <c r="H243" s="183"/>
      <c r="I243" s="183"/>
      <c r="J243" s="183"/>
      <c r="K243" s="183"/>
      <c r="L243" s="183"/>
      <c r="M243" s="184"/>
      <c r="N243" s="184"/>
      <c r="O243" s="185"/>
      <c r="P243" s="186"/>
      <c r="Q243" s="186"/>
      <c r="R243" s="187"/>
      <c r="S243" s="187"/>
      <c r="T243" s="184"/>
      <c r="U243" s="184"/>
      <c r="V243" s="188"/>
      <c r="W243" s="189"/>
      <c r="X243" s="190"/>
      <c r="Y243" s="185"/>
      <c r="Z243" s="191"/>
      <c r="AA243" s="97"/>
      <c r="AB243" s="192"/>
    </row>
    <row r="244" spans="1:28">
      <c r="A244" s="116"/>
      <c r="B244" s="116"/>
      <c r="C244" s="116">
        <v>0</v>
      </c>
      <c r="D244" s="3"/>
      <c r="E244" s="207"/>
      <c r="F244" s="183"/>
      <c r="G244" s="183"/>
      <c r="H244" s="183"/>
      <c r="I244" s="183"/>
      <c r="J244" s="183"/>
      <c r="K244" s="183"/>
      <c r="L244" s="183"/>
      <c r="M244" s="184"/>
      <c r="N244" s="184"/>
      <c r="O244" s="185"/>
      <c r="P244" s="186"/>
      <c r="Q244" s="186"/>
      <c r="R244" s="187"/>
      <c r="S244" s="187"/>
      <c r="T244" s="184"/>
      <c r="U244" s="184"/>
      <c r="V244" s="188"/>
      <c r="W244" s="189"/>
      <c r="X244" s="190"/>
      <c r="Y244" s="185"/>
      <c r="Z244" s="191"/>
      <c r="AA244" s="97"/>
      <c r="AB244" s="192"/>
    </row>
    <row r="245" spans="1:28">
      <c r="A245" s="116"/>
      <c r="B245" s="116" t="s">
        <v>983</v>
      </c>
      <c r="C245" s="116">
        <v>2</v>
      </c>
      <c r="D245" s="3"/>
      <c r="E245" s="207"/>
      <c r="F245" s="209"/>
      <c r="G245" s="209"/>
      <c r="H245" s="183"/>
      <c r="I245" s="183"/>
      <c r="J245" s="183"/>
      <c r="K245" s="183"/>
      <c r="L245" s="183"/>
      <c r="M245" s="184"/>
      <c r="N245" s="184"/>
      <c r="O245" s="185"/>
      <c r="P245" s="186"/>
      <c r="Q245" s="186"/>
      <c r="R245" s="187"/>
      <c r="S245" s="187"/>
      <c r="T245" s="184"/>
      <c r="U245" s="184"/>
      <c r="V245" s="188"/>
      <c r="W245" s="189"/>
      <c r="X245" s="190"/>
      <c r="Y245" s="185"/>
      <c r="Z245" s="191"/>
      <c r="AA245" s="97"/>
      <c r="AB245" s="192"/>
    </row>
    <row r="246" spans="1:28">
      <c r="A246" s="116"/>
      <c r="B246" s="116"/>
      <c r="C246" s="116">
        <v>3</v>
      </c>
      <c r="D246" s="3"/>
      <c r="E246" s="207"/>
      <c r="F246" s="209"/>
      <c r="G246" s="209"/>
      <c r="H246" s="183"/>
      <c r="I246" s="183"/>
      <c r="J246" s="183"/>
      <c r="K246" s="183"/>
      <c r="L246" s="183"/>
      <c r="M246" s="184"/>
      <c r="N246" s="184"/>
      <c r="O246" s="185"/>
      <c r="P246" s="186"/>
      <c r="Q246" s="186"/>
      <c r="R246" s="187"/>
      <c r="S246" s="187"/>
      <c r="T246" s="184"/>
      <c r="U246" s="184"/>
      <c r="V246" s="188"/>
      <c r="W246" s="189"/>
      <c r="X246" s="190"/>
      <c r="Y246" s="185"/>
      <c r="Z246" s="191"/>
      <c r="AA246" s="97"/>
      <c r="AB246" s="192"/>
    </row>
    <row r="247" spans="1:28">
      <c r="A247" s="116"/>
      <c r="B247" s="116"/>
      <c r="C247" s="116">
        <v>3</v>
      </c>
      <c r="D247" s="3"/>
      <c r="E247" s="207"/>
      <c r="F247" s="209"/>
      <c r="G247" s="209"/>
      <c r="H247" s="183"/>
      <c r="I247" s="183"/>
      <c r="J247" s="183"/>
      <c r="K247" s="183"/>
      <c r="L247" s="183"/>
      <c r="M247" s="184"/>
      <c r="N247" s="184"/>
      <c r="O247" s="185"/>
      <c r="P247" s="186"/>
      <c r="Q247" s="186"/>
      <c r="R247" s="187"/>
      <c r="S247" s="187"/>
      <c r="T247" s="184"/>
      <c r="U247" s="184"/>
      <c r="V247" s="188"/>
      <c r="W247" s="189"/>
      <c r="X247" s="190"/>
      <c r="Y247" s="185"/>
      <c r="Z247" s="191"/>
      <c r="AA247" s="97"/>
      <c r="AB247" s="192"/>
    </row>
    <row r="248" spans="1:28">
      <c r="A248" s="116"/>
      <c r="B248" s="116"/>
      <c r="C248" s="116">
        <v>3</v>
      </c>
      <c r="D248" s="3"/>
      <c r="E248" s="207"/>
      <c r="F248" s="209"/>
      <c r="G248" s="209"/>
      <c r="H248" s="183"/>
      <c r="I248" s="183"/>
      <c r="J248" s="183"/>
      <c r="K248" s="183"/>
      <c r="L248" s="183"/>
      <c r="M248" s="184"/>
      <c r="N248" s="184"/>
      <c r="O248" s="185"/>
      <c r="P248" s="186"/>
      <c r="Q248" s="186"/>
      <c r="R248" s="187"/>
      <c r="S248" s="187"/>
      <c r="T248" s="184"/>
      <c r="U248" s="184"/>
      <c r="V248" s="188"/>
      <c r="W248" s="189"/>
      <c r="X248" s="190"/>
      <c r="Y248" s="185"/>
      <c r="Z248" s="191"/>
      <c r="AA248" s="97"/>
      <c r="AB248" s="192"/>
    </row>
    <row r="249" spans="1:28">
      <c r="A249" s="116"/>
      <c r="B249" s="116"/>
      <c r="C249" s="116">
        <v>3</v>
      </c>
      <c r="D249" s="3"/>
      <c r="E249" s="207"/>
      <c r="F249" s="209"/>
      <c r="G249" s="209"/>
      <c r="H249" s="183"/>
      <c r="I249" s="183"/>
      <c r="J249" s="183"/>
      <c r="K249" s="183"/>
      <c r="L249" s="183"/>
      <c r="M249" s="184"/>
      <c r="N249" s="184"/>
      <c r="O249" s="185"/>
      <c r="P249" s="186"/>
      <c r="Q249" s="186"/>
      <c r="R249" s="187"/>
      <c r="S249" s="187"/>
      <c r="T249" s="184"/>
      <c r="U249" s="184"/>
      <c r="V249" s="188"/>
      <c r="W249" s="189"/>
      <c r="X249" s="190"/>
      <c r="Y249" s="185"/>
      <c r="Z249" s="191"/>
      <c r="AA249" s="97"/>
      <c r="AB249" s="192"/>
    </row>
    <row r="250" spans="1:28">
      <c r="A250" s="116"/>
      <c r="B250" s="116"/>
      <c r="C250" s="116">
        <v>0</v>
      </c>
      <c r="D250" s="3"/>
      <c r="E250" s="183"/>
      <c r="F250" s="183"/>
      <c r="G250" s="183"/>
      <c r="H250" s="183"/>
      <c r="I250" s="183"/>
      <c r="J250" s="183"/>
      <c r="K250" s="183"/>
      <c r="L250" s="183"/>
      <c r="M250" s="184"/>
      <c r="N250" s="184"/>
      <c r="O250" s="185"/>
      <c r="P250" s="186"/>
      <c r="Q250" s="186"/>
      <c r="R250" s="187"/>
      <c r="S250" s="187"/>
      <c r="T250" s="184"/>
      <c r="U250" s="184"/>
      <c r="V250" s="188"/>
      <c r="W250" s="189"/>
      <c r="X250" s="190"/>
      <c r="Y250" s="185"/>
      <c r="Z250" s="191"/>
      <c r="AA250" s="97"/>
      <c r="AB250" s="192"/>
    </row>
    <row r="251" spans="1:28">
      <c r="A251" s="116"/>
      <c r="B251" s="116" t="s">
        <v>983</v>
      </c>
      <c r="C251" s="116">
        <v>2</v>
      </c>
      <c r="D251" s="3"/>
      <c r="E251" s="207"/>
      <c r="F251" s="209"/>
      <c r="G251" s="209"/>
      <c r="H251" s="183"/>
      <c r="I251" s="183"/>
      <c r="J251" s="183"/>
      <c r="K251" s="183"/>
      <c r="L251" s="183"/>
      <c r="M251" s="184"/>
      <c r="N251" s="184"/>
      <c r="O251" s="185"/>
      <c r="P251" s="186"/>
      <c r="Q251" s="186"/>
      <c r="R251" s="187"/>
      <c r="S251" s="187"/>
      <c r="T251" s="184"/>
      <c r="U251" s="184"/>
      <c r="V251" s="188"/>
      <c r="W251" s="189"/>
      <c r="X251" s="190"/>
      <c r="Y251" s="185"/>
      <c r="Z251" s="191"/>
      <c r="AA251" s="97"/>
      <c r="AB251" s="192"/>
    </row>
    <row r="252" spans="1:28">
      <c r="A252" s="116"/>
      <c r="B252" s="116"/>
      <c r="C252" s="116">
        <v>3</v>
      </c>
      <c r="D252" s="3"/>
      <c r="E252" s="207"/>
      <c r="F252" s="209"/>
      <c r="G252" s="209"/>
      <c r="H252" s="183"/>
      <c r="I252" s="183"/>
      <c r="J252" s="183"/>
      <c r="K252" s="183"/>
      <c r="L252" s="183"/>
      <c r="M252" s="184"/>
      <c r="N252" s="184"/>
      <c r="O252" s="185"/>
      <c r="P252" s="186"/>
      <c r="Q252" s="186"/>
      <c r="R252" s="187"/>
      <c r="S252" s="187"/>
      <c r="T252" s="184"/>
      <c r="U252" s="184"/>
      <c r="V252" s="188"/>
      <c r="W252" s="189"/>
      <c r="X252" s="190"/>
      <c r="Y252" s="185"/>
      <c r="Z252" s="191"/>
      <c r="AA252" s="97"/>
      <c r="AB252" s="192"/>
    </row>
    <row r="253" spans="1:28">
      <c r="A253" s="116"/>
      <c r="B253" s="116"/>
      <c r="C253" s="116">
        <v>3</v>
      </c>
      <c r="D253" s="3"/>
      <c r="E253" s="207"/>
      <c r="F253" s="209"/>
      <c r="G253" s="209"/>
      <c r="H253" s="183"/>
      <c r="I253" s="183"/>
      <c r="J253" s="183"/>
      <c r="K253" s="183"/>
      <c r="L253" s="183"/>
      <c r="M253" s="184"/>
      <c r="N253" s="184"/>
      <c r="O253" s="185"/>
      <c r="P253" s="186"/>
      <c r="Q253" s="186"/>
      <c r="R253" s="187"/>
      <c r="S253" s="187"/>
      <c r="T253" s="184"/>
      <c r="U253" s="184"/>
      <c r="V253" s="188"/>
      <c r="W253" s="189"/>
      <c r="X253" s="190"/>
      <c r="Y253" s="185"/>
      <c r="Z253" s="191"/>
      <c r="AA253" s="97"/>
      <c r="AB253" s="192"/>
    </row>
    <row r="254" spans="1:28">
      <c r="A254" s="116"/>
      <c r="B254" s="116"/>
      <c r="C254" s="116">
        <v>3</v>
      </c>
      <c r="D254" s="3"/>
      <c r="E254" s="207"/>
      <c r="F254" s="209"/>
      <c r="G254" s="209"/>
      <c r="H254" s="183"/>
      <c r="I254" s="183"/>
      <c r="J254" s="183"/>
      <c r="K254" s="183"/>
      <c r="L254" s="183"/>
      <c r="M254" s="184"/>
      <c r="N254" s="184"/>
      <c r="O254" s="185"/>
      <c r="P254" s="186"/>
      <c r="Q254" s="186"/>
      <c r="R254" s="187"/>
      <c r="S254" s="187"/>
      <c r="T254" s="184"/>
      <c r="U254" s="184"/>
      <c r="V254" s="188"/>
      <c r="W254" s="189"/>
      <c r="X254" s="190"/>
      <c r="Y254" s="185"/>
      <c r="Z254" s="191"/>
      <c r="AA254" s="97"/>
      <c r="AB254" s="192"/>
    </row>
    <row r="255" spans="1:28">
      <c r="A255" s="116"/>
      <c r="B255" s="116"/>
      <c r="C255" s="116">
        <v>3</v>
      </c>
      <c r="D255" s="3"/>
      <c r="E255" s="207"/>
      <c r="F255" s="209"/>
      <c r="G255" s="209"/>
      <c r="H255" s="183"/>
      <c r="I255" s="183"/>
      <c r="J255" s="183"/>
      <c r="K255" s="183"/>
      <c r="L255" s="183"/>
      <c r="M255" s="184"/>
      <c r="N255" s="184"/>
      <c r="O255" s="185"/>
      <c r="P255" s="186"/>
      <c r="Q255" s="186"/>
      <c r="R255" s="187"/>
      <c r="S255" s="187"/>
      <c r="T255" s="184"/>
      <c r="U255" s="184"/>
      <c r="V255" s="188"/>
      <c r="W255" s="189"/>
      <c r="X255" s="190"/>
      <c r="Y255" s="185"/>
      <c r="Z255" s="191"/>
      <c r="AA255" s="97"/>
      <c r="AB255" s="192"/>
    </row>
    <row r="256" spans="1:28">
      <c r="A256" s="116"/>
      <c r="B256" s="116"/>
      <c r="C256" s="116">
        <v>0</v>
      </c>
      <c r="D256" s="3"/>
      <c r="E256" s="183"/>
      <c r="F256" s="183"/>
      <c r="G256" s="183"/>
      <c r="H256" s="183"/>
      <c r="I256" s="183"/>
      <c r="J256" s="183"/>
      <c r="K256" s="183"/>
      <c r="L256" s="183"/>
      <c r="M256" s="184"/>
      <c r="N256" s="184"/>
      <c r="O256" s="185"/>
      <c r="P256" s="186"/>
      <c r="Q256" s="186"/>
      <c r="R256" s="187"/>
      <c r="S256" s="187"/>
      <c r="T256" s="184"/>
      <c r="U256" s="184"/>
      <c r="V256" s="188"/>
      <c r="W256" s="189"/>
      <c r="X256" s="190"/>
      <c r="Y256" s="185"/>
      <c r="Z256" s="191"/>
      <c r="AA256" s="97"/>
      <c r="AB256" s="192"/>
    </row>
    <row r="257" spans="1:28">
      <c r="A257" s="116"/>
      <c r="B257" s="116" t="s">
        <v>983</v>
      </c>
      <c r="C257" s="116">
        <v>1</v>
      </c>
      <c r="D257" s="3"/>
      <c r="E257" s="207"/>
      <c r="F257" s="183"/>
      <c r="G257" s="183"/>
      <c r="H257" s="183"/>
      <c r="I257" s="183"/>
      <c r="J257" s="183"/>
      <c r="K257" s="183"/>
      <c r="L257" s="183"/>
      <c r="M257" s="184"/>
      <c r="N257" s="184"/>
      <c r="O257" s="185"/>
      <c r="P257" s="186"/>
      <c r="Q257" s="186"/>
      <c r="R257" s="187"/>
      <c r="S257" s="187"/>
      <c r="T257" s="184"/>
      <c r="U257" s="184"/>
      <c r="V257" s="188"/>
      <c r="W257" s="189"/>
      <c r="X257" s="190"/>
      <c r="Y257" s="185"/>
      <c r="Z257" s="191"/>
      <c r="AA257" s="97"/>
      <c r="AB257" s="192"/>
    </row>
    <row r="258" spans="1:28">
      <c r="A258" s="116"/>
      <c r="B258" s="116" t="s">
        <v>983</v>
      </c>
      <c r="C258" s="116">
        <v>2</v>
      </c>
      <c r="D258" s="3"/>
      <c r="E258" s="208"/>
      <c r="F258" s="209"/>
      <c r="G258" s="209"/>
      <c r="H258" s="183"/>
      <c r="I258" s="183"/>
      <c r="J258" s="183"/>
      <c r="K258" s="183"/>
      <c r="L258" s="183"/>
      <c r="M258" s="184"/>
      <c r="N258" s="184"/>
      <c r="O258" s="185"/>
      <c r="P258" s="186"/>
      <c r="Q258" s="186"/>
      <c r="R258" s="187"/>
      <c r="S258" s="187"/>
      <c r="T258" s="184"/>
      <c r="U258" s="184"/>
      <c r="V258" s="188"/>
      <c r="W258" s="189"/>
      <c r="X258" s="190"/>
      <c r="Y258" s="185"/>
      <c r="Z258" s="191"/>
      <c r="AA258" s="97"/>
      <c r="AB258" s="192"/>
    </row>
    <row r="259" spans="1:28">
      <c r="A259" s="116"/>
      <c r="B259" s="116"/>
      <c r="C259" s="116">
        <v>3</v>
      </c>
      <c r="D259" s="3"/>
      <c r="E259" s="208"/>
      <c r="F259" s="209"/>
      <c r="G259" s="209"/>
      <c r="H259" s="183"/>
      <c r="I259" s="183"/>
      <c r="J259" s="183"/>
      <c r="K259" s="183"/>
      <c r="L259" s="183"/>
      <c r="M259" s="184"/>
      <c r="N259" s="184"/>
      <c r="O259" s="185"/>
      <c r="P259" s="186"/>
      <c r="Q259" s="186"/>
      <c r="R259" s="187"/>
      <c r="S259" s="187"/>
      <c r="T259" s="184"/>
      <c r="U259" s="184"/>
      <c r="V259" s="188"/>
      <c r="W259" s="189"/>
      <c r="X259" s="190"/>
      <c r="Y259" s="185"/>
      <c r="Z259" s="191"/>
      <c r="AA259" s="97"/>
      <c r="AB259" s="192"/>
    </row>
    <row r="260" spans="1:28">
      <c r="A260" s="116"/>
      <c r="B260" s="116"/>
      <c r="C260" s="116">
        <v>3</v>
      </c>
      <c r="D260" s="3"/>
      <c r="E260" s="208"/>
      <c r="F260" s="209"/>
      <c r="G260" s="209"/>
      <c r="H260" s="183"/>
      <c r="I260" s="183"/>
      <c r="J260" s="183"/>
      <c r="K260" s="183"/>
      <c r="L260" s="183"/>
      <c r="M260" s="184"/>
      <c r="N260" s="184"/>
      <c r="O260" s="185"/>
      <c r="P260" s="186"/>
      <c r="Q260" s="186"/>
      <c r="R260" s="187"/>
      <c r="S260" s="187"/>
      <c r="T260" s="184"/>
      <c r="U260" s="184"/>
      <c r="V260" s="188"/>
      <c r="W260" s="189"/>
      <c r="X260" s="190"/>
      <c r="Y260" s="185"/>
      <c r="Z260" s="191"/>
      <c r="AA260" s="97"/>
      <c r="AB260" s="192"/>
    </row>
    <row r="261" spans="1:28">
      <c r="A261" s="116"/>
      <c r="B261" s="116"/>
      <c r="C261" s="116">
        <v>0</v>
      </c>
      <c r="D261" s="3"/>
      <c r="E261" s="208"/>
      <c r="F261" s="209"/>
      <c r="G261" s="209"/>
      <c r="H261" s="183"/>
      <c r="I261" s="183"/>
      <c r="J261" s="183"/>
      <c r="K261" s="183"/>
      <c r="L261" s="183"/>
      <c r="M261" s="184"/>
      <c r="N261" s="184"/>
      <c r="O261" s="185"/>
      <c r="P261" s="186"/>
      <c r="Q261" s="186"/>
      <c r="R261" s="187"/>
      <c r="S261" s="187"/>
      <c r="T261" s="184"/>
      <c r="U261" s="184"/>
      <c r="V261" s="188"/>
      <c r="W261" s="189"/>
      <c r="X261" s="190"/>
      <c r="Y261" s="185"/>
      <c r="Z261" s="191"/>
      <c r="AA261" s="97"/>
      <c r="AB261" s="192"/>
    </row>
    <row r="262" spans="1:28">
      <c r="A262" s="116"/>
      <c r="B262" s="116" t="s">
        <v>983</v>
      </c>
      <c r="C262" s="116">
        <v>2</v>
      </c>
      <c r="D262" s="3"/>
      <c r="E262" s="183"/>
      <c r="F262" s="209"/>
      <c r="G262" s="209"/>
      <c r="H262" s="183"/>
      <c r="I262" s="183"/>
      <c r="J262" s="183"/>
      <c r="K262" s="183"/>
      <c r="L262" s="183"/>
      <c r="M262" s="184"/>
      <c r="N262" s="184"/>
      <c r="O262" s="185"/>
      <c r="P262" s="186"/>
      <c r="Q262" s="186"/>
      <c r="R262" s="187"/>
      <c r="S262" s="187"/>
      <c r="T262" s="184"/>
      <c r="U262" s="184"/>
      <c r="V262" s="188"/>
      <c r="W262" s="189"/>
      <c r="X262" s="190"/>
      <c r="Y262" s="185"/>
      <c r="Z262" s="191"/>
      <c r="AA262" s="97"/>
      <c r="AB262" s="192"/>
    </row>
    <row r="263" spans="1:28">
      <c r="A263" s="116"/>
      <c r="B263" s="116"/>
      <c r="C263" s="116">
        <v>3</v>
      </c>
      <c r="D263" s="3"/>
      <c r="E263" s="208"/>
      <c r="F263" s="209"/>
      <c r="G263" s="209"/>
      <c r="H263" s="183"/>
      <c r="I263" s="183"/>
      <c r="J263" s="183"/>
      <c r="K263" s="183"/>
      <c r="L263" s="183"/>
      <c r="M263" s="184"/>
      <c r="N263" s="184"/>
      <c r="O263" s="185"/>
      <c r="P263" s="186"/>
      <c r="Q263" s="186"/>
      <c r="R263" s="187"/>
      <c r="S263" s="187"/>
      <c r="T263" s="184"/>
      <c r="U263" s="184"/>
      <c r="V263" s="188"/>
      <c r="W263" s="189"/>
      <c r="X263" s="190"/>
      <c r="Y263" s="185"/>
      <c r="Z263" s="191"/>
      <c r="AA263" s="97"/>
      <c r="AB263" s="192"/>
    </row>
    <row r="264" spans="1:28">
      <c r="A264" s="116"/>
      <c r="B264" s="116"/>
      <c r="C264" s="116">
        <v>3</v>
      </c>
      <c r="D264" s="3"/>
      <c r="E264" s="208"/>
      <c r="F264" s="209"/>
      <c r="G264" s="209"/>
      <c r="H264" s="183"/>
      <c r="I264" s="183"/>
      <c r="J264" s="183"/>
      <c r="K264" s="183"/>
      <c r="L264" s="183"/>
      <c r="M264" s="184"/>
      <c r="N264" s="184"/>
      <c r="O264" s="185"/>
      <c r="P264" s="186"/>
      <c r="Q264" s="186"/>
      <c r="R264" s="187"/>
      <c r="S264" s="187"/>
      <c r="T264" s="184"/>
      <c r="U264" s="184"/>
      <c r="V264" s="188"/>
      <c r="W264" s="189"/>
      <c r="X264" s="190"/>
      <c r="Y264" s="185"/>
      <c r="Z264" s="191"/>
      <c r="AA264" s="97"/>
      <c r="AB264" s="192"/>
    </row>
    <row r="265" spans="1:28">
      <c r="A265" s="116"/>
      <c r="B265" s="116"/>
      <c r="C265" s="116">
        <v>0</v>
      </c>
      <c r="D265" s="3"/>
      <c r="E265" s="207"/>
      <c r="F265" s="209"/>
      <c r="G265" s="209"/>
      <c r="H265" s="183"/>
      <c r="I265" s="183"/>
      <c r="J265" s="183"/>
      <c r="K265" s="183"/>
      <c r="L265" s="183"/>
      <c r="M265" s="184"/>
      <c r="N265" s="184"/>
      <c r="O265" s="185"/>
      <c r="P265" s="186"/>
      <c r="Q265" s="186"/>
      <c r="R265" s="187"/>
      <c r="S265" s="187"/>
      <c r="T265" s="184"/>
      <c r="U265" s="184"/>
      <c r="V265" s="188"/>
      <c r="W265" s="189"/>
      <c r="X265" s="190"/>
      <c r="Y265" s="185"/>
      <c r="Z265" s="191"/>
      <c r="AA265" s="97"/>
      <c r="AB265" s="192"/>
    </row>
    <row r="266" spans="1:28">
      <c r="A266" s="116"/>
      <c r="B266" s="116" t="s">
        <v>983</v>
      </c>
      <c r="C266" s="116">
        <v>2</v>
      </c>
      <c r="D266" s="3"/>
      <c r="E266" s="183"/>
      <c r="F266" s="209"/>
      <c r="G266" s="209"/>
      <c r="H266" s="183"/>
      <c r="I266" s="183"/>
      <c r="J266" s="183"/>
      <c r="K266" s="183"/>
      <c r="L266" s="183"/>
      <c r="M266" s="184"/>
      <c r="N266" s="184"/>
      <c r="O266" s="185"/>
      <c r="P266" s="186"/>
      <c r="Q266" s="186"/>
      <c r="R266" s="187"/>
      <c r="S266" s="187"/>
      <c r="T266" s="184"/>
      <c r="U266" s="184"/>
      <c r="V266" s="188"/>
      <c r="W266" s="189"/>
      <c r="X266" s="190"/>
      <c r="Y266" s="185"/>
      <c r="Z266" s="191"/>
      <c r="AA266" s="97"/>
      <c r="AB266" s="192"/>
    </row>
    <row r="267" spans="1:28">
      <c r="A267" s="116"/>
      <c r="B267" s="116"/>
      <c r="C267" s="116">
        <v>3</v>
      </c>
      <c r="D267" s="3"/>
      <c r="E267" s="208"/>
      <c r="F267" s="209"/>
      <c r="G267" s="209"/>
      <c r="H267" s="183"/>
      <c r="I267" s="183"/>
      <c r="J267" s="183"/>
      <c r="K267" s="183"/>
      <c r="L267" s="183"/>
      <c r="M267" s="184"/>
      <c r="N267" s="184"/>
      <c r="O267" s="185"/>
      <c r="P267" s="186"/>
      <c r="Q267" s="186"/>
      <c r="R267" s="187"/>
      <c r="S267" s="187"/>
      <c r="T267" s="184"/>
      <c r="U267" s="184"/>
      <c r="V267" s="188"/>
      <c r="W267" s="189"/>
      <c r="X267" s="190"/>
      <c r="Y267" s="185"/>
      <c r="Z267" s="191"/>
      <c r="AA267" s="97"/>
      <c r="AB267" s="192"/>
    </row>
    <row r="268" spans="1:28">
      <c r="A268" s="116"/>
      <c r="B268" s="116"/>
      <c r="C268" s="116">
        <v>3</v>
      </c>
      <c r="D268" s="3"/>
      <c r="E268" s="208"/>
      <c r="F268" s="209"/>
      <c r="G268" s="209"/>
      <c r="H268" s="183"/>
      <c r="I268" s="183"/>
      <c r="J268" s="183"/>
      <c r="K268" s="183"/>
      <c r="L268" s="183"/>
      <c r="M268" s="184"/>
      <c r="N268" s="184"/>
      <c r="O268" s="185"/>
      <c r="P268" s="186"/>
      <c r="Q268" s="186"/>
      <c r="R268" s="187"/>
      <c r="S268" s="187"/>
      <c r="T268" s="184"/>
      <c r="U268" s="184"/>
      <c r="V268" s="188"/>
      <c r="W268" s="189"/>
      <c r="X268" s="190"/>
      <c r="Y268" s="185"/>
      <c r="Z268" s="191"/>
      <c r="AA268" s="97"/>
      <c r="AB268" s="192"/>
    </row>
    <row r="269" spans="1:28">
      <c r="A269" s="116"/>
      <c r="B269" s="116"/>
      <c r="C269" s="116">
        <v>0</v>
      </c>
      <c r="D269" s="3"/>
      <c r="E269" s="183"/>
      <c r="F269" s="209"/>
      <c r="G269" s="209"/>
      <c r="H269" s="183"/>
      <c r="I269" s="183"/>
      <c r="J269" s="183"/>
      <c r="K269" s="183"/>
      <c r="L269" s="183"/>
      <c r="M269" s="184"/>
      <c r="N269" s="184"/>
      <c r="O269" s="185"/>
      <c r="P269" s="186"/>
      <c r="Q269" s="186"/>
      <c r="R269" s="187"/>
      <c r="S269" s="187"/>
      <c r="T269" s="184"/>
      <c r="U269" s="184"/>
      <c r="V269" s="188"/>
      <c r="W269" s="189"/>
      <c r="X269" s="190"/>
      <c r="Y269" s="185"/>
      <c r="Z269" s="191"/>
      <c r="AA269" s="97"/>
      <c r="AB269" s="192"/>
    </row>
    <row r="270" spans="1:28">
      <c r="A270" s="116"/>
      <c r="B270" s="116" t="s">
        <v>983</v>
      </c>
      <c r="C270" s="116">
        <v>2</v>
      </c>
      <c r="D270" s="3"/>
      <c r="E270" s="183"/>
      <c r="F270" s="209"/>
      <c r="G270" s="209"/>
      <c r="H270" s="183"/>
      <c r="I270" s="183"/>
      <c r="J270" s="183"/>
      <c r="K270" s="183"/>
      <c r="L270" s="183"/>
      <c r="M270" s="184"/>
      <c r="N270" s="184"/>
      <c r="O270" s="185"/>
      <c r="P270" s="186"/>
      <c r="Q270" s="186"/>
      <c r="R270" s="187"/>
      <c r="S270" s="187"/>
      <c r="T270" s="184"/>
      <c r="U270" s="184"/>
      <c r="V270" s="188"/>
      <c r="W270" s="189"/>
      <c r="X270" s="190"/>
      <c r="Y270" s="185"/>
      <c r="Z270" s="191"/>
      <c r="AA270" s="97"/>
      <c r="AB270" s="192"/>
    </row>
    <row r="271" spans="1:28">
      <c r="A271" s="116"/>
      <c r="B271" s="116"/>
      <c r="C271" s="116">
        <v>3</v>
      </c>
      <c r="D271" s="3"/>
      <c r="E271" s="208"/>
      <c r="F271" s="209"/>
      <c r="G271" s="209"/>
      <c r="H271" s="183"/>
      <c r="I271" s="183"/>
      <c r="J271" s="183"/>
      <c r="K271" s="183"/>
      <c r="L271" s="183"/>
      <c r="M271" s="184"/>
      <c r="N271" s="184"/>
      <c r="O271" s="185"/>
      <c r="P271" s="186"/>
      <c r="Q271" s="186"/>
      <c r="R271" s="187"/>
      <c r="S271" s="187"/>
      <c r="T271" s="184"/>
      <c r="U271" s="184"/>
      <c r="V271" s="188"/>
      <c r="W271" s="189"/>
      <c r="X271" s="190"/>
      <c r="Y271" s="185"/>
      <c r="Z271" s="191"/>
      <c r="AA271" s="97"/>
      <c r="AB271" s="192"/>
    </row>
    <row r="272" spans="1:28">
      <c r="A272" s="116"/>
      <c r="B272" s="116"/>
      <c r="C272" s="116">
        <v>3</v>
      </c>
      <c r="D272" s="3"/>
      <c r="E272" s="208"/>
      <c r="F272" s="209"/>
      <c r="G272" s="209"/>
      <c r="H272" s="183"/>
      <c r="I272" s="183"/>
      <c r="J272" s="183"/>
      <c r="K272" s="183"/>
      <c r="L272" s="183"/>
      <c r="M272" s="184"/>
      <c r="N272" s="184"/>
      <c r="O272" s="185"/>
      <c r="P272" s="186"/>
      <c r="Q272" s="186"/>
      <c r="R272" s="187"/>
      <c r="S272" s="187"/>
      <c r="T272" s="184"/>
      <c r="U272" s="184"/>
      <c r="V272" s="188"/>
      <c r="W272" s="189"/>
      <c r="X272" s="190"/>
      <c r="Y272" s="185"/>
      <c r="Z272" s="191"/>
      <c r="AA272" s="97"/>
      <c r="AB272" s="192"/>
    </row>
    <row r="273" spans="1:28">
      <c r="A273" s="116"/>
      <c r="B273" s="116"/>
      <c r="C273" s="116">
        <v>0</v>
      </c>
      <c r="D273" s="3"/>
      <c r="E273" s="183"/>
      <c r="F273" s="209"/>
      <c r="G273" s="209"/>
      <c r="H273" s="183"/>
      <c r="I273" s="183"/>
      <c r="J273" s="183"/>
      <c r="K273" s="183"/>
      <c r="L273" s="183"/>
      <c r="M273" s="184"/>
      <c r="N273" s="184"/>
      <c r="O273" s="185"/>
      <c r="P273" s="186"/>
      <c r="Q273" s="186"/>
      <c r="R273" s="187"/>
      <c r="S273" s="187"/>
      <c r="T273" s="184"/>
      <c r="U273" s="184"/>
      <c r="V273" s="188"/>
      <c r="W273" s="189"/>
      <c r="X273" s="190"/>
      <c r="Y273" s="185"/>
      <c r="Z273" s="191"/>
      <c r="AA273" s="97"/>
      <c r="AB273" s="192"/>
    </row>
    <row r="274" spans="1:28">
      <c r="A274" s="116"/>
      <c r="B274" s="116" t="s">
        <v>983</v>
      </c>
      <c r="C274" s="116">
        <v>2</v>
      </c>
      <c r="D274" s="3"/>
      <c r="E274" s="183"/>
      <c r="F274" s="209"/>
      <c r="G274" s="209"/>
      <c r="H274" s="183"/>
      <c r="I274" s="183"/>
      <c r="J274" s="183"/>
      <c r="K274" s="183"/>
      <c r="L274" s="183"/>
      <c r="M274" s="184"/>
      <c r="N274" s="184"/>
      <c r="O274" s="185"/>
      <c r="P274" s="186"/>
      <c r="Q274" s="186"/>
      <c r="R274" s="187"/>
      <c r="S274" s="187"/>
      <c r="T274" s="184"/>
      <c r="U274" s="184"/>
      <c r="V274" s="188"/>
      <c r="W274" s="189"/>
      <c r="X274" s="190"/>
      <c r="Y274" s="185"/>
      <c r="Z274" s="191"/>
      <c r="AA274" s="97"/>
      <c r="AB274" s="192"/>
    </row>
    <row r="275" spans="1:28">
      <c r="A275" s="116"/>
      <c r="B275" s="116"/>
      <c r="C275" s="116">
        <v>3</v>
      </c>
      <c r="D275" s="3"/>
      <c r="E275" s="208"/>
      <c r="F275" s="209"/>
      <c r="G275" s="209"/>
      <c r="H275" s="183"/>
      <c r="I275" s="183"/>
      <c r="J275" s="183"/>
      <c r="K275" s="183"/>
      <c r="L275" s="183"/>
      <c r="M275" s="184"/>
      <c r="N275" s="184"/>
      <c r="O275" s="185"/>
      <c r="P275" s="186"/>
      <c r="Q275" s="186"/>
      <c r="R275" s="187"/>
      <c r="S275" s="187"/>
      <c r="T275" s="184"/>
      <c r="U275" s="184"/>
      <c r="V275" s="188"/>
      <c r="W275" s="189"/>
      <c r="X275" s="190"/>
      <c r="Y275" s="185"/>
      <c r="Z275" s="191"/>
      <c r="AA275" s="97"/>
      <c r="AB275" s="192"/>
    </row>
    <row r="276" spans="1:28">
      <c r="A276" s="116"/>
      <c r="B276" s="116"/>
      <c r="C276" s="116">
        <v>3</v>
      </c>
      <c r="D276" s="3"/>
      <c r="E276" s="208"/>
      <c r="F276" s="209"/>
      <c r="G276" s="209"/>
      <c r="H276" s="183"/>
      <c r="I276" s="183"/>
      <c r="J276" s="183"/>
      <c r="K276" s="183"/>
      <c r="L276" s="183"/>
      <c r="M276" s="184"/>
      <c r="N276" s="184"/>
      <c r="O276" s="185"/>
      <c r="P276" s="186"/>
      <c r="Q276" s="186"/>
      <c r="R276" s="187"/>
      <c r="S276" s="187"/>
      <c r="T276" s="184"/>
      <c r="U276" s="184"/>
      <c r="V276" s="188"/>
      <c r="W276" s="189"/>
      <c r="X276" s="190"/>
      <c r="Y276" s="185"/>
      <c r="Z276" s="191"/>
      <c r="AA276" s="97"/>
      <c r="AB276" s="192"/>
    </row>
    <row r="277" spans="1:28">
      <c r="A277" s="116"/>
      <c r="B277" s="116"/>
      <c r="C277" s="116">
        <v>0</v>
      </c>
      <c r="D277" s="3"/>
      <c r="E277" s="183"/>
      <c r="F277" s="209"/>
      <c r="G277" s="209"/>
      <c r="H277" s="183"/>
      <c r="I277" s="183"/>
      <c r="J277" s="183"/>
      <c r="K277" s="183"/>
      <c r="L277" s="183"/>
      <c r="M277" s="184"/>
      <c r="N277" s="184"/>
      <c r="O277" s="185"/>
      <c r="P277" s="186"/>
      <c r="Q277" s="186"/>
      <c r="R277" s="187"/>
      <c r="S277" s="187"/>
      <c r="T277" s="184"/>
      <c r="U277" s="184"/>
      <c r="V277" s="188"/>
      <c r="W277" s="189"/>
      <c r="X277" s="190"/>
      <c r="Y277" s="185"/>
      <c r="Z277" s="191"/>
      <c r="AA277" s="97"/>
      <c r="AB277" s="192"/>
    </row>
    <row r="278" spans="1:28">
      <c r="A278" s="116"/>
      <c r="B278" s="116" t="s">
        <v>983</v>
      </c>
      <c r="C278" s="116">
        <v>2</v>
      </c>
      <c r="D278" s="3"/>
      <c r="E278" s="183"/>
      <c r="F278" s="209"/>
      <c r="G278" s="209"/>
      <c r="H278" s="183"/>
      <c r="I278" s="183"/>
      <c r="J278" s="183"/>
      <c r="K278" s="183"/>
      <c r="L278" s="183"/>
      <c r="M278" s="184"/>
      <c r="N278" s="184"/>
      <c r="O278" s="185"/>
      <c r="P278" s="186"/>
      <c r="Q278" s="186"/>
      <c r="R278" s="187"/>
      <c r="S278" s="187"/>
      <c r="T278" s="184"/>
      <c r="U278" s="184"/>
      <c r="V278" s="188"/>
      <c r="W278" s="189"/>
      <c r="X278" s="190"/>
      <c r="Y278" s="185"/>
      <c r="Z278" s="191"/>
      <c r="AA278" s="97"/>
      <c r="AB278" s="192"/>
    </row>
    <row r="279" spans="1:28">
      <c r="A279" s="116"/>
      <c r="B279" s="116"/>
      <c r="C279" s="116">
        <v>3</v>
      </c>
      <c r="D279" s="3"/>
      <c r="E279" s="208"/>
      <c r="F279" s="209"/>
      <c r="G279" s="209"/>
      <c r="H279" s="183"/>
      <c r="I279" s="183"/>
      <c r="J279" s="183"/>
      <c r="K279" s="183"/>
      <c r="L279" s="183"/>
      <c r="M279" s="184"/>
      <c r="N279" s="184"/>
      <c r="O279" s="185"/>
      <c r="P279" s="186"/>
      <c r="Q279" s="186"/>
      <c r="R279" s="187"/>
      <c r="S279" s="187"/>
      <c r="T279" s="184"/>
      <c r="U279" s="184"/>
      <c r="V279" s="188"/>
      <c r="W279" s="189"/>
      <c r="X279" s="190"/>
      <c r="Y279" s="185"/>
      <c r="Z279" s="191"/>
      <c r="AA279" s="97"/>
      <c r="AB279" s="192"/>
    </row>
    <row r="280" spans="1:28">
      <c r="A280" s="116"/>
      <c r="B280" s="116"/>
      <c r="C280" s="116">
        <v>3</v>
      </c>
      <c r="D280" s="3"/>
      <c r="E280" s="208"/>
      <c r="F280" s="209"/>
      <c r="G280" s="209"/>
      <c r="H280" s="183"/>
      <c r="I280" s="183"/>
      <c r="J280" s="183"/>
      <c r="K280" s="183"/>
      <c r="L280" s="183"/>
      <c r="M280" s="184"/>
      <c r="N280" s="184"/>
      <c r="O280" s="185"/>
      <c r="P280" s="186"/>
      <c r="Q280" s="186"/>
      <c r="R280" s="187"/>
      <c r="S280" s="187"/>
      <c r="T280" s="184"/>
      <c r="U280" s="184"/>
      <c r="V280" s="188"/>
      <c r="W280" s="189"/>
      <c r="X280" s="190"/>
      <c r="Y280" s="185"/>
      <c r="Z280" s="191"/>
      <c r="AA280" s="97"/>
      <c r="AB280" s="192"/>
    </row>
    <row r="281" spans="1:28">
      <c r="A281" s="116"/>
      <c r="B281" s="116"/>
      <c r="C281" s="116">
        <v>0</v>
      </c>
      <c r="D281" s="3"/>
      <c r="E281" s="183"/>
      <c r="F281" s="209"/>
      <c r="G281" s="209"/>
      <c r="H281" s="183"/>
      <c r="I281" s="183"/>
      <c r="J281" s="183"/>
      <c r="K281" s="183"/>
      <c r="L281" s="183"/>
      <c r="M281" s="184"/>
      <c r="N281" s="184"/>
      <c r="O281" s="185"/>
      <c r="P281" s="186"/>
      <c r="Q281" s="186"/>
      <c r="R281" s="187"/>
      <c r="S281" s="187"/>
      <c r="T281" s="184"/>
      <c r="U281" s="184"/>
      <c r="V281" s="188"/>
      <c r="W281" s="189"/>
      <c r="X281" s="190"/>
      <c r="Y281" s="185"/>
      <c r="Z281" s="191"/>
      <c r="AA281" s="97"/>
      <c r="AB281" s="192"/>
    </row>
    <row r="282" spans="1:28">
      <c r="A282" s="116"/>
      <c r="B282" s="116" t="s">
        <v>983</v>
      </c>
      <c r="C282" s="116">
        <v>2</v>
      </c>
      <c r="D282" s="3"/>
      <c r="E282" s="183"/>
      <c r="F282" s="209"/>
      <c r="G282" s="209"/>
      <c r="H282" s="183"/>
      <c r="I282" s="183"/>
      <c r="J282" s="183"/>
      <c r="K282" s="183"/>
      <c r="L282" s="183"/>
      <c r="M282" s="184"/>
      <c r="N282" s="184"/>
      <c r="O282" s="185"/>
      <c r="P282" s="186"/>
      <c r="Q282" s="186"/>
      <c r="R282" s="187"/>
      <c r="S282" s="187"/>
      <c r="T282" s="184"/>
      <c r="U282" s="184"/>
      <c r="V282" s="188"/>
      <c r="W282" s="189"/>
      <c r="X282" s="190"/>
      <c r="Y282" s="185"/>
      <c r="Z282" s="191"/>
      <c r="AA282" s="97"/>
      <c r="AB282" s="192"/>
    </row>
    <row r="283" spans="1:28">
      <c r="A283" s="116"/>
      <c r="B283" s="116"/>
      <c r="C283" s="116">
        <v>3</v>
      </c>
      <c r="D283" s="3"/>
      <c r="E283" s="208"/>
      <c r="F283" s="209"/>
      <c r="G283" s="209"/>
      <c r="H283" s="183"/>
      <c r="I283" s="183"/>
      <c r="J283" s="183"/>
      <c r="K283" s="183"/>
      <c r="L283" s="183"/>
      <c r="M283" s="184"/>
      <c r="N283" s="184"/>
      <c r="O283" s="185"/>
      <c r="P283" s="186"/>
      <c r="Q283" s="186"/>
      <c r="R283" s="187"/>
      <c r="S283" s="187"/>
      <c r="T283" s="184"/>
      <c r="U283" s="184"/>
      <c r="V283" s="188"/>
      <c r="W283" s="189"/>
      <c r="X283" s="190"/>
      <c r="Y283" s="185"/>
      <c r="Z283" s="191"/>
      <c r="AA283" s="97"/>
      <c r="AB283" s="192"/>
    </row>
    <row r="284" spans="1:28">
      <c r="A284" s="116"/>
      <c r="B284" s="116"/>
      <c r="C284" s="116">
        <v>3</v>
      </c>
      <c r="D284" s="3"/>
      <c r="E284" s="208"/>
      <c r="F284" s="209"/>
      <c r="G284" s="209"/>
      <c r="H284" s="183"/>
      <c r="I284" s="183"/>
      <c r="J284" s="183"/>
      <c r="K284" s="183"/>
      <c r="L284" s="183"/>
      <c r="M284" s="184"/>
      <c r="N284" s="184"/>
      <c r="O284" s="185"/>
      <c r="P284" s="186"/>
      <c r="Q284" s="186"/>
      <c r="R284" s="187"/>
      <c r="S284" s="187"/>
      <c r="T284" s="184"/>
      <c r="U284" s="184"/>
      <c r="V284" s="188"/>
      <c r="W284" s="189"/>
      <c r="X284" s="190"/>
      <c r="Y284" s="185"/>
      <c r="Z284" s="191"/>
      <c r="AA284" s="97"/>
      <c r="AB284" s="192"/>
    </row>
    <row r="285" spans="1:28">
      <c r="A285" s="116"/>
      <c r="B285" s="116"/>
      <c r="C285" s="116">
        <v>0</v>
      </c>
      <c r="D285" s="3"/>
      <c r="E285" s="183"/>
      <c r="F285" s="209"/>
      <c r="G285" s="209"/>
      <c r="H285" s="183"/>
      <c r="I285" s="183"/>
      <c r="J285" s="183"/>
      <c r="K285" s="183"/>
      <c r="L285" s="183"/>
      <c r="M285" s="184"/>
      <c r="N285" s="184"/>
      <c r="O285" s="185"/>
      <c r="P285" s="186"/>
      <c r="Q285" s="186"/>
      <c r="R285" s="187"/>
      <c r="S285" s="187"/>
      <c r="T285" s="184"/>
      <c r="U285" s="184"/>
      <c r="V285" s="188"/>
      <c r="W285" s="189"/>
      <c r="X285" s="190"/>
      <c r="Y285" s="185"/>
      <c r="Z285" s="191"/>
      <c r="AA285" s="97"/>
      <c r="AB285" s="192"/>
    </row>
    <row r="286" spans="1:28">
      <c r="A286" s="116"/>
      <c r="B286" s="116" t="s">
        <v>983</v>
      </c>
      <c r="C286" s="116">
        <v>2</v>
      </c>
      <c r="D286" s="3"/>
      <c r="E286" s="183"/>
      <c r="F286" s="209"/>
      <c r="G286" s="209"/>
      <c r="H286" s="183"/>
      <c r="I286" s="183"/>
      <c r="J286" s="183"/>
      <c r="K286" s="183"/>
      <c r="L286" s="183"/>
      <c r="M286" s="184"/>
      <c r="N286" s="184"/>
      <c r="O286" s="185"/>
      <c r="P286" s="186"/>
      <c r="Q286" s="186"/>
      <c r="R286" s="187"/>
      <c r="S286" s="187"/>
      <c r="T286" s="184"/>
      <c r="U286" s="184"/>
      <c r="V286" s="188"/>
      <c r="W286" s="189"/>
      <c r="X286" s="190"/>
      <c r="Y286" s="185"/>
      <c r="Z286" s="191"/>
      <c r="AA286" s="97"/>
      <c r="AB286" s="192"/>
    </row>
    <row r="287" spans="1:28">
      <c r="A287" s="116"/>
      <c r="B287" s="116"/>
      <c r="C287" s="116">
        <v>3</v>
      </c>
      <c r="D287" s="3"/>
      <c r="E287" s="208"/>
      <c r="F287" s="209"/>
      <c r="G287" s="209"/>
      <c r="H287" s="183"/>
      <c r="I287" s="183"/>
      <c r="J287" s="183"/>
      <c r="K287" s="183"/>
      <c r="L287" s="183"/>
      <c r="M287" s="184"/>
      <c r="N287" s="184"/>
      <c r="O287" s="185"/>
      <c r="P287" s="186"/>
      <c r="Q287" s="186"/>
      <c r="R287" s="187"/>
      <c r="S287" s="187"/>
      <c r="T287" s="184"/>
      <c r="U287" s="184"/>
      <c r="V287" s="188"/>
      <c r="W287" s="189"/>
      <c r="X287" s="190"/>
      <c r="Y287" s="185"/>
      <c r="Z287" s="191"/>
      <c r="AA287" s="97"/>
      <c r="AB287" s="192"/>
    </row>
    <row r="288" spans="1:28">
      <c r="A288" s="116"/>
      <c r="B288" s="116"/>
      <c r="C288" s="116">
        <v>3</v>
      </c>
      <c r="D288" s="3"/>
      <c r="E288" s="208"/>
      <c r="F288" s="209"/>
      <c r="G288" s="209"/>
      <c r="H288" s="183"/>
      <c r="I288" s="183"/>
      <c r="J288" s="183"/>
      <c r="K288" s="183"/>
      <c r="L288" s="183"/>
      <c r="M288" s="184"/>
      <c r="N288" s="184"/>
      <c r="O288" s="185"/>
      <c r="P288" s="186"/>
      <c r="Q288" s="186"/>
      <c r="R288" s="187"/>
      <c r="S288" s="187"/>
      <c r="T288" s="184"/>
      <c r="U288" s="184"/>
      <c r="V288" s="188"/>
      <c r="W288" s="189"/>
      <c r="X288" s="190"/>
      <c r="Y288" s="185"/>
      <c r="Z288" s="191"/>
      <c r="AA288" s="97"/>
      <c r="AB288" s="192"/>
    </row>
    <row r="289" spans="1:28">
      <c r="A289" s="116"/>
      <c r="B289" s="116"/>
      <c r="C289" s="116">
        <v>0</v>
      </c>
      <c r="D289" s="3"/>
      <c r="E289" s="183"/>
      <c r="F289" s="209"/>
      <c r="G289" s="209"/>
      <c r="H289" s="183"/>
      <c r="I289" s="183"/>
      <c r="J289" s="183"/>
      <c r="K289" s="183"/>
      <c r="L289" s="183"/>
      <c r="M289" s="184"/>
      <c r="N289" s="184"/>
      <c r="O289" s="185"/>
      <c r="P289" s="186"/>
      <c r="Q289" s="186"/>
      <c r="R289" s="187"/>
      <c r="S289" s="187"/>
      <c r="T289" s="184"/>
      <c r="U289" s="184"/>
      <c r="V289" s="188"/>
      <c r="W289" s="189"/>
      <c r="X289" s="190"/>
      <c r="Y289" s="185"/>
      <c r="Z289" s="191"/>
      <c r="AA289" s="97"/>
      <c r="AB289" s="192"/>
    </row>
    <row r="290" spans="1:28">
      <c r="A290" s="116"/>
      <c r="B290" s="116" t="s">
        <v>983</v>
      </c>
      <c r="C290" s="116">
        <v>2</v>
      </c>
      <c r="D290" s="3"/>
      <c r="E290" s="183"/>
      <c r="F290" s="209"/>
      <c r="G290" s="209"/>
      <c r="H290" s="183"/>
      <c r="I290" s="183"/>
      <c r="J290" s="183"/>
      <c r="K290" s="183"/>
      <c r="L290" s="183"/>
      <c r="M290" s="184"/>
      <c r="N290" s="184"/>
      <c r="O290" s="185"/>
      <c r="P290" s="186"/>
      <c r="Q290" s="186"/>
      <c r="R290" s="187"/>
      <c r="S290" s="187"/>
      <c r="T290" s="184"/>
      <c r="U290" s="184"/>
      <c r="V290" s="188"/>
      <c r="W290" s="189"/>
      <c r="X290" s="190"/>
      <c r="Y290" s="185"/>
      <c r="Z290" s="191"/>
      <c r="AA290" s="97"/>
      <c r="AB290" s="192"/>
    </row>
    <row r="291" spans="1:28">
      <c r="A291" s="116"/>
      <c r="B291" s="116"/>
      <c r="C291" s="116">
        <v>3</v>
      </c>
      <c r="D291" s="3"/>
      <c r="E291" s="208"/>
      <c r="F291" s="209"/>
      <c r="G291" s="209"/>
      <c r="H291" s="183"/>
      <c r="I291" s="183"/>
      <c r="J291" s="183"/>
      <c r="K291" s="183"/>
      <c r="L291" s="183"/>
      <c r="M291" s="184"/>
      <c r="N291" s="184"/>
      <c r="O291" s="185"/>
      <c r="P291" s="186"/>
      <c r="Q291" s="186"/>
      <c r="R291" s="187"/>
      <c r="S291" s="187"/>
      <c r="T291" s="184"/>
      <c r="U291" s="184"/>
      <c r="V291" s="188"/>
      <c r="W291" s="189"/>
      <c r="X291" s="190"/>
      <c r="Y291" s="185"/>
      <c r="Z291" s="191"/>
      <c r="AA291" s="97"/>
      <c r="AB291" s="192"/>
    </row>
    <row r="292" spans="1:28">
      <c r="A292" s="116"/>
      <c r="B292" s="116"/>
      <c r="C292" s="116">
        <v>3</v>
      </c>
      <c r="D292" s="3"/>
      <c r="E292" s="208"/>
      <c r="F292" s="209"/>
      <c r="G292" s="209"/>
      <c r="H292" s="183"/>
      <c r="I292" s="183"/>
      <c r="J292" s="183"/>
      <c r="K292" s="183"/>
      <c r="L292" s="183"/>
      <c r="M292" s="184"/>
      <c r="N292" s="184"/>
      <c r="O292" s="185"/>
      <c r="P292" s="186"/>
      <c r="Q292" s="186"/>
      <c r="R292" s="187"/>
      <c r="S292" s="187"/>
      <c r="T292" s="184"/>
      <c r="U292" s="184"/>
      <c r="V292" s="188"/>
      <c r="W292" s="189"/>
      <c r="X292" s="190"/>
      <c r="Y292" s="185"/>
      <c r="Z292" s="191"/>
      <c r="AA292" s="97"/>
      <c r="AB292" s="192"/>
    </row>
    <row r="293" spans="1:28">
      <c r="A293" s="116"/>
      <c r="B293" s="116"/>
      <c r="C293" s="116">
        <v>0</v>
      </c>
      <c r="D293" s="3"/>
      <c r="E293" s="183"/>
      <c r="F293" s="209"/>
      <c r="G293" s="209"/>
      <c r="H293" s="183"/>
      <c r="I293" s="183"/>
      <c r="J293" s="183"/>
      <c r="K293" s="183"/>
      <c r="L293" s="183"/>
      <c r="M293" s="184"/>
      <c r="N293" s="184"/>
      <c r="O293" s="185"/>
      <c r="P293" s="186"/>
      <c r="Q293" s="186"/>
      <c r="R293" s="187"/>
      <c r="S293" s="187"/>
      <c r="T293" s="184"/>
      <c r="U293" s="184"/>
      <c r="V293" s="188"/>
      <c r="W293" s="189"/>
      <c r="X293" s="190"/>
      <c r="Y293" s="185"/>
      <c r="Z293" s="191"/>
      <c r="AA293" s="97"/>
      <c r="AB293" s="192"/>
    </row>
    <row r="294" spans="1:28">
      <c r="A294" s="116"/>
      <c r="B294" s="116" t="s">
        <v>983</v>
      </c>
      <c r="C294" s="116">
        <v>2</v>
      </c>
      <c r="D294" s="3"/>
      <c r="E294" s="183"/>
      <c r="F294" s="209"/>
      <c r="G294" s="209"/>
      <c r="H294" s="183"/>
      <c r="I294" s="183"/>
      <c r="J294" s="183"/>
      <c r="K294" s="183"/>
      <c r="L294" s="183"/>
      <c r="M294" s="184"/>
      <c r="N294" s="184"/>
      <c r="O294" s="185"/>
      <c r="P294" s="186"/>
      <c r="Q294" s="186"/>
      <c r="R294" s="187"/>
      <c r="S294" s="187"/>
      <c r="T294" s="184"/>
      <c r="U294" s="184"/>
      <c r="V294" s="188"/>
      <c r="W294" s="189"/>
      <c r="X294" s="190"/>
      <c r="Y294" s="185"/>
      <c r="Z294" s="191"/>
      <c r="AA294" s="97"/>
      <c r="AB294" s="192"/>
    </row>
    <row r="295" spans="1:28">
      <c r="A295" s="116"/>
      <c r="B295" s="116"/>
      <c r="C295" s="116">
        <v>3</v>
      </c>
      <c r="D295" s="3"/>
      <c r="E295" s="208"/>
      <c r="F295" s="209"/>
      <c r="G295" s="209"/>
      <c r="H295" s="183"/>
      <c r="I295" s="183"/>
      <c r="J295" s="183"/>
      <c r="K295" s="183"/>
      <c r="L295" s="183"/>
      <c r="M295" s="184"/>
      <c r="N295" s="184"/>
      <c r="O295" s="185"/>
      <c r="P295" s="186"/>
      <c r="Q295" s="186"/>
      <c r="R295" s="187"/>
      <c r="S295" s="187"/>
      <c r="T295" s="184"/>
      <c r="U295" s="184"/>
      <c r="V295" s="188"/>
      <c r="W295" s="189"/>
      <c r="X295" s="190"/>
      <c r="Y295" s="185"/>
      <c r="Z295" s="191"/>
      <c r="AA295" s="97"/>
      <c r="AB295" s="192"/>
    </row>
    <row r="296" spans="1:28">
      <c r="A296" s="116"/>
      <c r="B296" s="116"/>
      <c r="C296" s="116">
        <v>3</v>
      </c>
      <c r="D296" s="3"/>
      <c r="E296" s="208"/>
      <c r="F296" s="209"/>
      <c r="G296" s="209"/>
      <c r="H296" s="183"/>
      <c r="I296" s="183"/>
      <c r="J296" s="183"/>
      <c r="K296" s="183"/>
      <c r="L296" s="183"/>
      <c r="M296" s="184"/>
      <c r="N296" s="184"/>
      <c r="O296" s="185"/>
      <c r="P296" s="186"/>
      <c r="Q296" s="186"/>
      <c r="R296" s="187"/>
      <c r="S296" s="187"/>
      <c r="T296" s="184"/>
      <c r="U296" s="184"/>
      <c r="V296" s="188"/>
      <c r="W296" s="189"/>
      <c r="X296" s="190"/>
      <c r="Y296" s="185"/>
      <c r="Z296" s="191"/>
      <c r="AA296" s="97"/>
      <c r="AB296" s="192"/>
    </row>
    <row r="297" spans="1:28">
      <c r="A297" s="116"/>
      <c r="B297" s="116"/>
      <c r="C297" s="116">
        <v>0</v>
      </c>
      <c r="D297" s="3"/>
      <c r="E297" s="183"/>
      <c r="F297" s="209"/>
      <c r="G297" s="209"/>
      <c r="H297" s="183"/>
      <c r="I297" s="183"/>
      <c r="J297" s="183"/>
      <c r="K297" s="183"/>
      <c r="L297" s="183"/>
      <c r="M297" s="184"/>
      <c r="N297" s="184"/>
      <c r="O297" s="185"/>
      <c r="P297" s="186"/>
      <c r="Q297" s="186"/>
      <c r="R297" s="187"/>
      <c r="S297" s="187"/>
      <c r="T297" s="184"/>
      <c r="U297" s="184"/>
      <c r="V297" s="188"/>
      <c r="W297" s="189"/>
      <c r="X297" s="190"/>
      <c r="Y297" s="185"/>
      <c r="Z297" s="191"/>
      <c r="AA297" s="97"/>
      <c r="AB297" s="192"/>
    </row>
    <row r="298" spans="1:28">
      <c r="A298" s="116"/>
      <c r="B298" s="116" t="s">
        <v>983</v>
      </c>
      <c r="C298" s="116">
        <v>2</v>
      </c>
      <c r="D298" s="3"/>
      <c r="E298" s="183"/>
      <c r="F298" s="209"/>
      <c r="G298" s="209"/>
      <c r="H298" s="183"/>
      <c r="I298" s="183"/>
      <c r="J298" s="183"/>
      <c r="K298" s="183"/>
      <c r="L298" s="183"/>
      <c r="M298" s="184"/>
      <c r="N298" s="184"/>
      <c r="O298" s="185"/>
      <c r="P298" s="186"/>
      <c r="Q298" s="186"/>
      <c r="R298" s="187"/>
      <c r="S298" s="187"/>
      <c r="T298" s="184"/>
      <c r="U298" s="184"/>
      <c r="V298" s="188"/>
      <c r="W298" s="189"/>
      <c r="X298" s="190"/>
      <c r="Y298" s="185"/>
      <c r="Z298" s="191"/>
      <c r="AA298" s="97"/>
      <c r="AB298" s="192"/>
    </row>
    <row r="299" spans="1:28">
      <c r="A299" s="116"/>
      <c r="B299" s="116"/>
      <c r="C299" s="116">
        <v>3</v>
      </c>
      <c r="D299" s="3"/>
      <c r="E299" s="208"/>
      <c r="F299" s="209"/>
      <c r="G299" s="209"/>
      <c r="H299" s="183"/>
      <c r="I299" s="183"/>
      <c r="J299" s="183"/>
      <c r="K299" s="183"/>
      <c r="L299" s="183"/>
      <c r="M299" s="184"/>
      <c r="N299" s="184"/>
      <c r="O299" s="185"/>
      <c r="P299" s="186"/>
      <c r="Q299" s="186"/>
      <c r="R299" s="187"/>
      <c r="S299" s="187"/>
      <c r="T299" s="184"/>
      <c r="U299" s="184"/>
      <c r="V299" s="188"/>
      <c r="W299" s="189"/>
      <c r="X299" s="190"/>
      <c r="Y299" s="185"/>
      <c r="Z299" s="191"/>
      <c r="AA299" s="97"/>
      <c r="AB299" s="192"/>
    </row>
    <row r="300" spans="1:28">
      <c r="A300" s="116"/>
      <c r="B300" s="116"/>
      <c r="C300" s="116">
        <v>3</v>
      </c>
      <c r="D300" s="3"/>
      <c r="E300" s="208"/>
      <c r="F300" s="209"/>
      <c r="G300" s="209"/>
      <c r="H300" s="183"/>
      <c r="I300" s="183"/>
      <c r="J300" s="183"/>
      <c r="K300" s="183"/>
      <c r="L300" s="183"/>
      <c r="M300" s="184"/>
      <c r="N300" s="184"/>
      <c r="O300" s="185"/>
      <c r="P300" s="186"/>
      <c r="Q300" s="186"/>
      <c r="R300" s="187"/>
      <c r="S300" s="187"/>
      <c r="T300" s="184"/>
      <c r="U300" s="184"/>
      <c r="V300" s="188"/>
      <c r="W300" s="189"/>
      <c r="X300" s="190"/>
      <c r="Y300" s="185"/>
      <c r="Z300" s="191"/>
      <c r="AA300" s="97"/>
      <c r="AB300" s="192"/>
    </row>
    <row r="301" spans="1:28">
      <c r="A301" s="116"/>
      <c r="B301" s="116"/>
      <c r="C301" s="116">
        <v>0</v>
      </c>
      <c r="D301" s="3"/>
      <c r="E301" s="183"/>
      <c r="F301" s="209"/>
      <c r="G301" s="209"/>
      <c r="H301" s="183"/>
      <c r="I301" s="183"/>
      <c r="J301" s="183"/>
      <c r="K301" s="183"/>
      <c r="L301" s="183"/>
      <c r="M301" s="184"/>
      <c r="N301" s="184"/>
      <c r="O301" s="185"/>
      <c r="P301" s="186"/>
      <c r="Q301" s="186"/>
      <c r="R301" s="187"/>
      <c r="S301" s="187"/>
      <c r="T301" s="184"/>
      <c r="U301" s="184"/>
      <c r="V301" s="188"/>
      <c r="W301" s="189"/>
      <c r="X301" s="190"/>
      <c r="Y301" s="185"/>
      <c r="Z301" s="191"/>
      <c r="AA301" s="97"/>
      <c r="AB301" s="192"/>
    </row>
    <row r="302" spans="1:28">
      <c r="A302" s="116"/>
      <c r="B302" s="116" t="s">
        <v>983</v>
      </c>
      <c r="C302" s="116">
        <v>2</v>
      </c>
      <c r="D302" s="3"/>
      <c r="E302" s="183"/>
      <c r="F302" s="209"/>
      <c r="G302" s="209"/>
      <c r="H302" s="183"/>
      <c r="I302" s="183"/>
      <c r="J302" s="183"/>
      <c r="K302" s="183"/>
      <c r="L302" s="183"/>
      <c r="M302" s="184"/>
      <c r="N302" s="184"/>
      <c r="O302" s="185"/>
      <c r="P302" s="186"/>
      <c r="Q302" s="186"/>
      <c r="R302" s="187"/>
      <c r="S302" s="187"/>
      <c r="T302" s="184"/>
      <c r="U302" s="184"/>
      <c r="V302" s="188"/>
      <c r="W302" s="189"/>
      <c r="X302" s="190"/>
      <c r="Y302" s="185"/>
      <c r="Z302" s="191"/>
      <c r="AA302" s="97"/>
      <c r="AB302" s="192"/>
    </row>
    <row r="303" spans="1:28">
      <c r="A303" s="116"/>
      <c r="B303" s="116"/>
      <c r="C303" s="116">
        <v>3</v>
      </c>
      <c r="D303" s="3"/>
      <c r="E303" s="208"/>
      <c r="F303" s="209"/>
      <c r="G303" s="209"/>
      <c r="H303" s="183"/>
      <c r="I303" s="183"/>
      <c r="J303" s="183"/>
      <c r="K303" s="183"/>
      <c r="L303" s="183"/>
      <c r="M303" s="184"/>
      <c r="N303" s="184"/>
      <c r="O303" s="185"/>
      <c r="P303" s="186"/>
      <c r="Q303" s="186"/>
      <c r="R303" s="187"/>
      <c r="S303" s="187"/>
      <c r="T303" s="184"/>
      <c r="U303" s="184"/>
      <c r="V303" s="188"/>
      <c r="W303" s="189"/>
      <c r="X303" s="190"/>
      <c r="Y303" s="185"/>
      <c r="Z303" s="191"/>
      <c r="AA303" s="97"/>
      <c r="AB303" s="192"/>
    </row>
    <row r="304" spans="1:28">
      <c r="A304" s="116"/>
      <c r="B304" s="116"/>
      <c r="C304" s="116">
        <v>3</v>
      </c>
      <c r="D304" s="3"/>
      <c r="E304" s="208"/>
      <c r="F304" s="209"/>
      <c r="G304" s="209"/>
      <c r="H304" s="183"/>
      <c r="I304" s="183"/>
      <c r="J304" s="183"/>
      <c r="K304" s="183"/>
      <c r="L304" s="183"/>
      <c r="M304" s="184"/>
      <c r="N304" s="184"/>
      <c r="O304" s="185"/>
      <c r="P304" s="186"/>
      <c r="Q304" s="186"/>
      <c r="R304" s="187"/>
      <c r="S304" s="187"/>
      <c r="T304" s="184"/>
      <c r="U304" s="184"/>
      <c r="V304" s="188"/>
      <c r="W304" s="189"/>
      <c r="X304" s="190"/>
      <c r="Y304" s="185"/>
      <c r="Z304" s="191"/>
      <c r="AA304" s="97"/>
      <c r="AB304" s="192"/>
    </row>
    <row r="305" spans="1:28">
      <c r="A305" s="116"/>
      <c r="B305" s="116"/>
      <c r="C305" s="116">
        <v>0</v>
      </c>
      <c r="D305" s="3"/>
      <c r="E305" s="183"/>
      <c r="F305" s="209"/>
      <c r="G305" s="209"/>
      <c r="H305" s="183"/>
      <c r="I305" s="183"/>
      <c r="J305" s="183"/>
      <c r="K305" s="183"/>
      <c r="L305" s="183"/>
      <c r="M305" s="184"/>
      <c r="N305" s="184"/>
      <c r="O305" s="185"/>
      <c r="P305" s="186"/>
      <c r="Q305" s="186"/>
      <c r="R305" s="187"/>
      <c r="S305" s="187"/>
      <c r="T305" s="184"/>
      <c r="U305" s="184"/>
      <c r="V305" s="188"/>
      <c r="W305" s="189"/>
      <c r="X305" s="190"/>
      <c r="Y305" s="185"/>
      <c r="Z305" s="191"/>
      <c r="AA305" s="97"/>
      <c r="AB305" s="192"/>
    </row>
    <row r="306" spans="1:28">
      <c r="A306" s="116"/>
      <c r="B306" s="116" t="s">
        <v>983</v>
      </c>
      <c r="C306" s="116">
        <v>2</v>
      </c>
      <c r="D306" s="3"/>
      <c r="E306" s="183"/>
      <c r="F306" s="209"/>
      <c r="G306" s="209"/>
      <c r="H306" s="183"/>
      <c r="I306" s="183"/>
      <c r="J306" s="183"/>
      <c r="K306" s="183"/>
      <c r="L306" s="183"/>
      <c r="M306" s="184"/>
      <c r="N306" s="184"/>
      <c r="O306" s="185"/>
      <c r="P306" s="186"/>
      <c r="Q306" s="186"/>
      <c r="R306" s="187"/>
      <c r="S306" s="187"/>
      <c r="T306" s="184"/>
      <c r="U306" s="184"/>
      <c r="V306" s="188"/>
      <c r="W306" s="189"/>
      <c r="X306" s="190"/>
      <c r="Y306" s="185"/>
      <c r="Z306" s="191"/>
      <c r="AA306" s="97"/>
      <c r="AB306" s="192"/>
    </row>
    <row r="307" spans="1:28">
      <c r="A307" s="116"/>
      <c r="B307" s="116"/>
      <c r="C307" s="116">
        <v>3</v>
      </c>
      <c r="D307" s="3"/>
      <c r="E307" s="208"/>
      <c r="F307" s="209"/>
      <c r="G307" s="209"/>
      <c r="H307" s="183"/>
      <c r="I307" s="183"/>
      <c r="J307" s="183"/>
      <c r="K307" s="183"/>
      <c r="L307" s="183"/>
      <c r="M307" s="184"/>
      <c r="N307" s="184"/>
      <c r="O307" s="185"/>
      <c r="P307" s="186"/>
      <c r="Q307" s="186"/>
      <c r="R307" s="187"/>
      <c r="S307" s="187"/>
      <c r="T307" s="184"/>
      <c r="U307" s="184"/>
      <c r="V307" s="188"/>
      <c r="W307" s="189"/>
      <c r="X307" s="190"/>
      <c r="Y307" s="185"/>
      <c r="Z307" s="191"/>
      <c r="AA307" s="97"/>
      <c r="AB307" s="192"/>
    </row>
    <row r="308" spans="1:28">
      <c r="A308" s="116"/>
      <c r="B308" s="116"/>
      <c r="C308" s="116">
        <v>3</v>
      </c>
      <c r="D308" s="3"/>
      <c r="E308" s="208"/>
      <c r="F308" s="209"/>
      <c r="G308" s="209"/>
      <c r="H308" s="183"/>
      <c r="I308" s="183"/>
      <c r="J308" s="183"/>
      <c r="K308" s="183"/>
      <c r="L308" s="183"/>
      <c r="M308" s="184"/>
      <c r="N308" s="184"/>
      <c r="O308" s="185"/>
      <c r="P308" s="186"/>
      <c r="Q308" s="186"/>
      <c r="R308" s="187"/>
      <c r="S308" s="187"/>
      <c r="T308" s="184"/>
      <c r="U308" s="184"/>
      <c r="V308" s="188"/>
      <c r="W308" s="189"/>
      <c r="X308" s="190"/>
      <c r="Y308" s="185"/>
      <c r="Z308" s="191"/>
      <c r="AA308" s="97"/>
      <c r="AB308" s="192"/>
    </row>
    <row r="309" spans="1:28">
      <c r="A309" s="116"/>
      <c r="B309" s="116"/>
      <c r="C309" s="116">
        <v>0</v>
      </c>
      <c r="D309" s="3"/>
      <c r="E309" s="183"/>
      <c r="F309" s="209"/>
      <c r="G309" s="209"/>
      <c r="H309" s="183"/>
      <c r="I309" s="183"/>
      <c r="J309" s="183"/>
      <c r="K309" s="183"/>
      <c r="L309" s="183"/>
      <c r="M309" s="184"/>
      <c r="N309" s="184"/>
      <c r="O309" s="185"/>
      <c r="P309" s="186"/>
      <c r="Q309" s="186"/>
      <c r="R309" s="187"/>
      <c r="S309" s="187"/>
      <c r="T309" s="184"/>
      <c r="U309" s="184"/>
      <c r="V309" s="188"/>
      <c r="W309" s="189"/>
      <c r="X309" s="190"/>
      <c r="Y309" s="185"/>
      <c r="Z309" s="191"/>
      <c r="AA309" s="97"/>
      <c r="AB309" s="192"/>
    </row>
    <row r="310" spans="1:28">
      <c r="A310" s="116"/>
      <c r="B310" s="116" t="s">
        <v>983</v>
      </c>
      <c r="C310" s="116">
        <v>2</v>
      </c>
      <c r="D310" s="3"/>
      <c r="E310" s="183"/>
      <c r="F310" s="209"/>
      <c r="G310" s="209"/>
      <c r="H310" s="183"/>
      <c r="I310" s="183"/>
      <c r="J310" s="183"/>
      <c r="K310" s="183"/>
      <c r="L310" s="183"/>
      <c r="M310" s="184"/>
      <c r="N310" s="184"/>
      <c r="O310" s="185"/>
      <c r="P310" s="186"/>
      <c r="Q310" s="186"/>
      <c r="R310" s="187"/>
      <c r="S310" s="187"/>
      <c r="T310" s="184"/>
      <c r="U310" s="184"/>
      <c r="V310" s="188"/>
      <c r="W310" s="189"/>
      <c r="X310" s="190"/>
      <c r="Y310" s="185"/>
      <c r="Z310" s="191"/>
      <c r="AA310" s="97"/>
      <c r="AB310" s="192"/>
    </row>
    <row r="311" spans="1:28">
      <c r="A311" s="116"/>
      <c r="B311" s="116"/>
      <c r="C311" s="116">
        <v>3</v>
      </c>
      <c r="D311" s="3"/>
      <c r="E311" s="208"/>
      <c r="F311" s="209"/>
      <c r="G311" s="209"/>
      <c r="H311" s="183"/>
      <c r="I311" s="183"/>
      <c r="J311" s="183"/>
      <c r="K311" s="183"/>
      <c r="L311" s="183"/>
      <c r="M311" s="184"/>
      <c r="N311" s="184"/>
      <c r="O311" s="185"/>
      <c r="P311" s="186"/>
      <c r="Q311" s="186"/>
      <c r="R311" s="187"/>
      <c r="S311" s="187"/>
      <c r="T311" s="184"/>
      <c r="U311" s="184"/>
      <c r="V311" s="188"/>
      <c r="W311" s="189"/>
      <c r="X311" s="190"/>
      <c r="Y311" s="185"/>
      <c r="Z311" s="191"/>
      <c r="AA311" s="97"/>
      <c r="AB311" s="192"/>
    </row>
    <row r="312" spans="1:28">
      <c r="A312" s="116"/>
      <c r="B312" s="116"/>
      <c r="C312" s="116">
        <v>3</v>
      </c>
      <c r="D312" s="3"/>
      <c r="E312" s="208"/>
      <c r="F312" s="209"/>
      <c r="G312" s="209"/>
      <c r="H312" s="183"/>
      <c r="I312" s="183"/>
      <c r="J312" s="183"/>
      <c r="K312" s="183"/>
      <c r="L312" s="183"/>
      <c r="M312" s="184"/>
      <c r="N312" s="184"/>
      <c r="O312" s="185"/>
      <c r="P312" s="186"/>
      <c r="Q312" s="186"/>
      <c r="R312" s="187"/>
      <c r="S312" s="187"/>
      <c r="T312" s="184"/>
      <c r="U312" s="184"/>
      <c r="V312" s="188"/>
      <c r="W312" s="189"/>
      <c r="X312" s="190"/>
      <c r="Y312" s="185"/>
      <c r="Z312" s="191"/>
      <c r="AA312" s="97"/>
      <c r="AB312" s="192"/>
    </row>
    <row r="313" spans="1:28">
      <c r="A313" s="116"/>
      <c r="B313" s="116"/>
      <c r="C313" s="116">
        <v>0</v>
      </c>
      <c r="D313" s="3"/>
      <c r="E313" s="208"/>
      <c r="F313" s="209"/>
      <c r="G313" s="209"/>
      <c r="H313" s="183"/>
      <c r="I313" s="183"/>
      <c r="J313" s="183"/>
      <c r="K313" s="183"/>
      <c r="L313" s="183"/>
      <c r="M313" s="184"/>
      <c r="N313" s="184"/>
      <c r="O313" s="185"/>
      <c r="P313" s="186"/>
      <c r="Q313" s="186"/>
      <c r="R313" s="187"/>
      <c r="S313" s="187"/>
      <c r="T313" s="184"/>
      <c r="U313" s="184"/>
      <c r="V313" s="188"/>
      <c r="W313" s="189"/>
      <c r="X313" s="190"/>
      <c r="Y313" s="185"/>
      <c r="Z313" s="191"/>
      <c r="AA313" s="97"/>
      <c r="AB313" s="192"/>
    </row>
    <row r="314" spans="1:28">
      <c r="A314" s="116"/>
      <c r="B314" s="116" t="s">
        <v>983</v>
      </c>
      <c r="C314" s="116">
        <v>2</v>
      </c>
      <c r="D314" s="3"/>
      <c r="E314" s="183"/>
      <c r="F314" s="209"/>
      <c r="G314" s="209"/>
      <c r="H314" s="183"/>
      <c r="I314" s="183"/>
      <c r="J314" s="183"/>
      <c r="K314" s="183"/>
      <c r="L314" s="183"/>
      <c r="M314" s="184"/>
      <c r="N314" s="184"/>
      <c r="O314" s="185"/>
      <c r="P314" s="186"/>
      <c r="Q314" s="186"/>
      <c r="R314" s="187"/>
      <c r="S314" s="187"/>
      <c r="T314" s="184"/>
      <c r="U314" s="184"/>
      <c r="V314" s="188"/>
      <c r="W314" s="189"/>
      <c r="X314" s="190"/>
      <c r="Y314" s="185"/>
      <c r="Z314" s="191"/>
      <c r="AA314" s="97"/>
      <c r="AB314" s="192"/>
    </row>
    <row r="315" spans="1:28">
      <c r="A315" s="116"/>
      <c r="B315" s="116"/>
      <c r="C315" s="116">
        <v>3</v>
      </c>
      <c r="D315" s="3"/>
      <c r="E315" s="208"/>
      <c r="F315" s="209"/>
      <c r="G315" s="209"/>
      <c r="H315" s="183"/>
      <c r="I315" s="183"/>
      <c r="J315" s="183"/>
      <c r="K315" s="183"/>
      <c r="L315" s="183"/>
      <c r="M315" s="184"/>
      <c r="N315" s="184"/>
      <c r="O315" s="185"/>
      <c r="P315" s="186"/>
      <c r="Q315" s="186"/>
      <c r="R315" s="187"/>
      <c r="S315" s="187"/>
      <c r="T315" s="184"/>
      <c r="U315" s="184"/>
      <c r="V315" s="188"/>
      <c r="W315" s="189"/>
      <c r="X315" s="190"/>
      <c r="Y315" s="185"/>
      <c r="Z315" s="191"/>
      <c r="AA315" s="97"/>
      <c r="AB315" s="192"/>
    </row>
    <row r="316" spans="1:28">
      <c r="A316" s="116"/>
      <c r="B316" s="116"/>
      <c r="C316" s="116">
        <v>3</v>
      </c>
      <c r="D316" s="3"/>
      <c r="E316" s="208"/>
      <c r="F316" s="209"/>
      <c r="G316" s="209"/>
      <c r="H316" s="183"/>
      <c r="I316" s="183"/>
      <c r="J316" s="183"/>
      <c r="K316" s="183"/>
      <c r="L316" s="183"/>
      <c r="M316" s="184"/>
      <c r="N316" s="184"/>
      <c r="O316" s="185"/>
      <c r="P316" s="186"/>
      <c r="Q316" s="186"/>
      <c r="R316" s="187"/>
      <c r="S316" s="187"/>
      <c r="T316" s="184"/>
      <c r="U316" s="184"/>
      <c r="V316" s="188"/>
      <c r="W316" s="189"/>
      <c r="X316" s="190"/>
      <c r="Y316" s="185"/>
      <c r="Z316" s="191"/>
      <c r="AA316" s="97"/>
      <c r="AB316" s="192"/>
    </row>
    <row r="317" spans="1:28">
      <c r="A317" s="116"/>
      <c r="B317" s="116"/>
      <c r="C317" s="116">
        <v>0</v>
      </c>
      <c r="D317" s="3"/>
      <c r="E317" s="208"/>
      <c r="F317" s="209"/>
      <c r="G317" s="209"/>
      <c r="H317" s="183"/>
      <c r="I317" s="183"/>
      <c r="J317" s="183"/>
      <c r="K317" s="183"/>
      <c r="L317" s="183"/>
      <c r="M317" s="184"/>
      <c r="N317" s="184"/>
      <c r="O317" s="185"/>
      <c r="P317" s="186"/>
      <c r="Q317" s="186"/>
      <c r="R317" s="187"/>
      <c r="S317" s="187"/>
      <c r="T317" s="184"/>
      <c r="U317" s="184"/>
      <c r="V317" s="188"/>
      <c r="W317" s="189"/>
      <c r="X317" s="190"/>
      <c r="Y317" s="185"/>
      <c r="Z317" s="191"/>
      <c r="AA317" s="97"/>
      <c r="AB317" s="192"/>
    </row>
    <row r="318" spans="1:28">
      <c r="A318" s="116"/>
      <c r="B318" s="116" t="s">
        <v>983</v>
      </c>
      <c r="C318" s="116">
        <v>2</v>
      </c>
      <c r="D318" s="3"/>
      <c r="E318" s="183"/>
      <c r="F318" s="209"/>
      <c r="G318" s="209"/>
      <c r="H318" s="183"/>
      <c r="I318" s="183"/>
      <c r="J318" s="183"/>
      <c r="K318" s="183"/>
      <c r="L318" s="183"/>
      <c r="M318" s="184"/>
      <c r="N318" s="184"/>
      <c r="O318" s="185"/>
      <c r="P318" s="186"/>
      <c r="Q318" s="186"/>
      <c r="R318" s="187"/>
      <c r="S318" s="187"/>
      <c r="T318" s="184"/>
      <c r="U318" s="184"/>
      <c r="V318" s="188"/>
      <c r="W318" s="189"/>
      <c r="X318" s="190"/>
      <c r="Y318" s="185"/>
      <c r="Z318" s="191"/>
      <c r="AA318" s="97"/>
      <c r="AB318" s="192"/>
    </row>
    <row r="319" spans="1:28">
      <c r="A319" s="116"/>
      <c r="B319" s="116"/>
      <c r="C319" s="116">
        <v>3</v>
      </c>
      <c r="D319" s="3"/>
      <c r="E319" s="208"/>
      <c r="F319" s="209"/>
      <c r="G319" s="209"/>
      <c r="H319" s="183"/>
      <c r="I319" s="183"/>
      <c r="J319" s="183"/>
      <c r="K319" s="183"/>
      <c r="L319" s="183"/>
      <c r="M319" s="184"/>
      <c r="N319" s="184"/>
      <c r="O319" s="185"/>
      <c r="P319" s="186"/>
      <c r="Q319" s="186"/>
      <c r="R319" s="187"/>
      <c r="S319" s="187"/>
      <c r="T319" s="184"/>
      <c r="U319" s="184"/>
      <c r="V319" s="188"/>
      <c r="W319" s="189"/>
      <c r="X319" s="190"/>
      <c r="Y319" s="185"/>
      <c r="Z319" s="191"/>
      <c r="AA319" s="97"/>
      <c r="AB319" s="192"/>
    </row>
    <row r="320" spans="1:28">
      <c r="A320" s="116"/>
      <c r="B320" s="116"/>
      <c r="C320" s="116">
        <v>3</v>
      </c>
      <c r="D320" s="3"/>
      <c r="E320" s="208"/>
      <c r="F320" s="209"/>
      <c r="G320" s="209"/>
      <c r="H320" s="183"/>
      <c r="I320" s="183"/>
      <c r="J320" s="183"/>
      <c r="K320" s="183"/>
      <c r="L320" s="183"/>
      <c r="M320" s="184"/>
      <c r="N320" s="184"/>
      <c r="O320" s="185"/>
      <c r="P320" s="186"/>
      <c r="Q320" s="186"/>
      <c r="R320" s="187"/>
      <c r="S320" s="187"/>
      <c r="T320" s="184"/>
      <c r="U320" s="184"/>
      <c r="V320" s="188"/>
      <c r="W320" s="189"/>
      <c r="X320" s="190"/>
      <c r="Y320" s="185"/>
      <c r="Z320" s="191"/>
      <c r="AA320" s="97"/>
      <c r="AB320" s="192"/>
    </row>
    <row r="321" spans="1:28">
      <c r="A321" s="116"/>
      <c r="B321" s="116"/>
      <c r="C321" s="116">
        <v>0</v>
      </c>
      <c r="D321" s="3"/>
      <c r="E321" s="208"/>
      <c r="F321" s="209"/>
      <c r="G321" s="209"/>
      <c r="H321" s="183"/>
      <c r="I321" s="183"/>
      <c r="J321" s="183"/>
      <c r="K321" s="183"/>
      <c r="L321" s="183"/>
      <c r="M321" s="184"/>
      <c r="N321" s="184"/>
      <c r="O321" s="185"/>
      <c r="P321" s="186"/>
      <c r="Q321" s="186"/>
      <c r="R321" s="187"/>
      <c r="S321" s="187"/>
      <c r="T321" s="184"/>
      <c r="U321" s="184"/>
      <c r="V321" s="188"/>
      <c r="W321" s="189"/>
      <c r="X321" s="190"/>
      <c r="Y321" s="185"/>
      <c r="Z321" s="191"/>
      <c r="AA321" s="97"/>
      <c r="AB321" s="192"/>
    </row>
    <row r="322" spans="1:28">
      <c r="A322" s="116"/>
      <c r="B322" s="116" t="s">
        <v>983</v>
      </c>
      <c r="C322" s="116">
        <v>2</v>
      </c>
      <c r="D322" s="3"/>
      <c r="E322" s="183"/>
      <c r="F322" s="209"/>
      <c r="G322" s="209"/>
      <c r="H322" s="183"/>
      <c r="I322" s="183"/>
      <c r="J322" s="183"/>
      <c r="K322" s="183"/>
      <c r="L322" s="183"/>
      <c r="M322" s="184"/>
      <c r="N322" s="184"/>
      <c r="O322" s="185"/>
      <c r="P322" s="186"/>
      <c r="Q322" s="186"/>
      <c r="R322" s="187"/>
      <c r="S322" s="187"/>
      <c r="T322" s="184"/>
      <c r="U322" s="184"/>
      <c r="V322" s="188"/>
      <c r="W322" s="189"/>
      <c r="X322" s="190"/>
      <c r="Y322" s="185"/>
      <c r="Z322" s="191"/>
      <c r="AA322" s="97"/>
      <c r="AB322" s="192"/>
    </row>
    <row r="323" spans="1:28">
      <c r="A323" s="116"/>
      <c r="B323" s="116"/>
      <c r="C323" s="116">
        <v>3</v>
      </c>
      <c r="D323" s="3"/>
      <c r="E323" s="208"/>
      <c r="F323" s="209"/>
      <c r="G323" s="209"/>
      <c r="H323" s="183"/>
      <c r="I323" s="183"/>
      <c r="J323" s="183"/>
      <c r="K323" s="183"/>
      <c r="L323" s="183"/>
      <c r="M323" s="184"/>
      <c r="N323" s="184"/>
      <c r="O323" s="185"/>
      <c r="P323" s="186"/>
      <c r="Q323" s="186"/>
      <c r="R323" s="187"/>
      <c r="S323" s="187"/>
      <c r="T323" s="184"/>
      <c r="U323" s="184"/>
      <c r="V323" s="188"/>
      <c r="W323" s="189"/>
      <c r="X323" s="190"/>
      <c r="Y323" s="185"/>
      <c r="Z323" s="191"/>
      <c r="AA323" s="97"/>
      <c r="AB323" s="192"/>
    </row>
    <row r="324" spans="1:28">
      <c r="A324" s="116"/>
      <c r="B324" s="116"/>
      <c r="C324" s="116">
        <v>3</v>
      </c>
      <c r="D324" s="3"/>
      <c r="E324" s="208"/>
      <c r="F324" s="209"/>
      <c r="G324" s="209"/>
      <c r="H324" s="183"/>
      <c r="I324" s="183"/>
      <c r="J324" s="183"/>
      <c r="K324" s="183"/>
      <c r="L324" s="183"/>
      <c r="M324" s="184"/>
      <c r="N324" s="184"/>
      <c r="O324" s="185"/>
      <c r="P324" s="186"/>
      <c r="Q324" s="186"/>
      <c r="R324" s="187"/>
      <c r="S324" s="187"/>
      <c r="T324" s="184"/>
      <c r="U324" s="184"/>
      <c r="V324" s="188"/>
      <c r="W324" s="189"/>
      <c r="X324" s="190"/>
      <c r="Y324" s="185"/>
      <c r="Z324" s="191"/>
      <c r="AA324" s="97"/>
      <c r="AB324" s="192"/>
    </row>
    <row r="325" spans="1:28">
      <c r="A325" s="116"/>
      <c r="B325" s="116"/>
      <c r="C325" s="116">
        <v>0</v>
      </c>
      <c r="D325" s="3"/>
      <c r="E325" s="208"/>
      <c r="F325" s="209"/>
      <c r="G325" s="209"/>
      <c r="H325" s="183"/>
      <c r="I325" s="183"/>
      <c r="J325" s="183"/>
      <c r="K325" s="183"/>
      <c r="L325" s="183"/>
      <c r="M325" s="184"/>
      <c r="N325" s="184"/>
      <c r="O325" s="185"/>
      <c r="P325" s="186"/>
      <c r="Q325" s="186"/>
      <c r="R325" s="187"/>
      <c r="S325" s="187"/>
      <c r="T325" s="184"/>
      <c r="U325" s="184"/>
      <c r="V325" s="188"/>
      <c r="W325" s="189"/>
      <c r="X325" s="190"/>
      <c r="Y325" s="185"/>
      <c r="Z325" s="191"/>
      <c r="AA325" s="97"/>
      <c r="AB325" s="192"/>
    </row>
    <row r="326" spans="1:28">
      <c r="A326" s="116"/>
      <c r="B326" s="116"/>
      <c r="C326" s="116">
        <v>0</v>
      </c>
      <c r="D326" s="3"/>
      <c r="E326" s="183"/>
      <c r="F326" s="183"/>
      <c r="G326" s="183"/>
      <c r="H326" s="183"/>
      <c r="I326" s="183"/>
      <c r="J326" s="183"/>
      <c r="K326" s="183"/>
      <c r="L326" s="183"/>
      <c r="M326" s="184"/>
      <c r="N326" s="184"/>
      <c r="O326" s="185"/>
      <c r="P326" s="186"/>
      <c r="Q326" s="186"/>
      <c r="R326" s="187"/>
      <c r="S326" s="187"/>
      <c r="T326" s="184"/>
      <c r="U326" s="184"/>
      <c r="V326" s="188"/>
      <c r="W326" s="189"/>
      <c r="X326" s="190"/>
      <c r="Y326" s="185"/>
      <c r="Z326" s="191"/>
      <c r="AA326" s="97"/>
      <c r="AB326" s="192"/>
    </row>
    <row r="327" spans="1:28">
      <c r="A327" s="116"/>
      <c r="B327" s="116" t="s">
        <v>983</v>
      </c>
      <c r="C327" s="116">
        <v>1</v>
      </c>
      <c r="D327" s="3"/>
      <c r="E327" s="207"/>
      <c r="F327" s="183"/>
      <c r="G327" s="183"/>
      <c r="H327" s="183"/>
      <c r="I327" s="183"/>
      <c r="J327" s="183"/>
      <c r="K327" s="183"/>
      <c r="L327" s="183"/>
      <c r="M327" s="184"/>
      <c r="N327" s="184"/>
      <c r="O327" s="185"/>
      <c r="P327" s="186"/>
      <c r="Q327" s="186"/>
      <c r="R327" s="187"/>
      <c r="S327" s="187"/>
      <c r="T327" s="184"/>
      <c r="U327" s="184"/>
      <c r="V327" s="188"/>
      <c r="W327" s="189"/>
      <c r="X327" s="190"/>
      <c r="Y327" s="185"/>
      <c r="Z327" s="191"/>
      <c r="AA327" s="97"/>
      <c r="AB327" s="192"/>
    </row>
    <row r="328" spans="1:28">
      <c r="A328" s="116"/>
      <c r="B328" s="116"/>
      <c r="C328" s="116">
        <v>2</v>
      </c>
      <c r="D328" s="3"/>
      <c r="E328" s="208"/>
      <c r="F328" s="209"/>
      <c r="G328" s="183"/>
      <c r="H328" s="183"/>
      <c r="I328" s="183"/>
      <c r="J328" s="183"/>
      <c r="K328" s="183"/>
      <c r="L328" s="183"/>
      <c r="M328" s="184"/>
      <c r="N328" s="184"/>
      <c r="O328" s="185"/>
      <c r="P328" s="186"/>
      <c r="Q328" s="186"/>
      <c r="R328" s="187"/>
      <c r="S328" s="187"/>
      <c r="T328" s="184"/>
      <c r="U328" s="184"/>
      <c r="V328" s="188"/>
      <c r="W328" s="189"/>
      <c r="X328" s="190"/>
      <c r="Y328" s="185"/>
      <c r="Z328" s="191"/>
      <c r="AA328" s="97"/>
      <c r="AB328" s="192"/>
    </row>
    <row r="329" spans="1:28">
      <c r="A329" s="116"/>
      <c r="B329" s="116"/>
      <c r="C329" s="116">
        <v>2</v>
      </c>
      <c r="D329" s="3"/>
      <c r="E329" s="183"/>
      <c r="F329" s="209"/>
      <c r="G329" s="183"/>
      <c r="H329" s="183"/>
      <c r="I329" s="183"/>
      <c r="J329" s="183"/>
      <c r="K329" s="183"/>
      <c r="L329" s="183"/>
      <c r="M329" s="184"/>
      <c r="N329" s="184"/>
      <c r="O329" s="185"/>
      <c r="P329" s="186"/>
      <c r="Q329" s="186"/>
      <c r="R329" s="187"/>
      <c r="S329" s="187"/>
      <c r="T329" s="184"/>
      <c r="U329" s="184"/>
      <c r="V329" s="188"/>
      <c r="W329" s="189"/>
      <c r="X329" s="190"/>
      <c r="Y329" s="185"/>
      <c r="Z329" s="191"/>
      <c r="AA329" s="97"/>
      <c r="AB329" s="192"/>
    </row>
    <row r="330" spans="1:28">
      <c r="A330" s="116"/>
      <c r="B330" s="116"/>
      <c r="C330" s="116">
        <v>2</v>
      </c>
      <c r="D330" s="3"/>
      <c r="E330" s="183"/>
      <c r="F330" s="209"/>
      <c r="G330" s="183"/>
      <c r="H330" s="183"/>
      <c r="I330" s="183"/>
      <c r="J330" s="183"/>
      <c r="K330" s="183"/>
      <c r="L330" s="183"/>
      <c r="M330" s="184"/>
      <c r="N330" s="184"/>
      <c r="O330" s="185"/>
      <c r="P330" s="186"/>
      <c r="Q330" s="186"/>
      <c r="R330" s="187"/>
      <c r="S330" s="187"/>
      <c r="T330" s="184"/>
      <c r="U330" s="184"/>
      <c r="V330" s="188"/>
      <c r="W330" s="189"/>
      <c r="X330" s="190"/>
      <c r="Y330" s="185"/>
      <c r="Z330" s="191"/>
      <c r="AA330" s="97"/>
      <c r="AB330" s="192"/>
    </row>
    <row r="331" spans="1:28">
      <c r="A331" s="116"/>
      <c r="B331" s="116"/>
      <c r="C331" s="116">
        <v>2</v>
      </c>
      <c r="D331" s="3"/>
      <c r="E331" s="183"/>
      <c r="F331" s="209"/>
      <c r="G331" s="183"/>
      <c r="H331" s="183"/>
      <c r="I331" s="183"/>
      <c r="J331" s="183"/>
      <c r="K331" s="183"/>
      <c r="L331" s="183"/>
      <c r="M331" s="184"/>
      <c r="N331" s="184"/>
      <c r="O331" s="185"/>
      <c r="P331" s="186"/>
      <c r="Q331" s="186"/>
      <c r="R331" s="187"/>
      <c r="S331" s="187"/>
      <c r="T331" s="184"/>
      <c r="U331" s="184"/>
      <c r="V331" s="188"/>
      <c r="W331" s="189"/>
      <c r="X331" s="190"/>
      <c r="Y331" s="185"/>
      <c r="Z331" s="191"/>
      <c r="AA331" s="97"/>
      <c r="AB331" s="192"/>
    </row>
    <row r="332" spans="1:28">
      <c r="A332" s="116"/>
      <c r="B332" s="116"/>
      <c r="C332" s="116">
        <v>2</v>
      </c>
      <c r="D332" s="3"/>
      <c r="E332" s="183"/>
      <c r="F332" s="209"/>
      <c r="G332" s="183"/>
      <c r="H332" s="183"/>
      <c r="I332" s="183"/>
      <c r="J332" s="183"/>
      <c r="K332" s="183"/>
      <c r="L332" s="183"/>
      <c r="M332" s="184"/>
      <c r="N332" s="184"/>
      <c r="O332" s="185"/>
      <c r="P332" s="186"/>
      <c r="Q332" s="186"/>
      <c r="R332" s="187"/>
      <c r="S332" s="187"/>
      <c r="T332" s="184"/>
      <c r="U332" s="184"/>
      <c r="V332" s="188"/>
      <c r="W332" s="189"/>
      <c r="X332" s="190"/>
      <c r="Y332" s="185"/>
      <c r="Z332" s="191"/>
      <c r="AA332" s="97"/>
      <c r="AB332" s="192"/>
    </row>
    <row r="333" spans="1:28">
      <c r="A333" s="116"/>
      <c r="B333" s="116"/>
      <c r="C333" s="116">
        <v>2</v>
      </c>
      <c r="D333" s="3"/>
      <c r="E333" s="183"/>
      <c r="F333" s="209"/>
      <c r="G333" s="183"/>
      <c r="H333" s="183"/>
      <c r="I333" s="183"/>
      <c r="J333" s="183"/>
      <c r="K333" s="183"/>
      <c r="L333" s="183"/>
      <c r="M333" s="184"/>
      <c r="N333" s="184"/>
      <c r="O333" s="185"/>
      <c r="P333" s="186"/>
      <c r="Q333" s="186"/>
      <c r="R333" s="187"/>
      <c r="S333" s="187"/>
      <c r="T333" s="184"/>
      <c r="U333" s="184"/>
      <c r="V333" s="188"/>
      <c r="W333" s="189"/>
      <c r="X333" s="190"/>
      <c r="Y333" s="185"/>
      <c r="Z333" s="191"/>
      <c r="AA333" s="97"/>
      <c r="AB333" s="192"/>
    </row>
    <row r="334" spans="1:28">
      <c r="A334" s="116"/>
      <c r="B334" s="116"/>
      <c r="C334" s="116">
        <v>2</v>
      </c>
      <c r="D334" s="3"/>
      <c r="E334" s="183"/>
      <c r="F334" s="209"/>
      <c r="G334" s="183"/>
      <c r="H334" s="183"/>
      <c r="I334" s="183"/>
      <c r="J334" s="183"/>
      <c r="K334" s="183"/>
      <c r="L334" s="183"/>
      <c r="M334" s="184"/>
      <c r="N334" s="184"/>
      <c r="O334" s="185"/>
      <c r="P334" s="186"/>
      <c r="Q334" s="186"/>
      <c r="R334" s="187"/>
      <c r="S334" s="187"/>
      <c r="T334" s="184"/>
      <c r="U334" s="184"/>
      <c r="V334" s="188"/>
      <c r="W334" s="189"/>
      <c r="X334" s="190"/>
      <c r="Y334" s="185"/>
      <c r="Z334" s="191"/>
      <c r="AA334" s="97"/>
      <c r="AB334" s="192"/>
    </row>
    <row r="335" spans="1:28">
      <c r="A335" s="116"/>
      <c r="B335" s="116"/>
      <c r="C335" s="116">
        <v>2</v>
      </c>
      <c r="D335" s="3"/>
      <c r="E335" s="183"/>
      <c r="F335" s="209"/>
      <c r="G335" s="183"/>
      <c r="H335" s="183"/>
      <c r="I335" s="183"/>
      <c r="J335" s="183"/>
      <c r="K335" s="183"/>
      <c r="L335" s="183"/>
      <c r="M335" s="184"/>
      <c r="N335" s="184"/>
      <c r="O335" s="185"/>
      <c r="P335" s="186"/>
      <c r="Q335" s="186"/>
      <c r="R335" s="187"/>
      <c r="S335" s="187"/>
      <c r="T335" s="184"/>
      <c r="U335" s="184"/>
      <c r="V335" s="188"/>
      <c r="W335" s="189"/>
      <c r="X335" s="190"/>
      <c r="Y335" s="185"/>
      <c r="Z335" s="191"/>
      <c r="AA335" s="97"/>
      <c r="AB335" s="192"/>
    </row>
    <row r="336" spans="1:28">
      <c r="A336" s="116"/>
      <c r="B336" s="116"/>
      <c r="C336" s="116">
        <v>2</v>
      </c>
      <c r="D336" s="3"/>
      <c r="E336" s="183"/>
      <c r="F336" s="209"/>
      <c r="G336" s="183"/>
      <c r="H336" s="183"/>
      <c r="I336" s="183"/>
      <c r="J336" s="183"/>
      <c r="K336" s="183"/>
      <c r="L336" s="183"/>
      <c r="M336" s="184"/>
      <c r="N336" s="184"/>
      <c r="O336" s="185"/>
      <c r="P336" s="186"/>
      <c r="Q336" s="186"/>
      <c r="R336" s="187"/>
      <c r="S336" s="187"/>
      <c r="T336" s="184"/>
      <c r="U336" s="184"/>
      <c r="V336" s="188"/>
      <c r="W336" s="189"/>
      <c r="X336" s="190"/>
      <c r="Y336" s="185"/>
      <c r="Z336" s="191"/>
      <c r="AA336" s="97"/>
      <c r="AB336" s="192"/>
    </row>
    <row r="337" spans="1:28">
      <c r="A337" s="116"/>
      <c r="B337" s="116"/>
      <c r="C337" s="116">
        <v>2</v>
      </c>
      <c r="D337" s="3"/>
      <c r="E337" s="183"/>
      <c r="F337" s="209"/>
      <c r="G337" s="183"/>
      <c r="H337" s="183"/>
      <c r="I337" s="183"/>
      <c r="J337" s="183"/>
      <c r="K337" s="183"/>
      <c r="L337" s="183"/>
      <c r="M337" s="184"/>
      <c r="N337" s="184"/>
      <c r="O337" s="185"/>
      <c r="P337" s="186"/>
      <c r="Q337" s="186"/>
      <c r="R337" s="187"/>
      <c r="S337" s="187"/>
      <c r="T337" s="184"/>
      <c r="U337" s="184"/>
      <c r="V337" s="188"/>
      <c r="W337" s="189"/>
      <c r="X337" s="190"/>
      <c r="Y337" s="185"/>
      <c r="Z337" s="191"/>
      <c r="AA337" s="97"/>
      <c r="AB337" s="192"/>
    </row>
    <row r="338" spans="1:28">
      <c r="A338" s="116"/>
      <c r="B338" s="116"/>
      <c r="C338" s="116">
        <v>2</v>
      </c>
      <c r="D338" s="3"/>
      <c r="E338" s="183"/>
      <c r="F338" s="209"/>
      <c r="G338" s="183"/>
      <c r="H338" s="183"/>
      <c r="I338" s="183"/>
      <c r="J338" s="183"/>
      <c r="K338" s="183"/>
      <c r="L338" s="183"/>
      <c r="M338" s="184"/>
      <c r="N338" s="184"/>
      <c r="O338" s="185"/>
      <c r="P338" s="186"/>
      <c r="Q338" s="186"/>
      <c r="R338" s="187"/>
      <c r="S338" s="187"/>
      <c r="T338" s="184"/>
      <c r="U338" s="184"/>
      <c r="V338" s="188"/>
      <c r="W338" s="189"/>
      <c r="X338" s="190"/>
      <c r="Y338" s="185"/>
      <c r="Z338" s="191"/>
      <c r="AA338" s="97"/>
      <c r="AB338" s="192"/>
    </row>
    <row r="339" spans="1:28">
      <c r="A339" s="116"/>
      <c r="B339" s="116"/>
      <c r="C339" s="116">
        <v>2</v>
      </c>
      <c r="D339" s="3"/>
      <c r="E339" s="183"/>
      <c r="F339" s="209"/>
      <c r="G339" s="183"/>
      <c r="H339" s="183"/>
      <c r="I339" s="183"/>
      <c r="J339" s="183"/>
      <c r="K339" s="183"/>
      <c r="L339" s="183"/>
      <c r="M339" s="184"/>
      <c r="N339" s="184"/>
      <c r="O339" s="185"/>
      <c r="P339" s="186"/>
      <c r="Q339" s="186"/>
      <c r="R339" s="187"/>
      <c r="S339" s="187"/>
      <c r="T339" s="184"/>
      <c r="U339" s="184"/>
      <c r="V339" s="188"/>
      <c r="W339" s="189"/>
      <c r="X339" s="190"/>
      <c r="Y339" s="185"/>
      <c r="Z339" s="191"/>
      <c r="AA339" s="97"/>
      <c r="AB339" s="192"/>
    </row>
    <row r="340" spans="1:28">
      <c r="A340" s="116"/>
      <c r="B340" s="116"/>
      <c r="C340" s="116">
        <v>2</v>
      </c>
      <c r="D340" s="3"/>
      <c r="E340" s="183"/>
      <c r="F340" s="209"/>
      <c r="G340" s="183"/>
      <c r="H340" s="183"/>
      <c r="I340" s="183"/>
      <c r="J340" s="183"/>
      <c r="K340" s="183"/>
      <c r="L340" s="183"/>
      <c r="M340" s="184"/>
      <c r="N340" s="184"/>
      <c r="O340" s="185"/>
      <c r="P340" s="186"/>
      <c r="Q340" s="186"/>
      <c r="R340" s="187"/>
      <c r="S340" s="187"/>
      <c r="T340" s="184"/>
      <c r="U340" s="184"/>
      <c r="V340" s="188"/>
      <c r="W340" s="189"/>
      <c r="X340" s="190"/>
      <c r="Y340" s="185"/>
      <c r="Z340" s="191"/>
      <c r="AA340" s="97"/>
      <c r="AB340" s="192"/>
    </row>
    <row r="341" spans="1:28">
      <c r="A341" s="116"/>
      <c r="B341" s="116"/>
      <c r="C341" s="116">
        <v>2</v>
      </c>
      <c r="D341" s="3"/>
      <c r="E341" s="183"/>
      <c r="F341" s="183"/>
      <c r="G341" s="183"/>
      <c r="H341" s="183"/>
      <c r="I341" s="183"/>
      <c r="J341" s="183"/>
      <c r="K341" s="183"/>
      <c r="L341" s="183"/>
      <c r="M341" s="184"/>
      <c r="N341" s="184"/>
      <c r="O341" s="185"/>
      <c r="P341" s="186"/>
      <c r="Q341" s="186"/>
      <c r="R341" s="187"/>
      <c r="S341" s="187"/>
      <c r="T341" s="184"/>
      <c r="U341" s="184"/>
      <c r="V341" s="188"/>
      <c r="W341" s="189"/>
      <c r="X341" s="190"/>
      <c r="Y341" s="185"/>
      <c r="Z341" s="191"/>
      <c r="AA341" s="97"/>
      <c r="AB341" s="192"/>
    </row>
    <row r="342" spans="1:28">
      <c r="A342" s="116"/>
      <c r="B342" s="116"/>
      <c r="C342" s="116">
        <v>2</v>
      </c>
      <c r="D342" s="3"/>
      <c r="E342" s="183"/>
      <c r="F342" s="183"/>
      <c r="G342" s="183"/>
      <c r="H342" s="183"/>
      <c r="I342" s="183"/>
      <c r="J342" s="183"/>
      <c r="K342" s="183"/>
      <c r="L342" s="183"/>
      <c r="M342" s="184"/>
      <c r="N342" s="184"/>
      <c r="O342" s="185"/>
      <c r="P342" s="186"/>
      <c r="Q342" s="186"/>
      <c r="R342" s="187"/>
      <c r="S342" s="187"/>
      <c r="T342" s="184"/>
      <c r="U342" s="184"/>
      <c r="V342" s="188"/>
      <c r="W342" s="189"/>
      <c r="X342" s="190"/>
      <c r="Y342" s="185"/>
      <c r="Z342" s="191"/>
      <c r="AA342" s="97"/>
      <c r="AB342" s="192"/>
    </row>
    <row r="343" spans="1:28">
      <c r="A343" s="116"/>
      <c r="B343" s="116"/>
      <c r="C343" s="116">
        <v>2</v>
      </c>
      <c r="D343" s="3"/>
      <c r="E343" s="183"/>
      <c r="F343" s="183"/>
      <c r="G343" s="183"/>
      <c r="H343" s="183"/>
      <c r="I343" s="183"/>
      <c r="J343" s="183"/>
      <c r="K343" s="183"/>
      <c r="L343" s="183"/>
      <c r="M343" s="184"/>
      <c r="N343" s="184"/>
      <c r="O343" s="185"/>
      <c r="P343" s="186"/>
      <c r="Q343" s="186"/>
      <c r="R343" s="187"/>
      <c r="S343" s="187"/>
      <c r="T343" s="184"/>
      <c r="U343" s="184"/>
      <c r="V343" s="188"/>
      <c r="W343" s="189"/>
      <c r="X343" s="190"/>
      <c r="Y343" s="185"/>
      <c r="Z343" s="191"/>
      <c r="AA343" s="97"/>
      <c r="AB343" s="192"/>
    </row>
    <row r="344" spans="1:28">
      <c r="A344" s="116"/>
      <c r="B344" s="116"/>
      <c r="C344" s="116">
        <v>2</v>
      </c>
      <c r="D344" s="3"/>
      <c r="E344" s="183"/>
      <c r="F344" s="183"/>
      <c r="G344" s="183"/>
      <c r="H344" s="183"/>
      <c r="I344" s="183"/>
      <c r="J344" s="183"/>
      <c r="K344" s="183"/>
      <c r="L344" s="183"/>
      <c r="M344" s="184"/>
      <c r="N344" s="184"/>
      <c r="O344" s="185"/>
      <c r="P344" s="186"/>
      <c r="Q344" s="186"/>
      <c r="R344" s="187"/>
      <c r="S344" s="187"/>
      <c r="T344" s="184"/>
      <c r="U344" s="184"/>
      <c r="V344" s="188"/>
      <c r="W344" s="189"/>
      <c r="X344" s="190"/>
      <c r="Y344" s="185"/>
      <c r="Z344" s="191"/>
      <c r="AA344" s="97"/>
      <c r="AB344" s="192"/>
    </row>
    <row r="345" spans="1:28">
      <c r="A345" s="193"/>
      <c r="B345" s="193"/>
      <c r="C345" s="193">
        <v>0</v>
      </c>
      <c r="D345" s="194"/>
      <c r="E345" s="195"/>
      <c r="F345" s="195"/>
      <c r="G345" s="195"/>
      <c r="H345" s="195"/>
      <c r="I345" s="195"/>
      <c r="J345" s="195"/>
      <c r="K345" s="195"/>
      <c r="L345" s="195"/>
      <c r="M345" s="196"/>
      <c r="N345" s="196"/>
      <c r="O345" s="197"/>
      <c r="P345" s="198"/>
      <c r="Q345" s="198"/>
      <c r="R345" s="199"/>
      <c r="S345" s="199"/>
      <c r="T345" s="196"/>
      <c r="U345" s="196"/>
      <c r="V345" s="200"/>
      <c r="W345" s="201"/>
      <c r="X345" s="202"/>
      <c r="Y345" s="197"/>
      <c r="Z345" s="203"/>
      <c r="AA345" s="204"/>
      <c r="AB345" s="205"/>
    </row>
    <row r="346" spans="1:28">
      <c r="A346" s="193"/>
      <c r="B346" s="193"/>
      <c r="C346" s="193"/>
      <c r="D346" s="194"/>
      <c r="E346" s="195"/>
      <c r="F346" s="195"/>
      <c r="G346" s="195"/>
      <c r="H346" s="195"/>
      <c r="I346" s="195"/>
      <c r="J346" s="195"/>
      <c r="K346" s="195"/>
      <c r="L346" s="195"/>
      <c r="M346" s="196"/>
      <c r="N346" s="196"/>
      <c r="O346" s="197"/>
      <c r="P346" s="198"/>
      <c r="Q346" s="198"/>
      <c r="R346" s="199"/>
      <c r="S346" s="199"/>
      <c r="T346" s="196"/>
      <c r="U346" s="196"/>
      <c r="V346" s="200"/>
      <c r="W346" s="201"/>
      <c r="X346" s="202"/>
      <c r="Y346" s="197"/>
      <c r="Z346" s="203"/>
      <c r="AA346" s="204"/>
      <c r="AB346" s="205"/>
    </row>
    <row r="347" spans="1:28">
      <c r="A347" s="116"/>
      <c r="B347" s="116"/>
      <c r="C347" s="116"/>
      <c r="D347" s="3"/>
      <c r="E347" s="183"/>
      <c r="F347" s="183"/>
      <c r="G347" s="183"/>
      <c r="H347" s="183"/>
      <c r="I347" s="183"/>
      <c r="J347" s="183"/>
      <c r="K347" s="183"/>
      <c r="L347" s="183"/>
      <c r="M347" s="184"/>
      <c r="N347" s="184"/>
      <c r="O347" s="185"/>
      <c r="P347" s="186"/>
      <c r="Q347" s="186"/>
      <c r="R347" s="187"/>
      <c r="S347" s="187"/>
      <c r="T347" s="184"/>
      <c r="U347" s="184"/>
      <c r="V347" s="188"/>
      <c r="W347" s="189"/>
      <c r="X347" s="190"/>
      <c r="Y347" s="185"/>
      <c r="Z347" s="191"/>
      <c r="AA347" s="97"/>
      <c r="AB347" s="192"/>
    </row>
    <row r="348" spans="1:28">
      <c r="A348" s="116"/>
      <c r="B348" s="116"/>
      <c r="C348" s="116"/>
      <c r="D348" s="3"/>
      <c r="E348" s="183"/>
      <c r="F348" s="183"/>
      <c r="G348" s="183"/>
      <c r="H348" s="183"/>
      <c r="I348" s="183"/>
      <c r="J348" s="183"/>
      <c r="K348" s="183"/>
      <c r="L348" s="183"/>
      <c r="M348" s="184"/>
      <c r="N348" s="184"/>
      <c r="O348" s="185"/>
      <c r="P348" s="186"/>
      <c r="Q348" s="186"/>
      <c r="R348" s="187"/>
      <c r="S348" s="187"/>
      <c r="T348" s="184"/>
      <c r="U348" s="184"/>
      <c r="V348" s="188"/>
      <c r="W348" s="189"/>
      <c r="X348" s="190"/>
      <c r="Y348" s="185"/>
      <c r="Z348" s="191"/>
      <c r="AA348" s="97"/>
      <c r="AB348" s="192"/>
    </row>
    <row r="349" spans="1:28">
      <c r="A349" s="116"/>
      <c r="B349" s="116"/>
      <c r="C349" s="116"/>
      <c r="D349" s="3"/>
      <c r="E349" s="183"/>
      <c r="F349" s="183"/>
      <c r="G349" s="183"/>
      <c r="H349" s="183"/>
      <c r="I349" s="183"/>
      <c r="J349" s="183"/>
      <c r="K349" s="183"/>
      <c r="L349" s="183"/>
      <c r="M349" s="184"/>
      <c r="N349" s="184"/>
      <c r="O349" s="185"/>
      <c r="P349" s="186"/>
      <c r="Q349" s="186"/>
      <c r="R349" s="187"/>
      <c r="S349" s="187"/>
      <c r="T349" s="184"/>
      <c r="U349" s="184"/>
      <c r="V349" s="188"/>
      <c r="W349" s="189"/>
      <c r="X349" s="190"/>
      <c r="Y349" s="185"/>
      <c r="Z349" s="191"/>
      <c r="AA349" s="97"/>
      <c r="AB349" s="192"/>
    </row>
    <row r="350" spans="1:28">
      <c r="A350" s="116"/>
      <c r="B350" s="116"/>
      <c r="C350" s="116"/>
      <c r="D350" s="3"/>
      <c r="E350" s="183"/>
      <c r="F350" s="183"/>
      <c r="G350" s="183"/>
      <c r="H350" s="183"/>
      <c r="I350" s="183"/>
      <c r="J350" s="183"/>
      <c r="K350" s="183"/>
      <c r="L350" s="183"/>
      <c r="M350" s="184"/>
      <c r="N350" s="184"/>
      <c r="O350" s="185"/>
      <c r="P350" s="186"/>
      <c r="Q350" s="186"/>
      <c r="R350" s="187"/>
      <c r="S350" s="187"/>
      <c r="T350" s="184"/>
      <c r="U350" s="184"/>
      <c r="V350" s="188"/>
      <c r="W350" s="189"/>
      <c r="X350" s="190"/>
      <c r="Y350" s="185"/>
      <c r="Z350" s="191"/>
      <c r="AA350" s="97"/>
      <c r="AB350" s="192"/>
    </row>
    <row r="351" spans="1:28">
      <c r="A351" s="116"/>
      <c r="B351" s="116"/>
      <c r="C351" s="116"/>
      <c r="D351" s="3"/>
      <c r="E351" s="183"/>
      <c r="F351" s="183"/>
      <c r="G351" s="183"/>
      <c r="H351" s="183"/>
      <c r="I351" s="183"/>
      <c r="J351" s="183"/>
      <c r="K351" s="183"/>
      <c r="L351" s="183"/>
      <c r="M351" s="184"/>
      <c r="N351" s="184"/>
      <c r="O351" s="185"/>
      <c r="P351" s="186"/>
      <c r="Q351" s="186"/>
      <c r="R351" s="187"/>
      <c r="S351" s="187"/>
      <c r="T351" s="184"/>
      <c r="U351" s="184"/>
      <c r="V351" s="188"/>
      <c r="W351" s="189"/>
      <c r="X351" s="190"/>
      <c r="Y351" s="185"/>
      <c r="Z351" s="191"/>
      <c r="AA351" s="97"/>
      <c r="AB351" s="192"/>
    </row>
    <row r="352" spans="1:28">
      <c r="A352" s="116"/>
      <c r="B352" s="116"/>
      <c r="C352" s="116"/>
      <c r="D352" s="3"/>
      <c r="E352" s="183"/>
      <c r="F352" s="183"/>
      <c r="G352" s="183"/>
      <c r="H352" s="183"/>
      <c r="I352" s="183"/>
      <c r="J352" s="183"/>
      <c r="K352" s="183"/>
      <c r="L352" s="183"/>
      <c r="M352" s="184"/>
      <c r="N352" s="184"/>
      <c r="O352" s="185"/>
      <c r="P352" s="186"/>
      <c r="Q352" s="186"/>
      <c r="R352" s="187"/>
      <c r="S352" s="187"/>
      <c r="T352" s="184"/>
      <c r="U352" s="184"/>
      <c r="V352" s="188"/>
      <c r="W352" s="189"/>
      <c r="X352" s="190"/>
      <c r="Y352" s="185"/>
      <c r="Z352" s="191"/>
      <c r="AA352" s="97"/>
      <c r="AB352" s="192"/>
    </row>
    <row r="353" spans="1:28">
      <c r="A353" s="116"/>
      <c r="B353" s="116"/>
      <c r="C353" s="116"/>
      <c r="D353" s="3"/>
      <c r="E353" s="183"/>
      <c r="F353" s="183"/>
      <c r="G353" s="183"/>
      <c r="H353" s="183"/>
      <c r="I353" s="183"/>
      <c r="J353" s="183"/>
      <c r="K353" s="183"/>
      <c r="L353" s="183"/>
      <c r="M353" s="184"/>
      <c r="N353" s="184"/>
      <c r="O353" s="185"/>
      <c r="P353" s="186"/>
      <c r="Q353" s="186"/>
      <c r="R353" s="187"/>
      <c r="S353" s="187"/>
      <c r="T353" s="184"/>
      <c r="U353" s="184"/>
      <c r="V353" s="188"/>
      <c r="W353" s="189"/>
      <c r="X353" s="190"/>
      <c r="Y353" s="185"/>
      <c r="Z353" s="191"/>
      <c r="AA353" s="97"/>
      <c r="AB353" s="192"/>
    </row>
    <row r="354" spans="1:28">
      <c r="A354" s="116"/>
      <c r="B354" s="116"/>
      <c r="C354" s="116"/>
      <c r="D354" s="3"/>
      <c r="E354" s="183"/>
      <c r="F354" s="183"/>
      <c r="G354" s="183"/>
      <c r="H354" s="183"/>
      <c r="I354" s="183"/>
      <c r="J354" s="183"/>
      <c r="K354" s="183"/>
      <c r="L354" s="183"/>
      <c r="M354" s="184"/>
      <c r="N354" s="184"/>
      <c r="O354" s="185"/>
      <c r="P354" s="186"/>
      <c r="Q354" s="186"/>
      <c r="R354" s="187"/>
      <c r="S354" s="187"/>
      <c r="T354" s="184"/>
      <c r="U354" s="184"/>
      <c r="V354" s="188"/>
      <c r="W354" s="189"/>
      <c r="X354" s="190"/>
      <c r="Y354" s="185"/>
      <c r="Z354" s="191"/>
      <c r="AA354" s="97"/>
      <c r="AB354" s="192"/>
    </row>
    <row r="355" spans="1:28">
      <c r="A355" s="116"/>
      <c r="B355" s="116"/>
      <c r="C355" s="116"/>
      <c r="D355" s="3"/>
      <c r="E355" s="183"/>
      <c r="F355" s="183"/>
      <c r="G355" s="183"/>
      <c r="H355" s="183"/>
      <c r="I355" s="183"/>
      <c r="J355" s="183"/>
      <c r="K355" s="183"/>
      <c r="L355" s="183"/>
      <c r="M355" s="184"/>
      <c r="N355" s="184"/>
      <c r="O355" s="185"/>
      <c r="P355" s="186"/>
      <c r="Q355" s="186"/>
      <c r="R355" s="187"/>
      <c r="S355" s="187"/>
      <c r="T355" s="184"/>
      <c r="U355" s="184"/>
      <c r="V355" s="188"/>
      <c r="W355" s="189"/>
      <c r="X355" s="190"/>
      <c r="Y355" s="185"/>
      <c r="Z355" s="191"/>
      <c r="AA355" s="97"/>
      <c r="AB355" s="192"/>
    </row>
    <row r="356" spans="1:28">
      <c r="A356" s="116"/>
      <c r="B356" s="116"/>
      <c r="C356" s="116"/>
      <c r="D356" s="3"/>
      <c r="E356" s="183"/>
      <c r="F356" s="183"/>
      <c r="G356" s="183"/>
      <c r="H356" s="183"/>
      <c r="I356" s="183"/>
      <c r="J356" s="183"/>
      <c r="K356" s="183"/>
      <c r="L356" s="183"/>
      <c r="M356" s="184"/>
      <c r="N356" s="184"/>
      <c r="O356" s="185"/>
      <c r="P356" s="186"/>
      <c r="Q356" s="186"/>
      <c r="R356" s="187"/>
      <c r="S356" s="187"/>
      <c r="T356" s="184"/>
      <c r="U356" s="184"/>
      <c r="V356" s="188"/>
      <c r="W356" s="189"/>
      <c r="X356" s="190"/>
      <c r="Y356" s="185"/>
      <c r="Z356" s="191"/>
      <c r="AA356" s="97"/>
      <c r="AB356" s="192"/>
    </row>
    <row r="357" spans="1:28">
      <c r="A357" s="116"/>
      <c r="B357" s="116"/>
      <c r="C357" s="116"/>
      <c r="D357" s="3"/>
      <c r="E357" s="183"/>
      <c r="F357" s="183"/>
      <c r="G357" s="183"/>
      <c r="H357" s="183"/>
      <c r="I357" s="183"/>
      <c r="J357" s="183"/>
      <c r="K357" s="183"/>
      <c r="L357" s="183"/>
      <c r="M357" s="184"/>
      <c r="N357" s="184"/>
      <c r="O357" s="185"/>
      <c r="P357" s="186"/>
      <c r="Q357" s="186"/>
      <c r="R357" s="187"/>
      <c r="S357" s="187"/>
      <c r="T357" s="184"/>
      <c r="U357" s="184"/>
      <c r="V357" s="188"/>
      <c r="W357" s="189"/>
      <c r="X357" s="190"/>
      <c r="Y357" s="185"/>
      <c r="Z357" s="191"/>
      <c r="AA357" s="97"/>
      <c r="AB357" s="192"/>
    </row>
    <row r="358" spans="1:28">
      <c r="A358" s="116"/>
      <c r="B358" s="116"/>
      <c r="C358" s="116"/>
      <c r="D358" s="3"/>
      <c r="E358" s="183"/>
      <c r="F358" s="183"/>
      <c r="G358" s="183"/>
      <c r="H358" s="183"/>
      <c r="I358" s="183"/>
      <c r="J358" s="183"/>
      <c r="K358" s="183"/>
      <c r="L358" s="183"/>
      <c r="M358" s="184"/>
      <c r="N358" s="184"/>
      <c r="O358" s="185"/>
      <c r="P358" s="186"/>
      <c r="Q358" s="186"/>
      <c r="R358" s="187"/>
      <c r="S358" s="187"/>
      <c r="T358" s="184"/>
      <c r="U358" s="184"/>
      <c r="V358" s="188"/>
      <c r="W358" s="189"/>
      <c r="X358" s="190"/>
      <c r="Y358" s="185"/>
      <c r="Z358" s="191"/>
      <c r="AA358" s="97"/>
      <c r="AB358" s="192"/>
    </row>
    <row r="359" spans="1:28">
      <c r="A359" s="116"/>
      <c r="B359" s="116"/>
      <c r="C359" s="116"/>
      <c r="D359" s="3"/>
      <c r="E359" s="183"/>
      <c r="F359" s="183"/>
      <c r="G359" s="183"/>
      <c r="H359" s="183"/>
      <c r="I359" s="183"/>
      <c r="J359" s="183"/>
      <c r="K359" s="183"/>
      <c r="L359" s="183"/>
      <c r="M359" s="184"/>
      <c r="N359" s="184"/>
      <c r="O359" s="185"/>
      <c r="P359" s="186"/>
      <c r="Q359" s="186"/>
      <c r="R359" s="187"/>
      <c r="S359" s="187"/>
      <c r="T359" s="184"/>
      <c r="U359" s="184"/>
      <c r="V359" s="188"/>
      <c r="W359" s="189"/>
      <c r="X359" s="190"/>
      <c r="Y359" s="185"/>
      <c r="Z359" s="191"/>
      <c r="AA359" s="97"/>
      <c r="AB359" s="192"/>
    </row>
    <row r="360" spans="1:28">
      <c r="A360" s="116"/>
      <c r="B360" s="116"/>
      <c r="C360" s="116"/>
      <c r="D360" s="3"/>
      <c r="E360" s="183"/>
      <c r="F360" s="183"/>
      <c r="G360" s="183"/>
      <c r="H360" s="183"/>
      <c r="I360" s="183"/>
      <c r="J360" s="183"/>
      <c r="K360" s="183"/>
      <c r="L360" s="183"/>
      <c r="M360" s="184"/>
      <c r="N360" s="184"/>
      <c r="O360" s="185"/>
      <c r="P360" s="186"/>
      <c r="Q360" s="186"/>
      <c r="R360" s="187"/>
      <c r="S360" s="187"/>
      <c r="T360" s="184"/>
      <c r="U360" s="184"/>
      <c r="V360" s="188"/>
      <c r="W360" s="189"/>
      <c r="X360" s="190"/>
      <c r="Y360" s="185"/>
      <c r="Z360" s="191"/>
      <c r="AA360" s="97"/>
      <c r="AB360" s="192"/>
    </row>
    <row r="361" spans="1:28">
      <c r="A361" s="116"/>
      <c r="B361" s="116"/>
      <c r="C361" s="116"/>
      <c r="D361" s="3"/>
      <c r="E361" s="183"/>
      <c r="F361" s="183"/>
      <c r="G361" s="183"/>
      <c r="H361" s="183"/>
      <c r="I361" s="183"/>
      <c r="J361" s="183"/>
      <c r="K361" s="183"/>
      <c r="L361" s="183"/>
      <c r="M361" s="184"/>
      <c r="N361" s="184"/>
      <c r="O361" s="185"/>
      <c r="P361" s="186"/>
      <c r="Q361" s="186"/>
      <c r="R361" s="187"/>
      <c r="S361" s="187"/>
      <c r="T361" s="184"/>
      <c r="U361" s="184"/>
      <c r="V361" s="188"/>
      <c r="W361" s="189"/>
      <c r="X361" s="190"/>
      <c r="Y361" s="185"/>
      <c r="Z361" s="191"/>
      <c r="AA361" s="97"/>
      <c r="AB361" s="192"/>
    </row>
    <row r="362" spans="1:28">
      <c r="A362" s="116"/>
      <c r="B362" s="116"/>
      <c r="C362" s="116"/>
      <c r="D362" s="3"/>
      <c r="E362" s="183"/>
      <c r="F362" s="183"/>
      <c r="G362" s="183"/>
      <c r="H362" s="183"/>
      <c r="I362" s="183"/>
      <c r="J362" s="183"/>
      <c r="K362" s="183"/>
      <c r="L362" s="183"/>
      <c r="M362" s="184"/>
      <c r="N362" s="184"/>
      <c r="O362" s="185"/>
      <c r="P362" s="186"/>
      <c r="Q362" s="186"/>
      <c r="R362" s="187"/>
      <c r="S362" s="187"/>
      <c r="T362" s="184"/>
      <c r="U362" s="184"/>
      <c r="V362" s="188"/>
      <c r="W362" s="189"/>
      <c r="X362" s="190"/>
      <c r="Y362" s="185"/>
      <c r="Z362" s="191"/>
      <c r="AA362" s="97"/>
      <c r="AB362" s="192"/>
    </row>
    <row r="363" spans="1:28">
      <c r="A363" s="116"/>
      <c r="B363" s="116"/>
      <c r="C363" s="116"/>
      <c r="D363" s="3"/>
      <c r="E363" s="183"/>
      <c r="F363" s="183"/>
      <c r="G363" s="183"/>
      <c r="H363" s="183"/>
      <c r="I363" s="183"/>
      <c r="J363" s="183"/>
      <c r="K363" s="183"/>
      <c r="L363" s="183"/>
      <c r="M363" s="184"/>
      <c r="N363" s="184"/>
      <c r="O363" s="185"/>
      <c r="P363" s="186"/>
      <c r="Q363" s="186"/>
      <c r="R363" s="187"/>
      <c r="S363" s="187"/>
      <c r="T363" s="184"/>
      <c r="U363" s="184"/>
      <c r="V363" s="188"/>
      <c r="W363" s="189"/>
      <c r="X363" s="190"/>
      <c r="Y363" s="185"/>
      <c r="Z363" s="191"/>
      <c r="AA363" s="97"/>
      <c r="AB363" s="192"/>
    </row>
    <row r="364" spans="1:28">
      <c r="A364" s="116"/>
      <c r="B364" s="116"/>
      <c r="C364" s="116"/>
      <c r="D364" s="3"/>
      <c r="E364" s="183"/>
      <c r="F364" s="183"/>
      <c r="G364" s="183"/>
      <c r="H364" s="183"/>
      <c r="I364" s="183"/>
      <c r="J364" s="183"/>
      <c r="K364" s="183"/>
      <c r="L364" s="183"/>
      <c r="M364" s="184"/>
      <c r="N364" s="184"/>
      <c r="O364" s="185"/>
      <c r="P364" s="186"/>
      <c r="Q364" s="186"/>
      <c r="R364" s="187"/>
      <c r="S364" s="187"/>
      <c r="T364" s="184"/>
      <c r="U364" s="184"/>
      <c r="V364" s="188"/>
      <c r="W364" s="189"/>
      <c r="X364" s="190"/>
      <c r="Y364" s="185"/>
      <c r="Z364" s="191"/>
      <c r="AA364" s="97"/>
      <c r="AB364" s="192"/>
    </row>
    <row r="365" spans="1:28">
      <c r="A365" s="116"/>
      <c r="B365" s="116"/>
      <c r="C365" s="116"/>
      <c r="D365" s="3"/>
      <c r="E365" s="183"/>
      <c r="F365" s="183"/>
      <c r="G365" s="183"/>
      <c r="H365" s="183"/>
      <c r="I365" s="183"/>
      <c r="J365" s="183"/>
      <c r="K365" s="183"/>
      <c r="L365" s="183"/>
      <c r="M365" s="184"/>
      <c r="N365" s="184"/>
      <c r="O365" s="185"/>
      <c r="P365" s="186"/>
      <c r="Q365" s="186"/>
      <c r="R365" s="187"/>
      <c r="S365" s="187"/>
      <c r="T365" s="184"/>
      <c r="U365" s="184"/>
      <c r="V365" s="188"/>
      <c r="W365" s="189"/>
      <c r="X365" s="190"/>
      <c r="Y365" s="185"/>
      <c r="Z365" s="191"/>
      <c r="AA365" s="97"/>
      <c r="AB365" s="192"/>
    </row>
    <row r="366" spans="1:28">
      <c r="A366" s="116"/>
      <c r="B366" s="116"/>
      <c r="C366" s="116"/>
      <c r="D366" s="3"/>
      <c r="E366" s="183"/>
      <c r="F366" s="183"/>
      <c r="G366" s="183"/>
      <c r="H366" s="183"/>
      <c r="I366" s="183"/>
      <c r="J366" s="183"/>
      <c r="K366" s="183"/>
      <c r="L366" s="183"/>
      <c r="M366" s="184"/>
      <c r="N366" s="184"/>
      <c r="O366" s="185"/>
      <c r="P366" s="186"/>
      <c r="Q366" s="186"/>
      <c r="R366" s="187"/>
      <c r="S366" s="187"/>
      <c r="T366" s="184"/>
      <c r="U366" s="184"/>
      <c r="V366" s="188"/>
      <c r="W366" s="189"/>
      <c r="X366" s="190"/>
      <c r="Y366" s="185"/>
      <c r="Z366" s="191"/>
      <c r="AA366" s="97"/>
      <c r="AB366" s="192"/>
    </row>
    <row r="367" spans="1:28">
      <c r="A367" s="116"/>
      <c r="B367" s="116"/>
      <c r="C367" s="116"/>
      <c r="D367" s="3"/>
      <c r="E367" s="183"/>
      <c r="F367" s="183"/>
      <c r="G367" s="183"/>
      <c r="H367" s="183"/>
      <c r="I367" s="183"/>
      <c r="J367" s="183"/>
      <c r="K367" s="183"/>
      <c r="L367" s="183"/>
      <c r="M367" s="184"/>
      <c r="N367" s="184"/>
      <c r="O367" s="185"/>
      <c r="P367" s="186"/>
      <c r="Q367" s="186"/>
      <c r="R367" s="187"/>
      <c r="S367" s="187"/>
      <c r="T367" s="184"/>
      <c r="U367" s="184"/>
      <c r="V367" s="188"/>
      <c r="W367" s="189"/>
      <c r="X367" s="190"/>
      <c r="Y367" s="185"/>
      <c r="Z367" s="191"/>
      <c r="AA367" s="97"/>
      <c r="AB367" s="192"/>
    </row>
    <row r="368" spans="1:28">
      <c r="A368" s="116"/>
      <c r="B368" s="116"/>
      <c r="C368" s="116"/>
      <c r="D368" s="3"/>
      <c r="E368" s="183"/>
      <c r="F368" s="183"/>
      <c r="G368" s="183"/>
      <c r="H368" s="183"/>
      <c r="I368" s="183"/>
      <c r="J368" s="183"/>
      <c r="K368" s="183"/>
      <c r="L368" s="183"/>
      <c r="M368" s="184"/>
      <c r="N368" s="184"/>
      <c r="O368" s="185"/>
      <c r="P368" s="186"/>
      <c r="Q368" s="186"/>
      <c r="R368" s="187"/>
      <c r="S368" s="187"/>
      <c r="T368" s="184"/>
      <c r="U368" s="184"/>
      <c r="V368" s="188"/>
      <c r="W368" s="189"/>
      <c r="X368" s="190"/>
      <c r="Y368" s="185"/>
      <c r="Z368" s="191"/>
      <c r="AA368" s="97"/>
      <c r="AB368" s="192"/>
    </row>
    <row r="369" spans="1:28">
      <c r="A369" s="116"/>
      <c r="B369" s="116"/>
      <c r="C369" s="116"/>
      <c r="D369" s="3"/>
      <c r="E369" s="183"/>
      <c r="F369" s="183"/>
      <c r="G369" s="183"/>
      <c r="H369" s="183"/>
      <c r="I369" s="183"/>
      <c r="J369" s="183"/>
      <c r="K369" s="183"/>
      <c r="L369" s="183"/>
      <c r="M369" s="184"/>
      <c r="N369" s="184"/>
      <c r="O369" s="185"/>
      <c r="P369" s="186"/>
      <c r="Q369" s="186"/>
      <c r="R369" s="187"/>
      <c r="S369" s="187"/>
      <c r="T369" s="184"/>
      <c r="U369" s="184"/>
      <c r="V369" s="188"/>
      <c r="W369" s="189"/>
      <c r="X369" s="190"/>
      <c r="Y369" s="185"/>
      <c r="Z369" s="191"/>
      <c r="AA369" s="97"/>
      <c r="AB369" s="192"/>
    </row>
    <row r="370" spans="1:28">
      <c r="A370" s="116"/>
      <c r="B370" s="116"/>
      <c r="C370" s="116"/>
      <c r="D370" s="3"/>
      <c r="E370" s="183"/>
      <c r="F370" s="183"/>
      <c r="G370" s="183"/>
      <c r="H370" s="183"/>
      <c r="I370" s="183"/>
      <c r="J370" s="183"/>
      <c r="K370" s="183"/>
      <c r="L370" s="183"/>
      <c r="M370" s="184"/>
      <c r="N370" s="184"/>
      <c r="O370" s="185"/>
      <c r="P370" s="186"/>
      <c r="Q370" s="186"/>
      <c r="R370" s="187"/>
      <c r="S370" s="187"/>
      <c r="T370" s="184"/>
      <c r="U370" s="184"/>
      <c r="V370" s="188"/>
      <c r="W370" s="189"/>
      <c r="X370" s="190"/>
      <c r="Y370" s="185"/>
      <c r="Z370" s="191"/>
      <c r="AA370" s="97"/>
      <c r="AB370" s="192"/>
    </row>
    <row r="371" spans="1:28">
      <c r="A371" s="116"/>
      <c r="B371" s="116"/>
      <c r="C371" s="116"/>
      <c r="D371" s="3"/>
      <c r="E371" s="183"/>
      <c r="F371" s="183"/>
      <c r="G371" s="183"/>
      <c r="H371" s="183"/>
      <c r="I371" s="183"/>
      <c r="J371" s="183"/>
      <c r="K371" s="183"/>
      <c r="L371" s="183"/>
      <c r="M371" s="184"/>
      <c r="N371" s="184"/>
      <c r="O371" s="185"/>
      <c r="P371" s="186"/>
      <c r="Q371" s="186"/>
      <c r="R371" s="187"/>
      <c r="S371" s="187"/>
      <c r="T371" s="184"/>
      <c r="U371" s="184"/>
      <c r="V371" s="188"/>
      <c r="W371" s="189"/>
      <c r="X371" s="190"/>
      <c r="Y371" s="185"/>
      <c r="Z371" s="191"/>
      <c r="AA371" s="97"/>
      <c r="AB371" s="192"/>
    </row>
    <row r="372" spans="1:28">
      <c r="A372" s="116"/>
      <c r="B372" s="116"/>
      <c r="C372" s="116"/>
      <c r="D372" s="3"/>
      <c r="E372" s="183"/>
      <c r="F372" s="183"/>
      <c r="G372" s="183"/>
      <c r="H372" s="183"/>
      <c r="I372" s="183"/>
      <c r="J372" s="183"/>
      <c r="K372" s="183"/>
      <c r="L372" s="183"/>
      <c r="M372" s="184"/>
      <c r="N372" s="184"/>
      <c r="O372" s="185"/>
      <c r="P372" s="186"/>
      <c r="Q372" s="186"/>
      <c r="R372" s="187"/>
      <c r="S372" s="187"/>
      <c r="T372" s="184"/>
      <c r="U372" s="184"/>
      <c r="V372" s="188"/>
      <c r="W372" s="189"/>
      <c r="X372" s="190"/>
      <c r="Y372" s="185"/>
      <c r="Z372" s="191"/>
      <c r="AA372" s="97"/>
      <c r="AB372" s="192"/>
    </row>
    <row r="373" spans="1:28">
      <c r="A373" s="116"/>
      <c r="B373" s="116"/>
      <c r="C373" s="116"/>
      <c r="D373" s="3"/>
      <c r="E373" s="183"/>
      <c r="F373" s="183"/>
      <c r="G373" s="183"/>
      <c r="H373" s="183"/>
      <c r="I373" s="183"/>
      <c r="J373" s="183"/>
      <c r="K373" s="183"/>
      <c r="L373" s="183"/>
      <c r="M373" s="184"/>
      <c r="N373" s="184"/>
      <c r="O373" s="185"/>
      <c r="P373" s="186"/>
      <c r="Q373" s="186"/>
      <c r="R373" s="187"/>
      <c r="S373" s="187"/>
      <c r="T373" s="184"/>
      <c r="U373" s="184"/>
      <c r="V373" s="188"/>
      <c r="W373" s="189"/>
      <c r="X373" s="190"/>
      <c r="Y373" s="185"/>
      <c r="Z373" s="191"/>
      <c r="AA373" s="97"/>
      <c r="AB373" s="192"/>
    </row>
    <row r="374" spans="1:28">
      <c r="A374" s="116"/>
      <c r="B374" s="116"/>
      <c r="C374" s="116"/>
      <c r="D374" s="3"/>
      <c r="E374" s="183"/>
      <c r="F374" s="183"/>
      <c r="G374" s="183"/>
      <c r="H374" s="183"/>
      <c r="I374" s="183"/>
      <c r="J374" s="183"/>
      <c r="K374" s="183"/>
      <c r="L374" s="183"/>
      <c r="M374" s="184"/>
      <c r="N374" s="184"/>
      <c r="O374" s="185"/>
      <c r="P374" s="186"/>
      <c r="Q374" s="186"/>
      <c r="R374" s="187"/>
      <c r="S374" s="187"/>
      <c r="T374" s="184"/>
      <c r="U374" s="184"/>
      <c r="V374" s="188"/>
      <c r="W374" s="189"/>
      <c r="X374" s="190"/>
      <c r="Y374" s="185"/>
      <c r="Z374" s="191"/>
      <c r="AA374" s="97"/>
      <c r="AB374" s="192"/>
    </row>
    <row r="375" spans="1:28">
      <c r="A375" s="116"/>
      <c r="B375" s="116"/>
      <c r="C375" s="116"/>
      <c r="D375" s="3"/>
      <c r="E375" s="183"/>
      <c r="F375" s="183"/>
      <c r="G375" s="183"/>
      <c r="H375" s="183"/>
      <c r="I375" s="183"/>
      <c r="J375" s="183"/>
      <c r="K375" s="183"/>
      <c r="L375" s="183"/>
      <c r="M375" s="184"/>
      <c r="N375" s="184"/>
      <c r="O375" s="185"/>
      <c r="P375" s="186"/>
      <c r="Q375" s="186"/>
      <c r="R375" s="187"/>
      <c r="S375" s="187"/>
      <c r="T375" s="184"/>
      <c r="U375" s="184"/>
      <c r="V375" s="188"/>
      <c r="W375" s="189"/>
      <c r="X375" s="190"/>
      <c r="Y375" s="185"/>
      <c r="Z375" s="191"/>
      <c r="AA375" s="97"/>
      <c r="AB375" s="192"/>
    </row>
    <row r="376" spans="1:28">
      <c r="A376" s="169"/>
      <c r="B376" s="169"/>
      <c r="C376" s="169"/>
      <c r="D376" s="170"/>
      <c r="E376" s="171"/>
      <c r="F376" s="171"/>
      <c r="G376" s="171"/>
      <c r="H376" s="171"/>
      <c r="I376" s="171"/>
      <c r="J376" s="171"/>
      <c r="K376" s="171"/>
      <c r="L376" s="171"/>
      <c r="M376" s="172"/>
      <c r="N376" s="172"/>
      <c r="O376" s="173"/>
      <c r="P376" s="174"/>
      <c r="Q376" s="174"/>
      <c r="R376" s="175"/>
      <c r="S376" s="175"/>
      <c r="T376" s="172"/>
      <c r="U376" s="172"/>
      <c r="V376" s="176"/>
      <c r="W376" s="177"/>
      <c r="X376" s="178"/>
      <c r="Y376" s="173"/>
      <c r="Z376" s="179"/>
      <c r="AA376" s="180"/>
      <c r="AB376" s="181"/>
    </row>
  </sheetData>
  <sheetProtection formatCells="0" formatColumns="0" formatRows="0" insertColumns="0" insertRows="0" insertHyperlinks="0" deleteColumns="0" deleteRows="0" sort="0" autoFilter="0" pivotTables="0"/>
  <dataConsolidate/>
  <mergeCells count="27">
    <mergeCell ref="AC1:CA1"/>
    <mergeCell ref="AG3:AJ3"/>
    <mergeCell ref="AK3:AN3"/>
    <mergeCell ref="AC3:AF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70">
    <cfRule type="expression" dxfId="1" priority="2">
      <formula>($B5="G")</formula>
    </cfRule>
    <cfRule type="expression" dxfId="0" priority="1">
      <formula>($AB5=1)</formula>
    </cfRule>
  </conditionalFormatting>
  <hyperlinks>
    <hyperlink ref="AC1:CA1" r:id="rId1" display="http://xlworks.net/" xr:uid="{9CA1A33A-0FBB-40FE-AEAC-6EB1F4CF1557}"/>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1048</v>
      </c>
      <c r="B1" s="18"/>
      <c r="C1" s="18"/>
      <c r="D1" s="18"/>
      <c r="E1" s="18"/>
      <c r="F1" s="18"/>
      <c r="G1" s="18"/>
      <c r="H1" s="18"/>
      <c r="I1" s="18"/>
      <c r="J1" s="18"/>
      <c r="K1" s="18"/>
      <c r="L1" s="249"/>
      <c r="M1" s="250"/>
      <c r="N1" s="250"/>
      <c r="O1" s="19"/>
      <c r="P1" s="19"/>
      <c r="Q1" s="19"/>
    </row>
    <row r="2" spans="1:17" s="23" customFormat="1" ht="13.8">
      <c r="A2" s="21" t="s">
        <v>990</v>
      </c>
      <c r="B2" s="22"/>
    </row>
    <row r="3" spans="1:17" s="23" customFormat="1" ht="13.8">
      <c r="A3" s="21" t="s">
        <v>991</v>
      </c>
      <c r="B3" s="22"/>
    </row>
    <row r="4" spans="1:17" s="23" customFormat="1" ht="13.8">
      <c r="A4" s="251"/>
      <c r="B4" s="251"/>
      <c r="C4" s="24"/>
      <c r="D4" s="25"/>
      <c r="E4" s="25"/>
      <c r="F4" s="25"/>
    </row>
    <row r="5" spans="1:17" s="31" customFormat="1" ht="13.8">
      <c r="A5" s="26"/>
      <c r="B5" s="27"/>
      <c r="C5" s="28"/>
      <c r="D5" s="29"/>
      <c r="E5" s="30"/>
      <c r="F5" s="30"/>
      <c r="G5" s="30"/>
    </row>
    <row r="6" spans="1:17" s="31" customFormat="1" ht="13.8">
      <c r="A6" s="32" t="s">
        <v>992</v>
      </c>
      <c r="B6" s="33">
        <v>169</v>
      </c>
      <c r="C6" s="31" t="s">
        <v>0</v>
      </c>
      <c r="D6" s="248" t="s">
        <v>993</v>
      </c>
      <c r="E6" s="248"/>
      <c r="F6" s="248"/>
      <c r="G6" s="248"/>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994</v>
      </c>
      <c r="B9" s="33">
        <v>4</v>
      </c>
      <c r="C9" s="31" t="s">
        <v>0</v>
      </c>
      <c r="D9" s="247" t="s">
        <v>995</v>
      </c>
      <c r="E9" s="247"/>
      <c r="F9" s="247"/>
      <c r="G9" s="247"/>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989</v>
      </c>
      <c r="B12" s="33">
        <v>0</v>
      </c>
      <c r="C12" s="31" t="s">
        <v>0</v>
      </c>
      <c r="D12" s="247" t="s">
        <v>1032</v>
      </c>
      <c r="E12" s="247"/>
      <c r="F12" s="247"/>
      <c r="G12" s="247"/>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989</v>
      </c>
      <c r="B15" s="33"/>
      <c r="C15" s="31" t="s">
        <v>0</v>
      </c>
      <c r="D15" s="247" t="s">
        <v>996</v>
      </c>
      <c r="E15" s="247"/>
      <c r="F15" s="247"/>
      <c r="G15" s="247"/>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997</v>
      </c>
      <c r="B18" s="55">
        <v>2.3668639053254437E-2</v>
      </c>
      <c r="D18" s="247" t="s">
        <v>998</v>
      </c>
      <c r="E18" s="247"/>
      <c r="F18" s="247"/>
      <c r="G18" s="247"/>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999</v>
      </c>
      <c r="B21" s="55">
        <v>0</v>
      </c>
      <c r="D21" s="247" t="s">
        <v>1000</v>
      </c>
      <c r="E21" s="247"/>
      <c r="F21" s="247"/>
      <c r="G21" s="247"/>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1001</v>
      </c>
      <c r="B24" s="65">
        <f>ACTUAL_RATE-PLANNED_RATE</f>
        <v>-2.3668639053254437E-2</v>
      </c>
      <c r="D24" s="248" t="s">
        <v>1002</v>
      </c>
      <c r="E24" s="248"/>
      <c r="F24" s="248"/>
      <c r="G24" s="248"/>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O28"/>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206" customWidth="1"/>
    <col min="2" max="3" width="10.59765625" style="206" bestFit="1" customWidth="1"/>
    <col min="4" max="16384" width="9.09765625" style="206"/>
  </cols>
  <sheetData>
    <row r="1" spans="2:15" ht="37.049999999999997" customHeight="1">
      <c r="B1" s="78" t="s">
        <v>1077</v>
      </c>
    </row>
    <row r="2" spans="2:15">
      <c r="B2" s="206" t="s">
        <v>1078</v>
      </c>
    </row>
    <row r="3" spans="2:15">
      <c r="B3" s="206" t="s">
        <v>1079</v>
      </c>
    </row>
    <row r="4" spans="2:15">
      <c r="B4" s="212">
        <v>21</v>
      </c>
      <c r="C4" s="206" t="s">
        <v>1080</v>
      </c>
    </row>
    <row r="6" spans="2:15" ht="28.8">
      <c r="B6" s="79" t="s">
        <v>1003</v>
      </c>
      <c r="C6" s="182" t="s">
        <v>1004</v>
      </c>
      <c r="D6" s="182" t="s">
        <v>1</v>
      </c>
      <c r="E6" s="182" t="s">
        <v>2</v>
      </c>
      <c r="F6" s="252" t="s">
        <v>1081</v>
      </c>
      <c r="G6" s="253"/>
      <c r="H6" s="253"/>
      <c r="I6" s="253"/>
      <c r="J6" s="253"/>
      <c r="K6" s="253"/>
      <c r="L6" s="253"/>
      <c r="M6" s="253"/>
      <c r="N6" s="253"/>
      <c r="O6" s="253"/>
    </row>
    <row r="7" spans="2:15">
      <c r="B7" s="214">
        <v>44389</v>
      </c>
      <c r="C7" s="214">
        <v>44395</v>
      </c>
      <c r="D7" s="215">
        <v>14</v>
      </c>
      <c r="E7" s="216">
        <f>D7/$B$4</f>
        <v>0.66666666666666663</v>
      </c>
      <c r="F7" s="217" t="str">
        <f t="shared" ref="F7:F27" si="0">REPT("|",IF(D7&gt;0,IF(D7/1&lt;1,1,D7/1)))</f>
        <v>||||||||||||||</v>
      </c>
      <c r="G7" s="215"/>
      <c r="H7" s="215"/>
      <c r="I7" s="215"/>
      <c r="J7" s="215"/>
      <c r="K7" s="215"/>
      <c r="L7" s="215"/>
      <c r="M7" s="215"/>
      <c r="N7" s="215"/>
      <c r="O7" s="215"/>
    </row>
    <row r="8" spans="2:15">
      <c r="B8" s="218">
        <v>44396</v>
      </c>
      <c r="C8" s="218">
        <v>44402</v>
      </c>
      <c r="D8" s="219">
        <v>15</v>
      </c>
      <c r="E8" s="220">
        <f t="shared" ref="E8:E27" si="1">D8/$B$4</f>
        <v>0.7142857142857143</v>
      </c>
      <c r="F8" s="221" t="str">
        <f t="shared" si="0"/>
        <v>|||||||||||||||</v>
      </c>
      <c r="G8" s="219"/>
      <c r="H8" s="219"/>
      <c r="I8" s="219"/>
      <c r="J8" s="219"/>
      <c r="K8" s="219"/>
      <c r="L8" s="219"/>
      <c r="M8" s="219"/>
      <c r="N8" s="219"/>
      <c r="O8" s="219"/>
    </row>
    <row r="9" spans="2:15">
      <c r="B9" s="218">
        <v>44403</v>
      </c>
      <c r="C9" s="218">
        <v>44409</v>
      </c>
      <c r="D9" s="219">
        <v>15</v>
      </c>
      <c r="E9" s="220">
        <f t="shared" si="1"/>
        <v>0.7142857142857143</v>
      </c>
      <c r="F9" s="221" t="str">
        <f t="shared" si="0"/>
        <v>|||||||||||||||</v>
      </c>
      <c r="G9" s="219"/>
      <c r="H9" s="219"/>
      <c r="I9" s="219"/>
      <c r="J9" s="219"/>
      <c r="K9" s="219"/>
      <c r="L9" s="219"/>
      <c r="M9" s="219"/>
      <c r="N9" s="219"/>
      <c r="O9" s="219"/>
    </row>
    <row r="10" spans="2:15">
      <c r="B10" s="218">
        <v>44410</v>
      </c>
      <c r="C10" s="218">
        <v>44416</v>
      </c>
      <c r="D10" s="219">
        <v>15</v>
      </c>
      <c r="E10" s="220">
        <f t="shared" si="1"/>
        <v>0.7142857142857143</v>
      </c>
      <c r="F10" s="221" t="str">
        <f t="shared" si="0"/>
        <v>|||||||||||||||</v>
      </c>
      <c r="G10" s="219"/>
      <c r="H10" s="219"/>
      <c r="I10" s="219"/>
      <c r="J10" s="219"/>
      <c r="K10" s="219"/>
      <c r="L10" s="219"/>
      <c r="M10" s="219"/>
      <c r="N10" s="219"/>
      <c r="O10" s="219"/>
    </row>
    <row r="11" spans="2:15">
      <c r="B11" s="218">
        <v>44417</v>
      </c>
      <c r="C11" s="218">
        <v>44423</v>
      </c>
      <c r="D11" s="219">
        <v>15</v>
      </c>
      <c r="E11" s="220">
        <f t="shared" si="1"/>
        <v>0.7142857142857143</v>
      </c>
      <c r="F11" s="221" t="str">
        <f t="shared" si="0"/>
        <v>|||||||||||||||</v>
      </c>
      <c r="G11" s="219"/>
      <c r="H11" s="219"/>
      <c r="I11" s="219"/>
      <c r="J11" s="219"/>
      <c r="K11" s="219"/>
      <c r="L11" s="219"/>
      <c r="M11" s="219"/>
      <c r="N11" s="219"/>
      <c r="O11" s="219"/>
    </row>
    <row r="12" spans="2:15">
      <c r="B12" s="218">
        <v>44424</v>
      </c>
      <c r="C12" s="218">
        <v>44430</v>
      </c>
      <c r="D12" s="219">
        <v>15</v>
      </c>
      <c r="E12" s="220">
        <f t="shared" si="1"/>
        <v>0.7142857142857143</v>
      </c>
      <c r="F12" s="221" t="str">
        <f t="shared" si="0"/>
        <v>|||||||||||||||</v>
      </c>
      <c r="G12" s="219"/>
      <c r="H12" s="219"/>
      <c r="I12" s="219"/>
      <c r="J12" s="219"/>
      <c r="K12" s="219"/>
      <c r="L12" s="219"/>
      <c r="M12" s="219"/>
      <c r="N12" s="219"/>
      <c r="O12" s="219"/>
    </row>
    <row r="13" spans="2:15">
      <c r="B13" s="218">
        <v>44431</v>
      </c>
      <c r="C13" s="218">
        <v>44437</v>
      </c>
      <c r="D13" s="219">
        <v>15</v>
      </c>
      <c r="E13" s="220">
        <f t="shared" si="1"/>
        <v>0.7142857142857143</v>
      </c>
      <c r="F13" s="221" t="str">
        <f t="shared" si="0"/>
        <v>|||||||||||||||</v>
      </c>
      <c r="G13" s="219"/>
      <c r="H13" s="219"/>
      <c r="I13" s="219"/>
      <c r="J13" s="219"/>
      <c r="K13" s="219"/>
      <c r="L13" s="219"/>
      <c r="M13" s="219"/>
      <c r="N13" s="219"/>
      <c r="O13" s="219"/>
    </row>
    <row r="14" spans="2:15">
      <c r="B14" s="218">
        <v>44438</v>
      </c>
      <c r="C14" s="218">
        <v>44444</v>
      </c>
      <c r="D14" s="219">
        <v>27</v>
      </c>
      <c r="E14" s="220">
        <f t="shared" si="1"/>
        <v>1.2857142857142858</v>
      </c>
      <c r="F14" s="221" t="str">
        <f t="shared" si="0"/>
        <v>|||||||||||||||||||||||||||</v>
      </c>
      <c r="G14" s="219"/>
      <c r="H14" s="219"/>
      <c r="I14" s="219"/>
      <c r="J14" s="219"/>
      <c r="K14" s="219"/>
      <c r="L14" s="219"/>
      <c r="M14" s="219"/>
      <c r="N14" s="219"/>
      <c r="O14" s="219"/>
    </row>
    <row r="15" spans="2:15">
      <c r="B15" s="218">
        <v>44445</v>
      </c>
      <c r="C15" s="218">
        <v>44451</v>
      </c>
      <c r="D15" s="219">
        <v>32</v>
      </c>
      <c r="E15" s="220">
        <f t="shared" si="1"/>
        <v>1.5238095238095237</v>
      </c>
      <c r="F15" s="221" t="str">
        <f t="shared" si="0"/>
        <v>||||||||||||||||||||||||||||||||</v>
      </c>
      <c r="G15" s="219"/>
      <c r="H15" s="219"/>
      <c r="I15" s="219"/>
      <c r="J15" s="219"/>
      <c r="K15" s="219"/>
      <c r="L15" s="219"/>
      <c r="M15" s="219"/>
      <c r="N15" s="219"/>
      <c r="O15" s="219"/>
    </row>
    <row r="16" spans="2:15">
      <c r="B16" s="218">
        <v>44452</v>
      </c>
      <c r="C16" s="218">
        <v>44458</v>
      </c>
      <c r="D16" s="219">
        <v>17</v>
      </c>
      <c r="E16" s="220">
        <f t="shared" si="1"/>
        <v>0.80952380952380953</v>
      </c>
      <c r="F16" s="221" t="str">
        <f t="shared" si="0"/>
        <v>|||||||||||||||||</v>
      </c>
      <c r="G16" s="219"/>
      <c r="H16" s="219"/>
      <c r="I16" s="219"/>
      <c r="J16" s="219"/>
      <c r="K16" s="219"/>
      <c r="L16" s="219"/>
      <c r="M16" s="219"/>
      <c r="N16" s="219"/>
      <c r="O16" s="219"/>
    </row>
    <row r="17" spans="2:15">
      <c r="B17" s="218">
        <v>44459</v>
      </c>
      <c r="C17" s="218">
        <v>44465</v>
      </c>
      <c r="D17" s="219">
        <v>25</v>
      </c>
      <c r="E17" s="220">
        <f t="shared" si="1"/>
        <v>1.1904761904761905</v>
      </c>
      <c r="F17" s="221" t="str">
        <f t="shared" si="0"/>
        <v>|||||||||||||||||||||||||</v>
      </c>
      <c r="G17" s="219"/>
      <c r="H17" s="219"/>
      <c r="I17" s="219"/>
      <c r="J17" s="219"/>
      <c r="K17" s="219"/>
      <c r="L17" s="219"/>
      <c r="M17" s="219"/>
      <c r="N17" s="219"/>
      <c r="O17" s="219"/>
    </row>
    <row r="18" spans="2:15">
      <c r="B18" s="218">
        <v>44466</v>
      </c>
      <c r="C18" s="218">
        <v>44472</v>
      </c>
      <c r="D18" s="219">
        <v>36</v>
      </c>
      <c r="E18" s="220">
        <f t="shared" si="1"/>
        <v>1.7142857142857142</v>
      </c>
      <c r="F18" s="221" t="str">
        <f t="shared" si="0"/>
        <v>||||||||||||||||||||||||||||||||||||</v>
      </c>
      <c r="G18" s="219"/>
      <c r="H18" s="219"/>
      <c r="I18" s="219"/>
      <c r="J18" s="219"/>
      <c r="K18" s="219"/>
      <c r="L18" s="219"/>
      <c r="M18" s="219"/>
      <c r="N18" s="219"/>
      <c r="O18" s="219"/>
    </row>
    <row r="19" spans="2:15">
      <c r="B19" s="218">
        <v>44473</v>
      </c>
      <c r="C19" s="218">
        <v>44479</v>
      </c>
      <c r="D19" s="219">
        <v>35</v>
      </c>
      <c r="E19" s="220">
        <f t="shared" si="1"/>
        <v>1.6666666666666667</v>
      </c>
      <c r="F19" s="221" t="str">
        <f t="shared" si="0"/>
        <v>|||||||||||||||||||||||||||||||||||</v>
      </c>
      <c r="G19" s="219"/>
      <c r="H19" s="219"/>
      <c r="I19" s="219"/>
      <c r="J19" s="219"/>
      <c r="K19" s="219"/>
      <c r="L19" s="219"/>
      <c r="M19" s="219"/>
      <c r="N19" s="219"/>
      <c r="O19" s="219"/>
    </row>
    <row r="20" spans="2:15">
      <c r="B20" s="218">
        <v>44480</v>
      </c>
      <c r="C20" s="218">
        <v>44486</v>
      </c>
      <c r="D20" s="219">
        <v>35</v>
      </c>
      <c r="E20" s="220">
        <f t="shared" si="1"/>
        <v>1.6666666666666667</v>
      </c>
      <c r="F20" s="221" t="str">
        <f t="shared" si="0"/>
        <v>|||||||||||||||||||||||||||||||||||</v>
      </c>
      <c r="G20" s="219"/>
      <c r="H20" s="219"/>
      <c r="I20" s="219"/>
      <c r="J20" s="219"/>
      <c r="K20" s="219"/>
      <c r="L20" s="219"/>
      <c r="M20" s="219"/>
      <c r="N20" s="219"/>
      <c r="O20" s="219"/>
    </row>
    <row r="21" spans="2:15">
      <c r="B21" s="218">
        <v>44487</v>
      </c>
      <c r="C21" s="218">
        <v>44493</v>
      </c>
      <c r="D21" s="219">
        <v>41</v>
      </c>
      <c r="E21" s="220">
        <f t="shared" si="1"/>
        <v>1.9523809523809523</v>
      </c>
      <c r="F21" s="221" t="str">
        <f t="shared" si="0"/>
        <v>|||||||||||||||||||||||||||||||||||||||||</v>
      </c>
      <c r="G21" s="219"/>
      <c r="H21" s="219"/>
      <c r="I21" s="219"/>
      <c r="J21" s="219"/>
      <c r="K21" s="219"/>
      <c r="L21" s="219"/>
      <c r="M21" s="219"/>
      <c r="N21" s="219"/>
      <c r="O21" s="219"/>
    </row>
    <row r="22" spans="2:15">
      <c r="B22" s="218">
        <v>44494</v>
      </c>
      <c r="C22" s="218">
        <v>44500</v>
      </c>
      <c r="D22" s="219">
        <v>21</v>
      </c>
      <c r="E22" s="220">
        <f t="shared" si="1"/>
        <v>1</v>
      </c>
      <c r="F22" s="221" t="str">
        <f t="shared" si="0"/>
        <v>|||||||||||||||||||||</v>
      </c>
      <c r="G22" s="219"/>
      <c r="H22" s="219"/>
      <c r="I22" s="219"/>
      <c r="J22" s="219"/>
      <c r="K22" s="219"/>
      <c r="L22" s="219"/>
      <c r="M22" s="219"/>
      <c r="N22" s="219"/>
      <c r="O22" s="219"/>
    </row>
    <row r="23" spans="2:15">
      <c r="B23" s="218">
        <v>44501</v>
      </c>
      <c r="C23" s="218">
        <v>44507</v>
      </c>
      <c r="D23" s="219">
        <v>22</v>
      </c>
      <c r="E23" s="220">
        <f t="shared" si="1"/>
        <v>1.0476190476190477</v>
      </c>
      <c r="F23" s="221" t="str">
        <f t="shared" si="0"/>
        <v>||||||||||||||||||||||</v>
      </c>
      <c r="G23" s="219"/>
      <c r="H23" s="219"/>
      <c r="I23" s="219"/>
      <c r="J23" s="219"/>
      <c r="K23" s="219"/>
      <c r="L23" s="219"/>
      <c r="M23" s="219"/>
      <c r="N23" s="219"/>
      <c r="O23" s="219"/>
    </row>
    <row r="24" spans="2:15">
      <c r="B24" s="218">
        <v>44508</v>
      </c>
      <c r="C24" s="218">
        <v>44514</v>
      </c>
      <c r="D24" s="219">
        <v>22</v>
      </c>
      <c r="E24" s="220">
        <f t="shared" si="1"/>
        <v>1.0476190476190477</v>
      </c>
      <c r="F24" s="221" t="str">
        <f t="shared" si="0"/>
        <v>||||||||||||||||||||||</v>
      </c>
      <c r="G24" s="219"/>
      <c r="H24" s="219"/>
      <c r="I24" s="219"/>
      <c r="J24" s="219"/>
      <c r="K24" s="219"/>
      <c r="L24" s="219"/>
      <c r="M24" s="219"/>
      <c r="N24" s="219"/>
      <c r="O24" s="219"/>
    </row>
    <row r="25" spans="2:15">
      <c r="B25" s="218">
        <v>44515</v>
      </c>
      <c r="C25" s="218">
        <v>44521</v>
      </c>
      <c r="D25" s="219">
        <v>62</v>
      </c>
      <c r="E25" s="220">
        <f t="shared" si="1"/>
        <v>2.9523809523809526</v>
      </c>
      <c r="F25" s="221" t="str">
        <f t="shared" si="0"/>
        <v>||||||||||||||||||||||||||||||||||||||||||||||||||||||||||||||</v>
      </c>
      <c r="G25" s="219"/>
      <c r="H25" s="219"/>
      <c r="I25" s="219"/>
      <c r="J25" s="219"/>
      <c r="K25" s="219"/>
      <c r="L25" s="219"/>
      <c r="M25" s="219"/>
      <c r="N25" s="219"/>
      <c r="O25" s="219"/>
    </row>
    <row r="26" spans="2:15">
      <c r="B26" s="218">
        <v>44522</v>
      </c>
      <c r="C26" s="218">
        <v>44528</v>
      </c>
      <c r="D26" s="219">
        <v>27</v>
      </c>
      <c r="E26" s="220">
        <f t="shared" si="1"/>
        <v>1.2857142857142858</v>
      </c>
      <c r="F26" s="221" t="str">
        <f t="shared" si="0"/>
        <v>|||||||||||||||||||||||||||</v>
      </c>
      <c r="G26" s="219"/>
      <c r="H26" s="219"/>
      <c r="I26" s="219"/>
      <c r="J26" s="219"/>
      <c r="K26" s="219"/>
      <c r="L26" s="219"/>
      <c r="M26" s="219"/>
      <c r="N26" s="219"/>
      <c r="O26" s="219"/>
    </row>
    <row r="27" spans="2:15">
      <c r="B27" s="218">
        <v>44529</v>
      </c>
      <c r="C27" s="218">
        <v>44535</v>
      </c>
      <c r="D27" s="219">
        <v>5</v>
      </c>
      <c r="E27" s="220">
        <f t="shared" si="1"/>
        <v>0.23809523809523808</v>
      </c>
      <c r="F27" s="221" t="str">
        <f t="shared" si="0"/>
        <v>|||||</v>
      </c>
      <c r="G27" s="219"/>
      <c r="H27" s="219"/>
      <c r="I27" s="219"/>
      <c r="J27" s="219"/>
      <c r="K27" s="219"/>
      <c r="L27" s="219"/>
      <c r="M27" s="219"/>
      <c r="N27" s="219"/>
      <c r="O27" s="219"/>
    </row>
    <row r="28" spans="2:15">
      <c r="C28" s="206" t="s">
        <v>3</v>
      </c>
      <c r="D28" s="206">
        <f>SUM(D7:D27)</f>
        <v>511</v>
      </c>
      <c r="E28" s="213">
        <f>D28/$B$4</f>
        <v>24.333333333333332</v>
      </c>
    </row>
  </sheetData>
  <dataConsolidate/>
  <mergeCells count="1">
    <mergeCell ref="F6:O6"/>
  </mergeCells>
  <phoneticPr fontId="2" type="noConversion"/>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1005</v>
      </c>
      <c r="B1" s="17"/>
      <c r="C1" s="17"/>
      <c r="D1" s="17"/>
      <c r="E1" s="17"/>
      <c r="F1" s="17"/>
      <c r="G1" s="17"/>
      <c r="H1" s="17"/>
    </row>
    <row r="2" spans="1:9" s="81" customFormat="1" ht="78.75" customHeight="1">
      <c r="A2" s="254" t="s">
        <v>1006</v>
      </c>
      <c r="B2" s="254"/>
      <c r="C2" s="254"/>
      <c r="D2" s="254"/>
      <c r="E2" s="254"/>
      <c r="F2" s="254"/>
      <c r="G2" s="254"/>
      <c r="H2" s="254"/>
    </row>
    <row r="3" spans="1:9" s="81" customFormat="1" ht="24.75" customHeight="1">
      <c r="A3" s="255" t="s">
        <v>1007</v>
      </c>
      <c r="B3" s="255"/>
      <c r="D3" s="255" t="s">
        <v>1008</v>
      </c>
      <c r="E3" s="255"/>
      <c r="G3" s="255" t="s">
        <v>1009</v>
      </c>
      <c r="H3" s="255"/>
    </row>
    <row r="4" spans="1:9" s="83" customFormat="1" ht="19.5" customHeight="1">
      <c r="A4" s="82" t="s">
        <v>1010</v>
      </c>
      <c r="B4" s="82" t="s">
        <v>1012</v>
      </c>
      <c r="D4" s="82" t="s">
        <v>1011</v>
      </c>
      <c r="E4" s="82" t="s">
        <v>1013</v>
      </c>
      <c r="G4" s="82" t="s">
        <v>1011</v>
      </c>
      <c r="H4" s="82" t="s">
        <v>1012</v>
      </c>
    </row>
    <row r="5" spans="1:9" ht="17.399999999999999">
      <c r="A5" s="118" t="s">
        <v>967</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968</v>
      </c>
      <c r="B6" s="119">
        <v>43146</v>
      </c>
      <c r="C6" s="86" t="str">
        <f t="shared" si="0"/>
        <v>(목)</v>
      </c>
      <c r="D6" s="84"/>
      <c r="E6" s="85"/>
      <c r="F6" s="86" t="str">
        <f t="shared" si="1"/>
        <v/>
      </c>
      <c r="G6" s="84"/>
      <c r="H6" s="85"/>
      <c r="I6" s="86" t="str">
        <f t="shared" si="2"/>
        <v/>
      </c>
    </row>
    <row r="7" spans="1:9" ht="17.399999999999999">
      <c r="A7" s="118" t="s">
        <v>969</v>
      </c>
      <c r="B7" s="119">
        <v>43147</v>
      </c>
      <c r="C7" s="86" t="str">
        <f t="shared" si="0"/>
        <v>(금)</v>
      </c>
      <c r="D7" s="84"/>
      <c r="E7" s="85"/>
      <c r="F7" s="86" t="str">
        <f t="shared" si="1"/>
        <v/>
      </c>
      <c r="G7" s="84"/>
      <c r="H7" s="85"/>
      <c r="I7" s="86" t="str">
        <f t="shared" si="2"/>
        <v/>
      </c>
    </row>
    <row r="8" spans="1:9" ht="17.399999999999999">
      <c r="A8" s="118" t="s">
        <v>970</v>
      </c>
      <c r="B8" s="119">
        <v>43160</v>
      </c>
      <c r="C8" s="86" t="str">
        <f t="shared" si="0"/>
        <v>(목)</v>
      </c>
      <c r="D8" s="84"/>
      <c r="E8" s="85"/>
      <c r="F8" s="86" t="str">
        <f t="shared" si="1"/>
        <v/>
      </c>
      <c r="G8" s="84"/>
      <c r="H8" s="85"/>
      <c r="I8" s="86" t="str">
        <f t="shared" si="2"/>
        <v/>
      </c>
    </row>
    <row r="9" spans="1:9" ht="17.399999999999999">
      <c r="A9" s="118" t="s">
        <v>889</v>
      </c>
      <c r="B9" s="119">
        <v>43227</v>
      </c>
      <c r="C9" s="86" t="str">
        <f t="shared" si="0"/>
        <v>(월)</v>
      </c>
      <c r="D9" s="84"/>
      <c r="E9" s="85"/>
      <c r="F9" s="86" t="str">
        <f t="shared" si="1"/>
        <v/>
      </c>
      <c r="G9" s="84"/>
      <c r="H9" s="85"/>
      <c r="I9" s="86" t="str">
        <f t="shared" si="2"/>
        <v/>
      </c>
    </row>
    <row r="10" spans="1:9" ht="17.399999999999999">
      <c r="A10" s="118" t="s">
        <v>890</v>
      </c>
      <c r="B10" s="119">
        <v>43242</v>
      </c>
      <c r="C10" s="86" t="str">
        <f t="shared" si="0"/>
        <v>(화)</v>
      </c>
      <c r="D10" s="84"/>
      <c r="E10" s="85"/>
      <c r="F10" s="86" t="str">
        <f t="shared" si="1"/>
        <v/>
      </c>
      <c r="G10" s="84"/>
      <c r="H10" s="85"/>
      <c r="I10" s="86" t="str">
        <f t="shared" si="2"/>
        <v/>
      </c>
    </row>
    <row r="11" spans="1:9" ht="17.399999999999999">
      <c r="A11" s="118" t="s">
        <v>891</v>
      </c>
      <c r="B11" s="119">
        <v>43257</v>
      </c>
      <c r="C11" s="86" t="str">
        <f t="shared" si="0"/>
        <v>(수)</v>
      </c>
      <c r="D11" s="84"/>
      <c r="E11" s="85"/>
      <c r="F11" s="86" t="str">
        <f t="shared" si="1"/>
        <v/>
      </c>
      <c r="G11" s="84"/>
      <c r="H11" s="85"/>
      <c r="I11" s="86" t="str">
        <f t="shared" si="2"/>
        <v/>
      </c>
    </row>
    <row r="12" spans="1:9" ht="17.399999999999999">
      <c r="A12" s="118" t="s">
        <v>892</v>
      </c>
      <c r="B12" s="119">
        <v>43327</v>
      </c>
      <c r="C12" s="86" t="str">
        <f t="shared" si="0"/>
        <v>(수)</v>
      </c>
      <c r="D12" s="84"/>
      <c r="E12" s="85"/>
      <c r="F12" s="86" t="str">
        <f t="shared" si="1"/>
        <v/>
      </c>
      <c r="G12" s="84"/>
      <c r="H12" s="85"/>
      <c r="I12" s="86" t="str">
        <f t="shared" si="2"/>
        <v/>
      </c>
    </row>
    <row r="13" spans="1:9" ht="17.399999999999999">
      <c r="A13" s="118" t="s">
        <v>893</v>
      </c>
      <c r="B13" s="119">
        <v>43367</v>
      </c>
      <c r="C13" s="86" t="str">
        <f t="shared" si="0"/>
        <v>(월)</v>
      </c>
      <c r="D13" s="84"/>
      <c r="E13" s="85"/>
      <c r="F13" s="86" t="str">
        <f t="shared" si="1"/>
        <v/>
      </c>
      <c r="G13" s="84"/>
      <c r="H13" s="85"/>
      <c r="I13" s="86" t="str">
        <f t="shared" si="2"/>
        <v/>
      </c>
    </row>
    <row r="14" spans="1:9" ht="17.399999999999999">
      <c r="A14" s="118" t="s">
        <v>894</v>
      </c>
      <c r="B14" s="119">
        <v>43368</v>
      </c>
      <c r="C14" s="86" t="str">
        <f t="shared" si="0"/>
        <v>(화)</v>
      </c>
      <c r="D14" s="84"/>
      <c r="E14" s="85"/>
      <c r="F14" s="86" t="str">
        <f t="shared" si="1"/>
        <v/>
      </c>
      <c r="G14" s="84"/>
      <c r="H14" s="85"/>
      <c r="I14" s="86" t="str">
        <f t="shared" si="2"/>
        <v/>
      </c>
    </row>
    <row r="15" spans="1:9" ht="17.399999999999999">
      <c r="A15" s="118" t="s">
        <v>895</v>
      </c>
      <c r="B15" s="119">
        <v>43369</v>
      </c>
      <c r="C15" s="86" t="str">
        <f t="shared" si="0"/>
        <v>(수)</v>
      </c>
      <c r="D15" s="84"/>
      <c r="E15" s="85"/>
      <c r="F15" s="86" t="str">
        <f t="shared" si="1"/>
        <v/>
      </c>
      <c r="G15" s="84"/>
      <c r="H15" s="85"/>
      <c r="I15" s="86" t="str">
        <f t="shared" si="2"/>
        <v/>
      </c>
    </row>
    <row r="16" spans="1:9" ht="17.399999999999999">
      <c r="A16" s="118" t="s">
        <v>896</v>
      </c>
      <c r="B16" s="119">
        <v>43376</v>
      </c>
      <c r="C16" s="86" t="str">
        <f t="shared" si="0"/>
        <v>(수)</v>
      </c>
      <c r="D16" s="84"/>
      <c r="E16" s="85"/>
      <c r="F16" s="86" t="str">
        <f t="shared" si="1"/>
        <v/>
      </c>
      <c r="G16" s="84"/>
      <c r="H16" s="85"/>
      <c r="I16" s="86" t="str">
        <f t="shared" si="2"/>
        <v/>
      </c>
    </row>
    <row r="17" spans="1:10" ht="17.399999999999999">
      <c r="A17" s="118" t="s">
        <v>897</v>
      </c>
      <c r="B17" s="119">
        <v>43382</v>
      </c>
      <c r="C17" s="86" t="str">
        <f t="shared" si="0"/>
        <v>(화)</v>
      </c>
      <c r="D17" s="84"/>
      <c r="E17" s="85"/>
      <c r="F17" s="86" t="str">
        <f t="shared" si="1"/>
        <v/>
      </c>
      <c r="G17" s="84"/>
      <c r="H17" s="85"/>
      <c r="I17" s="86" t="str">
        <f t="shared" si="2"/>
        <v/>
      </c>
    </row>
    <row r="18" spans="1:10" ht="17.399999999999999">
      <c r="A18" s="118" t="s">
        <v>898</v>
      </c>
      <c r="B18" s="119">
        <v>43459</v>
      </c>
      <c r="C18" s="86" t="str">
        <f t="shared" si="0"/>
        <v>(화)</v>
      </c>
      <c r="D18" s="84"/>
      <c r="E18" s="85"/>
      <c r="F18" s="86" t="str">
        <f t="shared" si="1"/>
        <v/>
      </c>
      <c r="G18" s="84"/>
      <c r="H18" s="85"/>
      <c r="I18" s="86" t="str">
        <f t="shared" si="2"/>
        <v/>
      </c>
    </row>
    <row r="19" spans="1:10" ht="17.399999999999999">
      <c r="A19" s="118" t="s">
        <v>971</v>
      </c>
      <c r="B19" s="119">
        <v>43466</v>
      </c>
      <c r="C19" s="86" t="str">
        <f t="shared" si="0"/>
        <v>(화)</v>
      </c>
      <c r="D19" s="84"/>
      <c r="E19" s="85"/>
      <c r="F19" s="86" t="str">
        <f t="shared" si="1"/>
        <v/>
      </c>
      <c r="G19" s="84"/>
      <c r="H19" s="85"/>
      <c r="I19" s="86" t="str">
        <f t="shared" si="2"/>
        <v/>
      </c>
      <c r="J19" s="87"/>
    </row>
    <row r="20" spans="1:10" ht="17.399999999999999">
      <c r="A20" s="118" t="s">
        <v>972</v>
      </c>
      <c r="B20" s="119">
        <v>43500</v>
      </c>
      <c r="C20" s="86" t="str">
        <f t="shared" si="0"/>
        <v>(월)</v>
      </c>
      <c r="D20" s="84"/>
      <c r="E20" s="85"/>
      <c r="F20" s="86" t="str">
        <f t="shared" si="1"/>
        <v/>
      </c>
      <c r="G20" s="84"/>
      <c r="H20" s="85"/>
      <c r="I20" s="86" t="str">
        <f t="shared" si="2"/>
        <v/>
      </c>
      <c r="J20" s="87"/>
    </row>
    <row r="21" spans="1:10" ht="17.399999999999999">
      <c r="A21" s="118" t="s">
        <v>973</v>
      </c>
      <c r="B21" s="119">
        <v>43501</v>
      </c>
      <c r="C21" s="86" t="str">
        <f t="shared" si="0"/>
        <v>(화)</v>
      </c>
      <c r="D21" s="84"/>
      <c r="E21" s="85"/>
      <c r="F21" s="86" t="str">
        <f t="shared" si="1"/>
        <v/>
      </c>
      <c r="G21" s="84"/>
      <c r="H21" s="85"/>
      <c r="I21" s="86" t="str">
        <f t="shared" si="2"/>
        <v/>
      </c>
    </row>
    <row r="22" spans="1:10" ht="17.399999999999999">
      <c r="A22" s="118" t="s">
        <v>972</v>
      </c>
      <c r="B22" s="119">
        <v>43502</v>
      </c>
      <c r="C22" s="86" t="str">
        <f t="shared" si="0"/>
        <v>(수)</v>
      </c>
      <c r="D22" s="84"/>
      <c r="E22" s="85"/>
      <c r="F22" s="86" t="str">
        <f t="shared" si="1"/>
        <v/>
      </c>
      <c r="G22" s="84"/>
      <c r="H22" s="85"/>
      <c r="I22" s="86" t="str">
        <f t="shared" si="2"/>
        <v/>
      </c>
    </row>
    <row r="23" spans="1:10" ht="17.399999999999999">
      <c r="A23" s="118" t="s">
        <v>974</v>
      </c>
      <c r="B23" s="119">
        <v>43525</v>
      </c>
      <c r="C23" s="86" t="str">
        <f t="shared" si="0"/>
        <v>(금)</v>
      </c>
      <c r="D23" s="84"/>
      <c r="E23" s="85"/>
      <c r="F23" s="86" t="str">
        <f t="shared" si="1"/>
        <v/>
      </c>
      <c r="G23" s="84"/>
      <c r="H23" s="85"/>
      <c r="I23" s="86" t="str">
        <f t="shared" si="2"/>
        <v/>
      </c>
    </row>
    <row r="24" spans="1:10" ht="17.399999999999999">
      <c r="A24" s="118" t="s">
        <v>975</v>
      </c>
      <c r="B24" s="119">
        <v>43591</v>
      </c>
      <c r="C24" s="86" t="str">
        <f t="shared" si="0"/>
        <v>(월)</v>
      </c>
      <c r="D24" s="84"/>
      <c r="E24" s="85"/>
      <c r="F24" s="86" t="str">
        <f t="shared" si="1"/>
        <v/>
      </c>
      <c r="G24" s="84"/>
      <c r="H24" s="85"/>
      <c r="I24" s="86" t="str">
        <f t="shared" si="2"/>
        <v/>
      </c>
    </row>
    <row r="25" spans="1:10" ht="17.399999999999999">
      <c r="A25" s="118" t="s">
        <v>976</v>
      </c>
      <c r="B25" s="119">
        <v>43622</v>
      </c>
      <c r="C25" s="86" t="str">
        <f t="shared" si="0"/>
        <v>(목)</v>
      </c>
      <c r="D25" s="84"/>
      <c r="E25" s="85"/>
      <c r="F25" s="86" t="str">
        <f t="shared" si="1"/>
        <v/>
      </c>
      <c r="G25" s="84"/>
      <c r="H25" s="85"/>
      <c r="I25" s="86" t="str">
        <f t="shared" si="2"/>
        <v/>
      </c>
    </row>
    <row r="26" spans="1:10" ht="17.399999999999999">
      <c r="A26" s="118" t="s">
        <v>977</v>
      </c>
      <c r="B26" s="119">
        <v>43692</v>
      </c>
      <c r="C26" s="86" t="str">
        <f t="shared" si="0"/>
        <v>(목)</v>
      </c>
      <c r="D26" s="84"/>
      <c r="E26" s="85"/>
      <c r="F26" s="86" t="str">
        <f t="shared" si="1"/>
        <v/>
      </c>
      <c r="G26" s="84"/>
      <c r="H26" s="85"/>
      <c r="I26" s="86" t="str">
        <f t="shared" si="2"/>
        <v/>
      </c>
    </row>
    <row r="27" spans="1:10" ht="17.399999999999999">
      <c r="A27" s="118" t="s">
        <v>978</v>
      </c>
      <c r="B27" s="119">
        <v>43720</v>
      </c>
      <c r="C27" s="86" t="str">
        <f t="shared" si="0"/>
        <v>(목)</v>
      </c>
      <c r="D27" s="84"/>
      <c r="E27" s="85"/>
      <c r="F27" s="86" t="str">
        <f t="shared" si="1"/>
        <v/>
      </c>
      <c r="G27" s="84"/>
      <c r="H27" s="85"/>
      <c r="I27" s="86" t="str">
        <f t="shared" si="2"/>
        <v/>
      </c>
    </row>
    <row r="28" spans="1:10" ht="17.399999999999999">
      <c r="A28" s="118" t="s">
        <v>979</v>
      </c>
      <c r="B28" s="119">
        <v>43721</v>
      </c>
      <c r="C28" s="86" t="str">
        <f t="shared" si="0"/>
        <v>(금)</v>
      </c>
      <c r="D28" s="84"/>
      <c r="E28" s="85"/>
      <c r="F28" s="86" t="str">
        <f t="shared" si="1"/>
        <v/>
      </c>
      <c r="G28" s="84"/>
      <c r="H28" s="85"/>
      <c r="I28" s="86" t="str">
        <f t="shared" si="2"/>
        <v/>
      </c>
    </row>
    <row r="29" spans="1:10" ht="17.399999999999999">
      <c r="A29" s="118" t="s">
        <v>980</v>
      </c>
      <c r="B29" s="119">
        <v>43741</v>
      </c>
      <c r="C29" s="86" t="str">
        <f t="shared" si="0"/>
        <v>(목)</v>
      </c>
      <c r="D29" s="84"/>
      <c r="E29" s="85"/>
      <c r="F29" s="86" t="str">
        <f t="shared" si="1"/>
        <v/>
      </c>
      <c r="G29" s="84"/>
      <c r="H29" s="85"/>
      <c r="I29" s="86" t="str">
        <f t="shared" si="2"/>
        <v/>
      </c>
    </row>
    <row r="30" spans="1:10" ht="17.399999999999999">
      <c r="A30" s="118" t="s">
        <v>981</v>
      </c>
      <c r="B30" s="119">
        <v>43747</v>
      </c>
      <c r="C30" s="86" t="str">
        <f t="shared" si="0"/>
        <v>(수)</v>
      </c>
      <c r="D30" s="84"/>
      <c r="E30" s="85"/>
      <c r="F30" s="86" t="str">
        <f t="shared" si="1"/>
        <v/>
      </c>
      <c r="G30" s="84"/>
      <c r="H30" s="85"/>
      <c r="I30" s="86" t="str">
        <f t="shared" si="2"/>
        <v/>
      </c>
    </row>
    <row r="31" spans="1:10" ht="17.399999999999999">
      <c r="A31" s="118" t="s">
        <v>982</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1014</v>
      </c>
      <c r="D305" s="86" t="s">
        <v>1014</v>
      </c>
      <c r="G305" s="86" t="s">
        <v>1014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2022-01-20T08:48:53Z</dcterms:modified>
</cp:coreProperties>
</file>